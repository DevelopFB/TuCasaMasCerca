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franciscobenegas/Desktop/CLAUDE/TCMC/ORDENANDO NUMEROS/"/>
    </mc:Choice>
  </mc:AlternateContent>
  <xr:revisionPtr revIDLastSave="0" documentId="13_ncr:1_{1276C55A-FB5D-2A44-B391-A669D4790679}" xr6:coauthVersionLast="47" xr6:coauthVersionMax="47" xr10:uidLastSave="{00000000-0000-0000-0000-000000000000}"/>
  <bookViews>
    <workbookView xWindow="100" yWindow="600" windowWidth="33600" windowHeight="20400" xr2:uid="{00000000-000D-0000-FFFF-FFFF00000000}"/>
  </bookViews>
  <sheets>
    <sheet name="Hoja2" sheetId="5" r:id="rId1"/>
    <sheet name="DINAMICA" sheetId="4" r:id="rId2"/>
    <sheet name="Operaciones Venta" sheetId="2" r:id="rId3"/>
    <sheet name="Mapa Oficinas" sheetId="1" r:id="rId4"/>
    <sheet name="DESCARTADO" sheetId="3" r:id="rId5"/>
  </sheets>
  <definedNames>
    <definedName name="_xlnm._FilterDatabase" localSheetId="2" hidden="1">'Operaciones Venta'!$A$1:$W$2746</definedName>
  </definedNames>
  <calcPr calcId="191029"/>
  <pivotCaches>
    <pivotCache cacheId="45"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5" l="1"/>
  <c r="B46" i="5"/>
  <c r="B43" i="5"/>
  <c r="B42" i="5"/>
  <c r="B45" i="5"/>
  <c r="B41" i="5"/>
  <c r="D36" i="5"/>
  <c r="D37" i="5" s="1"/>
  <c r="D38" i="5" s="1"/>
  <c r="AV70" i="4"/>
  <c r="AW70" i="4"/>
  <c r="AX70" i="4"/>
  <c r="AY70" i="4"/>
  <c r="AZ70" i="4"/>
  <c r="BA70" i="4"/>
  <c r="BB70" i="4"/>
  <c r="BC70" i="4"/>
  <c r="BD70" i="4"/>
  <c r="BE70" i="4"/>
  <c r="BF70" i="4"/>
  <c r="BG70" i="4"/>
  <c r="BH70" i="4"/>
  <c r="BI70" i="4"/>
  <c r="BJ70" i="4"/>
  <c r="BK70" i="4"/>
  <c r="BL70" i="4"/>
  <c r="D30" i="5" s="1"/>
  <c r="AU70" i="4"/>
  <c r="BL69" i="4"/>
  <c r="D29" i="5" s="1"/>
  <c r="BK69" i="4"/>
  <c r="BJ69" i="4"/>
  <c r="BI69" i="4"/>
  <c r="BH69" i="4"/>
  <c r="BG69" i="4"/>
  <c r="BF69" i="4"/>
  <c r="BE69" i="4"/>
  <c r="BD69" i="4"/>
  <c r="BC69" i="4"/>
  <c r="BB69" i="4"/>
  <c r="BA69" i="4"/>
  <c r="AZ69" i="4"/>
  <c r="AY69" i="4"/>
  <c r="AX69" i="4"/>
  <c r="AW69" i="4"/>
  <c r="AV69" i="4"/>
  <c r="AU69" i="4"/>
  <c r="B23" i="5"/>
  <c r="G20" i="5"/>
  <c r="G19" i="5"/>
  <c r="G21" i="5" s="1"/>
  <c r="G15" i="5"/>
  <c r="G14" i="5"/>
  <c r="G16" i="5" s="1"/>
  <c r="G10" i="5"/>
  <c r="G9" i="5"/>
  <c r="G11" i="5" s="1"/>
  <c r="G7" i="5"/>
  <c r="G6" i="5"/>
  <c r="G5" i="5"/>
  <c r="E20" i="5"/>
  <c r="E19" i="5"/>
  <c r="E15" i="5"/>
  <c r="E14" i="5"/>
  <c r="E10" i="5"/>
  <c r="E9" i="5"/>
  <c r="E7" i="5"/>
  <c r="E6" i="5"/>
  <c r="E5" i="5"/>
  <c r="D21" i="5"/>
  <c r="E21" i="5" s="1"/>
  <c r="D16" i="5"/>
  <c r="E16" i="5" s="1"/>
  <c r="D11" i="5"/>
  <c r="E11" i="5" s="1"/>
  <c r="D7" i="5"/>
  <c r="BL57" i="4"/>
  <c r="BK57" i="4"/>
  <c r="BJ57" i="4"/>
  <c r="BJ58" i="4" s="1"/>
  <c r="BI57" i="4"/>
  <c r="BH57" i="4"/>
  <c r="BG57" i="4"/>
  <c r="BF57" i="4"/>
  <c r="BE57" i="4"/>
  <c r="BD57" i="4"/>
  <c r="BC57" i="4"/>
  <c r="BB57" i="4"/>
  <c r="BA57" i="4"/>
  <c r="AZ57" i="4"/>
  <c r="AY57" i="4"/>
  <c r="AX57" i="4"/>
  <c r="AW57" i="4"/>
  <c r="AV57" i="4"/>
  <c r="AU57" i="4"/>
  <c r="BL56" i="4"/>
  <c r="BK56" i="4"/>
  <c r="BJ56" i="4"/>
  <c r="BI56" i="4"/>
  <c r="BH56" i="4"/>
  <c r="BG56" i="4"/>
  <c r="BF56" i="4"/>
  <c r="BE56" i="4"/>
  <c r="BD56" i="4"/>
  <c r="BC56" i="4"/>
  <c r="BB56" i="4"/>
  <c r="BA56" i="4"/>
  <c r="AZ56" i="4"/>
  <c r="AY56" i="4"/>
  <c r="AX56" i="4"/>
  <c r="AW56" i="4"/>
  <c r="AV56" i="4"/>
  <c r="AU56" i="4"/>
  <c r="BL55" i="4"/>
  <c r="BK55" i="4"/>
  <c r="BJ55" i="4"/>
  <c r="BI55" i="4"/>
  <c r="BH55" i="4"/>
  <c r="BG55" i="4"/>
  <c r="BF55" i="4"/>
  <c r="BE55" i="4"/>
  <c r="BD55" i="4"/>
  <c r="BC55" i="4"/>
  <c r="BB55" i="4"/>
  <c r="BA55" i="4"/>
  <c r="AZ55" i="4"/>
  <c r="AY55" i="4"/>
  <c r="AX55" i="4"/>
  <c r="AW55" i="4"/>
  <c r="AV55" i="4"/>
  <c r="AU55" i="4"/>
  <c r="BL54" i="4"/>
  <c r="BK54" i="4"/>
  <c r="BJ54" i="4"/>
  <c r="BI54" i="4"/>
  <c r="BH54" i="4"/>
  <c r="BG54" i="4"/>
  <c r="BF54" i="4"/>
  <c r="BE54" i="4"/>
  <c r="BD54" i="4"/>
  <c r="BC54" i="4"/>
  <c r="BB54" i="4"/>
  <c r="BA54" i="4"/>
  <c r="AZ54" i="4"/>
  <c r="AY54" i="4"/>
  <c r="AX54" i="4"/>
  <c r="AW54" i="4"/>
  <c r="AV54" i="4"/>
  <c r="AU54" i="4"/>
  <c r="BL49" i="4"/>
  <c r="BL65" i="4" s="1"/>
  <c r="BK49" i="4"/>
  <c r="BJ49" i="4"/>
  <c r="BJ65" i="4" s="1"/>
  <c r="BI49" i="4"/>
  <c r="BI65" i="4" s="1"/>
  <c r="BH49" i="4"/>
  <c r="BG49" i="4"/>
  <c r="BG65" i="4" s="1"/>
  <c r="BF49" i="4"/>
  <c r="BE49" i="4"/>
  <c r="BE65" i="4" s="1"/>
  <c r="BD49" i="4"/>
  <c r="BD65" i="4" s="1"/>
  <c r="BC49" i="4"/>
  <c r="BB49" i="4"/>
  <c r="BB65" i="4" s="1"/>
  <c r="BA49" i="4"/>
  <c r="BA65" i="4" s="1"/>
  <c r="AZ49" i="4"/>
  <c r="AY49" i="4"/>
  <c r="AY65" i="4" s="1"/>
  <c r="AX49" i="4"/>
  <c r="AX65" i="4" s="1"/>
  <c r="AW49" i="4"/>
  <c r="AW65" i="4" s="1"/>
  <c r="AV49" i="4"/>
  <c r="AV65" i="4" s="1"/>
  <c r="AU49" i="4"/>
  <c r="BL48" i="4"/>
  <c r="BL64" i="4" s="1"/>
  <c r="BK48" i="4"/>
  <c r="BK64" i="4" s="1"/>
  <c r="BJ48" i="4"/>
  <c r="BJ64" i="4" s="1"/>
  <c r="BI48" i="4"/>
  <c r="BI64" i="4" s="1"/>
  <c r="BH48" i="4"/>
  <c r="BH64" i="4" s="1"/>
  <c r="BG48" i="4"/>
  <c r="BG64" i="4" s="1"/>
  <c r="BF48" i="4"/>
  <c r="BF64" i="4" s="1"/>
  <c r="BE48" i="4"/>
  <c r="BE64" i="4" s="1"/>
  <c r="BD48" i="4"/>
  <c r="BD64" i="4" s="1"/>
  <c r="BC48" i="4"/>
  <c r="BB48" i="4"/>
  <c r="BB64" i="4" s="1"/>
  <c r="BA48" i="4"/>
  <c r="BA64" i="4" s="1"/>
  <c r="AZ48" i="4"/>
  <c r="AY48" i="4"/>
  <c r="AX48" i="4"/>
  <c r="AX64" i="4" s="1"/>
  <c r="AW48" i="4"/>
  <c r="AW64" i="4" s="1"/>
  <c r="AV48" i="4"/>
  <c r="AV64" i="4" s="1"/>
  <c r="AU48" i="4"/>
  <c r="AU64" i="4" s="1"/>
  <c r="BL47" i="4"/>
  <c r="BL63" i="4" s="1"/>
  <c r="BK47" i="4"/>
  <c r="BK63" i="4" s="1"/>
  <c r="BJ47" i="4"/>
  <c r="BI47" i="4"/>
  <c r="BH47" i="4"/>
  <c r="BH63" i="4" s="1"/>
  <c r="BG47" i="4"/>
  <c r="BG63" i="4" s="1"/>
  <c r="BF47" i="4"/>
  <c r="BF63" i="4" s="1"/>
  <c r="BE47" i="4"/>
  <c r="BE63" i="4" s="1"/>
  <c r="BD47" i="4"/>
  <c r="BD63" i="4" s="1"/>
  <c r="BC47" i="4"/>
  <c r="BC63" i="4" s="1"/>
  <c r="BB47" i="4"/>
  <c r="BA47" i="4"/>
  <c r="BA63" i="4" s="1"/>
  <c r="AZ47" i="4"/>
  <c r="AZ63" i="4" s="1"/>
  <c r="AY47" i="4"/>
  <c r="AY63" i="4" s="1"/>
  <c r="AX47" i="4"/>
  <c r="AX63" i="4" s="1"/>
  <c r="AW47" i="4"/>
  <c r="AW63" i="4" s="1"/>
  <c r="AV47" i="4"/>
  <c r="AV63" i="4" s="1"/>
  <c r="AU47" i="4"/>
  <c r="AU63" i="4" s="1"/>
  <c r="BL46" i="4"/>
  <c r="BK46" i="4"/>
  <c r="BJ46" i="4"/>
  <c r="BI46" i="4"/>
  <c r="BH46" i="4"/>
  <c r="BG46" i="4"/>
  <c r="BF46" i="4"/>
  <c r="BE46" i="4"/>
  <c r="BD46" i="4"/>
  <c r="BC46" i="4"/>
  <c r="BB46" i="4"/>
  <c r="BA46" i="4"/>
  <c r="AZ46" i="4"/>
  <c r="AY46" i="4"/>
  <c r="AX46" i="4"/>
  <c r="AW46" i="4"/>
  <c r="AV46" i="4"/>
  <c r="AU46" i="4"/>
  <c r="BK65" i="4"/>
  <c r="BH65" i="4"/>
  <c r="AZ64" i="4"/>
  <c r="AY64" i="4"/>
  <c r="BJ63" i="4"/>
  <c r="BI63" i="4"/>
  <c r="BB63" i="4"/>
  <c r="BL45" i="4"/>
  <c r="BL53" i="4" s="1"/>
  <c r="BK45" i="4"/>
  <c r="BK53" i="4" s="1"/>
  <c r="BJ45" i="4"/>
  <c r="BJ53" i="4" s="1"/>
  <c r="BI45" i="4"/>
  <c r="BI53" i="4" s="1"/>
  <c r="BH45" i="4"/>
  <c r="BH53" i="4" s="1"/>
  <c r="BG45" i="4"/>
  <c r="BG53" i="4" s="1"/>
  <c r="BF45" i="4"/>
  <c r="BF53" i="4" s="1"/>
  <c r="BE45" i="4"/>
  <c r="BE53" i="4" s="1"/>
  <c r="BD45" i="4"/>
  <c r="BD53" i="4" s="1"/>
  <c r="BC45" i="4"/>
  <c r="BC53" i="4" s="1"/>
  <c r="BB45" i="4"/>
  <c r="BB53" i="4" s="1"/>
  <c r="BA45" i="4"/>
  <c r="BA53" i="4" s="1"/>
  <c r="AZ45" i="4"/>
  <c r="AZ53" i="4" s="1"/>
  <c r="AY45" i="4"/>
  <c r="AY53" i="4" s="1"/>
  <c r="AX45" i="4"/>
  <c r="AX53" i="4" s="1"/>
  <c r="AW45" i="4"/>
  <c r="AW53" i="4" s="1"/>
  <c r="AV45" i="4"/>
  <c r="AV53" i="4" s="1"/>
  <c r="AU45" i="4"/>
  <c r="AU53" i="4" s="1"/>
  <c r="BL44" i="4"/>
  <c r="BL52" i="4" s="1"/>
  <c r="BK44" i="4"/>
  <c r="BK52" i="4" s="1"/>
  <c r="BJ44" i="4"/>
  <c r="BJ52" i="4" s="1"/>
  <c r="BI44" i="4"/>
  <c r="BI52" i="4" s="1"/>
  <c r="BH44" i="4"/>
  <c r="BH52" i="4" s="1"/>
  <c r="BG44" i="4"/>
  <c r="BG52" i="4" s="1"/>
  <c r="BF44" i="4"/>
  <c r="BF52" i="4" s="1"/>
  <c r="BE44" i="4"/>
  <c r="BE52" i="4" s="1"/>
  <c r="BD44" i="4"/>
  <c r="BD52" i="4" s="1"/>
  <c r="BC44" i="4"/>
  <c r="BC52" i="4" s="1"/>
  <c r="BB44" i="4"/>
  <c r="BB52" i="4" s="1"/>
  <c r="BA44" i="4"/>
  <c r="BA52" i="4" s="1"/>
  <c r="AZ44" i="4"/>
  <c r="AZ52" i="4" s="1"/>
  <c r="AY44" i="4"/>
  <c r="AY52" i="4" s="1"/>
  <c r="AX44" i="4"/>
  <c r="AX52" i="4" s="1"/>
  <c r="AW44" i="4"/>
  <c r="AW52" i="4" s="1"/>
  <c r="AV44" i="4"/>
  <c r="AV52" i="4" s="1"/>
  <c r="AU44" i="4"/>
  <c r="AU52" i="4" s="1"/>
  <c r="K2746" i="2"/>
  <c r="K2745" i="2"/>
  <c r="K2744" i="2"/>
  <c r="K2743" i="2"/>
  <c r="K2742" i="2"/>
  <c r="K2741" i="2"/>
  <c r="K2740" i="2"/>
  <c r="K2739" i="2"/>
  <c r="K2737" i="2"/>
  <c r="K2736" i="2"/>
  <c r="K2735" i="2"/>
  <c r="K2734" i="2"/>
  <c r="K2733" i="2"/>
  <c r="K2732" i="2"/>
  <c r="K2731" i="2"/>
  <c r="K2730" i="2"/>
  <c r="K2729" i="2"/>
  <c r="K2728" i="2"/>
  <c r="K2727" i="2"/>
  <c r="K2726" i="2"/>
  <c r="K2725" i="2"/>
  <c r="K2724" i="2"/>
  <c r="K2723" i="2"/>
  <c r="K2722" i="2"/>
  <c r="K2721" i="2"/>
  <c r="K2720" i="2"/>
  <c r="K2719" i="2"/>
  <c r="K2718" i="2"/>
  <c r="K2717" i="2"/>
  <c r="K2716" i="2"/>
  <c r="K2715" i="2"/>
  <c r="K2714" i="2"/>
  <c r="K2713" i="2"/>
  <c r="K2712" i="2"/>
  <c r="K2711" i="2"/>
  <c r="K2710" i="2"/>
  <c r="K2709" i="2"/>
  <c r="K2708" i="2"/>
  <c r="K2707" i="2"/>
  <c r="K2706" i="2"/>
  <c r="K2705" i="2"/>
  <c r="K2704" i="2"/>
  <c r="K2703" i="2"/>
  <c r="K2702" i="2"/>
  <c r="K2701" i="2"/>
  <c r="K2700" i="2"/>
  <c r="K2699" i="2"/>
  <c r="K2698" i="2"/>
  <c r="K2697" i="2"/>
  <c r="K2696" i="2"/>
  <c r="K2695" i="2"/>
  <c r="K2694" i="2"/>
  <c r="K2693" i="2"/>
  <c r="K2692" i="2"/>
  <c r="K2691" i="2"/>
  <c r="K2690" i="2"/>
  <c r="K2689" i="2"/>
  <c r="K2688" i="2"/>
  <c r="K2687" i="2"/>
  <c r="K2686" i="2"/>
  <c r="K2685" i="2"/>
  <c r="K2684" i="2"/>
  <c r="K2683" i="2"/>
  <c r="K2682" i="2"/>
  <c r="K2681" i="2"/>
  <c r="K2680" i="2"/>
  <c r="K2679" i="2"/>
  <c r="K2678" i="2"/>
  <c r="K2677" i="2"/>
  <c r="K2676" i="2"/>
  <c r="K2675" i="2"/>
  <c r="K2674" i="2"/>
  <c r="K2673" i="2"/>
  <c r="K2672" i="2"/>
  <c r="K2671" i="2"/>
  <c r="K2670" i="2"/>
  <c r="K2669" i="2"/>
  <c r="K2668" i="2"/>
  <c r="K2667" i="2"/>
  <c r="K2666" i="2"/>
  <c r="K2665" i="2"/>
  <c r="K2664" i="2"/>
  <c r="K2663" i="2"/>
  <c r="K2662" i="2"/>
  <c r="K2661" i="2"/>
  <c r="K2660" i="2"/>
  <c r="K2659" i="2"/>
  <c r="K2658" i="2"/>
  <c r="K2657" i="2"/>
  <c r="K2656" i="2"/>
  <c r="K2655" i="2"/>
  <c r="K2654" i="2"/>
  <c r="K2653" i="2"/>
  <c r="K2652" i="2"/>
  <c r="K2651" i="2"/>
  <c r="K2650" i="2"/>
  <c r="K2649" i="2"/>
  <c r="K2648" i="2"/>
  <c r="K2647" i="2"/>
  <c r="K2646" i="2"/>
  <c r="K2645" i="2"/>
  <c r="K2644" i="2"/>
  <c r="K2643" i="2"/>
  <c r="K2642" i="2"/>
  <c r="K2641" i="2"/>
  <c r="K2640" i="2"/>
  <c r="K2639" i="2"/>
  <c r="K2638" i="2"/>
  <c r="K2637" i="2"/>
  <c r="K2636" i="2"/>
  <c r="K2635" i="2"/>
  <c r="K2634" i="2"/>
  <c r="K2633" i="2"/>
  <c r="K2632" i="2"/>
  <c r="K2631" i="2"/>
  <c r="K2630" i="2"/>
  <c r="K2629" i="2"/>
  <c r="K2628" i="2"/>
  <c r="K2627" i="2"/>
  <c r="K2626" i="2"/>
  <c r="K2625" i="2"/>
  <c r="K2624" i="2"/>
  <c r="K2623" i="2"/>
  <c r="K2622" i="2"/>
  <c r="K2621" i="2"/>
  <c r="K2620" i="2"/>
  <c r="K2619" i="2"/>
  <c r="K2618" i="2"/>
  <c r="K2617" i="2"/>
  <c r="K2616" i="2"/>
  <c r="K2615" i="2"/>
  <c r="K2614" i="2"/>
  <c r="K2613" i="2"/>
  <c r="K2612" i="2"/>
  <c r="K2611" i="2"/>
  <c r="K2610" i="2"/>
  <c r="K2609" i="2"/>
  <c r="K2608" i="2"/>
  <c r="K2607" i="2"/>
  <c r="K2606" i="2"/>
  <c r="K2605" i="2"/>
  <c r="K2604" i="2"/>
  <c r="K2603" i="2"/>
  <c r="K2602" i="2"/>
  <c r="K2601" i="2"/>
  <c r="K2600" i="2"/>
  <c r="K2599" i="2"/>
  <c r="K2598" i="2"/>
  <c r="K2597" i="2"/>
  <c r="K2596" i="2"/>
  <c r="K2595" i="2"/>
  <c r="K2594" i="2"/>
  <c r="K2593" i="2"/>
  <c r="K2592" i="2"/>
  <c r="K2591" i="2"/>
  <c r="K2590" i="2"/>
  <c r="K2589" i="2"/>
  <c r="K2588" i="2"/>
  <c r="K2587" i="2"/>
  <c r="K2586" i="2"/>
  <c r="K2585" i="2"/>
  <c r="K2584" i="2"/>
  <c r="K2583" i="2"/>
  <c r="K2582" i="2"/>
  <c r="K2581" i="2"/>
  <c r="K2580" i="2"/>
  <c r="K2579" i="2"/>
  <c r="K2578" i="2"/>
  <c r="K2577" i="2"/>
  <c r="K2576" i="2"/>
  <c r="K2575" i="2"/>
  <c r="K2574" i="2"/>
  <c r="K2573" i="2"/>
  <c r="K2572" i="2"/>
  <c r="K2571" i="2"/>
  <c r="K2570" i="2"/>
  <c r="K2569" i="2"/>
  <c r="K2568" i="2"/>
  <c r="K2567" i="2"/>
  <c r="K2566" i="2"/>
  <c r="K2565" i="2"/>
  <c r="K2564" i="2"/>
  <c r="K2563" i="2"/>
  <c r="K2562" i="2"/>
  <c r="K2561" i="2"/>
  <c r="K2560" i="2"/>
  <c r="K2559" i="2"/>
  <c r="K2558" i="2"/>
  <c r="K2557" i="2"/>
  <c r="K2556" i="2"/>
  <c r="K2555" i="2"/>
  <c r="K2554" i="2"/>
  <c r="K2553" i="2"/>
  <c r="K2552" i="2"/>
  <c r="K2551" i="2"/>
  <c r="K2550" i="2"/>
  <c r="K2549" i="2"/>
  <c r="K2548" i="2"/>
  <c r="K2547" i="2"/>
  <c r="K2546" i="2"/>
  <c r="K2545" i="2"/>
  <c r="K2544" i="2"/>
  <c r="K2543" i="2"/>
  <c r="K2542" i="2"/>
  <c r="K2541" i="2"/>
  <c r="K2540" i="2"/>
  <c r="K2539" i="2"/>
  <c r="K2538" i="2"/>
  <c r="K2537" i="2"/>
  <c r="K2536" i="2"/>
  <c r="K2535" i="2"/>
  <c r="K2534" i="2"/>
  <c r="K2533" i="2"/>
  <c r="K2532" i="2"/>
  <c r="K2531" i="2"/>
  <c r="K2530" i="2"/>
  <c r="K2529" i="2"/>
  <c r="K2528" i="2"/>
  <c r="K2527" i="2"/>
  <c r="K2526" i="2"/>
  <c r="K2525" i="2"/>
  <c r="K2524" i="2"/>
  <c r="K2523" i="2"/>
  <c r="K2522" i="2"/>
  <c r="K2521" i="2"/>
  <c r="K2520" i="2"/>
  <c r="K2519" i="2"/>
  <c r="K2518" i="2"/>
  <c r="K2517" i="2"/>
  <c r="K2516" i="2"/>
  <c r="K2515" i="2"/>
  <c r="K2514" i="2"/>
  <c r="K2513" i="2"/>
  <c r="K2512" i="2"/>
  <c r="K2511" i="2"/>
  <c r="K2510" i="2"/>
  <c r="K2509" i="2"/>
  <c r="K2508" i="2"/>
  <c r="K2507" i="2"/>
  <c r="K2506" i="2"/>
  <c r="K2505" i="2"/>
  <c r="K2504" i="2"/>
  <c r="K2503" i="2"/>
  <c r="K2502" i="2"/>
  <c r="K2501" i="2"/>
  <c r="K2500" i="2"/>
  <c r="K2499" i="2"/>
  <c r="K2498" i="2"/>
  <c r="K2497" i="2"/>
  <c r="K2496" i="2"/>
  <c r="K2495" i="2"/>
  <c r="K2494" i="2"/>
  <c r="K2493" i="2"/>
  <c r="K2492" i="2"/>
  <c r="K2491" i="2"/>
  <c r="K2490" i="2"/>
  <c r="K2489" i="2"/>
  <c r="K2488" i="2"/>
  <c r="K2487" i="2"/>
  <c r="K2486" i="2"/>
  <c r="K2485" i="2"/>
  <c r="K2484" i="2"/>
  <c r="K2483" i="2"/>
  <c r="K2482" i="2"/>
  <c r="K2481" i="2"/>
  <c r="K2480" i="2"/>
  <c r="K2479" i="2"/>
  <c r="K2478" i="2"/>
  <c r="K2477" i="2"/>
  <c r="K2476" i="2"/>
  <c r="K2475" i="2"/>
  <c r="K2474" i="2"/>
  <c r="K2473" i="2"/>
  <c r="K2472" i="2"/>
  <c r="K2471" i="2"/>
  <c r="K2470" i="2"/>
  <c r="K2469" i="2"/>
  <c r="K2468" i="2"/>
  <c r="K2467" i="2"/>
  <c r="K2466" i="2"/>
  <c r="K2465" i="2"/>
  <c r="K2464" i="2"/>
  <c r="K2463" i="2"/>
  <c r="K2462" i="2"/>
  <c r="K2461" i="2"/>
  <c r="K2460" i="2"/>
  <c r="K2459" i="2"/>
  <c r="K2458" i="2"/>
  <c r="K2457" i="2"/>
  <c r="K2456" i="2"/>
  <c r="K2455" i="2"/>
  <c r="K2454" i="2"/>
  <c r="K2453" i="2"/>
  <c r="K2452" i="2"/>
  <c r="K2451" i="2"/>
  <c r="K2450" i="2"/>
  <c r="K2449" i="2"/>
  <c r="K2448" i="2"/>
  <c r="K2447" i="2"/>
  <c r="K2446" i="2"/>
  <c r="K2445" i="2"/>
  <c r="K2444" i="2"/>
  <c r="K2443" i="2"/>
  <c r="K2442" i="2"/>
  <c r="K2441" i="2"/>
  <c r="K2440" i="2"/>
  <c r="K2439" i="2"/>
  <c r="K2438" i="2"/>
  <c r="K2437" i="2"/>
  <c r="K2436" i="2"/>
  <c r="K2435" i="2"/>
  <c r="K2434" i="2"/>
  <c r="K2433" i="2"/>
  <c r="K2432" i="2"/>
  <c r="K2431" i="2"/>
  <c r="K2430" i="2"/>
  <c r="K2429" i="2"/>
  <c r="K2428" i="2"/>
  <c r="K2427" i="2"/>
  <c r="K2426" i="2"/>
  <c r="K2425" i="2"/>
  <c r="K2424" i="2"/>
  <c r="K2423" i="2"/>
  <c r="K2422" i="2"/>
  <c r="K2421" i="2"/>
  <c r="K2420" i="2"/>
  <c r="K2419" i="2"/>
  <c r="K2418" i="2"/>
  <c r="K2417" i="2"/>
  <c r="K2416" i="2"/>
  <c r="K2415" i="2"/>
  <c r="K2414" i="2"/>
  <c r="K2413" i="2"/>
  <c r="K2412" i="2"/>
  <c r="K2411" i="2"/>
  <c r="K2410" i="2"/>
  <c r="K2409" i="2"/>
  <c r="K2408" i="2"/>
  <c r="K2407" i="2"/>
  <c r="K2406" i="2"/>
  <c r="K2405" i="2"/>
  <c r="K2404" i="2"/>
  <c r="K2403" i="2"/>
  <c r="K2402" i="2"/>
  <c r="K2401" i="2"/>
  <c r="K2400" i="2"/>
  <c r="K2399" i="2"/>
  <c r="K2398" i="2"/>
  <c r="K2397" i="2"/>
  <c r="K2396" i="2"/>
  <c r="K2395" i="2"/>
  <c r="K2394" i="2"/>
  <c r="K2393" i="2"/>
  <c r="K2392" i="2"/>
  <c r="K2391" i="2"/>
  <c r="K2390" i="2"/>
  <c r="K2389" i="2"/>
  <c r="K2388" i="2"/>
  <c r="K2387" i="2"/>
  <c r="K2386" i="2"/>
  <c r="K2385" i="2"/>
  <c r="K2384" i="2"/>
  <c r="K2383" i="2"/>
  <c r="K2382" i="2"/>
  <c r="K2381" i="2"/>
  <c r="K2380" i="2"/>
  <c r="K2379" i="2"/>
  <c r="K2378" i="2"/>
  <c r="K2377" i="2"/>
  <c r="K2376" i="2"/>
  <c r="K2375" i="2"/>
  <c r="K2374" i="2"/>
  <c r="K2373" i="2"/>
  <c r="K2372" i="2"/>
  <c r="K2371" i="2"/>
  <c r="K2370" i="2"/>
  <c r="K2369" i="2"/>
  <c r="K2368" i="2"/>
  <c r="K2367" i="2"/>
  <c r="K2366" i="2"/>
  <c r="K2365" i="2"/>
  <c r="K2364" i="2"/>
  <c r="K2363" i="2"/>
  <c r="K2362" i="2"/>
  <c r="K2361" i="2"/>
  <c r="K2360" i="2"/>
  <c r="K2359" i="2"/>
  <c r="K2358" i="2"/>
  <c r="K2357" i="2"/>
  <c r="K2356" i="2"/>
  <c r="K2355" i="2"/>
  <c r="K2354" i="2"/>
  <c r="K2353" i="2"/>
  <c r="K2352" i="2"/>
  <c r="K2351" i="2"/>
  <c r="K2350" i="2"/>
  <c r="K2349" i="2"/>
  <c r="K2348" i="2"/>
  <c r="K2347" i="2"/>
  <c r="K2346" i="2"/>
  <c r="K2345" i="2"/>
  <c r="K2344" i="2"/>
  <c r="K2343" i="2"/>
  <c r="K2342" i="2"/>
  <c r="K2341" i="2"/>
  <c r="K2340" i="2"/>
  <c r="K2339" i="2"/>
  <c r="K2338" i="2"/>
  <c r="K2337" i="2"/>
  <c r="K2336" i="2"/>
  <c r="K2335" i="2"/>
  <c r="K2334" i="2"/>
  <c r="K2333" i="2"/>
  <c r="K2332" i="2"/>
  <c r="K2331" i="2"/>
  <c r="K2330" i="2"/>
  <c r="K2329" i="2"/>
  <c r="K2328" i="2"/>
  <c r="K2327" i="2"/>
  <c r="K2326" i="2"/>
  <c r="K2325" i="2"/>
  <c r="K2324" i="2"/>
  <c r="K2323" i="2"/>
  <c r="K2322" i="2"/>
  <c r="K2321" i="2"/>
  <c r="K2320" i="2"/>
  <c r="K2319" i="2"/>
  <c r="K2318" i="2"/>
  <c r="K2317" i="2"/>
  <c r="K2316" i="2"/>
  <c r="K2315" i="2"/>
  <c r="K2314" i="2"/>
  <c r="K2313" i="2"/>
  <c r="K2312" i="2"/>
  <c r="K2311" i="2"/>
  <c r="K2310" i="2"/>
  <c r="K2309" i="2"/>
  <c r="K2308" i="2"/>
  <c r="K2307" i="2"/>
  <c r="K2306" i="2"/>
  <c r="K2305" i="2"/>
  <c r="K2304" i="2"/>
  <c r="K2303" i="2"/>
  <c r="K2302" i="2"/>
  <c r="K2301" i="2"/>
  <c r="K2300" i="2"/>
  <c r="K2299" i="2"/>
  <c r="K2298" i="2"/>
  <c r="K2297" i="2"/>
  <c r="K2296" i="2"/>
  <c r="K2295" i="2"/>
  <c r="K2294" i="2"/>
  <c r="K2293" i="2"/>
  <c r="K2292" i="2"/>
  <c r="K2291" i="2"/>
  <c r="K2290" i="2"/>
  <c r="K2289" i="2"/>
  <c r="K2288" i="2"/>
  <c r="K2287" i="2"/>
  <c r="K2286" i="2"/>
  <c r="K2285" i="2"/>
  <c r="K2284" i="2"/>
  <c r="K2283" i="2"/>
  <c r="K2282" i="2"/>
  <c r="K2281" i="2"/>
  <c r="K2280" i="2"/>
  <c r="K2279" i="2"/>
  <c r="K2278" i="2"/>
  <c r="K2277" i="2"/>
  <c r="K2276" i="2"/>
  <c r="K2275" i="2"/>
  <c r="K2274" i="2"/>
  <c r="K2273" i="2"/>
  <c r="K2272" i="2"/>
  <c r="K2271" i="2"/>
  <c r="K2270" i="2"/>
  <c r="K2269" i="2"/>
  <c r="K2268" i="2"/>
  <c r="K2267" i="2"/>
  <c r="K2266" i="2"/>
  <c r="K2265" i="2"/>
  <c r="K2264" i="2"/>
  <c r="K2263" i="2"/>
  <c r="K2262" i="2"/>
  <c r="K2261" i="2"/>
  <c r="K2260" i="2"/>
  <c r="K2259" i="2"/>
  <c r="K2258" i="2"/>
  <c r="K2257" i="2"/>
  <c r="K2256" i="2"/>
  <c r="K2255" i="2"/>
  <c r="K2254" i="2"/>
  <c r="K2253" i="2"/>
  <c r="K2252" i="2"/>
  <c r="K2251" i="2"/>
  <c r="K2250" i="2"/>
  <c r="K2249" i="2"/>
  <c r="K2248" i="2"/>
  <c r="K2247" i="2"/>
  <c r="K2246" i="2"/>
  <c r="K2245" i="2"/>
  <c r="K2244" i="2"/>
  <c r="K2243" i="2"/>
  <c r="K2242" i="2"/>
  <c r="K2241" i="2"/>
  <c r="K2240" i="2"/>
  <c r="K2239" i="2"/>
  <c r="K2238" i="2"/>
  <c r="K2237" i="2"/>
  <c r="K2236" i="2"/>
  <c r="K2235" i="2"/>
  <c r="K2234" i="2"/>
  <c r="K2233" i="2"/>
  <c r="K2232" i="2"/>
  <c r="K2231" i="2"/>
  <c r="K2230" i="2"/>
  <c r="K2229" i="2"/>
  <c r="K2228" i="2"/>
  <c r="K2227" i="2"/>
  <c r="K2226" i="2"/>
  <c r="K2225" i="2"/>
  <c r="K2224" i="2"/>
  <c r="K2223" i="2"/>
  <c r="K2222" i="2"/>
  <c r="K2221" i="2"/>
  <c r="K2220" i="2"/>
  <c r="K2219" i="2"/>
  <c r="K2218" i="2"/>
  <c r="K2217" i="2"/>
  <c r="K2216" i="2"/>
  <c r="K2215" i="2"/>
  <c r="K2214" i="2"/>
  <c r="K2213" i="2"/>
  <c r="K2212" i="2"/>
  <c r="K2211" i="2"/>
  <c r="K2210" i="2"/>
  <c r="K2209" i="2"/>
  <c r="K2208" i="2"/>
  <c r="K2207" i="2"/>
  <c r="K2206" i="2"/>
  <c r="K2205" i="2"/>
  <c r="K2204" i="2"/>
  <c r="K2203" i="2"/>
  <c r="K2202" i="2"/>
  <c r="K2201" i="2"/>
  <c r="K2200" i="2"/>
  <c r="K2199" i="2"/>
  <c r="K2198" i="2"/>
  <c r="K2197" i="2"/>
  <c r="K2196" i="2"/>
  <c r="K2195" i="2"/>
  <c r="K2194" i="2"/>
  <c r="K2193" i="2"/>
  <c r="K2192" i="2"/>
  <c r="K2191" i="2"/>
  <c r="K2190" i="2"/>
  <c r="K2189" i="2"/>
  <c r="K2188" i="2"/>
  <c r="K2187" i="2"/>
  <c r="K2186" i="2"/>
  <c r="K2185" i="2"/>
  <c r="K2184" i="2"/>
  <c r="K2183" i="2"/>
  <c r="K2182" i="2"/>
  <c r="K2181" i="2"/>
  <c r="K2180" i="2"/>
  <c r="K2179" i="2"/>
  <c r="K2178" i="2"/>
  <c r="K2177" i="2"/>
  <c r="K2176" i="2"/>
  <c r="K2175" i="2"/>
  <c r="K2174" i="2"/>
  <c r="K2173" i="2"/>
  <c r="K2172" i="2"/>
  <c r="K2171" i="2"/>
  <c r="K2170" i="2"/>
  <c r="K2169" i="2"/>
  <c r="K2168" i="2"/>
  <c r="K2167" i="2"/>
  <c r="K2166" i="2"/>
  <c r="K2165" i="2"/>
  <c r="K2164" i="2"/>
  <c r="K2163" i="2"/>
  <c r="K2162" i="2"/>
  <c r="K2161" i="2"/>
  <c r="K2160" i="2"/>
  <c r="K2159" i="2"/>
  <c r="K2158" i="2"/>
  <c r="K2157" i="2"/>
  <c r="K2156" i="2"/>
  <c r="K2155" i="2"/>
  <c r="K2154" i="2"/>
  <c r="K2153" i="2"/>
  <c r="K2152" i="2"/>
  <c r="K2151" i="2"/>
  <c r="K2150" i="2"/>
  <c r="K2149" i="2"/>
  <c r="K2148" i="2"/>
  <c r="K2147" i="2"/>
  <c r="K2146" i="2"/>
  <c r="K2145" i="2"/>
  <c r="K2144" i="2"/>
  <c r="K2143" i="2"/>
  <c r="K2142" i="2"/>
  <c r="K2141" i="2"/>
  <c r="K2140" i="2"/>
  <c r="K2139" i="2"/>
  <c r="K2138" i="2"/>
  <c r="K2137" i="2"/>
  <c r="K2136" i="2"/>
  <c r="K2135" i="2"/>
  <c r="K2134" i="2"/>
  <c r="K2133" i="2"/>
  <c r="K2132" i="2"/>
  <c r="K2131" i="2"/>
  <c r="K2130" i="2"/>
  <c r="K2129" i="2"/>
  <c r="K2128" i="2"/>
  <c r="K2127" i="2"/>
  <c r="K2126" i="2"/>
  <c r="K2125" i="2"/>
  <c r="K2124" i="2"/>
  <c r="K2123" i="2"/>
  <c r="K2122" i="2"/>
  <c r="K2121" i="2"/>
  <c r="K2120" i="2"/>
  <c r="K2119" i="2"/>
  <c r="K2118" i="2"/>
  <c r="K2117" i="2"/>
  <c r="K2116" i="2"/>
  <c r="K2115" i="2"/>
  <c r="K2114" i="2"/>
  <c r="K2113" i="2"/>
  <c r="K2112" i="2"/>
  <c r="K2111" i="2"/>
  <c r="K2110" i="2"/>
  <c r="K2109" i="2"/>
  <c r="K2108" i="2"/>
  <c r="K2107" i="2"/>
  <c r="K2106" i="2"/>
  <c r="K2105" i="2"/>
  <c r="K2104" i="2"/>
  <c r="K2103" i="2"/>
  <c r="K2102" i="2"/>
  <c r="K2101" i="2"/>
  <c r="K2100"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2738" i="2"/>
  <c r="J21" i="1"/>
  <c r="J20" i="1"/>
  <c r="AQ57" i="4"/>
  <c r="AP57" i="4"/>
  <c r="AO57" i="4"/>
  <c r="AN57" i="4"/>
  <c r="AM57" i="4"/>
  <c r="AL57" i="4"/>
  <c r="AK57" i="4"/>
  <c r="AJ57" i="4"/>
  <c r="AI57" i="4"/>
  <c r="AH57" i="4"/>
  <c r="AG57" i="4"/>
  <c r="AF57" i="4"/>
  <c r="AE57" i="4"/>
  <c r="AD57" i="4"/>
  <c r="AC57" i="4"/>
  <c r="AB57" i="4"/>
  <c r="AA57" i="4"/>
  <c r="Z57" i="4"/>
  <c r="AQ56" i="4"/>
  <c r="AP56" i="4"/>
  <c r="AO56" i="4"/>
  <c r="AN56" i="4"/>
  <c r="AM56" i="4"/>
  <c r="AL56" i="4"/>
  <c r="AK56" i="4"/>
  <c r="AJ56" i="4"/>
  <c r="AI56" i="4"/>
  <c r="AH56" i="4"/>
  <c r="AG56" i="4"/>
  <c r="AF56" i="4"/>
  <c r="AE56" i="4"/>
  <c r="AD56" i="4"/>
  <c r="AC56" i="4"/>
  <c r="AB56" i="4"/>
  <c r="AA56" i="4"/>
  <c r="Z56" i="4"/>
  <c r="AQ55" i="4"/>
  <c r="AP55" i="4"/>
  <c r="AO55" i="4"/>
  <c r="AN55" i="4"/>
  <c r="AM55" i="4"/>
  <c r="AL55" i="4"/>
  <c r="AK55" i="4"/>
  <c r="AJ55" i="4"/>
  <c r="AI55" i="4"/>
  <c r="AH55" i="4"/>
  <c r="AG55" i="4"/>
  <c r="AF55" i="4"/>
  <c r="AE55" i="4"/>
  <c r="AD55" i="4"/>
  <c r="AC55" i="4"/>
  <c r="AB55" i="4"/>
  <c r="AA55" i="4"/>
  <c r="Z55" i="4"/>
  <c r="AQ54" i="4"/>
  <c r="AP54" i="4"/>
  <c r="AO54" i="4"/>
  <c r="AN54" i="4"/>
  <c r="AM54" i="4"/>
  <c r="AL54" i="4"/>
  <c r="AK54" i="4"/>
  <c r="AJ54" i="4"/>
  <c r="AI54" i="4"/>
  <c r="AH54" i="4"/>
  <c r="AG54" i="4"/>
  <c r="AF54" i="4"/>
  <c r="AE54" i="4"/>
  <c r="AD54" i="4"/>
  <c r="AC54" i="4"/>
  <c r="AB54" i="4"/>
  <c r="AA54" i="4"/>
  <c r="Z54" i="4"/>
  <c r="AQ45" i="4"/>
  <c r="AQ53" i="4" s="1"/>
  <c r="AP45" i="4"/>
  <c r="AP53" i="4" s="1"/>
  <c r="AO45" i="4"/>
  <c r="AO53" i="4" s="1"/>
  <c r="AN45" i="4"/>
  <c r="AN53" i="4" s="1"/>
  <c r="AM45" i="4"/>
  <c r="AM53" i="4" s="1"/>
  <c r="AL45" i="4"/>
  <c r="AL53" i="4" s="1"/>
  <c r="AK45" i="4"/>
  <c r="AK53" i="4" s="1"/>
  <c r="AJ45" i="4"/>
  <c r="AJ53" i="4" s="1"/>
  <c r="AI45" i="4"/>
  <c r="AI53" i="4" s="1"/>
  <c r="AH45" i="4"/>
  <c r="AH53" i="4" s="1"/>
  <c r="AG45" i="4"/>
  <c r="AG53" i="4" s="1"/>
  <c r="AF45" i="4"/>
  <c r="AF53" i="4" s="1"/>
  <c r="AE45" i="4"/>
  <c r="AE53" i="4" s="1"/>
  <c r="AD45" i="4"/>
  <c r="AD53" i="4" s="1"/>
  <c r="AC45" i="4"/>
  <c r="AC53" i="4" s="1"/>
  <c r="AB45" i="4"/>
  <c r="AB53" i="4" s="1"/>
  <c r="AA45" i="4"/>
  <c r="AA53" i="4" s="1"/>
  <c r="AQ44" i="4"/>
  <c r="AQ52" i="4" s="1"/>
  <c r="AP44" i="4"/>
  <c r="AP52" i="4" s="1"/>
  <c r="AO44" i="4"/>
  <c r="AO52" i="4" s="1"/>
  <c r="AN44" i="4"/>
  <c r="AN52" i="4" s="1"/>
  <c r="AM44" i="4"/>
  <c r="AM52" i="4" s="1"/>
  <c r="AL44" i="4"/>
  <c r="AL52" i="4" s="1"/>
  <c r="AK44" i="4"/>
  <c r="AK52" i="4" s="1"/>
  <c r="AJ44" i="4"/>
  <c r="AJ52" i="4" s="1"/>
  <c r="AI44" i="4"/>
  <c r="AI52" i="4" s="1"/>
  <c r="AH44" i="4"/>
  <c r="AH52" i="4" s="1"/>
  <c r="AG44" i="4"/>
  <c r="AG52" i="4" s="1"/>
  <c r="AF44" i="4"/>
  <c r="AF52" i="4" s="1"/>
  <c r="AE44" i="4"/>
  <c r="AE52" i="4" s="1"/>
  <c r="AD44" i="4"/>
  <c r="AD52" i="4" s="1"/>
  <c r="AC44" i="4"/>
  <c r="AC52" i="4" s="1"/>
  <c r="AB44" i="4"/>
  <c r="AB52" i="4" s="1"/>
  <c r="AA44" i="4"/>
  <c r="AA52" i="4" s="1"/>
  <c r="Z45" i="4"/>
  <c r="Z53" i="4" s="1"/>
  <c r="Z44" i="4"/>
  <c r="Z52" i="4" s="1"/>
  <c r="AQ49" i="4"/>
  <c r="AP49" i="4"/>
  <c r="AO49" i="4"/>
  <c r="AN49" i="4"/>
  <c r="AM49" i="4"/>
  <c r="AL49" i="4"/>
  <c r="AK49" i="4"/>
  <c r="AK65" i="4" s="1"/>
  <c r="AJ49" i="4"/>
  <c r="AJ65" i="4" s="1"/>
  <c r="AI49" i="4"/>
  <c r="AH49" i="4"/>
  <c r="AG49" i="4"/>
  <c r="AF49" i="4"/>
  <c r="AE49" i="4"/>
  <c r="AD49" i="4"/>
  <c r="AC49" i="4"/>
  <c r="AC65" i="4" s="1"/>
  <c r="AB49" i="4"/>
  <c r="AB65" i="4" s="1"/>
  <c r="AA49" i="4"/>
  <c r="Z49" i="4"/>
  <c r="AQ48" i="4"/>
  <c r="AP48" i="4"/>
  <c r="AO48" i="4"/>
  <c r="AN48" i="4"/>
  <c r="AM48" i="4"/>
  <c r="AL48" i="4"/>
  <c r="AL64" i="4" s="1"/>
  <c r="AK48" i="4"/>
  <c r="AJ48" i="4"/>
  <c r="AI48" i="4"/>
  <c r="AH48" i="4"/>
  <c r="AG48" i="4"/>
  <c r="AF48" i="4"/>
  <c r="AE48" i="4"/>
  <c r="AD48" i="4"/>
  <c r="AD64" i="4" s="1"/>
  <c r="AC48" i="4"/>
  <c r="AB48" i="4"/>
  <c r="AA48" i="4"/>
  <c r="Z48" i="4"/>
  <c r="AQ47" i="4"/>
  <c r="AP47" i="4"/>
  <c r="AO47" i="4"/>
  <c r="AN47" i="4"/>
  <c r="AN63" i="4" s="1"/>
  <c r="AM47" i="4"/>
  <c r="AL47" i="4"/>
  <c r="AK47" i="4"/>
  <c r="AJ47" i="4"/>
  <c r="AI47" i="4"/>
  <c r="AH47" i="4"/>
  <c r="AG47" i="4"/>
  <c r="AF47" i="4"/>
  <c r="AF63" i="4" s="1"/>
  <c r="AE47" i="4"/>
  <c r="AD47" i="4"/>
  <c r="AC47" i="4"/>
  <c r="AB47" i="4"/>
  <c r="AA47" i="4"/>
  <c r="Z47" i="4"/>
  <c r="AQ46" i="4"/>
  <c r="AP46" i="4"/>
  <c r="AO46" i="4"/>
  <c r="AN46" i="4"/>
  <c r="AM46" i="4"/>
  <c r="AL46" i="4"/>
  <c r="AK46" i="4"/>
  <c r="AJ46" i="4"/>
  <c r="AI46" i="4"/>
  <c r="AH46" i="4"/>
  <c r="AG46" i="4"/>
  <c r="AF46" i="4"/>
  <c r="AE46" i="4"/>
  <c r="AD46" i="4"/>
  <c r="AC46" i="4"/>
  <c r="AB46" i="4"/>
  <c r="AA46" i="4"/>
  <c r="Z46" i="4"/>
  <c r="T2678" i="2"/>
  <c r="T2025" i="2"/>
  <c r="T1870" i="2"/>
  <c r="T1827" i="2"/>
  <c r="T1720" i="2"/>
  <c r="T1486" i="2"/>
  <c r="T1290" i="2"/>
  <c r="T958" i="2"/>
  <c r="T925" i="2"/>
  <c r="T754" i="2"/>
  <c r="T701" i="2"/>
  <c r="T212" i="2"/>
  <c r="T178" i="2"/>
  <c r="T137" i="2"/>
  <c r="T2695" i="2"/>
  <c r="T2209" i="2"/>
  <c r="T1387" i="2"/>
  <c r="T1063" i="2"/>
  <c r="T924" i="2"/>
  <c r="T776" i="2"/>
  <c r="T753" i="2"/>
  <c r="T641" i="2"/>
  <c r="T321" i="2"/>
  <c r="T2606" i="2"/>
  <c r="T1719" i="2"/>
  <c r="T1629" i="2"/>
  <c r="T1615" i="2"/>
  <c r="T1248" i="2"/>
  <c r="T1237" i="2"/>
  <c r="T1089" i="2"/>
  <c r="T968" i="2"/>
  <c r="T651" i="2"/>
  <c r="T46" i="2"/>
  <c r="T2377" i="2"/>
  <c r="T2232" i="2"/>
  <c r="T1791" i="2"/>
  <c r="T1369" i="2"/>
  <c r="T1170" i="2"/>
  <c r="T705" i="2"/>
  <c r="T414" i="2"/>
  <c r="T1770" i="2"/>
  <c r="T1062" i="2"/>
  <c r="T957" i="2"/>
  <c r="T640" i="2"/>
  <c r="T564" i="2"/>
  <c r="T377" i="2"/>
  <c r="T2268" i="2"/>
  <c r="T2549" i="2"/>
  <c r="T2207" i="2"/>
  <c r="T2099" i="2"/>
  <c r="T1365" i="2"/>
  <c r="T1111" i="2"/>
  <c r="T1061" i="2"/>
  <c r="T424" i="2"/>
  <c r="T2578" i="2"/>
  <c r="T2345" i="2"/>
  <c r="T2212" i="2"/>
  <c r="T2133" i="2"/>
  <c r="T1682" i="2"/>
  <c r="T1605" i="2"/>
  <c r="T1296" i="2"/>
  <c r="T1289" i="2"/>
  <c r="T849" i="2"/>
  <c r="T402" i="2"/>
  <c r="T20" i="2"/>
  <c r="T2300" i="2"/>
  <c r="T1980" i="2"/>
  <c r="T1769" i="2"/>
  <c r="T1609" i="2"/>
  <c r="T1364" i="2"/>
  <c r="T848" i="2"/>
  <c r="T1826" i="2"/>
  <c r="T346" i="2"/>
  <c r="T279" i="2"/>
  <c r="T154" i="2"/>
  <c r="T1687" i="2"/>
  <c r="T1288" i="2"/>
  <c r="T1145" i="2"/>
  <c r="T956" i="2"/>
  <c r="T856" i="2"/>
  <c r="T814" i="2"/>
  <c r="T467" i="2"/>
  <c r="T345" i="2"/>
  <c r="T1896" i="2"/>
  <c r="T1363" i="2"/>
  <c r="T494" i="2"/>
  <c r="T2018" i="2"/>
  <c r="T700" i="2"/>
  <c r="T211" i="2"/>
  <c r="T2326" i="2"/>
  <c r="T1945" i="2"/>
  <c r="T1608" i="2"/>
  <c r="T1485" i="2"/>
  <c r="T1144" i="2"/>
  <c r="T1103" i="2"/>
  <c r="T1019" i="2"/>
  <c r="T955" i="2"/>
  <c r="T813" i="2"/>
  <c r="T473" i="2"/>
  <c r="T45" i="2"/>
  <c r="T2464" i="2"/>
  <c r="T1825" i="2"/>
  <c r="T1790" i="2"/>
  <c r="T1287" i="2"/>
  <c r="T1060" i="2"/>
  <c r="T563" i="2"/>
  <c r="T187" i="2"/>
  <c r="T19" i="2"/>
  <c r="T2376" i="2"/>
  <c r="T2190" i="2"/>
  <c r="T2055" i="2"/>
  <c r="T1658" i="2"/>
  <c r="T1362" i="2"/>
  <c r="T376" i="2"/>
  <c r="T278" i="2"/>
  <c r="T2745" i="2"/>
  <c r="T1838" i="2"/>
  <c r="T1718" i="2"/>
  <c r="T899" i="2"/>
  <c r="T798" i="2"/>
  <c r="T18" i="2"/>
  <c r="T2183" i="2"/>
  <c r="T2441" i="2"/>
  <c r="T2344" i="2"/>
  <c r="T1604" i="2"/>
  <c r="T1553" i="2"/>
  <c r="T1102" i="2"/>
  <c r="T898" i="2"/>
  <c r="T847" i="2"/>
  <c r="T2098" i="2"/>
  <c r="T511" i="2"/>
  <c r="T1869" i="2"/>
  <c r="T752" i="2"/>
  <c r="T1232" i="2"/>
  <c r="T1505" i="2"/>
  <c r="T1158" i="2"/>
  <c r="T717" i="2"/>
  <c r="T210" i="2"/>
  <c r="T2535" i="2"/>
  <c r="T2182" i="2"/>
  <c r="T2019" i="2"/>
  <c r="T1843" i="2"/>
  <c r="T1841" i="2"/>
  <c r="T1730" i="2"/>
  <c r="T1143" i="2"/>
  <c r="T982" i="2"/>
  <c r="T401" i="2"/>
  <c r="T344" i="2"/>
  <c r="T277" i="2"/>
  <c r="T2451" i="2"/>
  <c r="T1824" i="2"/>
  <c r="T1614" i="2"/>
  <c r="T1018" i="2"/>
  <c r="T2206" i="2"/>
  <c r="T675" i="2"/>
  <c r="T73" i="2"/>
  <c r="T2029" i="2"/>
  <c r="T1732" i="2"/>
  <c r="T1729" i="2"/>
  <c r="T2702" i="2"/>
  <c r="T1318" i="2"/>
  <c r="T1101" i="2"/>
  <c r="T954" i="2"/>
  <c r="T102" i="2"/>
  <c r="T2463" i="2"/>
  <c r="T2343" i="2"/>
  <c r="T583" i="2"/>
  <c r="T524" i="2"/>
  <c r="T128" i="2"/>
  <c r="T2708" i="2"/>
  <c r="T2392" i="2"/>
  <c r="T751" i="2"/>
  <c r="T2017" i="2"/>
  <c r="T1286" i="2"/>
  <c r="T2016" i="2"/>
  <c r="T1922" i="2"/>
  <c r="T2476" i="2"/>
  <c r="T1970" i="2"/>
  <c r="T1868" i="2"/>
  <c r="T985" i="2"/>
  <c r="T496" i="2"/>
  <c r="T177" i="2"/>
  <c r="T981" i="2"/>
  <c r="T778" i="2"/>
  <c r="T750" i="2"/>
  <c r="T749" i="2"/>
  <c r="T2426" i="2"/>
  <c r="T2104" i="2"/>
  <c r="T1603" i="2"/>
  <c r="T562" i="2"/>
  <c r="T2375" i="2"/>
  <c r="T1514" i="2"/>
  <c r="T1434" i="2"/>
  <c r="T1142" i="2"/>
  <c r="T561" i="2"/>
  <c r="T466" i="2"/>
  <c r="T39" i="2"/>
  <c r="T2355" i="2"/>
  <c r="T2231" i="2"/>
  <c r="T2054" i="2"/>
  <c r="T1086" i="2"/>
  <c r="T465" i="2"/>
  <c r="T320" i="2"/>
  <c r="T1602" i="2"/>
  <c r="T1224" i="2"/>
  <c r="T655" i="2"/>
  <c r="T292" i="2"/>
  <c r="T101" i="2"/>
  <c r="T2053" i="2"/>
  <c r="T1987" i="2"/>
  <c r="T1681" i="2"/>
  <c r="T1427" i="2"/>
  <c r="T1361" i="2"/>
  <c r="T423" i="2"/>
  <c r="T1213" i="2"/>
  <c r="T953" i="2"/>
  <c r="T335" i="2"/>
  <c r="T301" i="2"/>
  <c r="T1552" i="2"/>
  <c r="T1484" i="2"/>
  <c r="T748" i="2"/>
  <c r="T464" i="2"/>
  <c r="T2717" i="2"/>
  <c r="T2321" i="2"/>
  <c r="T2271" i="2"/>
  <c r="T1683" i="2"/>
  <c r="T952" i="2"/>
  <c r="T880" i="2"/>
  <c r="T209" i="2"/>
  <c r="T38" i="2"/>
  <c r="T2230" i="2"/>
  <c r="T1543" i="2"/>
  <c r="T1141" i="2"/>
  <c r="T1542" i="2"/>
  <c r="T897" i="2"/>
  <c r="T846" i="2"/>
  <c r="T1305" i="2"/>
  <c r="T64" i="2"/>
  <c r="T300" i="2"/>
  <c r="T291" i="2"/>
  <c r="T1304" i="2"/>
  <c r="T375" i="2"/>
  <c r="T63" i="2"/>
  <c r="T763" i="2"/>
  <c r="T2417" i="2"/>
  <c r="T2124" i="2"/>
  <c r="T1823" i="2"/>
  <c r="T1628" i="2"/>
  <c r="T797" i="2"/>
  <c r="T2489" i="2"/>
  <c r="T2205" i="2"/>
  <c r="T859" i="2"/>
  <c r="T845" i="2"/>
  <c r="T100" i="2"/>
  <c r="T1059" i="2"/>
  <c r="T560" i="2"/>
  <c r="T400" i="2"/>
  <c r="T2520" i="2"/>
  <c r="T2158" i="2"/>
  <c r="T681" i="2"/>
  <c r="T602" i="2"/>
  <c r="T2475" i="2"/>
  <c r="T2181" i="2"/>
  <c r="T1657" i="2"/>
  <c r="T1565" i="2"/>
  <c r="T1437" i="2"/>
  <c r="T2635" i="2"/>
  <c r="T2093" i="2"/>
  <c r="T1483" i="2"/>
  <c r="T1225" i="2"/>
  <c r="T1212" i="2"/>
  <c r="T896" i="2"/>
  <c r="T380" i="2"/>
  <c r="T2267" i="2"/>
  <c r="T1168" i="2"/>
  <c r="T796" i="2"/>
  <c r="T795" i="2"/>
  <c r="T374" i="2"/>
  <c r="T373" i="2"/>
  <c r="T1667" i="2"/>
  <c r="T1360" i="2"/>
  <c r="T699" i="2"/>
  <c r="T559" i="2"/>
  <c r="T208" i="2"/>
  <c r="T1781" i="2"/>
  <c r="T1737" i="2"/>
  <c r="T601" i="2"/>
  <c r="T523" i="2"/>
  <c r="T2666" i="2"/>
  <c r="T1541" i="2"/>
  <c r="T875" i="2"/>
  <c r="T855" i="2"/>
  <c r="T639" i="2"/>
  <c r="T493" i="2"/>
  <c r="T372" i="2"/>
  <c r="T319" i="2"/>
  <c r="T62" i="2"/>
  <c r="T44" i="2"/>
  <c r="T2663" i="2"/>
  <c r="T1969" i="2"/>
  <c r="T558" i="2"/>
  <c r="T2562" i="2"/>
  <c r="T2474" i="2"/>
  <c r="T1741" i="2"/>
  <c r="T2742" i="2"/>
  <c r="T2215" i="2"/>
  <c r="T1413" i="2"/>
  <c r="T895" i="2"/>
  <c r="T510" i="2"/>
  <c r="T1622" i="2"/>
  <c r="T557" i="2"/>
  <c r="T2594" i="2"/>
  <c r="T928" i="2"/>
  <c r="T2662" i="2"/>
  <c r="T1940" i="2"/>
  <c r="T1895" i="2"/>
  <c r="T1540" i="2"/>
  <c r="T2569" i="2"/>
  <c r="T2320" i="2"/>
  <c r="T2092" i="2"/>
  <c r="T1680" i="2"/>
  <c r="T1482" i="2"/>
  <c r="T1412" i="2"/>
  <c r="T1317" i="2"/>
  <c r="T747" i="2"/>
  <c r="T716" i="2"/>
  <c r="T463" i="2"/>
  <c r="T334" i="2"/>
  <c r="T1656" i="2"/>
  <c r="T1085" i="2"/>
  <c r="T923" i="2"/>
  <c r="T746" i="2"/>
  <c r="T276" i="2"/>
  <c r="T951" i="2"/>
  <c r="T638" i="2"/>
  <c r="T1004" i="2"/>
  <c r="T745" i="2"/>
  <c r="T318" i="2"/>
  <c r="T227" i="2"/>
  <c r="T2723" i="2"/>
  <c r="T1921" i="2"/>
  <c r="T1359" i="2"/>
  <c r="T922" i="2"/>
  <c r="T151" i="2"/>
  <c r="T2568" i="2"/>
  <c r="T1513" i="2"/>
  <c r="T950" i="2"/>
  <c r="T844" i="2"/>
  <c r="T744" i="2"/>
  <c r="T556" i="2"/>
  <c r="T2656" i="2"/>
  <c r="T2052" i="2"/>
  <c r="T637" i="2"/>
  <c r="T383" i="2"/>
  <c r="T2715" i="2"/>
  <c r="T2229" i="2"/>
  <c r="T2157" i="2"/>
  <c r="T1867" i="2"/>
  <c r="T343" i="2"/>
  <c r="T2534" i="2"/>
  <c r="T2354" i="2"/>
  <c r="T2015" i="2"/>
  <c r="T715" i="2"/>
  <c r="T555" i="2"/>
  <c r="T342" i="2"/>
  <c r="T127" i="2"/>
  <c r="T226" i="2"/>
  <c r="T136" i="2"/>
  <c r="T1768" i="2"/>
  <c r="T522" i="2"/>
  <c r="T2462" i="2"/>
  <c r="T1380" i="2"/>
  <c r="T1149" i="2"/>
  <c r="T1140" i="2"/>
  <c r="T1058" i="2"/>
  <c r="T207" i="2"/>
  <c r="T2233" i="2"/>
  <c r="T2014" i="2"/>
  <c r="T1891" i="2"/>
  <c r="T1655" i="2"/>
  <c r="T333" i="2"/>
  <c r="T17" i="2"/>
  <c r="T698" i="2"/>
  <c r="T492" i="2"/>
  <c r="T16" i="2"/>
  <c r="T1497" i="2"/>
  <c r="T921" i="2"/>
  <c r="T382" i="2"/>
  <c r="T150" i="2"/>
  <c r="T901" i="2"/>
  <c r="T610" i="2"/>
  <c r="T2396" i="2"/>
  <c r="T2180" i="2"/>
  <c r="T1358" i="2"/>
  <c r="T1139" i="2"/>
  <c r="T1057" i="2"/>
  <c r="T1006" i="2"/>
  <c r="T1003" i="2"/>
  <c r="T843" i="2"/>
  <c r="T842" i="2"/>
  <c r="T743" i="2"/>
  <c r="T650" i="2"/>
  <c r="T512" i="2"/>
  <c r="T462" i="2"/>
  <c r="T347" i="2"/>
  <c r="T325" i="2"/>
  <c r="T290" i="2"/>
  <c r="T225" i="2"/>
  <c r="T224" i="2"/>
  <c r="T214" i="2"/>
  <c r="T149" i="2"/>
  <c r="T416" i="2"/>
  <c r="T2179" i="2"/>
  <c r="T2342" i="2"/>
  <c r="T1551" i="2"/>
  <c r="T1539" i="2"/>
  <c r="T1247" i="2"/>
  <c r="T612" i="2"/>
  <c r="T371" i="2"/>
  <c r="T2659" i="2"/>
  <c r="T920" i="2"/>
  <c r="T275" i="2"/>
  <c r="T108" i="2"/>
  <c r="T15" i="2"/>
  <c r="T341" i="2"/>
  <c r="T2496" i="2"/>
  <c r="T1728" i="2"/>
  <c r="T1564" i="2"/>
  <c r="T1211" i="2"/>
  <c r="T566" i="2"/>
  <c r="T565" i="2"/>
  <c r="T714" i="2"/>
  <c r="T2419" i="2"/>
  <c r="T1621" i="2"/>
  <c r="T1357" i="2"/>
  <c r="T1356" i="2"/>
  <c r="T126" i="2"/>
  <c r="T1727" i="2"/>
  <c r="T1285" i="2"/>
  <c r="T817" i="2"/>
  <c r="T775" i="2"/>
  <c r="T14" i="2"/>
  <c r="T1284" i="2"/>
  <c r="T1837" i="2"/>
  <c r="T1686" i="2"/>
  <c r="T472" i="2"/>
  <c r="T415" i="2"/>
  <c r="T399" i="2"/>
  <c r="T385" i="2"/>
  <c r="T274" i="2"/>
  <c r="T2593" i="2"/>
  <c r="T1717" i="2"/>
  <c r="T1322" i="2"/>
  <c r="T1056" i="2"/>
  <c r="T697" i="2"/>
  <c r="T413" i="2"/>
  <c r="T461" i="2"/>
  <c r="T2353" i="2"/>
  <c r="T2341" i="2"/>
  <c r="T2064" i="2"/>
  <c r="T1889" i="2"/>
  <c r="T1789" i="2"/>
  <c r="T1425" i="2"/>
  <c r="T1601" i="2"/>
  <c r="T1355" i="2"/>
  <c r="T2091" i="2"/>
  <c r="T1968" i="2"/>
  <c r="T1716" i="2"/>
  <c r="T600" i="2"/>
  <c r="T273" i="2"/>
  <c r="T272" i="2"/>
  <c r="T271" i="2"/>
  <c r="T649" i="2"/>
  <c r="T1433" i="2"/>
  <c r="T919" i="2"/>
  <c r="T762" i="2"/>
  <c r="T2130" i="2"/>
  <c r="T1538" i="2"/>
  <c r="T1210" i="2"/>
  <c r="T1411" i="2"/>
  <c r="T1236" i="2"/>
  <c r="T1055" i="2"/>
  <c r="T927" i="2"/>
  <c r="T2436" i="2"/>
  <c r="T2416" i="2"/>
  <c r="T2250" i="2"/>
  <c r="T554" i="2"/>
  <c r="T270" i="2"/>
  <c r="T2488" i="2"/>
  <c r="T1942" i="2"/>
  <c r="T1866" i="2"/>
  <c r="T1376" i="2"/>
  <c r="T1209" i="2"/>
  <c r="T2090" i="2"/>
  <c r="T2089" i="2"/>
  <c r="T1715" i="2"/>
  <c r="T1235" i="2"/>
  <c r="T521" i="2"/>
  <c r="T460" i="2"/>
  <c r="T99" i="2"/>
  <c r="T61" i="2"/>
  <c r="T72" i="2"/>
  <c r="T1920" i="2"/>
  <c r="T1157" i="2"/>
  <c r="T1054" i="2"/>
  <c r="T918" i="2"/>
  <c r="T324" i="2"/>
  <c r="T269" i="2"/>
  <c r="T135" i="2"/>
  <c r="T27" i="2"/>
  <c r="T2228" i="2"/>
  <c r="T1979" i="2"/>
  <c r="T1208" i="2"/>
  <c r="T1002" i="2"/>
  <c r="T459" i="2"/>
  <c r="T370" i="2"/>
  <c r="T186" i="2"/>
  <c r="T2204" i="2"/>
  <c r="T2123" i="2"/>
  <c r="T131" i="2"/>
  <c r="T2561" i="2"/>
  <c r="T2391" i="2"/>
  <c r="T2266" i="2"/>
  <c r="T1967" i="2"/>
  <c r="T794" i="2"/>
  <c r="T761" i="2"/>
  <c r="T60" i="2"/>
  <c r="T1512" i="2"/>
  <c r="T719" i="2"/>
  <c r="T98" i="2"/>
  <c r="T1354" i="2"/>
  <c r="T917" i="2"/>
  <c r="T876" i="2"/>
  <c r="T2731" i="2"/>
  <c r="T2340" i="2"/>
  <c r="T2265" i="2"/>
  <c r="T1714" i="2"/>
  <c r="T1432" i="2"/>
  <c r="T1410" i="2"/>
  <c r="T509" i="2"/>
  <c r="T491" i="2"/>
  <c r="T317" i="2"/>
  <c r="T2658" i="2"/>
  <c r="T1654" i="2"/>
  <c r="T2187" i="2"/>
  <c r="T1207" i="2"/>
  <c r="T742" i="2"/>
  <c r="T398" i="2"/>
  <c r="T1919" i="2"/>
  <c r="T223" i="2"/>
  <c r="T2299" i="2"/>
  <c r="T2298" i="2"/>
  <c r="T2264" i="2"/>
  <c r="T2178" i="2"/>
  <c r="T648" i="2"/>
  <c r="T397" i="2"/>
  <c r="T2277" i="2"/>
  <c r="T176" i="2"/>
  <c r="T2617" i="2"/>
  <c r="T2440" i="2"/>
  <c r="T2325" i="2"/>
  <c r="T2177" i="2"/>
  <c r="T774" i="2"/>
  <c r="T130" i="2"/>
  <c r="T125" i="2"/>
  <c r="T97" i="2"/>
  <c r="T1001" i="2"/>
  <c r="T783" i="2"/>
  <c r="T1176" i="2"/>
  <c r="T1169" i="2"/>
  <c r="T841" i="2"/>
  <c r="T2378" i="2"/>
  <c r="T1206" i="2"/>
  <c r="T1084" i="2"/>
  <c r="T949" i="2"/>
  <c r="T636" i="2"/>
  <c r="T206" i="2"/>
  <c r="T175" i="2"/>
  <c r="T2533" i="2"/>
  <c r="T2674" i="2"/>
  <c r="T793" i="2"/>
  <c r="T2744" i="2"/>
  <c r="T2743" i="2"/>
  <c r="T2066" i="2"/>
  <c r="T1436" i="2"/>
  <c r="T1083" i="2"/>
  <c r="T268" i="2"/>
  <c r="T243" i="2"/>
  <c r="T124" i="2"/>
  <c r="T2390" i="2"/>
  <c r="T1966" i="2"/>
  <c r="T1416" i="2"/>
  <c r="T972" i="2"/>
  <c r="T242" i="2"/>
  <c r="T1767" i="2"/>
  <c r="T1415" i="2"/>
  <c r="T654" i="2"/>
  <c r="T106" i="2"/>
  <c r="T2532" i="2"/>
  <c r="T2374" i="2"/>
  <c r="T1017" i="2"/>
  <c r="T553" i="2"/>
  <c r="T369" i="2"/>
  <c r="T2629" i="2"/>
  <c r="T1685" i="2"/>
  <c r="T1511" i="2"/>
  <c r="T174" i="2"/>
  <c r="T1713" i="2"/>
  <c r="T1504" i="2"/>
  <c r="T1138" i="2"/>
  <c r="T1053" i="2"/>
  <c r="T1052" i="2"/>
  <c r="T458" i="2"/>
  <c r="T2389" i="2"/>
  <c r="T2339" i="2"/>
  <c r="T1510" i="2"/>
  <c r="T1353" i="2"/>
  <c r="T1082" i="2"/>
  <c r="T894" i="2"/>
  <c r="T893" i="2"/>
  <c r="T609" i="2"/>
  <c r="T368" i="2"/>
  <c r="T267" i="2"/>
  <c r="T396" i="2"/>
  <c r="T2062" i="2"/>
  <c r="T1559" i="2"/>
  <c r="T1283" i="2"/>
  <c r="T471" i="2"/>
  <c r="T379" i="2"/>
  <c r="T1620" i="2"/>
  <c r="T696" i="2"/>
  <c r="T13" i="2"/>
  <c r="T1600" i="2"/>
  <c r="T1231" i="2"/>
  <c r="T2531" i="2"/>
  <c r="T2122" i="2"/>
  <c r="T2088" i="2"/>
  <c r="T1712" i="2"/>
  <c r="T1711" i="2"/>
  <c r="T173" i="2"/>
  <c r="T2595" i="2"/>
  <c r="T2461" i="2"/>
  <c r="T1352" i="2"/>
  <c r="T707" i="2"/>
  <c r="T1666" i="2"/>
  <c r="T1495" i="2"/>
  <c r="T635" i="2"/>
  <c r="T395" i="2"/>
  <c r="T231" i="2"/>
  <c r="T1778" i="2"/>
  <c r="T984" i="2"/>
  <c r="T172" i="2"/>
  <c r="T520" i="2"/>
  <c r="T1653" i="2"/>
  <c r="T1409" i="2"/>
  <c r="T2603" i="2"/>
  <c r="T1740" i="2"/>
  <c r="T1379" i="2"/>
  <c r="T222" i="2"/>
  <c r="T2649" i="2"/>
  <c r="T2487" i="2"/>
  <c r="T2373" i="2"/>
  <c r="T2218" i="2"/>
  <c r="T2166" i="2"/>
  <c r="T2087" i="2"/>
  <c r="T1965" i="2"/>
  <c r="T1669" i="2"/>
  <c r="T1537" i="2"/>
  <c r="T1481" i="2"/>
  <c r="T1408" i="2"/>
  <c r="T967" i="2"/>
  <c r="T892" i="2"/>
  <c r="T457" i="2"/>
  <c r="T221" i="2"/>
  <c r="T129" i="2"/>
  <c r="T2020" i="2"/>
  <c r="T1407" i="2"/>
  <c r="T1383" i="2"/>
  <c r="T879" i="2"/>
  <c r="T840" i="2"/>
  <c r="T552" i="2"/>
  <c r="T456" i="2"/>
  <c r="T1536" i="2"/>
  <c r="T111" i="2"/>
  <c r="T59" i="2"/>
  <c r="T2454" i="2"/>
  <c r="T1710" i="2"/>
  <c r="T1494" i="2"/>
  <c r="T2156" i="2"/>
  <c r="T2132" i="2"/>
  <c r="T1836" i="2"/>
  <c r="T1351" i="2"/>
  <c r="T891" i="2"/>
  <c r="T674" i="2"/>
  <c r="T2628" i="2"/>
  <c r="T2415" i="2"/>
  <c r="T1558" i="2"/>
  <c r="T1251" i="2"/>
  <c r="T2471" i="2"/>
  <c r="T2121" i="2"/>
  <c r="T1865" i="2"/>
  <c r="T1599" i="2"/>
  <c r="T1350" i="2"/>
  <c r="T677" i="2"/>
  <c r="T12" i="2"/>
  <c r="T11" i="2"/>
  <c r="T1874" i="2"/>
  <c r="T1873" i="2"/>
  <c r="T1349" i="2"/>
  <c r="T1348" i="2"/>
  <c r="T1282" i="2"/>
  <c r="T2548" i="2"/>
  <c r="T2439" i="2"/>
  <c r="T916" i="2"/>
  <c r="T695" i="2"/>
  <c r="T1766" i="2"/>
  <c r="T948" i="2"/>
  <c r="T1918" i="2"/>
  <c r="T1822" i="2"/>
  <c r="T1765" i="2"/>
  <c r="T1375" i="2"/>
  <c r="T551" i="2"/>
  <c r="T367" i="2"/>
  <c r="T96" i="2"/>
  <c r="T10" i="2"/>
  <c r="T1964" i="2"/>
  <c r="T1939" i="2"/>
  <c r="T1709" i="2"/>
  <c r="T1480" i="2"/>
  <c r="T1009" i="2"/>
  <c r="T1917" i="2"/>
  <c r="T1788" i="2"/>
  <c r="T1652" i="2"/>
  <c r="T1281" i="2"/>
  <c r="T1177" i="2"/>
  <c r="T812" i="2"/>
  <c r="T2051" i="2"/>
  <c r="T1535" i="2"/>
  <c r="T1414" i="2"/>
  <c r="T1406" i="2"/>
  <c r="T878" i="2"/>
  <c r="T316" i="2"/>
  <c r="T1205" i="2"/>
  <c r="T741" i="2"/>
  <c r="T315" i="2"/>
  <c r="T966" i="2"/>
  <c r="T947" i="2"/>
  <c r="T740" i="2"/>
  <c r="T2263" i="2"/>
  <c r="T1493" i="2"/>
  <c r="T1016" i="2"/>
  <c r="T904" i="2"/>
  <c r="T634" i="2"/>
  <c r="T455" i="2"/>
  <c r="T323" i="2"/>
  <c r="T148" i="2"/>
  <c r="T2262" i="2"/>
  <c r="T839" i="2"/>
  <c r="T773" i="2"/>
  <c r="T422" i="2"/>
  <c r="T266" i="2"/>
  <c r="T2319" i="2"/>
  <c r="T490" i="2"/>
  <c r="T191" i="2"/>
  <c r="T2523" i="2"/>
  <c r="T1821" i="2"/>
  <c r="T1534" i="2"/>
  <c r="T1509" i="2"/>
  <c r="T1479" i="2"/>
  <c r="T739" i="2"/>
  <c r="T95" i="2"/>
  <c r="T58" i="2"/>
  <c r="T1820" i="2"/>
  <c r="T454" i="2"/>
  <c r="T366" i="2"/>
  <c r="T365" i="2"/>
  <c r="T71" i="2"/>
  <c r="T2681" i="2"/>
  <c r="T1916" i="2"/>
  <c r="T1347" i="2"/>
  <c r="T1915" i="2"/>
  <c r="T1840" i="2"/>
  <c r="T1167" i="2"/>
  <c r="T777" i="2"/>
  <c r="T1914" i="2"/>
  <c r="T1346" i="2"/>
  <c r="T1280" i="2"/>
  <c r="T348" i="2"/>
  <c r="T1819" i="2"/>
  <c r="T772" i="2"/>
  <c r="T1156" i="2"/>
  <c r="T299" i="2"/>
  <c r="T2013" i="2"/>
  <c r="T1963" i="2"/>
  <c r="T1651" i="2"/>
  <c r="T599" i="2"/>
  <c r="T421" i="2"/>
  <c r="T2589" i="2"/>
  <c r="T2560" i="2"/>
  <c r="T1405" i="2"/>
  <c r="T1051" i="2"/>
  <c r="T960" i="2"/>
  <c r="T550" i="2"/>
  <c r="T2616" i="2"/>
  <c r="T973" i="2"/>
  <c r="T598" i="2"/>
  <c r="T2630" i="2"/>
  <c r="T1872" i="2"/>
  <c r="T1650" i="2"/>
  <c r="T1279" i="2"/>
  <c r="T915" i="2"/>
  <c r="T874" i="2"/>
  <c r="T549" i="2"/>
  <c r="T412" i="2"/>
  <c r="T2657" i="2"/>
  <c r="T2486" i="2"/>
  <c r="T1319" i="2"/>
  <c r="T1148" i="2"/>
  <c r="T43" i="2"/>
  <c r="T2338" i="2"/>
  <c r="T2086" i="2"/>
  <c r="T42" i="2"/>
  <c r="T2713" i="2"/>
  <c r="T2670" i="2"/>
  <c r="T1444" i="2"/>
  <c r="T453" i="2"/>
  <c r="T314" i="2"/>
  <c r="T147" i="2"/>
  <c r="T2085" i="2"/>
  <c r="T603" i="2"/>
  <c r="T489" i="2"/>
  <c r="T2611" i="2"/>
  <c r="T1478" i="2"/>
  <c r="T2227" i="2"/>
  <c r="T2155" i="2"/>
  <c r="T2012" i="2"/>
  <c r="T1566" i="2"/>
  <c r="T452" i="2"/>
  <c r="T381" i="2"/>
  <c r="T123" i="2"/>
  <c r="T2720" i="2"/>
  <c r="T2414" i="2"/>
  <c r="T2352" i="2"/>
  <c r="T1443" i="2"/>
  <c r="T1368" i="2"/>
  <c r="T608" i="2"/>
  <c r="T548" i="2"/>
  <c r="T1894" i="2"/>
  <c r="T1477" i="2"/>
  <c r="T1249" i="2"/>
  <c r="T451" i="2"/>
  <c r="T364" i="2"/>
  <c r="T363" i="2"/>
  <c r="T1978" i="2"/>
  <c r="T838" i="2"/>
  <c r="T230" i="2"/>
  <c r="T171" i="2"/>
  <c r="T2011" i="2"/>
  <c r="T873" i="2"/>
  <c r="T153" i="2"/>
  <c r="T1913" i="2"/>
  <c r="T1852" i="2"/>
  <c r="T1649" i="2"/>
  <c r="T1619" i="2"/>
  <c r="T1550" i="2"/>
  <c r="T1367" i="2"/>
  <c r="T1070" i="2"/>
  <c r="T1050" i="2"/>
  <c r="T597" i="2"/>
  <c r="T2669" i="2"/>
  <c r="T2425" i="2"/>
  <c r="T2394" i="2"/>
  <c r="T1864" i="2"/>
  <c r="T1851" i="2"/>
  <c r="T1533" i="2"/>
  <c r="T1508" i="2"/>
  <c r="T1404" i="2"/>
  <c r="T1155" i="2"/>
  <c r="T1081" i="2"/>
  <c r="T811" i="2"/>
  <c r="T547" i="2"/>
  <c r="T470" i="2"/>
  <c r="T205" i="2"/>
  <c r="T134" i="2"/>
  <c r="T1863" i="2"/>
  <c r="T1598" i="2"/>
  <c r="T1549" i="2"/>
  <c r="T1115" i="2"/>
  <c r="T810" i="2"/>
  <c r="T633" i="2"/>
  <c r="T2261" i="2"/>
  <c r="T2050" i="2"/>
  <c r="T1204" i="2"/>
  <c r="T2727" i="2"/>
  <c r="T2413" i="2"/>
  <c r="T1476" i="2"/>
  <c r="T1424" i="2"/>
  <c r="T1475" i="2"/>
  <c r="T1175" i="2"/>
  <c r="T1154" i="2"/>
  <c r="T632" i="2"/>
  <c r="T394" i="2"/>
  <c r="T37" i="2"/>
  <c r="T9" i="2"/>
  <c r="T2470" i="2"/>
  <c r="T2495" i="2"/>
  <c r="T204" i="2"/>
  <c r="T146" i="2"/>
  <c r="T1557" i="2"/>
  <c r="T122" i="2"/>
  <c r="T546" i="2"/>
  <c r="T265" i="2"/>
  <c r="T2372" i="2"/>
  <c r="T1977" i="2"/>
  <c r="T1818" i="2"/>
  <c r="T1403" i="2"/>
  <c r="T771" i="2"/>
  <c r="T450" i="2"/>
  <c r="T1278" i="2"/>
  <c r="T110" i="2"/>
  <c r="T2694" i="2"/>
  <c r="T2682" i="2"/>
  <c r="T2677" i="2"/>
  <c r="T2673" i="2"/>
  <c r="T2337" i="2"/>
  <c r="T1888" i="2"/>
  <c r="T914" i="2"/>
  <c r="T313" i="2"/>
  <c r="T2399" i="2"/>
  <c r="T488" i="2"/>
  <c r="T2084" i="2"/>
  <c r="T1203" i="2"/>
  <c r="T2660" i="2"/>
  <c r="T2302" i="2"/>
  <c r="T1764" i="2"/>
  <c r="T1708" i="2"/>
  <c r="T1049" i="2"/>
  <c r="T837" i="2"/>
  <c r="T2737" i="2"/>
  <c r="T2252" i="2"/>
  <c r="T1218" i="2"/>
  <c r="T946" i="2"/>
  <c r="T782" i="2"/>
  <c r="T449" i="2"/>
  <c r="T203" i="2"/>
  <c r="T1174" i="2"/>
  <c r="T1067" i="2"/>
  <c r="T411" i="2"/>
  <c r="T185" i="2"/>
  <c r="T1763" i="2"/>
  <c r="T1277" i="2"/>
  <c r="T631" i="2"/>
  <c r="T770" i="2"/>
  <c r="T2699" i="2"/>
  <c r="T2297" i="2"/>
  <c r="T1503" i="2"/>
  <c r="T1234" i="2"/>
  <c r="T1048" i="2"/>
  <c r="T905" i="2"/>
  <c r="T738" i="2"/>
  <c r="T142" i="2"/>
  <c r="T2530" i="2"/>
  <c r="T2465" i="2"/>
  <c r="T2412" i="2"/>
  <c r="T1817" i="2"/>
  <c r="T1787" i="2"/>
  <c r="T1673" i="2"/>
  <c r="T1548" i="2"/>
  <c r="T1532" i="2"/>
  <c r="T613" i="2"/>
  <c r="T2450" i="2"/>
  <c r="T2249" i="2"/>
  <c r="T2083" i="2"/>
  <c r="T2030" i="2"/>
  <c r="T1816" i="2"/>
  <c r="T1597" i="2"/>
  <c r="T1596" i="2"/>
  <c r="T1230" i="2"/>
  <c r="T1323" i="2"/>
  <c r="T653" i="2"/>
  <c r="T57" i="2"/>
  <c r="T2248" i="2"/>
  <c r="T1442" i="2"/>
  <c r="T1137" i="2"/>
  <c r="T1015" i="2"/>
  <c r="T801" i="2"/>
  <c r="T2485" i="2"/>
  <c r="T1531" i="2"/>
  <c r="T1136" i="2"/>
  <c r="T971" i="2"/>
  <c r="T756" i="2"/>
  <c r="T737" i="2"/>
  <c r="T332" i="2"/>
  <c r="T2010" i="2"/>
  <c r="T1345" i="2"/>
  <c r="T836" i="2"/>
  <c r="T704" i="2"/>
  <c r="T545" i="2"/>
  <c r="T289" i="2"/>
  <c r="T2610" i="2"/>
  <c r="T1944" i="2"/>
  <c r="T1630" i="2"/>
  <c r="T1276" i="2"/>
  <c r="T448" i="2"/>
  <c r="T1815" i="2"/>
  <c r="T1344" i="2"/>
  <c r="T1100" i="2"/>
  <c r="T713" i="2"/>
  <c r="T694" i="2"/>
  <c r="T2648" i="2"/>
  <c r="T2049" i="2"/>
  <c r="T2028" i="2"/>
  <c r="T1814" i="2"/>
  <c r="T184" i="2"/>
  <c r="T1648" i="2"/>
  <c r="T1474" i="2"/>
  <c r="T170" i="2"/>
  <c r="T2577" i="2"/>
  <c r="T1912" i="2"/>
  <c r="T1556" i="2"/>
  <c r="T1502" i="2"/>
  <c r="T890" i="2"/>
  <c r="T630" i="2"/>
  <c r="T331" i="2"/>
  <c r="T56" i="2"/>
  <c r="T2634" i="2"/>
  <c r="T2602" i="2"/>
  <c r="T2336" i="2"/>
  <c r="T792" i="2"/>
  <c r="T508" i="2"/>
  <c r="T2048" i="2"/>
  <c r="T544" i="2"/>
  <c r="T513" i="2"/>
  <c r="T1911" i="2"/>
  <c r="T2592" i="2"/>
  <c r="T1295" i="2"/>
  <c r="T1294" i="2"/>
  <c r="T945" i="2"/>
  <c r="T2435" i="2"/>
  <c r="T2434" i="2"/>
  <c r="T2358" i="2"/>
  <c r="T1113" i="2"/>
  <c r="T1005" i="2"/>
  <c r="T926" i="2"/>
  <c r="T835" i="2"/>
  <c r="T70" i="2"/>
  <c r="T2576" i="2"/>
  <c r="T1962" i="2"/>
  <c r="T1047" i="2"/>
  <c r="T241" i="2"/>
  <c r="T1887" i="2"/>
  <c r="T1595" i="2"/>
  <c r="T1910" i="2"/>
  <c r="T2500" i="2"/>
  <c r="T2472" i="2"/>
  <c r="T1976" i="2"/>
  <c r="T1886" i="2"/>
  <c r="T1850" i="2"/>
  <c r="T1707" i="2"/>
  <c r="T1684" i="2"/>
  <c r="T1665" i="2"/>
  <c r="T1594" i="2"/>
  <c r="T1202" i="2"/>
  <c r="T1014" i="2"/>
  <c r="T693" i="2"/>
  <c r="T76" i="2"/>
  <c r="T8" i="2"/>
  <c r="T2247" i="2"/>
  <c r="T2106" i="2"/>
  <c r="T1777" i="2"/>
  <c r="T1473" i="2"/>
  <c r="T1246" i="2"/>
  <c r="T629" i="2"/>
  <c r="T447" i="2"/>
  <c r="T36" i="2"/>
  <c r="T1862" i="2"/>
  <c r="T1772" i="2"/>
  <c r="T1046" i="2"/>
  <c r="T581" i="2"/>
  <c r="T155" i="2"/>
  <c r="T2509" i="2"/>
  <c r="T2356" i="2"/>
  <c r="T2296" i="2"/>
  <c r="T1975" i="2"/>
  <c r="T1201" i="2"/>
  <c r="T1045" i="2"/>
  <c r="T2596" i="2"/>
  <c r="T1374" i="2"/>
  <c r="T1343" i="2"/>
  <c r="T781" i="2"/>
  <c r="T628" i="2"/>
  <c r="T264" i="2"/>
  <c r="T2186" i="2"/>
  <c r="T1472" i="2"/>
  <c r="T1088" i="2"/>
  <c r="T872" i="2"/>
  <c r="T78" i="2"/>
  <c r="T2484" i="2"/>
  <c r="T1200" i="2"/>
  <c r="T1199" i="2"/>
  <c r="T834" i="2"/>
  <c r="T692" i="2"/>
  <c r="T1135" i="2"/>
  <c r="T596" i="2"/>
  <c r="T121" i="2"/>
  <c r="T2469" i="2"/>
  <c r="T2420" i="2"/>
  <c r="T2009" i="2"/>
  <c r="T1618" i="2"/>
  <c r="T1021" i="2"/>
  <c r="T673" i="2"/>
  <c r="T507" i="2"/>
  <c r="T202" i="2"/>
  <c r="T2583" i="2"/>
  <c r="T2575" i="2"/>
  <c r="T2327" i="2"/>
  <c r="T2246" i="2"/>
  <c r="T1776" i="2"/>
  <c r="T446" i="2"/>
  <c r="T298" i="2"/>
  <c r="T1647" i="2"/>
  <c r="T1492" i="2"/>
  <c r="T263" i="2"/>
  <c r="T240" i="2"/>
  <c r="T1992" i="2"/>
  <c r="T1813" i="2"/>
  <c r="T1471" i="2"/>
  <c r="T1441" i="2"/>
  <c r="T1402" i="2"/>
  <c r="T1000" i="2"/>
  <c r="T239" i="2"/>
  <c r="T1909" i="2"/>
  <c r="T1908" i="2"/>
  <c r="T2722" i="2"/>
  <c r="T2388" i="2"/>
  <c r="T2154" i="2"/>
  <c r="T469" i="2"/>
  <c r="T2701" i="2"/>
  <c r="T2163" i="2"/>
  <c r="T506" i="2"/>
  <c r="T2411" i="2"/>
  <c r="T2322" i="2"/>
  <c r="T2295" i="2"/>
  <c r="T41" i="2"/>
  <c r="T2627" i="2"/>
  <c r="T2449" i="2"/>
  <c r="T2162" i="2"/>
  <c r="T2082" i="2"/>
  <c r="T1786" i="2"/>
  <c r="T1134" i="2"/>
  <c r="T2226" i="2"/>
  <c r="T262" i="2"/>
  <c r="T1961" i="2"/>
  <c r="T1198" i="2"/>
  <c r="T2433" i="2"/>
  <c r="T833" i="2"/>
  <c r="T261" i="2"/>
  <c r="T2736" i="2"/>
  <c r="T2647" i="2"/>
  <c r="T2400" i="2"/>
  <c r="T2189" i="2"/>
  <c r="T1762" i="2"/>
  <c r="T1342" i="2"/>
  <c r="T850" i="2"/>
  <c r="T766" i="2"/>
  <c r="T487" i="2"/>
  <c r="T445" i="2"/>
  <c r="T312" i="2"/>
  <c r="T2685" i="2"/>
  <c r="T2387" i="2"/>
  <c r="T2027" i="2"/>
  <c r="T1849" i="2"/>
  <c r="T959" i="2"/>
  <c r="T736" i="2"/>
  <c r="T120" i="2"/>
  <c r="T2552" i="2"/>
  <c r="T2494" i="2"/>
  <c r="T965" i="2"/>
  <c r="T627" i="2"/>
  <c r="T2730" i="2"/>
  <c r="T2225" i="2"/>
  <c r="T1110" i="2"/>
  <c r="T691" i="2"/>
  <c r="T505" i="2"/>
  <c r="T77" i="2"/>
  <c r="T410" i="2"/>
  <c r="T2680" i="2"/>
  <c r="T2453" i="2"/>
  <c r="T543" i="2"/>
  <c r="T2684" i="2"/>
  <c r="T1861" i="2"/>
  <c r="T1173" i="2"/>
  <c r="T542" i="2"/>
  <c r="T2452" i="2"/>
  <c r="T2386" i="2"/>
  <c r="T2008" i="2"/>
  <c r="T1530" i="2"/>
  <c r="T706" i="2"/>
  <c r="T444" i="2"/>
  <c r="T2361" i="2"/>
  <c r="T2024" i="2"/>
  <c r="T1974" i="2"/>
  <c r="T607" i="2"/>
  <c r="T288" i="2"/>
  <c r="T238" i="2"/>
  <c r="T237" i="2"/>
  <c r="T2448" i="2"/>
  <c r="T1341" i="2"/>
  <c r="T1316" i="2"/>
  <c r="T913" i="2"/>
  <c r="T800" i="2"/>
  <c r="T672" i="2"/>
  <c r="T2460" i="2"/>
  <c r="T2371" i="2"/>
  <c r="T2294" i="2"/>
  <c r="T2203" i="2"/>
  <c r="T2081" i="2"/>
  <c r="T584" i="2"/>
  <c r="T35" i="2"/>
  <c r="T1646" i="2"/>
  <c r="T858" i="2"/>
  <c r="T183" i="2"/>
  <c r="T2047" i="2"/>
  <c r="T1340" i="2"/>
  <c r="T2120" i="2"/>
  <c r="T443" i="2"/>
  <c r="T405" i="2"/>
  <c r="T2519" i="2"/>
  <c r="T2080" i="2"/>
  <c r="T1616" i="2"/>
  <c r="T1423" i="2"/>
  <c r="T1197" i="2"/>
  <c r="T999" i="2"/>
  <c r="T519" i="2"/>
  <c r="T442" i="2"/>
  <c r="T311" i="2"/>
  <c r="T2621" i="2"/>
  <c r="T541" i="2"/>
  <c r="T310" i="2"/>
  <c r="T486" i="2"/>
  <c r="T1066" i="2"/>
  <c r="T1431" i="2"/>
  <c r="T485" i="2"/>
  <c r="T2529" i="2"/>
  <c r="T2370" i="2"/>
  <c r="T1571" i="2"/>
  <c r="T703" i="2"/>
  <c r="T1785" i="2"/>
  <c r="T1706" i="2"/>
  <c r="T832" i="2"/>
  <c r="T809" i="2"/>
  <c r="T577" i="2"/>
  <c r="T236" i="2"/>
  <c r="T2721" i="2"/>
  <c r="T2724" i="2"/>
  <c r="T2129" i="2"/>
  <c r="T518" i="2"/>
  <c r="T2202" i="2"/>
  <c r="T1196" i="2"/>
  <c r="T1153" i="2"/>
  <c r="T2615" i="2"/>
  <c r="T1860" i="2"/>
  <c r="T1761" i="2"/>
  <c r="T1547" i="2"/>
  <c r="T1470" i="2"/>
  <c r="T260" i="2"/>
  <c r="T1321" i="2"/>
  <c r="T201" i="2"/>
  <c r="T643" i="2"/>
  <c r="T1926" i="2"/>
  <c r="T1839" i="2"/>
  <c r="T1315" i="2"/>
  <c r="T1223" i="2"/>
  <c r="T362" i="2"/>
  <c r="T831" i="2"/>
  <c r="T1938" i="2"/>
  <c r="T1593" i="2"/>
  <c r="T1373" i="2"/>
  <c r="T2201" i="2"/>
  <c r="T220" i="2"/>
  <c r="T1592" i="2"/>
  <c r="T517" i="2"/>
  <c r="T2424" i="2"/>
  <c r="T671" i="2"/>
  <c r="T2705" i="2"/>
  <c r="T2119" i="2"/>
  <c r="T1645" i="2"/>
  <c r="T2591" i="2"/>
  <c r="T1065" i="2"/>
  <c r="T998" i="2"/>
  <c r="T259" i="2"/>
  <c r="T235" i="2"/>
  <c r="T145" i="2"/>
  <c r="T1775" i="2"/>
  <c r="T1591" i="2"/>
  <c r="T2200" i="2"/>
  <c r="T540" i="2"/>
  <c r="T1760" i="2"/>
  <c r="T1644" i="2"/>
  <c r="T1133" i="2"/>
  <c r="T2501" i="2"/>
  <c r="T200" i="2"/>
  <c r="T1080" i="2"/>
  <c r="T1079" i="2"/>
  <c r="T830" i="2"/>
  <c r="T595" i="2"/>
  <c r="T2293" i="2"/>
  <c r="T1664" i="2"/>
  <c r="T642" i="2"/>
  <c r="T2185" i="2"/>
  <c r="T889" i="2"/>
  <c r="T829" i="2"/>
  <c r="T1020" i="2"/>
  <c r="T970" i="2"/>
  <c r="T94" i="2"/>
  <c r="T26" i="2"/>
  <c r="T1937" i="2"/>
  <c r="T1275" i="2"/>
  <c r="T1195" i="2"/>
  <c r="T871" i="2"/>
  <c r="T755" i="2"/>
  <c r="T1132" i="2"/>
  <c r="T2528" i="2"/>
  <c r="T1672" i="2"/>
  <c r="T702" i="2"/>
  <c r="T1044" i="2"/>
  <c r="T361" i="2"/>
  <c r="T152" i="2"/>
  <c r="T2046" i="2"/>
  <c r="T2199" i="2"/>
  <c r="T2007" i="2"/>
  <c r="T2006" i="2"/>
  <c r="T1960" i="2"/>
  <c r="T997" i="2"/>
  <c r="T360" i="2"/>
  <c r="T169" i="2"/>
  <c r="T93" i="2"/>
  <c r="T828" i="2"/>
  <c r="T168" i="2"/>
  <c r="T119" i="2"/>
  <c r="T2276" i="2"/>
  <c r="T1131" i="2"/>
  <c r="T944" i="2"/>
  <c r="T1215" i="2"/>
  <c r="T1214" i="2"/>
  <c r="T718" i="2"/>
  <c r="T657" i="2"/>
  <c r="T504" i="2"/>
  <c r="T1401" i="2"/>
  <c r="T1339" i="2"/>
  <c r="T118" i="2"/>
  <c r="T1400" i="2"/>
  <c r="T2542" i="2"/>
  <c r="T2490" i="2"/>
  <c r="T1109" i="2"/>
  <c r="T1570" i="2"/>
  <c r="T1172" i="2"/>
  <c r="T287" i="2"/>
  <c r="T2045" i="2"/>
  <c r="T791" i="2"/>
  <c r="T1759" i="2"/>
  <c r="T1779" i="2"/>
  <c r="T670" i="2"/>
  <c r="T943" i="2"/>
  <c r="T827" i="2"/>
  <c r="T258" i="2"/>
  <c r="T359" i="2"/>
  <c r="T25" i="2"/>
  <c r="T2245" i="2"/>
  <c r="T484" i="2"/>
  <c r="T483" i="2"/>
  <c r="T2292" i="2"/>
  <c r="T1643" i="2"/>
  <c r="T257" i="2"/>
  <c r="T309" i="2"/>
  <c r="T286" i="2"/>
  <c r="T826" i="2"/>
  <c r="T256" i="2"/>
  <c r="T870" i="2"/>
  <c r="T735" i="2"/>
  <c r="T2214" i="2"/>
  <c r="T2291" i="2"/>
  <c r="T1642" i="2"/>
  <c r="T358" i="2"/>
  <c r="T24" i="2"/>
  <c r="T2244" i="2"/>
  <c r="T482" i="2"/>
  <c r="T481" i="2"/>
  <c r="T2044" i="2"/>
  <c r="T2746" i="2"/>
  <c r="T2714" i="2"/>
  <c r="T2693" i="2"/>
  <c r="T2638" i="2"/>
  <c r="T2601" i="2"/>
  <c r="T2588" i="2"/>
  <c r="T2559" i="2"/>
  <c r="T2541" i="2"/>
  <c r="T2538" i="2"/>
  <c r="T2518" i="2"/>
  <c r="T2517" i="2"/>
  <c r="T2432" i="2"/>
  <c r="T2431" i="2"/>
  <c r="T2369" i="2"/>
  <c r="T2351" i="2"/>
  <c r="T2318" i="2"/>
  <c r="T2317" i="2"/>
  <c r="T2290" i="2"/>
  <c r="T2289" i="2"/>
  <c r="T2288" i="2"/>
  <c r="T2236" i="2"/>
  <c r="T2224" i="2"/>
  <c r="T2223" i="2"/>
  <c r="T2213" i="2"/>
  <c r="T2153" i="2"/>
  <c r="T2152" i="2"/>
  <c r="T2131" i="2"/>
  <c r="T2079" i="2"/>
  <c r="T2063" i="2"/>
  <c r="T2056" i="2"/>
  <c r="T2023" i="2"/>
  <c r="T1986" i="2"/>
  <c r="T1959" i="2"/>
  <c r="T1893" i="2"/>
  <c r="T1859" i="2"/>
  <c r="T1858" i="2"/>
  <c r="T1857" i="2"/>
  <c r="T1848" i="2"/>
  <c r="T1842" i="2"/>
  <c r="T1812" i="2"/>
  <c r="T1811" i="2"/>
  <c r="T1810" i="2"/>
  <c r="T1784" i="2"/>
  <c r="T1780" i="2"/>
  <c r="T1736" i="2"/>
  <c r="T1723" i="2"/>
  <c r="T1722" i="2"/>
  <c r="T1705" i="2"/>
  <c r="T1663" i="2"/>
  <c r="T1641" i="2"/>
  <c r="T1640" i="2"/>
  <c r="T1639" i="2"/>
  <c r="T1555" i="2"/>
  <c r="T1529" i="2"/>
  <c r="T1528" i="2"/>
  <c r="T1527" i="2"/>
  <c r="T1469" i="2"/>
  <c r="T1468" i="2"/>
  <c r="T1467" i="2"/>
  <c r="T1399" i="2"/>
  <c r="T1378" i="2"/>
  <c r="T1298" i="2"/>
  <c r="T1293" i="2"/>
  <c r="T1292" i="2"/>
  <c r="T1274" i="2"/>
  <c r="T1229" i="2"/>
  <c r="T1228" i="2"/>
  <c r="T1171" i="2"/>
  <c r="T1130" i="2"/>
  <c r="T1129" i="2"/>
  <c r="T1128" i="2"/>
  <c r="T1069" i="2"/>
  <c r="T964" i="2"/>
  <c r="T942" i="2"/>
  <c r="T941" i="2"/>
  <c r="T940" i="2"/>
  <c r="T903" i="2"/>
  <c r="T888" i="2"/>
  <c r="T1758" i="2"/>
  <c r="T2043" i="2"/>
  <c r="T2005" i="2"/>
  <c r="T2567" i="2"/>
  <c r="T1726" i="2"/>
  <c r="T1985" i="2"/>
  <c r="T2042" i="2"/>
  <c r="T2256" i="2"/>
  <c r="T2004" i="2"/>
  <c r="T2566" i="2"/>
  <c r="T1936" i="2"/>
  <c r="T66" i="2"/>
  <c r="T2003" i="2"/>
  <c r="T2255" i="2"/>
  <c r="T2646" i="2"/>
  <c r="T2614" i="2"/>
  <c r="T1194" i="2"/>
  <c r="T652" i="2"/>
  <c r="T1377" i="2"/>
  <c r="T308" i="2"/>
  <c r="T2118" i="2"/>
  <c r="T996" i="2"/>
  <c r="T1526" i="2"/>
  <c r="T1984" i="2"/>
  <c r="T606" i="2"/>
  <c r="T2105" i="2"/>
  <c r="T1809" i="2"/>
  <c r="T1943" i="2"/>
  <c r="T133" i="2"/>
  <c r="T1590" i="2"/>
  <c r="T1382" i="2"/>
  <c r="T1398" i="2"/>
  <c r="T1366" i="2"/>
  <c r="T2527" i="2"/>
  <c r="T1525" i="2"/>
  <c r="T1273" i="2"/>
  <c r="T1245" i="2"/>
  <c r="T808" i="2"/>
  <c r="T1507" i="2"/>
  <c r="T1314" i="2"/>
  <c r="T141" i="2"/>
  <c r="T1774" i="2"/>
  <c r="T1466" i="2"/>
  <c r="T539" i="2"/>
  <c r="T1501" i="2"/>
  <c r="T854" i="2"/>
  <c r="T2041" i="2"/>
  <c r="T404" i="2"/>
  <c r="T1638" i="2"/>
  <c r="T853" i="2"/>
  <c r="T2176" i="2"/>
  <c r="T2287" i="2"/>
  <c r="T2316" i="2"/>
  <c r="T2175" i="2"/>
  <c r="T2061" i="2"/>
  <c r="T2516" i="2"/>
  <c r="T1250" i="2"/>
  <c r="T2198" i="2"/>
  <c r="T2222" i="2"/>
  <c r="T1524" i="2"/>
  <c r="T1465" i="2"/>
  <c r="T2645" i="2"/>
  <c r="T1338" i="2"/>
  <c r="T1337" i="2"/>
  <c r="T1043" i="2"/>
  <c r="T939" i="2"/>
  <c r="T1607" i="2"/>
  <c r="T2447" i="2"/>
  <c r="T769" i="2"/>
  <c r="T2626" i="2"/>
  <c r="T2604" i="2"/>
  <c r="T2040" i="2"/>
  <c r="T307" i="2"/>
  <c r="T938" i="2"/>
  <c r="T255" i="2"/>
  <c r="T1303" i="2"/>
  <c r="T2368" i="2"/>
  <c r="T2128" i="2"/>
  <c r="T2639" i="2"/>
  <c r="T2275" i="2"/>
  <c r="T1430" i="2"/>
  <c r="T34" i="2"/>
  <c r="T1491" i="2"/>
  <c r="T2188" i="2"/>
  <c r="T1808" i="2"/>
  <c r="T1042" i="2"/>
  <c r="T2410" i="2"/>
  <c r="T1972" i="2"/>
  <c r="T1336" i="2"/>
  <c r="T2395" i="2"/>
  <c r="T1930" i="2"/>
  <c r="T1554" i="2"/>
  <c r="T1227" i="2"/>
  <c r="T580" i="2"/>
  <c r="T384" i="2"/>
  <c r="T594" i="2"/>
  <c r="T2732" i="2"/>
  <c r="T2446" i="2"/>
  <c r="T1166" i="2"/>
  <c r="T1704" i="2"/>
  <c r="T790" i="2"/>
  <c r="T117" i="2"/>
  <c r="T2065" i="2"/>
  <c r="T2151" i="2"/>
  <c r="T2150" i="2"/>
  <c r="T357" i="2"/>
  <c r="T1464" i="2"/>
  <c r="T1773" i="2"/>
  <c r="T1703" i="2"/>
  <c r="T593" i="2"/>
  <c r="T1847" i="2"/>
  <c r="T1313" i="2"/>
  <c r="T2149" i="2"/>
  <c r="T1463" i="2"/>
  <c r="T2315" i="2"/>
  <c r="T2002" i="2"/>
  <c r="T2704" i="2"/>
  <c r="T1078" i="2"/>
  <c r="T980" i="2"/>
  <c r="T1108" i="2"/>
  <c r="T690" i="2"/>
  <c r="T2587" i="2"/>
  <c r="T2243" i="2"/>
  <c r="T1935" i="2"/>
  <c r="T1272" i="2"/>
  <c r="T1099" i="2"/>
  <c r="T2537" i="2"/>
  <c r="T2506" i="2"/>
  <c r="T1958" i="2"/>
  <c r="T441" i="2"/>
  <c r="T2001" i="2"/>
  <c r="T2710" i="2"/>
  <c r="T2600" i="2"/>
  <c r="T1991" i="2"/>
  <c r="T1878" i="2"/>
  <c r="T979" i="2"/>
  <c r="T2515" i="2"/>
  <c r="T356" i="2"/>
  <c r="T2738" i="2"/>
  <c r="T2174" i="2"/>
  <c r="T1567" i="2"/>
  <c r="T887" i="2"/>
  <c r="T1831" i="2"/>
  <c r="T1807" i="2"/>
  <c r="T1806" i="2"/>
  <c r="T567" i="2"/>
  <c r="T1244" i="2"/>
  <c r="T2483" i="2"/>
  <c r="T1312" i="2"/>
  <c r="T2254" i="2"/>
  <c r="T2022" i="2"/>
  <c r="T765" i="2"/>
  <c r="T1087" i="2"/>
  <c r="T789" i="2"/>
  <c r="T2000" i="2"/>
  <c r="T2221" i="2"/>
  <c r="T1957" i="2"/>
  <c r="T2706" i="2"/>
  <c r="T2314" i="2"/>
  <c r="T2607" i="2"/>
  <c r="T2625" i="2"/>
  <c r="T1731" i="2"/>
  <c r="T2698" i="2"/>
  <c r="T825" i="2"/>
  <c r="T2459" i="2"/>
  <c r="T2148" i="2"/>
  <c r="T869" i="2"/>
  <c r="T2173" i="2"/>
  <c r="T2078" i="2"/>
  <c r="T2605" i="2"/>
  <c r="T2599" i="2"/>
  <c r="T2367" i="2"/>
  <c r="T626" i="2"/>
  <c r="T2547" i="2"/>
  <c r="T857" i="2"/>
  <c r="T2379" i="2"/>
  <c r="T440" i="2"/>
  <c r="T229" i="2"/>
  <c r="T592" i="2"/>
  <c r="T2385" i="2"/>
  <c r="T2384" i="2"/>
  <c r="T2505" i="2"/>
  <c r="T2586" i="2"/>
  <c r="T978" i="2"/>
  <c r="T1041" i="2"/>
  <c r="T2401" i="2"/>
  <c r="T1572" i="2"/>
  <c r="T1302" i="2"/>
  <c r="T1077" i="2"/>
  <c r="T213" i="2"/>
  <c r="T2526" i="2"/>
  <c r="T1311" i="2"/>
  <c r="T403" i="2"/>
  <c r="T1679" i="2"/>
  <c r="T1271" i="2"/>
  <c r="T1040" i="2"/>
  <c r="T712" i="2"/>
  <c r="T1546" i="2"/>
  <c r="T1462" i="2"/>
  <c r="T1545" i="2"/>
  <c r="T1310" i="2"/>
  <c r="T1193" i="2"/>
  <c r="T1829" i="2"/>
  <c r="T912" i="2"/>
  <c r="T33" i="2"/>
  <c r="T2692" i="2"/>
  <c r="T2676" i="2"/>
  <c r="T1805" i="2"/>
  <c r="T1335" i="2"/>
  <c r="T2234" i="2"/>
  <c r="T576" i="2"/>
  <c r="T2582" i="2"/>
  <c r="T995" i="2"/>
  <c r="T1561" i="2"/>
  <c r="T2077" i="2"/>
  <c r="T393" i="2"/>
  <c r="T1828" i="2"/>
  <c r="T2620" i="2"/>
  <c r="T2301" i="2"/>
  <c r="T2260" i="2"/>
  <c r="T1956" i="2"/>
  <c r="T1064" i="2"/>
  <c r="T1270" i="2"/>
  <c r="T1039" i="2"/>
  <c r="T591" i="2"/>
  <c r="T590" i="2"/>
  <c r="T2335" i="2"/>
  <c r="T2270" i="2"/>
  <c r="T1418" i="2"/>
  <c r="T788" i="2"/>
  <c r="T2522" i="2"/>
  <c r="T1757" i="2"/>
  <c r="T2598" i="2"/>
  <c r="T1613" i="2"/>
  <c r="T2211" i="2"/>
  <c r="T2482" i="2"/>
  <c r="T1702" i="2"/>
  <c r="T2286" i="2"/>
  <c r="T2274" i="2"/>
  <c r="T189" i="2"/>
  <c r="T92" i="2"/>
  <c r="T2039" i="2"/>
  <c r="T2210" i="2"/>
  <c r="T2147" i="2"/>
  <c r="T2581" i="2"/>
  <c r="T2146" i="2"/>
  <c r="T2076" i="2"/>
  <c r="T1334" i="2"/>
  <c r="T1269" i="2"/>
  <c r="T2624" i="2"/>
  <c r="T2075" i="2"/>
  <c r="T1999" i="2"/>
  <c r="T2612" i="2"/>
  <c r="T1589" i="2"/>
  <c r="T2164" i="2"/>
  <c r="T1397" i="2"/>
  <c r="T2242" i="2"/>
  <c r="T2554" i="2"/>
  <c r="T2619" i="2"/>
  <c r="T2481" i="2"/>
  <c r="T1461" i="2"/>
  <c r="T1192" i="2"/>
  <c r="T2644" i="2"/>
  <c r="T2493" i="2"/>
  <c r="T575" i="2"/>
  <c r="T1038" i="2"/>
  <c r="T1934" i="2"/>
  <c r="T2031" i="2"/>
  <c r="T1804" i="2"/>
  <c r="T625" i="2"/>
  <c r="T2609" i="2"/>
  <c r="T1955" i="2"/>
  <c r="T1243" i="2"/>
  <c r="T807" i="2"/>
  <c r="T409" i="2"/>
  <c r="T2161" i="2"/>
  <c r="T69" i="2"/>
  <c r="T787" i="2"/>
  <c r="T2273" i="2"/>
  <c r="T886" i="2"/>
  <c r="T2172" i="2"/>
  <c r="T2633" i="2"/>
  <c r="T2514" i="2"/>
  <c r="T2241" i="2"/>
  <c r="T2551" i="2"/>
  <c r="T2127" i="2"/>
  <c r="T689" i="2"/>
  <c r="T2117" i="2"/>
  <c r="T711" i="2"/>
  <c r="T2060" i="2"/>
  <c r="T963" i="2"/>
  <c r="T2565" i="2"/>
  <c r="T1429" i="2"/>
  <c r="T167" i="2"/>
  <c r="T2145" i="2"/>
  <c r="T2278" i="2"/>
  <c r="T2074" i="2"/>
  <c r="T1037" i="2"/>
  <c r="T911" i="2"/>
  <c r="T734" i="2"/>
  <c r="T182" i="2"/>
  <c r="T2580" i="2"/>
  <c r="T2160" i="2"/>
  <c r="T330" i="2"/>
  <c r="T1941" i="2"/>
  <c r="T538" i="2"/>
  <c r="T420" i="2"/>
  <c r="T2235" i="2"/>
  <c r="T1925" i="2"/>
  <c r="T1098" i="2"/>
  <c r="T1588" i="2"/>
  <c r="T2574" i="2"/>
  <c r="T2466" i="2"/>
  <c r="T503" i="2"/>
  <c r="T806" i="2"/>
  <c r="T2259" i="2"/>
  <c r="T1127" i="2"/>
  <c r="T1097" i="2"/>
  <c r="T2498" i="2"/>
  <c r="T2197" i="2"/>
  <c r="T2073" i="2"/>
  <c r="T2409" i="2"/>
  <c r="T2734" i="2"/>
  <c r="T2546" i="2"/>
  <c r="T2499" i="2"/>
  <c r="T2468" i="2"/>
  <c r="T525" i="2"/>
  <c r="T2686" i="2"/>
  <c r="T868" i="2"/>
  <c r="T669" i="2"/>
  <c r="T306" i="2"/>
  <c r="T1929" i="2"/>
  <c r="T2652" i="2"/>
  <c r="T2688" i="2"/>
  <c r="T1846" i="2"/>
  <c r="T2253" i="2"/>
  <c r="T1523" i="2"/>
  <c r="T392" i="2"/>
  <c r="T1268" i="2"/>
  <c r="T1076" i="2"/>
  <c r="T656" i="2"/>
  <c r="T2144" i="2"/>
  <c r="T1928" i="2"/>
  <c r="T2613" i="2"/>
  <c r="T2350" i="2"/>
  <c r="T2366" i="2"/>
  <c r="T199" i="2"/>
  <c r="T2492" i="2"/>
  <c r="T1267" i="2"/>
  <c r="T1832" i="2"/>
  <c r="T1756" i="2"/>
  <c r="T1606" i="2"/>
  <c r="T2508" i="2"/>
  <c r="T2285" i="2"/>
  <c r="T733" i="2"/>
  <c r="T732" i="2"/>
  <c r="T1662" i="2"/>
  <c r="T2558" i="2"/>
  <c r="T2622" i="2"/>
  <c r="T668" i="2"/>
  <c r="T1637" i="2"/>
  <c r="T2643" i="2"/>
  <c r="T1674" i="2"/>
  <c r="T2038" i="2"/>
  <c r="T2667" i="2"/>
  <c r="T2334" i="2"/>
  <c r="T1671" i="2"/>
  <c r="T2383" i="2"/>
  <c r="T1678" i="2"/>
  <c r="T1627" i="2"/>
  <c r="T2458" i="2"/>
  <c r="T2220" i="2"/>
  <c r="T2423" i="2"/>
  <c r="T1835" i="2"/>
  <c r="T1075" i="2"/>
  <c r="T2360" i="2"/>
  <c r="T2272" i="2"/>
  <c r="T2719" i="2"/>
  <c r="T2665" i="2"/>
  <c r="T2382" i="2"/>
  <c r="T1998" i="2"/>
  <c r="T2707" i="2"/>
  <c r="T2445" i="2"/>
  <c r="T885" i="2"/>
  <c r="T537" i="2"/>
  <c r="T1701" i="2"/>
  <c r="T1587" i="2"/>
  <c r="T1396" i="2"/>
  <c r="T2545" i="2"/>
  <c r="T2480" i="2"/>
  <c r="T1907" i="2"/>
  <c r="T1266" i="2"/>
  <c r="T1191" i="2"/>
  <c r="T166" i="2"/>
  <c r="T1440" i="2"/>
  <c r="T1265" i="2"/>
  <c r="T2196" i="2"/>
  <c r="T1165" i="2"/>
  <c r="T2479" i="2"/>
  <c r="T1297" i="2"/>
  <c r="T867" i="2"/>
  <c r="T1735" i="2"/>
  <c r="T2143" i="2"/>
  <c r="T2590" i="2"/>
  <c r="T2467" i="2"/>
  <c r="T1636" i="2"/>
  <c r="T1439" i="2"/>
  <c r="T1906" i="2"/>
  <c r="T1438" i="2"/>
  <c r="T816" i="2"/>
  <c r="T688" i="2"/>
  <c r="T2408" i="2"/>
  <c r="T254" i="2"/>
  <c r="T687" i="2"/>
  <c r="T2208" i="2"/>
  <c r="T2536" i="2"/>
  <c r="T1563" i="2"/>
  <c r="T2142" i="2"/>
  <c r="T760" i="2"/>
  <c r="T536" i="2"/>
  <c r="T1569" i="2"/>
  <c r="T2072" i="2"/>
  <c r="T391" i="2"/>
  <c r="T1997" i="2"/>
  <c r="T1755" i="2"/>
  <c r="T1395" i="2"/>
  <c r="T1190" i="2"/>
  <c r="T994" i="2"/>
  <c r="T2716" i="2"/>
  <c r="T1126" i="2"/>
  <c r="T1700" i="2"/>
  <c r="T2675" i="2"/>
  <c r="T2237" i="2"/>
  <c r="T2642" i="2"/>
  <c r="T2037" i="2"/>
  <c r="T2650" i="2"/>
  <c r="T1754" i="2"/>
  <c r="T535" i="2"/>
  <c r="T2672" i="2"/>
  <c r="T2521" i="2"/>
  <c r="T937" i="2"/>
  <c r="T2141" i="2"/>
  <c r="T1309" i="2"/>
  <c r="T1125" i="2"/>
  <c r="T1496" i="2"/>
  <c r="T1112" i="2"/>
  <c r="T2324" i="2"/>
  <c r="T936" i="2"/>
  <c r="T1771" i="2"/>
  <c r="T1753" i="2"/>
  <c r="T1189" i="2"/>
  <c r="T1179" i="2"/>
  <c r="T667" i="2"/>
  <c r="T165" i="2"/>
  <c r="T2687" i="2"/>
  <c r="T1422" i="2"/>
  <c r="T2618" i="2"/>
  <c r="T2349" i="2"/>
  <c r="T1752" i="2"/>
  <c r="T2422" i="2"/>
  <c r="T2116" i="2"/>
  <c r="T731" i="2"/>
  <c r="T589" i="2"/>
  <c r="T2333" i="2"/>
  <c r="T1739" i="2"/>
  <c r="T977" i="2"/>
  <c r="T2126" i="2"/>
  <c r="T1612" i="2"/>
  <c r="T2608" i="2"/>
  <c r="T1905" i="2"/>
  <c r="T1677" i="2"/>
  <c r="T2444" i="2"/>
  <c r="T2313" i="2"/>
  <c r="T2059" i="2"/>
  <c r="T1500" i="2"/>
  <c r="T2473" i="2"/>
  <c r="T1264" i="2"/>
  <c r="T2637" i="2"/>
  <c r="T1238" i="2"/>
  <c r="T2357" i="2"/>
  <c r="T2217" i="2"/>
  <c r="T1751" i="2"/>
  <c r="T112" i="2"/>
  <c r="T1333" i="2"/>
  <c r="T710" i="2"/>
  <c r="T2026" i="2"/>
  <c r="T2478" i="2"/>
  <c r="T1750" i="2"/>
  <c r="T1217" i="2"/>
  <c r="T666" i="2"/>
  <c r="T1803" i="2"/>
  <c r="T1586" i="2"/>
  <c r="T2021" i="2"/>
  <c r="T2284" i="2"/>
  <c r="T1626" i="2"/>
  <c r="T2165" i="2"/>
  <c r="T2140" i="2"/>
  <c r="T1506" i="2"/>
  <c r="T1460" i="2"/>
  <c r="T1522" i="2"/>
  <c r="T2171" i="2"/>
  <c r="T2097" i="2"/>
  <c r="T1611" i="2"/>
  <c r="T534" i="2"/>
  <c r="T2671" i="2"/>
  <c r="T2283" i="2"/>
  <c r="T993" i="2"/>
  <c r="T2739" i="2"/>
  <c r="T1560" i="2"/>
  <c r="T730" i="2"/>
  <c r="T1459" i="2"/>
  <c r="T1954" i="2"/>
  <c r="T1676" i="2"/>
  <c r="T1499" i="2"/>
  <c r="T665" i="2"/>
  <c r="T2632" i="2"/>
  <c r="T2407" i="2"/>
  <c r="T480" i="2"/>
  <c r="T1458" i="2"/>
  <c r="T729" i="2"/>
  <c r="T824" i="2"/>
  <c r="T285" i="2"/>
  <c r="T1659" i="2"/>
  <c r="T2359" i="2"/>
  <c r="T2057" i="2"/>
  <c r="T1990" i="2"/>
  <c r="T935" i="2"/>
  <c r="T962" i="2"/>
  <c r="T2365" i="2"/>
  <c r="T1164" i="2"/>
  <c r="T1107" i="2"/>
  <c r="T1074" i="2"/>
  <c r="T533" i="2"/>
  <c r="T2115" i="2"/>
  <c r="T2726" i="2"/>
  <c r="T2491" i="2"/>
  <c r="T2525" i="2"/>
  <c r="T1188" i="2"/>
  <c r="T866" i="2"/>
  <c r="T992" i="2"/>
  <c r="T284" i="2"/>
  <c r="T1742" i="2"/>
  <c r="T2504" i="2"/>
  <c r="T2240" i="2"/>
  <c r="T574" i="2"/>
  <c r="T91" i="2"/>
  <c r="T32" i="2"/>
  <c r="T1856" i="2"/>
  <c r="T329" i="2"/>
  <c r="T1457" i="2"/>
  <c r="T297" i="2"/>
  <c r="T2690" i="2"/>
  <c r="T1521" i="2"/>
  <c r="T579" i="2"/>
  <c r="T2544" i="2"/>
  <c r="T1544" i="2"/>
  <c r="T532" i="2"/>
  <c r="T2513" i="2"/>
  <c r="T759" i="2"/>
  <c r="T439" i="2"/>
  <c r="T902" i="2"/>
  <c r="T2282" i="2"/>
  <c r="T1456" i="2"/>
  <c r="T2540" i="2"/>
  <c r="T1924" i="2"/>
  <c r="T65" i="2"/>
  <c r="T2597" i="2"/>
  <c r="T1263" i="2"/>
  <c r="T573" i="2"/>
  <c r="T438" i="2"/>
  <c r="T2503" i="2"/>
  <c r="T2654" i="2"/>
  <c r="T355" i="2"/>
  <c r="T2664" i="2"/>
  <c r="T144" i="2"/>
  <c r="T2170" i="2"/>
  <c r="T976" i="2"/>
  <c r="T164" i="2"/>
  <c r="T805" i="2"/>
  <c r="T647" i="2"/>
  <c r="T646" i="2"/>
  <c r="T1996" i="2"/>
  <c r="T468" i="2"/>
  <c r="T1520" i="2"/>
  <c r="T2312" i="2"/>
  <c r="T2703" i="2"/>
  <c r="T1983" i="2"/>
  <c r="T572" i="2"/>
  <c r="T2332" i="2"/>
  <c r="T2269" i="2"/>
  <c r="T934" i="2"/>
  <c r="T1802" i="2"/>
  <c r="T23" i="2"/>
  <c r="T2169" i="2"/>
  <c r="T2139" i="2"/>
  <c r="T2195" i="2"/>
  <c r="T676" i="2"/>
  <c r="T728" i="2"/>
  <c r="T2331" i="2"/>
  <c r="T624" i="2"/>
  <c r="T2239" i="2"/>
  <c r="T2238" i="2"/>
  <c r="T2557" i="2"/>
  <c r="T865" i="2"/>
  <c r="T786" i="2"/>
  <c r="T2631" i="2"/>
  <c r="T2114" i="2"/>
  <c r="T1625" i="2"/>
  <c r="T1699" i="2"/>
  <c r="T1933" i="2"/>
  <c r="T1332" i="2"/>
  <c r="T1932" i="2"/>
  <c r="T1386" i="2"/>
  <c r="T2735" i="2"/>
  <c r="T2651" i="2"/>
  <c r="T877" i="2"/>
  <c r="T1904" i="2"/>
  <c r="T1903" i="2"/>
  <c r="T864" i="2"/>
  <c r="T1151" i="2"/>
  <c r="T1150" i="2"/>
  <c r="T163" i="2"/>
  <c r="T162" i="2"/>
  <c r="T852" i="2"/>
  <c r="T823" i="2"/>
  <c r="T822" i="2"/>
  <c r="T785" i="2"/>
  <c r="T780" i="2"/>
  <c r="T768" i="2"/>
  <c r="T664" i="2"/>
  <c r="T623" i="2"/>
  <c r="T1036" i="2"/>
  <c r="T622" i="2"/>
  <c r="T1035" i="2"/>
  <c r="T621" i="2"/>
  <c r="T588" i="2"/>
  <c r="T502" i="2"/>
  <c r="T340" i="2"/>
  <c r="T328" i="2"/>
  <c r="T305" i="2"/>
  <c r="T296" i="2"/>
  <c r="T283" i="2"/>
  <c r="T245" i="2"/>
  <c r="T1585" i="2"/>
  <c r="T1584" i="2"/>
  <c r="T140" i="2"/>
  <c r="T55" i="2"/>
  <c r="T40" i="2"/>
  <c r="T31" i="2"/>
  <c r="T30" i="2"/>
  <c r="T1885" i="2"/>
  <c r="T2311" i="2"/>
  <c r="T2712" i="2"/>
  <c r="T437" i="2"/>
  <c r="T1124" i="2"/>
  <c r="T253" i="2"/>
  <c r="T1163" i="2"/>
  <c r="T2697" i="2"/>
  <c r="T2363" i="2"/>
  <c r="T1884" i="2"/>
  <c r="T2113" i="2"/>
  <c r="T2281" i="2"/>
  <c r="T1883" i="2"/>
  <c r="T1749" i="2"/>
  <c r="T2310" i="2"/>
  <c r="T2711" i="2"/>
  <c r="T436" i="2"/>
  <c r="T1123" i="2"/>
  <c r="T339" i="2"/>
  <c r="T1162" i="2"/>
  <c r="T2696" i="2"/>
  <c r="T2362" i="2"/>
  <c r="T1882" i="2"/>
  <c r="T2112" i="2"/>
  <c r="T90" i="2"/>
  <c r="T54" i="2"/>
  <c r="T1971" i="2"/>
  <c r="T1306" i="2"/>
  <c r="T89" i="2"/>
  <c r="T68" i="2"/>
  <c r="T2507" i="2"/>
  <c r="T1222" i="2"/>
  <c r="T1610" i="2"/>
  <c r="T1902" i="2"/>
  <c r="T181" i="2"/>
  <c r="T2303" i="2"/>
  <c r="T2381" i="2"/>
  <c r="T2194" i="2"/>
  <c r="T1233" i="2"/>
  <c r="T2280" i="2"/>
  <c r="T1331" i="2"/>
  <c r="T620" i="2"/>
  <c r="T619" i="2"/>
  <c r="T2683" i="2"/>
  <c r="T234" i="2"/>
  <c r="T2398" i="2"/>
  <c r="T252" i="2"/>
  <c r="T53" i="2"/>
  <c r="T1428" i="2"/>
  <c r="T2497" i="2"/>
  <c r="T1946" i="2"/>
  <c r="T991" i="2"/>
  <c r="T767" i="2"/>
  <c r="T1953" i="2"/>
  <c r="T1034" i="2"/>
  <c r="T198" i="2"/>
  <c r="T804" i="2"/>
  <c r="T52" i="2"/>
  <c r="T2036" i="2"/>
  <c r="T1698" i="2"/>
  <c r="T138" i="2"/>
  <c r="T2103" i="2"/>
  <c r="T2364" i="2"/>
  <c r="T618" i="2"/>
  <c r="T390" i="2"/>
  <c r="T1262" i="2"/>
  <c r="T2661" i="2"/>
  <c r="T2193" i="2"/>
  <c r="T251" i="2"/>
  <c r="T2330" i="2"/>
  <c r="T1122" i="2"/>
  <c r="T2258" i="2"/>
  <c r="T1661" i="2"/>
  <c r="T1793" i="2"/>
  <c r="T1455" i="2"/>
  <c r="T727" i="2"/>
  <c r="T1721" i="2"/>
  <c r="T2035" i="2"/>
  <c r="T1330" i="2"/>
  <c r="T1242" i="2"/>
  <c r="T617" i="2"/>
  <c r="T51" i="2"/>
  <c r="T2512" i="2"/>
  <c r="T1901" i="2"/>
  <c r="T2309" i="2"/>
  <c r="T1187" i="2"/>
  <c r="T1013" i="2"/>
  <c r="T2406" i="2"/>
  <c r="T1876" i="2"/>
  <c r="T501" i="2"/>
  <c r="T88" i="2"/>
  <c r="T161" i="2"/>
  <c r="T884" i="2"/>
  <c r="T2511" i="2"/>
  <c r="T645" i="2"/>
  <c r="T1734" i="2"/>
  <c r="T616" i="2"/>
  <c r="T933" i="2"/>
  <c r="T419" i="2"/>
  <c r="T2096" i="2"/>
  <c r="T1519" i="2"/>
  <c r="T75" i="2"/>
  <c r="T663" i="2"/>
  <c r="T1952" i="2"/>
  <c r="T1988" i="2"/>
  <c r="T1583" i="2"/>
  <c r="T29" i="2"/>
  <c r="T87" i="2"/>
  <c r="T2585" i="2"/>
  <c r="T2348" i="2"/>
  <c r="T1121" i="2"/>
  <c r="T686" i="2"/>
  <c r="T571" i="2"/>
  <c r="T295" i="2"/>
  <c r="T219" i="2"/>
  <c r="T1419" i="2"/>
  <c r="T1748" i="2"/>
  <c r="T1301" i="2"/>
  <c r="T2308" i="2"/>
  <c r="T2192" i="2"/>
  <c r="T1675" i="2"/>
  <c r="T1660" i="2"/>
  <c r="T1490" i="2"/>
  <c r="T983" i="2"/>
  <c r="T2700" i="2"/>
  <c r="T2430" i="2"/>
  <c r="T851" i="2"/>
  <c r="T2071" i="2"/>
  <c r="T799" i="2"/>
  <c r="T389" i="2"/>
  <c r="T354" i="2"/>
  <c r="T582" i="2"/>
  <c r="T2641" i="2"/>
  <c r="T1801" i="2"/>
  <c r="T2257" i="2"/>
  <c r="T2070" i="2"/>
  <c r="T1845" i="2"/>
  <c r="T1308" i="2"/>
  <c r="T1261" i="2"/>
  <c r="T1783" i="2"/>
  <c r="T1582" i="2"/>
  <c r="T1120" i="2"/>
  <c r="T2191" i="2"/>
  <c r="T1844" i="2"/>
  <c r="T1489" i="2"/>
  <c r="T1161" i="2"/>
  <c r="T1096" i="2"/>
  <c r="T990" i="2"/>
  <c r="T2323" i="2"/>
  <c r="T1951" i="2"/>
  <c r="T1372" i="2"/>
  <c r="T2556" i="2"/>
  <c r="T1747" i="2"/>
  <c r="T1635" i="2"/>
  <c r="T1417" i="2"/>
  <c r="T116" i="2"/>
  <c r="T2111" i="2"/>
  <c r="T1725" i="2"/>
  <c r="T2307" i="2"/>
  <c r="T2219" i="2"/>
  <c r="T1900" i="2"/>
  <c r="T2138" i="2"/>
  <c r="T1697" i="2"/>
  <c r="T479" i="2"/>
  <c r="T2159" i="2"/>
  <c r="T1186" i="2"/>
  <c r="T1989" i="2"/>
  <c r="T215" i="2"/>
  <c r="T2329" i="2"/>
  <c r="T1421" i="2"/>
  <c r="T1033" i="2"/>
  <c r="T1581" i="2"/>
  <c r="T1454" i="2"/>
  <c r="T2555" i="2"/>
  <c r="T2725" i="2"/>
  <c r="T338" i="2"/>
  <c r="T2570" i="2"/>
  <c r="T1385" i="2"/>
  <c r="T435" i="2"/>
  <c r="T282" i="2"/>
  <c r="T1185" i="2"/>
  <c r="T1032" i="2"/>
  <c r="T250" i="2"/>
  <c r="T86" i="2"/>
  <c r="T85" i="2"/>
  <c r="T1875" i="2"/>
  <c r="T1634" i="2"/>
  <c r="T821" i="2"/>
  <c r="T803" i="2"/>
  <c r="T2543" i="2"/>
  <c r="T353" i="2"/>
  <c r="T2034" i="2"/>
  <c r="T1899" i="2"/>
  <c r="T388" i="2"/>
  <c r="T1184" i="2"/>
  <c r="T1394" i="2"/>
  <c r="T2740" i="2"/>
  <c r="T2429" i="2"/>
  <c r="T1800" i="2"/>
  <c r="T197" i="2"/>
  <c r="T2553" i="2"/>
  <c r="T418" i="2"/>
  <c r="T662" i="2"/>
  <c r="T1580" i="2"/>
  <c r="T784" i="2"/>
  <c r="T434" i="2"/>
  <c r="T2502" i="2"/>
  <c r="T1624" i="2"/>
  <c r="T1106" i="2"/>
  <c r="T433" i="2"/>
  <c r="T1329" i="2"/>
  <c r="T726" i="2"/>
  <c r="T910" i="2"/>
  <c r="T7" i="2"/>
  <c r="T1073" i="2"/>
  <c r="T6" i="2"/>
  <c r="T1147" i="2"/>
  <c r="T304" i="2"/>
  <c r="T2573" i="2"/>
  <c r="T2477" i="2"/>
  <c r="T2279" i="2"/>
  <c r="T160" i="2"/>
  <c r="T478" i="2"/>
  <c r="T2564" i="2"/>
  <c r="T2393" i="2"/>
  <c r="T196" i="2"/>
  <c r="T1393" i="2"/>
  <c r="T115" i="2"/>
  <c r="T2328" i="2"/>
  <c r="T1855" i="2"/>
  <c r="T1579" i="2"/>
  <c r="T1392" i="2"/>
  <c r="T531" i="2"/>
  <c r="T387" i="2"/>
  <c r="T1119" i="2"/>
  <c r="T218" i="2"/>
  <c r="T47" i="2"/>
  <c r="T1995" i="2"/>
  <c r="T1792" i="2"/>
  <c r="T2741" i="2"/>
  <c r="T975" i="2"/>
  <c r="T932" i="2"/>
  <c r="T2729" i="2"/>
  <c r="T1453" i="2"/>
  <c r="T1031" i="2"/>
  <c r="T1221" i="2"/>
  <c r="T1030" i="2"/>
  <c r="T1118" i="2"/>
  <c r="T84" i="2"/>
  <c r="T2069" i="2"/>
  <c r="T303" i="2"/>
  <c r="T1830" i="2"/>
  <c r="T249" i="2"/>
  <c r="T432" i="2"/>
  <c r="T1328" i="2"/>
  <c r="T1307" i="2"/>
  <c r="T2733" i="2"/>
  <c r="T114" i="2"/>
  <c r="T83" i="2"/>
  <c r="T961" i="2"/>
  <c r="T1950" i="2"/>
  <c r="T104" i="2"/>
  <c r="T1178" i="2"/>
  <c r="T352" i="2"/>
  <c r="T1898" i="2"/>
  <c r="T1799" i="2"/>
  <c r="T1518" i="2"/>
  <c r="T530" i="2"/>
  <c r="T294" i="2"/>
  <c r="T2718" i="2"/>
  <c r="T1220" i="2"/>
  <c r="T1146" i="2"/>
  <c r="T1578" i="2"/>
  <c r="T1072" i="2"/>
  <c r="T5" i="2"/>
  <c r="T1095" i="2"/>
  <c r="T2572" i="2"/>
  <c r="T1973" i="2"/>
  <c r="T2216" i="2"/>
  <c r="T725" i="2"/>
  <c r="T1219" i="2"/>
  <c r="T2437" i="2"/>
  <c r="T248" i="2"/>
  <c r="T1452" i="2"/>
  <c r="T408" i="2"/>
  <c r="T82" i="2"/>
  <c r="T2457" i="2"/>
  <c r="T103" i="2"/>
  <c r="T50" i="2"/>
  <c r="T2563" i="2"/>
  <c r="T2033" i="2"/>
  <c r="T1420" i="2"/>
  <c r="T1241" i="2"/>
  <c r="T28" i="2"/>
  <c r="T1577" i="2"/>
  <c r="T969" i="2"/>
  <c r="T336" i="2"/>
  <c r="T228" i="2"/>
  <c r="T109" i="2"/>
  <c r="T217" i="2"/>
  <c r="T2428" i="2"/>
  <c r="T1696" i="2"/>
  <c r="T2636" i="2"/>
  <c r="T2456" i="2"/>
  <c r="T1451" i="2"/>
  <c r="T1881" i="2"/>
  <c r="T1746" i="2"/>
  <c r="T2110" i="2"/>
  <c r="T1450" i="2"/>
  <c r="T516" i="2"/>
  <c r="T820" i="2"/>
  <c r="T815" i="2"/>
  <c r="T1897" i="2"/>
  <c r="T1695" i="2"/>
  <c r="T22" i="2"/>
  <c r="T2109" i="2"/>
  <c r="T2418" i="2"/>
  <c r="T819" i="2"/>
  <c r="T113" i="2"/>
  <c r="T724" i="2"/>
  <c r="T1426" i="2"/>
  <c r="T1105" i="2"/>
  <c r="T21" i="2"/>
  <c r="T1300" i="2"/>
  <c r="T1029" i="2"/>
  <c r="T764" i="2"/>
  <c r="T661" i="2"/>
  <c r="T2184" i="2"/>
  <c r="T2032" i="2"/>
  <c r="T1012" i="2"/>
  <c r="T931" i="2"/>
  <c r="T1449" i="2"/>
  <c r="T1008" i="2"/>
  <c r="T2102" i="2"/>
  <c r="T1694" i="2"/>
  <c r="T2550" i="2"/>
  <c r="T1798" i="2"/>
  <c r="T1448" i="2"/>
  <c r="T1068" i="2"/>
  <c r="T2058" i="2"/>
  <c r="T1371" i="2"/>
  <c r="T930" i="2"/>
  <c r="T863" i="2"/>
  <c r="T49" i="2"/>
  <c r="T1871" i="2"/>
  <c r="T1693" i="2"/>
  <c r="T1011" i="2"/>
  <c r="T1007" i="2"/>
  <c r="T2623" i="2"/>
  <c r="T974" i="2"/>
  <c r="T4" i="2"/>
  <c r="T1834" i="2"/>
  <c r="T2306" i="2"/>
  <c r="T720" i="2"/>
  <c r="T2584" i="2"/>
  <c r="T1738" i="2"/>
  <c r="T500" i="2"/>
  <c r="T1226" i="2"/>
  <c r="T2421" i="2"/>
  <c r="T1782" i="2"/>
  <c r="T1216" i="2"/>
  <c r="T139" i="2"/>
  <c r="T2427" i="2"/>
  <c r="T1028" i="2"/>
  <c r="T1692" i="2"/>
  <c r="T1517" i="2"/>
  <c r="T1391" i="2"/>
  <c r="T1923" i="2"/>
  <c r="T1260" i="2"/>
  <c r="T1435" i="2"/>
  <c r="T1447" i="2"/>
  <c r="T1240" i="2"/>
  <c r="T587" i="2"/>
  <c r="T723" i="2"/>
  <c r="T105" i="2"/>
  <c r="T143" i="2"/>
  <c r="T159" i="2"/>
  <c r="T2094" i="2"/>
  <c r="T1668" i="2"/>
  <c r="T2305" i="2"/>
  <c r="T3" i="2"/>
  <c r="T132" i="2"/>
  <c r="T1253" i="2"/>
  <c r="T1252" i="2"/>
  <c r="T1633" i="2"/>
  <c r="T1890" i="2"/>
  <c r="T1949" i="2"/>
  <c r="T1117" i="2"/>
  <c r="T499" i="2"/>
  <c r="T431" i="2"/>
  <c r="T680" i="2"/>
  <c r="T1010" i="2"/>
  <c r="T1094" i="2"/>
  <c r="T475" i="2"/>
  <c r="T900" i="2"/>
  <c r="T1183" i="2"/>
  <c r="T1152" i="2"/>
  <c r="T2655" i="2"/>
  <c r="T2397" i="2"/>
  <c r="T1093" i="2"/>
  <c r="T2" i="2"/>
  <c r="T989" i="2"/>
  <c r="T2137" i="2"/>
  <c r="T158" i="2"/>
  <c r="T586" i="2"/>
  <c r="T1182" i="2"/>
  <c r="T1384" i="2"/>
  <c r="T578" i="2"/>
  <c r="T909" i="2"/>
  <c r="T1381" i="2"/>
  <c r="T2095" i="2"/>
  <c r="T351" i="2"/>
  <c r="T67" i="2"/>
  <c r="T195" i="2"/>
  <c r="T247" i="2"/>
  <c r="T1927" i="2"/>
  <c r="T1516" i="2"/>
  <c r="T2125" i="2"/>
  <c r="T1320" i="2"/>
  <c r="T477" i="2"/>
  <c r="T1632" i="2"/>
  <c r="T107" i="2"/>
  <c r="T1691" i="2"/>
  <c r="T2101" i="2"/>
  <c r="T1239" i="2"/>
  <c r="T861" i="2"/>
  <c r="T722" i="2"/>
  <c r="T615" i="2"/>
  <c r="T529" i="2"/>
  <c r="T430" i="2"/>
  <c r="T417" i="2"/>
  <c r="T216" i="2"/>
  <c r="T190" i="2"/>
  <c r="T188" i="2"/>
  <c r="T1994" i="2"/>
  <c r="T2443" i="2"/>
  <c r="T327" i="2"/>
  <c r="T2579" i="2"/>
  <c r="T1390" i="2"/>
  <c r="T1071" i="2"/>
  <c r="T1259" i="2"/>
  <c r="T81" i="2"/>
  <c r="T644" i="2"/>
  <c r="T180" i="2"/>
  <c r="T1291" i="2"/>
  <c r="T1733" i="2"/>
  <c r="T883" i="2"/>
  <c r="T429" i="2"/>
  <c r="T2691" i="2"/>
  <c r="T2251" i="2"/>
  <c r="T988" i="2"/>
  <c r="T1027" i="2"/>
  <c r="T2442" i="2"/>
  <c r="T570" i="2"/>
  <c r="T1931" i="2"/>
  <c r="T1116" i="2"/>
  <c r="T1515" i="2"/>
  <c r="T987" i="2"/>
  <c r="T528" i="2"/>
  <c r="T2709" i="2"/>
  <c r="T281" i="2"/>
  <c r="T350" i="2"/>
  <c r="T1160" i="2"/>
  <c r="T80" i="2"/>
  <c r="T1576" i="2"/>
  <c r="T1389" i="2"/>
  <c r="T1026" i="2"/>
  <c r="T498" i="2"/>
  <c r="T527" i="2"/>
  <c r="T660" i="2"/>
  <c r="T1258" i="2"/>
  <c r="T157" i="2"/>
  <c r="T515" i="2"/>
  <c r="T1025" i="2"/>
  <c r="T659" i="2"/>
  <c r="T1617" i="2"/>
  <c r="T2668" i="2"/>
  <c r="T2405" i="2"/>
  <c r="T882" i="2"/>
  <c r="T1948" i="2"/>
  <c r="T326" i="2"/>
  <c r="T1575" i="2"/>
  <c r="T2404" i="2"/>
  <c r="T2068" i="2"/>
  <c r="T2108" i="2"/>
  <c r="T1877" i="2"/>
  <c r="T194" i="2"/>
  <c r="T1854" i="2"/>
  <c r="T1257" i="2"/>
  <c r="T156" i="2"/>
  <c r="T2653" i="2"/>
  <c r="T1092" i="2"/>
  <c r="T1256" i="2"/>
  <c r="T1833" i="2"/>
  <c r="T1853" i="2"/>
  <c r="T2571" i="2"/>
  <c r="T428" i="2"/>
  <c r="T679" i="2"/>
  <c r="T611" i="2"/>
  <c r="T1159" i="2"/>
  <c r="T2136" i="2"/>
  <c r="T2640" i="2"/>
  <c r="T2168" i="2"/>
  <c r="T685" i="2"/>
  <c r="T1690" i="2"/>
  <c r="T1024" i="2"/>
  <c r="T684" i="2"/>
  <c r="T2107" i="2"/>
  <c r="T233" i="2"/>
  <c r="T1104" i="2"/>
  <c r="T1023" i="2"/>
  <c r="T1724" i="2"/>
  <c r="T2347" i="2"/>
  <c r="T1631" i="2"/>
  <c r="T721" i="2"/>
  <c r="T2510" i="2"/>
  <c r="T1299" i="2"/>
  <c r="T658" i="2"/>
  <c r="T495" i="2"/>
  <c r="T1623" i="2"/>
  <c r="T427" i="2"/>
  <c r="T426" i="2"/>
  <c r="T862" i="2"/>
  <c r="T74" i="2"/>
  <c r="T232" i="2"/>
  <c r="T709" i="2"/>
  <c r="T2304" i="2"/>
  <c r="T1797" i="2"/>
  <c r="T1689" i="2"/>
  <c r="T1670" i="2"/>
  <c r="T1388" i="2"/>
  <c r="T1181" i="2"/>
  <c r="T779" i="2"/>
  <c r="T378" i="2"/>
  <c r="T881" i="2"/>
  <c r="T1796" i="2"/>
  <c r="T280" i="2"/>
  <c r="T1745" i="2"/>
  <c r="T614" i="2"/>
  <c r="T2689" i="2"/>
  <c r="T407" i="2"/>
  <c r="T1498" i="2"/>
  <c r="T605" i="2"/>
  <c r="T474" i="2"/>
  <c r="T1327" i="2"/>
  <c r="T302" i="2"/>
  <c r="T1795" i="2"/>
  <c r="T179" i="2"/>
  <c r="T2067" i="2"/>
  <c r="T1744" i="2"/>
  <c r="T497" i="2"/>
  <c r="T2679" i="2"/>
  <c r="T678" i="2"/>
  <c r="T2455" i="2"/>
  <c r="T1446" i="2"/>
  <c r="T2346" i="2"/>
  <c r="T908" i="2"/>
  <c r="T818" i="2"/>
  <c r="T585" i="2"/>
  <c r="T2167" i="2"/>
  <c r="T1488" i="2"/>
  <c r="T48" i="2"/>
  <c r="T1892" i="2"/>
  <c r="T1688" i="2"/>
  <c r="T349" i="2"/>
  <c r="T683" i="2"/>
  <c r="T386" i="2"/>
  <c r="T1326" i="2"/>
  <c r="T1445" i="2"/>
  <c r="T758" i="2"/>
  <c r="T1325" i="2"/>
  <c r="T2100" i="2"/>
  <c r="T569" i="2"/>
  <c r="T2728" i="2"/>
  <c r="T1794" i="2"/>
  <c r="T1370" i="2"/>
  <c r="T1324" i="2"/>
  <c r="T1091" i="2"/>
  <c r="T1947" i="2"/>
  <c r="T1090" i="2"/>
  <c r="T757" i="2"/>
  <c r="T337" i="2"/>
  <c r="T2524" i="2"/>
  <c r="T2539" i="2"/>
  <c r="T1574" i="2"/>
  <c r="T708" i="2"/>
  <c r="T1255" i="2"/>
  <c r="T682" i="2"/>
  <c r="T476" i="2"/>
  <c r="T1114" i="2"/>
  <c r="T1880" i="2"/>
  <c r="T1879" i="2"/>
  <c r="T425" i="2"/>
  <c r="T526" i="2"/>
  <c r="T514" i="2"/>
  <c r="T604" i="2"/>
  <c r="T2135" i="2"/>
  <c r="T1982" i="2"/>
  <c r="T860" i="2"/>
  <c r="T2438" i="2"/>
  <c r="T1562" i="2"/>
  <c r="T293" i="2"/>
  <c r="T1254" i="2"/>
  <c r="T2380" i="2"/>
  <c r="T1981" i="2"/>
  <c r="T193" i="2"/>
  <c r="T1573" i="2"/>
  <c r="T986" i="2"/>
  <c r="T907" i="2"/>
  <c r="T2403" i="2"/>
  <c r="T406" i="2"/>
  <c r="T2134" i="2"/>
  <c r="T929" i="2"/>
  <c r="T79" i="2"/>
  <c r="T1180" i="2"/>
  <c r="T1993" i="2"/>
  <c r="T1568" i="2"/>
  <c r="T244" i="2"/>
  <c r="T568" i="2"/>
  <c r="T906" i="2"/>
  <c r="T802" i="2"/>
  <c r="T2402" i="2"/>
  <c r="T246" i="2"/>
  <c r="T1487" i="2"/>
  <c r="T1022" i="2"/>
  <c r="T192" i="2"/>
  <c r="T1743" i="2"/>
  <c r="T322" i="2"/>
  <c r="C2678" i="2"/>
  <c r="B2678" i="2"/>
  <c r="C2025" i="2"/>
  <c r="B2025" i="2"/>
  <c r="C1870" i="2"/>
  <c r="B1870" i="2"/>
  <c r="C1827" i="2"/>
  <c r="B1827" i="2"/>
  <c r="C1720" i="2"/>
  <c r="B1720" i="2"/>
  <c r="C1486" i="2"/>
  <c r="B1486" i="2"/>
  <c r="C1290" i="2"/>
  <c r="B1290" i="2"/>
  <c r="C958" i="2"/>
  <c r="B958" i="2"/>
  <c r="C925" i="2"/>
  <c r="B925" i="2"/>
  <c r="C754" i="2"/>
  <c r="B754" i="2"/>
  <c r="C701" i="2"/>
  <c r="B701" i="2"/>
  <c r="C212" i="2"/>
  <c r="B212" i="2"/>
  <c r="C178" i="2"/>
  <c r="B178" i="2"/>
  <c r="C137" i="2"/>
  <c r="B137" i="2"/>
  <c r="C2695" i="2"/>
  <c r="B2695" i="2"/>
  <c r="C2209" i="2"/>
  <c r="B2209" i="2"/>
  <c r="C1387" i="2"/>
  <c r="B1387" i="2"/>
  <c r="C1063" i="2"/>
  <c r="B1063" i="2"/>
  <c r="C924" i="2"/>
  <c r="B924" i="2"/>
  <c r="C776" i="2"/>
  <c r="B776" i="2"/>
  <c r="C753" i="2"/>
  <c r="B753" i="2"/>
  <c r="C641" i="2"/>
  <c r="B641" i="2"/>
  <c r="C321" i="2"/>
  <c r="B321" i="2"/>
  <c r="C2606" i="2"/>
  <c r="B2606" i="2"/>
  <c r="C1719" i="2"/>
  <c r="B1719" i="2"/>
  <c r="C1629" i="2"/>
  <c r="B1629" i="2"/>
  <c r="C1615" i="2"/>
  <c r="B1615" i="2"/>
  <c r="C1248" i="2"/>
  <c r="B1248" i="2"/>
  <c r="C1237" i="2"/>
  <c r="B1237" i="2"/>
  <c r="C1089" i="2"/>
  <c r="B1089" i="2"/>
  <c r="C968" i="2"/>
  <c r="B968" i="2"/>
  <c r="C651" i="2"/>
  <c r="B651" i="2"/>
  <c r="C46" i="2"/>
  <c r="B46" i="2"/>
  <c r="C2377" i="2"/>
  <c r="B2377" i="2"/>
  <c r="C2232" i="2"/>
  <c r="B2232" i="2"/>
  <c r="C1791" i="2"/>
  <c r="B1791" i="2"/>
  <c r="C1369" i="2"/>
  <c r="B1369" i="2"/>
  <c r="C1170" i="2"/>
  <c r="B1170" i="2"/>
  <c r="C705" i="2"/>
  <c r="B705" i="2"/>
  <c r="C414" i="2"/>
  <c r="B414" i="2"/>
  <c r="C1770" i="2"/>
  <c r="B1770" i="2"/>
  <c r="C1062" i="2"/>
  <c r="B1062" i="2"/>
  <c r="C957" i="2"/>
  <c r="B957" i="2"/>
  <c r="C640" i="2"/>
  <c r="B640" i="2"/>
  <c r="C564" i="2"/>
  <c r="B564" i="2"/>
  <c r="C377" i="2"/>
  <c r="B377" i="2"/>
  <c r="C2268" i="2"/>
  <c r="B2268" i="2"/>
  <c r="C2549" i="2"/>
  <c r="B2549" i="2"/>
  <c r="C2207" i="2"/>
  <c r="B2207" i="2"/>
  <c r="C2099" i="2"/>
  <c r="B2099" i="2"/>
  <c r="C1365" i="2"/>
  <c r="B1365" i="2"/>
  <c r="C1111" i="2"/>
  <c r="B1111" i="2"/>
  <c r="C1061" i="2"/>
  <c r="B1061" i="2"/>
  <c r="C424" i="2"/>
  <c r="B424" i="2"/>
  <c r="C2578" i="2"/>
  <c r="B2578" i="2"/>
  <c r="C2345" i="2"/>
  <c r="B2345" i="2"/>
  <c r="C2212" i="2"/>
  <c r="B2212" i="2"/>
  <c r="C2133" i="2"/>
  <c r="B2133" i="2"/>
  <c r="C1682" i="2"/>
  <c r="B1682" i="2"/>
  <c r="C1605" i="2"/>
  <c r="B1605" i="2"/>
  <c r="C1296" i="2"/>
  <c r="B1296" i="2"/>
  <c r="C1289" i="2"/>
  <c r="B1289" i="2"/>
  <c r="C849" i="2"/>
  <c r="B849" i="2"/>
  <c r="C402" i="2"/>
  <c r="B402" i="2"/>
  <c r="C20" i="2"/>
  <c r="B20" i="2"/>
  <c r="C2300" i="2"/>
  <c r="B2300" i="2"/>
  <c r="C1980" i="2"/>
  <c r="B1980" i="2"/>
  <c r="C1769" i="2"/>
  <c r="B1769" i="2"/>
  <c r="C1609" i="2"/>
  <c r="B1609" i="2"/>
  <c r="C1364" i="2"/>
  <c r="B1364" i="2"/>
  <c r="C848" i="2"/>
  <c r="B848" i="2"/>
  <c r="C1826" i="2"/>
  <c r="B1826" i="2"/>
  <c r="C346" i="2"/>
  <c r="B346" i="2"/>
  <c r="C279" i="2"/>
  <c r="B279" i="2"/>
  <c r="C154" i="2"/>
  <c r="B154" i="2"/>
  <c r="C1687" i="2"/>
  <c r="B1687" i="2"/>
  <c r="C1288" i="2"/>
  <c r="B1288" i="2"/>
  <c r="C1145" i="2"/>
  <c r="B1145" i="2"/>
  <c r="C956" i="2"/>
  <c r="B956" i="2"/>
  <c r="C856" i="2"/>
  <c r="B856" i="2"/>
  <c r="C814" i="2"/>
  <c r="B814" i="2"/>
  <c r="C467" i="2"/>
  <c r="B467" i="2"/>
  <c r="C345" i="2"/>
  <c r="B345" i="2"/>
  <c r="C1896" i="2"/>
  <c r="B1896" i="2"/>
  <c r="C1363" i="2"/>
  <c r="B1363" i="2"/>
  <c r="C494" i="2"/>
  <c r="B494" i="2"/>
  <c r="C2018" i="2"/>
  <c r="B2018" i="2"/>
  <c r="C700" i="2"/>
  <c r="B700" i="2"/>
  <c r="C211" i="2"/>
  <c r="B211" i="2"/>
  <c r="C2326" i="2"/>
  <c r="B2326" i="2"/>
  <c r="C1945" i="2"/>
  <c r="B1945" i="2"/>
  <c r="C1608" i="2"/>
  <c r="B1608" i="2"/>
  <c r="C1485" i="2"/>
  <c r="B1485" i="2"/>
  <c r="C1144" i="2"/>
  <c r="B1144" i="2"/>
  <c r="C1103" i="2"/>
  <c r="B1103" i="2"/>
  <c r="C1019" i="2"/>
  <c r="B1019" i="2"/>
  <c r="C955" i="2"/>
  <c r="B955" i="2"/>
  <c r="C813" i="2"/>
  <c r="B813" i="2"/>
  <c r="C473" i="2"/>
  <c r="B473" i="2"/>
  <c r="C45" i="2"/>
  <c r="B45" i="2"/>
  <c r="C2464" i="2"/>
  <c r="B2464" i="2"/>
  <c r="C1825" i="2"/>
  <c r="B1825" i="2"/>
  <c r="C1790" i="2"/>
  <c r="B1790" i="2"/>
  <c r="C1287" i="2"/>
  <c r="B1287" i="2"/>
  <c r="C1060" i="2"/>
  <c r="B1060" i="2"/>
  <c r="C563" i="2"/>
  <c r="B563" i="2"/>
  <c r="C187" i="2"/>
  <c r="B187" i="2"/>
  <c r="C19" i="2"/>
  <c r="B19" i="2"/>
  <c r="C2376" i="2"/>
  <c r="B2376" i="2"/>
  <c r="C2190" i="2"/>
  <c r="B2190" i="2"/>
  <c r="C2055" i="2"/>
  <c r="B2055" i="2"/>
  <c r="C1658" i="2"/>
  <c r="B1658" i="2"/>
  <c r="C1362" i="2"/>
  <c r="B1362" i="2"/>
  <c r="C376" i="2"/>
  <c r="B376" i="2"/>
  <c r="C278" i="2"/>
  <c r="B278" i="2"/>
  <c r="C2745" i="2"/>
  <c r="B2745" i="2"/>
  <c r="C1838" i="2"/>
  <c r="B1838" i="2"/>
  <c r="C1718" i="2"/>
  <c r="B1718" i="2"/>
  <c r="C899" i="2"/>
  <c r="B899" i="2"/>
  <c r="C798" i="2"/>
  <c r="B798" i="2"/>
  <c r="C18" i="2"/>
  <c r="B18" i="2"/>
  <c r="C2183" i="2"/>
  <c r="B2183" i="2"/>
  <c r="C2441" i="2"/>
  <c r="B2441" i="2"/>
  <c r="C2344" i="2"/>
  <c r="B2344" i="2"/>
  <c r="C1604" i="2"/>
  <c r="B1604" i="2"/>
  <c r="C1553" i="2"/>
  <c r="B1553" i="2"/>
  <c r="C1102" i="2"/>
  <c r="B1102" i="2"/>
  <c r="C898" i="2"/>
  <c r="B898" i="2"/>
  <c r="C847" i="2"/>
  <c r="B847" i="2"/>
  <c r="C2098" i="2"/>
  <c r="B2098" i="2"/>
  <c r="C511" i="2"/>
  <c r="B511" i="2"/>
  <c r="C1869" i="2"/>
  <c r="B1869" i="2"/>
  <c r="C752" i="2"/>
  <c r="B752" i="2"/>
  <c r="C1232" i="2"/>
  <c r="B1232" i="2"/>
  <c r="C1505" i="2"/>
  <c r="B1505" i="2"/>
  <c r="C1158" i="2"/>
  <c r="B1158" i="2"/>
  <c r="C717" i="2"/>
  <c r="B717" i="2"/>
  <c r="C210" i="2"/>
  <c r="B210" i="2"/>
  <c r="C2535" i="2"/>
  <c r="B2535" i="2"/>
  <c r="C2182" i="2"/>
  <c r="B2182" i="2"/>
  <c r="C2019" i="2"/>
  <c r="B2019" i="2"/>
  <c r="C1843" i="2"/>
  <c r="B1843" i="2"/>
  <c r="C1841" i="2"/>
  <c r="B1841" i="2"/>
  <c r="C1730" i="2"/>
  <c r="B1730" i="2"/>
  <c r="C1143" i="2"/>
  <c r="B1143" i="2"/>
  <c r="C982" i="2"/>
  <c r="B982" i="2"/>
  <c r="C401" i="2"/>
  <c r="B401" i="2"/>
  <c r="C344" i="2"/>
  <c r="B344" i="2"/>
  <c r="C277" i="2"/>
  <c r="B277" i="2"/>
  <c r="C2451" i="2"/>
  <c r="B2451" i="2"/>
  <c r="C1824" i="2"/>
  <c r="B1824" i="2"/>
  <c r="C1614" i="2"/>
  <c r="B1614" i="2"/>
  <c r="C1018" i="2"/>
  <c r="B1018" i="2"/>
  <c r="C2206" i="2"/>
  <c r="B2206" i="2"/>
  <c r="C675" i="2"/>
  <c r="B675" i="2"/>
  <c r="C73" i="2"/>
  <c r="B73" i="2"/>
  <c r="C2029" i="2"/>
  <c r="B2029" i="2"/>
  <c r="C1732" i="2"/>
  <c r="B1732" i="2"/>
  <c r="C1729" i="2"/>
  <c r="B1729" i="2"/>
  <c r="C2702" i="2"/>
  <c r="B2702" i="2"/>
  <c r="C1318" i="2"/>
  <c r="B1318" i="2"/>
  <c r="C1101" i="2"/>
  <c r="B1101" i="2"/>
  <c r="C954" i="2"/>
  <c r="B954" i="2"/>
  <c r="C102" i="2"/>
  <c r="B102" i="2"/>
  <c r="C2463" i="2"/>
  <c r="B2463" i="2"/>
  <c r="C2343" i="2"/>
  <c r="B2343" i="2"/>
  <c r="C583" i="2"/>
  <c r="B583" i="2"/>
  <c r="C524" i="2"/>
  <c r="B524" i="2"/>
  <c r="C128" i="2"/>
  <c r="B128" i="2"/>
  <c r="C2708" i="2"/>
  <c r="B2708" i="2"/>
  <c r="C2392" i="2"/>
  <c r="B2392" i="2"/>
  <c r="C751" i="2"/>
  <c r="B751" i="2"/>
  <c r="C2017" i="2"/>
  <c r="B2017" i="2"/>
  <c r="C1286" i="2"/>
  <c r="B1286" i="2"/>
  <c r="C2016" i="2"/>
  <c r="B2016" i="2"/>
  <c r="C1922" i="2"/>
  <c r="B1922" i="2"/>
  <c r="C2476" i="2"/>
  <c r="B2476" i="2"/>
  <c r="C1970" i="2"/>
  <c r="B1970" i="2"/>
  <c r="C1868" i="2"/>
  <c r="B1868" i="2"/>
  <c r="C985" i="2"/>
  <c r="B985" i="2"/>
  <c r="C496" i="2"/>
  <c r="B496" i="2"/>
  <c r="C177" i="2"/>
  <c r="B177" i="2"/>
  <c r="C981" i="2"/>
  <c r="B981" i="2"/>
  <c r="C778" i="2"/>
  <c r="B778" i="2"/>
  <c r="C750" i="2"/>
  <c r="B750" i="2"/>
  <c r="C749" i="2"/>
  <c r="B749" i="2"/>
  <c r="C2426" i="2"/>
  <c r="B2426" i="2"/>
  <c r="C2104" i="2"/>
  <c r="B2104" i="2"/>
  <c r="C1603" i="2"/>
  <c r="B1603" i="2"/>
  <c r="C562" i="2"/>
  <c r="B562" i="2"/>
  <c r="C2375" i="2"/>
  <c r="B2375" i="2"/>
  <c r="C1514" i="2"/>
  <c r="B1514" i="2"/>
  <c r="C1434" i="2"/>
  <c r="B1434" i="2"/>
  <c r="C1142" i="2"/>
  <c r="B1142" i="2"/>
  <c r="C561" i="2"/>
  <c r="B561" i="2"/>
  <c r="C466" i="2"/>
  <c r="B466" i="2"/>
  <c r="C39" i="2"/>
  <c r="B39" i="2"/>
  <c r="C2355" i="2"/>
  <c r="B2355" i="2"/>
  <c r="C2231" i="2"/>
  <c r="B2231" i="2"/>
  <c r="C2054" i="2"/>
  <c r="B2054" i="2"/>
  <c r="C1086" i="2"/>
  <c r="B1086" i="2"/>
  <c r="C465" i="2"/>
  <c r="B465" i="2"/>
  <c r="C320" i="2"/>
  <c r="B320" i="2"/>
  <c r="C1602" i="2"/>
  <c r="B1602" i="2"/>
  <c r="C1224" i="2"/>
  <c r="B1224" i="2"/>
  <c r="C655" i="2"/>
  <c r="B655" i="2"/>
  <c r="C292" i="2"/>
  <c r="B292" i="2"/>
  <c r="C101" i="2"/>
  <c r="B101" i="2"/>
  <c r="C2053" i="2"/>
  <c r="B2053" i="2"/>
  <c r="C1987" i="2"/>
  <c r="B1987" i="2"/>
  <c r="C1681" i="2"/>
  <c r="B1681" i="2"/>
  <c r="C1427" i="2"/>
  <c r="B1427" i="2"/>
  <c r="C1361" i="2"/>
  <c r="B1361" i="2"/>
  <c r="C423" i="2"/>
  <c r="B423" i="2"/>
  <c r="C1213" i="2"/>
  <c r="B1213" i="2"/>
  <c r="C953" i="2"/>
  <c r="B953" i="2"/>
  <c r="C335" i="2"/>
  <c r="B335" i="2"/>
  <c r="C301" i="2"/>
  <c r="B301" i="2"/>
  <c r="C1552" i="2"/>
  <c r="B1552" i="2"/>
  <c r="C1484" i="2"/>
  <c r="B1484" i="2"/>
  <c r="C748" i="2"/>
  <c r="B748" i="2"/>
  <c r="C464" i="2"/>
  <c r="B464" i="2"/>
  <c r="C2717" i="2"/>
  <c r="B2717" i="2"/>
  <c r="C2321" i="2"/>
  <c r="B2321" i="2"/>
  <c r="C2271" i="2"/>
  <c r="B2271" i="2"/>
  <c r="C1683" i="2"/>
  <c r="B1683" i="2"/>
  <c r="C952" i="2"/>
  <c r="B952" i="2"/>
  <c r="C880" i="2"/>
  <c r="B880" i="2"/>
  <c r="C209" i="2"/>
  <c r="B209" i="2"/>
  <c r="C38" i="2"/>
  <c r="B38" i="2"/>
  <c r="C2230" i="2"/>
  <c r="B2230" i="2"/>
  <c r="C1543" i="2"/>
  <c r="B1543" i="2"/>
  <c r="C1141" i="2"/>
  <c r="B1141" i="2"/>
  <c r="C1542" i="2"/>
  <c r="B1542" i="2"/>
  <c r="C897" i="2"/>
  <c r="B897" i="2"/>
  <c r="C846" i="2"/>
  <c r="B846" i="2"/>
  <c r="C1305" i="2"/>
  <c r="B1305" i="2"/>
  <c r="C64" i="2"/>
  <c r="B64" i="2"/>
  <c r="C300" i="2"/>
  <c r="B300" i="2"/>
  <c r="C291" i="2"/>
  <c r="B291" i="2"/>
  <c r="C1304" i="2"/>
  <c r="B1304" i="2"/>
  <c r="C375" i="2"/>
  <c r="B375" i="2"/>
  <c r="C63" i="2"/>
  <c r="B63" i="2"/>
  <c r="C763" i="2"/>
  <c r="B763" i="2"/>
  <c r="C2417" i="2"/>
  <c r="B2417" i="2"/>
  <c r="C2124" i="2"/>
  <c r="B2124" i="2"/>
  <c r="C1823" i="2"/>
  <c r="B1823" i="2"/>
  <c r="C1628" i="2"/>
  <c r="B1628" i="2"/>
  <c r="C797" i="2"/>
  <c r="B797" i="2"/>
  <c r="C2489" i="2"/>
  <c r="B2489" i="2"/>
  <c r="C2205" i="2"/>
  <c r="B2205" i="2"/>
  <c r="C859" i="2"/>
  <c r="B859" i="2"/>
  <c r="C845" i="2"/>
  <c r="B845" i="2"/>
  <c r="C100" i="2"/>
  <c r="B100" i="2"/>
  <c r="C1059" i="2"/>
  <c r="B1059" i="2"/>
  <c r="C560" i="2"/>
  <c r="B560" i="2"/>
  <c r="C400" i="2"/>
  <c r="B400" i="2"/>
  <c r="C2520" i="2"/>
  <c r="B2520" i="2"/>
  <c r="C2158" i="2"/>
  <c r="B2158" i="2"/>
  <c r="C681" i="2"/>
  <c r="B681" i="2"/>
  <c r="C602" i="2"/>
  <c r="B602" i="2"/>
  <c r="C2475" i="2"/>
  <c r="B2475" i="2"/>
  <c r="C2181" i="2"/>
  <c r="B2181" i="2"/>
  <c r="C1657" i="2"/>
  <c r="B1657" i="2"/>
  <c r="C1565" i="2"/>
  <c r="B1565" i="2"/>
  <c r="C1437" i="2"/>
  <c r="B1437" i="2"/>
  <c r="C2635" i="2"/>
  <c r="B2635" i="2"/>
  <c r="C2093" i="2"/>
  <c r="B2093" i="2"/>
  <c r="C1483" i="2"/>
  <c r="B1483" i="2"/>
  <c r="C1225" i="2"/>
  <c r="B1225" i="2"/>
  <c r="C1212" i="2"/>
  <c r="B1212" i="2"/>
  <c r="C896" i="2"/>
  <c r="B896" i="2"/>
  <c r="C380" i="2"/>
  <c r="B380" i="2"/>
  <c r="C2267" i="2"/>
  <c r="B2267" i="2"/>
  <c r="C1168" i="2"/>
  <c r="B1168" i="2"/>
  <c r="C796" i="2"/>
  <c r="B796" i="2"/>
  <c r="C795" i="2"/>
  <c r="B795" i="2"/>
  <c r="C374" i="2"/>
  <c r="B374" i="2"/>
  <c r="C373" i="2"/>
  <c r="B373" i="2"/>
  <c r="C1667" i="2"/>
  <c r="B1667" i="2"/>
  <c r="C1360" i="2"/>
  <c r="B1360" i="2"/>
  <c r="C699" i="2"/>
  <c r="B699" i="2"/>
  <c r="C559" i="2"/>
  <c r="B559" i="2"/>
  <c r="C208" i="2"/>
  <c r="B208" i="2"/>
  <c r="C1781" i="2"/>
  <c r="B1781" i="2"/>
  <c r="C1737" i="2"/>
  <c r="B1737" i="2"/>
  <c r="C601" i="2"/>
  <c r="B601" i="2"/>
  <c r="C523" i="2"/>
  <c r="B523" i="2"/>
  <c r="C2666" i="2"/>
  <c r="B2666" i="2"/>
  <c r="C1541" i="2"/>
  <c r="B1541" i="2"/>
  <c r="C875" i="2"/>
  <c r="B875" i="2"/>
  <c r="C855" i="2"/>
  <c r="B855" i="2"/>
  <c r="C639" i="2"/>
  <c r="B639" i="2"/>
  <c r="C493" i="2"/>
  <c r="B493" i="2"/>
  <c r="C372" i="2"/>
  <c r="B372" i="2"/>
  <c r="C319" i="2"/>
  <c r="B319" i="2"/>
  <c r="C62" i="2"/>
  <c r="B62" i="2"/>
  <c r="C44" i="2"/>
  <c r="B44" i="2"/>
  <c r="C2663" i="2"/>
  <c r="B2663" i="2"/>
  <c r="C1969" i="2"/>
  <c r="B1969" i="2"/>
  <c r="C558" i="2"/>
  <c r="B558" i="2"/>
  <c r="C2562" i="2"/>
  <c r="B2562" i="2"/>
  <c r="C2474" i="2"/>
  <c r="B2474" i="2"/>
  <c r="C1741" i="2"/>
  <c r="B1741" i="2"/>
  <c r="C2742" i="2"/>
  <c r="B2742" i="2"/>
  <c r="C2215" i="2"/>
  <c r="B2215" i="2"/>
  <c r="C1413" i="2"/>
  <c r="B1413" i="2"/>
  <c r="C895" i="2"/>
  <c r="B895" i="2"/>
  <c r="C510" i="2"/>
  <c r="B510" i="2"/>
  <c r="C1622" i="2"/>
  <c r="B1622" i="2"/>
  <c r="C557" i="2"/>
  <c r="B557" i="2"/>
  <c r="C2594" i="2"/>
  <c r="B2594" i="2"/>
  <c r="C928" i="2"/>
  <c r="B928" i="2"/>
  <c r="C2662" i="2"/>
  <c r="B2662" i="2"/>
  <c r="C1940" i="2"/>
  <c r="B1940" i="2"/>
  <c r="C1895" i="2"/>
  <c r="B1895" i="2"/>
  <c r="C1540" i="2"/>
  <c r="B1540" i="2"/>
  <c r="C2569" i="2"/>
  <c r="B2569" i="2"/>
  <c r="C2320" i="2"/>
  <c r="B2320" i="2"/>
  <c r="C2092" i="2"/>
  <c r="B2092" i="2"/>
  <c r="C1680" i="2"/>
  <c r="B1680" i="2"/>
  <c r="C1482" i="2"/>
  <c r="B1482" i="2"/>
  <c r="C1412" i="2"/>
  <c r="B1412" i="2"/>
  <c r="C1317" i="2"/>
  <c r="B1317" i="2"/>
  <c r="C747" i="2"/>
  <c r="B747" i="2"/>
  <c r="C716" i="2"/>
  <c r="B716" i="2"/>
  <c r="C463" i="2"/>
  <c r="B463" i="2"/>
  <c r="C334" i="2"/>
  <c r="B334" i="2"/>
  <c r="C1656" i="2"/>
  <c r="B1656" i="2"/>
  <c r="C1085" i="2"/>
  <c r="B1085" i="2"/>
  <c r="C923" i="2"/>
  <c r="B923" i="2"/>
  <c r="C746" i="2"/>
  <c r="B746" i="2"/>
  <c r="C276" i="2"/>
  <c r="B276" i="2"/>
  <c r="C951" i="2"/>
  <c r="B951" i="2"/>
  <c r="C638" i="2"/>
  <c r="B638" i="2"/>
  <c r="C1004" i="2"/>
  <c r="B1004" i="2"/>
  <c r="C745" i="2"/>
  <c r="B745" i="2"/>
  <c r="C318" i="2"/>
  <c r="B318" i="2"/>
  <c r="C227" i="2"/>
  <c r="B227" i="2"/>
  <c r="C2723" i="2"/>
  <c r="B2723" i="2"/>
  <c r="C1921" i="2"/>
  <c r="B1921" i="2"/>
  <c r="C1359" i="2"/>
  <c r="B1359" i="2"/>
  <c r="C922" i="2"/>
  <c r="B922" i="2"/>
  <c r="C151" i="2"/>
  <c r="B151" i="2"/>
  <c r="C2568" i="2"/>
  <c r="B2568" i="2"/>
  <c r="C1513" i="2"/>
  <c r="B1513" i="2"/>
  <c r="C950" i="2"/>
  <c r="B950" i="2"/>
  <c r="C844" i="2"/>
  <c r="B844" i="2"/>
  <c r="C744" i="2"/>
  <c r="B744" i="2"/>
  <c r="C556" i="2"/>
  <c r="B556" i="2"/>
  <c r="C2656" i="2"/>
  <c r="B2656" i="2"/>
  <c r="C2052" i="2"/>
  <c r="B2052" i="2"/>
  <c r="C637" i="2"/>
  <c r="B637" i="2"/>
  <c r="C383" i="2"/>
  <c r="B383" i="2"/>
  <c r="C2715" i="2"/>
  <c r="B2715" i="2"/>
  <c r="C2229" i="2"/>
  <c r="B2229" i="2"/>
  <c r="C2157" i="2"/>
  <c r="B2157" i="2"/>
  <c r="C1867" i="2"/>
  <c r="B1867" i="2"/>
  <c r="C343" i="2"/>
  <c r="B343" i="2"/>
  <c r="C2534" i="2"/>
  <c r="B2534" i="2"/>
  <c r="C2354" i="2"/>
  <c r="B2354" i="2"/>
  <c r="C2015" i="2"/>
  <c r="B2015" i="2"/>
  <c r="C715" i="2"/>
  <c r="B715" i="2"/>
  <c r="C555" i="2"/>
  <c r="B555" i="2"/>
  <c r="C342" i="2"/>
  <c r="B342" i="2"/>
  <c r="C127" i="2"/>
  <c r="B127" i="2"/>
  <c r="C226" i="2"/>
  <c r="B226" i="2"/>
  <c r="C136" i="2"/>
  <c r="B136" i="2"/>
  <c r="C1768" i="2"/>
  <c r="B1768" i="2"/>
  <c r="C522" i="2"/>
  <c r="B522" i="2"/>
  <c r="C2462" i="2"/>
  <c r="B2462" i="2"/>
  <c r="C1380" i="2"/>
  <c r="B1380" i="2"/>
  <c r="C1149" i="2"/>
  <c r="B1149" i="2"/>
  <c r="C1140" i="2"/>
  <c r="B1140" i="2"/>
  <c r="C1058" i="2"/>
  <c r="B1058" i="2"/>
  <c r="C207" i="2"/>
  <c r="B207" i="2"/>
  <c r="C2233" i="2"/>
  <c r="B2233" i="2"/>
  <c r="C2014" i="2"/>
  <c r="B2014" i="2"/>
  <c r="C1891" i="2"/>
  <c r="B1891" i="2"/>
  <c r="C1655" i="2"/>
  <c r="B1655" i="2"/>
  <c r="C333" i="2"/>
  <c r="B333" i="2"/>
  <c r="C17" i="2"/>
  <c r="B17" i="2"/>
  <c r="C698" i="2"/>
  <c r="B698" i="2"/>
  <c r="C492" i="2"/>
  <c r="B492" i="2"/>
  <c r="C16" i="2"/>
  <c r="B16" i="2"/>
  <c r="C1497" i="2"/>
  <c r="B1497" i="2"/>
  <c r="C921" i="2"/>
  <c r="B921" i="2"/>
  <c r="C382" i="2"/>
  <c r="B382" i="2"/>
  <c r="C150" i="2"/>
  <c r="B150" i="2"/>
  <c r="C901" i="2"/>
  <c r="B901" i="2"/>
  <c r="C610" i="2"/>
  <c r="B610" i="2"/>
  <c r="C2396" i="2"/>
  <c r="B2396" i="2"/>
  <c r="C2180" i="2"/>
  <c r="B2180" i="2"/>
  <c r="C1358" i="2"/>
  <c r="B1358" i="2"/>
  <c r="C1139" i="2"/>
  <c r="B1139" i="2"/>
  <c r="C1057" i="2"/>
  <c r="B1057" i="2"/>
  <c r="C1006" i="2"/>
  <c r="B1006" i="2"/>
  <c r="C1003" i="2"/>
  <c r="B1003" i="2"/>
  <c r="C843" i="2"/>
  <c r="B843" i="2"/>
  <c r="C842" i="2"/>
  <c r="B842" i="2"/>
  <c r="C743" i="2"/>
  <c r="B743" i="2"/>
  <c r="C650" i="2"/>
  <c r="B650" i="2"/>
  <c r="C512" i="2"/>
  <c r="B512" i="2"/>
  <c r="C462" i="2"/>
  <c r="B462" i="2"/>
  <c r="C347" i="2"/>
  <c r="B347" i="2"/>
  <c r="C325" i="2"/>
  <c r="B325" i="2"/>
  <c r="C290" i="2"/>
  <c r="B290" i="2"/>
  <c r="C225" i="2"/>
  <c r="B225" i="2"/>
  <c r="C224" i="2"/>
  <c r="B224" i="2"/>
  <c r="C214" i="2"/>
  <c r="B214" i="2"/>
  <c r="C149" i="2"/>
  <c r="B149" i="2"/>
  <c r="C416" i="2"/>
  <c r="B416" i="2"/>
  <c r="C2179" i="2"/>
  <c r="B2179" i="2"/>
  <c r="C2342" i="2"/>
  <c r="B2342" i="2"/>
  <c r="C1551" i="2"/>
  <c r="B1551" i="2"/>
  <c r="C1539" i="2"/>
  <c r="B1539" i="2"/>
  <c r="C1247" i="2"/>
  <c r="B1247" i="2"/>
  <c r="C612" i="2"/>
  <c r="B612" i="2"/>
  <c r="C371" i="2"/>
  <c r="B371" i="2"/>
  <c r="C2659" i="2"/>
  <c r="B2659" i="2"/>
  <c r="C920" i="2"/>
  <c r="B920" i="2"/>
  <c r="C275" i="2"/>
  <c r="B275" i="2"/>
  <c r="C108" i="2"/>
  <c r="B108" i="2"/>
  <c r="C15" i="2"/>
  <c r="B15" i="2"/>
  <c r="C341" i="2"/>
  <c r="B341" i="2"/>
  <c r="C2496" i="2"/>
  <c r="B2496" i="2"/>
  <c r="C1728" i="2"/>
  <c r="B1728" i="2"/>
  <c r="C1564" i="2"/>
  <c r="B1564" i="2"/>
  <c r="C1211" i="2"/>
  <c r="B1211" i="2"/>
  <c r="C566" i="2"/>
  <c r="B566" i="2"/>
  <c r="C565" i="2"/>
  <c r="B565" i="2"/>
  <c r="C714" i="2"/>
  <c r="B714" i="2"/>
  <c r="C2419" i="2"/>
  <c r="B2419" i="2"/>
  <c r="C1621" i="2"/>
  <c r="B1621" i="2"/>
  <c r="C1357" i="2"/>
  <c r="B1357" i="2"/>
  <c r="C1356" i="2"/>
  <c r="B1356" i="2"/>
  <c r="C126" i="2"/>
  <c r="B126" i="2"/>
  <c r="C1727" i="2"/>
  <c r="B1727" i="2"/>
  <c r="C1285" i="2"/>
  <c r="B1285" i="2"/>
  <c r="C817" i="2"/>
  <c r="B817" i="2"/>
  <c r="C775" i="2"/>
  <c r="B775" i="2"/>
  <c r="C14" i="2"/>
  <c r="B14" i="2"/>
  <c r="C1284" i="2"/>
  <c r="B1284" i="2"/>
  <c r="C1837" i="2"/>
  <c r="B1837" i="2"/>
  <c r="C1686" i="2"/>
  <c r="B1686" i="2"/>
  <c r="C472" i="2"/>
  <c r="B472" i="2"/>
  <c r="C415" i="2"/>
  <c r="B415" i="2"/>
  <c r="C399" i="2"/>
  <c r="B399" i="2"/>
  <c r="C385" i="2"/>
  <c r="B385" i="2"/>
  <c r="C274" i="2"/>
  <c r="B274" i="2"/>
  <c r="C2593" i="2"/>
  <c r="B2593" i="2"/>
  <c r="C1717" i="2"/>
  <c r="B1717" i="2"/>
  <c r="C1322" i="2"/>
  <c r="B1322" i="2"/>
  <c r="C1056" i="2"/>
  <c r="B1056" i="2"/>
  <c r="C697" i="2"/>
  <c r="B697" i="2"/>
  <c r="C413" i="2"/>
  <c r="B413" i="2"/>
  <c r="C461" i="2"/>
  <c r="B461" i="2"/>
  <c r="C2353" i="2"/>
  <c r="B2353" i="2"/>
  <c r="C2341" i="2"/>
  <c r="B2341" i="2"/>
  <c r="C2064" i="2"/>
  <c r="B2064" i="2"/>
  <c r="C1889" i="2"/>
  <c r="B1889" i="2"/>
  <c r="C1789" i="2"/>
  <c r="B1789" i="2"/>
  <c r="C1425" i="2"/>
  <c r="B1425" i="2"/>
  <c r="C1601" i="2"/>
  <c r="B1601" i="2"/>
  <c r="C1355" i="2"/>
  <c r="B1355" i="2"/>
  <c r="C2091" i="2"/>
  <c r="B2091" i="2"/>
  <c r="C1968" i="2"/>
  <c r="B1968" i="2"/>
  <c r="C1716" i="2"/>
  <c r="B1716" i="2"/>
  <c r="C600" i="2"/>
  <c r="B600" i="2"/>
  <c r="C273" i="2"/>
  <c r="B273" i="2"/>
  <c r="C272" i="2"/>
  <c r="B272" i="2"/>
  <c r="C271" i="2"/>
  <c r="B271" i="2"/>
  <c r="C649" i="2"/>
  <c r="B649" i="2"/>
  <c r="C1433" i="2"/>
  <c r="B1433" i="2"/>
  <c r="C919" i="2"/>
  <c r="B919" i="2"/>
  <c r="C762" i="2"/>
  <c r="B762" i="2"/>
  <c r="C2130" i="2"/>
  <c r="B2130" i="2"/>
  <c r="C1538" i="2"/>
  <c r="B1538" i="2"/>
  <c r="C1210" i="2"/>
  <c r="B1210" i="2"/>
  <c r="C1411" i="2"/>
  <c r="B1411" i="2"/>
  <c r="C1236" i="2"/>
  <c r="B1236" i="2"/>
  <c r="C1055" i="2"/>
  <c r="B1055" i="2"/>
  <c r="C927" i="2"/>
  <c r="B927" i="2"/>
  <c r="C2436" i="2"/>
  <c r="B2436" i="2"/>
  <c r="C2416" i="2"/>
  <c r="B2416" i="2"/>
  <c r="C2250" i="2"/>
  <c r="B2250" i="2"/>
  <c r="C554" i="2"/>
  <c r="B554" i="2"/>
  <c r="C270" i="2"/>
  <c r="B270" i="2"/>
  <c r="C2488" i="2"/>
  <c r="B2488" i="2"/>
  <c r="C1942" i="2"/>
  <c r="B1942" i="2"/>
  <c r="C1866" i="2"/>
  <c r="B1866" i="2"/>
  <c r="C1376" i="2"/>
  <c r="B1376" i="2"/>
  <c r="C1209" i="2"/>
  <c r="B1209" i="2"/>
  <c r="C2090" i="2"/>
  <c r="B2090" i="2"/>
  <c r="C2089" i="2"/>
  <c r="B2089" i="2"/>
  <c r="C1715" i="2"/>
  <c r="B1715" i="2"/>
  <c r="C1235" i="2"/>
  <c r="B1235" i="2"/>
  <c r="C521" i="2"/>
  <c r="B521" i="2"/>
  <c r="C460" i="2"/>
  <c r="B460" i="2"/>
  <c r="C99" i="2"/>
  <c r="B99" i="2"/>
  <c r="C61" i="2"/>
  <c r="B61" i="2"/>
  <c r="C72" i="2"/>
  <c r="B72" i="2"/>
  <c r="C1920" i="2"/>
  <c r="B1920" i="2"/>
  <c r="C1157" i="2"/>
  <c r="B1157" i="2"/>
  <c r="C1054" i="2"/>
  <c r="B1054" i="2"/>
  <c r="C918" i="2"/>
  <c r="B918" i="2"/>
  <c r="C324" i="2"/>
  <c r="B324" i="2"/>
  <c r="C269" i="2"/>
  <c r="B269" i="2"/>
  <c r="C135" i="2"/>
  <c r="B135" i="2"/>
  <c r="C27" i="2"/>
  <c r="B27" i="2"/>
  <c r="C2228" i="2"/>
  <c r="B2228" i="2"/>
  <c r="C1979" i="2"/>
  <c r="B1979" i="2"/>
  <c r="C1208" i="2"/>
  <c r="B1208" i="2"/>
  <c r="C1002" i="2"/>
  <c r="B1002" i="2"/>
  <c r="C459" i="2"/>
  <c r="B459" i="2"/>
  <c r="C370" i="2"/>
  <c r="B370" i="2"/>
  <c r="C186" i="2"/>
  <c r="B186" i="2"/>
  <c r="C2204" i="2"/>
  <c r="B2204" i="2"/>
  <c r="C2123" i="2"/>
  <c r="B2123" i="2"/>
  <c r="C131" i="2"/>
  <c r="B131" i="2"/>
  <c r="C2561" i="2"/>
  <c r="B2561" i="2"/>
  <c r="C2391" i="2"/>
  <c r="B2391" i="2"/>
  <c r="C2266" i="2"/>
  <c r="B2266" i="2"/>
  <c r="C1967" i="2"/>
  <c r="B1967" i="2"/>
  <c r="C794" i="2"/>
  <c r="B794" i="2"/>
  <c r="C761" i="2"/>
  <c r="B761" i="2"/>
  <c r="C60" i="2"/>
  <c r="B60" i="2"/>
  <c r="C1512" i="2"/>
  <c r="B1512" i="2"/>
  <c r="C719" i="2"/>
  <c r="B719" i="2"/>
  <c r="C98" i="2"/>
  <c r="B98" i="2"/>
  <c r="C1354" i="2"/>
  <c r="B1354" i="2"/>
  <c r="C917" i="2"/>
  <c r="B917" i="2"/>
  <c r="C876" i="2"/>
  <c r="B876" i="2"/>
  <c r="C2731" i="2"/>
  <c r="B2731" i="2"/>
  <c r="C2340" i="2"/>
  <c r="B2340" i="2"/>
  <c r="C2265" i="2"/>
  <c r="B2265" i="2"/>
  <c r="C1714" i="2"/>
  <c r="B1714" i="2"/>
  <c r="C1432" i="2"/>
  <c r="B1432" i="2"/>
  <c r="C1410" i="2"/>
  <c r="B1410" i="2"/>
  <c r="C509" i="2"/>
  <c r="B509" i="2"/>
  <c r="C491" i="2"/>
  <c r="B491" i="2"/>
  <c r="C317" i="2"/>
  <c r="B317" i="2"/>
  <c r="C2658" i="2"/>
  <c r="B2658" i="2"/>
  <c r="C1654" i="2"/>
  <c r="B1654" i="2"/>
  <c r="C2187" i="2"/>
  <c r="B2187" i="2"/>
  <c r="C1207" i="2"/>
  <c r="B1207" i="2"/>
  <c r="C742" i="2"/>
  <c r="B742" i="2"/>
  <c r="C398" i="2"/>
  <c r="B398" i="2"/>
  <c r="C1919" i="2"/>
  <c r="B1919" i="2"/>
  <c r="C223" i="2"/>
  <c r="B223" i="2"/>
  <c r="C2299" i="2"/>
  <c r="B2299" i="2"/>
  <c r="C2298" i="2"/>
  <c r="B2298" i="2"/>
  <c r="C2264" i="2"/>
  <c r="B2264" i="2"/>
  <c r="C2178" i="2"/>
  <c r="B2178" i="2"/>
  <c r="C648" i="2"/>
  <c r="B648" i="2"/>
  <c r="C397" i="2"/>
  <c r="B397" i="2"/>
  <c r="C2277" i="2"/>
  <c r="B2277" i="2"/>
  <c r="C176" i="2"/>
  <c r="B176" i="2"/>
  <c r="C2617" i="2"/>
  <c r="B2617" i="2"/>
  <c r="C2440" i="2"/>
  <c r="B2440" i="2"/>
  <c r="C2325" i="2"/>
  <c r="B2325" i="2"/>
  <c r="C2177" i="2"/>
  <c r="B2177" i="2"/>
  <c r="C774" i="2"/>
  <c r="B774" i="2"/>
  <c r="C130" i="2"/>
  <c r="B130" i="2"/>
  <c r="C125" i="2"/>
  <c r="B125" i="2"/>
  <c r="C97" i="2"/>
  <c r="B97" i="2"/>
  <c r="C1001" i="2"/>
  <c r="B1001" i="2"/>
  <c r="C783" i="2"/>
  <c r="B783" i="2"/>
  <c r="C1176" i="2"/>
  <c r="B1176" i="2"/>
  <c r="C1169" i="2"/>
  <c r="B1169" i="2"/>
  <c r="C841" i="2"/>
  <c r="B841" i="2"/>
  <c r="C2378" i="2"/>
  <c r="B2378" i="2"/>
  <c r="C1206" i="2"/>
  <c r="B1206" i="2"/>
  <c r="C1084" i="2"/>
  <c r="B1084" i="2"/>
  <c r="C949" i="2"/>
  <c r="B949" i="2"/>
  <c r="C636" i="2"/>
  <c r="B636" i="2"/>
  <c r="C206" i="2"/>
  <c r="B206" i="2"/>
  <c r="C175" i="2"/>
  <c r="B175" i="2"/>
  <c r="C2533" i="2"/>
  <c r="B2533" i="2"/>
  <c r="C2674" i="2"/>
  <c r="B2674" i="2"/>
  <c r="C793" i="2"/>
  <c r="B793" i="2"/>
  <c r="C2744" i="2"/>
  <c r="B2744" i="2"/>
  <c r="C2743" i="2"/>
  <c r="B2743" i="2"/>
  <c r="C2066" i="2"/>
  <c r="B2066" i="2"/>
  <c r="C1436" i="2"/>
  <c r="B1436" i="2"/>
  <c r="C1083" i="2"/>
  <c r="B1083" i="2"/>
  <c r="C268" i="2"/>
  <c r="B268" i="2"/>
  <c r="C243" i="2"/>
  <c r="B243" i="2"/>
  <c r="C124" i="2"/>
  <c r="B124" i="2"/>
  <c r="C2390" i="2"/>
  <c r="B2390" i="2"/>
  <c r="C1966" i="2"/>
  <c r="B1966" i="2"/>
  <c r="C1416" i="2"/>
  <c r="B1416" i="2"/>
  <c r="C972" i="2"/>
  <c r="B972" i="2"/>
  <c r="C242" i="2"/>
  <c r="B242" i="2"/>
  <c r="C1767" i="2"/>
  <c r="B1767" i="2"/>
  <c r="C1415" i="2"/>
  <c r="B1415" i="2"/>
  <c r="C654" i="2"/>
  <c r="B654" i="2"/>
  <c r="C106" i="2"/>
  <c r="B106" i="2"/>
  <c r="C2532" i="2"/>
  <c r="B2532" i="2"/>
  <c r="C2374" i="2"/>
  <c r="B2374" i="2"/>
  <c r="C1017" i="2"/>
  <c r="B1017" i="2"/>
  <c r="C553" i="2"/>
  <c r="B553" i="2"/>
  <c r="C369" i="2"/>
  <c r="B369" i="2"/>
  <c r="C2629" i="2"/>
  <c r="B2629" i="2"/>
  <c r="C1685" i="2"/>
  <c r="B1685" i="2"/>
  <c r="C1511" i="2"/>
  <c r="B1511" i="2"/>
  <c r="C174" i="2"/>
  <c r="B174" i="2"/>
  <c r="C1713" i="2"/>
  <c r="B1713" i="2"/>
  <c r="C1504" i="2"/>
  <c r="B1504" i="2"/>
  <c r="C1138" i="2"/>
  <c r="B1138" i="2"/>
  <c r="C1053" i="2"/>
  <c r="B1053" i="2"/>
  <c r="C1052" i="2"/>
  <c r="B1052" i="2"/>
  <c r="C458" i="2"/>
  <c r="B458" i="2"/>
  <c r="C2389" i="2"/>
  <c r="B2389" i="2"/>
  <c r="C2339" i="2"/>
  <c r="B2339" i="2"/>
  <c r="C1510" i="2"/>
  <c r="B1510" i="2"/>
  <c r="C1353" i="2"/>
  <c r="B1353" i="2"/>
  <c r="C1082" i="2"/>
  <c r="B1082" i="2"/>
  <c r="C894" i="2"/>
  <c r="B894" i="2"/>
  <c r="C893" i="2"/>
  <c r="B893" i="2"/>
  <c r="C609" i="2"/>
  <c r="B609" i="2"/>
  <c r="C368" i="2"/>
  <c r="B368" i="2"/>
  <c r="C267" i="2"/>
  <c r="B267" i="2"/>
  <c r="C396" i="2"/>
  <c r="B396" i="2"/>
  <c r="C2062" i="2"/>
  <c r="B2062" i="2"/>
  <c r="C1559" i="2"/>
  <c r="B1559" i="2"/>
  <c r="C1283" i="2"/>
  <c r="B1283" i="2"/>
  <c r="C471" i="2"/>
  <c r="B471" i="2"/>
  <c r="C379" i="2"/>
  <c r="B379" i="2"/>
  <c r="C1620" i="2"/>
  <c r="B1620" i="2"/>
  <c r="C696" i="2"/>
  <c r="B696" i="2"/>
  <c r="C13" i="2"/>
  <c r="B13" i="2"/>
  <c r="C1600" i="2"/>
  <c r="B1600" i="2"/>
  <c r="C1231" i="2"/>
  <c r="B1231" i="2"/>
  <c r="C2531" i="2"/>
  <c r="B2531" i="2"/>
  <c r="C2122" i="2"/>
  <c r="B2122" i="2"/>
  <c r="C2088" i="2"/>
  <c r="B2088" i="2"/>
  <c r="C1712" i="2"/>
  <c r="B1712" i="2"/>
  <c r="C1711" i="2"/>
  <c r="B1711" i="2"/>
  <c r="C173" i="2"/>
  <c r="B173" i="2"/>
  <c r="C2595" i="2"/>
  <c r="B2595" i="2"/>
  <c r="C2461" i="2"/>
  <c r="B2461" i="2"/>
  <c r="C1352" i="2"/>
  <c r="B1352" i="2"/>
  <c r="C707" i="2"/>
  <c r="B707" i="2"/>
  <c r="C1666" i="2"/>
  <c r="B1666" i="2"/>
  <c r="C1495" i="2"/>
  <c r="B1495" i="2"/>
  <c r="C635" i="2"/>
  <c r="B635" i="2"/>
  <c r="C395" i="2"/>
  <c r="B395" i="2"/>
  <c r="C231" i="2"/>
  <c r="B231" i="2"/>
  <c r="C1778" i="2"/>
  <c r="B1778" i="2"/>
  <c r="C984" i="2"/>
  <c r="B984" i="2"/>
  <c r="C172" i="2"/>
  <c r="B172" i="2"/>
  <c r="C520" i="2"/>
  <c r="B520" i="2"/>
  <c r="C1653" i="2"/>
  <c r="B1653" i="2"/>
  <c r="C1409" i="2"/>
  <c r="B1409" i="2"/>
  <c r="C2603" i="2"/>
  <c r="B2603" i="2"/>
  <c r="C1740" i="2"/>
  <c r="B1740" i="2"/>
  <c r="C1379" i="2"/>
  <c r="B1379" i="2"/>
  <c r="C222" i="2"/>
  <c r="B222" i="2"/>
  <c r="C2649" i="2"/>
  <c r="B2649" i="2"/>
  <c r="C2487" i="2"/>
  <c r="B2487" i="2"/>
  <c r="C2373" i="2"/>
  <c r="B2373" i="2"/>
  <c r="C2218" i="2"/>
  <c r="B2218" i="2"/>
  <c r="C2166" i="2"/>
  <c r="B2166" i="2"/>
  <c r="C2087" i="2"/>
  <c r="B2087" i="2"/>
  <c r="C1965" i="2"/>
  <c r="B1965" i="2"/>
  <c r="C1669" i="2"/>
  <c r="B1669" i="2"/>
  <c r="C1537" i="2"/>
  <c r="B1537" i="2"/>
  <c r="C1481" i="2"/>
  <c r="B1481" i="2"/>
  <c r="C1408" i="2"/>
  <c r="B1408" i="2"/>
  <c r="C967" i="2"/>
  <c r="B967" i="2"/>
  <c r="C892" i="2"/>
  <c r="B892" i="2"/>
  <c r="C457" i="2"/>
  <c r="B457" i="2"/>
  <c r="C221" i="2"/>
  <c r="B221" i="2"/>
  <c r="C129" i="2"/>
  <c r="B129" i="2"/>
  <c r="C2020" i="2"/>
  <c r="B2020" i="2"/>
  <c r="C1407" i="2"/>
  <c r="B1407" i="2"/>
  <c r="C1383" i="2"/>
  <c r="B1383" i="2"/>
  <c r="C879" i="2"/>
  <c r="B879" i="2"/>
  <c r="C840" i="2"/>
  <c r="B840" i="2"/>
  <c r="C552" i="2"/>
  <c r="B552" i="2"/>
  <c r="C456" i="2"/>
  <c r="B456" i="2"/>
  <c r="C1536" i="2"/>
  <c r="B1536" i="2"/>
  <c r="C111" i="2"/>
  <c r="B111" i="2"/>
  <c r="C59" i="2"/>
  <c r="B59" i="2"/>
  <c r="C2454" i="2"/>
  <c r="B2454" i="2"/>
  <c r="C1710" i="2"/>
  <c r="B1710" i="2"/>
  <c r="C1494" i="2"/>
  <c r="B1494" i="2"/>
  <c r="C2156" i="2"/>
  <c r="B2156" i="2"/>
  <c r="C2132" i="2"/>
  <c r="B2132" i="2"/>
  <c r="C1836" i="2"/>
  <c r="B1836" i="2"/>
  <c r="C1351" i="2"/>
  <c r="B1351" i="2"/>
  <c r="C891" i="2"/>
  <c r="B891" i="2"/>
  <c r="C674" i="2"/>
  <c r="B674" i="2"/>
  <c r="C2628" i="2"/>
  <c r="B2628" i="2"/>
  <c r="C2415" i="2"/>
  <c r="B2415" i="2"/>
  <c r="C1558" i="2"/>
  <c r="B1558" i="2"/>
  <c r="C1251" i="2"/>
  <c r="B1251" i="2"/>
  <c r="C2471" i="2"/>
  <c r="B2471" i="2"/>
  <c r="C2121" i="2"/>
  <c r="B2121" i="2"/>
  <c r="C1865" i="2"/>
  <c r="B1865" i="2"/>
  <c r="C1599" i="2"/>
  <c r="B1599" i="2"/>
  <c r="C1350" i="2"/>
  <c r="B1350" i="2"/>
  <c r="C677" i="2"/>
  <c r="B677" i="2"/>
  <c r="C12" i="2"/>
  <c r="B12" i="2"/>
  <c r="C11" i="2"/>
  <c r="B11" i="2"/>
  <c r="C1874" i="2"/>
  <c r="B1874" i="2"/>
  <c r="C1873" i="2"/>
  <c r="B1873" i="2"/>
  <c r="C1349" i="2"/>
  <c r="B1349" i="2"/>
  <c r="C1348" i="2"/>
  <c r="B1348" i="2"/>
  <c r="C1282" i="2"/>
  <c r="B1282" i="2"/>
  <c r="C2548" i="2"/>
  <c r="B2548" i="2"/>
  <c r="C2439" i="2"/>
  <c r="B2439" i="2"/>
  <c r="C916" i="2"/>
  <c r="B916" i="2"/>
  <c r="C695" i="2"/>
  <c r="B695" i="2"/>
  <c r="C1766" i="2"/>
  <c r="B1766" i="2"/>
  <c r="C948" i="2"/>
  <c r="B948" i="2"/>
  <c r="C1918" i="2"/>
  <c r="B1918" i="2"/>
  <c r="C1822" i="2"/>
  <c r="B1822" i="2"/>
  <c r="C1765" i="2"/>
  <c r="B1765" i="2"/>
  <c r="C1375" i="2"/>
  <c r="B1375" i="2"/>
  <c r="C551" i="2"/>
  <c r="B551" i="2"/>
  <c r="C367" i="2"/>
  <c r="B367" i="2"/>
  <c r="C96" i="2"/>
  <c r="B96" i="2"/>
  <c r="C10" i="2"/>
  <c r="B10" i="2"/>
  <c r="C1964" i="2"/>
  <c r="B1964" i="2"/>
  <c r="C1939" i="2"/>
  <c r="B1939" i="2"/>
  <c r="C1709" i="2"/>
  <c r="B1709" i="2"/>
  <c r="C1480" i="2"/>
  <c r="B1480" i="2"/>
  <c r="C1009" i="2"/>
  <c r="B1009" i="2"/>
  <c r="C1917" i="2"/>
  <c r="B1917" i="2"/>
  <c r="C1788" i="2"/>
  <c r="B1788" i="2"/>
  <c r="C1652" i="2"/>
  <c r="B1652" i="2"/>
  <c r="C1281" i="2"/>
  <c r="B1281" i="2"/>
  <c r="C1177" i="2"/>
  <c r="B1177" i="2"/>
  <c r="C812" i="2"/>
  <c r="B812" i="2"/>
  <c r="C2051" i="2"/>
  <c r="B2051" i="2"/>
  <c r="C1535" i="2"/>
  <c r="B1535" i="2"/>
  <c r="C1414" i="2"/>
  <c r="B1414" i="2"/>
  <c r="C1406" i="2"/>
  <c r="B1406" i="2"/>
  <c r="C878" i="2"/>
  <c r="B878" i="2"/>
  <c r="C316" i="2"/>
  <c r="B316" i="2"/>
  <c r="C1205" i="2"/>
  <c r="B1205" i="2"/>
  <c r="C741" i="2"/>
  <c r="B741" i="2"/>
  <c r="C315" i="2"/>
  <c r="B315" i="2"/>
  <c r="C966" i="2"/>
  <c r="B966" i="2"/>
  <c r="C947" i="2"/>
  <c r="B947" i="2"/>
  <c r="C740" i="2"/>
  <c r="B740" i="2"/>
  <c r="C2263" i="2"/>
  <c r="B2263" i="2"/>
  <c r="C1493" i="2"/>
  <c r="B1493" i="2"/>
  <c r="C1016" i="2"/>
  <c r="B1016" i="2"/>
  <c r="C904" i="2"/>
  <c r="B904" i="2"/>
  <c r="C634" i="2"/>
  <c r="B634" i="2"/>
  <c r="C455" i="2"/>
  <c r="B455" i="2"/>
  <c r="C323" i="2"/>
  <c r="B323" i="2"/>
  <c r="C148" i="2"/>
  <c r="B148" i="2"/>
  <c r="C2262" i="2"/>
  <c r="B2262" i="2"/>
  <c r="C839" i="2"/>
  <c r="B839" i="2"/>
  <c r="C773" i="2"/>
  <c r="B773" i="2"/>
  <c r="C422" i="2"/>
  <c r="B422" i="2"/>
  <c r="C266" i="2"/>
  <c r="B266" i="2"/>
  <c r="C2319" i="2"/>
  <c r="B2319" i="2"/>
  <c r="C490" i="2"/>
  <c r="B490" i="2"/>
  <c r="C191" i="2"/>
  <c r="B191" i="2"/>
  <c r="C2523" i="2"/>
  <c r="B2523" i="2"/>
  <c r="C1821" i="2"/>
  <c r="B1821" i="2"/>
  <c r="C1534" i="2"/>
  <c r="B1534" i="2"/>
  <c r="C1509" i="2"/>
  <c r="B1509" i="2"/>
  <c r="C1479" i="2"/>
  <c r="B1479" i="2"/>
  <c r="C739" i="2"/>
  <c r="B739" i="2"/>
  <c r="C95" i="2"/>
  <c r="B95" i="2"/>
  <c r="C58" i="2"/>
  <c r="B58" i="2"/>
  <c r="C1820" i="2"/>
  <c r="B1820" i="2"/>
  <c r="C454" i="2"/>
  <c r="B454" i="2"/>
  <c r="C366" i="2"/>
  <c r="B366" i="2"/>
  <c r="C365" i="2"/>
  <c r="B365" i="2"/>
  <c r="C71" i="2"/>
  <c r="B71" i="2"/>
  <c r="C2681" i="2"/>
  <c r="B2681" i="2"/>
  <c r="C1916" i="2"/>
  <c r="B1916" i="2"/>
  <c r="C1347" i="2"/>
  <c r="B1347" i="2"/>
  <c r="C1915" i="2"/>
  <c r="B1915" i="2"/>
  <c r="C1840" i="2"/>
  <c r="B1840" i="2"/>
  <c r="C1167" i="2"/>
  <c r="B1167" i="2"/>
  <c r="C777" i="2"/>
  <c r="B777" i="2"/>
  <c r="C1914" i="2"/>
  <c r="B1914" i="2"/>
  <c r="C1346" i="2"/>
  <c r="B1346" i="2"/>
  <c r="C1280" i="2"/>
  <c r="B1280" i="2"/>
  <c r="C348" i="2"/>
  <c r="B348" i="2"/>
  <c r="C1819" i="2"/>
  <c r="B1819" i="2"/>
  <c r="C772" i="2"/>
  <c r="B772" i="2"/>
  <c r="C1156" i="2"/>
  <c r="B1156" i="2"/>
  <c r="C299" i="2"/>
  <c r="B299" i="2"/>
  <c r="C2013" i="2"/>
  <c r="B2013" i="2"/>
  <c r="C1963" i="2"/>
  <c r="B1963" i="2"/>
  <c r="C1651" i="2"/>
  <c r="B1651" i="2"/>
  <c r="C599" i="2"/>
  <c r="B599" i="2"/>
  <c r="C421" i="2"/>
  <c r="B421" i="2"/>
  <c r="C2589" i="2"/>
  <c r="B2589" i="2"/>
  <c r="C2560" i="2"/>
  <c r="B2560" i="2"/>
  <c r="C1405" i="2"/>
  <c r="B1405" i="2"/>
  <c r="C1051" i="2"/>
  <c r="B1051" i="2"/>
  <c r="C960" i="2"/>
  <c r="B960" i="2"/>
  <c r="C550" i="2"/>
  <c r="B550" i="2"/>
  <c r="C2616" i="2"/>
  <c r="B2616" i="2"/>
  <c r="C973" i="2"/>
  <c r="B973" i="2"/>
  <c r="C598" i="2"/>
  <c r="B598" i="2"/>
  <c r="C2630" i="2"/>
  <c r="B2630" i="2"/>
  <c r="C1872" i="2"/>
  <c r="B1872" i="2"/>
  <c r="C1650" i="2"/>
  <c r="B1650" i="2"/>
  <c r="C1279" i="2"/>
  <c r="B1279" i="2"/>
  <c r="C915" i="2"/>
  <c r="B915" i="2"/>
  <c r="C874" i="2"/>
  <c r="B874" i="2"/>
  <c r="C549" i="2"/>
  <c r="B549" i="2"/>
  <c r="C412" i="2"/>
  <c r="B412" i="2"/>
  <c r="C2657" i="2"/>
  <c r="B2657" i="2"/>
  <c r="C2486" i="2"/>
  <c r="B2486" i="2"/>
  <c r="C1319" i="2"/>
  <c r="B1319" i="2"/>
  <c r="C1148" i="2"/>
  <c r="B1148" i="2"/>
  <c r="C43" i="2"/>
  <c r="B43" i="2"/>
  <c r="C2338" i="2"/>
  <c r="B2338" i="2"/>
  <c r="C2086" i="2"/>
  <c r="B2086" i="2"/>
  <c r="C42" i="2"/>
  <c r="B42" i="2"/>
  <c r="C2713" i="2"/>
  <c r="B2713" i="2"/>
  <c r="C2670" i="2"/>
  <c r="B2670" i="2"/>
  <c r="C1444" i="2"/>
  <c r="B1444" i="2"/>
  <c r="C453" i="2"/>
  <c r="B453" i="2"/>
  <c r="C314" i="2"/>
  <c r="B314" i="2"/>
  <c r="C147" i="2"/>
  <c r="B147" i="2"/>
  <c r="C2085" i="2"/>
  <c r="B2085" i="2"/>
  <c r="C603" i="2"/>
  <c r="B603" i="2"/>
  <c r="C489" i="2"/>
  <c r="B489" i="2"/>
  <c r="C2611" i="2"/>
  <c r="B2611" i="2"/>
  <c r="C1478" i="2"/>
  <c r="B1478" i="2"/>
  <c r="C2227" i="2"/>
  <c r="B2227" i="2"/>
  <c r="C2155" i="2"/>
  <c r="B2155" i="2"/>
  <c r="C2012" i="2"/>
  <c r="B2012" i="2"/>
  <c r="C1566" i="2"/>
  <c r="B1566" i="2"/>
  <c r="C452" i="2"/>
  <c r="B452" i="2"/>
  <c r="C381" i="2"/>
  <c r="B381" i="2"/>
  <c r="C123" i="2"/>
  <c r="B123" i="2"/>
  <c r="C2720" i="2"/>
  <c r="B2720" i="2"/>
  <c r="C2414" i="2"/>
  <c r="B2414" i="2"/>
  <c r="C2352" i="2"/>
  <c r="B2352" i="2"/>
  <c r="C1443" i="2"/>
  <c r="B1443" i="2"/>
  <c r="C1368" i="2"/>
  <c r="B1368" i="2"/>
  <c r="C608" i="2"/>
  <c r="B608" i="2"/>
  <c r="C548" i="2"/>
  <c r="B548" i="2"/>
  <c r="C1894" i="2"/>
  <c r="B1894" i="2"/>
  <c r="C1477" i="2"/>
  <c r="B1477" i="2"/>
  <c r="C1249" i="2"/>
  <c r="B1249" i="2"/>
  <c r="C451" i="2"/>
  <c r="B451" i="2"/>
  <c r="C364" i="2"/>
  <c r="B364" i="2"/>
  <c r="C363" i="2"/>
  <c r="B363" i="2"/>
  <c r="C1978" i="2"/>
  <c r="B1978" i="2"/>
  <c r="C838" i="2"/>
  <c r="B838" i="2"/>
  <c r="C230" i="2"/>
  <c r="B230" i="2"/>
  <c r="C171" i="2"/>
  <c r="B171" i="2"/>
  <c r="C2011" i="2"/>
  <c r="B2011" i="2"/>
  <c r="C873" i="2"/>
  <c r="B873" i="2"/>
  <c r="C153" i="2"/>
  <c r="B153" i="2"/>
  <c r="C1913" i="2"/>
  <c r="B1913" i="2"/>
  <c r="C1852" i="2"/>
  <c r="B1852" i="2"/>
  <c r="C1649" i="2"/>
  <c r="B1649" i="2"/>
  <c r="C1619" i="2"/>
  <c r="B1619" i="2"/>
  <c r="C1550" i="2"/>
  <c r="B1550" i="2"/>
  <c r="C1367" i="2"/>
  <c r="B1367" i="2"/>
  <c r="C1070" i="2"/>
  <c r="B1070" i="2"/>
  <c r="C1050" i="2"/>
  <c r="B1050" i="2"/>
  <c r="C597" i="2"/>
  <c r="B597" i="2"/>
  <c r="C2669" i="2"/>
  <c r="B2669" i="2"/>
  <c r="C2425" i="2"/>
  <c r="B2425" i="2"/>
  <c r="C2394" i="2"/>
  <c r="B2394" i="2"/>
  <c r="C1864" i="2"/>
  <c r="B1864" i="2"/>
  <c r="C1851" i="2"/>
  <c r="B1851" i="2"/>
  <c r="C1533" i="2"/>
  <c r="B1533" i="2"/>
  <c r="C1508" i="2"/>
  <c r="B1508" i="2"/>
  <c r="C1404" i="2"/>
  <c r="B1404" i="2"/>
  <c r="C1155" i="2"/>
  <c r="B1155" i="2"/>
  <c r="C1081" i="2"/>
  <c r="B1081" i="2"/>
  <c r="C811" i="2"/>
  <c r="B811" i="2"/>
  <c r="C547" i="2"/>
  <c r="B547" i="2"/>
  <c r="C470" i="2"/>
  <c r="B470" i="2"/>
  <c r="C205" i="2"/>
  <c r="B205" i="2"/>
  <c r="C134" i="2"/>
  <c r="B134" i="2"/>
  <c r="C1863" i="2"/>
  <c r="B1863" i="2"/>
  <c r="C1598" i="2"/>
  <c r="B1598" i="2"/>
  <c r="C1549" i="2"/>
  <c r="B1549" i="2"/>
  <c r="C1115" i="2"/>
  <c r="B1115" i="2"/>
  <c r="C810" i="2"/>
  <c r="B810" i="2"/>
  <c r="C633" i="2"/>
  <c r="B633" i="2"/>
  <c r="C2261" i="2"/>
  <c r="B2261" i="2"/>
  <c r="C2050" i="2"/>
  <c r="B2050" i="2"/>
  <c r="C1204" i="2"/>
  <c r="B1204" i="2"/>
  <c r="C2727" i="2"/>
  <c r="B2727" i="2"/>
  <c r="C2413" i="2"/>
  <c r="B2413" i="2"/>
  <c r="C1476" i="2"/>
  <c r="B1476" i="2"/>
  <c r="C1424" i="2"/>
  <c r="B1424" i="2"/>
  <c r="C1475" i="2"/>
  <c r="B1475" i="2"/>
  <c r="C1175" i="2"/>
  <c r="B1175" i="2"/>
  <c r="C1154" i="2"/>
  <c r="B1154" i="2"/>
  <c r="C632" i="2"/>
  <c r="B632" i="2"/>
  <c r="C394" i="2"/>
  <c r="B394" i="2"/>
  <c r="C37" i="2"/>
  <c r="B37" i="2"/>
  <c r="C9" i="2"/>
  <c r="B9" i="2"/>
  <c r="C2470" i="2"/>
  <c r="B2470" i="2"/>
  <c r="C2495" i="2"/>
  <c r="B2495" i="2"/>
  <c r="C204" i="2"/>
  <c r="B204" i="2"/>
  <c r="C146" i="2"/>
  <c r="B146" i="2"/>
  <c r="C1557" i="2"/>
  <c r="B1557" i="2"/>
  <c r="C122" i="2"/>
  <c r="B122" i="2"/>
  <c r="C546" i="2"/>
  <c r="B546" i="2"/>
  <c r="C265" i="2"/>
  <c r="B265" i="2"/>
  <c r="C2372" i="2"/>
  <c r="B2372" i="2"/>
  <c r="C1977" i="2"/>
  <c r="B1977" i="2"/>
  <c r="C1818" i="2"/>
  <c r="B1818" i="2"/>
  <c r="C1403" i="2"/>
  <c r="B1403" i="2"/>
  <c r="C771" i="2"/>
  <c r="B771" i="2"/>
  <c r="C450" i="2"/>
  <c r="B450" i="2"/>
  <c r="C1278" i="2"/>
  <c r="B1278" i="2"/>
  <c r="C110" i="2"/>
  <c r="B110" i="2"/>
  <c r="C2694" i="2"/>
  <c r="B2694" i="2"/>
  <c r="C2682" i="2"/>
  <c r="B2682" i="2"/>
  <c r="C2677" i="2"/>
  <c r="B2677" i="2"/>
  <c r="C2673" i="2"/>
  <c r="B2673" i="2"/>
  <c r="C2337" i="2"/>
  <c r="B2337" i="2"/>
  <c r="C1888" i="2"/>
  <c r="B1888" i="2"/>
  <c r="C914" i="2"/>
  <c r="B914" i="2"/>
  <c r="C313" i="2"/>
  <c r="B313" i="2"/>
  <c r="C2399" i="2"/>
  <c r="B2399" i="2"/>
  <c r="C488" i="2"/>
  <c r="B488" i="2"/>
  <c r="C2084" i="2"/>
  <c r="B2084" i="2"/>
  <c r="C1203" i="2"/>
  <c r="B1203" i="2"/>
  <c r="C2660" i="2"/>
  <c r="B2660" i="2"/>
  <c r="C2302" i="2"/>
  <c r="B2302" i="2"/>
  <c r="C1764" i="2"/>
  <c r="B1764" i="2"/>
  <c r="C1708" i="2"/>
  <c r="B1708" i="2"/>
  <c r="C1049" i="2"/>
  <c r="B1049" i="2"/>
  <c r="C837" i="2"/>
  <c r="B837" i="2"/>
  <c r="C2737" i="2"/>
  <c r="B2737" i="2"/>
  <c r="C2252" i="2"/>
  <c r="B2252" i="2"/>
  <c r="C1218" i="2"/>
  <c r="B1218" i="2"/>
  <c r="C946" i="2"/>
  <c r="B946" i="2"/>
  <c r="C782" i="2"/>
  <c r="B782" i="2"/>
  <c r="C449" i="2"/>
  <c r="B449" i="2"/>
  <c r="C203" i="2"/>
  <c r="B203" i="2"/>
  <c r="C1174" i="2"/>
  <c r="B1174" i="2"/>
  <c r="C1067" i="2"/>
  <c r="B1067" i="2"/>
  <c r="C411" i="2"/>
  <c r="B411" i="2"/>
  <c r="C185" i="2"/>
  <c r="B185" i="2"/>
  <c r="C1763" i="2"/>
  <c r="B1763" i="2"/>
  <c r="C1277" i="2"/>
  <c r="B1277" i="2"/>
  <c r="C631" i="2"/>
  <c r="B631" i="2"/>
  <c r="C770" i="2"/>
  <c r="B770" i="2"/>
  <c r="C2699" i="2"/>
  <c r="B2699" i="2"/>
  <c r="C2297" i="2"/>
  <c r="B2297" i="2"/>
  <c r="C1503" i="2"/>
  <c r="B1503" i="2"/>
  <c r="C1234" i="2"/>
  <c r="B1234" i="2"/>
  <c r="C1048" i="2"/>
  <c r="B1048" i="2"/>
  <c r="C905" i="2"/>
  <c r="B905" i="2"/>
  <c r="C738" i="2"/>
  <c r="B738" i="2"/>
  <c r="C142" i="2"/>
  <c r="B142" i="2"/>
  <c r="C2530" i="2"/>
  <c r="B2530" i="2"/>
  <c r="C2465" i="2"/>
  <c r="B2465" i="2"/>
  <c r="C2412" i="2"/>
  <c r="B2412" i="2"/>
  <c r="C1817" i="2"/>
  <c r="B1817" i="2"/>
  <c r="C1787" i="2"/>
  <c r="B1787" i="2"/>
  <c r="C1673" i="2"/>
  <c r="B1673" i="2"/>
  <c r="C1548" i="2"/>
  <c r="B1548" i="2"/>
  <c r="C1532" i="2"/>
  <c r="B1532" i="2"/>
  <c r="C613" i="2"/>
  <c r="B613" i="2"/>
  <c r="C2450" i="2"/>
  <c r="B2450" i="2"/>
  <c r="C2249" i="2"/>
  <c r="B2249" i="2"/>
  <c r="C2083" i="2"/>
  <c r="B2083" i="2"/>
  <c r="C2030" i="2"/>
  <c r="B2030" i="2"/>
  <c r="C1816" i="2"/>
  <c r="B1816" i="2"/>
  <c r="C1597" i="2"/>
  <c r="B1597" i="2"/>
  <c r="C1596" i="2"/>
  <c r="B1596" i="2"/>
  <c r="C1230" i="2"/>
  <c r="B1230" i="2"/>
  <c r="C1323" i="2"/>
  <c r="B1323" i="2"/>
  <c r="C653" i="2"/>
  <c r="B653" i="2"/>
  <c r="C57" i="2"/>
  <c r="B57" i="2"/>
  <c r="C2248" i="2"/>
  <c r="B2248" i="2"/>
  <c r="C1442" i="2"/>
  <c r="B1442" i="2"/>
  <c r="C1137" i="2"/>
  <c r="B1137" i="2"/>
  <c r="C1015" i="2"/>
  <c r="B1015" i="2"/>
  <c r="C801" i="2"/>
  <c r="B801" i="2"/>
  <c r="C2485" i="2"/>
  <c r="B2485" i="2"/>
  <c r="C1531" i="2"/>
  <c r="B1531" i="2"/>
  <c r="C1136" i="2"/>
  <c r="B1136" i="2"/>
  <c r="C971" i="2"/>
  <c r="B971" i="2"/>
  <c r="C756" i="2"/>
  <c r="B756" i="2"/>
  <c r="C737" i="2"/>
  <c r="B737" i="2"/>
  <c r="C332" i="2"/>
  <c r="B332" i="2"/>
  <c r="C2010" i="2"/>
  <c r="B2010" i="2"/>
  <c r="C1345" i="2"/>
  <c r="B1345" i="2"/>
  <c r="C836" i="2"/>
  <c r="B836" i="2"/>
  <c r="C704" i="2"/>
  <c r="B704" i="2"/>
  <c r="C545" i="2"/>
  <c r="B545" i="2"/>
  <c r="C289" i="2"/>
  <c r="B289" i="2"/>
  <c r="C2610" i="2"/>
  <c r="B2610" i="2"/>
  <c r="C1944" i="2"/>
  <c r="B1944" i="2"/>
  <c r="C1630" i="2"/>
  <c r="B1630" i="2"/>
  <c r="C1276" i="2"/>
  <c r="B1276" i="2"/>
  <c r="C448" i="2"/>
  <c r="B448" i="2"/>
  <c r="C1815" i="2"/>
  <c r="B1815" i="2"/>
  <c r="C1344" i="2"/>
  <c r="B1344" i="2"/>
  <c r="C1100" i="2"/>
  <c r="B1100" i="2"/>
  <c r="C713" i="2"/>
  <c r="B713" i="2"/>
  <c r="C694" i="2"/>
  <c r="B694" i="2"/>
  <c r="C2648" i="2"/>
  <c r="B2648" i="2"/>
  <c r="C2049" i="2"/>
  <c r="B2049" i="2"/>
  <c r="C2028" i="2"/>
  <c r="B2028" i="2"/>
  <c r="C1814" i="2"/>
  <c r="B1814" i="2"/>
  <c r="C184" i="2"/>
  <c r="B184" i="2"/>
  <c r="C1648" i="2"/>
  <c r="B1648" i="2"/>
  <c r="C1474" i="2"/>
  <c r="B1474" i="2"/>
  <c r="C170" i="2"/>
  <c r="B170" i="2"/>
  <c r="C2577" i="2"/>
  <c r="B2577" i="2"/>
  <c r="C1912" i="2"/>
  <c r="B1912" i="2"/>
  <c r="C1556" i="2"/>
  <c r="B1556" i="2"/>
  <c r="C1502" i="2"/>
  <c r="B1502" i="2"/>
  <c r="C890" i="2"/>
  <c r="B890" i="2"/>
  <c r="C630" i="2"/>
  <c r="B630" i="2"/>
  <c r="C331" i="2"/>
  <c r="B331" i="2"/>
  <c r="C56" i="2"/>
  <c r="B56" i="2"/>
  <c r="C2634" i="2"/>
  <c r="B2634" i="2"/>
  <c r="C2602" i="2"/>
  <c r="B2602" i="2"/>
  <c r="C2336" i="2"/>
  <c r="B2336" i="2"/>
  <c r="C792" i="2"/>
  <c r="B792" i="2"/>
  <c r="C508" i="2"/>
  <c r="B508" i="2"/>
  <c r="C2048" i="2"/>
  <c r="B2048" i="2"/>
  <c r="C544" i="2"/>
  <c r="B544" i="2"/>
  <c r="C513" i="2"/>
  <c r="B513" i="2"/>
  <c r="C1911" i="2"/>
  <c r="B1911" i="2"/>
  <c r="C2592" i="2"/>
  <c r="B2592" i="2"/>
  <c r="C1295" i="2"/>
  <c r="B1295" i="2"/>
  <c r="C1294" i="2"/>
  <c r="B1294" i="2"/>
  <c r="C945" i="2"/>
  <c r="B945" i="2"/>
  <c r="C2435" i="2"/>
  <c r="B2435" i="2"/>
  <c r="C2434" i="2"/>
  <c r="B2434" i="2"/>
  <c r="C2358" i="2"/>
  <c r="B2358" i="2"/>
  <c r="C1113" i="2"/>
  <c r="B1113" i="2"/>
  <c r="C1005" i="2"/>
  <c r="B1005" i="2"/>
  <c r="C926" i="2"/>
  <c r="B926" i="2"/>
  <c r="C835" i="2"/>
  <c r="B835" i="2"/>
  <c r="C70" i="2"/>
  <c r="B70" i="2"/>
  <c r="C2576" i="2"/>
  <c r="B2576" i="2"/>
  <c r="C1962" i="2"/>
  <c r="B1962" i="2"/>
  <c r="C1047" i="2"/>
  <c r="B1047" i="2"/>
  <c r="C241" i="2"/>
  <c r="B241" i="2"/>
  <c r="C1887" i="2"/>
  <c r="B1887" i="2"/>
  <c r="C1595" i="2"/>
  <c r="B1595" i="2"/>
  <c r="C1910" i="2"/>
  <c r="B1910" i="2"/>
  <c r="C2500" i="2"/>
  <c r="B2500" i="2"/>
  <c r="C2472" i="2"/>
  <c r="B2472" i="2"/>
  <c r="C1976" i="2"/>
  <c r="B1976" i="2"/>
  <c r="C1886" i="2"/>
  <c r="B1886" i="2"/>
  <c r="C1850" i="2"/>
  <c r="B1850" i="2"/>
  <c r="C1707" i="2"/>
  <c r="B1707" i="2"/>
  <c r="C1684" i="2"/>
  <c r="B1684" i="2"/>
  <c r="C1665" i="2"/>
  <c r="B1665" i="2"/>
  <c r="C1594" i="2"/>
  <c r="B1594" i="2"/>
  <c r="C1202" i="2"/>
  <c r="B1202" i="2"/>
  <c r="C1014" i="2"/>
  <c r="B1014" i="2"/>
  <c r="C693" i="2"/>
  <c r="B693" i="2"/>
  <c r="C76" i="2"/>
  <c r="B76" i="2"/>
  <c r="C8" i="2"/>
  <c r="B8" i="2"/>
  <c r="C2247" i="2"/>
  <c r="B2247" i="2"/>
  <c r="C2106" i="2"/>
  <c r="B2106" i="2"/>
  <c r="C1777" i="2"/>
  <c r="B1777" i="2"/>
  <c r="C1473" i="2"/>
  <c r="B1473" i="2"/>
  <c r="C1246" i="2"/>
  <c r="B1246" i="2"/>
  <c r="C629" i="2"/>
  <c r="B629" i="2"/>
  <c r="C447" i="2"/>
  <c r="B447" i="2"/>
  <c r="C36" i="2"/>
  <c r="B36" i="2"/>
  <c r="C1862" i="2"/>
  <c r="B1862" i="2"/>
  <c r="C1772" i="2"/>
  <c r="B1772" i="2"/>
  <c r="C1046" i="2"/>
  <c r="B1046" i="2"/>
  <c r="C581" i="2"/>
  <c r="B581" i="2"/>
  <c r="C155" i="2"/>
  <c r="B155" i="2"/>
  <c r="C2509" i="2"/>
  <c r="B2509" i="2"/>
  <c r="C2356" i="2"/>
  <c r="B2356" i="2"/>
  <c r="C2296" i="2"/>
  <c r="B2296" i="2"/>
  <c r="C1975" i="2"/>
  <c r="B1975" i="2"/>
  <c r="C1201" i="2"/>
  <c r="B1201" i="2"/>
  <c r="C1045" i="2"/>
  <c r="B1045" i="2"/>
  <c r="C2596" i="2"/>
  <c r="B2596" i="2"/>
  <c r="C1374" i="2"/>
  <c r="B1374" i="2"/>
  <c r="C1343" i="2"/>
  <c r="B1343" i="2"/>
  <c r="C781" i="2"/>
  <c r="B781" i="2"/>
  <c r="C628" i="2"/>
  <c r="B628" i="2"/>
  <c r="C264" i="2"/>
  <c r="B264" i="2"/>
  <c r="C2186" i="2"/>
  <c r="B2186" i="2"/>
  <c r="C1472" i="2"/>
  <c r="B1472" i="2"/>
  <c r="C1088" i="2"/>
  <c r="B1088" i="2"/>
  <c r="C872" i="2"/>
  <c r="B872" i="2"/>
  <c r="C78" i="2"/>
  <c r="B78" i="2"/>
  <c r="C2484" i="2"/>
  <c r="B2484" i="2"/>
  <c r="C1200" i="2"/>
  <c r="B1200" i="2"/>
  <c r="C1199" i="2"/>
  <c r="B1199" i="2"/>
  <c r="C834" i="2"/>
  <c r="B834" i="2"/>
  <c r="C692" i="2"/>
  <c r="B692" i="2"/>
  <c r="C1135" i="2"/>
  <c r="B1135" i="2"/>
  <c r="C596" i="2"/>
  <c r="B596" i="2"/>
  <c r="C121" i="2"/>
  <c r="B121" i="2"/>
  <c r="C2469" i="2"/>
  <c r="B2469" i="2"/>
  <c r="C2420" i="2"/>
  <c r="B2420" i="2"/>
  <c r="C2009" i="2"/>
  <c r="B2009" i="2"/>
  <c r="C1618" i="2"/>
  <c r="B1618" i="2"/>
  <c r="C1021" i="2"/>
  <c r="B1021" i="2"/>
  <c r="C673" i="2"/>
  <c r="B673" i="2"/>
  <c r="C507" i="2"/>
  <c r="B507" i="2"/>
  <c r="C202" i="2"/>
  <c r="B202" i="2"/>
  <c r="C2583" i="2"/>
  <c r="B2583" i="2"/>
  <c r="C2575" i="2"/>
  <c r="B2575" i="2"/>
  <c r="C2327" i="2"/>
  <c r="B2327" i="2"/>
  <c r="C2246" i="2"/>
  <c r="B2246" i="2"/>
  <c r="C1776" i="2"/>
  <c r="B1776" i="2"/>
  <c r="C446" i="2"/>
  <c r="B446" i="2"/>
  <c r="C298" i="2"/>
  <c r="B298" i="2"/>
  <c r="C1647" i="2"/>
  <c r="B1647" i="2"/>
  <c r="C1492" i="2"/>
  <c r="B1492" i="2"/>
  <c r="C263" i="2"/>
  <c r="B263" i="2"/>
  <c r="C240" i="2"/>
  <c r="B240" i="2"/>
  <c r="C1992" i="2"/>
  <c r="B1992" i="2"/>
  <c r="C1813" i="2"/>
  <c r="B1813" i="2"/>
  <c r="C1471" i="2"/>
  <c r="B1471" i="2"/>
  <c r="C1441" i="2"/>
  <c r="B1441" i="2"/>
  <c r="C1402" i="2"/>
  <c r="B1402" i="2"/>
  <c r="C1000" i="2"/>
  <c r="B1000" i="2"/>
  <c r="C239" i="2"/>
  <c r="B239" i="2"/>
  <c r="C1909" i="2"/>
  <c r="B1909" i="2"/>
  <c r="C1908" i="2"/>
  <c r="B1908" i="2"/>
  <c r="C2722" i="2"/>
  <c r="B2722" i="2"/>
  <c r="C2388" i="2"/>
  <c r="B2388" i="2"/>
  <c r="C2154" i="2"/>
  <c r="B2154" i="2"/>
  <c r="C469" i="2"/>
  <c r="B469" i="2"/>
  <c r="C2701" i="2"/>
  <c r="B2701" i="2"/>
  <c r="C2163" i="2"/>
  <c r="B2163" i="2"/>
  <c r="C506" i="2"/>
  <c r="B506" i="2"/>
  <c r="C2411" i="2"/>
  <c r="B2411" i="2"/>
  <c r="C2322" i="2"/>
  <c r="B2322" i="2"/>
  <c r="C2295" i="2"/>
  <c r="B2295" i="2"/>
  <c r="C41" i="2"/>
  <c r="B41" i="2"/>
  <c r="C2627" i="2"/>
  <c r="B2627" i="2"/>
  <c r="C2449" i="2"/>
  <c r="B2449" i="2"/>
  <c r="C2162" i="2"/>
  <c r="B2162" i="2"/>
  <c r="C2082" i="2"/>
  <c r="B2082" i="2"/>
  <c r="C1786" i="2"/>
  <c r="B1786" i="2"/>
  <c r="C1134" i="2"/>
  <c r="B1134" i="2"/>
  <c r="C2226" i="2"/>
  <c r="B2226" i="2"/>
  <c r="C262" i="2"/>
  <c r="B262" i="2"/>
  <c r="C1961" i="2"/>
  <c r="B1961" i="2"/>
  <c r="C1198" i="2"/>
  <c r="B1198" i="2"/>
  <c r="C2433" i="2"/>
  <c r="B2433" i="2"/>
  <c r="C833" i="2"/>
  <c r="B833" i="2"/>
  <c r="C261" i="2"/>
  <c r="B261" i="2"/>
  <c r="C2736" i="2"/>
  <c r="B2736" i="2"/>
  <c r="C2647" i="2"/>
  <c r="B2647" i="2"/>
  <c r="C2400" i="2"/>
  <c r="B2400" i="2"/>
  <c r="C2189" i="2"/>
  <c r="B2189" i="2"/>
  <c r="C1762" i="2"/>
  <c r="B1762" i="2"/>
  <c r="C1342" i="2"/>
  <c r="B1342" i="2"/>
  <c r="C850" i="2"/>
  <c r="B850" i="2"/>
  <c r="C766" i="2"/>
  <c r="B766" i="2"/>
  <c r="C487" i="2"/>
  <c r="B487" i="2"/>
  <c r="C445" i="2"/>
  <c r="B445" i="2"/>
  <c r="C312" i="2"/>
  <c r="B312" i="2"/>
  <c r="C2685" i="2"/>
  <c r="B2685" i="2"/>
  <c r="C2387" i="2"/>
  <c r="B2387" i="2"/>
  <c r="C2027" i="2"/>
  <c r="B2027" i="2"/>
  <c r="C1849" i="2"/>
  <c r="B1849" i="2"/>
  <c r="C959" i="2"/>
  <c r="B959" i="2"/>
  <c r="C736" i="2"/>
  <c r="B736" i="2"/>
  <c r="C120" i="2"/>
  <c r="B120" i="2"/>
  <c r="C2552" i="2"/>
  <c r="B2552" i="2"/>
  <c r="C2494" i="2"/>
  <c r="B2494" i="2"/>
  <c r="C965" i="2"/>
  <c r="B965" i="2"/>
  <c r="C627" i="2"/>
  <c r="B627" i="2"/>
  <c r="C2730" i="2"/>
  <c r="B2730" i="2"/>
  <c r="C2225" i="2"/>
  <c r="B2225" i="2"/>
  <c r="C1110" i="2"/>
  <c r="B1110" i="2"/>
  <c r="C691" i="2"/>
  <c r="B691" i="2"/>
  <c r="C505" i="2"/>
  <c r="B505" i="2"/>
  <c r="C77" i="2"/>
  <c r="B77" i="2"/>
  <c r="C410" i="2"/>
  <c r="B410" i="2"/>
  <c r="C2680" i="2"/>
  <c r="B2680" i="2"/>
  <c r="C2453" i="2"/>
  <c r="B2453" i="2"/>
  <c r="C543" i="2"/>
  <c r="B543" i="2"/>
  <c r="C2684" i="2"/>
  <c r="B2684" i="2"/>
  <c r="C1861" i="2"/>
  <c r="B1861" i="2"/>
  <c r="C1173" i="2"/>
  <c r="B1173" i="2"/>
  <c r="C542" i="2"/>
  <c r="B542" i="2"/>
  <c r="C2452" i="2"/>
  <c r="B2452" i="2"/>
  <c r="C2386" i="2"/>
  <c r="B2386" i="2"/>
  <c r="C2008" i="2"/>
  <c r="B2008" i="2"/>
  <c r="C1530" i="2"/>
  <c r="B1530" i="2"/>
  <c r="C706" i="2"/>
  <c r="B706" i="2"/>
  <c r="C444" i="2"/>
  <c r="B444" i="2"/>
  <c r="C2361" i="2"/>
  <c r="B2361" i="2"/>
  <c r="C2024" i="2"/>
  <c r="B2024" i="2"/>
  <c r="C1974" i="2"/>
  <c r="B1974" i="2"/>
  <c r="C607" i="2"/>
  <c r="B607" i="2"/>
  <c r="C288" i="2"/>
  <c r="B288" i="2"/>
  <c r="C238" i="2"/>
  <c r="B238" i="2"/>
  <c r="C237" i="2"/>
  <c r="B237" i="2"/>
  <c r="C2448" i="2"/>
  <c r="B2448" i="2"/>
  <c r="C1341" i="2"/>
  <c r="B1341" i="2"/>
  <c r="C1316" i="2"/>
  <c r="B1316" i="2"/>
  <c r="C913" i="2"/>
  <c r="B913" i="2"/>
  <c r="C800" i="2"/>
  <c r="B800" i="2"/>
  <c r="C672" i="2"/>
  <c r="B672" i="2"/>
  <c r="C2460" i="2"/>
  <c r="B2460" i="2"/>
  <c r="C2371" i="2"/>
  <c r="B2371" i="2"/>
  <c r="C2294" i="2"/>
  <c r="B2294" i="2"/>
  <c r="C2203" i="2"/>
  <c r="B2203" i="2"/>
  <c r="C2081" i="2"/>
  <c r="B2081" i="2"/>
  <c r="C584" i="2"/>
  <c r="B584" i="2"/>
  <c r="C35" i="2"/>
  <c r="B35" i="2"/>
  <c r="C1646" i="2"/>
  <c r="B1646" i="2"/>
  <c r="C858" i="2"/>
  <c r="B858" i="2"/>
  <c r="C183" i="2"/>
  <c r="B183" i="2"/>
  <c r="C2047" i="2"/>
  <c r="B2047" i="2"/>
  <c r="C1340" i="2"/>
  <c r="B1340" i="2"/>
  <c r="C2120" i="2"/>
  <c r="B2120" i="2"/>
  <c r="C443" i="2"/>
  <c r="B443" i="2"/>
  <c r="C405" i="2"/>
  <c r="B405" i="2"/>
  <c r="C2519" i="2"/>
  <c r="B2519" i="2"/>
  <c r="C2080" i="2"/>
  <c r="B2080" i="2"/>
  <c r="C1616" i="2"/>
  <c r="B1616" i="2"/>
  <c r="C1423" i="2"/>
  <c r="B1423" i="2"/>
  <c r="C1197" i="2"/>
  <c r="B1197" i="2"/>
  <c r="C999" i="2"/>
  <c r="B999" i="2"/>
  <c r="C519" i="2"/>
  <c r="B519" i="2"/>
  <c r="C442" i="2"/>
  <c r="B442" i="2"/>
  <c r="C311" i="2"/>
  <c r="B311" i="2"/>
  <c r="C2621" i="2"/>
  <c r="B2621" i="2"/>
  <c r="C541" i="2"/>
  <c r="B541" i="2"/>
  <c r="C310" i="2"/>
  <c r="B310" i="2"/>
  <c r="C486" i="2"/>
  <c r="B486" i="2"/>
  <c r="C1066" i="2"/>
  <c r="B1066" i="2"/>
  <c r="C1431" i="2"/>
  <c r="B1431" i="2"/>
  <c r="C485" i="2"/>
  <c r="B485" i="2"/>
  <c r="C2529" i="2"/>
  <c r="B2529" i="2"/>
  <c r="C2370" i="2"/>
  <c r="B2370" i="2"/>
  <c r="C1571" i="2"/>
  <c r="B1571" i="2"/>
  <c r="C703" i="2"/>
  <c r="B703" i="2"/>
  <c r="C1785" i="2"/>
  <c r="B1785" i="2"/>
  <c r="C1706" i="2"/>
  <c r="B1706" i="2"/>
  <c r="C832" i="2"/>
  <c r="B832" i="2"/>
  <c r="C809" i="2"/>
  <c r="B809" i="2"/>
  <c r="C577" i="2"/>
  <c r="B577" i="2"/>
  <c r="C236" i="2"/>
  <c r="B236" i="2"/>
  <c r="C2721" i="2"/>
  <c r="B2721" i="2"/>
  <c r="C2724" i="2"/>
  <c r="B2724" i="2"/>
  <c r="C2129" i="2"/>
  <c r="B2129" i="2"/>
  <c r="C518" i="2"/>
  <c r="B518" i="2"/>
  <c r="C2202" i="2"/>
  <c r="B2202" i="2"/>
  <c r="C1196" i="2"/>
  <c r="B1196" i="2"/>
  <c r="C1153" i="2"/>
  <c r="B1153" i="2"/>
  <c r="C2615" i="2"/>
  <c r="B2615" i="2"/>
  <c r="C1860" i="2"/>
  <c r="B1860" i="2"/>
  <c r="C1761" i="2"/>
  <c r="B1761" i="2"/>
  <c r="C1547" i="2"/>
  <c r="B1547" i="2"/>
  <c r="C1470" i="2"/>
  <c r="B1470" i="2"/>
  <c r="C260" i="2"/>
  <c r="B260" i="2"/>
  <c r="C1321" i="2"/>
  <c r="B1321" i="2"/>
  <c r="C201" i="2"/>
  <c r="B201" i="2"/>
  <c r="C643" i="2"/>
  <c r="B643" i="2"/>
  <c r="C1926" i="2"/>
  <c r="B1926" i="2"/>
  <c r="C1839" i="2"/>
  <c r="B1839" i="2"/>
  <c r="C1315" i="2"/>
  <c r="B1315" i="2"/>
  <c r="C1223" i="2"/>
  <c r="B1223" i="2"/>
  <c r="C362" i="2"/>
  <c r="B362" i="2"/>
  <c r="C831" i="2"/>
  <c r="B831" i="2"/>
  <c r="C1938" i="2"/>
  <c r="B1938" i="2"/>
  <c r="C1593" i="2"/>
  <c r="B1593" i="2"/>
  <c r="C1373" i="2"/>
  <c r="B1373" i="2"/>
  <c r="C2201" i="2"/>
  <c r="B2201" i="2"/>
  <c r="C220" i="2"/>
  <c r="B220" i="2"/>
  <c r="C1592" i="2"/>
  <c r="B1592" i="2"/>
  <c r="C517" i="2"/>
  <c r="B517" i="2"/>
  <c r="C2424" i="2"/>
  <c r="B2424" i="2"/>
  <c r="C671" i="2"/>
  <c r="B671" i="2"/>
  <c r="C2705" i="2"/>
  <c r="B2705" i="2"/>
  <c r="C2119" i="2"/>
  <c r="B2119" i="2"/>
  <c r="C1645" i="2"/>
  <c r="B1645" i="2"/>
  <c r="C2591" i="2"/>
  <c r="B2591" i="2"/>
  <c r="C1065" i="2"/>
  <c r="B1065" i="2"/>
  <c r="C998" i="2"/>
  <c r="B998" i="2"/>
  <c r="C259" i="2"/>
  <c r="B259" i="2"/>
  <c r="C235" i="2"/>
  <c r="B235" i="2"/>
  <c r="C145" i="2"/>
  <c r="B145" i="2"/>
  <c r="C1775" i="2"/>
  <c r="B1775" i="2"/>
  <c r="C1591" i="2"/>
  <c r="B1591" i="2"/>
  <c r="C2200" i="2"/>
  <c r="B2200" i="2"/>
  <c r="C540" i="2"/>
  <c r="B540" i="2"/>
  <c r="C1760" i="2"/>
  <c r="B1760" i="2"/>
  <c r="C1644" i="2"/>
  <c r="B1644" i="2"/>
  <c r="C1133" i="2"/>
  <c r="B1133" i="2"/>
  <c r="C2501" i="2"/>
  <c r="B2501" i="2"/>
  <c r="C200" i="2"/>
  <c r="B200" i="2"/>
  <c r="C1080" i="2"/>
  <c r="B1080" i="2"/>
  <c r="C1079" i="2"/>
  <c r="B1079" i="2"/>
  <c r="C830" i="2"/>
  <c r="B830" i="2"/>
  <c r="C595" i="2"/>
  <c r="B595" i="2"/>
  <c r="C2293" i="2"/>
  <c r="B2293" i="2"/>
  <c r="C1664" i="2"/>
  <c r="B1664" i="2"/>
  <c r="C642" i="2"/>
  <c r="B642" i="2"/>
  <c r="C2185" i="2"/>
  <c r="B2185" i="2"/>
  <c r="C889" i="2"/>
  <c r="B889" i="2"/>
  <c r="C829" i="2"/>
  <c r="B829" i="2"/>
  <c r="C1020" i="2"/>
  <c r="B1020" i="2"/>
  <c r="C970" i="2"/>
  <c r="B970" i="2"/>
  <c r="C94" i="2"/>
  <c r="B94" i="2"/>
  <c r="C26" i="2"/>
  <c r="B26" i="2"/>
  <c r="C1937" i="2"/>
  <c r="B1937" i="2"/>
  <c r="C1275" i="2"/>
  <c r="B1275" i="2"/>
  <c r="C1195" i="2"/>
  <c r="B1195" i="2"/>
  <c r="C871" i="2"/>
  <c r="B871" i="2"/>
  <c r="C755" i="2"/>
  <c r="B755" i="2"/>
  <c r="C1132" i="2"/>
  <c r="B1132" i="2"/>
  <c r="C2528" i="2"/>
  <c r="B2528" i="2"/>
  <c r="C1672" i="2"/>
  <c r="B1672" i="2"/>
  <c r="C702" i="2"/>
  <c r="B702" i="2"/>
  <c r="C1044" i="2"/>
  <c r="B1044" i="2"/>
  <c r="C361" i="2"/>
  <c r="B361" i="2"/>
  <c r="C152" i="2"/>
  <c r="B152" i="2"/>
  <c r="C2046" i="2"/>
  <c r="B2046" i="2"/>
  <c r="C2199" i="2"/>
  <c r="B2199" i="2"/>
  <c r="C2007" i="2"/>
  <c r="B2007" i="2"/>
  <c r="C2006" i="2"/>
  <c r="B2006" i="2"/>
  <c r="C1960" i="2"/>
  <c r="B1960" i="2"/>
  <c r="C997" i="2"/>
  <c r="B997" i="2"/>
  <c r="C360" i="2"/>
  <c r="B360" i="2"/>
  <c r="C169" i="2"/>
  <c r="B169" i="2"/>
  <c r="C93" i="2"/>
  <c r="B93" i="2"/>
  <c r="C828" i="2"/>
  <c r="B828" i="2"/>
  <c r="C168" i="2"/>
  <c r="B168" i="2"/>
  <c r="C119" i="2"/>
  <c r="B119" i="2"/>
  <c r="C2276" i="2"/>
  <c r="B2276" i="2"/>
  <c r="C1131" i="2"/>
  <c r="B1131" i="2"/>
  <c r="C944" i="2"/>
  <c r="B944" i="2"/>
  <c r="C1215" i="2"/>
  <c r="B1215" i="2"/>
  <c r="C1214" i="2"/>
  <c r="B1214" i="2"/>
  <c r="C718" i="2"/>
  <c r="B718" i="2"/>
  <c r="C657" i="2"/>
  <c r="B657" i="2"/>
  <c r="C504" i="2"/>
  <c r="B504" i="2"/>
  <c r="C1401" i="2"/>
  <c r="B1401" i="2"/>
  <c r="C1339" i="2"/>
  <c r="B1339" i="2"/>
  <c r="C118" i="2"/>
  <c r="B118" i="2"/>
  <c r="C1400" i="2"/>
  <c r="B1400" i="2"/>
  <c r="C2542" i="2"/>
  <c r="B2542" i="2"/>
  <c r="C2490" i="2"/>
  <c r="B2490" i="2"/>
  <c r="C1109" i="2"/>
  <c r="B1109" i="2"/>
  <c r="C1570" i="2"/>
  <c r="B1570" i="2"/>
  <c r="C1172" i="2"/>
  <c r="B1172" i="2"/>
  <c r="C287" i="2"/>
  <c r="B287" i="2"/>
  <c r="C2045" i="2"/>
  <c r="B2045" i="2"/>
  <c r="C791" i="2"/>
  <c r="B791" i="2"/>
  <c r="C1759" i="2"/>
  <c r="B1759" i="2"/>
  <c r="C1779" i="2"/>
  <c r="B1779" i="2"/>
  <c r="C670" i="2"/>
  <c r="B670" i="2"/>
  <c r="C943" i="2"/>
  <c r="B943" i="2"/>
  <c r="C827" i="2"/>
  <c r="B827" i="2"/>
  <c r="C258" i="2"/>
  <c r="B258" i="2"/>
  <c r="C359" i="2"/>
  <c r="B359" i="2"/>
  <c r="C25" i="2"/>
  <c r="B25" i="2"/>
  <c r="C2245" i="2"/>
  <c r="B2245" i="2"/>
  <c r="C484" i="2"/>
  <c r="B484" i="2"/>
  <c r="C483" i="2"/>
  <c r="B483" i="2"/>
  <c r="C2292" i="2"/>
  <c r="B2292" i="2"/>
  <c r="C1643" i="2"/>
  <c r="B1643" i="2"/>
  <c r="C257" i="2"/>
  <c r="B257" i="2"/>
  <c r="C309" i="2"/>
  <c r="B309" i="2"/>
  <c r="C286" i="2"/>
  <c r="B286" i="2"/>
  <c r="C826" i="2"/>
  <c r="B826" i="2"/>
  <c r="C256" i="2"/>
  <c r="B256" i="2"/>
  <c r="C870" i="2"/>
  <c r="B870" i="2"/>
  <c r="C735" i="2"/>
  <c r="B735" i="2"/>
  <c r="C2214" i="2"/>
  <c r="B2214" i="2"/>
  <c r="C2291" i="2"/>
  <c r="B2291" i="2"/>
  <c r="C1642" i="2"/>
  <c r="B1642" i="2"/>
  <c r="C358" i="2"/>
  <c r="B358" i="2"/>
  <c r="C24" i="2"/>
  <c r="B24" i="2"/>
  <c r="C2244" i="2"/>
  <c r="B2244" i="2"/>
  <c r="C482" i="2"/>
  <c r="B482" i="2"/>
  <c r="C481" i="2"/>
  <c r="B481" i="2"/>
  <c r="C2044" i="2"/>
  <c r="B2044" i="2"/>
  <c r="C2746" i="2"/>
  <c r="B2746" i="2"/>
  <c r="C2714" i="2"/>
  <c r="B2714" i="2"/>
  <c r="C2693" i="2"/>
  <c r="B2693" i="2"/>
  <c r="C2638" i="2"/>
  <c r="B2638" i="2"/>
  <c r="C2601" i="2"/>
  <c r="B2601" i="2"/>
  <c r="C2588" i="2"/>
  <c r="B2588" i="2"/>
  <c r="C2559" i="2"/>
  <c r="B2559" i="2"/>
  <c r="C2541" i="2"/>
  <c r="B2541" i="2"/>
  <c r="C2538" i="2"/>
  <c r="B2538" i="2"/>
  <c r="C2518" i="2"/>
  <c r="B2518" i="2"/>
  <c r="C2517" i="2"/>
  <c r="B2517" i="2"/>
  <c r="C2432" i="2"/>
  <c r="B2432" i="2"/>
  <c r="C2431" i="2"/>
  <c r="B2431" i="2"/>
  <c r="C2369" i="2"/>
  <c r="B2369" i="2"/>
  <c r="C2351" i="2"/>
  <c r="B2351" i="2"/>
  <c r="C2318" i="2"/>
  <c r="B2318" i="2"/>
  <c r="C2317" i="2"/>
  <c r="B2317" i="2"/>
  <c r="C2290" i="2"/>
  <c r="B2290" i="2"/>
  <c r="C2289" i="2"/>
  <c r="B2289" i="2"/>
  <c r="C2288" i="2"/>
  <c r="B2288" i="2"/>
  <c r="C2236" i="2"/>
  <c r="B2236" i="2"/>
  <c r="C2224" i="2"/>
  <c r="B2224" i="2"/>
  <c r="C2223" i="2"/>
  <c r="B2223" i="2"/>
  <c r="C2213" i="2"/>
  <c r="B2213" i="2"/>
  <c r="C2153" i="2"/>
  <c r="B2153" i="2"/>
  <c r="C2152" i="2"/>
  <c r="B2152" i="2"/>
  <c r="C2131" i="2"/>
  <c r="B2131" i="2"/>
  <c r="C2079" i="2"/>
  <c r="B2079" i="2"/>
  <c r="C2063" i="2"/>
  <c r="B2063" i="2"/>
  <c r="C2056" i="2"/>
  <c r="B2056" i="2"/>
  <c r="C2023" i="2"/>
  <c r="B2023" i="2"/>
  <c r="C1986" i="2"/>
  <c r="B1986" i="2"/>
  <c r="C1959" i="2"/>
  <c r="B1959" i="2"/>
  <c r="C1893" i="2"/>
  <c r="B1893" i="2"/>
  <c r="C1859" i="2"/>
  <c r="B1859" i="2"/>
  <c r="C1858" i="2"/>
  <c r="B1858" i="2"/>
  <c r="C1857" i="2"/>
  <c r="B1857" i="2"/>
  <c r="C1848" i="2"/>
  <c r="B1848" i="2"/>
  <c r="C1842" i="2"/>
  <c r="B1842" i="2"/>
  <c r="C1812" i="2"/>
  <c r="B1812" i="2"/>
  <c r="C1811" i="2"/>
  <c r="B1811" i="2"/>
  <c r="C1810" i="2"/>
  <c r="B1810" i="2"/>
  <c r="C1784" i="2"/>
  <c r="B1784" i="2"/>
  <c r="C1780" i="2"/>
  <c r="B1780" i="2"/>
  <c r="C1736" i="2"/>
  <c r="B1736" i="2"/>
  <c r="C1723" i="2"/>
  <c r="B1723" i="2"/>
  <c r="C1722" i="2"/>
  <c r="B1722" i="2"/>
  <c r="C1705" i="2"/>
  <c r="B1705" i="2"/>
  <c r="C1663" i="2"/>
  <c r="B1663" i="2"/>
  <c r="C1641" i="2"/>
  <c r="B1641" i="2"/>
  <c r="C1640" i="2"/>
  <c r="B1640" i="2"/>
  <c r="C1639" i="2"/>
  <c r="B1639" i="2"/>
  <c r="C1555" i="2"/>
  <c r="B1555" i="2"/>
  <c r="C1529" i="2"/>
  <c r="B1529" i="2"/>
  <c r="C1528" i="2"/>
  <c r="B1528" i="2"/>
  <c r="C1527" i="2"/>
  <c r="B1527" i="2"/>
  <c r="C1469" i="2"/>
  <c r="B1469" i="2"/>
  <c r="C1468" i="2"/>
  <c r="B1468" i="2"/>
  <c r="C1467" i="2"/>
  <c r="B1467" i="2"/>
  <c r="C1399" i="2"/>
  <c r="B1399" i="2"/>
  <c r="C1378" i="2"/>
  <c r="B1378" i="2"/>
  <c r="C1298" i="2"/>
  <c r="B1298" i="2"/>
  <c r="C1293" i="2"/>
  <c r="B1293" i="2"/>
  <c r="C1292" i="2"/>
  <c r="B1292" i="2"/>
  <c r="C1274" i="2"/>
  <c r="B1274" i="2"/>
  <c r="C1229" i="2"/>
  <c r="B1229" i="2"/>
  <c r="C1228" i="2"/>
  <c r="B1228" i="2"/>
  <c r="C1171" i="2"/>
  <c r="B1171" i="2"/>
  <c r="C1130" i="2"/>
  <c r="B1130" i="2"/>
  <c r="C1129" i="2"/>
  <c r="B1129" i="2"/>
  <c r="C1128" i="2"/>
  <c r="B1128" i="2"/>
  <c r="C1069" i="2"/>
  <c r="B1069" i="2"/>
  <c r="C964" i="2"/>
  <c r="B964" i="2"/>
  <c r="C942" i="2"/>
  <c r="B942" i="2"/>
  <c r="C941" i="2"/>
  <c r="B941" i="2"/>
  <c r="C940" i="2"/>
  <c r="B940" i="2"/>
  <c r="C903" i="2"/>
  <c r="B903" i="2"/>
  <c r="C888" i="2"/>
  <c r="B888" i="2"/>
  <c r="C1758" i="2"/>
  <c r="B1758" i="2"/>
  <c r="C2043" i="2"/>
  <c r="B2043" i="2"/>
  <c r="C2005" i="2"/>
  <c r="B2005" i="2"/>
  <c r="C2567" i="2"/>
  <c r="B2567" i="2"/>
  <c r="C1726" i="2"/>
  <c r="B1726" i="2"/>
  <c r="C1985" i="2"/>
  <c r="B1985" i="2"/>
  <c r="C2042" i="2"/>
  <c r="B2042" i="2"/>
  <c r="C2256" i="2"/>
  <c r="B2256" i="2"/>
  <c r="C2004" i="2"/>
  <c r="B2004" i="2"/>
  <c r="C2566" i="2"/>
  <c r="B2566" i="2"/>
  <c r="C1936" i="2"/>
  <c r="B1936" i="2"/>
  <c r="C66" i="2"/>
  <c r="B66" i="2"/>
  <c r="C2003" i="2"/>
  <c r="B2003" i="2"/>
  <c r="C2255" i="2"/>
  <c r="B2255" i="2"/>
  <c r="C2646" i="2"/>
  <c r="B2646" i="2"/>
  <c r="C2614" i="2"/>
  <c r="B2614" i="2"/>
  <c r="C1194" i="2"/>
  <c r="B1194" i="2"/>
  <c r="C652" i="2"/>
  <c r="B652" i="2"/>
  <c r="C1377" i="2"/>
  <c r="B1377" i="2"/>
  <c r="C308" i="2"/>
  <c r="B308" i="2"/>
  <c r="C2118" i="2"/>
  <c r="B2118" i="2"/>
  <c r="C996" i="2"/>
  <c r="B996" i="2"/>
  <c r="C1526" i="2"/>
  <c r="B1526" i="2"/>
  <c r="C1984" i="2"/>
  <c r="B1984" i="2"/>
  <c r="C606" i="2"/>
  <c r="B606" i="2"/>
  <c r="C2105" i="2"/>
  <c r="B2105" i="2"/>
  <c r="C1809" i="2"/>
  <c r="B1809" i="2"/>
  <c r="C1943" i="2"/>
  <c r="B1943" i="2"/>
  <c r="C133" i="2"/>
  <c r="B133" i="2"/>
  <c r="C1590" i="2"/>
  <c r="B1590" i="2"/>
  <c r="C1382" i="2"/>
  <c r="B1382" i="2"/>
  <c r="C1398" i="2"/>
  <c r="B1398" i="2"/>
  <c r="C1366" i="2"/>
  <c r="B1366" i="2"/>
  <c r="C2527" i="2"/>
  <c r="B2527" i="2"/>
  <c r="C1525" i="2"/>
  <c r="B1525" i="2"/>
  <c r="C1273" i="2"/>
  <c r="B1273" i="2"/>
  <c r="C1245" i="2"/>
  <c r="B1245" i="2"/>
  <c r="C808" i="2"/>
  <c r="B808" i="2"/>
  <c r="C1507" i="2"/>
  <c r="B1507" i="2"/>
  <c r="C1314" i="2"/>
  <c r="B1314" i="2"/>
  <c r="C141" i="2"/>
  <c r="B141" i="2"/>
  <c r="C1774" i="2"/>
  <c r="B1774" i="2"/>
  <c r="C1466" i="2"/>
  <c r="B1466" i="2"/>
  <c r="C539" i="2"/>
  <c r="B539" i="2"/>
  <c r="C1501" i="2"/>
  <c r="B1501" i="2"/>
  <c r="C854" i="2"/>
  <c r="B854" i="2"/>
  <c r="C2041" i="2"/>
  <c r="B2041" i="2"/>
  <c r="C404" i="2"/>
  <c r="B404" i="2"/>
  <c r="C1638" i="2"/>
  <c r="B1638" i="2"/>
  <c r="C853" i="2"/>
  <c r="B853" i="2"/>
  <c r="C2176" i="2"/>
  <c r="B2176" i="2"/>
  <c r="C2287" i="2"/>
  <c r="B2287" i="2"/>
  <c r="C2316" i="2"/>
  <c r="B2316" i="2"/>
  <c r="C2175" i="2"/>
  <c r="B2175" i="2"/>
  <c r="C2061" i="2"/>
  <c r="B2061" i="2"/>
  <c r="C2516" i="2"/>
  <c r="B2516" i="2"/>
  <c r="C1250" i="2"/>
  <c r="B1250" i="2"/>
  <c r="C2198" i="2"/>
  <c r="B2198" i="2"/>
  <c r="C2222" i="2"/>
  <c r="B2222" i="2"/>
  <c r="C1524" i="2"/>
  <c r="B1524" i="2"/>
  <c r="C1465" i="2"/>
  <c r="B1465" i="2"/>
  <c r="C2645" i="2"/>
  <c r="B2645" i="2"/>
  <c r="C1338" i="2"/>
  <c r="B1338" i="2"/>
  <c r="C1337" i="2"/>
  <c r="B1337" i="2"/>
  <c r="C1043" i="2"/>
  <c r="B1043" i="2"/>
  <c r="C939" i="2"/>
  <c r="B939" i="2"/>
  <c r="C1607" i="2"/>
  <c r="B1607" i="2"/>
  <c r="C2447" i="2"/>
  <c r="B2447" i="2"/>
  <c r="C769" i="2"/>
  <c r="B769" i="2"/>
  <c r="C2626" i="2"/>
  <c r="B2626" i="2"/>
  <c r="C2604" i="2"/>
  <c r="B2604" i="2"/>
  <c r="C2040" i="2"/>
  <c r="B2040" i="2"/>
  <c r="C307" i="2"/>
  <c r="B307" i="2"/>
  <c r="C938" i="2"/>
  <c r="B938" i="2"/>
  <c r="C255" i="2"/>
  <c r="B255" i="2"/>
  <c r="C1303" i="2"/>
  <c r="B1303" i="2"/>
  <c r="C2368" i="2"/>
  <c r="B2368" i="2"/>
  <c r="C2128" i="2"/>
  <c r="B2128" i="2"/>
  <c r="C2639" i="2"/>
  <c r="B2639" i="2"/>
  <c r="C2275" i="2"/>
  <c r="B2275" i="2"/>
  <c r="C1430" i="2"/>
  <c r="B1430" i="2"/>
  <c r="C34" i="2"/>
  <c r="B34" i="2"/>
  <c r="C1491" i="2"/>
  <c r="B1491" i="2"/>
  <c r="C2188" i="2"/>
  <c r="B2188" i="2"/>
  <c r="C1808" i="2"/>
  <c r="B1808" i="2"/>
  <c r="C1042" i="2"/>
  <c r="B1042" i="2"/>
  <c r="C2410" i="2"/>
  <c r="B2410" i="2"/>
  <c r="C1972" i="2"/>
  <c r="B1972" i="2"/>
  <c r="C1336" i="2"/>
  <c r="B1336" i="2"/>
  <c r="C2395" i="2"/>
  <c r="B2395" i="2"/>
  <c r="C1930" i="2"/>
  <c r="B1930" i="2"/>
  <c r="C1554" i="2"/>
  <c r="B1554" i="2"/>
  <c r="C1227" i="2"/>
  <c r="B1227" i="2"/>
  <c r="C580" i="2"/>
  <c r="B580" i="2"/>
  <c r="C384" i="2"/>
  <c r="B384" i="2"/>
  <c r="C594" i="2"/>
  <c r="B594" i="2"/>
  <c r="C2732" i="2"/>
  <c r="B2732" i="2"/>
  <c r="C2446" i="2"/>
  <c r="B2446" i="2"/>
  <c r="C1166" i="2"/>
  <c r="B1166" i="2"/>
  <c r="C1704" i="2"/>
  <c r="B1704" i="2"/>
  <c r="C790" i="2"/>
  <c r="B790" i="2"/>
  <c r="C117" i="2"/>
  <c r="B117" i="2"/>
  <c r="C2065" i="2"/>
  <c r="B2065" i="2"/>
  <c r="C2151" i="2"/>
  <c r="B2151" i="2"/>
  <c r="C2150" i="2"/>
  <c r="B2150" i="2"/>
  <c r="C357" i="2"/>
  <c r="B357" i="2"/>
  <c r="C1464" i="2"/>
  <c r="B1464" i="2"/>
  <c r="C1773" i="2"/>
  <c r="B1773" i="2"/>
  <c r="C1703" i="2"/>
  <c r="B1703" i="2"/>
  <c r="C593" i="2"/>
  <c r="B593" i="2"/>
  <c r="C1847" i="2"/>
  <c r="B1847" i="2"/>
  <c r="C1313" i="2"/>
  <c r="B1313" i="2"/>
  <c r="C2149" i="2"/>
  <c r="B2149" i="2"/>
  <c r="C1463" i="2"/>
  <c r="B1463" i="2"/>
  <c r="C2315" i="2"/>
  <c r="B2315" i="2"/>
  <c r="C2002" i="2"/>
  <c r="B2002" i="2"/>
  <c r="C2704" i="2"/>
  <c r="B2704" i="2"/>
  <c r="C1078" i="2"/>
  <c r="B1078" i="2"/>
  <c r="C980" i="2"/>
  <c r="B980" i="2"/>
  <c r="C1108" i="2"/>
  <c r="B1108" i="2"/>
  <c r="C690" i="2"/>
  <c r="B690" i="2"/>
  <c r="C2587" i="2"/>
  <c r="B2587" i="2"/>
  <c r="C2243" i="2"/>
  <c r="B2243" i="2"/>
  <c r="C1935" i="2"/>
  <c r="B1935" i="2"/>
  <c r="C1272" i="2"/>
  <c r="B1272" i="2"/>
  <c r="C1099" i="2"/>
  <c r="B1099" i="2"/>
  <c r="C2537" i="2"/>
  <c r="B2537" i="2"/>
  <c r="C2506" i="2"/>
  <c r="B2506" i="2"/>
  <c r="C1958" i="2"/>
  <c r="B1958" i="2"/>
  <c r="C441" i="2"/>
  <c r="B441" i="2"/>
  <c r="C2001" i="2"/>
  <c r="B2001" i="2"/>
  <c r="C2710" i="2"/>
  <c r="B2710" i="2"/>
  <c r="C2600" i="2"/>
  <c r="B2600" i="2"/>
  <c r="C1991" i="2"/>
  <c r="B1991" i="2"/>
  <c r="C1878" i="2"/>
  <c r="B1878" i="2"/>
  <c r="C979" i="2"/>
  <c r="B979" i="2"/>
  <c r="C2515" i="2"/>
  <c r="B2515" i="2"/>
  <c r="C356" i="2"/>
  <c r="B356" i="2"/>
  <c r="C2738" i="2"/>
  <c r="B2738" i="2"/>
  <c r="C2174" i="2"/>
  <c r="B2174" i="2"/>
  <c r="C1567" i="2"/>
  <c r="B1567" i="2"/>
  <c r="C887" i="2"/>
  <c r="B887" i="2"/>
  <c r="C1831" i="2"/>
  <c r="B1831" i="2"/>
  <c r="C1807" i="2"/>
  <c r="B1807" i="2"/>
  <c r="C1806" i="2"/>
  <c r="B1806" i="2"/>
  <c r="C567" i="2"/>
  <c r="B567" i="2"/>
  <c r="C1244" i="2"/>
  <c r="B1244" i="2"/>
  <c r="C2483" i="2"/>
  <c r="B2483" i="2"/>
  <c r="C1312" i="2"/>
  <c r="B1312" i="2"/>
  <c r="C2254" i="2"/>
  <c r="B2254" i="2"/>
  <c r="C2022" i="2"/>
  <c r="B2022" i="2"/>
  <c r="C765" i="2"/>
  <c r="B765" i="2"/>
  <c r="C1087" i="2"/>
  <c r="B1087" i="2"/>
  <c r="C789" i="2"/>
  <c r="B789" i="2"/>
  <c r="C2000" i="2"/>
  <c r="B2000" i="2"/>
  <c r="C2221" i="2"/>
  <c r="B2221" i="2"/>
  <c r="C1957" i="2"/>
  <c r="B1957" i="2"/>
  <c r="C2706" i="2"/>
  <c r="B2706" i="2"/>
  <c r="C2314" i="2"/>
  <c r="B2314" i="2"/>
  <c r="C2607" i="2"/>
  <c r="B2607" i="2"/>
  <c r="C2625" i="2"/>
  <c r="B2625" i="2"/>
  <c r="C1731" i="2"/>
  <c r="B1731" i="2"/>
  <c r="C2698" i="2"/>
  <c r="B2698" i="2"/>
  <c r="C825" i="2"/>
  <c r="B825" i="2"/>
  <c r="C2459" i="2"/>
  <c r="B2459" i="2"/>
  <c r="C2148" i="2"/>
  <c r="B2148" i="2"/>
  <c r="C869" i="2"/>
  <c r="B869" i="2"/>
  <c r="C2173" i="2"/>
  <c r="B2173" i="2"/>
  <c r="C2078" i="2"/>
  <c r="B2078" i="2"/>
  <c r="C2605" i="2"/>
  <c r="B2605" i="2"/>
  <c r="C2599" i="2"/>
  <c r="B2599" i="2"/>
  <c r="C2367" i="2"/>
  <c r="B2367" i="2"/>
  <c r="C626" i="2"/>
  <c r="B626" i="2"/>
  <c r="C2547" i="2"/>
  <c r="B2547" i="2"/>
  <c r="C857" i="2"/>
  <c r="B857" i="2"/>
  <c r="C2379" i="2"/>
  <c r="B2379" i="2"/>
  <c r="C440" i="2"/>
  <c r="B440" i="2"/>
  <c r="C229" i="2"/>
  <c r="B229" i="2"/>
  <c r="C592" i="2"/>
  <c r="B592" i="2"/>
  <c r="C2385" i="2"/>
  <c r="B2385" i="2"/>
  <c r="C2384" i="2"/>
  <c r="B2384" i="2"/>
  <c r="C2505" i="2"/>
  <c r="B2505" i="2"/>
  <c r="C2586" i="2"/>
  <c r="B2586" i="2"/>
  <c r="C978" i="2"/>
  <c r="B978" i="2"/>
  <c r="C1041" i="2"/>
  <c r="B1041" i="2"/>
  <c r="C2401" i="2"/>
  <c r="B2401" i="2"/>
  <c r="C1572" i="2"/>
  <c r="B1572" i="2"/>
  <c r="C1302" i="2"/>
  <c r="B1302" i="2"/>
  <c r="C1077" i="2"/>
  <c r="B1077" i="2"/>
  <c r="C213" i="2"/>
  <c r="B213" i="2"/>
  <c r="C2526" i="2"/>
  <c r="B2526" i="2"/>
  <c r="C1311" i="2"/>
  <c r="B1311" i="2"/>
  <c r="C403" i="2"/>
  <c r="B403" i="2"/>
  <c r="C1679" i="2"/>
  <c r="B1679" i="2"/>
  <c r="C1271" i="2"/>
  <c r="B1271" i="2"/>
  <c r="C1040" i="2"/>
  <c r="B1040" i="2"/>
  <c r="C712" i="2"/>
  <c r="B712" i="2"/>
  <c r="C1546" i="2"/>
  <c r="B1546" i="2"/>
  <c r="C1462" i="2"/>
  <c r="B1462" i="2"/>
  <c r="C1545" i="2"/>
  <c r="B1545" i="2"/>
  <c r="C1310" i="2"/>
  <c r="B1310" i="2"/>
  <c r="C1193" i="2"/>
  <c r="B1193" i="2"/>
  <c r="C1829" i="2"/>
  <c r="B1829" i="2"/>
  <c r="C912" i="2"/>
  <c r="B912" i="2"/>
  <c r="C33" i="2"/>
  <c r="B33" i="2"/>
  <c r="C2692" i="2"/>
  <c r="B2692" i="2"/>
  <c r="C2676" i="2"/>
  <c r="B2676" i="2"/>
  <c r="C1805" i="2"/>
  <c r="B1805" i="2"/>
  <c r="C1335" i="2"/>
  <c r="B1335" i="2"/>
  <c r="C2234" i="2"/>
  <c r="B2234" i="2"/>
  <c r="C576" i="2"/>
  <c r="B576" i="2"/>
  <c r="C2582" i="2"/>
  <c r="B2582" i="2"/>
  <c r="C995" i="2"/>
  <c r="B995" i="2"/>
  <c r="C1561" i="2"/>
  <c r="B1561" i="2"/>
  <c r="C2077" i="2"/>
  <c r="B2077" i="2"/>
  <c r="C393" i="2"/>
  <c r="B393" i="2"/>
  <c r="C1828" i="2"/>
  <c r="B1828" i="2"/>
  <c r="C2620" i="2"/>
  <c r="B2620" i="2"/>
  <c r="C2301" i="2"/>
  <c r="B2301" i="2"/>
  <c r="C2260" i="2"/>
  <c r="B2260" i="2"/>
  <c r="C1956" i="2"/>
  <c r="B1956" i="2"/>
  <c r="C1064" i="2"/>
  <c r="B1064" i="2"/>
  <c r="C1270" i="2"/>
  <c r="B1270" i="2"/>
  <c r="C1039" i="2"/>
  <c r="B1039" i="2"/>
  <c r="C591" i="2"/>
  <c r="B591" i="2"/>
  <c r="C590" i="2"/>
  <c r="B590" i="2"/>
  <c r="C2335" i="2"/>
  <c r="B2335" i="2"/>
  <c r="C2270" i="2"/>
  <c r="B2270" i="2"/>
  <c r="C1418" i="2"/>
  <c r="B1418" i="2"/>
  <c r="C788" i="2"/>
  <c r="B788" i="2"/>
  <c r="C2522" i="2"/>
  <c r="B2522" i="2"/>
  <c r="C1757" i="2"/>
  <c r="B1757" i="2"/>
  <c r="C2598" i="2"/>
  <c r="B2598" i="2"/>
  <c r="C1613" i="2"/>
  <c r="B1613" i="2"/>
  <c r="C2211" i="2"/>
  <c r="B2211" i="2"/>
  <c r="C2482" i="2"/>
  <c r="B2482" i="2"/>
  <c r="C1702" i="2"/>
  <c r="B1702" i="2"/>
  <c r="C2286" i="2"/>
  <c r="B2286" i="2"/>
  <c r="C2274" i="2"/>
  <c r="B2274" i="2"/>
  <c r="C189" i="2"/>
  <c r="B189" i="2"/>
  <c r="C92" i="2"/>
  <c r="B92" i="2"/>
  <c r="C2039" i="2"/>
  <c r="B2039" i="2"/>
  <c r="C2210" i="2"/>
  <c r="B2210" i="2"/>
  <c r="C2147" i="2"/>
  <c r="B2147" i="2"/>
  <c r="C2581" i="2"/>
  <c r="B2581" i="2"/>
  <c r="C2146" i="2"/>
  <c r="B2146" i="2"/>
  <c r="C2076" i="2"/>
  <c r="B2076" i="2"/>
  <c r="C1334" i="2"/>
  <c r="B1334" i="2"/>
  <c r="C1269" i="2"/>
  <c r="B1269" i="2"/>
  <c r="C2624" i="2"/>
  <c r="B2624" i="2"/>
  <c r="C2075" i="2"/>
  <c r="B2075" i="2"/>
  <c r="C1999" i="2"/>
  <c r="B1999" i="2"/>
  <c r="C2612" i="2"/>
  <c r="B2612" i="2"/>
  <c r="C1589" i="2"/>
  <c r="B1589" i="2"/>
  <c r="C2164" i="2"/>
  <c r="B2164" i="2"/>
  <c r="C1397" i="2"/>
  <c r="B1397" i="2"/>
  <c r="C2242" i="2"/>
  <c r="B2242" i="2"/>
  <c r="C2554" i="2"/>
  <c r="B2554" i="2"/>
  <c r="C2619" i="2"/>
  <c r="B2619" i="2"/>
  <c r="C2481" i="2"/>
  <c r="B2481" i="2"/>
  <c r="C1461" i="2"/>
  <c r="B1461" i="2"/>
  <c r="C1192" i="2"/>
  <c r="B1192" i="2"/>
  <c r="C2644" i="2"/>
  <c r="B2644" i="2"/>
  <c r="C2493" i="2"/>
  <c r="B2493" i="2"/>
  <c r="C575" i="2"/>
  <c r="B575" i="2"/>
  <c r="C1038" i="2"/>
  <c r="B1038" i="2"/>
  <c r="C1934" i="2"/>
  <c r="B1934" i="2"/>
  <c r="C2031" i="2"/>
  <c r="B2031" i="2"/>
  <c r="C1804" i="2"/>
  <c r="B1804" i="2"/>
  <c r="C625" i="2"/>
  <c r="B625" i="2"/>
  <c r="C2609" i="2"/>
  <c r="B2609" i="2"/>
  <c r="C1955" i="2"/>
  <c r="B1955" i="2"/>
  <c r="C1243" i="2"/>
  <c r="B1243" i="2"/>
  <c r="C807" i="2"/>
  <c r="B807" i="2"/>
  <c r="C409" i="2"/>
  <c r="B409" i="2"/>
  <c r="C2161" i="2"/>
  <c r="B2161" i="2"/>
  <c r="C69" i="2"/>
  <c r="B69" i="2"/>
  <c r="C787" i="2"/>
  <c r="B787" i="2"/>
  <c r="C2273" i="2"/>
  <c r="B2273" i="2"/>
  <c r="C886" i="2"/>
  <c r="B886" i="2"/>
  <c r="C2172" i="2"/>
  <c r="B2172" i="2"/>
  <c r="C2633" i="2"/>
  <c r="B2633" i="2"/>
  <c r="C2514" i="2"/>
  <c r="B2514" i="2"/>
  <c r="C2241" i="2"/>
  <c r="B2241" i="2"/>
  <c r="C2551" i="2"/>
  <c r="B2551" i="2"/>
  <c r="C2127" i="2"/>
  <c r="B2127" i="2"/>
  <c r="C689" i="2"/>
  <c r="B689" i="2"/>
  <c r="C2117" i="2"/>
  <c r="B2117" i="2"/>
  <c r="C711" i="2"/>
  <c r="B711" i="2"/>
  <c r="C2060" i="2"/>
  <c r="B2060" i="2"/>
  <c r="C963" i="2"/>
  <c r="B963" i="2"/>
  <c r="C2565" i="2"/>
  <c r="B2565" i="2"/>
  <c r="C1429" i="2"/>
  <c r="B1429" i="2"/>
  <c r="C167" i="2"/>
  <c r="B167" i="2"/>
  <c r="C2145" i="2"/>
  <c r="B2145" i="2"/>
  <c r="C2278" i="2"/>
  <c r="B2278" i="2"/>
  <c r="C2074" i="2"/>
  <c r="B2074" i="2"/>
  <c r="C1037" i="2"/>
  <c r="B1037" i="2"/>
  <c r="C911" i="2"/>
  <c r="B911" i="2"/>
  <c r="C734" i="2"/>
  <c r="B734" i="2"/>
  <c r="C182" i="2"/>
  <c r="B182" i="2"/>
  <c r="C2580" i="2"/>
  <c r="B2580" i="2"/>
  <c r="C2160" i="2"/>
  <c r="B2160" i="2"/>
  <c r="C330" i="2"/>
  <c r="B330" i="2"/>
  <c r="C1941" i="2"/>
  <c r="B1941" i="2"/>
  <c r="C538" i="2"/>
  <c r="B538" i="2"/>
  <c r="C420" i="2"/>
  <c r="B420" i="2"/>
  <c r="C2235" i="2"/>
  <c r="B2235" i="2"/>
  <c r="C1925" i="2"/>
  <c r="B1925" i="2"/>
  <c r="C1098" i="2"/>
  <c r="B1098" i="2"/>
  <c r="C1588" i="2"/>
  <c r="B1588" i="2"/>
  <c r="C2574" i="2"/>
  <c r="B2574" i="2"/>
  <c r="C2466" i="2"/>
  <c r="B2466" i="2"/>
  <c r="C503" i="2"/>
  <c r="B503" i="2"/>
  <c r="C806" i="2"/>
  <c r="B806" i="2"/>
  <c r="C2259" i="2"/>
  <c r="B2259" i="2"/>
  <c r="C1127" i="2"/>
  <c r="B1127" i="2"/>
  <c r="C1097" i="2"/>
  <c r="B1097" i="2"/>
  <c r="C2498" i="2"/>
  <c r="B2498" i="2"/>
  <c r="C2197" i="2"/>
  <c r="B2197" i="2"/>
  <c r="C2073" i="2"/>
  <c r="B2073" i="2"/>
  <c r="C2409" i="2"/>
  <c r="B2409" i="2"/>
  <c r="C2734" i="2"/>
  <c r="B2734" i="2"/>
  <c r="C2546" i="2"/>
  <c r="B2546" i="2"/>
  <c r="C2499" i="2"/>
  <c r="B2499" i="2"/>
  <c r="C2468" i="2"/>
  <c r="B2468" i="2"/>
  <c r="C525" i="2"/>
  <c r="B525" i="2"/>
  <c r="C2686" i="2"/>
  <c r="B2686" i="2"/>
  <c r="C868" i="2"/>
  <c r="B868" i="2"/>
  <c r="C669" i="2"/>
  <c r="B669" i="2"/>
  <c r="C306" i="2"/>
  <c r="B306" i="2"/>
  <c r="C1929" i="2"/>
  <c r="B1929" i="2"/>
  <c r="C2652" i="2"/>
  <c r="B2652" i="2"/>
  <c r="C2688" i="2"/>
  <c r="B2688" i="2"/>
  <c r="C1846" i="2"/>
  <c r="B1846" i="2"/>
  <c r="C2253" i="2"/>
  <c r="B2253" i="2"/>
  <c r="C1523" i="2"/>
  <c r="B1523" i="2"/>
  <c r="C392" i="2"/>
  <c r="B392" i="2"/>
  <c r="C1268" i="2"/>
  <c r="B1268" i="2"/>
  <c r="C1076" i="2"/>
  <c r="B1076" i="2"/>
  <c r="C656" i="2"/>
  <c r="B656" i="2"/>
  <c r="C2144" i="2"/>
  <c r="B2144" i="2"/>
  <c r="C1928" i="2"/>
  <c r="B1928" i="2"/>
  <c r="C2613" i="2"/>
  <c r="B2613" i="2"/>
  <c r="C2350" i="2"/>
  <c r="B2350" i="2"/>
  <c r="C2366" i="2"/>
  <c r="B2366" i="2"/>
  <c r="C199" i="2"/>
  <c r="B199" i="2"/>
  <c r="C2492" i="2"/>
  <c r="B2492" i="2"/>
  <c r="C1267" i="2"/>
  <c r="B1267" i="2"/>
  <c r="C1832" i="2"/>
  <c r="B1832" i="2"/>
  <c r="C1756" i="2"/>
  <c r="B1756" i="2"/>
  <c r="C1606" i="2"/>
  <c r="B1606" i="2"/>
  <c r="C2508" i="2"/>
  <c r="B2508" i="2"/>
  <c r="C2285" i="2"/>
  <c r="B2285" i="2"/>
  <c r="C733" i="2"/>
  <c r="B733" i="2"/>
  <c r="C732" i="2"/>
  <c r="B732" i="2"/>
  <c r="C1662" i="2"/>
  <c r="B1662" i="2"/>
  <c r="C2558" i="2"/>
  <c r="B2558" i="2"/>
  <c r="C2622" i="2"/>
  <c r="B2622" i="2"/>
  <c r="C668" i="2"/>
  <c r="B668" i="2"/>
  <c r="C1637" i="2"/>
  <c r="B1637" i="2"/>
  <c r="C2643" i="2"/>
  <c r="B2643" i="2"/>
  <c r="C1674" i="2"/>
  <c r="B1674" i="2"/>
  <c r="C2038" i="2"/>
  <c r="B2038" i="2"/>
  <c r="C2667" i="2"/>
  <c r="B2667" i="2"/>
  <c r="C2334" i="2"/>
  <c r="B2334" i="2"/>
  <c r="C1671" i="2"/>
  <c r="B1671" i="2"/>
  <c r="C2383" i="2"/>
  <c r="B2383" i="2"/>
  <c r="C1678" i="2"/>
  <c r="B1678" i="2"/>
  <c r="C1627" i="2"/>
  <c r="B1627" i="2"/>
  <c r="C2458" i="2"/>
  <c r="B2458" i="2"/>
  <c r="C2220" i="2"/>
  <c r="B2220" i="2"/>
  <c r="C2423" i="2"/>
  <c r="B2423" i="2"/>
  <c r="C1835" i="2"/>
  <c r="B1835" i="2"/>
  <c r="C1075" i="2"/>
  <c r="B1075" i="2"/>
  <c r="C2360" i="2"/>
  <c r="B2360" i="2"/>
  <c r="C2272" i="2"/>
  <c r="B2272" i="2"/>
  <c r="C2719" i="2"/>
  <c r="B2719" i="2"/>
  <c r="C2665" i="2"/>
  <c r="B2665" i="2"/>
  <c r="C2382" i="2"/>
  <c r="B2382" i="2"/>
  <c r="C1998" i="2"/>
  <c r="B1998" i="2"/>
  <c r="C2707" i="2"/>
  <c r="B2707" i="2"/>
  <c r="C2445" i="2"/>
  <c r="B2445" i="2"/>
  <c r="C885" i="2"/>
  <c r="B885" i="2"/>
  <c r="C537" i="2"/>
  <c r="B537" i="2"/>
  <c r="C1701" i="2"/>
  <c r="B1701" i="2"/>
  <c r="C1587" i="2"/>
  <c r="B1587" i="2"/>
  <c r="C1396" i="2"/>
  <c r="B1396" i="2"/>
  <c r="C2545" i="2"/>
  <c r="B2545" i="2"/>
  <c r="C2480" i="2"/>
  <c r="B2480" i="2"/>
  <c r="C1907" i="2"/>
  <c r="B1907" i="2"/>
  <c r="C1266" i="2"/>
  <c r="B1266" i="2"/>
  <c r="C1191" i="2"/>
  <c r="B1191" i="2"/>
  <c r="C166" i="2"/>
  <c r="B166" i="2"/>
  <c r="C1440" i="2"/>
  <c r="B1440" i="2"/>
  <c r="C1265" i="2"/>
  <c r="B1265" i="2"/>
  <c r="C2196" i="2"/>
  <c r="B2196" i="2"/>
  <c r="C1165" i="2"/>
  <c r="B1165" i="2"/>
  <c r="C2479" i="2"/>
  <c r="B2479" i="2"/>
  <c r="C1297" i="2"/>
  <c r="B1297" i="2"/>
  <c r="C867" i="2"/>
  <c r="B867" i="2"/>
  <c r="C1735" i="2"/>
  <c r="B1735" i="2"/>
  <c r="C2143" i="2"/>
  <c r="B2143" i="2"/>
  <c r="C2590" i="2"/>
  <c r="B2590" i="2"/>
  <c r="C2467" i="2"/>
  <c r="B2467" i="2"/>
  <c r="C1636" i="2"/>
  <c r="B1636" i="2"/>
  <c r="C1439" i="2"/>
  <c r="B1439" i="2"/>
  <c r="C1906" i="2"/>
  <c r="B1906" i="2"/>
  <c r="C1438" i="2"/>
  <c r="B1438" i="2"/>
  <c r="C816" i="2"/>
  <c r="B816" i="2"/>
  <c r="C688" i="2"/>
  <c r="B688" i="2"/>
  <c r="C2408" i="2"/>
  <c r="B2408" i="2"/>
  <c r="C254" i="2"/>
  <c r="B254" i="2"/>
  <c r="C687" i="2"/>
  <c r="B687" i="2"/>
  <c r="C2208" i="2"/>
  <c r="B2208" i="2"/>
  <c r="C2536" i="2"/>
  <c r="B2536" i="2"/>
  <c r="C1563" i="2"/>
  <c r="B1563" i="2"/>
  <c r="C2142" i="2"/>
  <c r="B2142" i="2"/>
  <c r="C760" i="2"/>
  <c r="B760" i="2"/>
  <c r="C536" i="2"/>
  <c r="B536" i="2"/>
  <c r="C1569" i="2"/>
  <c r="B1569" i="2"/>
  <c r="C2072" i="2"/>
  <c r="B2072" i="2"/>
  <c r="C391" i="2"/>
  <c r="B391" i="2"/>
  <c r="C1997" i="2"/>
  <c r="B1997" i="2"/>
  <c r="C1755" i="2"/>
  <c r="B1755" i="2"/>
  <c r="C1395" i="2"/>
  <c r="B1395" i="2"/>
  <c r="C1190" i="2"/>
  <c r="B1190" i="2"/>
  <c r="C994" i="2"/>
  <c r="B994" i="2"/>
  <c r="C2716" i="2"/>
  <c r="B2716" i="2"/>
  <c r="C1126" i="2"/>
  <c r="B1126" i="2"/>
  <c r="C1700" i="2"/>
  <c r="B1700" i="2"/>
  <c r="C2675" i="2"/>
  <c r="B2675" i="2"/>
  <c r="C2237" i="2"/>
  <c r="B2237" i="2"/>
  <c r="C2642" i="2"/>
  <c r="B2642" i="2"/>
  <c r="C2037" i="2"/>
  <c r="B2037" i="2"/>
  <c r="C2650" i="2"/>
  <c r="B2650" i="2"/>
  <c r="C1754" i="2"/>
  <c r="B1754" i="2"/>
  <c r="C535" i="2"/>
  <c r="B535" i="2"/>
  <c r="C2672" i="2"/>
  <c r="B2672" i="2"/>
  <c r="C2521" i="2"/>
  <c r="B2521" i="2"/>
  <c r="C937" i="2"/>
  <c r="B937" i="2"/>
  <c r="C2141" i="2"/>
  <c r="B2141" i="2"/>
  <c r="C1309" i="2"/>
  <c r="B1309" i="2"/>
  <c r="C1125" i="2"/>
  <c r="B1125" i="2"/>
  <c r="C1496" i="2"/>
  <c r="B1496" i="2"/>
  <c r="C1112" i="2"/>
  <c r="B1112" i="2"/>
  <c r="C2324" i="2"/>
  <c r="B2324" i="2"/>
  <c r="C936" i="2"/>
  <c r="B936" i="2"/>
  <c r="C1771" i="2"/>
  <c r="B1771" i="2"/>
  <c r="C1753" i="2"/>
  <c r="B1753" i="2"/>
  <c r="C1189" i="2"/>
  <c r="B1189" i="2"/>
  <c r="C1179" i="2"/>
  <c r="B1179" i="2"/>
  <c r="C667" i="2"/>
  <c r="B667" i="2"/>
  <c r="C165" i="2"/>
  <c r="B165" i="2"/>
  <c r="C2687" i="2"/>
  <c r="B2687" i="2"/>
  <c r="C1422" i="2"/>
  <c r="B1422" i="2"/>
  <c r="C2618" i="2"/>
  <c r="B2618" i="2"/>
  <c r="C2349" i="2"/>
  <c r="B2349" i="2"/>
  <c r="C1752" i="2"/>
  <c r="B1752" i="2"/>
  <c r="C2422" i="2"/>
  <c r="B2422" i="2"/>
  <c r="C2116" i="2"/>
  <c r="B2116" i="2"/>
  <c r="C731" i="2"/>
  <c r="B731" i="2"/>
  <c r="C589" i="2"/>
  <c r="B589" i="2"/>
  <c r="C2333" i="2"/>
  <c r="B2333" i="2"/>
  <c r="C1739" i="2"/>
  <c r="B1739" i="2"/>
  <c r="C977" i="2"/>
  <c r="B977" i="2"/>
  <c r="C2126" i="2"/>
  <c r="B2126" i="2"/>
  <c r="C1612" i="2"/>
  <c r="B1612" i="2"/>
  <c r="C2608" i="2"/>
  <c r="B2608" i="2"/>
  <c r="C1905" i="2"/>
  <c r="B1905" i="2"/>
  <c r="C1677" i="2"/>
  <c r="B1677" i="2"/>
  <c r="C2444" i="2"/>
  <c r="B2444" i="2"/>
  <c r="C2313" i="2"/>
  <c r="B2313" i="2"/>
  <c r="C2059" i="2"/>
  <c r="B2059" i="2"/>
  <c r="C1500" i="2"/>
  <c r="B1500" i="2"/>
  <c r="C2473" i="2"/>
  <c r="B2473" i="2"/>
  <c r="C1264" i="2"/>
  <c r="B1264" i="2"/>
  <c r="C2637" i="2"/>
  <c r="B2637" i="2"/>
  <c r="C1238" i="2"/>
  <c r="B1238" i="2"/>
  <c r="C2357" i="2"/>
  <c r="B2357" i="2"/>
  <c r="C2217" i="2"/>
  <c r="B2217" i="2"/>
  <c r="C1751" i="2"/>
  <c r="B1751" i="2"/>
  <c r="C112" i="2"/>
  <c r="B112" i="2"/>
  <c r="C1333" i="2"/>
  <c r="B1333" i="2"/>
  <c r="C710" i="2"/>
  <c r="B710" i="2"/>
  <c r="C2026" i="2"/>
  <c r="B2026" i="2"/>
  <c r="C2478" i="2"/>
  <c r="B2478" i="2"/>
  <c r="C1750" i="2"/>
  <c r="B1750" i="2"/>
  <c r="C1217" i="2"/>
  <c r="B1217" i="2"/>
  <c r="C666" i="2"/>
  <c r="B666" i="2"/>
  <c r="C1803" i="2"/>
  <c r="B1803" i="2"/>
  <c r="C1586" i="2"/>
  <c r="B1586" i="2"/>
  <c r="C2021" i="2"/>
  <c r="B2021" i="2"/>
  <c r="C2284" i="2"/>
  <c r="B2284" i="2"/>
  <c r="C1626" i="2"/>
  <c r="B1626" i="2"/>
  <c r="C2165" i="2"/>
  <c r="B2165" i="2"/>
  <c r="C2140" i="2"/>
  <c r="B2140" i="2"/>
  <c r="C1506" i="2"/>
  <c r="B1506" i="2"/>
  <c r="C1460" i="2"/>
  <c r="B1460" i="2"/>
  <c r="C1522" i="2"/>
  <c r="B1522" i="2"/>
  <c r="C2171" i="2"/>
  <c r="B2171" i="2"/>
  <c r="C2097" i="2"/>
  <c r="B2097" i="2"/>
  <c r="C1611" i="2"/>
  <c r="B1611" i="2"/>
  <c r="C534" i="2"/>
  <c r="B534" i="2"/>
  <c r="C2671" i="2"/>
  <c r="B2671" i="2"/>
  <c r="C2283" i="2"/>
  <c r="B2283" i="2"/>
  <c r="C993" i="2"/>
  <c r="B993" i="2"/>
  <c r="C2739" i="2"/>
  <c r="B2739" i="2"/>
  <c r="C1560" i="2"/>
  <c r="B1560" i="2"/>
  <c r="C730" i="2"/>
  <c r="B730" i="2"/>
  <c r="C1459" i="2"/>
  <c r="B1459" i="2"/>
  <c r="C1954" i="2"/>
  <c r="B1954" i="2"/>
  <c r="C1676" i="2"/>
  <c r="B1676" i="2"/>
  <c r="C1499" i="2"/>
  <c r="B1499" i="2"/>
  <c r="C665" i="2"/>
  <c r="B665" i="2"/>
  <c r="C2632" i="2"/>
  <c r="B2632" i="2"/>
  <c r="C2407" i="2"/>
  <c r="B2407" i="2"/>
  <c r="C480" i="2"/>
  <c r="B480" i="2"/>
  <c r="C1458" i="2"/>
  <c r="B1458" i="2"/>
  <c r="C729" i="2"/>
  <c r="B729" i="2"/>
  <c r="C824" i="2"/>
  <c r="B824" i="2"/>
  <c r="C285" i="2"/>
  <c r="B285" i="2"/>
  <c r="C1659" i="2"/>
  <c r="B1659" i="2"/>
  <c r="C2359" i="2"/>
  <c r="B2359" i="2"/>
  <c r="C2057" i="2"/>
  <c r="B2057" i="2"/>
  <c r="C1990" i="2"/>
  <c r="B1990" i="2"/>
  <c r="C935" i="2"/>
  <c r="B935" i="2"/>
  <c r="C962" i="2"/>
  <c r="B962" i="2"/>
  <c r="C2365" i="2"/>
  <c r="B2365" i="2"/>
  <c r="C1164" i="2"/>
  <c r="B1164" i="2"/>
  <c r="C1107" i="2"/>
  <c r="B1107" i="2"/>
  <c r="C1074" i="2"/>
  <c r="B1074" i="2"/>
  <c r="C533" i="2"/>
  <c r="B533" i="2"/>
  <c r="C2115" i="2"/>
  <c r="B2115" i="2"/>
  <c r="C2726" i="2"/>
  <c r="B2726" i="2"/>
  <c r="C2491" i="2"/>
  <c r="B2491" i="2"/>
  <c r="C2525" i="2"/>
  <c r="B2525" i="2"/>
  <c r="C1188" i="2"/>
  <c r="B1188" i="2"/>
  <c r="C866" i="2"/>
  <c r="B866" i="2"/>
  <c r="C992" i="2"/>
  <c r="B992" i="2"/>
  <c r="C284" i="2"/>
  <c r="B284" i="2"/>
  <c r="C1742" i="2"/>
  <c r="B1742" i="2"/>
  <c r="C2504" i="2"/>
  <c r="B2504" i="2"/>
  <c r="C2240" i="2"/>
  <c r="B2240" i="2"/>
  <c r="C574" i="2"/>
  <c r="B574" i="2"/>
  <c r="C91" i="2"/>
  <c r="B91" i="2"/>
  <c r="C32" i="2"/>
  <c r="B32" i="2"/>
  <c r="C1856" i="2"/>
  <c r="B1856" i="2"/>
  <c r="C329" i="2"/>
  <c r="B329" i="2"/>
  <c r="C1457" i="2"/>
  <c r="B1457" i="2"/>
  <c r="C297" i="2"/>
  <c r="B297" i="2"/>
  <c r="C2690" i="2"/>
  <c r="B2690" i="2"/>
  <c r="C1521" i="2"/>
  <c r="B1521" i="2"/>
  <c r="C579" i="2"/>
  <c r="B579" i="2"/>
  <c r="C2544" i="2"/>
  <c r="B2544" i="2"/>
  <c r="C1544" i="2"/>
  <c r="B1544" i="2"/>
  <c r="C532" i="2"/>
  <c r="B532" i="2"/>
  <c r="C2513" i="2"/>
  <c r="B2513" i="2"/>
  <c r="C759" i="2"/>
  <c r="B759" i="2"/>
  <c r="C439" i="2"/>
  <c r="B439" i="2"/>
  <c r="C902" i="2"/>
  <c r="B902" i="2"/>
  <c r="C2282" i="2"/>
  <c r="B2282" i="2"/>
  <c r="C1456" i="2"/>
  <c r="B1456" i="2"/>
  <c r="C2540" i="2"/>
  <c r="B2540" i="2"/>
  <c r="C1924" i="2"/>
  <c r="B1924" i="2"/>
  <c r="C65" i="2"/>
  <c r="B65" i="2"/>
  <c r="C2597" i="2"/>
  <c r="B2597" i="2"/>
  <c r="C1263" i="2"/>
  <c r="B1263" i="2"/>
  <c r="C573" i="2"/>
  <c r="B573" i="2"/>
  <c r="C438" i="2"/>
  <c r="B438" i="2"/>
  <c r="C2503" i="2"/>
  <c r="B2503" i="2"/>
  <c r="C2654" i="2"/>
  <c r="B2654" i="2"/>
  <c r="C355" i="2"/>
  <c r="B355" i="2"/>
  <c r="C2664" i="2"/>
  <c r="B2664" i="2"/>
  <c r="C144" i="2"/>
  <c r="B144" i="2"/>
  <c r="C2170" i="2"/>
  <c r="B2170" i="2"/>
  <c r="C976" i="2"/>
  <c r="B976" i="2"/>
  <c r="C164" i="2"/>
  <c r="B164" i="2"/>
  <c r="C805" i="2"/>
  <c r="B805" i="2"/>
  <c r="C647" i="2"/>
  <c r="B647" i="2"/>
  <c r="C646" i="2"/>
  <c r="B646" i="2"/>
  <c r="C1996" i="2"/>
  <c r="B1996" i="2"/>
  <c r="C468" i="2"/>
  <c r="B468" i="2"/>
  <c r="C1520" i="2"/>
  <c r="B1520" i="2"/>
  <c r="C2312" i="2"/>
  <c r="B2312" i="2"/>
  <c r="C2703" i="2"/>
  <c r="B2703" i="2"/>
  <c r="C1983" i="2"/>
  <c r="B1983" i="2"/>
  <c r="C572" i="2"/>
  <c r="B572" i="2"/>
  <c r="C2332" i="2"/>
  <c r="B2332" i="2"/>
  <c r="C2269" i="2"/>
  <c r="B2269" i="2"/>
  <c r="C934" i="2"/>
  <c r="B934" i="2"/>
  <c r="C1802" i="2"/>
  <c r="B1802" i="2"/>
  <c r="C23" i="2"/>
  <c r="B23" i="2"/>
  <c r="C2169" i="2"/>
  <c r="B2169" i="2"/>
  <c r="C2139" i="2"/>
  <c r="B2139" i="2"/>
  <c r="C2195" i="2"/>
  <c r="B2195" i="2"/>
  <c r="C676" i="2"/>
  <c r="B676" i="2"/>
  <c r="C728" i="2"/>
  <c r="B728" i="2"/>
  <c r="C2331" i="2"/>
  <c r="B2331" i="2"/>
  <c r="C624" i="2"/>
  <c r="B624" i="2"/>
  <c r="C2239" i="2"/>
  <c r="B2239" i="2"/>
  <c r="C2238" i="2"/>
  <c r="B2238" i="2"/>
  <c r="C2557" i="2"/>
  <c r="B2557" i="2"/>
  <c r="C865" i="2"/>
  <c r="B865" i="2"/>
  <c r="C786" i="2"/>
  <c r="B786" i="2"/>
  <c r="C2631" i="2"/>
  <c r="B2631" i="2"/>
  <c r="C2114" i="2"/>
  <c r="B2114" i="2"/>
  <c r="C1625" i="2"/>
  <c r="B1625" i="2"/>
  <c r="C1699" i="2"/>
  <c r="B1699" i="2"/>
  <c r="C1933" i="2"/>
  <c r="B1933" i="2"/>
  <c r="C1332" i="2"/>
  <c r="B1332" i="2"/>
  <c r="C1932" i="2"/>
  <c r="B1932" i="2"/>
  <c r="C1386" i="2"/>
  <c r="B1386" i="2"/>
  <c r="C2735" i="2"/>
  <c r="B2735" i="2"/>
  <c r="C2651" i="2"/>
  <c r="B2651" i="2"/>
  <c r="C877" i="2"/>
  <c r="B877" i="2"/>
  <c r="C1904" i="2"/>
  <c r="B1904" i="2"/>
  <c r="C1903" i="2"/>
  <c r="B1903" i="2"/>
  <c r="C864" i="2"/>
  <c r="B864" i="2"/>
  <c r="C1151" i="2"/>
  <c r="B1151" i="2"/>
  <c r="C1150" i="2"/>
  <c r="B1150" i="2"/>
  <c r="C163" i="2"/>
  <c r="B163" i="2"/>
  <c r="C162" i="2"/>
  <c r="B162" i="2"/>
  <c r="C852" i="2"/>
  <c r="B852" i="2"/>
  <c r="C823" i="2"/>
  <c r="B823" i="2"/>
  <c r="C822" i="2"/>
  <c r="B822" i="2"/>
  <c r="C785" i="2"/>
  <c r="B785" i="2"/>
  <c r="C780" i="2"/>
  <c r="B780" i="2"/>
  <c r="C768" i="2"/>
  <c r="B768" i="2"/>
  <c r="C664" i="2"/>
  <c r="B664" i="2"/>
  <c r="C623" i="2"/>
  <c r="B623" i="2"/>
  <c r="C1036" i="2"/>
  <c r="B1036" i="2"/>
  <c r="C622" i="2"/>
  <c r="B622" i="2"/>
  <c r="C1035" i="2"/>
  <c r="B1035" i="2"/>
  <c r="C621" i="2"/>
  <c r="B621" i="2"/>
  <c r="C588" i="2"/>
  <c r="B588" i="2"/>
  <c r="C502" i="2"/>
  <c r="B502" i="2"/>
  <c r="C340" i="2"/>
  <c r="B340" i="2"/>
  <c r="C328" i="2"/>
  <c r="B328" i="2"/>
  <c r="C305" i="2"/>
  <c r="B305" i="2"/>
  <c r="C296" i="2"/>
  <c r="B296" i="2"/>
  <c r="C283" i="2"/>
  <c r="B283" i="2"/>
  <c r="C245" i="2"/>
  <c r="B245" i="2"/>
  <c r="C1585" i="2"/>
  <c r="B1585" i="2"/>
  <c r="C1584" i="2"/>
  <c r="B1584" i="2"/>
  <c r="C140" i="2"/>
  <c r="B140" i="2"/>
  <c r="C55" i="2"/>
  <c r="B55" i="2"/>
  <c r="C40" i="2"/>
  <c r="B40" i="2"/>
  <c r="C31" i="2"/>
  <c r="B31" i="2"/>
  <c r="C30" i="2"/>
  <c r="B30" i="2"/>
  <c r="C1885" i="2"/>
  <c r="B1885" i="2"/>
  <c r="C2311" i="2"/>
  <c r="B2311" i="2"/>
  <c r="C2712" i="2"/>
  <c r="B2712" i="2"/>
  <c r="C437" i="2"/>
  <c r="B437" i="2"/>
  <c r="C1124" i="2"/>
  <c r="B1124" i="2"/>
  <c r="C253" i="2"/>
  <c r="B253" i="2"/>
  <c r="C1163" i="2"/>
  <c r="B1163" i="2"/>
  <c r="C2697" i="2"/>
  <c r="B2697" i="2"/>
  <c r="C2363" i="2"/>
  <c r="B2363" i="2"/>
  <c r="C1884" i="2"/>
  <c r="B1884" i="2"/>
  <c r="C2113" i="2"/>
  <c r="B2113" i="2"/>
  <c r="C2281" i="2"/>
  <c r="B2281" i="2"/>
  <c r="C1883" i="2"/>
  <c r="B1883" i="2"/>
  <c r="C1749" i="2"/>
  <c r="B1749" i="2"/>
  <c r="C2310" i="2"/>
  <c r="B2310" i="2"/>
  <c r="C2711" i="2"/>
  <c r="B2711" i="2"/>
  <c r="C436" i="2"/>
  <c r="B436" i="2"/>
  <c r="C1123" i="2"/>
  <c r="B1123" i="2"/>
  <c r="C339" i="2"/>
  <c r="B339" i="2"/>
  <c r="C1162" i="2"/>
  <c r="B1162" i="2"/>
  <c r="C2696" i="2"/>
  <c r="B2696" i="2"/>
  <c r="C2362" i="2"/>
  <c r="B2362" i="2"/>
  <c r="C1882" i="2"/>
  <c r="B1882" i="2"/>
  <c r="C2112" i="2"/>
  <c r="B2112" i="2"/>
  <c r="C90" i="2"/>
  <c r="B90" i="2"/>
  <c r="C54" i="2"/>
  <c r="B54" i="2"/>
  <c r="C1971" i="2"/>
  <c r="B1971" i="2"/>
  <c r="C1306" i="2"/>
  <c r="B1306" i="2"/>
  <c r="C89" i="2"/>
  <c r="B89" i="2"/>
  <c r="C68" i="2"/>
  <c r="B68" i="2"/>
  <c r="C2507" i="2"/>
  <c r="B2507" i="2"/>
  <c r="C1222" i="2"/>
  <c r="B1222" i="2"/>
  <c r="C1610" i="2"/>
  <c r="B1610" i="2"/>
  <c r="C1902" i="2"/>
  <c r="B1902" i="2"/>
  <c r="C181" i="2"/>
  <c r="B181" i="2"/>
  <c r="C2303" i="2"/>
  <c r="B2303" i="2"/>
  <c r="C2381" i="2"/>
  <c r="B2381" i="2"/>
  <c r="C2194" i="2"/>
  <c r="B2194" i="2"/>
  <c r="C1233" i="2"/>
  <c r="B1233" i="2"/>
  <c r="C2280" i="2"/>
  <c r="B2280" i="2"/>
  <c r="C1331" i="2"/>
  <c r="B1331" i="2"/>
  <c r="C620" i="2"/>
  <c r="B620" i="2"/>
  <c r="C619" i="2"/>
  <c r="B619" i="2"/>
  <c r="C2683" i="2"/>
  <c r="B2683" i="2"/>
  <c r="C234" i="2"/>
  <c r="B234" i="2"/>
  <c r="C2398" i="2"/>
  <c r="B2398" i="2"/>
  <c r="C252" i="2"/>
  <c r="B252" i="2"/>
  <c r="C53" i="2"/>
  <c r="B53" i="2"/>
  <c r="C1428" i="2"/>
  <c r="B1428" i="2"/>
  <c r="C2497" i="2"/>
  <c r="B2497" i="2"/>
  <c r="C1946" i="2"/>
  <c r="B1946" i="2"/>
  <c r="C991" i="2"/>
  <c r="B991" i="2"/>
  <c r="C767" i="2"/>
  <c r="B767" i="2"/>
  <c r="C1953" i="2"/>
  <c r="B1953" i="2"/>
  <c r="C1034" i="2"/>
  <c r="B1034" i="2"/>
  <c r="C198" i="2"/>
  <c r="B198" i="2"/>
  <c r="C804" i="2"/>
  <c r="B804" i="2"/>
  <c r="C52" i="2"/>
  <c r="B52" i="2"/>
  <c r="C2036" i="2"/>
  <c r="B2036" i="2"/>
  <c r="C1698" i="2"/>
  <c r="B1698" i="2"/>
  <c r="C138" i="2"/>
  <c r="B138" i="2"/>
  <c r="C2103" i="2"/>
  <c r="B2103" i="2"/>
  <c r="C2364" i="2"/>
  <c r="B2364" i="2"/>
  <c r="C618" i="2"/>
  <c r="B618" i="2"/>
  <c r="C390" i="2"/>
  <c r="B390" i="2"/>
  <c r="C1262" i="2"/>
  <c r="B1262" i="2"/>
  <c r="C2661" i="2"/>
  <c r="B2661" i="2"/>
  <c r="C2193" i="2"/>
  <c r="B2193" i="2"/>
  <c r="C251" i="2"/>
  <c r="B251" i="2"/>
  <c r="C2330" i="2"/>
  <c r="B2330" i="2"/>
  <c r="C1122" i="2"/>
  <c r="B1122" i="2"/>
  <c r="C2258" i="2"/>
  <c r="B2258" i="2"/>
  <c r="C1661" i="2"/>
  <c r="B1661" i="2"/>
  <c r="C1793" i="2"/>
  <c r="B1793" i="2"/>
  <c r="C1455" i="2"/>
  <c r="B1455" i="2"/>
  <c r="C727" i="2"/>
  <c r="B727" i="2"/>
  <c r="C1721" i="2"/>
  <c r="B1721" i="2"/>
  <c r="C2035" i="2"/>
  <c r="B2035" i="2"/>
  <c r="C1330" i="2"/>
  <c r="B1330" i="2"/>
  <c r="C1242" i="2"/>
  <c r="B1242" i="2"/>
  <c r="C617" i="2"/>
  <c r="B617" i="2"/>
  <c r="C51" i="2"/>
  <c r="B51" i="2"/>
  <c r="C2512" i="2"/>
  <c r="B2512" i="2"/>
  <c r="C1901" i="2"/>
  <c r="B1901" i="2"/>
  <c r="C2309" i="2"/>
  <c r="B2309" i="2"/>
  <c r="C1187" i="2"/>
  <c r="B1187" i="2"/>
  <c r="C1013" i="2"/>
  <c r="B1013" i="2"/>
  <c r="C2406" i="2"/>
  <c r="B2406" i="2"/>
  <c r="C1876" i="2"/>
  <c r="B1876" i="2"/>
  <c r="C501" i="2"/>
  <c r="B501" i="2"/>
  <c r="C88" i="2"/>
  <c r="B88" i="2"/>
  <c r="C161" i="2"/>
  <c r="B161" i="2"/>
  <c r="C884" i="2"/>
  <c r="B884" i="2"/>
  <c r="C2511" i="2"/>
  <c r="B2511" i="2"/>
  <c r="C645" i="2"/>
  <c r="B645" i="2"/>
  <c r="C1734" i="2"/>
  <c r="B1734" i="2"/>
  <c r="C616" i="2"/>
  <c r="B616" i="2"/>
  <c r="C933" i="2"/>
  <c r="B933" i="2"/>
  <c r="C419" i="2"/>
  <c r="B419" i="2"/>
  <c r="C2096" i="2"/>
  <c r="B2096" i="2"/>
  <c r="C1519" i="2"/>
  <c r="B1519" i="2"/>
  <c r="C75" i="2"/>
  <c r="B75" i="2"/>
  <c r="C663" i="2"/>
  <c r="B663" i="2"/>
  <c r="C1952" i="2"/>
  <c r="B1952" i="2"/>
  <c r="C1988" i="2"/>
  <c r="B1988" i="2"/>
  <c r="C1583" i="2"/>
  <c r="B1583" i="2"/>
  <c r="C29" i="2"/>
  <c r="B29" i="2"/>
  <c r="C87" i="2"/>
  <c r="B87" i="2"/>
  <c r="C2585" i="2"/>
  <c r="B2585" i="2"/>
  <c r="C2348" i="2"/>
  <c r="B2348" i="2"/>
  <c r="C1121" i="2"/>
  <c r="B1121" i="2"/>
  <c r="C686" i="2"/>
  <c r="B686" i="2"/>
  <c r="C571" i="2"/>
  <c r="B571" i="2"/>
  <c r="C295" i="2"/>
  <c r="B295" i="2"/>
  <c r="C219" i="2"/>
  <c r="B219" i="2"/>
  <c r="C1419" i="2"/>
  <c r="B1419" i="2"/>
  <c r="C1748" i="2"/>
  <c r="B1748" i="2"/>
  <c r="C1301" i="2"/>
  <c r="B1301" i="2"/>
  <c r="C2308" i="2"/>
  <c r="B2308" i="2"/>
  <c r="C2192" i="2"/>
  <c r="B2192" i="2"/>
  <c r="C1675" i="2"/>
  <c r="B1675" i="2"/>
  <c r="C1660" i="2"/>
  <c r="B1660" i="2"/>
  <c r="C1490" i="2"/>
  <c r="B1490" i="2"/>
  <c r="C983" i="2"/>
  <c r="B983" i="2"/>
  <c r="C2700" i="2"/>
  <c r="B2700" i="2"/>
  <c r="C2430" i="2"/>
  <c r="B2430" i="2"/>
  <c r="C851" i="2"/>
  <c r="B851" i="2"/>
  <c r="C2071" i="2"/>
  <c r="B2071" i="2"/>
  <c r="C799" i="2"/>
  <c r="B799" i="2"/>
  <c r="C389" i="2"/>
  <c r="B389" i="2"/>
  <c r="C354" i="2"/>
  <c r="B354" i="2"/>
  <c r="C582" i="2"/>
  <c r="B582" i="2"/>
  <c r="C2641" i="2"/>
  <c r="B2641" i="2"/>
  <c r="C1801" i="2"/>
  <c r="B1801" i="2"/>
  <c r="C2257" i="2"/>
  <c r="B2257" i="2"/>
  <c r="C2070" i="2"/>
  <c r="B2070" i="2"/>
  <c r="C1845" i="2"/>
  <c r="B1845" i="2"/>
  <c r="C1308" i="2"/>
  <c r="B1308" i="2"/>
  <c r="C1261" i="2"/>
  <c r="B1261" i="2"/>
  <c r="C1783" i="2"/>
  <c r="B1783" i="2"/>
  <c r="C1582" i="2"/>
  <c r="B1582" i="2"/>
  <c r="C1120" i="2"/>
  <c r="B1120" i="2"/>
  <c r="C2191" i="2"/>
  <c r="B2191" i="2"/>
  <c r="C1844" i="2"/>
  <c r="B1844" i="2"/>
  <c r="C1489" i="2"/>
  <c r="B1489" i="2"/>
  <c r="C1161" i="2"/>
  <c r="B1161" i="2"/>
  <c r="C1096" i="2"/>
  <c r="B1096" i="2"/>
  <c r="C990" i="2"/>
  <c r="B990" i="2"/>
  <c r="C2323" i="2"/>
  <c r="B2323" i="2"/>
  <c r="C1951" i="2"/>
  <c r="B1951" i="2"/>
  <c r="C1372" i="2"/>
  <c r="B1372" i="2"/>
  <c r="C2556" i="2"/>
  <c r="B2556" i="2"/>
  <c r="C1747" i="2"/>
  <c r="B1747" i="2"/>
  <c r="C1635" i="2"/>
  <c r="B1635" i="2"/>
  <c r="C1417" i="2"/>
  <c r="B1417" i="2"/>
  <c r="C116" i="2"/>
  <c r="B116" i="2"/>
  <c r="C2111" i="2"/>
  <c r="B2111" i="2"/>
  <c r="C1725" i="2"/>
  <c r="B1725" i="2"/>
  <c r="C2307" i="2"/>
  <c r="B2307" i="2"/>
  <c r="C2219" i="2"/>
  <c r="B2219" i="2"/>
  <c r="C1900" i="2"/>
  <c r="B1900" i="2"/>
  <c r="C2138" i="2"/>
  <c r="B2138" i="2"/>
  <c r="C1697" i="2"/>
  <c r="B1697" i="2"/>
  <c r="C479" i="2"/>
  <c r="B479" i="2"/>
  <c r="C2159" i="2"/>
  <c r="B2159" i="2"/>
  <c r="C1186" i="2"/>
  <c r="B1186" i="2"/>
  <c r="C1989" i="2"/>
  <c r="B1989" i="2"/>
  <c r="C215" i="2"/>
  <c r="B215" i="2"/>
  <c r="C2329" i="2"/>
  <c r="B2329" i="2"/>
  <c r="C1421" i="2"/>
  <c r="B1421" i="2"/>
  <c r="C1033" i="2"/>
  <c r="B1033" i="2"/>
  <c r="C1581" i="2"/>
  <c r="B1581" i="2"/>
  <c r="C1454" i="2"/>
  <c r="B1454" i="2"/>
  <c r="C2555" i="2"/>
  <c r="B2555" i="2"/>
  <c r="C2725" i="2"/>
  <c r="B2725" i="2"/>
  <c r="C338" i="2"/>
  <c r="B338" i="2"/>
  <c r="C2570" i="2"/>
  <c r="B2570" i="2"/>
  <c r="C1385" i="2"/>
  <c r="B1385" i="2"/>
  <c r="C435" i="2"/>
  <c r="B435" i="2"/>
  <c r="C282" i="2"/>
  <c r="B282" i="2"/>
  <c r="C1185" i="2"/>
  <c r="B1185" i="2"/>
  <c r="C1032" i="2"/>
  <c r="B1032" i="2"/>
  <c r="C250" i="2"/>
  <c r="B250" i="2"/>
  <c r="C86" i="2"/>
  <c r="B86" i="2"/>
  <c r="C85" i="2"/>
  <c r="B85" i="2"/>
  <c r="C1875" i="2"/>
  <c r="B1875" i="2"/>
  <c r="C1634" i="2"/>
  <c r="B1634" i="2"/>
  <c r="C821" i="2"/>
  <c r="B821" i="2"/>
  <c r="C803" i="2"/>
  <c r="B803" i="2"/>
  <c r="C2543" i="2"/>
  <c r="B2543" i="2"/>
  <c r="C353" i="2"/>
  <c r="B353" i="2"/>
  <c r="C2034" i="2"/>
  <c r="B2034" i="2"/>
  <c r="C1899" i="2"/>
  <c r="B1899" i="2"/>
  <c r="C388" i="2"/>
  <c r="B388" i="2"/>
  <c r="C1184" i="2"/>
  <c r="B1184" i="2"/>
  <c r="C1394" i="2"/>
  <c r="B1394" i="2"/>
  <c r="C2740" i="2"/>
  <c r="B2740" i="2"/>
  <c r="C2429" i="2"/>
  <c r="B2429" i="2"/>
  <c r="C1800" i="2"/>
  <c r="B1800" i="2"/>
  <c r="C197" i="2"/>
  <c r="B197" i="2"/>
  <c r="C2553" i="2"/>
  <c r="B2553" i="2"/>
  <c r="C418" i="2"/>
  <c r="B418" i="2"/>
  <c r="C662" i="2"/>
  <c r="B662" i="2"/>
  <c r="C1580" i="2"/>
  <c r="B1580" i="2"/>
  <c r="C784" i="2"/>
  <c r="B784" i="2"/>
  <c r="C434" i="2"/>
  <c r="B434" i="2"/>
  <c r="C2502" i="2"/>
  <c r="B2502" i="2"/>
  <c r="C1624" i="2"/>
  <c r="B1624" i="2"/>
  <c r="C1106" i="2"/>
  <c r="B1106" i="2"/>
  <c r="C433" i="2"/>
  <c r="B433" i="2"/>
  <c r="C1329" i="2"/>
  <c r="B1329" i="2"/>
  <c r="C726" i="2"/>
  <c r="B726" i="2"/>
  <c r="C910" i="2"/>
  <c r="B910" i="2"/>
  <c r="C7" i="2"/>
  <c r="B7" i="2"/>
  <c r="C1073" i="2"/>
  <c r="B1073" i="2"/>
  <c r="C6" i="2"/>
  <c r="B6" i="2"/>
  <c r="C1147" i="2"/>
  <c r="B1147" i="2"/>
  <c r="C304" i="2"/>
  <c r="B304" i="2"/>
  <c r="C2573" i="2"/>
  <c r="B2573" i="2"/>
  <c r="C2477" i="2"/>
  <c r="B2477" i="2"/>
  <c r="C2279" i="2"/>
  <c r="B2279" i="2"/>
  <c r="C160" i="2"/>
  <c r="B160" i="2"/>
  <c r="C478" i="2"/>
  <c r="B478" i="2"/>
  <c r="C2564" i="2"/>
  <c r="B2564" i="2"/>
  <c r="C2393" i="2"/>
  <c r="B2393" i="2"/>
  <c r="C196" i="2"/>
  <c r="B196" i="2"/>
  <c r="C1393" i="2"/>
  <c r="B1393" i="2"/>
  <c r="C115" i="2"/>
  <c r="B115" i="2"/>
  <c r="C2328" i="2"/>
  <c r="B2328" i="2"/>
  <c r="C1855" i="2"/>
  <c r="B1855" i="2"/>
  <c r="C1579" i="2"/>
  <c r="B1579" i="2"/>
  <c r="C1392" i="2"/>
  <c r="B1392" i="2"/>
  <c r="C531" i="2"/>
  <c r="B531" i="2"/>
  <c r="C387" i="2"/>
  <c r="B387" i="2"/>
  <c r="C1119" i="2"/>
  <c r="B1119" i="2"/>
  <c r="C218" i="2"/>
  <c r="B218" i="2"/>
  <c r="C47" i="2"/>
  <c r="B47" i="2"/>
  <c r="C1995" i="2"/>
  <c r="B1995" i="2"/>
  <c r="C1792" i="2"/>
  <c r="B1792" i="2"/>
  <c r="C2741" i="2"/>
  <c r="B2741" i="2"/>
  <c r="C975" i="2"/>
  <c r="B975" i="2"/>
  <c r="C932" i="2"/>
  <c r="B932" i="2"/>
  <c r="C2729" i="2"/>
  <c r="B2729" i="2"/>
  <c r="C1453" i="2"/>
  <c r="B1453" i="2"/>
  <c r="C1031" i="2"/>
  <c r="B1031" i="2"/>
  <c r="C1221" i="2"/>
  <c r="B1221" i="2"/>
  <c r="C1030" i="2"/>
  <c r="B1030" i="2"/>
  <c r="C1118" i="2"/>
  <c r="B1118" i="2"/>
  <c r="C84" i="2"/>
  <c r="B84" i="2"/>
  <c r="C2069" i="2"/>
  <c r="B2069" i="2"/>
  <c r="C303" i="2"/>
  <c r="B303" i="2"/>
  <c r="C1830" i="2"/>
  <c r="B1830" i="2"/>
  <c r="C249" i="2"/>
  <c r="B249" i="2"/>
  <c r="C432" i="2"/>
  <c r="B432" i="2"/>
  <c r="C1328" i="2"/>
  <c r="B1328" i="2"/>
  <c r="C1307" i="2"/>
  <c r="B1307" i="2"/>
  <c r="C2733" i="2"/>
  <c r="B2733" i="2"/>
  <c r="C114" i="2"/>
  <c r="B114" i="2"/>
  <c r="C83" i="2"/>
  <c r="B83" i="2"/>
  <c r="C961" i="2"/>
  <c r="B961" i="2"/>
  <c r="C1950" i="2"/>
  <c r="B1950" i="2"/>
  <c r="C104" i="2"/>
  <c r="B104" i="2"/>
  <c r="C1178" i="2"/>
  <c r="B1178" i="2"/>
  <c r="C352" i="2"/>
  <c r="B352" i="2"/>
  <c r="C1898" i="2"/>
  <c r="B1898" i="2"/>
  <c r="C1799" i="2"/>
  <c r="B1799" i="2"/>
  <c r="C1518" i="2"/>
  <c r="B1518" i="2"/>
  <c r="C530" i="2"/>
  <c r="B530" i="2"/>
  <c r="C294" i="2"/>
  <c r="B294" i="2"/>
  <c r="C2718" i="2"/>
  <c r="B2718" i="2"/>
  <c r="C1220" i="2"/>
  <c r="B1220" i="2"/>
  <c r="C1146" i="2"/>
  <c r="B1146" i="2"/>
  <c r="C1578" i="2"/>
  <c r="B1578" i="2"/>
  <c r="C1072" i="2"/>
  <c r="B1072" i="2"/>
  <c r="C5" i="2"/>
  <c r="B5" i="2"/>
  <c r="C1095" i="2"/>
  <c r="B1095" i="2"/>
  <c r="C2572" i="2"/>
  <c r="B2572" i="2"/>
  <c r="C1973" i="2"/>
  <c r="B1973" i="2"/>
  <c r="C2216" i="2"/>
  <c r="B2216" i="2"/>
  <c r="C725" i="2"/>
  <c r="B725" i="2"/>
  <c r="C1219" i="2"/>
  <c r="B1219" i="2"/>
  <c r="C2437" i="2"/>
  <c r="B2437" i="2"/>
  <c r="C248" i="2"/>
  <c r="B248" i="2"/>
  <c r="C1452" i="2"/>
  <c r="B1452" i="2"/>
  <c r="C408" i="2"/>
  <c r="B408" i="2"/>
  <c r="C82" i="2"/>
  <c r="B82" i="2"/>
  <c r="C2457" i="2"/>
  <c r="B2457" i="2"/>
  <c r="C103" i="2"/>
  <c r="B103" i="2"/>
  <c r="C50" i="2"/>
  <c r="B50" i="2"/>
  <c r="C2563" i="2"/>
  <c r="B2563" i="2"/>
  <c r="C2033" i="2"/>
  <c r="B2033" i="2"/>
  <c r="C1420" i="2"/>
  <c r="B1420" i="2"/>
  <c r="C1241" i="2"/>
  <c r="B1241" i="2"/>
  <c r="C28" i="2"/>
  <c r="B28" i="2"/>
  <c r="C1577" i="2"/>
  <c r="B1577" i="2"/>
  <c r="C969" i="2"/>
  <c r="B969" i="2"/>
  <c r="C336" i="2"/>
  <c r="B336" i="2"/>
  <c r="C228" i="2"/>
  <c r="B228" i="2"/>
  <c r="C109" i="2"/>
  <c r="B109" i="2"/>
  <c r="C217" i="2"/>
  <c r="B217" i="2"/>
  <c r="C2428" i="2"/>
  <c r="B2428" i="2"/>
  <c r="C1696" i="2"/>
  <c r="B1696" i="2"/>
  <c r="C2636" i="2"/>
  <c r="B2636" i="2"/>
  <c r="C2456" i="2"/>
  <c r="B2456" i="2"/>
  <c r="C1451" i="2"/>
  <c r="B1451" i="2"/>
  <c r="C1881" i="2"/>
  <c r="B1881" i="2"/>
  <c r="C1746" i="2"/>
  <c r="B1746" i="2"/>
  <c r="C2110" i="2"/>
  <c r="B2110" i="2"/>
  <c r="C1450" i="2"/>
  <c r="B1450" i="2"/>
  <c r="C516" i="2"/>
  <c r="B516" i="2"/>
  <c r="C820" i="2"/>
  <c r="B820" i="2"/>
  <c r="C815" i="2"/>
  <c r="B815" i="2"/>
  <c r="C1897" i="2"/>
  <c r="B1897" i="2"/>
  <c r="C1695" i="2"/>
  <c r="B1695" i="2"/>
  <c r="C22" i="2"/>
  <c r="B22" i="2"/>
  <c r="C2109" i="2"/>
  <c r="B2109" i="2"/>
  <c r="C2418" i="2"/>
  <c r="B2418" i="2"/>
  <c r="C819" i="2"/>
  <c r="B819" i="2"/>
  <c r="C113" i="2"/>
  <c r="B113" i="2"/>
  <c r="C724" i="2"/>
  <c r="B724" i="2"/>
  <c r="C1426" i="2"/>
  <c r="B1426" i="2"/>
  <c r="C1105" i="2"/>
  <c r="B1105" i="2"/>
  <c r="C21" i="2"/>
  <c r="B21" i="2"/>
  <c r="C1300" i="2"/>
  <c r="B1300" i="2"/>
  <c r="C1029" i="2"/>
  <c r="B1029" i="2"/>
  <c r="C764" i="2"/>
  <c r="B764" i="2"/>
  <c r="C661" i="2"/>
  <c r="B661" i="2"/>
  <c r="C2184" i="2"/>
  <c r="B2184" i="2"/>
  <c r="C2032" i="2"/>
  <c r="B2032" i="2"/>
  <c r="C1012" i="2"/>
  <c r="B1012" i="2"/>
  <c r="C931" i="2"/>
  <c r="B931" i="2"/>
  <c r="C1449" i="2"/>
  <c r="B1449" i="2"/>
  <c r="C1008" i="2"/>
  <c r="B1008" i="2"/>
  <c r="C2102" i="2"/>
  <c r="B2102" i="2"/>
  <c r="C1694" i="2"/>
  <c r="B1694" i="2"/>
  <c r="C2550" i="2"/>
  <c r="B2550" i="2"/>
  <c r="C1798" i="2"/>
  <c r="B1798" i="2"/>
  <c r="C1448" i="2"/>
  <c r="B1448" i="2"/>
  <c r="C1068" i="2"/>
  <c r="B1068" i="2"/>
  <c r="C2058" i="2"/>
  <c r="B2058" i="2"/>
  <c r="C1371" i="2"/>
  <c r="B1371" i="2"/>
  <c r="C930" i="2"/>
  <c r="B930" i="2"/>
  <c r="C863" i="2"/>
  <c r="B863" i="2"/>
  <c r="C49" i="2"/>
  <c r="B49" i="2"/>
  <c r="C1871" i="2"/>
  <c r="B1871" i="2"/>
  <c r="C1693" i="2"/>
  <c r="B1693" i="2"/>
  <c r="C1011" i="2"/>
  <c r="B1011" i="2"/>
  <c r="C1007" i="2"/>
  <c r="B1007" i="2"/>
  <c r="C2623" i="2"/>
  <c r="B2623" i="2"/>
  <c r="C974" i="2"/>
  <c r="B974" i="2"/>
  <c r="C4" i="2"/>
  <c r="B4" i="2"/>
  <c r="C1834" i="2"/>
  <c r="B1834" i="2"/>
  <c r="C2306" i="2"/>
  <c r="B2306" i="2"/>
  <c r="C720" i="2"/>
  <c r="B720" i="2"/>
  <c r="C2584" i="2"/>
  <c r="B2584" i="2"/>
  <c r="C1738" i="2"/>
  <c r="B1738" i="2"/>
  <c r="C500" i="2"/>
  <c r="B500" i="2"/>
  <c r="C1226" i="2"/>
  <c r="B1226" i="2"/>
  <c r="C2421" i="2"/>
  <c r="B2421" i="2"/>
  <c r="C1782" i="2"/>
  <c r="B1782" i="2"/>
  <c r="C1216" i="2"/>
  <c r="B1216" i="2"/>
  <c r="C139" i="2"/>
  <c r="B139" i="2"/>
  <c r="C2427" i="2"/>
  <c r="B2427" i="2"/>
  <c r="C1028" i="2"/>
  <c r="B1028" i="2"/>
  <c r="C1692" i="2"/>
  <c r="B1692" i="2"/>
  <c r="C1517" i="2"/>
  <c r="B1517" i="2"/>
  <c r="C1391" i="2"/>
  <c r="B1391" i="2"/>
  <c r="C1923" i="2"/>
  <c r="B1923" i="2"/>
  <c r="C1260" i="2"/>
  <c r="B1260" i="2"/>
  <c r="C1435" i="2"/>
  <c r="B1435" i="2"/>
  <c r="C1447" i="2"/>
  <c r="B1447" i="2"/>
  <c r="C1240" i="2"/>
  <c r="B1240" i="2"/>
  <c r="C587" i="2"/>
  <c r="B587" i="2"/>
  <c r="C723" i="2"/>
  <c r="B723" i="2"/>
  <c r="C105" i="2"/>
  <c r="B105" i="2"/>
  <c r="C143" i="2"/>
  <c r="B143" i="2"/>
  <c r="C159" i="2"/>
  <c r="B159" i="2"/>
  <c r="C2094" i="2"/>
  <c r="B2094" i="2"/>
  <c r="C1668" i="2"/>
  <c r="B1668" i="2"/>
  <c r="C2305" i="2"/>
  <c r="B2305" i="2"/>
  <c r="C3" i="2"/>
  <c r="B3" i="2"/>
  <c r="C132" i="2"/>
  <c r="B132" i="2"/>
  <c r="C1253" i="2"/>
  <c r="B1253" i="2"/>
  <c r="C1252" i="2"/>
  <c r="B1252" i="2"/>
  <c r="C1633" i="2"/>
  <c r="B1633" i="2"/>
  <c r="C1890" i="2"/>
  <c r="B1890" i="2"/>
  <c r="C1949" i="2"/>
  <c r="B1949" i="2"/>
  <c r="C1117" i="2"/>
  <c r="B1117" i="2"/>
  <c r="C499" i="2"/>
  <c r="B499" i="2"/>
  <c r="C431" i="2"/>
  <c r="B431" i="2"/>
  <c r="C680" i="2"/>
  <c r="B680" i="2"/>
  <c r="C1010" i="2"/>
  <c r="B1010" i="2"/>
  <c r="C1094" i="2"/>
  <c r="B1094" i="2"/>
  <c r="C475" i="2"/>
  <c r="B475" i="2"/>
  <c r="C900" i="2"/>
  <c r="B900" i="2"/>
  <c r="C1183" i="2"/>
  <c r="B1183" i="2"/>
  <c r="C1152" i="2"/>
  <c r="B1152" i="2"/>
  <c r="C2655" i="2"/>
  <c r="B2655" i="2"/>
  <c r="C2397" i="2"/>
  <c r="B2397" i="2"/>
  <c r="C1093" i="2"/>
  <c r="B1093" i="2"/>
  <c r="C2" i="2"/>
  <c r="B2" i="2"/>
  <c r="C989" i="2"/>
  <c r="B989" i="2"/>
  <c r="C2137" i="2"/>
  <c r="B2137" i="2"/>
  <c r="C158" i="2"/>
  <c r="B158" i="2"/>
  <c r="C586" i="2"/>
  <c r="B586" i="2"/>
  <c r="C1182" i="2"/>
  <c r="B1182" i="2"/>
  <c r="C1384" i="2"/>
  <c r="B1384" i="2"/>
  <c r="C578" i="2"/>
  <c r="B578" i="2"/>
  <c r="C909" i="2"/>
  <c r="B909" i="2"/>
  <c r="C1381" i="2"/>
  <c r="B1381" i="2"/>
  <c r="C2095" i="2"/>
  <c r="B2095" i="2"/>
  <c r="C351" i="2"/>
  <c r="B351" i="2"/>
  <c r="C67" i="2"/>
  <c r="B67" i="2"/>
  <c r="C195" i="2"/>
  <c r="B195" i="2"/>
  <c r="C247" i="2"/>
  <c r="B247" i="2"/>
  <c r="C1927" i="2"/>
  <c r="B1927" i="2"/>
  <c r="C1516" i="2"/>
  <c r="B1516" i="2"/>
  <c r="C2125" i="2"/>
  <c r="B2125" i="2"/>
  <c r="C1320" i="2"/>
  <c r="B1320" i="2"/>
  <c r="C477" i="2"/>
  <c r="B477" i="2"/>
  <c r="C1632" i="2"/>
  <c r="B1632" i="2"/>
  <c r="C107" i="2"/>
  <c r="B107" i="2"/>
  <c r="C1691" i="2"/>
  <c r="B1691" i="2"/>
  <c r="C2101" i="2"/>
  <c r="B2101" i="2"/>
  <c r="C1239" i="2"/>
  <c r="B1239" i="2"/>
  <c r="C861" i="2"/>
  <c r="B861" i="2"/>
  <c r="C722" i="2"/>
  <c r="B722" i="2"/>
  <c r="C615" i="2"/>
  <c r="B615" i="2"/>
  <c r="C529" i="2"/>
  <c r="B529" i="2"/>
  <c r="C430" i="2"/>
  <c r="B430" i="2"/>
  <c r="C417" i="2"/>
  <c r="B417" i="2"/>
  <c r="C216" i="2"/>
  <c r="B216" i="2"/>
  <c r="C190" i="2"/>
  <c r="B190" i="2"/>
  <c r="C188" i="2"/>
  <c r="B188" i="2"/>
  <c r="C1994" i="2"/>
  <c r="B1994" i="2"/>
  <c r="C2443" i="2"/>
  <c r="B2443" i="2"/>
  <c r="C327" i="2"/>
  <c r="B327" i="2"/>
  <c r="C2579" i="2"/>
  <c r="B2579" i="2"/>
  <c r="C1390" i="2"/>
  <c r="B1390" i="2"/>
  <c r="C1071" i="2"/>
  <c r="B1071" i="2"/>
  <c r="C1259" i="2"/>
  <c r="B1259" i="2"/>
  <c r="C81" i="2"/>
  <c r="B81" i="2"/>
  <c r="C644" i="2"/>
  <c r="B644" i="2"/>
  <c r="C180" i="2"/>
  <c r="B180" i="2"/>
  <c r="C1291" i="2"/>
  <c r="B1291" i="2"/>
  <c r="C1733" i="2"/>
  <c r="B1733" i="2"/>
  <c r="C883" i="2"/>
  <c r="B883" i="2"/>
  <c r="C429" i="2"/>
  <c r="B429" i="2"/>
  <c r="C2691" i="2"/>
  <c r="B2691" i="2"/>
  <c r="C2251" i="2"/>
  <c r="B2251" i="2"/>
  <c r="C988" i="2"/>
  <c r="B988" i="2"/>
  <c r="C1027" i="2"/>
  <c r="B1027" i="2"/>
  <c r="C2442" i="2"/>
  <c r="B2442" i="2"/>
  <c r="C570" i="2"/>
  <c r="B570" i="2"/>
  <c r="C1931" i="2"/>
  <c r="B1931" i="2"/>
  <c r="C1116" i="2"/>
  <c r="B1116" i="2"/>
  <c r="C1515" i="2"/>
  <c r="B1515" i="2"/>
  <c r="C987" i="2"/>
  <c r="B987" i="2"/>
  <c r="C528" i="2"/>
  <c r="B528" i="2"/>
  <c r="C2709" i="2"/>
  <c r="B2709" i="2"/>
  <c r="C281" i="2"/>
  <c r="B281" i="2"/>
  <c r="C350" i="2"/>
  <c r="B350" i="2"/>
  <c r="C1160" i="2"/>
  <c r="B1160" i="2"/>
  <c r="C80" i="2"/>
  <c r="B80" i="2"/>
  <c r="C1576" i="2"/>
  <c r="B1576" i="2"/>
  <c r="C1389" i="2"/>
  <c r="B1389" i="2"/>
  <c r="C1026" i="2"/>
  <c r="B1026" i="2"/>
  <c r="C498" i="2"/>
  <c r="B498" i="2"/>
  <c r="C527" i="2"/>
  <c r="B527" i="2"/>
  <c r="C660" i="2"/>
  <c r="B660" i="2"/>
  <c r="C1258" i="2"/>
  <c r="B1258" i="2"/>
  <c r="C157" i="2"/>
  <c r="B157" i="2"/>
  <c r="C515" i="2"/>
  <c r="B515" i="2"/>
  <c r="C1025" i="2"/>
  <c r="B1025" i="2"/>
  <c r="C659" i="2"/>
  <c r="B659" i="2"/>
  <c r="C1617" i="2"/>
  <c r="B1617" i="2"/>
  <c r="C2668" i="2"/>
  <c r="B2668" i="2"/>
  <c r="C2405" i="2"/>
  <c r="B2405" i="2"/>
  <c r="C882" i="2"/>
  <c r="B882" i="2"/>
  <c r="C1948" i="2"/>
  <c r="B1948" i="2"/>
  <c r="C326" i="2"/>
  <c r="B326" i="2"/>
  <c r="C1575" i="2"/>
  <c r="B1575" i="2"/>
  <c r="C2404" i="2"/>
  <c r="B2404" i="2"/>
  <c r="C2068" i="2"/>
  <c r="B2068" i="2"/>
  <c r="C2108" i="2"/>
  <c r="B2108" i="2"/>
  <c r="C1877" i="2"/>
  <c r="B1877" i="2"/>
  <c r="C194" i="2"/>
  <c r="B194" i="2"/>
  <c r="C1854" i="2"/>
  <c r="B1854" i="2"/>
  <c r="C1257" i="2"/>
  <c r="B1257" i="2"/>
  <c r="C156" i="2"/>
  <c r="B156" i="2"/>
  <c r="C2653" i="2"/>
  <c r="B2653" i="2"/>
  <c r="C1092" i="2"/>
  <c r="B1092" i="2"/>
  <c r="C1256" i="2"/>
  <c r="B1256" i="2"/>
  <c r="C1833" i="2"/>
  <c r="B1833" i="2"/>
  <c r="C1853" i="2"/>
  <c r="B1853" i="2"/>
  <c r="C2571" i="2"/>
  <c r="B2571" i="2"/>
  <c r="C428" i="2"/>
  <c r="B428" i="2"/>
  <c r="C679" i="2"/>
  <c r="B679" i="2"/>
  <c r="C611" i="2"/>
  <c r="B611" i="2"/>
  <c r="C1159" i="2"/>
  <c r="B1159" i="2"/>
  <c r="C2136" i="2"/>
  <c r="B2136" i="2"/>
  <c r="C2640" i="2"/>
  <c r="B2640" i="2"/>
  <c r="C2168" i="2"/>
  <c r="B2168" i="2"/>
  <c r="C685" i="2"/>
  <c r="B685" i="2"/>
  <c r="C1690" i="2"/>
  <c r="B1690" i="2"/>
  <c r="C1024" i="2"/>
  <c r="B1024" i="2"/>
  <c r="C684" i="2"/>
  <c r="B684" i="2"/>
  <c r="C2107" i="2"/>
  <c r="B2107" i="2"/>
  <c r="C233" i="2"/>
  <c r="B233" i="2"/>
  <c r="C1104" i="2"/>
  <c r="B1104" i="2"/>
  <c r="C1023" i="2"/>
  <c r="B1023" i="2"/>
  <c r="C1724" i="2"/>
  <c r="B1724" i="2"/>
  <c r="C2347" i="2"/>
  <c r="B2347" i="2"/>
  <c r="C1631" i="2"/>
  <c r="B1631" i="2"/>
  <c r="C721" i="2"/>
  <c r="B721" i="2"/>
  <c r="C2510" i="2"/>
  <c r="B2510" i="2"/>
  <c r="C1299" i="2"/>
  <c r="B1299" i="2"/>
  <c r="C658" i="2"/>
  <c r="B658" i="2"/>
  <c r="C495" i="2"/>
  <c r="B495" i="2"/>
  <c r="C1623" i="2"/>
  <c r="B1623" i="2"/>
  <c r="C427" i="2"/>
  <c r="B427" i="2"/>
  <c r="C426" i="2"/>
  <c r="B426" i="2"/>
  <c r="C862" i="2"/>
  <c r="B862" i="2"/>
  <c r="C74" i="2"/>
  <c r="B74" i="2"/>
  <c r="C232" i="2"/>
  <c r="B232" i="2"/>
  <c r="C709" i="2"/>
  <c r="B709" i="2"/>
  <c r="C2304" i="2"/>
  <c r="B2304" i="2"/>
  <c r="C1797" i="2"/>
  <c r="B1797" i="2"/>
  <c r="C1689" i="2"/>
  <c r="B1689" i="2"/>
  <c r="C1670" i="2"/>
  <c r="B1670" i="2"/>
  <c r="C1388" i="2"/>
  <c r="B1388" i="2"/>
  <c r="C1181" i="2"/>
  <c r="B1181" i="2"/>
  <c r="C779" i="2"/>
  <c r="B779" i="2"/>
  <c r="C378" i="2"/>
  <c r="B378" i="2"/>
  <c r="C881" i="2"/>
  <c r="B881" i="2"/>
  <c r="C1796" i="2"/>
  <c r="B1796" i="2"/>
  <c r="C280" i="2"/>
  <c r="B280" i="2"/>
  <c r="C1745" i="2"/>
  <c r="B1745" i="2"/>
  <c r="C614" i="2"/>
  <c r="B614" i="2"/>
  <c r="C2689" i="2"/>
  <c r="B2689" i="2"/>
  <c r="C407" i="2"/>
  <c r="B407" i="2"/>
  <c r="C1498" i="2"/>
  <c r="B1498" i="2"/>
  <c r="C605" i="2"/>
  <c r="B605" i="2"/>
  <c r="C474" i="2"/>
  <c r="B474" i="2"/>
  <c r="C1327" i="2"/>
  <c r="B1327" i="2"/>
  <c r="C302" i="2"/>
  <c r="B302" i="2"/>
  <c r="C1795" i="2"/>
  <c r="B1795" i="2"/>
  <c r="C179" i="2"/>
  <c r="B179" i="2"/>
  <c r="C2067" i="2"/>
  <c r="B2067" i="2"/>
  <c r="C1744" i="2"/>
  <c r="B1744" i="2"/>
  <c r="C497" i="2"/>
  <c r="B497" i="2"/>
  <c r="C2679" i="2"/>
  <c r="B2679" i="2"/>
  <c r="C678" i="2"/>
  <c r="B678" i="2"/>
  <c r="C2455" i="2"/>
  <c r="B2455" i="2"/>
  <c r="C1446" i="2"/>
  <c r="B1446" i="2"/>
  <c r="C2346" i="2"/>
  <c r="B2346" i="2"/>
  <c r="C908" i="2"/>
  <c r="B908" i="2"/>
  <c r="C818" i="2"/>
  <c r="B818" i="2"/>
  <c r="C585" i="2"/>
  <c r="B585" i="2"/>
  <c r="C2167" i="2"/>
  <c r="B2167" i="2"/>
  <c r="C1488" i="2"/>
  <c r="B1488" i="2"/>
  <c r="C48" i="2"/>
  <c r="B48" i="2"/>
  <c r="C1892" i="2"/>
  <c r="B1892" i="2"/>
  <c r="C1688" i="2"/>
  <c r="B1688" i="2"/>
  <c r="C349" i="2"/>
  <c r="B349" i="2"/>
  <c r="C683" i="2"/>
  <c r="B683" i="2"/>
  <c r="C386" i="2"/>
  <c r="B386" i="2"/>
  <c r="C1326" i="2"/>
  <c r="B1326" i="2"/>
  <c r="C1445" i="2"/>
  <c r="B1445" i="2"/>
  <c r="C758" i="2"/>
  <c r="B758" i="2"/>
  <c r="C1325" i="2"/>
  <c r="B1325" i="2"/>
  <c r="C2100" i="2"/>
  <c r="B2100" i="2"/>
  <c r="C569" i="2"/>
  <c r="B569" i="2"/>
  <c r="C2728" i="2"/>
  <c r="B2728" i="2"/>
  <c r="C1794" i="2"/>
  <c r="B1794" i="2"/>
  <c r="C1370" i="2"/>
  <c r="B1370" i="2"/>
  <c r="C1324" i="2"/>
  <c r="B1324" i="2"/>
  <c r="C1091" i="2"/>
  <c r="B1091" i="2"/>
  <c r="C1947" i="2"/>
  <c r="B1947" i="2"/>
  <c r="C1090" i="2"/>
  <c r="B1090" i="2"/>
  <c r="C757" i="2"/>
  <c r="B757" i="2"/>
  <c r="C337" i="2"/>
  <c r="B337" i="2"/>
  <c r="C2524" i="2"/>
  <c r="B2524" i="2"/>
  <c r="C2539" i="2"/>
  <c r="B2539" i="2"/>
  <c r="C1574" i="2"/>
  <c r="B1574" i="2"/>
  <c r="C708" i="2"/>
  <c r="B708" i="2"/>
  <c r="C1255" i="2"/>
  <c r="B1255" i="2"/>
  <c r="C682" i="2"/>
  <c r="B682" i="2"/>
  <c r="C476" i="2"/>
  <c r="B476" i="2"/>
  <c r="C1114" i="2"/>
  <c r="B1114" i="2"/>
  <c r="C1880" i="2"/>
  <c r="B1880" i="2"/>
  <c r="C1879" i="2"/>
  <c r="B1879" i="2"/>
  <c r="C425" i="2"/>
  <c r="B425" i="2"/>
  <c r="C526" i="2"/>
  <c r="B526" i="2"/>
  <c r="C514" i="2"/>
  <c r="B514" i="2"/>
  <c r="C604" i="2"/>
  <c r="B604" i="2"/>
  <c r="C2135" i="2"/>
  <c r="B2135" i="2"/>
  <c r="C1982" i="2"/>
  <c r="B1982" i="2"/>
  <c r="C860" i="2"/>
  <c r="B860" i="2"/>
  <c r="C2438" i="2"/>
  <c r="B2438" i="2"/>
  <c r="C1562" i="2"/>
  <c r="B1562" i="2"/>
  <c r="C293" i="2"/>
  <c r="B293" i="2"/>
  <c r="C1254" i="2"/>
  <c r="B1254" i="2"/>
  <c r="C2380" i="2"/>
  <c r="B2380" i="2"/>
  <c r="C1981" i="2"/>
  <c r="B1981" i="2"/>
  <c r="C193" i="2"/>
  <c r="B193" i="2"/>
  <c r="C1573" i="2"/>
  <c r="B1573" i="2"/>
  <c r="C986" i="2"/>
  <c r="B986" i="2"/>
  <c r="C907" i="2"/>
  <c r="B907" i="2"/>
  <c r="C2403" i="2"/>
  <c r="B2403" i="2"/>
  <c r="C406" i="2"/>
  <c r="B406" i="2"/>
  <c r="C2134" i="2"/>
  <c r="B2134" i="2"/>
  <c r="C929" i="2"/>
  <c r="B929" i="2"/>
  <c r="C79" i="2"/>
  <c r="B79" i="2"/>
  <c r="C1180" i="2"/>
  <c r="B1180" i="2"/>
  <c r="C1993" i="2"/>
  <c r="B1993" i="2"/>
  <c r="C1568" i="2"/>
  <c r="B1568" i="2"/>
  <c r="C244" i="2"/>
  <c r="B244" i="2"/>
  <c r="C568" i="2"/>
  <c r="B568" i="2"/>
  <c r="C906" i="2"/>
  <c r="B906" i="2"/>
  <c r="C802" i="2"/>
  <c r="B802" i="2"/>
  <c r="C2402" i="2"/>
  <c r="B2402" i="2"/>
  <c r="C246" i="2"/>
  <c r="B246" i="2"/>
  <c r="C1487" i="2"/>
  <c r="B1487" i="2"/>
  <c r="C1022" i="2"/>
  <c r="B1022" i="2"/>
  <c r="C192" i="2"/>
  <c r="B192" i="2"/>
  <c r="C1743" i="2"/>
  <c r="B1743" i="2"/>
  <c r="C322" i="2"/>
  <c r="B322" i="2"/>
  <c r="W2678" i="2"/>
  <c r="V2678" i="2"/>
  <c r="W2025" i="2"/>
  <c r="V2025" i="2"/>
  <c r="W1870" i="2"/>
  <c r="V1870" i="2"/>
  <c r="W1827" i="2"/>
  <c r="V1827" i="2"/>
  <c r="W1720" i="2"/>
  <c r="V1720" i="2"/>
  <c r="W1486" i="2"/>
  <c r="V1486" i="2"/>
  <c r="W1290" i="2"/>
  <c r="V1290" i="2"/>
  <c r="W1229" i="2"/>
  <c r="V1229" i="2"/>
  <c r="W1228" i="2"/>
  <c r="V1228" i="2"/>
  <c r="W958" i="2"/>
  <c r="V958" i="2"/>
  <c r="W925" i="2"/>
  <c r="V925" i="2"/>
  <c r="W754" i="2"/>
  <c r="V754" i="2"/>
  <c r="W701" i="2"/>
  <c r="V701" i="2"/>
  <c r="W212" i="2"/>
  <c r="V212" i="2"/>
  <c r="W178" i="2"/>
  <c r="V178" i="2"/>
  <c r="W137" i="2"/>
  <c r="V137" i="2"/>
  <c r="W2695" i="2"/>
  <c r="V2695" i="2"/>
  <c r="W2653" i="2"/>
  <c r="V2653" i="2"/>
  <c r="W2209" i="2"/>
  <c r="V2209" i="2"/>
  <c r="W1949" i="2"/>
  <c r="V1949" i="2"/>
  <c r="W1925" i="2"/>
  <c r="V1925" i="2"/>
  <c r="W1387" i="2"/>
  <c r="V1387" i="2"/>
  <c r="W1117" i="2"/>
  <c r="V1117" i="2"/>
  <c r="W1098" i="2"/>
  <c r="V1098" i="2"/>
  <c r="W1092" i="2"/>
  <c r="V1092" i="2"/>
  <c r="W1063" i="2"/>
  <c r="V1063" i="2"/>
  <c r="W924" i="2"/>
  <c r="V924" i="2"/>
  <c r="W776" i="2"/>
  <c r="V776" i="2"/>
  <c r="W753" i="2"/>
  <c r="V753" i="2"/>
  <c r="W641" i="2"/>
  <c r="V641" i="2"/>
  <c r="W321" i="2"/>
  <c r="V321" i="2"/>
  <c r="W1588" i="2"/>
  <c r="V1588" i="2"/>
  <c r="W2606" i="2"/>
  <c r="V2606" i="2"/>
  <c r="W2646" i="2"/>
  <c r="V2646" i="2"/>
  <c r="W2614" i="2"/>
  <c r="V2614" i="2"/>
  <c r="W2574" i="2"/>
  <c r="V2574" i="2"/>
  <c r="W2466" i="2"/>
  <c r="V2466" i="2"/>
  <c r="W1719" i="2"/>
  <c r="V1719" i="2"/>
  <c r="W1629" i="2"/>
  <c r="V1629" i="2"/>
  <c r="W1615" i="2"/>
  <c r="V1615" i="2"/>
  <c r="W1248" i="2"/>
  <c r="V1248" i="2"/>
  <c r="W1237" i="2"/>
  <c r="V1237" i="2"/>
  <c r="W1089" i="2"/>
  <c r="V1089" i="2"/>
  <c r="W968" i="2"/>
  <c r="V968" i="2"/>
  <c r="W651" i="2"/>
  <c r="V651" i="2"/>
  <c r="W503" i="2"/>
  <c r="V503" i="2"/>
  <c r="W499" i="2"/>
  <c r="V499" i="2"/>
  <c r="W431" i="2"/>
  <c r="V431" i="2"/>
  <c r="W257" i="2"/>
  <c r="V257" i="2"/>
  <c r="W46" i="2"/>
  <c r="V46" i="2"/>
  <c r="W2377" i="2"/>
  <c r="V2377" i="2"/>
  <c r="W2232" i="2"/>
  <c r="V2232" i="2"/>
  <c r="W1904" i="2"/>
  <c r="V1904" i="2"/>
  <c r="W1791" i="2"/>
  <c r="V1791" i="2"/>
  <c r="W1610" i="2"/>
  <c r="V1610" i="2"/>
  <c r="W1369" i="2"/>
  <c r="V1369" i="2"/>
  <c r="W1194" i="2"/>
  <c r="V1194" i="2"/>
  <c r="W1170" i="2"/>
  <c r="V1170" i="2"/>
  <c r="W705" i="2"/>
  <c r="V705" i="2"/>
  <c r="W680" i="2"/>
  <c r="V680" i="2"/>
  <c r="W652" i="2"/>
  <c r="V652" i="2"/>
  <c r="W414" i="2"/>
  <c r="V414" i="2"/>
  <c r="W1902" i="2"/>
  <c r="V1902" i="2"/>
  <c r="W1770" i="2"/>
  <c r="V1770" i="2"/>
  <c r="W1377" i="2"/>
  <c r="V1377" i="2"/>
  <c r="W1256" i="2"/>
  <c r="V1256" i="2"/>
  <c r="W1062" i="2"/>
  <c r="V1062" i="2"/>
  <c r="W957" i="2"/>
  <c r="V957" i="2"/>
  <c r="W806" i="2"/>
  <c r="V806" i="2"/>
  <c r="W640" i="2"/>
  <c r="V640" i="2"/>
  <c r="W564" i="2"/>
  <c r="V564" i="2"/>
  <c r="W377" i="2"/>
  <c r="V377" i="2"/>
  <c r="W308" i="2"/>
  <c r="V308" i="2"/>
  <c r="W181" i="2"/>
  <c r="V181" i="2"/>
  <c r="W2259" i="2"/>
  <c r="V2259" i="2"/>
  <c r="W1127" i="2"/>
  <c r="V1127" i="2"/>
  <c r="W2268" i="2"/>
  <c r="V2268" i="2"/>
  <c r="W2549" i="2"/>
  <c r="V2549" i="2"/>
  <c r="W2207" i="2"/>
  <c r="V2207" i="2"/>
  <c r="W2099" i="2"/>
  <c r="V2099" i="2"/>
  <c r="W1903" i="2"/>
  <c r="V1903" i="2"/>
  <c r="W1833" i="2"/>
  <c r="V1833" i="2"/>
  <c r="W1399" i="2"/>
  <c r="V1399" i="2"/>
  <c r="W1365" i="2"/>
  <c r="V1365" i="2"/>
  <c r="W1130" i="2"/>
  <c r="V1130" i="2"/>
  <c r="W1111" i="2"/>
  <c r="V1111" i="2"/>
  <c r="W1097" i="2"/>
  <c r="V1097" i="2"/>
  <c r="W1061" i="2"/>
  <c r="V1061" i="2"/>
  <c r="W1010" i="2"/>
  <c r="V1010" i="2"/>
  <c r="W424" i="2"/>
  <c r="V424" i="2"/>
  <c r="W2578" i="2"/>
  <c r="V2578" i="2"/>
  <c r="W2498" i="2"/>
  <c r="V2498" i="2"/>
  <c r="W2345" i="2"/>
  <c r="V2345" i="2"/>
  <c r="W2212" i="2"/>
  <c r="V2212" i="2"/>
  <c r="W2197" i="2"/>
  <c r="V2197" i="2"/>
  <c r="W2133" i="2"/>
  <c r="V2133" i="2"/>
  <c r="W2118" i="2"/>
  <c r="V2118" i="2"/>
  <c r="W2073" i="2"/>
  <c r="V2073" i="2"/>
  <c r="W1853" i="2"/>
  <c r="V1853" i="2"/>
  <c r="W1682" i="2"/>
  <c r="V1682" i="2"/>
  <c r="W1605" i="2"/>
  <c r="V1605" i="2"/>
  <c r="W1296" i="2"/>
  <c r="V1296" i="2"/>
  <c r="W1289" i="2"/>
  <c r="V1289" i="2"/>
  <c r="W1094" i="2"/>
  <c r="V1094" i="2"/>
  <c r="W996" i="2"/>
  <c r="V996" i="2"/>
  <c r="W849" i="2"/>
  <c r="V849" i="2"/>
  <c r="W402" i="2"/>
  <c r="V402" i="2"/>
  <c r="W20" i="2"/>
  <c r="V20" i="2"/>
  <c r="W2571" i="2"/>
  <c r="V2571" i="2"/>
  <c r="W2409" i="2"/>
  <c r="V2409" i="2"/>
  <c r="W2303" i="2"/>
  <c r="V2303" i="2"/>
  <c r="W2300" i="2"/>
  <c r="V2300" i="2"/>
  <c r="W2023" i="2"/>
  <c r="V2023" i="2"/>
  <c r="W1980" i="2"/>
  <c r="V1980" i="2"/>
  <c r="W1848" i="2"/>
  <c r="V1848" i="2"/>
  <c r="W1769" i="2"/>
  <c r="V1769" i="2"/>
  <c r="W1609" i="2"/>
  <c r="V1609" i="2"/>
  <c r="W1526" i="2"/>
  <c r="V1526" i="2"/>
  <c r="W1364" i="2"/>
  <c r="V1364" i="2"/>
  <c r="W848" i="2"/>
  <c r="V848" i="2"/>
  <c r="W428" i="2"/>
  <c r="V428" i="2"/>
  <c r="W2734" i="2"/>
  <c r="V2734" i="2"/>
  <c r="W2546" i="2"/>
  <c r="V2546" i="2"/>
  <c r="W2499" i="2"/>
  <c r="V2499" i="2"/>
  <c r="W2468" i="2"/>
  <c r="V2468" i="2"/>
  <c r="W2381" i="2"/>
  <c r="V2381" i="2"/>
  <c r="W2194" i="2"/>
  <c r="V2194" i="2"/>
  <c r="W1984" i="2"/>
  <c r="V1984" i="2"/>
  <c r="W1826" i="2"/>
  <c r="V1826" i="2"/>
  <c r="W1812" i="2"/>
  <c r="V1812" i="2"/>
  <c r="W1233" i="2"/>
  <c r="V1233" i="2"/>
  <c r="W852" i="2"/>
  <c r="V852" i="2"/>
  <c r="W723" i="2"/>
  <c r="V723" i="2"/>
  <c r="W525" i="2"/>
  <c r="V525" i="2"/>
  <c r="W346" i="2"/>
  <c r="V346" i="2"/>
  <c r="W279" i="2"/>
  <c r="V279" i="2"/>
  <c r="W154" i="2"/>
  <c r="V154" i="2"/>
  <c r="W2686" i="2"/>
  <c r="V2686" i="2"/>
  <c r="W2280" i="2"/>
  <c r="V2280" i="2"/>
  <c r="W1687" i="2"/>
  <c r="V1687" i="2"/>
  <c r="W1288" i="2"/>
  <c r="V1288" i="2"/>
  <c r="W1145" i="2"/>
  <c r="V1145" i="2"/>
  <c r="W956" i="2"/>
  <c r="V956" i="2"/>
  <c r="W868" i="2"/>
  <c r="V868" i="2"/>
  <c r="W856" i="2"/>
  <c r="V856" i="2"/>
  <c r="W814" i="2"/>
  <c r="V814" i="2"/>
  <c r="W669" i="2"/>
  <c r="V669" i="2"/>
  <c r="W467" i="2"/>
  <c r="V467" i="2"/>
  <c r="W345" i="2"/>
  <c r="V345" i="2"/>
  <c r="W1896" i="2"/>
  <c r="V1896" i="2"/>
  <c r="W1363" i="2"/>
  <c r="V1363" i="2"/>
  <c r="W1331" i="2"/>
  <c r="V1331" i="2"/>
  <c r="W679" i="2"/>
  <c r="V679" i="2"/>
  <c r="W620" i="2"/>
  <c r="V620" i="2"/>
  <c r="W494" i="2"/>
  <c r="V494" i="2"/>
  <c r="W306" i="2"/>
  <c r="V306" i="2"/>
  <c r="W2281" i="2"/>
  <c r="V2281" i="2"/>
  <c r="W2018" i="2"/>
  <c r="V2018" i="2"/>
  <c r="W1929" i="2"/>
  <c r="V1929" i="2"/>
  <c r="W700" i="2"/>
  <c r="V700" i="2"/>
  <c r="W619" i="2"/>
  <c r="V619" i="2"/>
  <c r="W611" i="2"/>
  <c r="V611" i="2"/>
  <c r="W211" i="2"/>
  <c r="V211" i="2"/>
  <c r="W2683" i="2"/>
  <c r="V2683" i="2"/>
  <c r="W2326" i="2"/>
  <c r="V2326" i="2"/>
  <c r="W2290" i="2"/>
  <c r="V2290" i="2"/>
  <c r="W1945" i="2"/>
  <c r="V1945" i="2"/>
  <c r="W1608" i="2"/>
  <c r="V1608" i="2"/>
  <c r="W1485" i="2"/>
  <c r="V1485" i="2"/>
  <c r="W1144" i="2"/>
  <c r="V1144" i="2"/>
  <c r="W1103" i="2"/>
  <c r="V1103" i="2"/>
  <c r="W1019" i="2"/>
  <c r="V1019" i="2"/>
  <c r="W955" i="2"/>
  <c r="V955" i="2"/>
  <c r="W813" i="2"/>
  <c r="V813" i="2"/>
  <c r="W606" i="2"/>
  <c r="V606" i="2"/>
  <c r="W473" i="2"/>
  <c r="V473" i="2"/>
  <c r="W45" i="2"/>
  <c r="V45" i="2"/>
  <c r="W2652" i="2"/>
  <c r="V2652" i="2"/>
  <c r="W2464" i="2"/>
  <c r="V2464" i="2"/>
  <c r="W2105" i="2"/>
  <c r="V2105" i="2"/>
  <c r="W1825" i="2"/>
  <c r="V1825" i="2"/>
  <c r="W1809" i="2"/>
  <c r="V1809" i="2"/>
  <c r="W1790" i="2"/>
  <c r="V1790" i="2"/>
  <c r="W1287" i="2"/>
  <c r="V1287" i="2"/>
  <c r="W1159" i="2"/>
  <c r="V1159" i="2"/>
  <c r="W1060" i="2"/>
  <c r="V1060" i="2"/>
  <c r="W563" i="2"/>
  <c r="V563" i="2"/>
  <c r="W475" i="2"/>
  <c r="V475" i="2"/>
  <c r="W234" i="2"/>
  <c r="V234" i="2"/>
  <c r="W187" i="2"/>
  <c r="V187" i="2"/>
  <c r="W19" i="2"/>
  <c r="V19" i="2"/>
  <c r="W2688" i="2"/>
  <c r="V2688" i="2"/>
  <c r="W2376" i="2"/>
  <c r="V2376" i="2"/>
  <c r="W2190" i="2"/>
  <c r="V2190" i="2"/>
  <c r="W2136" i="2"/>
  <c r="V2136" i="2"/>
  <c r="W2055" i="2"/>
  <c r="V2055" i="2"/>
  <c r="W1846" i="2"/>
  <c r="V1846" i="2"/>
  <c r="W1658" i="2"/>
  <c r="V1658" i="2"/>
  <c r="W1362" i="2"/>
  <c r="V1362" i="2"/>
  <c r="W376" i="2"/>
  <c r="V376" i="2"/>
  <c r="W278" i="2"/>
  <c r="V278" i="2"/>
  <c r="W2745" i="2"/>
  <c r="V2745" i="2"/>
  <c r="W2640" i="2"/>
  <c r="V2640" i="2"/>
  <c r="W2398" i="2"/>
  <c r="V2398" i="2"/>
  <c r="W2253" i="2"/>
  <c r="V2253" i="2"/>
  <c r="W1943" i="2"/>
  <c r="V1943" i="2"/>
  <c r="W1838" i="2"/>
  <c r="V1838" i="2"/>
  <c r="W1718" i="2"/>
  <c r="V1718" i="2"/>
  <c r="W1523" i="2"/>
  <c r="V1523" i="2"/>
  <c r="W900" i="2"/>
  <c r="V900" i="2"/>
  <c r="W899" i="2"/>
  <c r="V899" i="2"/>
  <c r="W798" i="2"/>
  <c r="V798" i="2"/>
  <c r="W252" i="2"/>
  <c r="V252" i="2"/>
  <c r="W133" i="2"/>
  <c r="V133" i="2"/>
  <c r="W18" i="2"/>
  <c r="V18" i="2"/>
  <c r="W2183" i="2"/>
  <c r="V2183" i="2"/>
  <c r="W2441" i="2"/>
  <c r="V2441" i="2"/>
  <c r="W2344" i="2"/>
  <c r="V2344" i="2"/>
  <c r="W1883" i="2"/>
  <c r="V1883" i="2"/>
  <c r="W1885" i="2"/>
  <c r="V1885" i="2"/>
  <c r="W1604" i="2"/>
  <c r="V1604" i="2"/>
  <c r="W1590" i="2"/>
  <c r="V1590" i="2"/>
  <c r="W1553" i="2"/>
  <c r="V1553" i="2"/>
  <c r="W1529" i="2"/>
  <c r="V1529" i="2"/>
  <c r="W1382" i="2"/>
  <c r="V1382" i="2"/>
  <c r="W1102" i="2"/>
  <c r="V1102" i="2"/>
  <c r="W898" i="2"/>
  <c r="V898" i="2"/>
  <c r="W847" i="2"/>
  <c r="V847" i="2"/>
  <c r="W392" i="2"/>
  <c r="V392" i="2"/>
  <c r="W105" i="2"/>
  <c r="V105" i="2"/>
  <c r="W53" i="2"/>
  <c r="V53" i="2"/>
  <c r="W2638" i="2"/>
  <c r="V2638" i="2"/>
  <c r="W2098" i="2"/>
  <c r="V2098" i="2"/>
  <c r="W1749" i="2"/>
  <c r="V1749" i="2"/>
  <c r="W1758" i="2"/>
  <c r="V1758" i="2"/>
  <c r="W1555" i="2"/>
  <c r="V1555" i="2"/>
  <c r="W1183" i="2"/>
  <c r="V1183" i="2"/>
  <c r="W511" i="2"/>
  <c r="V511" i="2"/>
  <c r="W1869" i="2"/>
  <c r="V1869" i="2"/>
  <c r="W752" i="2"/>
  <c r="V752" i="2"/>
  <c r="W2559" i="2"/>
  <c r="V2559" i="2"/>
  <c r="W1428" i="2"/>
  <c r="V1428" i="2"/>
  <c r="W1232" i="2"/>
  <c r="V1232" i="2"/>
  <c r="W2497" i="2"/>
  <c r="V2497" i="2"/>
  <c r="W1946" i="2"/>
  <c r="V1946" i="2"/>
  <c r="W1505" i="2"/>
  <c r="V1505" i="2"/>
  <c r="W1268" i="2"/>
  <c r="V1268" i="2"/>
  <c r="W1158" i="2"/>
  <c r="V1158" i="2"/>
  <c r="W1152" i="2"/>
  <c r="V1152" i="2"/>
  <c r="W1076" i="2"/>
  <c r="V1076" i="2"/>
  <c r="W717" i="2"/>
  <c r="V717" i="2"/>
  <c r="W656" i="2"/>
  <c r="V656" i="2"/>
  <c r="W210" i="2"/>
  <c r="V210" i="2"/>
  <c r="W2535" i="2"/>
  <c r="V2535" i="2"/>
  <c r="W2182" i="2"/>
  <c r="V2182" i="2"/>
  <c r="W2144" i="2"/>
  <c r="V2144" i="2"/>
  <c r="W2043" i="2"/>
  <c r="V2043" i="2"/>
  <c r="W2019" i="2"/>
  <c r="V2019" i="2"/>
  <c r="W1928" i="2"/>
  <c r="V1928" i="2"/>
  <c r="W1843" i="2"/>
  <c r="V1843" i="2"/>
  <c r="W1841" i="2"/>
  <c r="V1841" i="2"/>
  <c r="W1730" i="2"/>
  <c r="V1730" i="2"/>
  <c r="W1398" i="2"/>
  <c r="V1398" i="2"/>
  <c r="W1366" i="2"/>
  <c r="V1366" i="2"/>
  <c r="W1143" i="2"/>
  <c r="V1143" i="2"/>
  <c r="W991" i="2"/>
  <c r="V991" i="2"/>
  <c r="W982" i="2"/>
  <c r="V982" i="2"/>
  <c r="W767" i="2"/>
  <c r="V767" i="2"/>
  <c r="W401" i="2"/>
  <c r="V401" i="2"/>
  <c r="W344" i="2"/>
  <c r="V344" i="2"/>
  <c r="W277" i="2"/>
  <c r="V277" i="2"/>
  <c r="W2451" i="2"/>
  <c r="V2451" i="2"/>
  <c r="W2351" i="2"/>
  <c r="V2351" i="2"/>
  <c r="W1824" i="2"/>
  <c r="V1824" i="2"/>
  <c r="W1614" i="2"/>
  <c r="V1614" i="2"/>
  <c r="W1018" i="2"/>
  <c r="V1018" i="2"/>
  <c r="W2613" i="2"/>
  <c r="V2613" i="2"/>
  <c r="W2350" i="2"/>
  <c r="V2350" i="2"/>
  <c r="W2206" i="2"/>
  <c r="V2206" i="2"/>
  <c r="W1953" i="2"/>
  <c r="V1953" i="2"/>
  <c r="W675" i="2"/>
  <c r="V675" i="2"/>
  <c r="W73" i="2"/>
  <c r="V73" i="2"/>
  <c r="W2527" i="2"/>
  <c r="V2527" i="2"/>
  <c r="W2366" i="2"/>
  <c r="V2366" i="2"/>
  <c r="W2029" i="2"/>
  <c r="V2029" i="2"/>
  <c r="W1732" i="2"/>
  <c r="V1732" i="2"/>
  <c r="W1729" i="2"/>
  <c r="V1729" i="2"/>
  <c r="W1034" i="2"/>
  <c r="V1034" i="2"/>
  <c r="W199" i="2"/>
  <c r="V199" i="2"/>
  <c r="W2702" i="2"/>
  <c r="V2702" i="2"/>
  <c r="W2492" i="2"/>
  <c r="V2492" i="2"/>
  <c r="W2004" i="2"/>
  <c r="V2004" i="2"/>
  <c r="W2005" i="2"/>
  <c r="V2005" i="2"/>
  <c r="W1525" i="2"/>
  <c r="V1525" i="2"/>
  <c r="W1318" i="2"/>
  <c r="V1318" i="2"/>
  <c r="W1267" i="2"/>
  <c r="V1267" i="2"/>
  <c r="W1273" i="2"/>
  <c r="V1273" i="2"/>
  <c r="W1245" i="2"/>
  <c r="V1245" i="2"/>
  <c r="W1101" i="2"/>
  <c r="V1101" i="2"/>
  <c r="W954" i="2"/>
  <c r="V954" i="2"/>
  <c r="W808" i="2"/>
  <c r="V808" i="2"/>
  <c r="W198" i="2"/>
  <c r="V198" i="2"/>
  <c r="W102" i="2"/>
  <c r="V102" i="2"/>
  <c r="W1151" i="2"/>
  <c r="V1151" i="2"/>
  <c r="W804" i="2"/>
  <c r="V804" i="2"/>
  <c r="W143" i="2"/>
  <c r="V143" i="2"/>
  <c r="W52" i="2"/>
  <c r="V52" i="2"/>
  <c r="W2463" i="2"/>
  <c r="V2463" i="2"/>
  <c r="W2343" i="2"/>
  <c r="V2343" i="2"/>
  <c r="W1893" i="2"/>
  <c r="V1893" i="2"/>
  <c r="W583" i="2"/>
  <c r="V583" i="2"/>
  <c r="W524" i="2"/>
  <c r="V524" i="2"/>
  <c r="W128" i="2"/>
  <c r="V128" i="2"/>
  <c r="W2708" i="2"/>
  <c r="V2708" i="2"/>
  <c r="W2036" i="2"/>
  <c r="V2036" i="2"/>
  <c r="W1698" i="2"/>
  <c r="V1698" i="2"/>
  <c r="W1507" i="2"/>
  <c r="V1507" i="2"/>
  <c r="W2655" i="2"/>
  <c r="V2655" i="2"/>
  <c r="W2392" i="2"/>
  <c r="V2392" i="2"/>
  <c r="W1832" i="2"/>
  <c r="V1832" i="2"/>
  <c r="W1756" i="2"/>
  <c r="V1756" i="2"/>
  <c r="W1606" i="2"/>
  <c r="V1606" i="2"/>
  <c r="W1314" i="2"/>
  <c r="V1314" i="2"/>
  <c r="W751" i="2"/>
  <c r="V751" i="2"/>
  <c r="W138" i="2"/>
  <c r="V138" i="2"/>
  <c r="W2103" i="2"/>
  <c r="V2103" i="2"/>
  <c r="W2017" i="2"/>
  <c r="V2017" i="2"/>
  <c r="W1286" i="2"/>
  <c r="V1286" i="2"/>
  <c r="W2397" i="2"/>
  <c r="V2397" i="2"/>
  <c r="W2364" i="2"/>
  <c r="V2364" i="2"/>
  <c r="W2168" i="2"/>
  <c r="V2168" i="2"/>
  <c r="W2016" i="2"/>
  <c r="V2016" i="2"/>
  <c r="W1922" i="2"/>
  <c r="V1922" i="2"/>
  <c r="W1842" i="2"/>
  <c r="V1842" i="2"/>
  <c r="W685" i="2"/>
  <c r="V685" i="2"/>
  <c r="W618" i="2"/>
  <c r="V618" i="2"/>
  <c r="W390" i="2"/>
  <c r="V390" i="2"/>
  <c r="W141" i="2"/>
  <c r="V141" i="2"/>
  <c r="W2508" i="2"/>
  <c r="V2508" i="2"/>
  <c r="W2476" i="2"/>
  <c r="V2476" i="2"/>
  <c r="W2285" i="2"/>
  <c r="V2285" i="2"/>
  <c r="W1970" i="2"/>
  <c r="V1970" i="2"/>
  <c r="W1868" i="2"/>
  <c r="V1868" i="2"/>
  <c r="W1774" i="2"/>
  <c r="V1774" i="2"/>
  <c r="W1690" i="2"/>
  <c r="V1690" i="2"/>
  <c r="W1466" i="2"/>
  <c r="V1466" i="2"/>
  <c r="W1262" i="2"/>
  <c r="V1262" i="2"/>
  <c r="W985" i="2"/>
  <c r="V985" i="2"/>
  <c r="W539" i="2"/>
  <c r="V539" i="2"/>
  <c r="W496" i="2"/>
  <c r="V496" i="2"/>
  <c r="W177" i="2"/>
  <c r="V177" i="2"/>
  <c r="W2661" i="2"/>
  <c r="V2661" i="2"/>
  <c r="W1501" i="2"/>
  <c r="V1501" i="2"/>
  <c r="W1150" i="2"/>
  <c r="V1150" i="2"/>
  <c r="W981" i="2"/>
  <c r="V981" i="2"/>
  <c r="W854" i="2"/>
  <c r="V854" i="2"/>
  <c r="W778" i="2"/>
  <c r="V778" i="2"/>
  <c r="W750" i="2"/>
  <c r="V750" i="2"/>
  <c r="W749" i="2"/>
  <c r="V749" i="2"/>
  <c r="W2426" i="2"/>
  <c r="V2426" i="2"/>
  <c r="W2224" i="2"/>
  <c r="V2224" i="2"/>
  <c r="W2104" i="2"/>
  <c r="V2104" i="2"/>
  <c r="W2041" i="2"/>
  <c r="V2041" i="2"/>
  <c r="W1603" i="2"/>
  <c r="V1603" i="2"/>
  <c r="W1093" i="2"/>
  <c r="V1093" i="2"/>
  <c r="W733" i="2"/>
  <c r="V733" i="2"/>
  <c r="W732" i="2"/>
  <c r="V732" i="2"/>
  <c r="W562" i="2"/>
  <c r="V562" i="2"/>
  <c r="W2375" i="2"/>
  <c r="V2375" i="2"/>
  <c r="W1662" i="2"/>
  <c r="V1662" i="2"/>
  <c r="W1514" i="2"/>
  <c r="V1514" i="2"/>
  <c r="W1434" i="2"/>
  <c r="V1434" i="2"/>
  <c r="W1142" i="2"/>
  <c r="V1142" i="2"/>
  <c r="W1024" i="2"/>
  <c r="V1024" i="2"/>
  <c r="W684" i="2"/>
  <c r="V684" i="2"/>
  <c r="W561" i="2"/>
  <c r="V561" i="2"/>
  <c r="W466" i="2"/>
  <c r="V466" i="2"/>
  <c r="W39" i="2"/>
  <c r="V39" i="2"/>
  <c r="W2" i="2"/>
  <c r="V2" i="2"/>
  <c r="W2355" i="2"/>
  <c r="V2355" i="2"/>
  <c r="W2231" i="2"/>
  <c r="V2231" i="2"/>
  <c r="W2054" i="2"/>
  <c r="V2054" i="2"/>
  <c r="W1086" i="2"/>
  <c r="V1086" i="2"/>
  <c r="W989" i="2"/>
  <c r="V989" i="2"/>
  <c r="W465" i="2"/>
  <c r="V465" i="2"/>
  <c r="W320" i="2"/>
  <c r="V320" i="2"/>
  <c r="W2558" i="2"/>
  <c r="V2558" i="2"/>
  <c r="W2137" i="2"/>
  <c r="V2137" i="2"/>
  <c r="W2107" i="2"/>
  <c r="V2107" i="2"/>
  <c r="W1602" i="2"/>
  <c r="V1602" i="2"/>
  <c r="W1224" i="2"/>
  <c r="V1224" i="2"/>
  <c r="W655" i="2"/>
  <c r="V655" i="2"/>
  <c r="W292" i="2"/>
  <c r="V292" i="2"/>
  <c r="W233" i="2"/>
  <c r="V233" i="2"/>
  <c r="W158" i="2"/>
  <c r="V158" i="2"/>
  <c r="W101" i="2"/>
  <c r="V101" i="2"/>
  <c r="W2622" i="2"/>
  <c r="V2622" i="2"/>
  <c r="W2193" i="2"/>
  <c r="V2193" i="2"/>
  <c r="W2053" i="2"/>
  <c r="V2053" i="2"/>
  <c r="W1987" i="2"/>
  <c r="V1987" i="2"/>
  <c r="W1681" i="2"/>
  <c r="V1681" i="2"/>
  <c r="W1641" i="2"/>
  <c r="V1641" i="2"/>
  <c r="W1427" i="2"/>
  <c r="V1427" i="2"/>
  <c r="W1361" i="2"/>
  <c r="V1361" i="2"/>
  <c r="W423" i="2"/>
  <c r="V423" i="2"/>
  <c r="W404" i="2"/>
  <c r="V404" i="2"/>
  <c r="W1213" i="2"/>
  <c r="V1213" i="2"/>
  <c r="W953" i="2"/>
  <c r="V953" i="2"/>
  <c r="W335" i="2"/>
  <c r="V335" i="2"/>
  <c r="W301" i="2"/>
  <c r="V301" i="2"/>
  <c r="W1552" i="2"/>
  <c r="V1552" i="2"/>
  <c r="W1484" i="2"/>
  <c r="V1484" i="2"/>
  <c r="W1104" i="2"/>
  <c r="V1104" i="2"/>
  <c r="W748" i="2"/>
  <c r="V748" i="2"/>
  <c r="W464" i="2"/>
  <c r="V464" i="2"/>
  <c r="W2717" i="2"/>
  <c r="V2717" i="2"/>
  <c r="W2321" i="2"/>
  <c r="V2321" i="2"/>
  <c r="W2271" i="2"/>
  <c r="V2271" i="2"/>
  <c r="W1683" i="2"/>
  <c r="V1683" i="2"/>
  <c r="W1638" i="2"/>
  <c r="V1638" i="2"/>
  <c r="W952" i="2"/>
  <c r="V952" i="2"/>
  <c r="W880" i="2"/>
  <c r="V880" i="2"/>
  <c r="W245" i="2"/>
  <c r="V245" i="2"/>
  <c r="W209" i="2"/>
  <c r="V209" i="2"/>
  <c r="W38" i="2"/>
  <c r="V38" i="2"/>
  <c r="W2230" i="2"/>
  <c r="V2230" i="2"/>
  <c r="W1543" i="2"/>
  <c r="V1543" i="2"/>
  <c r="W1141" i="2"/>
  <c r="V1141" i="2"/>
  <c r="W668" i="2"/>
  <c r="V668" i="2"/>
  <c r="W586" i="2"/>
  <c r="V586" i="2"/>
  <c r="W2236" i="2"/>
  <c r="V2236" i="2"/>
  <c r="W1637" i="2"/>
  <c r="V1637" i="2"/>
  <c r="W1542" i="2"/>
  <c r="V1542" i="2"/>
  <c r="W1182" i="2"/>
  <c r="V1182" i="2"/>
  <c r="W1023" i="2"/>
  <c r="V1023" i="2"/>
  <c r="W897" i="2"/>
  <c r="V897" i="2"/>
  <c r="W846" i="2"/>
  <c r="V846" i="2"/>
  <c r="W251" i="2"/>
  <c r="V251" i="2"/>
  <c r="W2643" i="2"/>
  <c r="V2643" i="2"/>
  <c r="W2330" i="2"/>
  <c r="V2330" i="2"/>
  <c r="W2318" i="2"/>
  <c r="V2318" i="2"/>
  <c r="W1674" i="2"/>
  <c r="V1674" i="2"/>
  <c r="W1384" i="2"/>
  <c r="V1384" i="2"/>
  <c r="W1305" i="2"/>
  <c r="V1305" i="2"/>
  <c r="W853" i="2"/>
  <c r="V853" i="2"/>
  <c r="W64" i="2"/>
  <c r="V64" i="2"/>
  <c r="W1122" i="2"/>
  <c r="V1122" i="2"/>
  <c r="W578" i="2"/>
  <c r="V578" i="2"/>
  <c r="W300" i="2"/>
  <c r="V300" i="2"/>
  <c r="W163" i="2"/>
  <c r="V163" i="2"/>
  <c r="W291" i="2"/>
  <c r="V291" i="2"/>
  <c r="W2258" i="2"/>
  <c r="V2258" i="2"/>
  <c r="W1661" i="2"/>
  <c r="V1661" i="2"/>
  <c r="W1304" i="2"/>
  <c r="V1304" i="2"/>
  <c r="W375" i="2"/>
  <c r="V375" i="2"/>
  <c r="W162" i="2"/>
  <c r="V162" i="2"/>
  <c r="W63" i="2"/>
  <c r="V63" i="2"/>
  <c r="W2176" i="2"/>
  <c r="V2176" i="2"/>
  <c r="W1793" i="2"/>
  <c r="V1793" i="2"/>
  <c r="W1455" i="2"/>
  <c r="V1455" i="2"/>
  <c r="W763" i="2"/>
  <c r="V763" i="2"/>
  <c r="W727" i="2"/>
  <c r="V727" i="2"/>
  <c r="W2417" i="2"/>
  <c r="V2417" i="2"/>
  <c r="W2124" i="2"/>
  <c r="V2124" i="2"/>
  <c r="W2038" i="2"/>
  <c r="V2038" i="2"/>
  <c r="W1823" i="2"/>
  <c r="V1823" i="2"/>
  <c r="W1724" i="2"/>
  <c r="V1724" i="2"/>
  <c r="W1721" i="2"/>
  <c r="V1721" i="2"/>
  <c r="W1628" i="2"/>
  <c r="V1628" i="2"/>
  <c r="W797" i="2"/>
  <c r="V797" i="2"/>
  <c r="W2489" i="2"/>
  <c r="V2489" i="2"/>
  <c r="W2310" i="2"/>
  <c r="V2310" i="2"/>
  <c r="W2311" i="2"/>
  <c r="V2311" i="2"/>
  <c r="W2205" i="2"/>
  <c r="V2205" i="2"/>
  <c r="W2035" i="2"/>
  <c r="V2035" i="2"/>
  <c r="W1723" i="2"/>
  <c r="V1723" i="2"/>
  <c r="W909" i="2"/>
  <c r="V909" i="2"/>
  <c r="W859" i="2"/>
  <c r="V859" i="2"/>
  <c r="W845" i="2"/>
  <c r="V845" i="2"/>
  <c r="W100" i="2"/>
  <c r="V100" i="2"/>
  <c r="W2347" i="2"/>
  <c r="V2347" i="2"/>
  <c r="W1059" i="2"/>
  <c r="V1059" i="2"/>
  <c r="W560" i="2"/>
  <c r="V560" i="2"/>
  <c r="W400" i="2"/>
  <c r="V400" i="2"/>
  <c r="W2667" i="2"/>
  <c r="V2667" i="2"/>
  <c r="W2520" i="2"/>
  <c r="V2520" i="2"/>
  <c r="W2287" i="2"/>
  <c r="V2287" i="2"/>
  <c r="W2158" i="2"/>
  <c r="V2158" i="2"/>
  <c r="W1330" i="2"/>
  <c r="V1330" i="2"/>
  <c r="W1242" i="2"/>
  <c r="V1242" i="2"/>
  <c r="W681" i="2"/>
  <c r="V681" i="2"/>
  <c r="W617" i="2"/>
  <c r="V617" i="2"/>
  <c r="W602" i="2"/>
  <c r="V602" i="2"/>
  <c r="W51" i="2"/>
  <c r="V51" i="2"/>
  <c r="W2512" i="2"/>
  <c r="V2512" i="2"/>
  <c r="W2475" i="2"/>
  <c r="V2475" i="2"/>
  <c r="W2334" i="2"/>
  <c r="V2334" i="2"/>
  <c r="W2181" i="2"/>
  <c r="V2181" i="2"/>
  <c r="W1901" i="2"/>
  <c r="V1901" i="2"/>
  <c r="W1657" i="2"/>
  <c r="V1657" i="2"/>
  <c r="W1565" i="2"/>
  <c r="V1565" i="2"/>
  <c r="W1437" i="2"/>
  <c r="V1437" i="2"/>
  <c r="W1381" i="2"/>
  <c r="V1381" i="2"/>
  <c r="W2635" i="2"/>
  <c r="V2635" i="2"/>
  <c r="W2309" i="2"/>
  <c r="V2309" i="2"/>
  <c r="W2316" i="2"/>
  <c r="V2316" i="2"/>
  <c r="W2175" i="2"/>
  <c r="V2175" i="2"/>
  <c r="W2093" i="2"/>
  <c r="V2093" i="2"/>
  <c r="W2061" i="2"/>
  <c r="V2061" i="2"/>
  <c r="W1483" i="2"/>
  <c r="V1483" i="2"/>
  <c r="W1293" i="2"/>
  <c r="V1293" i="2"/>
  <c r="W1225" i="2"/>
  <c r="V1225" i="2"/>
  <c r="W1212" i="2"/>
  <c r="V1212" i="2"/>
  <c r="W1187" i="2"/>
  <c r="V1187" i="2"/>
  <c r="W1013" i="2"/>
  <c r="V1013" i="2"/>
  <c r="W896" i="2"/>
  <c r="V896" i="2"/>
  <c r="W380" i="2"/>
  <c r="V380" i="2"/>
  <c r="W2406" i="2"/>
  <c r="V2406" i="2"/>
  <c r="W2267" i="2"/>
  <c r="V2267" i="2"/>
  <c r="W1876" i="2"/>
  <c r="V1876" i="2"/>
  <c r="W1168" i="2"/>
  <c r="V1168" i="2"/>
  <c r="W796" i="2"/>
  <c r="V796" i="2"/>
  <c r="W795" i="2"/>
  <c r="V795" i="2"/>
  <c r="W501" i="2"/>
  <c r="V501" i="2"/>
  <c r="W374" i="2"/>
  <c r="V374" i="2"/>
  <c r="W373" i="2"/>
  <c r="V373" i="2"/>
  <c r="W2711" i="2"/>
  <c r="V2711" i="2"/>
  <c r="W2712" i="2"/>
  <c r="V2712" i="2"/>
  <c r="W1667" i="2"/>
  <c r="V1667" i="2"/>
  <c r="W1360" i="2"/>
  <c r="V1360" i="2"/>
  <c r="W699" i="2"/>
  <c r="V699" i="2"/>
  <c r="W559" i="2"/>
  <c r="V559" i="2"/>
  <c r="W208" i="2"/>
  <c r="V208" i="2"/>
  <c r="W88" i="2"/>
  <c r="V88" i="2"/>
  <c r="W1781" i="2"/>
  <c r="V1781" i="2"/>
  <c r="W1737" i="2"/>
  <c r="V1737" i="2"/>
  <c r="W601" i="2"/>
  <c r="V601" i="2"/>
  <c r="W523" i="2"/>
  <c r="V523" i="2"/>
  <c r="W159" i="2"/>
  <c r="V159" i="2"/>
  <c r="W161" i="2"/>
  <c r="V161" i="2"/>
  <c r="W2666" i="2"/>
  <c r="V2666" i="2"/>
  <c r="W2516" i="2"/>
  <c r="V2516" i="2"/>
  <c r="W1671" i="2"/>
  <c r="V1671" i="2"/>
  <c r="W1541" i="2"/>
  <c r="V1541" i="2"/>
  <c r="W875" i="2"/>
  <c r="V875" i="2"/>
  <c r="W855" i="2"/>
  <c r="V855" i="2"/>
  <c r="W639" i="2"/>
  <c r="V639" i="2"/>
  <c r="W2432" i="2"/>
  <c r="V2432" i="2"/>
  <c r="W2095" i="2"/>
  <c r="V2095" i="2"/>
  <c r="W884" i="2"/>
  <c r="V884" i="2"/>
  <c r="W493" i="2"/>
  <c r="V493" i="2"/>
  <c r="W372" i="2"/>
  <c r="V372" i="2"/>
  <c r="W319" i="2"/>
  <c r="V319" i="2"/>
  <c r="W62" i="2"/>
  <c r="V62" i="2"/>
  <c r="W44" i="2"/>
  <c r="V44" i="2"/>
  <c r="W2663" i="2"/>
  <c r="V2663" i="2"/>
  <c r="W2383" i="2"/>
  <c r="V2383" i="2"/>
  <c r="W1969" i="2"/>
  <c r="V1969" i="2"/>
  <c r="W1250" i="2"/>
  <c r="V1250" i="2"/>
  <c r="W558" i="2"/>
  <c r="V558" i="2"/>
  <c r="W2562" i="2"/>
  <c r="V2562" i="2"/>
  <c r="W2474" i="2"/>
  <c r="V2474" i="2"/>
  <c r="W1678" i="2"/>
  <c r="V1678" i="2"/>
  <c r="W1627" i="2"/>
  <c r="V1627" i="2"/>
  <c r="W2511" i="2"/>
  <c r="V2511" i="2"/>
  <c r="W2458" i="2"/>
  <c r="V2458" i="2"/>
  <c r="W2220" i="2"/>
  <c r="V2220" i="2"/>
  <c r="W1741" i="2"/>
  <c r="V1741" i="2"/>
  <c r="W1631" i="2"/>
  <c r="V1631" i="2"/>
  <c r="W2742" i="2"/>
  <c r="V2742" i="2"/>
  <c r="W2423" i="2"/>
  <c r="V2423" i="2"/>
  <c r="W2215" i="2"/>
  <c r="V2215" i="2"/>
  <c r="W2198" i="2"/>
  <c r="V2198" i="2"/>
  <c r="W1413" i="2"/>
  <c r="V1413" i="2"/>
  <c r="W895" i="2"/>
  <c r="V895" i="2"/>
  <c r="W645" i="2"/>
  <c r="V645" i="2"/>
  <c r="W510" i="2"/>
  <c r="V510" i="2"/>
  <c r="W351" i="2"/>
  <c r="V351" i="2"/>
  <c r="W67" i="2"/>
  <c r="V67" i="2"/>
  <c r="W1622" i="2"/>
  <c r="V1622" i="2"/>
  <c r="W557" i="2"/>
  <c r="V557" i="2"/>
  <c r="W2594" i="2"/>
  <c r="V2594" i="2"/>
  <c r="W2222" i="2"/>
  <c r="V2222" i="2"/>
  <c r="W928" i="2"/>
  <c r="V928" i="2"/>
  <c r="W195" i="2"/>
  <c r="V195" i="2"/>
  <c r="W2662" i="2"/>
  <c r="V2662" i="2"/>
  <c r="W1524" i="2"/>
  <c r="V1524" i="2"/>
  <c r="W1940" i="2"/>
  <c r="V1940" i="2"/>
  <c r="W1895" i="2"/>
  <c r="V1895" i="2"/>
  <c r="W1734" i="2"/>
  <c r="V1734" i="2"/>
  <c r="W1540" i="2"/>
  <c r="V1540" i="2"/>
  <c r="W1465" i="2"/>
  <c r="V1465" i="2"/>
  <c r="W2569" i="2"/>
  <c r="V2569" i="2"/>
  <c r="W2320" i="2"/>
  <c r="V2320" i="2"/>
  <c r="W2092" i="2"/>
  <c r="V2092" i="2"/>
  <c r="W1835" i="2"/>
  <c r="V1835" i="2"/>
  <c r="W1680" i="2"/>
  <c r="V1680" i="2"/>
  <c r="W1482" i="2"/>
  <c r="V1482" i="2"/>
  <c r="W1412" i="2"/>
  <c r="V1412" i="2"/>
  <c r="W1317" i="2"/>
  <c r="V1317" i="2"/>
  <c r="W747" i="2"/>
  <c r="V747" i="2"/>
  <c r="W716" i="2"/>
  <c r="V716" i="2"/>
  <c r="W616" i="2"/>
  <c r="V616" i="2"/>
  <c r="W436" i="2"/>
  <c r="V436" i="2"/>
  <c r="W463" i="2"/>
  <c r="V463" i="2"/>
  <c r="W437" i="2"/>
  <c r="V437" i="2"/>
  <c r="W334" i="2"/>
  <c r="V334" i="2"/>
  <c r="W247" i="2"/>
  <c r="V247" i="2"/>
  <c r="W2645" i="2"/>
  <c r="V2645" i="2"/>
  <c r="W1927" i="2"/>
  <c r="V1927" i="2"/>
  <c r="W1656" i="2"/>
  <c r="V1656" i="2"/>
  <c r="W1516" i="2"/>
  <c r="V1516" i="2"/>
  <c r="W1338" i="2"/>
  <c r="V1338" i="2"/>
  <c r="W1085" i="2"/>
  <c r="V1085" i="2"/>
  <c r="W1075" i="2"/>
  <c r="V1075" i="2"/>
  <c r="W923" i="2"/>
  <c r="V923" i="2"/>
  <c r="W721" i="2"/>
  <c r="V721" i="2"/>
  <c r="W746" i="2"/>
  <c r="V746" i="2"/>
  <c r="W276" i="2"/>
  <c r="V276" i="2"/>
  <c r="W1337" i="2"/>
  <c r="V1337" i="2"/>
  <c r="W951" i="2"/>
  <c r="V951" i="2"/>
  <c r="W638" i="2"/>
  <c r="V638" i="2"/>
  <c r="W2510" i="2"/>
  <c r="V2510" i="2"/>
  <c r="W2360" i="2"/>
  <c r="V2360" i="2"/>
  <c r="W2272" i="2"/>
  <c r="V2272" i="2"/>
  <c r="W1811" i="2"/>
  <c r="V1811" i="2"/>
  <c r="W1129" i="2"/>
  <c r="V1129" i="2"/>
  <c r="W1043" i="2"/>
  <c r="V1043" i="2"/>
  <c r="W1004" i="2"/>
  <c r="V1004" i="2"/>
  <c r="W939" i="2"/>
  <c r="V939" i="2"/>
  <c r="W933" i="2"/>
  <c r="V933" i="2"/>
  <c r="W745" i="2"/>
  <c r="V745" i="2"/>
  <c r="W318" i="2"/>
  <c r="V318" i="2"/>
  <c r="W227" i="2"/>
  <c r="V227" i="2"/>
  <c r="W2723" i="2"/>
  <c r="V2723" i="2"/>
  <c r="W2719" i="2"/>
  <c r="V2719" i="2"/>
  <c r="W2665" i="2"/>
  <c r="V2665" i="2"/>
  <c r="W1921" i="2"/>
  <c r="V1921" i="2"/>
  <c r="W1607" i="2"/>
  <c r="V1607" i="2"/>
  <c r="W1359" i="2"/>
  <c r="V1359" i="2"/>
  <c r="W1299" i="2"/>
  <c r="V1299" i="2"/>
  <c r="W922" i="2"/>
  <c r="V922" i="2"/>
  <c r="W658" i="2"/>
  <c r="V658" i="2"/>
  <c r="W419" i="2"/>
  <c r="V419" i="2"/>
  <c r="W151" i="2"/>
  <c r="V151" i="2"/>
  <c r="W2568" i="2"/>
  <c r="V2568" i="2"/>
  <c r="W2447" i="2"/>
  <c r="V2447" i="2"/>
  <c r="W2382" i="2"/>
  <c r="V2382" i="2"/>
  <c r="W2125" i="2"/>
  <c r="V2125" i="2"/>
  <c r="W1998" i="2"/>
  <c r="V1998" i="2"/>
  <c r="W1810" i="2"/>
  <c r="V1810" i="2"/>
  <c r="W1513" i="2"/>
  <c r="V1513" i="2"/>
  <c r="W1320" i="2"/>
  <c r="V1320" i="2"/>
  <c r="W950" i="2"/>
  <c r="V950" i="2"/>
  <c r="W844" i="2"/>
  <c r="V844" i="2"/>
  <c r="W769" i="2"/>
  <c r="V769" i="2"/>
  <c r="W744" i="2"/>
  <c r="V744" i="2"/>
  <c r="W556" i="2"/>
  <c r="V556" i="2"/>
  <c r="W495" i="2"/>
  <c r="V495" i="2"/>
  <c r="W2707" i="2"/>
  <c r="V2707" i="2"/>
  <c r="W2656" i="2"/>
  <c r="V2656" i="2"/>
  <c r="W2626" i="2"/>
  <c r="V2626" i="2"/>
  <c r="W2052" i="2"/>
  <c r="V2052" i="2"/>
  <c r="W637" i="2"/>
  <c r="V637" i="2"/>
  <c r="W383" i="2"/>
  <c r="V383" i="2"/>
  <c r="W2715" i="2"/>
  <c r="V2715" i="2"/>
  <c r="W2604" i="2"/>
  <c r="V2604" i="2"/>
  <c r="W2445" i="2"/>
  <c r="V2445" i="2"/>
  <c r="W2229" i="2"/>
  <c r="V2229" i="2"/>
  <c r="W2157" i="2"/>
  <c r="V2157" i="2"/>
  <c r="W2096" i="2"/>
  <c r="V2096" i="2"/>
  <c r="W2040" i="2"/>
  <c r="V2040" i="2"/>
  <c r="W1867" i="2"/>
  <c r="V1867" i="2"/>
  <c r="W1519" i="2"/>
  <c r="V1519" i="2"/>
  <c r="W885" i="2"/>
  <c r="V885" i="2"/>
  <c r="W537" i="2"/>
  <c r="V537" i="2"/>
  <c r="W477" i="2"/>
  <c r="V477" i="2"/>
  <c r="W343" i="2"/>
  <c r="V343" i="2"/>
  <c r="W307" i="2"/>
  <c r="V307" i="2"/>
  <c r="W2534" i="2"/>
  <c r="V2534" i="2"/>
  <c r="W2354" i="2"/>
  <c r="V2354" i="2"/>
  <c r="W2015" i="2"/>
  <c r="V2015" i="2"/>
  <c r="W1701" i="2"/>
  <c r="V1701" i="2"/>
  <c r="W1632" i="2"/>
  <c r="V1632" i="2"/>
  <c r="W1623" i="2"/>
  <c r="V1623" i="2"/>
  <c r="W1587" i="2"/>
  <c r="V1587" i="2"/>
  <c r="W1396" i="2"/>
  <c r="V1396" i="2"/>
  <c r="W938" i="2"/>
  <c r="V938" i="2"/>
  <c r="W715" i="2"/>
  <c r="V715" i="2"/>
  <c r="W555" i="2"/>
  <c r="V555" i="2"/>
  <c r="W427" i="2"/>
  <c r="V427" i="2"/>
  <c r="W426" i="2"/>
  <c r="V426" i="2"/>
  <c r="W342" i="2"/>
  <c r="V342" i="2"/>
  <c r="W127" i="2"/>
  <c r="V127" i="2"/>
  <c r="W75" i="2"/>
  <c r="V75" i="2"/>
  <c r="W2545" i="2"/>
  <c r="V2545" i="2"/>
  <c r="W2480" i="2"/>
  <c r="V2480" i="2"/>
  <c r="W1907" i="2"/>
  <c r="V1907" i="2"/>
  <c r="W862" i="2"/>
  <c r="V862" i="2"/>
  <c r="W663" i="2"/>
  <c r="V663" i="2"/>
  <c r="W305" i="2"/>
  <c r="V305" i="2"/>
  <c r="W226" i="2"/>
  <c r="V226" i="2"/>
  <c r="W136" i="2"/>
  <c r="V136" i="2"/>
  <c r="W1768" i="2"/>
  <c r="V1768" i="2"/>
  <c r="W1266" i="2"/>
  <c r="V1266" i="2"/>
  <c r="W1191" i="2"/>
  <c r="V1191" i="2"/>
  <c r="W823" i="2"/>
  <c r="V823" i="2"/>
  <c r="W522" i="2"/>
  <c r="V522" i="2"/>
  <c r="W255" i="2"/>
  <c r="V255" i="2"/>
  <c r="W166" i="2"/>
  <c r="V166" i="2"/>
  <c r="W107" i="2"/>
  <c r="V107" i="2"/>
  <c r="W2566" i="2"/>
  <c r="V2566" i="2"/>
  <c r="W2462" i="2"/>
  <c r="V2462" i="2"/>
  <c r="W1952" i="2"/>
  <c r="V1952" i="2"/>
  <c r="W1440" i="2"/>
  <c r="V1440" i="2"/>
  <c r="W1380" i="2"/>
  <c r="V1380" i="2"/>
  <c r="W1265" i="2"/>
  <c r="V1265" i="2"/>
  <c r="W1149" i="2"/>
  <c r="V1149" i="2"/>
  <c r="W1140" i="2"/>
  <c r="V1140" i="2"/>
  <c r="W1058" i="2"/>
  <c r="V1058" i="2"/>
  <c r="W207" i="2"/>
  <c r="V207" i="2"/>
  <c r="W2567" i="2"/>
  <c r="V2567" i="2"/>
  <c r="W2233" i="2"/>
  <c r="V2233" i="2"/>
  <c r="W2196" i="2"/>
  <c r="V2196" i="2"/>
  <c r="W2014" i="2"/>
  <c r="V2014" i="2"/>
  <c r="W1988" i="2"/>
  <c r="V1988" i="2"/>
  <c r="W1891" i="2"/>
  <c r="V1891" i="2"/>
  <c r="W1655" i="2"/>
  <c r="V1655" i="2"/>
  <c r="W1583" i="2"/>
  <c r="V1583" i="2"/>
  <c r="W1303" i="2"/>
  <c r="V1303" i="2"/>
  <c r="W1165" i="2"/>
  <c r="V1165" i="2"/>
  <c r="W333" i="2"/>
  <c r="V333" i="2"/>
  <c r="W74" i="2"/>
  <c r="V74" i="2"/>
  <c r="W29" i="2"/>
  <c r="V29" i="2"/>
  <c r="W17" i="2"/>
  <c r="V17" i="2"/>
  <c r="W2479" i="2"/>
  <c r="V2479" i="2"/>
  <c r="W2368" i="2"/>
  <c r="V2368" i="2"/>
  <c r="W2128" i="2"/>
  <c r="V2128" i="2"/>
  <c r="W1691" i="2"/>
  <c r="V1691" i="2"/>
  <c r="W698" i="2"/>
  <c r="V698" i="2"/>
  <c r="W492" i="2"/>
  <c r="V492" i="2"/>
  <c r="W232" i="2"/>
  <c r="V232" i="2"/>
  <c r="W16" i="2"/>
  <c r="V16" i="2"/>
  <c r="W2639" i="2"/>
  <c r="V2639" i="2"/>
  <c r="W2292" i="2"/>
  <c r="V2292" i="2"/>
  <c r="W2291" i="2"/>
  <c r="V2291" i="2"/>
  <c r="W1497" i="2"/>
  <c r="V1497" i="2"/>
  <c r="W921" i="2"/>
  <c r="V921" i="2"/>
  <c r="W382" i="2"/>
  <c r="V382" i="2"/>
  <c r="W150" i="2"/>
  <c r="V150" i="2"/>
  <c r="W87" i="2"/>
  <c r="V87" i="2"/>
  <c r="W901" i="2"/>
  <c r="V901" i="2"/>
  <c r="W709" i="2"/>
  <c r="V709" i="2"/>
  <c r="W610" i="2"/>
  <c r="V610" i="2"/>
  <c r="W2585" i="2"/>
  <c r="V2585" i="2"/>
  <c r="W2396" i="2"/>
  <c r="V2396" i="2"/>
  <c r="W2348" i="2"/>
  <c r="V2348" i="2"/>
  <c r="W2304" i="2"/>
  <c r="V2304" i="2"/>
  <c r="W2275" i="2"/>
  <c r="V2275" i="2"/>
  <c r="W2180" i="2"/>
  <c r="V2180" i="2"/>
  <c r="W2101" i="2"/>
  <c r="V2101" i="2"/>
  <c r="W1936" i="2"/>
  <c r="V1936" i="2"/>
  <c r="W1797" i="2"/>
  <c r="V1797" i="2"/>
  <c r="W1726" i="2"/>
  <c r="V1726" i="2"/>
  <c r="W1689" i="2"/>
  <c r="V1689" i="2"/>
  <c r="W1670" i="2"/>
  <c r="V1670" i="2"/>
  <c r="W1430" i="2"/>
  <c r="V1430" i="2"/>
  <c r="W1388" i="2"/>
  <c r="V1388" i="2"/>
  <c r="W1358" i="2"/>
  <c r="V1358" i="2"/>
  <c r="W1239" i="2"/>
  <c r="V1239" i="2"/>
  <c r="W1181" i="2"/>
  <c r="V1181" i="2"/>
  <c r="W1139" i="2"/>
  <c r="V1139" i="2"/>
  <c r="W1121" i="2"/>
  <c r="V1121" i="2"/>
  <c r="W1057" i="2"/>
  <c r="V1057" i="2"/>
  <c r="W1006" i="2"/>
  <c r="V1006" i="2"/>
  <c r="W1003" i="2"/>
  <c r="V1003" i="2"/>
  <c r="W861" i="2"/>
  <c r="V861" i="2"/>
  <c r="W843" i="2"/>
  <c r="V843" i="2"/>
  <c r="W842" i="2"/>
  <c r="V842" i="2"/>
  <c r="W779" i="2"/>
  <c r="V779" i="2"/>
  <c r="W722" i="2"/>
  <c r="V722" i="2"/>
  <c r="W743" i="2"/>
  <c r="V743" i="2"/>
  <c r="W686" i="2"/>
  <c r="V686" i="2"/>
  <c r="W650" i="2"/>
  <c r="V650" i="2"/>
  <c r="W615" i="2"/>
  <c r="V615" i="2"/>
  <c r="W571" i="2"/>
  <c r="V571" i="2"/>
  <c r="W529" i="2"/>
  <c r="V529" i="2"/>
  <c r="W512" i="2"/>
  <c r="V512" i="2"/>
  <c r="W462" i="2"/>
  <c r="V462" i="2"/>
  <c r="W430" i="2"/>
  <c r="V430" i="2"/>
  <c r="W417" i="2"/>
  <c r="V417" i="2"/>
  <c r="W378" i="2"/>
  <c r="V378" i="2"/>
  <c r="W347" i="2"/>
  <c r="V347" i="2"/>
  <c r="W325" i="2"/>
  <c r="V325" i="2"/>
  <c r="W295" i="2"/>
  <c r="V295" i="2"/>
  <c r="W290" i="2"/>
  <c r="V290" i="2"/>
  <c r="W219" i="2"/>
  <c r="V219" i="2"/>
  <c r="W225" i="2"/>
  <c r="V225" i="2"/>
  <c r="W224" i="2"/>
  <c r="V224" i="2"/>
  <c r="W216" i="2"/>
  <c r="V216" i="2"/>
  <c r="W214" i="2"/>
  <c r="V214" i="2"/>
  <c r="W190" i="2"/>
  <c r="V190" i="2"/>
  <c r="W188" i="2"/>
  <c r="V188" i="2"/>
  <c r="W149" i="2"/>
  <c r="V149" i="2"/>
  <c r="W34" i="2"/>
  <c r="V34" i="2"/>
  <c r="W1419" i="2"/>
  <c r="V1419" i="2"/>
  <c r="W1297" i="2"/>
  <c r="V1297" i="2"/>
  <c r="W416" i="2"/>
  <c r="V416" i="2"/>
  <c r="W2179" i="2"/>
  <c r="V2179" i="2"/>
  <c r="W2342" i="2"/>
  <c r="V2342" i="2"/>
  <c r="W1748" i="2"/>
  <c r="V1748" i="2"/>
  <c r="W1551" i="2"/>
  <c r="V1551" i="2"/>
  <c r="W1539" i="2"/>
  <c r="V1539" i="2"/>
  <c r="W1491" i="2"/>
  <c r="V1491" i="2"/>
  <c r="W1298" i="2"/>
  <c r="V1298" i="2"/>
  <c r="W1247" i="2"/>
  <c r="V1247" i="2"/>
  <c r="W881" i="2"/>
  <c r="V881" i="2"/>
  <c r="W867" i="2"/>
  <c r="V867" i="2"/>
  <c r="W612" i="2"/>
  <c r="V612" i="2"/>
  <c r="W371" i="2"/>
  <c r="V371" i="2"/>
  <c r="W2659" i="2"/>
  <c r="V2659" i="2"/>
  <c r="W2188" i="2"/>
  <c r="V2188" i="2"/>
  <c r="W1796" i="2"/>
  <c r="V1796" i="2"/>
  <c r="W1735" i="2"/>
  <c r="V1735" i="2"/>
  <c r="W920" i="2"/>
  <c r="V920" i="2"/>
  <c r="W280" i="2"/>
  <c r="V280" i="2"/>
  <c r="W1808" i="2"/>
  <c r="V1808" i="2"/>
  <c r="W1301" i="2"/>
  <c r="V1301" i="2"/>
  <c r="W1123" i="2"/>
  <c r="V1123" i="2"/>
  <c r="W1124" i="2"/>
  <c r="V1124" i="2"/>
  <c r="W275" i="2"/>
  <c r="V275" i="2"/>
  <c r="W2143" i="2"/>
  <c r="V2143" i="2"/>
  <c r="W1784" i="2"/>
  <c r="V1784" i="2"/>
  <c r="W1745" i="2"/>
  <c r="V1745" i="2"/>
  <c r="W1042" i="2"/>
  <c r="V1042" i="2"/>
  <c r="W785" i="2"/>
  <c r="V785" i="2"/>
  <c r="W614" i="2"/>
  <c r="V614" i="2"/>
  <c r="W108" i="2"/>
  <c r="V108" i="2"/>
  <c r="W15" i="2"/>
  <c r="V15" i="2"/>
  <c r="W1994" i="2"/>
  <c r="V1994" i="2"/>
  <c r="W341" i="2"/>
  <c r="V341" i="2"/>
  <c r="W2496" i="2"/>
  <c r="V2496" i="2"/>
  <c r="W2410" i="2"/>
  <c r="V2410" i="2"/>
  <c r="W1972" i="2"/>
  <c r="V1972" i="2"/>
  <c r="W1728" i="2"/>
  <c r="V1728" i="2"/>
  <c r="W1564" i="2"/>
  <c r="V1564" i="2"/>
  <c r="W1211" i="2"/>
  <c r="V1211" i="2"/>
  <c r="W566" i="2"/>
  <c r="V566" i="2"/>
  <c r="W565" i="2"/>
  <c r="V565" i="2"/>
  <c r="W2590" i="2"/>
  <c r="V2590" i="2"/>
  <c r="W2467" i="2"/>
  <c r="V2467" i="2"/>
  <c r="W2443" i="2"/>
  <c r="V2443" i="2"/>
  <c r="W1636" i="2"/>
  <c r="V1636" i="2"/>
  <c r="W1439" i="2"/>
  <c r="V1439" i="2"/>
  <c r="W1336" i="2"/>
  <c r="V1336" i="2"/>
  <c r="W714" i="2"/>
  <c r="V714" i="2"/>
  <c r="W2689" i="2"/>
  <c r="V2689" i="2"/>
  <c r="W2419" i="2"/>
  <c r="V2419" i="2"/>
  <c r="W2308" i="2"/>
  <c r="V2308" i="2"/>
  <c r="W2192" i="2"/>
  <c r="V2192" i="2"/>
  <c r="W1906" i="2"/>
  <c r="V1906" i="2"/>
  <c r="W1675" i="2"/>
  <c r="V1675" i="2"/>
  <c r="W1660" i="2"/>
  <c r="V1660" i="2"/>
  <c r="W1621" i="2"/>
  <c r="V1621" i="2"/>
  <c r="W1490" i="2"/>
  <c r="V1490" i="2"/>
  <c r="W1438" i="2"/>
  <c r="V1438" i="2"/>
  <c r="W1357" i="2"/>
  <c r="V1357" i="2"/>
  <c r="W1356" i="2"/>
  <c r="V1356" i="2"/>
  <c r="W983" i="2"/>
  <c r="V983" i="2"/>
  <c r="W816" i="2"/>
  <c r="V816" i="2"/>
  <c r="W688" i="2"/>
  <c r="V688" i="2"/>
  <c r="W407" i="2"/>
  <c r="V407" i="2"/>
  <c r="W126" i="2"/>
  <c r="V126" i="2"/>
  <c r="W2408" i="2"/>
  <c r="V2408" i="2"/>
  <c r="W2063" i="2"/>
  <c r="V2063" i="2"/>
  <c r="W1727" i="2"/>
  <c r="V1727" i="2"/>
  <c r="W1498" i="2"/>
  <c r="V1498" i="2"/>
  <c r="W1285" i="2"/>
  <c r="V1285" i="2"/>
  <c r="W817" i="2"/>
  <c r="V817" i="2"/>
  <c r="W775" i="2"/>
  <c r="V775" i="2"/>
  <c r="W254" i="2"/>
  <c r="V254" i="2"/>
  <c r="W14" i="2"/>
  <c r="V14" i="2"/>
  <c r="W2395" i="2"/>
  <c r="V2395" i="2"/>
  <c r="W1930" i="2"/>
  <c r="V1930" i="2"/>
  <c r="W1859" i="2"/>
  <c r="V1859" i="2"/>
  <c r="W1284" i="2"/>
  <c r="V1284" i="2"/>
  <c r="W687" i="2"/>
  <c r="V687" i="2"/>
  <c r="W605" i="2"/>
  <c r="V605" i="2"/>
  <c r="W474" i="2"/>
  <c r="V474" i="2"/>
  <c r="W327" i="2"/>
  <c r="V327" i="2"/>
  <c r="W2579" i="2"/>
  <c r="V2579" i="2"/>
  <c r="W2369" i="2"/>
  <c r="V2369" i="2"/>
  <c r="W2208" i="2"/>
  <c r="V2208" i="2"/>
  <c r="W1837" i="2"/>
  <c r="V1837" i="2"/>
  <c r="W1686" i="2"/>
  <c r="V1686" i="2"/>
  <c r="W1554" i="2"/>
  <c r="V1554" i="2"/>
  <c r="W1390" i="2"/>
  <c r="V1390" i="2"/>
  <c r="W1227" i="2"/>
  <c r="V1227" i="2"/>
  <c r="W1109" i="2"/>
  <c r="V1109" i="2"/>
  <c r="W580" i="2"/>
  <c r="V580" i="2"/>
  <c r="W472" i="2"/>
  <c r="V472" i="2"/>
  <c r="W415" i="2"/>
  <c r="V415" i="2"/>
  <c r="W399" i="2"/>
  <c r="V399" i="2"/>
  <c r="W385" i="2"/>
  <c r="V385" i="2"/>
  <c r="W274" i="2"/>
  <c r="V274" i="2"/>
  <c r="W2700" i="2"/>
  <c r="V2700" i="2"/>
  <c r="W2593" i="2"/>
  <c r="V2593" i="2"/>
  <c r="W2430" i="2"/>
  <c r="V2430" i="2"/>
  <c r="W1717" i="2"/>
  <c r="V1717" i="2"/>
  <c r="W1322" i="2"/>
  <c r="V1322" i="2"/>
  <c r="W1056" i="2"/>
  <c r="V1056" i="2"/>
  <c r="W942" i="2"/>
  <c r="V942" i="2"/>
  <c r="W851" i="2"/>
  <c r="V851" i="2"/>
  <c r="W697" i="2"/>
  <c r="V697" i="2"/>
  <c r="W413" i="2"/>
  <c r="V413" i="2"/>
  <c r="W384" i="2"/>
  <c r="V384" i="2"/>
  <c r="W2536" i="2"/>
  <c r="V2536" i="2"/>
  <c r="W2153" i="2"/>
  <c r="V2153" i="2"/>
  <c r="W2071" i="2"/>
  <c r="V2071" i="2"/>
  <c r="W1563" i="2"/>
  <c r="V1563" i="2"/>
  <c r="W799" i="2"/>
  <c r="V799" i="2"/>
  <c r="W594" i="2"/>
  <c r="V594" i="2"/>
  <c r="W461" i="2"/>
  <c r="V461" i="2"/>
  <c r="W389" i="2"/>
  <c r="V389" i="2"/>
  <c r="W2353" i="2"/>
  <c r="V2353" i="2"/>
  <c r="W2341" i="2"/>
  <c r="V2341" i="2"/>
  <c r="W2142" i="2"/>
  <c r="V2142" i="2"/>
  <c r="W2064" i="2"/>
  <c r="V2064" i="2"/>
  <c r="W1889" i="2"/>
  <c r="V1889" i="2"/>
  <c r="W1789" i="2"/>
  <c r="V1789" i="2"/>
  <c r="W1425" i="2"/>
  <c r="V1425" i="2"/>
  <c r="W760" i="2"/>
  <c r="V760" i="2"/>
  <c r="W1601" i="2"/>
  <c r="V1601" i="2"/>
  <c r="W1355" i="2"/>
  <c r="V1355" i="2"/>
  <c r="W536" i="2"/>
  <c r="V536" i="2"/>
  <c r="W2091" i="2"/>
  <c r="V2091" i="2"/>
  <c r="W1968" i="2"/>
  <c r="V1968" i="2"/>
  <c r="W1716" i="2"/>
  <c r="V1716" i="2"/>
  <c r="W1569" i="2"/>
  <c r="V1569" i="2"/>
  <c r="W600" i="2"/>
  <c r="V600" i="2"/>
  <c r="W2072" i="2"/>
  <c r="V2072" i="2"/>
  <c r="W391" i="2"/>
  <c r="V391" i="2"/>
  <c r="W354" i="2"/>
  <c r="V354" i="2"/>
  <c r="W273" i="2"/>
  <c r="V273" i="2"/>
  <c r="W272" i="2"/>
  <c r="V272" i="2"/>
  <c r="W271" i="2"/>
  <c r="V271" i="2"/>
  <c r="W2131" i="2"/>
  <c r="V2131" i="2"/>
  <c r="W1997" i="2"/>
  <c r="V1997" i="2"/>
  <c r="W1755" i="2"/>
  <c r="V1755" i="2"/>
  <c r="W1395" i="2"/>
  <c r="V1395" i="2"/>
  <c r="W1190" i="2"/>
  <c r="V1190" i="2"/>
  <c r="W994" i="2"/>
  <c r="V994" i="2"/>
  <c r="W649" i="2"/>
  <c r="V649" i="2"/>
  <c r="W2732" i="2"/>
  <c r="V2732" i="2"/>
  <c r="W2716" i="2"/>
  <c r="V2716" i="2"/>
  <c r="W1327" i="2"/>
  <c r="V1327" i="2"/>
  <c r="W1126" i="2"/>
  <c r="V1126" i="2"/>
  <c r="W340" i="2"/>
  <c r="V340" i="2"/>
  <c r="W302" i="2"/>
  <c r="V302" i="2"/>
  <c r="W1795" i="2"/>
  <c r="V1795" i="2"/>
  <c r="W179" i="2"/>
  <c r="V179" i="2"/>
  <c r="W2067" i="2"/>
  <c r="V2067" i="2"/>
  <c r="W1744" i="2"/>
  <c r="V1744" i="2"/>
  <c r="W1700" i="2"/>
  <c r="V1700" i="2"/>
  <c r="W1433" i="2"/>
  <c r="V1433" i="2"/>
  <c r="W919" i="2"/>
  <c r="V919" i="2"/>
  <c r="W762" i="2"/>
  <c r="V762" i="2"/>
  <c r="W582" i="2"/>
  <c r="V582" i="2"/>
  <c r="W497" i="2"/>
  <c r="V497" i="2"/>
  <c r="W2675" i="2"/>
  <c r="V2675" i="2"/>
  <c r="W2641" i="2"/>
  <c r="V2641" i="2"/>
  <c r="W2446" i="2"/>
  <c r="V2446" i="2"/>
  <c r="W2237" i="2"/>
  <c r="V2237" i="2"/>
  <c r="W2130" i="2"/>
  <c r="V2130" i="2"/>
  <c r="W1538" i="2"/>
  <c r="V1538" i="2"/>
  <c r="W1210" i="2"/>
  <c r="V1210" i="2"/>
  <c r="W2679" i="2"/>
  <c r="V2679" i="2"/>
  <c r="W2642" i="2"/>
  <c r="V2642" i="2"/>
  <c r="W2037" i="2"/>
  <c r="V2037" i="2"/>
  <c r="W1801" i="2"/>
  <c r="V1801" i="2"/>
  <c r="W1411" i="2"/>
  <c r="V1411" i="2"/>
  <c r="W1236" i="2"/>
  <c r="V1236" i="2"/>
  <c r="W1055" i="2"/>
  <c r="V1055" i="2"/>
  <c r="W927" i="2"/>
  <c r="V927" i="2"/>
  <c r="W2650" i="2"/>
  <c r="V2650" i="2"/>
  <c r="W2436" i="2"/>
  <c r="V2436" i="2"/>
  <c r="W2416" i="2"/>
  <c r="V2416" i="2"/>
  <c r="W2289" i="2"/>
  <c r="V2289" i="2"/>
  <c r="W2250" i="2"/>
  <c r="V2250" i="2"/>
  <c r="W1754" i="2"/>
  <c r="V1754" i="2"/>
  <c r="W678" i="2"/>
  <c r="V678" i="2"/>
  <c r="W554" i="2"/>
  <c r="V554" i="2"/>
  <c r="W535" i="2"/>
  <c r="V535" i="2"/>
  <c r="W270" i="2"/>
  <c r="V270" i="2"/>
  <c r="W2488" i="2"/>
  <c r="V2488" i="2"/>
  <c r="W2257" i="2"/>
  <c r="V2257" i="2"/>
  <c r="W1942" i="2"/>
  <c r="V1942" i="2"/>
  <c r="W1166" i="2"/>
  <c r="V1166" i="2"/>
  <c r="W1866" i="2"/>
  <c r="V1866" i="2"/>
  <c r="W1376" i="2"/>
  <c r="V1376" i="2"/>
  <c r="W1209" i="2"/>
  <c r="V1209" i="2"/>
  <c r="W2672" i="2"/>
  <c r="V2672" i="2"/>
  <c r="W2521" i="2"/>
  <c r="V2521" i="2"/>
  <c r="W2455" i="2"/>
  <c r="V2455" i="2"/>
  <c r="W2090" i="2"/>
  <c r="V2090" i="2"/>
  <c r="W2089" i="2"/>
  <c r="V2089" i="2"/>
  <c r="W2070" i="2"/>
  <c r="V2070" i="2"/>
  <c r="W1845" i="2"/>
  <c r="V1845" i="2"/>
  <c r="W1704" i="2"/>
  <c r="V1704" i="2"/>
  <c r="W1715" i="2"/>
  <c r="V1715" i="2"/>
  <c r="W1446" i="2"/>
  <c r="V1446" i="2"/>
  <c r="W1308" i="2"/>
  <c r="V1308" i="2"/>
  <c r="W1235" i="2"/>
  <c r="V1235" i="2"/>
  <c r="W937" i="2"/>
  <c r="V937" i="2"/>
  <c r="W790" i="2"/>
  <c r="V790" i="2"/>
  <c r="W521" i="2"/>
  <c r="V521" i="2"/>
  <c r="W460" i="2"/>
  <c r="V460" i="2"/>
  <c r="W117" i="2"/>
  <c r="V117" i="2"/>
  <c r="W99" i="2"/>
  <c r="V99" i="2"/>
  <c r="W61" i="2"/>
  <c r="V61" i="2"/>
  <c r="W2346" i="2"/>
  <c r="V2346" i="2"/>
  <c r="W2141" i="2"/>
  <c r="V2141" i="2"/>
  <c r="W2065" i="2"/>
  <c r="V2065" i="2"/>
  <c r="W1309" i="2"/>
  <c r="V1309" i="2"/>
  <c r="W1261" i="2"/>
  <c r="V1261" i="2"/>
  <c r="W1125" i="2"/>
  <c r="V1125" i="2"/>
  <c r="W72" i="2"/>
  <c r="V72" i="2"/>
  <c r="W2151" i="2"/>
  <c r="V2151" i="2"/>
  <c r="W2150" i="2"/>
  <c r="V2150" i="2"/>
  <c r="W1920" i="2"/>
  <c r="V1920" i="2"/>
  <c r="W1783" i="2"/>
  <c r="V1783" i="2"/>
  <c r="W1640" i="2"/>
  <c r="V1640" i="2"/>
  <c r="W1582" i="2"/>
  <c r="V1582" i="2"/>
  <c r="W1496" i="2"/>
  <c r="V1496" i="2"/>
  <c r="W1157" i="2"/>
  <c r="V1157" i="2"/>
  <c r="W1112" i="2"/>
  <c r="V1112" i="2"/>
  <c r="W1071" i="2"/>
  <c r="V1071" i="2"/>
  <c r="W1054" i="2"/>
  <c r="V1054" i="2"/>
  <c r="W908" i="2"/>
  <c r="V908" i="2"/>
  <c r="W918" i="2"/>
  <c r="V918" i="2"/>
  <c r="W358" i="2"/>
  <c r="V358" i="2"/>
  <c r="W324" i="2"/>
  <c r="V324" i="2"/>
  <c r="W269" i="2"/>
  <c r="V269" i="2"/>
  <c r="W135" i="2"/>
  <c r="V135" i="2"/>
  <c r="W27" i="2"/>
  <c r="V27" i="2"/>
  <c r="W2324" i="2"/>
  <c r="V2324" i="2"/>
  <c r="W2228" i="2"/>
  <c r="V2228" i="2"/>
  <c r="W1979" i="2"/>
  <c r="V1979" i="2"/>
  <c r="W1208" i="2"/>
  <c r="V1208" i="2"/>
  <c r="W1002" i="2"/>
  <c r="V1002" i="2"/>
  <c r="W459" i="2"/>
  <c r="V459" i="2"/>
  <c r="W370" i="2"/>
  <c r="V370" i="2"/>
  <c r="W357" i="2"/>
  <c r="V357" i="2"/>
  <c r="W186" i="2"/>
  <c r="V186" i="2"/>
  <c r="W2204" i="2"/>
  <c r="V2204" i="2"/>
  <c r="W2123" i="2"/>
  <c r="V2123" i="2"/>
  <c r="W936" i="2"/>
  <c r="V936" i="2"/>
  <c r="W818" i="2"/>
  <c r="V818" i="2"/>
  <c r="W585" i="2"/>
  <c r="V585" i="2"/>
  <c r="W131" i="2"/>
  <c r="V131" i="2"/>
  <c r="W1120" i="2"/>
  <c r="V1120" i="2"/>
  <c r="W2561" i="2"/>
  <c r="V2561" i="2"/>
  <c r="W2391" i="2"/>
  <c r="V2391" i="2"/>
  <c r="W2266" i="2"/>
  <c r="V2266" i="2"/>
  <c r="W2167" i="2"/>
  <c r="V2167" i="2"/>
  <c r="W1967" i="2"/>
  <c r="V1967" i="2"/>
  <c r="W1771" i="2"/>
  <c r="V1771" i="2"/>
  <c r="W1753" i="2"/>
  <c r="V1753" i="2"/>
  <c r="W1464" i="2"/>
  <c r="V1464" i="2"/>
  <c r="W1259" i="2"/>
  <c r="V1259" i="2"/>
  <c r="W1189" i="2"/>
  <c r="V1189" i="2"/>
  <c r="W1179" i="2"/>
  <c r="V1179" i="2"/>
  <c r="W794" i="2"/>
  <c r="V794" i="2"/>
  <c r="W768" i="2"/>
  <c r="V768" i="2"/>
  <c r="W761" i="2"/>
  <c r="V761" i="2"/>
  <c r="W667" i="2"/>
  <c r="V667" i="2"/>
  <c r="W165" i="2"/>
  <c r="V165" i="2"/>
  <c r="W60" i="2"/>
  <c r="V60" i="2"/>
  <c r="W2288" i="2"/>
  <c r="V2288" i="2"/>
  <c r="W2191" i="2"/>
  <c r="V2191" i="2"/>
  <c r="W1512" i="2"/>
  <c r="V1512" i="2"/>
  <c r="W719" i="2"/>
  <c r="V719" i="2"/>
  <c r="W98" i="2"/>
  <c r="V98" i="2"/>
  <c r="W81" i="2"/>
  <c r="V81" i="2"/>
  <c r="W2687" i="2"/>
  <c r="V2687" i="2"/>
  <c r="W1844" i="2"/>
  <c r="V1844" i="2"/>
  <c r="W1773" i="2"/>
  <c r="V1773" i="2"/>
  <c r="W1703" i="2"/>
  <c r="V1703" i="2"/>
  <c r="W1489" i="2"/>
  <c r="V1489" i="2"/>
  <c r="W1422" i="2"/>
  <c r="V1422" i="2"/>
  <c r="W1354" i="2"/>
  <c r="V1354" i="2"/>
  <c r="W1161" i="2"/>
  <c r="V1161" i="2"/>
  <c r="W1096" i="2"/>
  <c r="V1096" i="2"/>
  <c r="W990" i="2"/>
  <c r="V990" i="2"/>
  <c r="W917" i="2"/>
  <c r="V917" i="2"/>
  <c r="W876" i="2"/>
  <c r="V876" i="2"/>
  <c r="W593" i="2"/>
  <c r="V593" i="2"/>
  <c r="W2731" i="2"/>
  <c r="V2731" i="2"/>
  <c r="W2618" i="2"/>
  <c r="V2618" i="2"/>
  <c r="W2349" i="2"/>
  <c r="V2349" i="2"/>
  <c r="W2340" i="2"/>
  <c r="V2340" i="2"/>
  <c r="W2323" i="2"/>
  <c r="V2323" i="2"/>
  <c r="W2265" i="2"/>
  <c r="V2265" i="2"/>
  <c r="W2094" i="2"/>
  <c r="V2094" i="2"/>
  <c r="W1951" i="2"/>
  <c r="V1951" i="2"/>
  <c r="W1847" i="2"/>
  <c r="V1847" i="2"/>
  <c r="W1752" i="2"/>
  <c r="V1752" i="2"/>
  <c r="W1714" i="2"/>
  <c r="V1714" i="2"/>
  <c r="W1668" i="2"/>
  <c r="V1668" i="2"/>
  <c r="W1432" i="2"/>
  <c r="V1432" i="2"/>
  <c r="W1410" i="2"/>
  <c r="V1410" i="2"/>
  <c r="W1313" i="2"/>
  <c r="V1313" i="2"/>
  <c r="W509" i="2"/>
  <c r="V509" i="2"/>
  <c r="W491" i="2"/>
  <c r="V491" i="2"/>
  <c r="W317" i="2"/>
  <c r="V317" i="2"/>
  <c r="W2658" i="2"/>
  <c r="V2658" i="2"/>
  <c r="W2149" i="2"/>
  <c r="V2149" i="2"/>
  <c r="W1654" i="2"/>
  <c r="V1654" i="2"/>
  <c r="W1488" i="2"/>
  <c r="V1488" i="2"/>
  <c r="W1463" i="2"/>
  <c r="V1463" i="2"/>
  <c r="W644" i="2"/>
  <c r="V644" i="2"/>
  <c r="W48" i="2"/>
  <c r="V48" i="2"/>
  <c r="W2422" i="2"/>
  <c r="V2422" i="2"/>
  <c r="W2315" i="2"/>
  <c r="V2315" i="2"/>
  <c r="W2187" i="2"/>
  <c r="V2187" i="2"/>
  <c r="W2116" i="2"/>
  <c r="V2116" i="2"/>
  <c r="W2002" i="2"/>
  <c r="V2002" i="2"/>
  <c r="W1372" i="2"/>
  <c r="V1372" i="2"/>
  <c r="W1207" i="2"/>
  <c r="V1207" i="2"/>
  <c r="W742" i="2"/>
  <c r="V742" i="2"/>
  <c r="W731" i="2"/>
  <c r="V731" i="2"/>
  <c r="W589" i="2"/>
  <c r="V589" i="2"/>
  <c r="W398" i="2"/>
  <c r="V398" i="2"/>
  <c r="W2704" i="2"/>
  <c r="V2704" i="2"/>
  <c r="W2556" i="2"/>
  <c r="V2556" i="2"/>
  <c r="W2333" i="2"/>
  <c r="V2333" i="2"/>
  <c r="W1919" i="2"/>
  <c r="V1919" i="2"/>
  <c r="W1892" i="2"/>
  <c r="V1892" i="2"/>
  <c r="W1747" i="2"/>
  <c r="V1747" i="2"/>
  <c r="W1739" i="2"/>
  <c r="V1739" i="2"/>
  <c r="W1688" i="2"/>
  <c r="V1688" i="2"/>
  <c r="W1635" i="2"/>
  <c r="V1635" i="2"/>
  <c r="W1417" i="2"/>
  <c r="V1417" i="2"/>
  <c r="W977" i="2"/>
  <c r="V977" i="2"/>
  <c r="W349" i="2"/>
  <c r="V349" i="2"/>
  <c r="W223" i="2"/>
  <c r="V223" i="2"/>
  <c r="W116" i="2"/>
  <c r="V116" i="2"/>
  <c r="W2299" i="2"/>
  <c r="V2299" i="2"/>
  <c r="W2298" i="2"/>
  <c r="V2298" i="2"/>
  <c r="W2264" i="2"/>
  <c r="V2264" i="2"/>
  <c r="W2178" i="2"/>
  <c r="V2178" i="2"/>
  <c r="W2126" i="2"/>
  <c r="V2126" i="2"/>
  <c r="W1612" i="2"/>
  <c r="V1612" i="2"/>
  <c r="W1078" i="2"/>
  <c r="V1078" i="2"/>
  <c r="W980" i="2"/>
  <c r="V980" i="2"/>
  <c r="W648" i="2"/>
  <c r="V648" i="2"/>
  <c r="W397" i="2"/>
  <c r="V397" i="2"/>
  <c r="W309" i="2"/>
  <c r="V309" i="2"/>
  <c r="W2608" i="2"/>
  <c r="V2608" i="2"/>
  <c r="W2277" i="2"/>
  <c r="V2277" i="2"/>
  <c r="W1905" i="2"/>
  <c r="V1905" i="2"/>
  <c r="W1677" i="2"/>
  <c r="V1677" i="2"/>
  <c r="W1108" i="2"/>
  <c r="V1108" i="2"/>
  <c r="W690" i="2"/>
  <c r="V690" i="2"/>
  <c r="W683" i="2"/>
  <c r="V683" i="2"/>
  <c r="W386" i="2"/>
  <c r="V386" i="2"/>
  <c r="W339" i="2"/>
  <c r="V339" i="2"/>
  <c r="W253" i="2"/>
  <c r="V253" i="2"/>
  <c r="W176" i="2"/>
  <c r="V176" i="2"/>
  <c r="W180" i="2"/>
  <c r="V180" i="2"/>
  <c r="W2617" i="2"/>
  <c r="V2617" i="2"/>
  <c r="W2587" i="2"/>
  <c r="V2587" i="2"/>
  <c r="W2444" i="2"/>
  <c r="V2444" i="2"/>
  <c r="W2440" i="2"/>
  <c r="V2440" i="2"/>
  <c r="W2325" i="2"/>
  <c r="V2325" i="2"/>
  <c r="W2313" i="2"/>
  <c r="V2313" i="2"/>
  <c r="W2177" i="2"/>
  <c r="V2177" i="2"/>
  <c r="W1858" i="2"/>
  <c r="V1858" i="2"/>
  <c r="W774" i="2"/>
  <c r="V774" i="2"/>
  <c r="W130" i="2"/>
  <c r="V130" i="2"/>
  <c r="W125" i="2"/>
  <c r="V125" i="2"/>
  <c r="W97" i="2"/>
  <c r="V97" i="2"/>
  <c r="W2243" i="2"/>
  <c r="V2243" i="2"/>
  <c r="W2111" i="2"/>
  <c r="V2111" i="2"/>
  <c r="W1725" i="2"/>
  <c r="V1725" i="2"/>
  <c r="W1001" i="2"/>
  <c r="V1001" i="2"/>
  <c r="W864" i="2"/>
  <c r="V864" i="2"/>
  <c r="W822" i="2"/>
  <c r="V822" i="2"/>
  <c r="W783" i="2"/>
  <c r="V783" i="2"/>
  <c r="W1176" i="2"/>
  <c r="V1176" i="2"/>
  <c r="W1169" i="2"/>
  <c r="V1169" i="2"/>
  <c r="W841" i="2"/>
  <c r="V841" i="2"/>
  <c r="W359" i="2"/>
  <c r="V359" i="2"/>
  <c r="W2378" i="2"/>
  <c r="V2378" i="2"/>
  <c r="W2305" i="2"/>
  <c r="V2305" i="2"/>
  <c r="W2307" i="2"/>
  <c r="V2307" i="2"/>
  <c r="W2219" i="2"/>
  <c r="V2219" i="2"/>
  <c r="W2059" i="2"/>
  <c r="V2059" i="2"/>
  <c r="W1935" i="2"/>
  <c r="V1935" i="2"/>
  <c r="W1500" i="2"/>
  <c r="V1500" i="2"/>
  <c r="W1326" i="2"/>
  <c r="V1326" i="2"/>
  <c r="W1291" i="2"/>
  <c r="V1291" i="2"/>
  <c r="W1206" i="2"/>
  <c r="V1206" i="2"/>
  <c r="W1084" i="2"/>
  <c r="V1084" i="2"/>
  <c r="W949" i="2"/>
  <c r="V949" i="2"/>
  <c r="W636" i="2"/>
  <c r="V636" i="2"/>
  <c r="W286" i="2"/>
  <c r="V286" i="2"/>
  <c r="W206" i="2"/>
  <c r="V206" i="2"/>
  <c r="W175" i="2"/>
  <c r="V175" i="2"/>
  <c r="W2533" i="2"/>
  <c r="V2533" i="2"/>
  <c r="W1900" i="2"/>
  <c r="V1900" i="2"/>
  <c r="W1733" i="2"/>
  <c r="V1733" i="2"/>
  <c r="W2138" i="2"/>
  <c r="V2138" i="2"/>
  <c r="W1445" i="2"/>
  <c r="V1445" i="2"/>
  <c r="W2674" i="2"/>
  <c r="V2674" i="2"/>
  <c r="W1697" i="2"/>
  <c r="V1697" i="2"/>
  <c r="W1272" i="2"/>
  <c r="V1272" i="2"/>
  <c r="W1099" i="2"/>
  <c r="V1099" i="2"/>
  <c r="W793" i="2"/>
  <c r="V793" i="2"/>
  <c r="W758" i="2"/>
  <c r="V758" i="2"/>
  <c r="W479" i="2"/>
  <c r="V479" i="2"/>
  <c r="W2744" i="2"/>
  <c r="V2744" i="2"/>
  <c r="W2743" i="2"/>
  <c r="V2743" i="2"/>
  <c r="W2537" i="2"/>
  <c r="V2537" i="2"/>
  <c r="W2506" i="2"/>
  <c r="V2506" i="2"/>
  <c r="W2159" i="2"/>
  <c r="V2159" i="2"/>
  <c r="W2066" i="2"/>
  <c r="V2066" i="2"/>
  <c r="W1570" i="2"/>
  <c r="V1570" i="2"/>
  <c r="W1436" i="2"/>
  <c r="V1436" i="2"/>
  <c r="W1186" i="2"/>
  <c r="V1186" i="2"/>
  <c r="W1083" i="2"/>
  <c r="V1083" i="2"/>
  <c r="W888" i="2"/>
  <c r="V888" i="2"/>
  <c r="W883" i="2"/>
  <c r="V883" i="2"/>
  <c r="W429" i="2"/>
  <c r="V429" i="2"/>
  <c r="W268" i="2"/>
  <c r="V268" i="2"/>
  <c r="W243" i="2"/>
  <c r="V243" i="2"/>
  <c r="W124" i="2"/>
  <c r="V124" i="2"/>
  <c r="W2691" i="2"/>
  <c r="V2691" i="2"/>
  <c r="W2473" i="2"/>
  <c r="V2473" i="2"/>
  <c r="W2390" i="2"/>
  <c r="V2390" i="2"/>
  <c r="W2213" i="2"/>
  <c r="V2213" i="2"/>
  <c r="W1966" i="2"/>
  <c r="V1966" i="2"/>
  <c r="W1416" i="2"/>
  <c r="V1416" i="2"/>
  <c r="W1264" i="2"/>
  <c r="V1264" i="2"/>
  <c r="W1172" i="2"/>
  <c r="V1172" i="2"/>
  <c r="W972" i="2"/>
  <c r="V972" i="2"/>
  <c r="W242" i="2"/>
  <c r="V242" i="2"/>
  <c r="W2637" i="2"/>
  <c r="V2637" i="2"/>
  <c r="W1958" i="2"/>
  <c r="V1958" i="2"/>
  <c r="W1767" i="2"/>
  <c r="V1767" i="2"/>
  <c r="W1415" i="2"/>
  <c r="V1415" i="2"/>
  <c r="W1325" i="2"/>
  <c r="V1325" i="2"/>
  <c r="W1238" i="2"/>
  <c r="V1238" i="2"/>
  <c r="W654" i="2"/>
  <c r="V654" i="2"/>
  <c r="W623" i="2"/>
  <c r="V623" i="2"/>
  <c r="W106" i="2"/>
  <c r="V106" i="2"/>
  <c r="W2532" i="2"/>
  <c r="V2532" i="2"/>
  <c r="W2374" i="2"/>
  <c r="V2374" i="2"/>
  <c r="W2357" i="2"/>
  <c r="V2357" i="2"/>
  <c r="W2251" i="2"/>
  <c r="V2251" i="2"/>
  <c r="W2217" i="2"/>
  <c r="V2217" i="2"/>
  <c r="W1989" i="2"/>
  <c r="V1989" i="2"/>
  <c r="W1017" i="2"/>
  <c r="V1017" i="2"/>
  <c r="W988" i="2"/>
  <c r="V988" i="2"/>
  <c r="W553" i="2"/>
  <c r="V553" i="2"/>
  <c r="W215" i="2"/>
  <c r="V215" i="2"/>
  <c r="W1751" i="2"/>
  <c r="V1751" i="2"/>
  <c r="W2329" i="2"/>
  <c r="V2329" i="2"/>
  <c r="W1421" i="2"/>
  <c r="V1421" i="2"/>
  <c r="W1027" i="2"/>
  <c r="V1027" i="2"/>
  <c r="W441" i="2"/>
  <c r="V441" i="2"/>
  <c r="W369" i="2"/>
  <c r="V369" i="2"/>
  <c r="W112" i="2"/>
  <c r="V112" i="2"/>
  <c r="W2629" i="2"/>
  <c r="V2629" i="2"/>
  <c r="W2317" i="2"/>
  <c r="V2317" i="2"/>
  <c r="W1685" i="2"/>
  <c r="V1685" i="2"/>
  <c r="W1511" i="2"/>
  <c r="V1511" i="2"/>
  <c r="W1333" i="2"/>
  <c r="V1333" i="2"/>
  <c r="W1033" i="2"/>
  <c r="V1033" i="2"/>
  <c r="W710" i="2"/>
  <c r="V710" i="2"/>
  <c r="W174" i="2"/>
  <c r="V174" i="2"/>
  <c r="W2026" i="2"/>
  <c r="V2026" i="2"/>
  <c r="W2001" i="2"/>
  <c r="V2001" i="2"/>
  <c r="W1713" i="2"/>
  <c r="V1713" i="2"/>
  <c r="W1504" i="2"/>
  <c r="V1504" i="2"/>
  <c r="W1138" i="2"/>
  <c r="V1138" i="2"/>
  <c r="W1053" i="2"/>
  <c r="V1053" i="2"/>
  <c r="W2442" i="2"/>
  <c r="V2442" i="2"/>
  <c r="W1639" i="2"/>
  <c r="V1639" i="2"/>
  <c r="W1581" i="2"/>
  <c r="V1581" i="2"/>
  <c r="W1052" i="2"/>
  <c r="V1052" i="2"/>
  <c r="W458" i="2"/>
  <c r="V458" i="2"/>
  <c r="W2478" i="2"/>
  <c r="V2478" i="2"/>
  <c r="W2389" i="2"/>
  <c r="V2389" i="2"/>
  <c r="W2339" i="2"/>
  <c r="V2339" i="2"/>
  <c r="W2100" i="2"/>
  <c r="V2100" i="2"/>
  <c r="W1750" i="2"/>
  <c r="V1750" i="2"/>
  <c r="W1722" i="2"/>
  <c r="V1722" i="2"/>
  <c r="W1510" i="2"/>
  <c r="V1510" i="2"/>
  <c r="W1454" i="2"/>
  <c r="V1454" i="2"/>
  <c r="W1353" i="2"/>
  <c r="V1353" i="2"/>
  <c r="W1082" i="2"/>
  <c r="V1082" i="2"/>
  <c r="W894" i="2"/>
  <c r="V894" i="2"/>
  <c r="W893" i="2"/>
  <c r="V893" i="2"/>
  <c r="W877" i="2"/>
  <c r="V877" i="2"/>
  <c r="W609" i="2"/>
  <c r="V609" i="2"/>
  <c r="W368" i="2"/>
  <c r="V368" i="2"/>
  <c r="W287" i="2"/>
  <c r="V287" i="2"/>
  <c r="W267" i="2"/>
  <c r="V267" i="2"/>
  <c r="W570" i="2"/>
  <c r="V570" i="2"/>
  <c r="W396" i="2"/>
  <c r="V396" i="2"/>
  <c r="W2710" i="2"/>
  <c r="V2710" i="2"/>
  <c r="W2062" i="2"/>
  <c r="V2062" i="2"/>
  <c r="W1559" i="2"/>
  <c r="V1559" i="2"/>
  <c r="W1283" i="2"/>
  <c r="V1283" i="2"/>
  <c r="W1217" i="2"/>
  <c r="V1217" i="2"/>
  <c r="W826" i="2"/>
  <c r="V826" i="2"/>
  <c r="W666" i="2"/>
  <c r="V666" i="2"/>
  <c r="W471" i="2"/>
  <c r="V471" i="2"/>
  <c r="W379" i="2"/>
  <c r="V379" i="2"/>
  <c r="W2600" i="2"/>
  <c r="V2600" i="2"/>
  <c r="W2555" i="2"/>
  <c r="V2555" i="2"/>
  <c r="W1991" i="2"/>
  <c r="V1991" i="2"/>
  <c r="W1878" i="2"/>
  <c r="V1878" i="2"/>
  <c r="W1620" i="2"/>
  <c r="V1620" i="2"/>
  <c r="W979" i="2"/>
  <c r="V979" i="2"/>
  <c r="W696" i="2"/>
  <c r="V696" i="2"/>
  <c r="W13" i="2"/>
  <c r="V13" i="2"/>
  <c r="W2725" i="2"/>
  <c r="V2725" i="2"/>
  <c r="W2515" i="2"/>
  <c r="V2515" i="2"/>
  <c r="W1600" i="2"/>
  <c r="V1600" i="2"/>
  <c r="W1231" i="2"/>
  <c r="V1231" i="2"/>
  <c r="W569" i="2"/>
  <c r="V569" i="2"/>
  <c r="W356" i="2"/>
  <c r="V356" i="2"/>
  <c r="W2531" i="2"/>
  <c r="V2531" i="2"/>
  <c r="W2122" i="2"/>
  <c r="V2122" i="2"/>
  <c r="W2088" i="2"/>
  <c r="V2088" i="2"/>
  <c r="W2045" i="2"/>
  <c r="V2045" i="2"/>
  <c r="W1931" i="2"/>
  <c r="V1931" i="2"/>
  <c r="W1712" i="2"/>
  <c r="V1712" i="2"/>
  <c r="W338" i="2"/>
  <c r="V338" i="2"/>
  <c r="W2738" i="2"/>
  <c r="V2738" i="2"/>
  <c r="W2728" i="2"/>
  <c r="V2728" i="2"/>
  <c r="W2570" i="2"/>
  <c r="V2570" i="2"/>
  <c r="W2174" i="2"/>
  <c r="V2174" i="2"/>
  <c r="W1794" i="2"/>
  <c r="V1794" i="2"/>
  <c r="W1803" i="2"/>
  <c r="V1803" i="2"/>
  <c r="W1711" i="2"/>
  <c r="V1711" i="2"/>
  <c r="W1385" i="2"/>
  <c r="V1385" i="2"/>
  <c r="W173" i="2"/>
  <c r="V173" i="2"/>
  <c r="W2595" i="2"/>
  <c r="V2595" i="2"/>
  <c r="W2461" i="2"/>
  <c r="V2461" i="2"/>
  <c r="W1586" i="2"/>
  <c r="V1586" i="2"/>
  <c r="W1567" i="2"/>
  <c r="V1567" i="2"/>
  <c r="W1352" i="2"/>
  <c r="V1352" i="2"/>
  <c r="W903" i="2"/>
  <c r="V903" i="2"/>
  <c r="W887" i="2"/>
  <c r="V887" i="2"/>
  <c r="W791" i="2"/>
  <c r="V791" i="2"/>
  <c r="W707" i="2"/>
  <c r="V707" i="2"/>
  <c r="W2021" i="2"/>
  <c r="V2021" i="2"/>
  <c r="W1831" i="2"/>
  <c r="V1831" i="2"/>
  <c r="W1666" i="2"/>
  <c r="V1666" i="2"/>
  <c r="W1495" i="2"/>
  <c r="V1495" i="2"/>
  <c r="W635" i="2"/>
  <c r="V635" i="2"/>
  <c r="W622" i="2"/>
  <c r="V622" i="2"/>
  <c r="W435" i="2"/>
  <c r="V435" i="2"/>
  <c r="W395" i="2"/>
  <c r="V395" i="2"/>
  <c r="W231" i="2"/>
  <c r="V231" i="2"/>
  <c r="W2284" i="2"/>
  <c r="V2284" i="2"/>
  <c r="W1807" i="2"/>
  <c r="V1807" i="2"/>
  <c r="W1806" i="2"/>
  <c r="V1806" i="2"/>
  <c r="W1778" i="2"/>
  <c r="V1778" i="2"/>
  <c r="W1274" i="2"/>
  <c r="V1274" i="2"/>
  <c r="W984" i="2"/>
  <c r="V984" i="2"/>
  <c r="W567" i="2"/>
  <c r="V567" i="2"/>
  <c r="W172" i="2"/>
  <c r="V172" i="2"/>
  <c r="W1736" i="2"/>
  <c r="V1736" i="2"/>
  <c r="W1370" i="2"/>
  <c r="V1370" i="2"/>
  <c r="W1324" i="2"/>
  <c r="V1324" i="2"/>
  <c r="W520" i="2"/>
  <c r="V520" i="2"/>
  <c r="W1653" i="2"/>
  <c r="V1653" i="2"/>
  <c r="W1409" i="2"/>
  <c r="V1409" i="2"/>
  <c r="W1244" i="2"/>
  <c r="V1244" i="2"/>
  <c r="W282" i="2"/>
  <c r="V282" i="2"/>
  <c r="W2603" i="2"/>
  <c r="V2603" i="2"/>
  <c r="W1740" i="2"/>
  <c r="V1740" i="2"/>
  <c r="W1626" i="2"/>
  <c r="V1626" i="2"/>
  <c r="W1379" i="2"/>
  <c r="V1379" i="2"/>
  <c r="W222" i="2"/>
  <c r="V222" i="2"/>
  <c r="W2649" i="2"/>
  <c r="V2649" i="2"/>
  <c r="W2601" i="2"/>
  <c r="V2601" i="2"/>
  <c r="W2487" i="2"/>
  <c r="V2487" i="2"/>
  <c r="W2483" i="2"/>
  <c r="V2483" i="2"/>
  <c r="W2373" i="2"/>
  <c r="V2373" i="2"/>
  <c r="W2218" i="2"/>
  <c r="V2218" i="2"/>
  <c r="W2165" i="2"/>
  <c r="V2165" i="2"/>
  <c r="W2166" i="2"/>
  <c r="V2166" i="2"/>
  <c r="W2140" i="2"/>
  <c r="V2140" i="2"/>
  <c r="W2087" i="2"/>
  <c r="V2087" i="2"/>
  <c r="W1965" i="2"/>
  <c r="V1965" i="2"/>
  <c r="W1669" i="2"/>
  <c r="V1669" i="2"/>
  <c r="W1537" i="2"/>
  <c r="V1537" i="2"/>
  <c r="W1506" i="2"/>
  <c r="V1506" i="2"/>
  <c r="W1481" i="2"/>
  <c r="V1481" i="2"/>
  <c r="W1408" i="2"/>
  <c r="V1408" i="2"/>
  <c r="W1312" i="2"/>
  <c r="V1312" i="2"/>
  <c r="W1185" i="2"/>
  <c r="V1185" i="2"/>
  <c r="W1032" i="2"/>
  <c r="V1032" i="2"/>
  <c r="W967" i="2"/>
  <c r="V967" i="2"/>
  <c r="W892" i="2"/>
  <c r="V892" i="2"/>
  <c r="W457" i="2"/>
  <c r="V457" i="2"/>
  <c r="W250" i="2"/>
  <c r="V250" i="2"/>
  <c r="W221" i="2"/>
  <c r="V221" i="2"/>
  <c r="W129" i="2"/>
  <c r="V129" i="2"/>
  <c r="W86" i="2"/>
  <c r="V86" i="2"/>
  <c r="W85" i="2"/>
  <c r="V85" i="2"/>
  <c r="W2254" i="2"/>
  <c r="V2254" i="2"/>
  <c r="W2022" i="2"/>
  <c r="V2022" i="2"/>
  <c r="W2020" i="2"/>
  <c r="V2020" i="2"/>
  <c r="W1875" i="2"/>
  <c r="V1875" i="2"/>
  <c r="W1460" i="2"/>
  <c r="V1460" i="2"/>
  <c r="W1469" i="2"/>
  <c r="V1469" i="2"/>
  <c r="W1407" i="2"/>
  <c r="V1407" i="2"/>
  <c r="W1383" i="2"/>
  <c r="V1383" i="2"/>
  <c r="W1116" i="2"/>
  <c r="V1116" i="2"/>
  <c r="W879" i="2"/>
  <c r="V879" i="2"/>
  <c r="W840" i="2"/>
  <c r="V840" i="2"/>
  <c r="W765" i="2"/>
  <c r="V765" i="2"/>
  <c r="W552" i="2"/>
  <c r="V552" i="2"/>
  <c r="W456" i="2"/>
  <c r="V456" i="2"/>
  <c r="W1634" i="2"/>
  <c r="V1634" i="2"/>
  <c r="W1536" i="2"/>
  <c r="V1536" i="2"/>
  <c r="W1091" i="2"/>
  <c r="V1091" i="2"/>
  <c r="W1087" i="2"/>
  <c r="V1087" i="2"/>
  <c r="W789" i="2"/>
  <c r="V789" i="2"/>
  <c r="W111" i="2"/>
  <c r="V111" i="2"/>
  <c r="W59" i="2"/>
  <c r="V59" i="2"/>
  <c r="W2454" i="2"/>
  <c r="V2454" i="2"/>
  <c r="W1710" i="2"/>
  <c r="V1710" i="2"/>
  <c r="W1515" i="2"/>
  <c r="V1515" i="2"/>
  <c r="W1522" i="2"/>
  <c r="V1522" i="2"/>
  <c r="W1494" i="2"/>
  <c r="V1494" i="2"/>
  <c r="W1036" i="2"/>
  <c r="V1036" i="2"/>
  <c r="W964" i="2"/>
  <c r="V964" i="2"/>
  <c r="W821" i="2"/>
  <c r="V821" i="2"/>
  <c r="W803" i="2"/>
  <c r="V803" i="2"/>
  <c r="W2171" i="2"/>
  <c r="V2171" i="2"/>
  <c r="W2156" i="2"/>
  <c r="V2156" i="2"/>
  <c r="W2132" i="2"/>
  <c r="V2132" i="2"/>
  <c r="W2097" i="2"/>
  <c r="V2097" i="2"/>
  <c r="W2000" i="2"/>
  <c r="V2000" i="2"/>
  <c r="W1947" i="2"/>
  <c r="V1947" i="2"/>
  <c r="W1836" i="2"/>
  <c r="V1836" i="2"/>
  <c r="W1611" i="2"/>
  <c r="V1611" i="2"/>
  <c r="W1351" i="2"/>
  <c r="V1351" i="2"/>
  <c r="W1090" i="2"/>
  <c r="V1090" i="2"/>
  <c r="W891" i="2"/>
  <c r="V891" i="2"/>
  <c r="W534" i="2"/>
  <c r="V534" i="2"/>
  <c r="W2671" i="2"/>
  <c r="V2671" i="2"/>
  <c r="W2543" i="2"/>
  <c r="V2543" i="2"/>
  <c r="W2221" i="2"/>
  <c r="V2221" i="2"/>
  <c r="W1957" i="2"/>
  <c r="V1957" i="2"/>
  <c r="W987" i="2"/>
  <c r="V987" i="2"/>
  <c r="W674" i="2"/>
  <c r="V674" i="2"/>
  <c r="W528" i="2"/>
  <c r="V528" i="2"/>
  <c r="W2709" i="2"/>
  <c r="V2709" i="2"/>
  <c r="W2628" i="2"/>
  <c r="V2628" i="2"/>
  <c r="W2415" i="2"/>
  <c r="V2415" i="2"/>
  <c r="W2283" i="2"/>
  <c r="V2283" i="2"/>
  <c r="W1558" i="2"/>
  <c r="V1558" i="2"/>
  <c r="W1251" i="2"/>
  <c r="V1251" i="2"/>
  <c r="W993" i="2"/>
  <c r="V993" i="2"/>
  <c r="W757" i="2"/>
  <c r="V757" i="2"/>
  <c r="W2739" i="2"/>
  <c r="V2739" i="2"/>
  <c r="W2706" i="2"/>
  <c r="V2706" i="2"/>
  <c r="W2471" i="2"/>
  <c r="V2471" i="2"/>
  <c r="W2121" i="2"/>
  <c r="V2121" i="2"/>
  <c r="W1865" i="2"/>
  <c r="V1865" i="2"/>
  <c r="W1759" i="2"/>
  <c r="V1759" i="2"/>
  <c r="W1599" i="2"/>
  <c r="V1599" i="2"/>
  <c r="W1350" i="2"/>
  <c r="V1350" i="2"/>
  <c r="W677" i="2"/>
  <c r="V677" i="2"/>
  <c r="W353" i="2"/>
  <c r="V353" i="2"/>
  <c r="W337" i="2"/>
  <c r="V337" i="2"/>
  <c r="W281" i="2"/>
  <c r="V281" i="2"/>
  <c r="W12" i="2"/>
  <c r="V12" i="2"/>
  <c r="W11" i="2"/>
  <c r="V11" i="2"/>
  <c r="W2034" i="2"/>
  <c r="V2034" i="2"/>
  <c r="W1899" i="2"/>
  <c r="V1899" i="2"/>
  <c r="W1874" i="2"/>
  <c r="V1874" i="2"/>
  <c r="W1873" i="2"/>
  <c r="V1873" i="2"/>
  <c r="W1560" i="2"/>
  <c r="V1560" i="2"/>
  <c r="W1349" i="2"/>
  <c r="V1349" i="2"/>
  <c r="W1348" i="2"/>
  <c r="V1348" i="2"/>
  <c r="W1282" i="2"/>
  <c r="V1282" i="2"/>
  <c r="W730" i="2"/>
  <c r="V730" i="2"/>
  <c r="W350" i="2"/>
  <c r="V350" i="2"/>
  <c r="W2548" i="2"/>
  <c r="V2548" i="2"/>
  <c r="W2439" i="2"/>
  <c r="V2439" i="2"/>
  <c r="W2314" i="2"/>
  <c r="V2314" i="2"/>
  <c r="W1459" i="2"/>
  <c r="V1459" i="2"/>
  <c r="W916" i="2"/>
  <c r="V916" i="2"/>
  <c r="W695" i="2"/>
  <c r="V695" i="2"/>
  <c r="W388" i="2"/>
  <c r="V388" i="2"/>
  <c r="W2607" i="2"/>
  <c r="V2607" i="2"/>
  <c r="W2541" i="2"/>
  <c r="V2541" i="2"/>
  <c r="W1954" i="2"/>
  <c r="V1954" i="2"/>
  <c r="W1766" i="2"/>
  <c r="V1766" i="2"/>
  <c r="W1643" i="2"/>
  <c r="V1643" i="2"/>
  <c r="W1184" i="2"/>
  <c r="V1184" i="2"/>
  <c r="W948" i="2"/>
  <c r="V948" i="2"/>
  <c r="W664" i="2"/>
  <c r="V664" i="2"/>
  <c r="W2625" i="2"/>
  <c r="V2625" i="2"/>
  <c r="W2524" i="2"/>
  <c r="V2524" i="2"/>
  <c r="W1918" i="2"/>
  <c r="V1918" i="2"/>
  <c r="W1822" i="2"/>
  <c r="V1822" i="2"/>
  <c r="W1765" i="2"/>
  <c r="V1765" i="2"/>
  <c r="W1731" i="2"/>
  <c r="V1731" i="2"/>
  <c r="W1394" i="2"/>
  <c r="V1394" i="2"/>
  <c r="W1375" i="2"/>
  <c r="V1375" i="2"/>
  <c r="W551" i="2"/>
  <c r="V551" i="2"/>
  <c r="W367" i="2"/>
  <c r="V367" i="2"/>
  <c r="W96" i="2"/>
  <c r="V96" i="2"/>
  <c r="W10" i="2"/>
  <c r="V10" i="2"/>
  <c r="W2740" i="2"/>
  <c r="V2740" i="2"/>
  <c r="W2429" i="2"/>
  <c r="V2429" i="2"/>
  <c r="W1964" i="2"/>
  <c r="V1964" i="2"/>
  <c r="W1939" i="2"/>
  <c r="V1939" i="2"/>
  <c r="W1800" i="2"/>
  <c r="V1800" i="2"/>
  <c r="W1709" i="2"/>
  <c r="V1709" i="2"/>
  <c r="W1480" i="2"/>
  <c r="V1480" i="2"/>
  <c r="W1009" i="2"/>
  <c r="V1009" i="2"/>
  <c r="W197" i="2"/>
  <c r="V197" i="2"/>
  <c r="W24" i="2"/>
  <c r="V24" i="2"/>
  <c r="W2553" i="2"/>
  <c r="V2553" i="2"/>
  <c r="W2539" i="2"/>
  <c r="V2539" i="2"/>
  <c r="W2518" i="2"/>
  <c r="V2518" i="2"/>
  <c r="W1917" i="2"/>
  <c r="V1917" i="2"/>
  <c r="W1788" i="2"/>
  <c r="V1788" i="2"/>
  <c r="W1676" i="2"/>
  <c r="V1676" i="2"/>
  <c r="W1652" i="2"/>
  <c r="V1652" i="2"/>
  <c r="W1574" i="2"/>
  <c r="V1574" i="2"/>
  <c r="W1499" i="2"/>
  <c r="V1499" i="2"/>
  <c r="W1281" i="2"/>
  <c r="V1281" i="2"/>
  <c r="W1177" i="2"/>
  <c r="V1177" i="2"/>
  <c r="W812" i="2"/>
  <c r="V812" i="2"/>
  <c r="W665" i="2"/>
  <c r="V665" i="2"/>
  <c r="W2698" i="2"/>
  <c r="V2698" i="2"/>
  <c r="W2632" i="2"/>
  <c r="V2632" i="2"/>
  <c r="W2407" i="2"/>
  <c r="V2407" i="2"/>
  <c r="W2051" i="2"/>
  <c r="V2051" i="2"/>
  <c r="W1535" i="2"/>
  <c r="V1535" i="2"/>
  <c r="W1414" i="2"/>
  <c r="V1414" i="2"/>
  <c r="W1406" i="2"/>
  <c r="V1406" i="2"/>
  <c r="W878" i="2"/>
  <c r="V878" i="2"/>
  <c r="W708" i="2"/>
  <c r="V708" i="2"/>
  <c r="W480" i="2"/>
  <c r="V480" i="2"/>
  <c r="W418" i="2"/>
  <c r="V418" i="2"/>
  <c r="W316" i="2"/>
  <c r="V316" i="2"/>
  <c r="W2714" i="2"/>
  <c r="V2714" i="2"/>
  <c r="W2693" i="2"/>
  <c r="V2693" i="2"/>
  <c r="W1458" i="2"/>
  <c r="V1458" i="2"/>
  <c r="W1205" i="2"/>
  <c r="V1205" i="2"/>
  <c r="W729" i="2"/>
  <c r="V729" i="2"/>
  <c r="W741" i="2"/>
  <c r="V741" i="2"/>
  <c r="W315" i="2"/>
  <c r="V315" i="2"/>
  <c r="W966" i="2"/>
  <c r="V966" i="2"/>
  <c r="W947" i="2"/>
  <c r="V947" i="2"/>
  <c r="W824" i="2"/>
  <c r="V824" i="2"/>
  <c r="W740" i="2"/>
  <c r="V740" i="2"/>
  <c r="W662" i="2"/>
  <c r="V662" i="2"/>
  <c r="W2263" i="2"/>
  <c r="V2263" i="2"/>
  <c r="W1493" i="2"/>
  <c r="V1493" i="2"/>
  <c r="W1255" i="2"/>
  <c r="V1255" i="2"/>
  <c r="W1035" i="2"/>
  <c r="V1035" i="2"/>
  <c r="W1016" i="2"/>
  <c r="V1016" i="2"/>
  <c r="W904" i="2"/>
  <c r="V904" i="2"/>
  <c r="W825" i="2"/>
  <c r="V825" i="2"/>
  <c r="W634" i="2"/>
  <c r="V634" i="2"/>
  <c r="W455" i="2"/>
  <c r="V455" i="2"/>
  <c r="W323" i="2"/>
  <c r="V323" i="2"/>
  <c r="W148" i="2"/>
  <c r="V148" i="2"/>
  <c r="W2262" i="2"/>
  <c r="V2262" i="2"/>
  <c r="W1580" i="2"/>
  <c r="V1580" i="2"/>
  <c r="W1128" i="2"/>
  <c r="V1128" i="2"/>
  <c r="W839" i="2"/>
  <c r="V839" i="2"/>
  <c r="W773" i="2"/>
  <c r="V773" i="2"/>
  <c r="W422" i="2"/>
  <c r="V422" i="2"/>
  <c r="W266" i="2"/>
  <c r="V266" i="2"/>
  <c r="W2459" i="2"/>
  <c r="V2459" i="2"/>
  <c r="W2319" i="2"/>
  <c r="V2319" i="2"/>
  <c r="W490" i="2"/>
  <c r="V490" i="2"/>
  <c r="W285" i="2"/>
  <c r="V285" i="2"/>
  <c r="W191" i="2"/>
  <c r="V191" i="2"/>
  <c r="W2523" i="2"/>
  <c r="V2523" i="2"/>
  <c r="W2148" i="2"/>
  <c r="V2148" i="2"/>
  <c r="W1821" i="2"/>
  <c r="V1821" i="2"/>
  <c r="W1659" i="2"/>
  <c r="V1659" i="2"/>
  <c r="W1534" i="2"/>
  <c r="V1534" i="2"/>
  <c r="W1509" i="2"/>
  <c r="V1509" i="2"/>
  <c r="W1479" i="2"/>
  <c r="V1479" i="2"/>
  <c r="W1160" i="2"/>
  <c r="V1160" i="2"/>
  <c r="W869" i="2"/>
  <c r="V869" i="2"/>
  <c r="W739" i="2"/>
  <c r="V739" i="2"/>
  <c r="W95" i="2"/>
  <c r="V95" i="2"/>
  <c r="W58" i="2"/>
  <c r="V58" i="2"/>
  <c r="W1820" i="2"/>
  <c r="V1820" i="2"/>
  <c r="W784" i="2"/>
  <c r="V784" i="2"/>
  <c r="W682" i="2"/>
  <c r="V682" i="2"/>
  <c r="W476" i="2"/>
  <c r="V476" i="2"/>
  <c r="W434" i="2"/>
  <c r="V434" i="2"/>
  <c r="W454" i="2"/>
  <c r="V454" i="2"/>
  <c r="W366" i="2"/>
  <c r="V366" i="2"/>
  <c r="W365" i="2"/>
  <c r="V365" i="2"/>
  <c r="W71" i="2"/>
  <c r="V71" i="2"/>
  <c r="W2681" i="2"/>
  <c r="V2681" i="2"/>
  <c r="W2502" i="2"/>
  <c r="V2502" i="2"/>
  <c r="W2359" i="2"/>
  <c r="V2359" i="2"/>
  <c r="W2173" i="2"/>
  <c r="V2173" i="2"/>
  <c r="W2078" i="2"/>
  <c r="V2078" i="2"/>
  <c r="W1916" i="2"/>
  <c r="V1916" i="2"/>
  <c r="W1624" i="2"/>
  <c r="V1624" i="2"/>
  <c r="W1347" i="2"/>
  <c r="V1347" i="2"/>
  <c r="W1114" i="2"/>
  <c r="V1114" i="2"/>
  <c r="W1106" i="2"/>
  <c r="V1106" i="2"/>
  <c r="W433" i="2"/>
  <c r="V433" i="2"/>
  <c r="W80" i="2"/>
  <c r="V80" i="2"/>
  <c r="W1915" i="2"/>
  <c r="V1915" i="2"/>
  <c r="W1880" i="2"/>
  <c r="V1880" i="2"/>
  <c r="W1840" i="2"/>
  <c r="V1840" i="2"/>
  <c r="W1329" i="2"/>
  <c r="V1329" i="2"/>
  <c r="W1167" i="2"/>
  <c r="V1167" i="2"/>
  <c r="W777" i="2"/>
  <c r="V777" i="2"/>
  <c r="W1914" i="2"/>
  <c r="V1914" i="2"/>
  <c r="W726" i="2"/>
  <c r="V726" i="2"/>
  <c r="W2605" i="2"/>
  <c r="V2605" i="2"/>
  <c r="W2599" i="2"/>
  <c r="V2599" i="2"/>
  <c r="W2367" i="2"/>
  <c r="V2367" i="2"/>
  <c r="W2057" i="2"/>
  <c r="V2057" i="2"/>
  <c r="W1990" i="2"/>
  <c r="V1990" i="2"/>
  <c r="W1879" i="2"/>
  <c r="V1879" i="2"/>
  <c r="W1857" i="2"/>
  <c r="V1857" i="2"/>
  <c r="W1346" i="2"/>
  <c r="V1346" i="2"/>
  <c r="W1280" i="2"/>
  <c r="V1280" i="2"/>
  <c r="W910" i="2"/>
  <c r="V910" i="2"/>
  <c r="W425" i="2"/>
  <c r="V425" i="2"/>
  <c r="W348" i="2"/>
  <c r="V348" i="2"/>
  <c r="W3" i="2"/>
  <c r="V3" i="2"/>
  <c r="W7" i="2"/>
  <c r="V7" i="2"/>
  <c r="W1819" i="2"/>
  <c r="V1819" i="2"/>
  <c r="W1642" i="2"/>
  <c r="V1642" i="2"/>
  <c r="W1378" i="2"/>
  <c r="V1378" i="2"/>
  <c r="W1162" i="2"/>
  <c r="V1162" i="2"/>
  <c r="W1163" i="2"/>
  <c r="V1163" i="2"/>
  <c r="W1073" i="2"/>
  <c r="V1073" i="2"/>
  <c r="W935" i="2"/>
  <c r="V935" i="2"/>
  <c r="W772" i="2"/>
  <c r="V772" i="2"/>
  <c r="W626" i="2"/>
  <c r="V626" i="2"/>
  <c r="W526" i="2"/>
  <c r="V526" i="2"/>
  <c r="W6" i="2"/>
  <c r="V6" i="2"/>
  <c r="W2697" i="2"/>
  <c r="V2697" i="2"/>
  <c r="W2696" i="2"/>
  <c r="V2696" i="2"/>
  <c r="W2547" i="2"/>
  <c r="V2547" i="2"/>
  <c r="W1156" i="2"/>
  <c r="V1156" i="2"/>
  <c r="W1147" i="2"/>
  <c r="V1147" i="2"/>
  <c r="W962" i="2"/>
  <c r="V962" i="2"/>
  <c r="W514" i="2"/>
  <c r="V514" i="2"/>
  <c r="W304" i="2"/>
  <c r="V304" i="2"/>
  <c r="W299" i="2"/>
  <c r="V299" i="2"/>
  <c r="W2573" i="2"/>
  <c r="V2573" i="2"/>
  <c r="W2013" i="2"/>
  <c r="V2013" i="2"/>
  <c r="W1963" i="2"/>
  <c r="V1963" i="2"/>
  <c r="W1651" i="2"/>
  <c r="V1651" i="2"/>
  <c r="W857" i="2"/>
  <c r="V857" i="2"/>
  <c r="W604" i="2"/>
  <c r="V604" i="2"/>
  <c r="W599" i="2"/>
  <c r="V599" i="2"/>
  <c r="W421" i="2"/>
  <c r="V421" i="2"/>
  <c r="W2379" i="2"/>
  <c r="V2379" i="2"/>
  <c r="W440" i="2"/>
  <c r="V440" i="2"/>
  <c r="W229" i="2"/>
  <c r="V229" i="2"/>
  <c r="W2589" i="2"/>
  <c r="V2589" i="2"/>
  <c r="W2560" i="2"/>
  <c r="V2560" i="2"/>
  <c r="W2365" i="2"/>
  <c r="V2365" i="2"/>
  <c r="W1405" i="2"/>
  <c r="V1405" i="2"/>
  <c r="W1164" i="2"/>
  <c r="V1164" i="2"/>
  <c r="W1107" i="2"/>
  <c r="V1107" i="2"/>
  <c r="W1074" i="2"/>
  <c r="V1074" i="2"/>
  <c r="W1051" i="2"/>
  <c r="V1051" i="2"/>
  <c r="W960" i="2"/>
  <c r="V960" i="2"/>
  <c r="W592" i="2"/>
  <c r="V592" i="2"/>
  <c r="W533" i="2"/>
  <c r="V533" i="2"/>
  <c r="W550" i="2"/>
  <c r="V550" i="2"/>
  <c r="W25" i="2"/>
  <c r="V25" i="2"/>
  <c r="W2616" i="2"/>
  <c r="V2616" i="2"/>
  <c r="W2477" i="2"/>
  <c r="V2477" i="2"/>
  <c r="W2279" i="2"/>
  <c r="V2279" i="2"/>
  <c r="W2135" i="2"/>
  <c r="V2135" i="2"/>
  <c r="W973" i="2"/>
  <c r="V973" i="2"/>
  <c r="W598" i="2"/>
  <c r="V598" i="2"/>
  <c r="W2630" i="2"/>
  <c r="V2630" i="2"/>
  <c r="W2588" i="2"/>
  <c r="V2588" i="2"/>
  <c r="W1872" i="2"/>
  <c r="V1872" i="2"/>
  <c r="W1650" i="2"/>
  <c r="V1650" i="2"/>
  <c r="W1279" i="2"/>
  <c r="V1279" i="2"/>
  <c r="W915" i="2"/>
  <c r="V915" i="2"/>
  <c r="W874" i="2"/>
  <c r="V874" i="2"/>
  <c r="W549" i="2"/>
  <c r="V549" i="2"/>
  <c r="W412" i="2"/>
  <c r="V412" i="2"/>
  <c r="W2657" i="2"/>
  <c r="V2657" i="2"/>
  <c r="W2486" i="2"/>
  <c r="V2486" i="2"/>
  <c r="W2115" i="2"/>
  <c r="V2115" i="2"/>
  <c r="W1780" i="2"/>
  <c r="V1780" i="2"/>
  <c r="W1779" i="2"/>
  <c r="V1779" i="2"/>
  <c r="W1319" i="2"/>
  <c r="V1319" i="2"/>
  <c r="W1148" i="2"/>
  <c r="V1148" i="2"/>
  <c r="W670" i="2"/>
  <c r="V670" i="2"/>
  <c r="W160" i="2"/>
  <c r="V160" i="2"/>
  <c r="W43" i="2"/>
  <c r="V43" i="2"/>
  <c r="W2726" i="2"/>
  <c r="V2726" i="2"/>
  <c r="W2491" i="2"/>
  <c r="V2491" i="2"/>
  <c r="W2385" i="2"/>
  <c r="V2385" i="2"/>
  <c r="W2384" i="2"/>
  <c r="V2384" i="2"/>
  <c r="W2338" i="2"/>
  <c r="V2338" i="2"/>
  <c r="W2244" i="2"/>
  <c r="V2244" i="2"/>
  <c r="W2245" i="2"/>
  <c r="V2245" i="2"/>
  <c r="W2086" i="2"/>
  <c r="V2086" i="2"/>
  <c r="W1982" i="2"/>
  <c r="V1982" i="2"/>
  <c r="W1576" i="2"/>
  <c r="V1576" i="2"/>
  <c r="W478" i="2"/>
  <c r="V478" i="2"/>
  <c r="W42" i="2"/>
  <c r="V42" i="2"/>
  <c r="W2713" i="2"/>
  <c r="V2713" i="2"/>
  <c r="W2670" i="2"/>
  <c r="V2670" i="2"/>
  <c r="W2564" i="2"/>
  <c r="V2564" i="2"/>
  <c r="W2505" i="2"/>
  <c r="V2505" i="2"/>
  <c r="W2393" i="2"/>
  <c r="V2393" i="2"/>
  <c r="W1444" i="2"/>
  <c r="V1444" i="2"/>
  <c r="W1389" i="2"/>
  <c r="V1389" i="2"/>
  <c r="W1026" i="2"/>
  <c r="V1026" i="2"/>
  <c r="W453" i="2"/>
  <c r="V453" i="2"/>
  <c r="W314" i="2"/>
  <c r="V314" i="2"/>
  <c r="W196" i="2"/>
  <c r="V196" i="2"/>
  <c r="W147" i="2"/>
  <c r="V147" i="2"/>
  <c r="W2085" i="2"/>
  <c r="V2085" i="2"/>
  <c r="W1393" i="2"/>
  <c r="V1393" i="2"/>
  <c r="W1171" i="2"/>
  <c r="V1171" i="2"/>
  <c r="W860" i="2"/>
  <c r="V860" i="2"/>
  <c r="W603" i="2"/>
  <c r="V603" i="2"/>
  <c r="W489" i="2"/>
  <c r="V489" i="2"/>
  <c r="W2611" i="2"/>
  <c r="V2611" i="2"/>
  <c r="W1478" i="2"/>
  <c r="V1478" i="2"/>
  <c r="W2586" i="2"/>
  <c r="V2586" i="2"/>
  <c r="W2525" i="2"/>
  <c r="V2525" i="2"/>
  <c r="W2362" i="2"/>
  <c r="V2362" i="2"/>
  <c r="W2227" i="2"/>
  <c r="V2227" i="2"/>
  <c r="W2155" i="2"/>
  <c r="V2155" i="2"/>
  <c r="W2012" i="2"/>
  <c r="V2012" i="2"/>
  <c r="W1566" i="2"/>
  <c r="V1566" i="2"/>
  <c r="W452" i="2"/>
  <c r="V452" i="2"/>
  <c r="W381" i="2"/>
  <c r="V381" i="2"/>
  <c r="W115" i="2"/>
  <c r="V115" i="2"/>
  <c r="W123" i="2"/>
  <c r="V123" i="2"/>
  <c r="W2438" i="2"/>
  <c r="V2438" i="2"/>
  <c r="W2363" i="2"/>
  <c r="V2363" i="2"/>
  <c r="W2328" i="2"/>
  <c r="V2328" i="2"/>
  <c r="W1855" i="2"/>
  <c r="V1855" i="2"/>
  <c r="W1188" i="2"/>
  <c r="V1188" i="2"/>
  <c r="W978" i="2"/>
  <c r="V978" i="2"/>
  <c r="W866" i="2"/>
  <c r="V866" i="2"/>
  <c r="W498" i="2"/>
  <c r="V498" i="2"/>
  <c r="W2720" i="2"/>
  <c r="V2720" i="2"/>
  <c r="W2414" i="2"/>
  <c r="V2414" i="2"/>
  <c r="W2352" i="2"/>
  <c r="V2352" i="2"/>
  <c r="W2079" i="2"/>
  <c r="V2079" i="2"/>
  <c r="W1579" i="2"/>
  <c r="V1579" i="2"/>
  <c r="W1443" i="2"/>
  <c r="V1443" i="2"/>
  <c r="W1368" i="2"/>
  <c r="V1368" i="2"/>
  <c r="W992" i="2"/>
  <c r="V992" i="2"/>
  <c r="W608" i="2"/>
  <c r="V608" i="2"/>
  <c r="W548" i="2"/>
  <c r="V548" i="2"/>
  <c r="W502" i="2"/>
  <c r="V502" i="2"/>
  <c r="W284" i="2"/>
  <c r="V284" i="2"/>
  <c r="W1894" i="2"/>
  <c r="V1894" i="2"/>
  <c r="W1477" i="2"/>
  <c r="V1477" i="2"/>
  <c r="W1392" i="2"/>
  <c r="V1392" i="2"/>
  <c r="W1249" i="2"/>
  <c r="V1249" i="2"/>
  <c r="W531" i="2"/>
  <c r="V531" i="2"/>
  <c r="W451" i="2"/>
  <c r="V451" i="2"/>
  <c r="W387" i="2"/>
  <c r="V387" i="2"/>
  <c r="W364" i="2"/>
  <c r="V364" i="2"/>
  <c r="W363" i="2"/>
  <c r="V363" i="2"/>
  <c r="W1978" i="2"/>
  <c r="V1978" i="2"/>
  <c r="W1041" i="2"/>
  <c r="V1041" i="2"/>
  <c r="W838" i="2"/>
  <c r="V838" i="2"/>
  <c r="W230" i="2"/>
  <c r="V230" i="2"/>
  <c r="W171" i="2"/>
  <c r="V171" i="2"/>
  <c r="W2401" i="2"/>
  <c r="V2401" i="2"/>
  <c r="W2011" i="2"/>
  <c r="V2011" i="2"/>
  <c r="W1742" i="2"/>
  <c r="V1742" i="2"/>
  <c r="W1572" i="2"/>
  <c r="V1572" i="2"/>
  <c r="W1302" i="2"/>
  <c r="V1302" i="2"/>
  <c r="W873" i="2"/>
  <c r="V873" i="2"/>
  <c r="W153" i="2"/>
  <c r="V153" i="2"/>
  <c r="W40" i="2"/>
  <c r="V40" i="2"/>
  <c r="W1913" i="2"/>
  <c r="V1913" i="2"/>
  <c r="W1852" i="2"/>
  <c r="V1852" i="2"/>
  <c r="W1649" i="2"/>
  <c r="V1649" i="2"/>
  <c r="W1619" i="2"/>
  <c r="V1619" i="2"/>
  <c r="W1550" i="2"/>
  <c r="V1550" i="2"/>
  <c r="W1367" i="2"/>
  <c r="V1367" i="2"/>
  <c r="W1119" i="2"/>
  <c r="V1119" i="2"/>
  <c r="W1077" i="2"/>
  <c r="V1077" i="2"/>
  <c r="W1069" i="2"/>
  <c r="V1069" i="2"/>
  <c r="W1070" i="2"/>
  <c r="V1070" i="2"/>
  <c r="W1050" i="2"/>
  <c r="V1050" i="2"/>
  <c r="W597" i="2"/>
  <c r="V597" i="2"/>
  <c r="W527" i="2"/>
  <c r="V527" i="2"/>
  <c r="W218" i="2"/>
  <c r="V218" i="2"/>
  <c r="W213" i="2"/>
  <c r="V213" i="2"/>
  <c r="W47" i="2"/>
  <c r="V47" i="2"/>
  <c r="W1995" i="2"/>
  <c r="V1995" i="2"/>
  <c r="W1792" i="2"/>
  <c r="V1792" i="2"/>
  <c r="W1562" i="2"/>
  <c r="V1562" i="2"/>
  <c r="W2741" i="2"/>
  <c r="V2741" i="2"/>
  <c r="W2669" i="2"/>
  <c r="V2669" i="2"/>
  <c r="W2526" i="2"/>
  <c r="V2526" i="2"/>
  <c r="W2504" i="2"/>
  <c r="V2504" i="2"/>
  <c r="W2425" i="2"/>
  <c r="V2425" i="2"/>
  <c r="W2394" i="2"/>
  <c r="V2394" i="2"/>
  <c r="W2240" i="2"/>
  <c r="V2240" i="2"/>
  <c r="W1864" i="2"/>
  <c r="V1864" i="2"/>
  <c r="W1851" i="2"/>
  <c r="V1851" i="2"/>
  <c r="W1533" i="2"/>
  <c r="V1533" i="2"/>
  <c r="W1508" i="2"/>
  <c r="V1508" i="2"/>
  <c r="W1404" i="2"/>
  <c r="V1404" i="2"/>
  <c r="W1155" i="2"/>
  <c r="V1155" i="2"/>
  <c r="W1081" i="2"/>
  <c r="V1081" i="2"/>
  <c r="W811" i="2"/>
  <c r="V811" i="2"/>
  <c r="W574" i="2"/>
  <c r="V574" i="2"/>
  <c r="W547" i="2"/>
  <c r="V547" i="2"/>
  <c r="W470" i="2"/>
  <c r="V470" i="2"/>
  <c r="W293" i="2"/>
  <c r="V293" i="2"/>
  <c r="W205" i="2"/>
  <c r="V205" i="2"/>
  <c r="W134" i="2"/>
  <c r="V134" i="2"/>
  <c r="W91" i="2"/>
  <c r="V91" i="2"/>
  <c r="W1863" i="2"/>
  <c r="V1863" i="2"/>
  <c r="W1598" i="2"/>
  <c r="V1598" i="2"/>
  <c r="W1549" i="2"/>
  <c r="V1549" i="2"/>
  <c r="W1311" i="2"/>
  <c r="V1311" i="2"/>
  <c r="W1115" i="2"/>
  <c r="V1115" i="2"/>
  <c r="W810" i="2"/>
  <c r="V810" i="2"/>
  <c r="W633" i="2"/>
  <c r="V633" i="2"/>
  <c r="W403" i="2"/>
  <c r="V403" i="2"/>
  <c r="W32" i="2"/>
  <c r="V32" i="2"/>
  <c r="W2261" i="2"/>
  <c r="V2261" i="2"/>
  <c r="W2050" i="2"/>
  <c r="V2050" i="2"/>
  <c r="W1204" i="2"/>
  <c r="V1204" i="2"/>
  <c r="W975" i="2"/>
  <c r="V975" i="2"/>
  <c r="W932" i="2"/>
  <c r="V932" i="2"/>
  <c r="W283" i="2"/>
  <c r="V283" i="2"/>
  <c r="W2729" i="2"/>
  <c r="V2729" i="2"/>
  <c r="W2727" i="2"/>
  <c r="V2727" i="2"/>
  <c r="W2413" i="2"/>
  <c r="V2413" i="2"/>
  <c r="W1856" i="2"/>
  <c r="V1856" i="2"/>
  <c r="W1679" i="2"/>
  <c r="V1679" i="2"/>
  <c r="W1453" i="2"/>
  <c r="V1453" i="2"/>
  <c r="W1476" i="2"/>
  <c r="V1476" i="2"/>
  <c r="W1424" i="2"/>
  <c r="V1424" i="2"/>
  <c r="W1271" i="2"/>
  <c r="V1271" i="2"/>
  <c r="W1031" i="2"/>
  <c r="V1031" i="2"/>
  <c r="W1040" i="2"/>
  <c r="V1040" i="2"/>
  <c r="W712" i="2"/>
  <c r="V712" i="2"/>
  <c r="W329" i="2"/>
  <c r="V329" i="2"/>
  <c r="W256" i="2"/>
  <c r="V256" i="2"/>
  <c r="W1546" i="2"/>
  <c r="V1546" i="2"/>
  <c r="W1457" i="2"/>
  <c r="V1457" i="2"/>
  <c r="W1475" i="2"/>
  <c r="V1475" i="2"/>
  <c r="W1221" i="2"/>
  <c r="V1221" i="2"/>
  <c r="W1175" i="2"/>
  <c r="V1175" i="2"/>
  <c r="W1154" i="2"/>
  <c r="V1154" i="2"/>
  <c r="W660" i="2"/>
  <c r="V660" i="2"/>
  <c r="W632" i="2"/>
  <c r="V632" i="2"/>
  <c r="W482" i="2"/>
  <c r="V482" i="2"/>
  <c r="W1254" i="2"/>
  <c r="V1254" i="2"/>
  <c r="W1030" i="2"/>
  <c r="V1030" i="2"/>
  <c r="W394" i="2"/>
  <c r="V394" i="2"/>
  <c r="W55" i="2"/>
  <c r="V55" i="2"/>
  <c r="W37" i="2"/>
  <c r="V37" i="2"/>
  <c r="W9" i="2"/>
  <c r="V9" i="2"/>
  <c r="W2470" i="2"/>
  <c r="V2470" i="2"/>
  <c r="W1462" i="2"/>
  <c r="V1462" i="2"/>
  <c r="W1258" i="2"/>
  <c r="V1258" i="2"/>
  <c r="W1118" i="2"/>
  <c r="V1118" i="2"/>
  <c r="W297" i="2"/>
  <c r="V297" i="2"/>
  <c r="W84" i="2"/>
  <c r="V84" i="2"/>
  <c r="W2495" i="2"/>
  <c r="V2495" i="2"/>
  <c r="W2380" i="2"/>
  <c r="V2380" i="2"/>
  <c r="W2069" i="2"/>
  <c r="V2069" i="2"/>
  <c r="W303" i="2"/>
  <c r="V303" i="2"/>
  <c r="W204" i="2"/>
  <c r="V204" i="2"/>
  <c r="W157" i="2"/>
  <c r="V157" i="2"/>
  <c r="W146" i="2"/>
  <c r="V146" i="2"/>
  <c r="W1557" i="2"/>
  <c r="V1557" i="2"/>
  <c r="W122" i="2"/>
  <c r="V122" i="2"/>
  <c r="W546" i="2"/>
  <c r="V546" i="2"/>
  <c r="W265" i="2"/>
  <c r="V265" i="2"/>
  <c r="W2517" i="2"/>
  <c r="V2517" i="2"/>
  <c r="W2372" i="2"/>
  <c r="V2372" i="2"/>
  <c r="W1981" i="2"/>
  <c r="V1981" i="2"/>
  <c r="W1977" i="2"/>
  <c r="V1977" i="2"/>
  <c r="W1830" i="2"/>
  <c r="V1830" i="2"/>
  <c r="W1818" i="2"/>
  <c r="V1818" i="2"/>
  <c r="W1545" i="2"/>
  <c r="V1545" i="2"/>
  <c r="W1403" i="2"/>
  <c r="V1403" i="2"/>
  <c r="W1310" i="2"/>
  <c r="V1310" i="2"/>
  <c r="W1193" i="2"/>
  <c r="V1193" i="2"/>
  <c r="W771" i="2"/>
  <c r="V771" i="2"/>
  <c r="W450" i="2"/>
  <c r="V450" i="2"/>
  <c r="W132" i="2"/>
  <c r="V132" i="2"/>
  <c r="W66" i="2"/>
  <c r="V66" i="2"/>
  <c r="W1829" i="2"/>
  <c r="V1829" i="2"/>
  <c r="W1278" i="2"/>
  <c r="V1278" i="2"/>
  <c r="W912" i="2"/>
  <c r="V912" i="2"/>
  <c r="W110" i="2"/>
  <c r="V110" i="2"/>
  <c r="W33" i="2"/>
  <c r="V33" i="2"/>
  <c r="W2694" i="2"/>
  <c r="V2694" i="2"/>
  <c r="W2692" i="2"/>
  <c r="V2692" i="2"/>
  <c r="W2690" i="2"/>
  <c r="V2690" i="2"/>
  <c r="W2682" i="2"/>
  <c r="V2682" i="2"/>
  <c r="W2677" i="2"/>
  <c r="V2677" i="2"/>
  <c r="W2676" i="2"/>
  <c r="V2676" i="2"/>
  <c r="W2673" i="2"/>
  <c r="V2673" i="2"/>
  <c r="W2431" i="2"/>
  <c r="V2431" i="2"/>
  <c r="W2337" i="2"/>
  <c r="V2337" i="2"/>
  <c r="W1888" i="2"/>
  <c r="V1888" i="2"/>
  <c r="W1805" i="2"/>
  <c r="V1805" i="2"/>
  <c r="W1521" i="2"/>
  <c r="V1521" i="2"/>
  <c r="W1335" i="2"/>
  <c r="V1335" i="2"/>
  <c r="W914" i="2"/>
  <c r="V914" i="2"/>
  <c r="W579" i="2"/>
  <c r="V579" i="2"/>
  <c r="W313" i="2"/>
  <c r="V313" i="2"/>
  <c r="W249" i="2"/>
  <c r="V249" i="2"/>
  <c r="W90" i="2"/>
  <c r="V90" i="2"/>
  <c r="W2399" i="2"/>
  <c r="V2399" i="2"/>
  <c r="W941" i="2"/>
  <c r="V941" i="2"/>
  <c r="W488" i="2"/>
  <c r="V488" i="2"/>
  <c r="W432" i="2"/>
  <c r="V432" i="2"/>
  <c r="W2544" i="2"/>
  <c r="V2544" i="2"/>
  <c r="W2084" i="2"/>
  <c r="V2084" i="2"/>
  <c r="W1328" i="2"/>
  <c r="V1328" i="2"/>
  <c r="W1307" i="2"/>
  <c r="V1307" i="2"/>
  <c r="W1203" i="2"/>
  <c r="V1203" i="2"/>
  <c r="W54" i="2"/>
  <c r="V54" i="2"/>
  <c r="W2733" i="2"/>
  <c r="V2733" i="2"/>
  <c r="W2660" i="2"/>
  <c r="V2660" i="2"/>
  <c r="W2302" i="2"/>
  <c r="V2302" i="2"/>
  <c r="W2234" i="2"/>
  <c r="V2234" i="2"/>
  <c r="W1882" i="2"/>
  <c r="V1882" i="2"/>
  <c r="W1764" i="2"/>
  <c r="V1764" i="2"/>
  <c r="W1708" i="2"/>
  <c r="V1708" i="2"/>
  <c r="W1049" i="2"/>
  <c r="V1049" i="2"/>
  <c r="W837" i="2"/>
  <c r="V837" i="2"/>
  <c r="W193" i="2"/>
  <c r="V193" i="2"/>
  <c r="W114" i="2"/>
  <c r="V114" i="2"/>
  <c r="W83" i="2"/>
  <c r="V83" i="2"/>
  <c r="W2737" i="2"/>
  <c r="V2737" i="2"/>
  <c r="W2252" i="2"/>
  <c r="V2252" i="2"/>
  <c r="W1985" i="2"/>
  <c r="V1985" i="2"/>
  <c r="W1544" i="2"/>
  <c r="V1544" i="2"/>
  <c r="W1218" i="2"/>
  <c r="V1218" i="2"/>
  <c r="W946" i="2"/>
  <c r="V946" i="2"/>
  <c r="W782" i="2"/>
  <c r="V782" i="2"/>
  <c r="W576" i="2"/>
  <c r="V576" i="2"/>
  <c r="W515" i="2"/>
  <c r="V515" i="2"/>
  <c r="W449" i="2"/>
  <c r="V449" i="2"/>
  <c r="W203" i="2"/>
  <c r="V203" i="2"/>
  <c r="W2582" i="2"/>
  <c r="V2582" i="2"/>
  <c r="W2003" i="2"/>
  <c r="V2003" i="2"/>
  <c r="W1884" i="2"/>
  <c r="V1884" i="2"/>
  <c r="W1174" i="2"/>
  <c r="V1174" i="2"/>
  <c r="W1067" i="2"/>
  <c r="V1067" i="2"/>
  <c r="W961" i="2"/>
  <c r="V961" i="2"/>
  <c r="W532" i="2"/>
  <c r="V532" i="2"/>
  <c r="W411" i="2"/>
  <c r="V411" i="2"/>
  <c r="W185" i="2"/>
  <c r="V185" i="2"/>
  <c r="W1950" i="2"/>
  <c r="V1950" i="2"/>
  <c r="W1763" i="2"/>
  <c r="V1763" i="2"/>
  <c r="W1277" i="2"/>
  <c r="V1277" i="2"/>
  <c r="W1025" i="2"/>
  <c r="V1025" i="2"/>
  <c r="W995" i="2"/>
  <c r="V995" i="2"/>
  <c r="W631" i="2"/>
  <c r="V631" i="2"/>
  <c r="W1561" i="2"/>
  <c r="V1561" i="2"/>
  <c r="W104" i="2"/>
  <c r="V104" i="2"/>
  <c r="W1178" i="2"/>
  <c r="V1178" i="2"/>
  <c r="W352" i="2"/>
  <c r="V352" i="2"/>
  <c r="W770" i="2"/>
  <c r="V770" i="2"/>
  <c r="W2699" i="2"/>
  <c r="V2699" i="2"/>
  <c r="W2513" i="2"/>
  <c r="V2513" i="2"/>
  <c r="W2297" i="2"/>
  <c r="V2297" i="2"/>
  <c r="W2077" i="2"/>
  <c r="V2077" i="2"/>
  <c r="W1898" i="2"/>
  <c r="V1898" i="2"/>
  <c r="W1799" i="2"/>
  <c r="V1799" i="2"/>
  <c r="W1663" i="2"/>
  <c r="V1663" i="2"/>
  <c r="W1503" i="2"/>
  <c r="V1503" i="2"/>
  <c r="W1234" i="2"/>
  <c r="V1234" i="2"/>
  <c r="W1048" i="2"/>
  <c r="V1048" i="2"/>
  <c r="W905" i="2"/>
  <c r="V905" i="2"/>
  <c r="W738" i="2"/>
  <c r="V738" i="2"/>
  <c r="W588" i="2"/>
  <c r="V588" i="2"/>
  <c r="W393" i="2"/>
  <c r="V393" i="2"/>
  <c r="W140" i="2"/>
  <c r="V140" i="2"/>
  <c r="W142" i="2"/>
  <c r="V142" i="2"/>
  <c r="W2530" i="2"/>
  <c r="V2530" i="2"/>
  <c r="W2465" i="2"/>
  <c r="V2465" i="2"/>
  <c r="W2412" i="2"/>
  <c r="V2412" i="2"/>
  <c r="W1828" i="2"/>
  <c r="V1828" i="2"/>
  <c r="W1817" i="2"/>
  <c r="V1817" i="2"/>
  <c r="W1787" i="2"/>
  <c r="V1787" i="2"/>
  <c r="W1673" i="2"/>
  <c r="V1673" i="2"/>
  <c r="W1548" i="2"/>
  <c r="V1548" i="2"/>
  <c r="W1518" i="2"/>
  <c r="V1518" i="2"/>
  <c r="W1532" i="2"/>
  <c r="V1532" i="2"/>
  <c r="W943" i="2"/>
  <c r="V943" i="2"/>
  <c r="W613" i="2"/>
  <c r="V613" i="2"/>
  <c r="W2620" i="2"/>
  <c r="V2620" i="2"/>
  <c r="W2450" i="2"/>
  <c r="V2450" i="2"/>
  <c r="W2301" i="2"/>
  <c r="V2301" i="2"/>
  <c r="W2260" i="2"/>
  <c r="V2260" i="2"/>
  <c r="W2249" i="2"/>
  <c r="V2249" i="2"/>
  <c r="W2083" i="2"/>
  <c r="V2083" i="2"/>
  <c r="W2030" i="2"/>
  <c r="V2030" i="2"/>
  <c r="W1956" i="2"/>
  <c r="V1956" i="2"/>
  <c r="W1064" i="2"/>
  <c r="V1064" i="2"/>
  <c r="W759" i="2"/>
  <c r="V759" i="2"/>
  <c r="W530" i="2"/>
  <c r="V530" i="2"/>
  <c r="W439" i="2"/>
  <c r="V439" i="2"/>
  <c r="W294" i="2"/>
  <c r="V294" i="2"/>
  <c r="W1816" i="2"/>
  <c r="V1816" i="2"/>
  <c r="W1597" i="2"/>
  <c r="V1597" i="2"/>
  <c r="W1596" i="2"/>
  <c r="V1596" i="2"/>
  <c r="W1230" i="2"/>
  <c r="V1230" i="2"/>
  <c r="W2718" i="2"/>
  <c r="V2718" i="2"/>
  <c r="W1573" i="2"/>
  <c r="V1573" i="2"/>
  <c r="W1323" i="2"/>
  <c r="V1323" i="2"/>
  <c r="W653" i="2"/>
  <c r="V653" i="2"/>
  <c r="W57" i="2"/>
  <c r="V57" i="2"/>
  <c r="W2248" i="2"/>
  <c r="V2248" i="2"/>
  <c r="W1442" i="2"/>
  <c r="V1442" i="2"/>
  <c r="W1270" i="2"/>
  <c r="V1270" i="2"/>
  <c r="W1137" i="2"/>
  <c r="V1137" i="2"/>
  <c r="W1039" i="2"/>
  <c r="V1039" i="2"/>
  <c r="W1015" i="2"/>
  <c r="V1015" i="2"/>
  <c r="W902" i="2"/>
  <c r="V902" i="2"/>
  <c r="W801" i="2"/>
  <c r="V801" i="2"/>
  <c r="W2485" i="2"/>
  <c r="V2485" i="2"/>
  <c r="W2282" i="2"/>
  <c r="V2282" i="2"/>
  <c r="W1531" i="2"/>
  <c r="V1531" i="2"/>
  <c r="W1136" i="2"/>
  <c r="V1136" i="2"/>
  <c r="W971" i="2"/>
  <c r="V971" i="2"/>
  <c r="W756" i="2"/>
  <c r="V756" i="2"/>
  <c r="W737" i="2"/>
  <c r="V737" i="2"/>
  <c r="W591" i="2"/>
  <c r="V591" i="2"/>
  <c r="W590" i="2"/>
  <c r="V590" i="2"/>
  <c r="W332" i="2"/>
  <c r="V332" i="2"/>
  <c r="W2335" i="2"/>
  <c r="V2335" i="2"/>
  <c r="W2270" i="2"/>
  <c r="V2270" i="2"/>
  <c r="W2010" i="2"/>
  <c r="V2010" i="2"/>
  <c r="W1418" i="2"/>
  <c r="V1418" i="2"/>
  <c r="W1345" i="2"/>
  <c r="V1345" i="2"/>
  <c r="W1253" i="2"/>
  <c r="V1253" i="2"/>
  <c r="W1220" i="2"/>
  <c r="V1220" i="2"/>
  <c r="W1146" i="2"/>
  <c r="V1146" i="2"/>
  <c r="W836" i="2"/>
  <c r="V836" i="2"/>
  <c r="W788" i="2"/>
  <c r="V788" i="2"/>
  <c r="W704" i="2"/>
  <c r="V704" i="2"/>
  <c r="W545" i="2"/>
  <c r="V545" i="2"/>
  <c r="W289" i="2"/>
  <c r="V289" i="2"/>
  <c r="W2746" i="2"/>
  <c r="V2746" i="2"/>
  <c r="W2610" i="2"/>
  <c r="V2610" i="2"/>
  <c r="W1944" i="2"/>
  <c r="V1944" i="2"/>
  <c r="W1630" i="2"/>
  <c r="V1630" i="2"/>
  <c r="W1578" i="2"/>
  <c r="V1578" i="2"/>
  <c r="W1456" i="2"/>
  <c r="V1456" i="2"/>
  <c r="W1276" i="2"/>
  <c r="V1276" i="2"/>
  <c r="W448" i="2"/>
  <c r="V448" i="2"/>
  <c r="W296" i="2"/>
  <c r="V296" i="2"/>
  <c r="W2522" i="2"/>
  <c r="V2522" i="2"/>
  <c r="W1815" i="2"/>
  <c r="V1815" i="2"/>
  <c r="W1344" i="2"/>
  <c r="V1344" i="2"/>
  <c r="W1100" i="2"/>
  <c r="V1100" i="2"/>
  <c r="W1072" i="2"/>
  <c r="V1072" i="2"/>
  <c r="W713" i="2"/>
  <c r="V713" i="2"/>
  <c r="W694" i="2"/>
  <c r="V694" i="2"/>
  <c r="W5" i="2"/>
  <c r="V5" i="2"/>
  <c r="W2648" i="2"/>
  <c r="V2648" i="2"/>
  <c r="W2540" i="2"/>
  <c r="V2540" i="2"/>
  <c r="W2049" i="2"/>
  <c r="V2049" i="2"/>
  <c r="W2028" i="2"/>
  <c r="V2028" i="2"/>
  <c r="W1814" i="2"/>
  <c r="V1814" i="2"/>
  <c r="W1095" i="2"/>
  <c r="V1095" i="2"/>
  <c r="W184" i="2"/>
  <c r="V184" i="2"/>
  <c r="W2572" i="2"/>
  <c r="V2572" i="2"/>
  <c r="W1924" i="2"/>
  <c r="V1924" i="2"/>
  <c r="W1757" i="2"/>
  <c r="V1757" i="2"/>
  <c r="W1648" i="2"/>
  <c r="V1648" i="2"/>
  <c r="W1474" i="2"/>
  <c r="V1474" i="2"/>
  <c r="W827" i="2"/>
  <c r="V827" i="2"/>
  <c r="W484" i="2"/>
  <c r="V484" i="2"/>
  <c r="W170" i="2"/>
  <c r="V170" i="2"/>
  <c r="W65" i="2"/>
  <c r="V65" i="2"/>
  <c r="W2577" i="2"/>
  <c r="V2577" i="2"/>
  <c r="W1973" i="2"/>
  <c r="V1973" i="2"/>
  <c r="W1912" i="2"/>
  <c r="V1912" i="2"/>
  <c r="W1556" i="2"/>
  <c r="V1556" i="2"/>
  <c r="W1502" i="2"/>
  <c r="V1502" i="2"/>
  <c r="W1468" i="2"/>
  <c r="V1468" i="2"/>
  <c r="W890" i="2"/>
  <c r="V890" i="2"/>
  <c r="W630" i="2"/>
  <c r="V630" i="2"/>
  <c r="W331" i="2"/>
  <c r="V331" i="2"/>
  <c r="W56" i="2"/>
  <c r="V56" i="2"/>
  <c r="W2634" i="2"/>
  <c r="V2634" i="2"/>
  <c r="W2598" i="2"/>
  <c r="V2598" i="2"/>
  <c r="W2602" i="2"/>
  <c r="V2602" i="2"/>
  <c r="W2336" i="2"/>
  <c r="V2336" i="2"/>
  <c r="W986" i="2"/>
  <c r="V986" i="2"/>
  <c r="W907" i="2"/>
  <c r="V907" i="2"/>
  <c r="W792" i="2"/>
  <c r="V792" i="2"/>
  <c r="W659" i="2"/>
  <c r="V659" i="2"/>
  <c r="W508" i="2"/>
  <c r="V508" i="2"/>
  <c r="W2403" i="2"/>
  <c r="V2403" i="2"/>
  <c r="W2216" i="2"/>
  <c r="V2216" i="2"/>
  <c r="W2048" i="2"/>
  <c r="V2048" i="2"/>
  <c r="W1971" i="2"/>
  <c r="V1971" i="2"/>
  <c r="W1306" i="2"/>
  <c r="V1306" i="2"/>
  <c r="W725" i="2"/>
  <c r="V725" i="2"/>
  <c r="W544" i="2"/>
  <c r="V544" i="2"/>
  <c r="W513" i="2"/>
  <c r="V513" i="2"/>
  <c r="W406" i="2"/>
  <c r="V406" i="2"/>
  <c r="W1911" i="2"/>
  <c r="V1911" i="2"/>
  <c r="W2597" i="2"/>
  <c r="V2597" i="2"/>
  <c r="W2592" i="2"/>
  <c r="V2592" i="2"/>
  <c r="W1295" i="2"/>
  <c r="V1295" i="2"/>
  <c r="W1294" i="2"/>
  <c r="V1294" i="2"/>
  <c r="W1263" i="2"/>
  <c r="V1263" i="2"/>
  <c r="W1252" i="2"/>
  <c r="V1252" i="2"/>
  <c r="W1219" i="2"/>
  <c r="V1219" i="2"/>
  <c r="W945" i="2"/>
  <c r="V945" i="2"/>
  <c r="W573" i="2"/>
  <c r="V573" i="2"/>
  <c r="W2435" i="2"/>
  <c r="V2435" i="2"/>
  <c r="W2434" i="2"/>
  <c r="V2434" i="2"/>
  <c r="W2358" i="2"/>
  <c r="V2358" i="2"/>
  <c r="W1617" i="2"/>
  <c r="V1617" i="2"/>
  <c r="W1613" i="2"/>
  <c r="V1613" i="2"/>
  <c r="W1113" i="2"/>
  <c r="V1113" i="2"/>
  <c r="W1005" i="2"/>
  <c r="V1005" i="2"/>
  <c r="W926" i="2"/>
  <c r="V926" i="2"/>
  <c r="W835" i="2"/>
  <c r="V835" i="2"/>
  <c r="W70" i="2"/>
  <c r="V70" i="2"/>
  <c r="W2576" i="2"/>
  <c r="V2576" i="2"/>
  <c r="W2437" i="2"/>
  <c r="V2437" i="2"/>
  <c r="W2211" i="2"/>
  <c r="V2211" i="2"/>
  <c r="W2134" i="2"/>
  <c r="V2134" i="2"/>
  <c r="W1962" i="2"/>
  <c r="V1962" i="2"/>
  <c r="W1047" i="2"/>
  <c r="V1047" i="2"/>
  <c r="W438" i="2"/>
  <c r="V438" i="2"/>
  <c r="W241" i="2"/>
  <c r="V241" i="2"/>
  <c r="W2503" i="2"/>
  <c r="V2503" i="2"/>
  <c r="W2482" i="2"/>
  <c r="V2482" i="2"/>
  <c r="W2152" i="2"/>
  <c r="V2152" i="2"/>
  <c r="W1887" i="2"/>
  <c r="V1887" i="2"/>
  <c r="W1528" i="2"/>
  <c r="V1528" i="2"/>
  <c r="W1702" i="2"/>
  <c r="V1702" i="2"/>
  <c r="W1595" i="2"/>
  <c r="V1595" i="2"/>
  <c r="W2286" i="2"/>
  <c r="V2286" i="2"/>
  <c r="W1910" i="2"/>
  <c r="V1910" i="2"/>
  <c r="W940" i="2"/>
  <c r="V940" i="2"/>
  <c r="W248" i="2"/>
  <c r="V248" i="2"/>
  <c r="W2668" i="2"/>
  <c r="V2668" i="2"/>
  <c r="W2654" i="2"/>
  <c r="V2654" i="2"/>
  <c r="W2500" i="2"/>
  <c r="V2500" i="2"/>
  <c r="W2472" i="2"/>
  <c r="V2472" i="2"/>
  <c r="W2274" i="2"/>
  <c r="V2274" i="2"/>
  <c r="W1976" i="2"/>
  <c r="V1976" i="2"/>
  <c r="W1886" i="2"/>
  <c r="V1886" i="2"/>
  <c r="W1850" i="2"/>
  <c r="V1850" i="2"/>
  <c r="W1707" i="2"/>
  <c r="V1707" i="2"/>
  <c r="W1684" i="2"/>
  <c r="V1684" i="2"/>
  <c r="W1665" i="2"/>
  <c r="V1665" i="2"/>
  <c r="W1594" i="2"/>
  <c r="V1594" i="2"/>
  <c r="W1202" i="2"/>
  <c r="V1202" i="2"/>
  <c r="W1014" i="2"/>
  <c r="V1014" i="2"/>
  <c r="W693" i="2"/>
  <c r="V693" i="2"/>
  <c r="W355" i="2"/>
  <c r="V355" i="2"/>
  <c r="W189" i="2"/>
  <c r="V189" i="2"/>
  <c r="W92" i="2"/>
  <c r="V92" i="2"/>
  <c r="W76" i="2"/>
  <c r="V76" i="2"/>
  <c r="W8" i="2"/>
  <c r="V8" i="2"/>
  <c r="W2664" i="2"/>
  <c r="V2664" i="2"/>
  <c r="W2405" i="2"/>
  <c r="V2405" i="2"/>
  <c r="W2247" i="2"/>
  <c r="V2247" i="2"/>
  <c r="W2106" i="2"/>
  <c r="V2106" i="2"/>
  <c r="W1777" i="2"/>
  <c r="V1777" i="2"/>
  <c r="W1473" i="2"/>
  <c r="V1473" i="2"/>
  <c r="W1452" i="2"/>
  <c r="V1452" i="2"/>
  <c r="W1246" i="2"/>
  <c r="V1246" i="2"/>
  <c r="W929" i="2"/>
  <c r="V929" i="2"/>
  <c r="W870" i="2"/>
  <c r="V870" i="2"/>
  <c r="W629" i="2"/>
  <c r="V629" i="2"/>
  <c r="W447" i="2"/>
  <c r="V447" i="2"/>
  <c r="W89" i="2"/>
  <c r="V89" i="2"/>
  <c r="W68" i="2"/>
  <c r="V68" i="2"/>
  <c r="W36" i="2"/>
  <c r="V36" i="2"/>
  <c r="W2039" i="2"/>
  <c r="V2039" i="2"/>
  <c r="W1862" i="2"/>
  <c r="V1862" i="2"/>
  <c r="W1772" i="2"/>
  <c r="V1772" i="2"/>
  <c r="W1046" i="2"/>
  <c r="V1046" i="2"/>
  <c r="W581" i="2"/>
  <c r="V581" i="2"/>
  <c r="W155" i="2"/>
  <c r="V155" i="2"/>
  <c r="W144" i="2"/>
  <c r="V144" i="2"/>
  <c r="W2509" i="2"/>
  <c r="V2509" i="2"/>
  <c r="W2356" i="2"/>
  <c r="V2356" i="2"/>
  <c r="W2296" i="2"/>
  <c r="V2296" i="2"/>
  <c r="W1975" i="2"/>
  <c r="V1975" i="2"/>
  <c r="W1467" i="2"/>
  <c r="V1467" i="2"/>
  <c r="W1201" i="2"/>
  <c r="V1201" i="2"/>
  <c r="W1045" i="2"/>
  <c r="V1045" i="2"/>
  <c r="W408" i="2"/>
  <c r="V408" i="2"/>
  <c r="W79" i="2"/>
  <c r="V79" i="2"/>
  <c r="W2596" i="2"/>
  <c r="V2596" i="2"/>
  <c r="W2223" i="2"/>
  <c r="V2223" i="2"/>
  <c r="W2170" i="2"/>
  <c r="V2170" i="2"/>
  <c r="W1374" i="2"/>
  <c r="V1374" i="2"/>
  <c r="W1343" i="2"/>
  <c r="V1343" i="2"/>
  <c r="W781" i="2"/>
  <c r="V781" i="2"/>
  <c r="W628" i="2"/>
  <c r="V628" i="2"/>
  <c r="W264" i="2"/>
  <c r="V264" i="2"/>
  <c r="W82" i="2"/>
  <c r="V82" i="2"/>
  <c r="W2457" i="2"/>
  <c r="V2457" i="2"/>
  <c r="W2210" i="2"/>
  <c r="V2210" i="2"/>
  <c r="W2186" i="2"/>
  <c r="V2186" i="2"/>
  <c r="W2147" i="2"/>
  <c r="V2147" i="2"/>
  <c r="W1472" i="2"/>
  <c r="V1472" i="2"/>
  <c r="W1088" i="2"/>
  <c r="V1088" i="2"/>
  <c r="W882" i="2"/>
  <c r="V882" i="2"/>
  <c r="W872" i="2"/>
  <c r="V872" i="2"/>
  <c r="W103" i="2"/>
  <c r="V103" i="2"/>
  <c r="W78" i="2"/>
  <c r="V78" i="2"/>
  <c r="W50" i="2"/>
  <c r="V50" i="2"/>
  <c r="W2581" i="2"/>
  <c r="V2581" i="2"/>
  <c r="W2563" i="2"/>
  <c r="V2563" i="2"/>
  <c r="W2484" i="2"/>
  <c r="V2484" i="2"/>
  <c r="W2146" i="2"/>
  <c r="V2146" i="2"/>
  <c r="W2076" i="2"/>
  <c r="V2076" i="2"/>
  <c r="W1948" i="2"/>
  <c r="V1948" i="2"/>
  <c r="W1334" i="2"/>
  <c r="V1334" i="2"/>
  <c r="W1269" i="2"/>
  <c r="V1269" i="2"/>
  <c r="W1200" i="2"/>
  <c r="V1200" i="2"/>
  <c r="W1199" i="2"/>
  <c r="V1199" i="2"/>
  <c r="W976" i="2"/>
  <c r="V976" i="2"/>
  <c r="W834" i="2"/>
  <c r="V834" i="2"/>
  <c r="W692" i="2"/>
  <c r="V692" i="2"/>
  <c r="W2033" i="2"/>
  <c r="V2033" i="2"/>
  <c r="W1633" i="2"/>
  <c r="V1633" i="2"/>
  <c r="W1420" i="2"/>
  <c r="V1420" i="2"/>
  <c r="W1241" i="2"/>
  <c r="V1241" i="2"/>
  <c r="W1135" i="2"/>
  <c r="V1135" i="2"/>
  <c r="W596" i="2"/>
  <c r="V596" i="2"/>
  <c r="W121" i="2"/>
  <c r="V121" i="2"/>
  <c r="W28" i="2"/>
  <c r="V28" i="2"/>
  <c r="W1577" i="2"/>
  <c r="V1577" i="2"/>
  <c r="W2469" i="2"/>
  <c r="V2469" i="2"/>
  <c r="W2420" i="2"/>
  <c r="V2420" i="2"/>
  <c r="W2009" i="2"/>
  <c r="V2009" i="2"/>
  <c r="W1618" i="2"/>
  <c r="V1618" i="2"/>
  <c r="W1021" i="2"/>
  <c r="V1021" i="2"/>
  <c r="W969" i="2"/>
  <c r="V969" i="2"/>
  <c r="W673" i="2"/>
  <c r="V673" i="2"/>
  <c r="W507" i="2"/>
  <c r="V507" i="2"/>
  <c r="W336" i="2"/>
  <c r="V336" i="2"/>
  <c r="W258" i="2"/>
  <c r="V258" i="2"/>
  <c r="W228" i="2"/>
  <c r="V228" i="2"/>
  <c r="W202" i="2"/>
  <c r="V202" i="2"/>
  <c r="W109" i="2"/>
  <c r="V109" i="2"/>
  <c r="W2624" i="2"/>
  <c r="V2624" i="2"/>
  <c r="W2583" i="2"/>
  <c r="V2583" i="2"/>
  <c r="W2575" i="2"/>
  <c r="V2575" i="2"/>
  <c r="W2327" i="2"/>
  <c r="V2327" i="2"/>
  <c r="W2246" i="2"/>
  <c r="V2246" i="2"/>
  <c r="W2075" i="2"/>
  <c r="V2075" i="2"/>
  <c r="W1776" i="2"/>
  <c r="V1776" i="2"/>
  <c r="W446" i="2"/>
  <c r="V446" i="2"/>
  <c r="W298" i="2"/>
  <c r="V298" i="2"/>
  <c r="W217" i="2"/>
  <c r="V217" i="2"/>
  <c r="W164" i="2"/>
  <c r="V164" i="2"/>
  <c r="W1999" i="2"/>
  <c r="V1999" i="2"/>
  <c r="W1647" i="2"/>
  <c r="V1647" i="2"/>
  <c r="W1492" i="2"/>
  <c r="V1492" i="2"/>
  <c r="W1180" i="2"/>
  <c r="V1180" i="2"/>
  <c r="W805" i="2"/>
  <c r="V805" i="2"/>
  <c r="W263" i="2"/>
  <c r="V263" i="2"/>
  <c r="W240" i="2"/>
  <c r="V240" i="2"/>
  <c r="W2612" i="2"/>
  <c r="V2612" i="2"/>
  <c r="W2428" i="2"/>
  <c r="V2428" i="2"/>
  <c r="W1993" i="2"/>
  <c r="V1993" i="2"/>
  <c r="W1992" i="2"/>
  <c r="V1992" i="2"/>
  <c r="W1813" i="2"/>
  <c r="V1813" i="2"/>
  <c r="W1589" i="2"/>
  <c r="V1589" i="2"/>
  <c r="W1471" i="2"/>
  <c r="V1471" i="2"/>
  <c r="W1441" i="2"/>
  <c r="V1441" i="2"/>
  <c r="W1402" i="2"/>
  <c r="V1402" i="2"/>
  <c r="W1000" i="2"/>
  <c r="V1000" i="2"/>
  <c r="W326" i="2"/>
  <c r="V326" i="2"/>
  <c r="W239" i="2"/>
  <c r="V239" i="2"/>
  <c r="W1909" i="2"/>
  <c r="V1909" i="2"/>
  <c r="W1908" i="2"/>
  <c r="V1908" i="2"/>
  <c r="W1696" i="2"/>
  <c r="V1696" i="2"/>
  <c r="W2722" i="2"/>
  <c r="V2722" i="2"/>
  <c r="W2388" i="2"/>
  <c r="V2388" i="2"/>
  <c r="W2164" i="2"/>
  <c r="V2164" i="2"/>
  <c r="W2154" i="2"/>
  <c r="V2154" i="2"/>
  <c r="W647" i="2"/>
  <c r="V647" i="2"/>
  <c r="W646" i="2"/>
  <c r="V646" i="2"/>
  <c r="W469" i="2"/>
  <c r="V469" i="2"/>
  <c r="W2701" i="2"/>
  <c r="V2701" i="2"/>
  <c r="W2636" i="2"/>
  <c r="V2636" i="2"/>
  <c r="W2456" i="2"/>
  <c r="V2456" i="2"/>
  <c r="W2163" i="2"/>
  <c r="V2163" i="2"/>
  <c r="W1996" i="2"/>
  <c r="V1996" i="2"/>
  <c r="W1568" i="2"/>
  <c r="V1568" i="2"/>
  <c r="W506" i="2"/>
  <c r="V506" i="2"/>
  <c r="W468" i="2"/>
  <c r="V468" i="2"/>
  <c r="W2411" i="2"/>
  <c r="V2411" i="2"/>
  <c r="W2322" i="2"/>
  <c r="V2322" i="2"/>
  <c r="W2295" i="2"/>
  <c r="V2295" i="2"/>
  <c r="W1520" i="2"/>
  <c r="V1520" i="2"/>
  <c r="W1451" i="2"/>
  <c r="V1451" i="2"/>
  <c r="W1397" i="2"/>
  <c r="V1397" i="2"/>
  <c r="W41" i="2"/>
  <c r="V41" i="2"/>
  <c r="W2242" i="2"/>
  <c r="V2242" i="2"/>
  <c r="W2627" i="2"/>
  <c r="V2627" i="2"/>
  <c r="W2554" i="2"/>
  <c r="V2554" i="2"/>
  <c r="W2538" i="2"/>
  <c r="V2538" i="2"/>
  <c r="W2449" i="2"/>
  <c r="V2449" i="2"/>
  <c r="W2312" i="2"/>
  <c r="V2312" i="2"/>
  <c r="W2162" i="2"/>
  <c r="V2162" i="2"/>
  <c r="W2082" i="2"/>
  <c r="V2082" i="2"/>
  <c r="W1881" i="2"/>
  <c r="V1881" i="2"/>
  <c r="W1786" i="2"/>
  <c r="V1786" i="2"/>
  <c r="W1746" i="2"/>
  <c r="V1746" i="2"/>
  <c r="W1134" i="2"/>
  <c r="V1134" i="2"/>
  <c r="W2226" i="2"/>
  <c r="V2226" i="2"/>
  <c r="W481" i="2"/>
  <c r="V481" i="2"/>
  <c r="W483" i="2"/>
  <c r="V483" i="2"/>
  <c r="W328" i="2"/>
  <c r="V328" i="2"/>
  <c r="W262" i="2"/>
  <c r="V262" i="2"/>
  <c r="W1961" i="2"/>
  <c r="V1961" i="2"/>
  <c r="W1198" i="2"/>
  <c r="V1198" i="2"/>
  <c r="W2703" i="2"/>
  <c r="V2703" i="2"/>
  <c r="W2619" i="2"/>
  <c r="V2619" i="2"/>
  <c r="W2433" i="2"/>
  <c r="V2433" i="2"/>
  <c r="W2110" i="2"/>
  <c r="V2110" i="2"/>
  <c r="W1959" i="2"/>
  <c r="V1959" i="2"/>
  <c r="W1585" i="2"/>
  <c r="V1585" i="2"/>
  <c r="W833" i="2"/>
  <c r="V833" i="2"/>
  <c r="W261" i="2"/>
  <c r="V261" i="2"/>
  <c r="W2736" i="2"/>
  <c r="V2736" i="2"/>
  <c r="W2647" i="2"/>
  <c r="V2647" i="2"/>
  <c r="W2400" i="2"/>
  <c r="V2400" i="2"/>
  <c r="W2189" i="2"/>
  <c r="V2189" i="2"/>
  <c r="W1983" i="2"/>
  <c r="V1983" i="2"/>
  <c r="W1762" i="2"/>
  <c r="V1762" i="2"/>
  <c r="W1450" i="2"/>
  <c r="V1450" i="2"/>
  <c r="W1342" i="2"/>
  <c r="V1342" i="2"/>
  <c r="W850" i="2"/>
  <c r="V850" i="2"/>
  <c r="W766" i="2"/>
  <c r="V766" i="2"/>
  <c r="W516" i="2"/>
  <c r="V516" i="2"/>
  <c r="W487" i="2"/>
  <c r="V487" i="2"/>
  <c r="W445" i="2"/>
  <c r="V445" i="2"/>
  <c r="W312" i="2"/>
  <c r="V312" i="2"/>
  <c r="W2685" i="2"/>
  <c r="V2685" i="2"/>
  <c r="W2507" i="2"/>
  <c r="V2507" i="2"/>
  <c r="W2481" i="2"/>
  <c r="V2481" i="2"/>
  <c r="W2387" i="2"/>
  <c r="V2387" i="2"/>
  <c r="W2027" i="2"/>
  <c r="V2027" i="2"/>
  <c r="W1849" i="2"/>
  <c r="V1849" i="2"/>
  <c r="W1584" i="2"/>
  <c r="V1584" i="2"/>
  <c r="W1461" i="2"/>
  <c r="V1461" i="2"/>
  <c r="W1292" i="2"/>
  <c r="V1292" i="2"/>
  <c r="W1222" i="2"/>
  <c r="V1222" i="2"/>
  <c r="W1192" i="2"/>
  <c r="V1192" i="2"/>
  <c r="W959" i="2"/>
  <c r="V959" i="2"/>
  <c r="W820" i="2"/>
  <c r="V820" i="2"/>
  <c r="W736" i="2"/>
  <c r="V736" i="2"/>
  <c r="W244" i="2"/>
  <c r="V244" i="2"/>
  <c r="W120" i="2"/>
  <c r="V120" i="2"/>
  <c r="W2644" i="2"/>
  <c r="V2644" i="2"/>
  <c r="W2552" i="2"/>
  <c r="V2552" i="2"/>
  <c r="W2493" i="2"/>
  <c r="V2493" i="2"/>
  <c r="W2112" i="2"/>
  <c r="V2112" i="2"/>
  <c r="W2113" i="2"/>
  <c r="V2113" i="2"/>
  <c r="W1575" i="2"/>
  <c r="V1575" i="2"/>
  <c r="W815" i="2"/>
  <c r="V815" i="2"/>
  <c r="W568" i="2"/>
  <c r="V568" i="2"/>
  <c r="W572" i="2"/>
  <c r="V572" i="2"/>
  <c r="W2494" i="2"/>
  <c r="V2494" i="2"/>
  <c r="W1897" i="2"/>
  <c r="V1897" i="2"/>
  <c r="W1695" i="2"/>
  <c r="V1695" i="2"/>
  <c r="W965" i="2"/>
  <c r="V965" i="2"/>
  <c r="W627" i="2"/>
  <c r="V627" i="2"/>
  <c r="W575" i="2"/>
  <c r="V575" i="2"/>
  <c r="W2730" i="2"/>
  <c r="V2730" i="2"/>
  <c r="W2332" i="2"/>
  <c r="V2332" i="2"/>
  <c r="W2269" i="2"/>
  <c r="V2269" i="2"/>
  <c r="W2225" i="2"/>
  <c r="V2225" i="2"/>
  <c r="W1110" i="2"/>
  <c r="V1110" i="2"/>
  <c r="W1038" i="2"/>
  <c r="V1038" i="2"/>
  <c r="W906" i="2"/>
  <c r="V906" i="2"/>
  <c r="W691" i="2"/>
  <c r="V691" i="2"/>
  <c r="W505" i="2"/>
  <c r="V505" i="2"/>
  <c r="W77" i="2"/>
  <c r="V77" i="2"/>
  <c r="W22" i="2"/>
  <c r="V22" i="2"/>
  <c r="W1934" i="2"/>
  <c r="V1934" i="2"/>
  <c r="W2109" i="2"/>
  <c r="V2109" i="2"/>
  <c r="W410" i="2"/>
  <c r="V410" i="2"/>
  <c r="W2680" i="2"/>
  <c r="V2680" i="2"/>
  <c r="W2453" i="2"/>
  <c r="V2453" i="2"/>
  <c r="W2031" i="2"/>
  <c r="V2031" i="2"/>
  <c r="W1804" i="2"/>
  <c r="V1804" i="2"/>
  <c r="W625" i="2"/>
  <c r="V625" i="2"/>
  <c r="W543" i="2"/>
  <c r="V543" i="2"/>
  <c r="W2684" i="2"/>
  <c r="V2684" i="2"/>
  <c r="W2609" i="2"/>
  <c r="V2609" i="2"/>
  <c r="W2418" i="2"/>
  <c r="V2418" i="2"/>
  <c r="W1955" i="2"/>
  <c r="V1955" i="2"/>
  <c r="W1861" i="2"/>
  <c r="V1861" i="2"/>
  <c r="W1243" i="2"/>
  <c r="V1243" i="2"/>
  <c r="W1173" i="2"/>
  <c r="V1173" i="2"/>
  <c r="W807" i="2"/>
  <c r="V807" i="2"/>
  <c r="W409" i="2"/>
  <c r="V409" i="2"/>
  <c r="W2161" i="2"/>
  <c r="V2161" i="2"/>
  <c r="W819" i="2"/>
  <c r="V819" i="2"/>
  <c r="W113" i="2"/>
  <c r="V113" i="2"/>
  <c r="W934" i="2"/>
  <c r="V934" i="2"/>
  <c r="W724" i="2"/>
  <c r="V724" i="2"/>
  <c r="W542" i="2"/>
  <c r="V542" i="2"/>
  <c r="W69" i="2"/>
  <c r="V69" i="2"/>
  <c r="W2452" i="2"/>
  <c r="V2452" i="2"/>
  <c r="W1426" i="2"/>
  <c r="V1426" i="2"/>
  <c r="W1105" i="2"/>
  <c r="V1105" i="2"/>
  <c r="W787" i="2"/>
  <c r="V787" i="2"/>
  <c r="W21" i="2"/>
  <c r="V21" i="2"/>
  <c r="W2386" i="2"/>
  <c r="V2386" i="2"/>
  <c r="W2008" i="2"/>
  <c r="V2008" i="2"/>
  <c r="W1530" i="2"/>
  <c r="V1530" i="2"/>
  <c r="W1300" i="2"/>
  <c r="V1300" i="2"/>
  <c r="W1029" i="2"/>
  <c r="V1029" i="2"/>
  <c r="W764" i="2"/>
  <c r="V764" i="2"/>
  <c r="W706" i="2"/>
  <c r="V706" i="2"/>
  <c r="W444" i="2"/>
  <c r="V444" i="2"/>
  <c r="W2361" i="2"/>
  <c r="V2361" i="2"/>
  <c r="W2273" i="2"/>
  <c r="V2273" i="2"/>
  <c r="W2024" i="2"/>
  <c r="V2024" i="2"/>
  <c r="W1974" i="2"/>
  <c r="V1974" i="2"/>
  <c r="W1802" i="2"/>
  <c r="V1802" i="2"/>
  <c r="W886" i="2"/>
  <c r="V886" i="2"/>
  <c r="W607" i="2"/>
  <c r="V607" i="2"/>
  <c r="W288" i="2"/>
  <c r="V288" i="2"/>
  <c r="W238" i="2"/>
  <c r="V238" i="2"/>
  <c r="W237" i="2"/>
  <c r="V237" i="2"/>
  <c r="W2448" i="2"/>
  <c r="V2448" i="2"/>
  <c r="W1341" i="2"/>
  <c r="V1341" i="2"/>
  <c r="W1316" i="2"/>
  <c r="V1316" i="2"/>
  <c r="W913" i="2"/>
  <c r="V913" i="2"/>
  <c r="W800" i="2"/>
  <c r="V800" i="2"/>
  <c r="W661" i="2"/>
  <c r="V661" i="2"/>
  <c r="W672" i="2"/>
  <c r="V672" i="2"/>
  <c r="W2460" i="2"/>
  <c r="V2460" i="2"/>
  <c r="W2371" i="2"/>
  <c r="V2371" i="2"/>
  <c r="W802" i="2"/>
  <c r="V802" i="2"/>
  <c r="W2294" i="2"/>
  <c r="V2294" i="2"/>
  <c r="W2203" i="2"/>
  <c r="V2203" i="2"/>
  <c r="W2184" i="2"/>
  <c r="V2184" i="2"/>
  <c r="W2081" i="2"/>
  <c r="V2081" i="2"/>
  <c r="W2032" i="2"/>
  <c r="V2032" i="2"/>
  <c r="W2044" i="2"/>
  <c r="V2044" i="2"/>
  <c r="W584" i="2"/>
  <c r="V584" i="2"/>
  <c r="W31" i="2"/>
  <c r="V31" i="2"/>
  <c r="W35" i="2"/>
  <c r="V35" i="2"/>
  <c r="W23" i="2"/>
  <c r="V23" i="2"/>
  <c r="W2402" i="2"/>
  <c r="V2402" i="2"/>
  <c r="W2404" i="2"/>
  <c r="V2404" i="2"/>
  <c r="W1646" i="2"/>
  <c r="V1646" i="2"/>
  <c r="W1012" i="2"/>
  <c r="V1012" i="2"/>
  <c r="W858" i="2"/>
  <c r="V858" i="2"/>
  <c r="W246" i="2"/>
  <c r="V246" i="2"/>
  <c r="W183" i="2"/>
  <c r="V183" i="2"/>
  <c r="W2169" i="2"/>
  <c r="V2169" i="2"/>
  <c r="W2139" i="2"/>
  <c r="V2139" i="2"/>
  <c r="W2047" i="2"/>
  <c r="V2047" i="2"/>
  <c r="W1340" i="2"/>
  <c r="V1340" i="2"/>
  <c r="W931" i="2"/>
  <c r="V931" i="2"/>
  <c r="W735" i="2"/>
  <c r="V735" i="2"/>
  <c r="W2172" i="2"/>
  <c r="V2172" i="2"/>
  <c r="W2120" i="2"/>
  <c r="V2120" i="2"/>
  <c r="W1449" i="2"/>
  <c r="V1449" i="2"/>
  <c r="W443" i="2"/>
  <c r="V443" i="2"/>
  <c r="W405" i="2"/>
  <c r="V405" i="2"/>
  <c r="W2519" i="2"/>
  <c r="V2519" i="2"/>
  <c r="W2195" i="2"/>
  <c r="V2195" i="2"/>
  <c r="W2080" i="2"/>
  <c r="V2080" i="2"/>
  <c r="W1616" i="2"/>
  <c r="V1616" i="2"/>
  <c r="W1423" i="2"/>
  <c r="V1423" i="2"/>
  <c r="W1197" i="2"/>
  <c r="V1197" i="2"/>
  <c r="W1008" i="2"/>
  <c r="V1008" i="2"/>
  <c r="W999" i="2"/>
  <c r="V999" i="2"/>
  <c r="W519" i="2"/>
  <c r="V519" i="2"/>
  <c r="W442" i="2"/>
  <c r="V442" i="2"/>
  <c r="W311" i="2"/>
  <c r="V311" i="2"/>
  <c r="W2633" i="2"/>
  <c r="V2633" i="2"/>
  <c r="W2621" i="2"/>
  <c r="V2621" i="2"/>
  <c r="W2514" i="2"/>
  <c r="V2514" i="2"/>
  <c r="W2102" i="2"/>
  <c r="V2102" i="2"/>
  <c r="W541" i="2"/>
  <c r="V541" i="2"/>
  <c r="W310" i="2"/>
  <c r="V310" i="2"/>
  <c r="W1527" i="2"/>
  <c r="V1527" i="2"/>
  <c r="W676" i="2"/>
  <c r="V676" i="2"/>
  <c r="W486" i="2"/>
  <c r="V486" i="2"/>
  <c r="W1694" i="2"/>
  <c r="V1694" i="2"/>
  <c r="W1066" i="2"/>
  <c r="V1066" i="2"/>
  <c r="W2550" i="2"/>
  <c r="V2550" i="2"/>
  <c r="W2241" i="2"/>
  <c r="V2241" i="2"/>
  <c r="W1798" i="2"/>
  <c r="V1798" i="2"/>
  <c r="W1431" i="2"/>
  <c r="V1431" i="2"/>
  <c r="W728" i="2"/>
  <c r="V728" i="2"/>
  <c r="W485" i="2"/>
  <c r="V485" i="2"/>
  <c r="W2068" i="2"/>
  <c r="V2068" i="2"/>
  <c r="W2529" i="2"/>
  <c r="V2529" i="2"/>
  <c r="W2370" i="2"/>
  <c r="V2370" i="2"/>
  <c r="W1571" i="2"/>
  <c r="V1571" i="2"/>
  <c r="W1448" i="2"/>
  <c r="V1448" i="2"/>
  <c r="W703" i="2"/>
  <c r="V703" i="2"/>
  <c r="W2551" i="2"/>
  <c r="V2551" i="2"/>
  <c r="W2331" i="2"/>
  <c r="V2331" i="2"/>
  <c r="W1986" i="2"/>
  <c r="V1986" i="2"/>
  <c r="W1785" i="2"/>
  <c r="V1785" i="2"/>
  <c r="W1706" i="2"/>
  <c r="V1706" i="2"/>
  <c r="W1068" i="2"/>
  <c r="V1068" i="2"/>
  <c r="W832" i="2"/>
  <c r="V832" i="2"/>
  <c r="W809" i="2"/>
  <c r="V809" i="2"/>
  <c r="W577" i="2"/>
  <c r="V577" i="2"/>
  <c r="W236" i="2"/>
  <c r="V236" i="2"/>
  <c r="W2721" i="2"/>
  <c r="V2721" i="2"/>
  <c r="W2127" i="2"/>
  <c r="V2127" i="2"/>
  <c r="W624" i="2"/>
  <c r="V624" i="2"/>
  <c r="W2724" i="2"/>
  <c r="V2724" i="2"/>
  <c r="W2239" i="2"/>
  <c r="V2239" i="2"/>
  <c r="W2238" i="2"/>
  <c r="V2238" i="2"/>
  <c r="W2129" i="2"/>
  <c r="V2129" i="2"/>
  <c r="W2058" i="2"/>
  <c r="V2058" i="2"/>
  <c r="W689" i="2"/>
  <c r="V689" i="2"/>
  <c r="W518" i="2"/>
  <c r="V518" i="2"/>
  <c r="W2202" i="2"/>
  <c r="V2202" i="2"/>
  <c r="W2117" i="2"/>
  <c r="V2117" i="2"/>
  <c r="W2108" i="2"/>
  <c r="V2108" i="2"/>
  <c r="W1877" i="2"/>
  <c r="V1877" i="2"/>
  <c r="W1371" i="2"/>
  <c r="V1371" i="2"/>
  <c r="W1196" i="2"/>
  <c r="V1196" i="2"/>
  <c r="W1153" i="2"/>
  <c r="V1153" i="2"/>
  <c r="W930" i="2"/>
  <c r="V930" i="2"/>
  <c r="W863" i="2"/>
  <c r="V863" i="2"/>
  <c r="W49" i="2"/>
  <c r="V49" i="2"/>
  <c r="W2615" i="2"/>
  <c r="V2615" i="2"/>
  <c r="W1871" i="2"/>
  <c r="V1871" i="2"/>
  <c r="W1860" i="2"/>
  <c r="V1860" i="2"/>
  <c r="W1761" i="2"/>
  <c r="V1761" i="2"/>
  <c r="W1693" i="2"/>
  <c r="V1693" i="2"/>
  <c r="W1547" i="2"/>
  <c r="V1547" i="2"/>
  <c r="W1470" i="2"/>
  <c r="V1470" i="2"/>
  <c r="W1011" i="2"/>
  <c r="V1011" i="2"/>
  <c r="W1007" i="2"/>
  <c r="V1007" i="2"/>
  <c r="W260" i="2"/>
  <c r="V260" i="2"/>
  <c r="W2623" i="2"/>
  <c r="V2623" i="2"/>
  <c r="W2557" i="2"/>
  <c r="V2557" i="2"/>
  <c r="W1487" i="2"/>
  <c r="V1487" i="2"/>
  <c r="W1321" i="2"/>
  <c r="V1321" i="2"/>
  <c r="W201" i="2"/>
  <c r="V201" i="2"/>
  <c r="W974" i="2"/>
  <c r="V974" i="2"/>
  <c r="W865" i="2"/>
  <c r="V865" i="2"/>
  <c r="W786" i="2"/>
  <c r="V786" i="2"/>
  <c r="W711" i="2"/>
  <c r="V711" i="2"/>
  <c r="W643" i="2"/>
  <c r="V643" i="2"/>
  <c r="W2060" i="2"/>
  <c r="V2060" i="2"/>
  <c r="W1926" i="2"/>
  <c r="V1926" i="2"/>
  <c r="W1839" i="2"/>
  <c r="V1839" i="2"/>
  <c r="W1315" i="2"/>
  <c r="V1315" i="2"/>
  <c r="W1223" i="2"/>
  <c r="V1223" i="2"/>
  <c r="W362" i="2"/>
  <c r="V362" i="2"/>
  <c r="W4" i="2"/>
  <c r="V4" i="2"/>
  <c r="W2042" i="2"/>
  <c r="V2042" i="2"/>
  <c r="W1834" i="2"/>
  <c r="V1834" i="2"/>
  <c r="W963" i="2"/>
  <c r="V963" i="2"/>
  <c r="W831" i="2"/>
  <c r="V831" i="2"/>
  <c r="W2306" i="2"/>
  <c r="V2306" i="2"/>
  <c r="W1938" i="2"/>
  <c r="V1938" i="2"/>
  <c r="W1593" i="2"/>
  <c r="V1593" i="2"/>
  <c r="W1373" i="2"/>
  <c r="V1373" i="2"/>
  <c r="W720" i="2"/>
  <c r="V720" i="2"/>
  <c r="W2201" i="2"/>
  <c r="V2201" i="2"/>
  <c r="W220" i="2"/>
  <c r="V220" i="2"/>
  <c r="W30" i="2"/>
  <c r="V30" i="2"/>
  <c r="W2565" i="2"/>
  <c r="V2565" i="2"/>
  <c r="W1592" i="2"/>
  <c r="V1592" i="2"/>
  <c r="W1429" i="2"/>
  <c r="V1429" i="2"/>
  <c r="W517" i="2"/>
  <c r="V517" i="2"/>
  <c r="W167" i="2"/>
  <c r="V167" i="2"/>
  <c r="W2584" i="2"/>
  <c r="V2584" i="2"/>
  <c r="W2424" i="2"/>
  <c r="V2424" i="2"/>
  <c r="W2145" i="2"/>
  <c r="V2145" i="2"/>
  <c r="W1738" i="2"/>
  <c r="V1738" i="2"/>
  <c r="W2278" i="2"/>
  <c r="V2278" i="2"/>
  <c r="W1022" i="2"/>
  <c r="V1022" i="2"/>
  <c r="W671" i="2"/>
  <c r="V671" i="2"/>
  <c r="W2705" i="2"/>
  <c r="V2705" i="2"/>
  <c r="W2631" i="2"/>
  <c r="V2631" i="2"/>
  <c r="W2119" i="2"/>
  <c r="V2119" i="2"/>
  <c r="W2056" i="2"/>
  <c r="V2056" i="2"/>
  <c r="W1645" i="2"/>
  <c r="V1645" i="2"/>
  <c r="W2591" i="2"/>
  <c r="V2591" i="2"/>
  <c r="W2074" i="2"/>
  <c r="V2074" i="2"/>
  <c r="W1065" i="2"/>
  <c r="V1065" i="2"/>
  <c r="W1037" i="2"/>
  <c r="V1037" i="2"/>
  <c r="W998" i="2"/>
  <c r="V998" i="2"/>
  <c r="W911" i="2"/>
  <c r="V911" i="2"/>
  <c r="W734" i="2"/>
  <c r="V734" i="2"/>
  <c r="W500" i="2"/>
  <c r="V500" i="2"/>
  <c r="W259" i="2"/>
  <c r="V259" i="2"/>
  <c r="W235" i="2"/>
  <c r="V235" i="2"/>
  <c r="W182" i="2"/>
  <c r="V182" i="2"/>
  <c r="W145" i="2"/>
  <c r="V145" i="2"/>
  <c r="W2580" i="2"/>
  <c r="V2580" i="2"/>
  <c r="W1775" i="2"/>
  <c r="V1775" i="2"/>
  <c r="W1591" i="2"/>
  <c r="V1591" i="2"/>
  <c r="W2214" i="2"/>
  <c r="V2214" i="2"/>
  <c r="W2200" i="2"/>
  <c r="V2200" i="2"/>
  <c r="W1226" i="2"/>
  <c r="V1226" i="2"/>
  <c r="W540" i="2"/>
  <c r="V540" i="2"/>
  <c r="W2421" i="2"/>
  <c r="V2421" i="2"/>
  <c r="W2160" i="2"/>
  <c r="V2160" i="2"/>
  <c r="W1890" i="2"/>
  <c r="V1890" i="2"/>
  <c r="W1782" i="2"/>
  <c r="V1782" i="2"/>
  <c r="W1760" i="2"/>
  <c r="V1760" i="2"/>
  <c r="W1644" i="2"/>
  <c r="V1644" i="2"/>
  <c r="W1216" i="2"/>
  <c r="V1216" i="2"/>
  <c r="W1133" i="2"/>
  <c r="V1133" i="2"/>
  <c r="W330" i="2"/>
  <c r="V330" i="2"/>
  <c r="W139" i="2"/>
  <c r="V139" i="2"/>
  <c r="W2427" i="2"/>
  <c r="V2427" i="2"/>
  <c r="W1941" i="2"/>
  <c r="V1941" i="2"/>
  <c r="W2501" i="2"/>
  <c r="V2501" i="2"/>
  <c r="W200" i="2"/>
  <c r="V200" i="2"/>
  <c r="W1705" i="2"/>
  <c r="V1705" i="2"/>
  <c r="W1028" i="2"/>
  <c r="V1028" i="2"/>
  <c r="W621" i="2"/>
  <c r="V621" i="2"/>
  <c r="W1080" i="2"/>
  <c r="V1080" i="2"/>
  <c r="W1079" i="2"/>
  <c r="V1079" i="2"/>
  <c r="W830" i="2"/>
  <c r="V830" i="2"/>
  <c r="W595" i="2"/>
  <c r="V595" i="2"/>
  <c r="W2293" i="2"/>
  <c r="V2293" i="2"/>
  <c r="W2114" i="2"/>
  <c r="V2114" i="2"/>
  <c r="W1692" i="2"/>
  <c r="V1692" i="2"/>
  <c r="W1664" i="2"/>
  <c r="V1664" i="2"/>
  <c r="W642" i="2"/>
  <c r="V642" i="2"/>
  <c r="W2185" i="2"/>
  <c r="V2185" i="2"/>
  <c r="W889" i="2"/>
  <c r="V889" i="2"/>
  <c r="W829" i="2"/>
  <c r="V829" i="2"/>
  <c r="W194" i="2"/>
  <c r="V194" i="2"/>
  <c r="W1020" i="2"/>
  <c r="V1020" i="2"/>
  <c r="W970" i="2"/>
  <c r="V970" i="2"/>
  <c r="W192" i="2"/>
  <c r="V192" i="2"/>
  <c r="W94" i="2"/>
  <c r="V94" i="2"/>
  <c r="W26" i="2"/>
  <c r="V26" i="2"/>
  <c r="W1937" i="2"/>
  <c r="V1937" i="2"/>
  <c r="W1517" i="2"/>
  <c r="V1517" i="2"/>
  <c r="W1391" i="2"/>
  <c r="V1391" i="2"/>
  <c r="W1275" i="2"/>
  <c r="V1275" i="2"/>
  <c r="W1195" i="2"/>
  <c r="V1195" i="2"/>
  <c r="W871" i="2"/>
  <c r="V871" i="2"/>
  <c r="W755" i="2"/>
  <c r="V755" i="2"/>
  <c r="W538" i="2"/>
  <c r="V538" i="2"/>
  <c r="W420" i="2"/>
  <c r="V420" i="2"/>
  <c r="W2255" i="2"/>
  <c r="V2255" i="2"/>
  <c r="W2256" i="2"/>
  <c r="V2256" i="2"/>
  <c r="W1625" i="2"/>
  <c r="V1625" i="2"/>
  <c r="W1132" i="2"/>
  <c r="V1132" i="2"/>
  <c r="W780" i="2"/>
  <c r="V780" i="2"/>
  <c r="W2528" i="2"/>
  <c r="V2528" i="2"/>
  <c r="W1923" i="2"/>
  <c r="V1923" i="2"/>
  <c r="W1743" i="2"/>
  <c r="V1743" i="2"/>
  <c r="W1699" i="2"/>
  <c r="V1699" i="2"/>
  <c r="W1672" i="2"/>
  <c r="V1672" i="2"/>
  <c r="W702" i="2"/>
  <c r="V702" i="2"/>
  <c r="W1044" i="2"/>
  <c r="V1044" i="2"/>
  <c r="W361" i="2"/>
  <c r="V361" i="2"/>
  <c r="W152" i="2"/>
  <c r="V152" i="2"/>
  <c r="W2235" i="2"/>
  <c r="V2235" i="2"/>
  <c r="W2046" i="2"/>
  <c r="V2046" i="2"/>
  <c r="W1854" i="2"/>
  <c r="V1854" i="2"/>
  <c r="W1260" i="2"/>
  <c r="V1260" i="2"/>
  <c r="W2199" i="2"/>
  <c r="V2199" i="2"/>
  <c r="W2007" i="2"/>
  <c r="V2007" i="2"/>
  <c r="W2006" i="2"/>
  <c r="V2006" i="2"/>
  <c r="W1960" i="2"/>
  <c r="V1960" i="2"/>
  <c r="W1933" i="2"/>
  <c r="V1933" i="2"/>
  <c r="W1257" i="2"/>
  <c r="V1257" i="2"/>
  <c r="W997" i="2"/>
  <c r="V997" i="2"/>
  <c r="W360" i="2"/>
  <c r="V360" i="2"/>
  <c r="W169" i="2"/>
  <c r="V169" i="2"/>
  <c r="W156" i="2"/>
  <c r="V156" i="2"/>
  <c r="W93" i="2"/>
  <c r="V93" i="2"/>
  <c r="W1435" i="2"/>
  <c r="V1435" i="2"/>
  <c r="W1332" i="2"/>
  <c r="V1332" i="2"/>
  <c r="W828" i="2"/>
  <c r="V828" i="2"/>
  <c r="W168" i="2"/>
  <c r="V168" i="2"/>
  <c r="W119" i="2"/>
  <c r="V119" i="2"/>
  <c r="W1447" i="2"/>
  <c r="V1447" i="2"/>
  <c r="W322" i="2"/>
  <c r="V322" i="2"/>
  <c r="W2276" i="2"/>
  <c r="V2276" i="2"/>
  <c r="W1131" i="2"/>
  <c r="V1131" i="2"/>
  <c r="W944" i="2"/>
  <c r="V944" i="2"/>
  <c r="W1932" i="2"/>
  <c r="V1932" i="2"/>
  <c r="W1386" i="2"/>
  <c r="V1386" i="2"/>
  <c r="W1240" i="2"/>
  <c r="V1240" i="2"/>
  <c r="W1215" i="2"/>
  <c r="V1215" i="2"/>
  <c r="W1214" i="2"/>
  <c r="V1214" i="2"/>
  <c r="W718" i="2"/>
  <c r="V718" i="2"/>
  <c r="W657" i="2"/>
  <c r="V657" i="2"/>
  <c r="W587" i="2"/>
  <c r="V587" i="2"/>
  <c r="W504" i="2"/>
  <c r="V504" i="2"/>
  <c r="W1401" i="2"/>
  <c r="V1401" i="2"/>
  <c r="W1339" i="2"/>
  <c r="V1339" i="2"/>
  <c r="W118" i="2"/>
  <c r="V118" i="2"/>
  <c r="W2735" i="2"/>
  <c r="V2735" i="2"/>
  <c r="W2651" i="2"/>
  <c r="V2651" i="2"/>
  <c r="W1400" i="2"/>
  <c r="V1400" i="2"/>
  <c r="W2542" i="2"/>
  <c r="V2542" i="2"/>
  <c r="W2490" i="2"/>
  <c r="V2490" i="2"/>
  <c r="BA58" i="4" l="1"/>
  <c r="BI58" i="4"/>
  <c r="AX58" i="4"/>
  <c r="AV58" i="4"/>
  <c r="BD58" i="4"/>
  <c r="AH58" i="4"/>
  <c r="AP58" i="4"/>
  <c r="BK58" i="4"/>
  <c r="AG58" i="4"/>
  <c r="BH58" i="4"/>
  <c r="BG58" i="4"/>
  <c r="AA63" i="4"/>
  <c r="AI63" i="4"/>
  <c r="AQ63" i="4"/>
  <c r="AG64" i="4"/>
  <c r="AO64" i="4"/>
  <c r="AE65" i="4"/>
  <c r="AM65" i="4"/>
  <c r="AO58" i="4"/>
  <c r="BE58" i="4"/>
  <c r="Z58" i="4"/>
  <c r="AG63" i="4"/>
  <c r="AO63" i="4"/>
  <c r="AE64" i="4"/>
  <c r="AM64" i="4"/>
  <c r="AB58" i="4"/>
  <c r="AJ58" i="4"/>
  <c r="AB63" i="4"/>
  <c r="AJ63" i="4"/>
  <c r="Z64" i="4"/>
  <c r="AH64" i="4"/>
  <c r="AP64" i="4"/>
  <c r="AF65" i="4"/>
  <c r="AN65" i="4"/>
  <c r="BL58" i="4"/>
  <c r="D25" i="5" s="1"/>
  <c r="G25" i="5" s="1"/>
  <c r="BB58" i="4"/>
  <c r="AE58" i="4"/>
  <c r="AM58" i="4"/>
  <c r="AC58" i="4"/>
  <c r="AK58" i="4"/>
  <c r="AA58" i="4"/>
  <c r="AI58" i="4"/>
  <c r="AQ58" i="4"/>
  <c r="AF58" i="4"/>
  <c r="AN58" i="4"/>
  <c r="AD58" i="4"/>
  <c r="AL58" i="4"/>
  <c r="E30" i="5"/>
  <c r="G30" i="5"/>
  <c r="D31" i="5"/>
  <c r="E31" i="5" s="1"/>
  <c r="E29" i="5"/>
  <c r="G29" i="5"/>
  <c r="Z63" i="4"/>
  <c r="AH63" i="4"/>
  <c r="AP63" i="4"/>
  <c r="AF64" i="4"/>
  <c r="AN64" i="4"/>
  <c r="AD65" i="4"/>
  <c r="AL65" i="4"/>
  <c r="AC63" i="4"/>
  <c r="AK63" i="4"/>
  <c r="AA64" i="4"/>
  <c r="AI64" i="4"/>
  <c r="AQ64" i="4"/>
  <c r="AG65" i="4"/>
  <c r="AO65" i="4"/>
  <c r="AD63" i="4"/>
  <c r="AL63" i="4"/>
  <c r="AB64" i="4"/>
  <c r="AJ64" i="4"/>
  <c r="Z65" i="4"/>
  <c r="AH65" i="4"/>
  <c r="AP65" i="4"/>
  <c r="BC65" i="4"/>
  <c r="AE63" i="4"/>
  <c r="AM63" i="4"/>
  <c r="AC64" i="4"/>
  <c r="AK64" i="4"/>
  <c r="AA65" i="4"/>
  <c r="AI65" i="4"/>
  <c r="AQ65" i="4"/>
  <c r="AU65" i="4"/>
  <c r="AU58" i="4"/>
  <c r="BC58" i="4"/>
  <c r="BC64" i="4"/>
  <c r="AZ65" i="4"/>
  <c r="AZ58" i="4"/>
  <c r="BF65" i="4"/>
  <c r="BF58" i="4"/>
  <c r="AY58" i="4"/>
  <c r="AW58" i="4"/>
  <c r="AQ50" i="4"/>
  <c r="AQ62" i="4"/>
  <c r="AP50" i="4"/>
  <c r="AP62" i="4"/>
  <c r="AO50" i="4"/>
  <c r="AO66" i="4" s="1"/>
  <c r="AO62" i="4"/>
  <c r="AN50" i="4"/>
  <c r="AN62" i="4"/>
  <c r="AM50" i="4"/>
  <c r="AM62" i="4"/>
  <c r="AL50" i="4"/>
  <c r="AL62" i="4"/>
  <c r="AK50" i="4"/>
  <c r="AK66" i="4" s="1"/>
  <c r="AK62" i="4"/>
  <c r="AJ50" i="4"/>
  <c r="AJ62" i="4"/>
  <c r="AI50" i="4"/>
  <c r="AI62" i="4"/>
  <c r="AH50" i="4"/>
  <c r="AH62" i="4"/>
  <c r="AG50" i="4"/>
  <c r="AG66" i="4" s="1"/>
  <c r="AG62" i="4"/>
  <c r="AF50" i="4"/>
  <c r="AF62" i="4"/>
  <c r="AE50" i="4"/>
  <c r="AE62" i="4"/>
  <c r="AD50" i="4"/>
  <c r="AD66" i="4" s="1"/>
  <c r="AD62" i="4"/>
  <c r="AC50" i="4"/>
  <c r="AC66" i="4" s="1"/>
  <c r="AC62" i="4"/>
  <c r="AB50" i="4"/>
  <c r="AB66" i="4" s="1"/>
  <c r="AB62" i="4"/>
  <c r="AA50" i="4"/>
  <c r="AA62" i="4"/>
  <c r="Z50" i="4"/>
  <c r="Z66" i="4" s="1"/>
  <c r="Z62" i="4"/>
  <c r="BL50" i="4"/>
  <c r="BL62" i="4"/>
  <c r="BK50" i="4"/>
  <c r="BK62" i="4"/>
  <c r="BJ50" i="4"/>
  <c r="BJ66" i="4" s="1"/>
  <c r="BJ62" i="4"/>
  <c r="BI62" i="4"/>
  <c r="BI50" i="4"/>
  <c r="BI66" i="4" s="1"/>
  <c r="BH62" i="4"/>
  <c r="BH50" i="4"/>
  <c r="BG50" i="4"/>
  <c r="BG62" i="4"/>
  <c r="BF62" i="4"/>
  <c r="BF50" i="4"/>
  <c r="BE50" i="4"/>
  <c r="BE66" i="4" s="1"/>
  <c r="BE62" i="4"/>
  <c r="BD50" i="4"/>
  <c r="BD66" i="4" s="1"/>
  <c r="BD62" i="4"/>
  <c r="BC50" i="4"/>
  <c r="BC62" i="4"/>
  <c r="BB50" i="4"/>
  <c r="BB62" i="4"/>
  <c r="BA62" i="4"/>
  <c r="BA50" i="4"/>
  <c r="BA66" i="4" s="1"/>
  <c r="AZ50" i="4"/>
  <c r="AZ62" i="4"/>
  <c r="AY50" i="4"/>
  <c r="AY62" i="4"/>
  <c r="AX62" i="4"/>
  <c r="AX50" i="4"/>
  <c r="AX66" i="4" s="1"/>
  <c r="AW50" i="4"/>
  <c r="AW62" i="4"/>
  <c r="AV62" i="4"/>
  <c r="AV50" i="4"/>
  <c r="AU50" i="4"/>
  <c r="AU62" i="4"/>
  <c r="BG66" i="4" l="1"/>
  <c r="AF66" i="4"/>
  <c r="AJ66" i="4"/>
  <c r="BK66" i="4"/>
  <c r="AV66" i="4"/>
  <c r="BH66" i="4"/>
  <c r="AH66" i="4"/>
  <c r="AL66" i="4"/>
  <c r="AP66" i="4"/>
  <c r="G31" i="5"/>
  <c r="E38" i="5"/>
  <c r="AM66" i="4"/>
  <c r="E25" i="5"/>
  <c r="AN66" i="4"/>
  <c r="BB66" i="4"/>
  <c r="AA66" i="4"/>
  <c r="AE66" i="4"/>
  <c r="AI66" i="4"/>
  <c r="AQ66" i="4"/>
  <c r="BL66" i="4"/>
  <c r="D24" i="5"/>
  <c r="E37" i="5" s="1"/>
  <c r="D47" i="5"/>
  <c r="G47" i="5" s="1"/>
  <c r="D46" i="5"/>
  <c r="G46" i="5" s="1"/>
  <c r="D45" i="5"/>
  <c r="G45" i="5" s="1"/>
  <c r="D43" i="5"/>
  <c r="G43" i="5" s="1"/>
  <c r="D42" i="5"/>
  <c r="G42" i="5" s="1"/>
  <c r="D41" i="5"/>
  <c r="G41" i="5" s="1"/>
  <c r="BC66" i="4"/>
  <c r="AZ66" i="4"/>
  <c r="AY66" i="4"/>
  <c r="AW66" i="4"/>
  <c r="AU66" i="4"/>
  <c r="BF66" i="4"/>
  <c r="E24" i="5" l="1"/>
  <c r="D26" i="5"/>
  <c r="E26" i="5" s="1"/>
  <c r="G24" i="5"/>
  <c r="G2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tc={AB11E32C-D1C1-A248-ABB2-493489305C10}</author>
  </authors>
  <commentList>
    <comment ref="B5" authorId="0" shapeId="0" xr:uid="{AB11E32C-D1C1-A248-ABB2-493489305C10}">
      <text>
        <t>[Comentario encadenado]
Tu versión de Excel te permite leer este comentario encadenado; sin embargo, las ediciones que se apliquen se quitarán si el archivo se abre en una versión más reciente de Excel. Más información: https://go.microsoft.com/fwlink/?linkid=870924
Comentario:
    Incluye compartido otra RED</t>
      </text>
    </comment>
  </commentList>
</comments>
</file>

<file path=xl/sharedStrings.xml><?xml version="1.0" encoding="utf-8"?>
<sst xmlns="http://schemas.openxmlformats.org/spreadsheetml/2006/main" count="37620" uniqueCount="8613">
  <si>
    <t>Fecha</t>
  </si>
  <si>
    <t>Ref #</t>
  </si>
  <si>
    <t>Unificador</t>
  </si>
  <si>
    <t>Publicación</t>
  </si>
  <si>
    <t>Estado</t>
  </si>
  <si>
    <t>Portal</t>
  </si>
  <si>
    <t>Precio Publicación</t>
  </si>
  <si>
    <t>Precio Cierre Total</t>
  </si>
  <si>
    <t>Moneda Cierre</t>
  </si>
  <si>
    <t>Moneda Publicación</t>
  </si>
  <si>
    <t>Dirección</t>
  </si>
  <si>
    <t>Ubicación</t>
  </si>
  <si>
    <t>Tipo Propiedad</t>
  </si>
  <si>
    <t>Lados</t>
  </si>
  <si>
    <t>Oficina</t>
  </si>
  <si>
    <t>Tipo Operación</t>
  </si>
  <si>
    <t>Operación</t>
  </si>
  <si>
    <t>Zona CB</t>
  </si>
  <si>
    <t>Localidad CB</t>
  </si>
  <si>
    <t>CLA6158186</t>
  </si>
  <si>
    <t>¡Terreno para desarrollar en pleno Florida! ¡701 mts construíbles!</t>
  </si>
  <si>
    <t>Realizado</t>
  </si>
  <si>
    <t>AR MercadoLibre</t>
  </si>
  <si>
    <t>Dólares</t>
  </si>
  <si>
    <t>Laprida al 2000</t>
  </si>
  <si>
    <t>Argentina | G.B.A. Zona Norte | Vicente López | Florida</t>
  </si>
  <si>
    <t>Terreno</t>
  </si>
  <si>
    <t>Concept</t>
  </si>
  <si>
    <t>Propia (Único Asesor)</t>
  </si>
  <si>
    <t>Venta</t>
  </si>
  <si>
    <t>ZP-ZP-M-43773962</t>
  </si>
  <si>
    <t>Hermosa casa con piscina en Barrio privado San Francisco - Tigre</t>
  </si>
  <si>
    <t>Aristóbulo del Valle al 5100</t>
  </si>
  <si>
    <t>Argentina | G.B.A. Zona Norte | Tigre | Countries/B.Cerrado (Tigre) | Villanueva | San Francisco</t>
  </si>
  <si>
    <t>Casa</t>
  </si>
  <si>
    <t>CHO5264010</t>
  </si>
  <si>
    <t>CASA EN VENTA, 3 AMBIENTES, SAN SEBASTIAN, AREA 12</t>
  </si>
  <si>
    <t>AR ZonaProp</t>
  </si>
  <si>
    <t>Hermosa Casa en San Sebastián, área 12</t>
  </si>
  <si>
    <t>Argentina | G.B.A. Zona Norte | Pilar | Countries/B.Cerrado (Pilar) | San Sebastian</t>
  </si>
  <si>
    <t>Haka</t>
  </si>
  <si>
    <t>CAP6363861</t>
  </si>
  <si>
    <t>Venta Departamento 3 Ambientes en Complejo Al Río c/ cochera - baulera - balcón</t>
  </si>
  <si>
    <t>Juan Carlos Cruz 100</t>
  </si>
  <si>
    <t>Argentina | G.B.A. Zona Norte | Vicente López | Libertador al Río</t>
  </si>
  <si>
    <t>Departamento</t>
  </si>
  <si>
    <t>Seniority Plus</t>
  </si>
  <si>
    <t>Compartida Fuera de la Red Búsqueda</t>
  </si>
  <si>
    <t>OP 85</t>
  </si>
  <si>
    <t>Gelly  y Obes 2243 5</t>
  </si>
  <si>
    <t xml:space="preserve">Argentina | Capital Federal | Recoleta </t>
  </si>
  <si>
    <t>JLO5618192</t>
  </si>
  <si>
    <t>VENTA LOCAL LOMAS DE ZAMORA</t>
  </si>
  <si>
    <t>General Carlos María de Alvear  al 600</t>
  </si>
  <si>
    <t>Argentina | G.B.A. Zona Sur | Lomas De Zamora (Partido) | Lomas De Zamora</t>
  </si>
  <si>
    <t>Local Comercial</t>
  </si>
  <si>
    <t>Lion Team Norte</t>
  </si>
  <si>
    <t>CPH5611863</t>
  </si>
  <si>
    <t>PH reciclado Parque Chacabuco</t>
  </si>
  <si>
    <t>Av Cobo  al 700</t>
  </si>
  <si>
    <t xml:space="preserve">Argentina | Capital Federal | Parque Chacabuco </t>
  </si>
  <si>
    <t>PH</t>
  </si>
  <si>
    <t>Lion Team</t>
  </si>
  <si>
    <t>CAP6333484</t>
  </si>
  <si>
    <t>VENTA DEPARTAMENTO 3 AMBIENTES con gran patio EN PALERMO</t>
  </si>
  <si>
    <t>ARAOZ  2400</t>
  </si>
  <si>
    <t xml:space="preserve">Argentina | Capital Federal | Palermo </t>
  </si>
  <si>
    <t>Seniority</t>
  </si>
  <si>
    <t>CAP6452531</t>
  </si>
  <si>
    <t>Departamento en  Junin 530</t>
  </si>
  <si>
    <t>Facebook</t>
  </si>
  <si>
    <t>Junin 530</t>
  </si>
  <si>
    <t>Argentina | Salta | Capital | Salta | Zona Centro</t>
  </si>
  <si>
    <t>Realty Group</t>
  </si>
  <si>
    <t>CCM54953 LO5934597</t>
  </si>
  <si>
    <t>Local en  Porto San Lorenzo chico</t>
  </si>
  <si>
    <t>Referido</t>
  </si>
  <si>
    <t>san Lorenzo chico</t>
  </si>
  <si>
    <t xml:space="preserve">Argentina | Salta | Capital </t>
  </si>
  <si>
    <t>Compartida en Oficina (Dos Asesores)</t>
  </si>
  <si>
    <t>VENTA Monoambiente 39,94m2 - UF 50, pozo, Paseo Retamas, Villa la Angostura, Villa la Angostura</t>
  </si>
  <si>
    <t>Conocido</t>
  </si>
  <si>
    <t>Retamas 200</t>
  </si>
  <si>
    <t>Argentina | Neuquen | Villa La Angostura | Centro</t>
  </si>
  <si>
    <t>Patagonia Lakes VLA</t>
  </si>
  <si>
    <t>CBU59337 AP6535062</t>
  </si>
  <si>
    <t>VENTA Monoambiente 43,72m2 - UF 51, pozo, Paseo Retamas, Villa la Angostura, Villa la Angostura</t>
  </si>
  <si>
    <t>Retamas al 300</t>
  </si>
  <si>
    <t>CAP6454429</t>
  </si>
  <si>
    <t>VENTA Departamento 2 ambientes A estrenar Balcón al Frente Villa Urquiza</t>
  </si>
  <si>
    <t>AR ArgenProp</t>
  </si>
  <si>
    <t>Bauness  al 1100</t>
  </si>
  <si>
    <t xml:space="preserve">Argentina | Capital Federal | Villa Urquiza </t>
  </si>
  <si>
    <t>CBU49671 AP6414032</t>
  </si>
  <si>
    <t>Departamento Monoambiente divisible A Estrenar con Balcon Piso 1 - Villa Urquiza VENTA</t>
  </si>
  <si>
    <t>CBU59337 AP6535088</t>
  </si>
  <si>
    <t>VENTA Departamento céntrico 2 amb 59,64m2 UF 73 - en pozo, Paseo Retamas, El Cruce,  Las Retamas 300, Villa la Angostura</t>
  </si>
  <si>
    <t>Repetido</t>
  </si>
  <si>
    <t>CPH6635419</t>
  </si>
  <si>
    <t xml:space="preserve">PH duplex </t>
  </si>
  <si>
    <t>Teléfono</t>
  </si>
  <si>
    <t>ph duplex 139 50 y139 50 y 52 52</t>
  </si>
  <si>
    <t>Argentina | G.B.A. Zona Sur | La Plata | La Plata</t>
  </si>
  <si>
    <t>Golden Team</t>
  </si>
  <si>
    <t>Ecuador 1182 5A</t>
  </si>
  <si>
    <t xml:space="preserve">Argentina | Capital Federal | Almagro </t>
  </si>
  <si>
    <t>VCO60746 AP6653300</t>
  </si>
  <si>
    <t>Departamento 2 ambientes a estrenar con amenities</t>
  </si>
  <si>
    <t>Guiraldes  400</t>
  </si>
  <si>
    <t>Argentina | G.B.A. Zona Norte | Tigre | Don Torcuato | Ibanez</t>
  </si>
  <si>
    <t>Puerto Norte</t>
  </si>
  <si>
    <t xml:space="preserve">GRANADEROS CABA </t>
  </si>
  <si>
    <t xml:space="preserve">DPTO GRANADEROS </t>
  </si>
  <si>
    <t>GRANADERO 467</t>
  </si>
  <si>
    <t xml:space="preserve">Argentina | Capital Federal | Flores </t>
  </si>
  <si>
    <t>Bartolomé Hidalgo 3056</t>
  </si>
  <si>
    <t xml:space="preserve">Argentina | Capital Federal | Capital Federal </t>
  </si>
  <si>
    <t>TerrenoLomasdelCauquen</t>
  </si>
  <si>
    <t xml:space="preserve">Terreno Monte Moro N°541 </t>
  </si>
  <si>
    <t>Salón</t>
  </si>
  <si>
    <t>Argentina | Rio Negro | Bariloche | San Carlos De Bariloche</t>
  </si>
  <si>
    <t>Patagonia Lakes BRC</t>
  </si>
  <si>
    <t>(Interior) Compartida Fuera de la Red Búsqueda</t>
  </si>
  <si>
    <t>CAP6492529</t>
  </si>
  <si>
    <t>venta - Departamento dos ambientes - villa urquiza - balcon - amenities</t>
  </si>
  <si>
    <t>Pedro Ignacio Rivera  al 4700</t>
  </si>
  <si>
    <t>CHO6440273</t>
  </si>
  <si>
    <t>VENTA Casa 2 ambientes 60m² dos plantas Terreno 200m²  B° Los Manzanos, San Martín de los Andes</t>
  </si>
  <si>
    <t xml:space="preserve"> Lote 3, mza E</t>
  </si>
  <si>
    <t>Argentina | Neuquen | Lacar | San Martin De Los Andes | Chacra 28</t>
  </si>
  <si>
    <t>Patagonia Lakes SMA</t>
  </si>
  <si>
    <t>CGL6038938</t>
  </si>
  <si>
    <t>Galpón en  Sarandi</t>
  </si>
  <si>
    <t>Helguera al 2500</t>
  </si>
  <si>
    <t>Argentina | G.B.A. Zona Sur | Avellaneda | Sarandi</t>
  </si>
  <si>
    <t>Destino</t>
  </si>
  <si>
    <t>CBU49671 AP6414022</t>
  </si>
  <si>
    <t>Departamento Monoambiente dividido A Estrenar Balcon frente  Villa Urquiza VENTA</t>
  </si>
  <si>
    <t>CAP6674303</t>
  </si>
  <si>
    <t>pujol 1095 7A</t>
  </si>
  <si>
    <t>Pujol 1095 7A</t>
  </si>
  <si>
    <t xml:space="preserve">Argentina | Capital Federal | Caballito </t>
  </si>
  <si>
    <t>Notable</t>
  </si>
  <si>
    <t>Departamento 2 ambientes de 58,97 m2? -  UF 58, parte del Edificio Nº 2 más su unidad complementaria (cochera) N° 2, conforme croquis adjunto en el ANEXO III, ubicado en calle Las Retamas y Las Mutisias, que será parte del Fideicomiso Retamas, emprendimie</t>
  </si>
  <si>
    <t>CAP6403040</t>
  </si>
  <si>
    <t>DEPARTAMENTO en 1 y 57 LA PLATA</t>
  </si>
  <si>
    <t>DEPARTAMENTO 1 dormitorio en 1 y 57</t>
  </si>
  <si>
    <t>CBU60695 AP6633713</t>
  </si>
  <si>
    <t>Departamento en  Venta en Lujan de Cuyo - Mendoza</t>
  </si>
  <si>
    <t>Azcuenaga s/n</t>
  </si>
  <si>
    <t xml:space="preserve">Argentina | Mendoza | Lujan De Cuyo </t>
  </si>
  <si>
    <t>Cuyo Real</t>
  </si>
  <si>
    <t>(Interior) Compartida Fuera de la Red Captación Propia</t>
  </si>
  <si>
    <t>CLA5824535</t>
  </si>
  <si>
    <t xml:space="preserve">Oportunidad de inversión! Terreno en Tres Cerritos con hermosas vistas de la ciudad. </t>
  </si>
  <si>
    <t>Los Parrales al 800</t>
  </si>
  <si>
    <t>Argentina | Salta | Capital | Salta | Bo.Tres Cerritos</t>
  </si>
  <si>
    <t>CHO6149910</t>
  </si>
  <si>
    <t>Casa en  Venta para reciclar - Tupungato - Mendoza</t>
  </si>
  <si>
    <t>Calle Irigoyen al 200</t>
  </si>
  <si>
    <t>Argentina | Mendoza | Tupungato | San Jose De Tupungato</t>
  </si>
  <si>
    <t>PARANA 3296</t>
  </si>
  <si>
    <t>Argentina | G.B.A. Zona Norte | Vicente López | Olivos</t>
  </si>
  <si>
    <t>CHO6571935</t>
  </si>
  <si>
    <t>Casa en  barrio Sto. Cabral- Santa Fe</t>
  </si>
  <si>
    <t>Pje Madeo  al 4400</t>
  </si>
  <si>
    <t>Argentina | Santa Fe | La Capital | Santa Fe | Sargento Cabral</t>
  </si>
  <si>
    <t>De la Veracruz</t>
  </si>
  <si>
    <t>Búsqueda</t>
  </si>
  <si>
    <t>Tinogasta 3128 5° "A" CABA</t>
  </si>
  <si>
    <t>Ser</t>
  </si>
  <si>
    <t>CPH6286814</t>
  </si>
  <si>
    <t>PH EN MARTINEZ CON COCHERA CUBIERTA JARDIN INTRADA INDIVIDUAL TIPO CHALET</t>
  </si>
  <si>
    <t>VELEZ SARSFIELD 800</t>
  </si>
  <si>
    <t>Argentina | G.B.A. Zona Norte | San Isidro | Martinez</t>
  </si>
  <si>
    <t>CAP6092043</t>
  </si>
  <si>
    <t>Departamento en Villa Santa Rita</t>
  </si>
  <si>
    <t>Camarones  al 3100</t>
  </si>
  <si>
    <t xml:space="preserve">Argentina | Capital Federal | Villa del Parque </t>
  </si>
  <si>
    <t>CPH6260765</t>
  </si>
  <si>
    <t xml:space="preserve">Duplex a Estrenar de 3 Dormitorios en Venta en Confluencia  </t>
  </si>
  <si>
    <t>granaderos al 500</t>
  </si>
  <si>
    <t>Argentina | Neuquen | Capital | Confluencia Urbana</t>
  </si>
  <si>
    <t>Sensus</t>
  </si>
  <si>
    <t>CAP6280063</t>
  </si>
  <si>
    <t>Venta 3 ambientes con patio propio reciclado mas cochera!</t>
  </si>
  <si>
    <t>Avenida Pueyrredon al 2100</t>
  </si>
  <si>
    <t>VAP6500846</t>
  </si>
  <si>
    <t>Departamento en  venta !! OPORTUNIDAD</t>
  </si>
  <si>
    <t>Cramer 1660 al 1600</t>
  </si>
  <si>
    <t xml:space="preserve">Argentina | Capital Federal | Belgrano </t>
  </si>
  <si>
    <t>VHO5927190</t>
  </si>
  <si>
    <t>Casa de Santa Ana Joven - 3 AMB - OPORTUNIDAD- Villanueva</t>
  </si>
  <si>
    <t>Argentina | G.B.A. Zona Norte | Tigre | Benavidez | Santa Ana Joven</t>
  </si>
  <si>
    <t>VHO6454255</t>
  </si>
  <si>
    <t>Casa en Venta - 4 AMB a Estrenar en Santa Isabel II</t>
  </si>
  <si>
    <t>Argentina | G.B.A. Zona Norte | Escobar | Ingeniero Maschwitz</t>
  </si>
  <si>
    <t>TORRES ZAFIRO</t>
  </si>
  <si>
    <t>Ruta 27, Torres Zafiro</t>
  </si>
  <si>
    <t>Argentina | G.B.A. Zona Norte | Tigre | Countries/B.Cerrado (Tigre) | Nordelta</t>
  </si>
  <si>
    <t>Compartida Fuera de la Red Captación Propia</t>
  </si>
  <si>
    <t>CBA47695 LA6368113</t>
  </si>
  <si>
    <t>VENTA terreno de 315,33 m2 en LOTEO "ANTIGUO CAMINO" Bariloche</t>
  </si>
  <si>
    <t>Antiguo Camino, San Carlos de Bariloche</t>
  </si>
  <si>
    <t>Argentina | Rio Negro | Bariloche | San Carlos De Bariloche | Lago Moreno</t>
  </si>
  <si>
    <t>Salcedo 2913</t>
  </si>
  <si>
    <t>CAP6681895</t>
  </si>
  <si>
    <t>Venta Departamento en Pozo, 39m2, Barrio Belgrano</t>
  </si>
  <si>
    <t>salta  al 300</t>
  </si>
  <si>
    <t>Argentina | Rio Negro | Bariloche | San Carlos De Bariloche | Centro</t>
  </si>
  <si>
    <t>CAP6662178</t>
  </si>
  <si>
    <t>Departamento Monoambiente en Venta de pozo en 50 entre 26 y 27</t>
  </si>
  <si>
    <t xml:space="preserve">Departamento Monoambiente en Venta de pozo en 50 entre 26 y 27  </t>
  </si>
  <si>
    <t>CAP6517340</t>
  </si>
  <si>
    <t>VENTA DEPARTAMENTO 3 AMBIENTES EN FLORIDA</t>
  </si>
  <si>
    <t>Vergara al 2300</t>
  </si>
  <si>
    <t>Malaver 2725</t>
  </si>
  <si>
    <t>malaver</t>
  </si>
  <si>
    <t>Argentina | G.B.A. Zona Norte | Vicente López | Florida | Florida Mitre/Este</t>
  </si>
  <si>
    <t>Emi63</t>
  </si>
  <si>
    <t>Casa en Guadalupe</t>
  </si>
  <si>
    <t>Cartel</t>
  </si>
  <si>
    <t>Cardenal Fasolino 466</t>
  </si>
  <si>
    <t>Argentina | Santa Fe | La Capital | Santa Fe</t>
  </si>
  <si>
    <t>VHO6370655</t>
  </si>
  <si>
    <t>Casa en Country Club Privado Loma Verde</t>
  </si>
  <si>
    <t>Casa en Club Privado Loma Verde</t>
  </si>
  <si>
    <t>Argentina | G.B.A. Zona Norte | Escobar | Loma Verde | Country Club Privado Loma Verde</t>
  </si>
  <si>
    <t>Cramer 2547 9B</t>
  </si>
  <si>
    <t>la perdiz</t>
  </si>
  <si>
    <t>Web Coldwell-Banker</t>
  </si>
  <si>
    <t xml:space="preserve">Argentina | G.B.A. Zona Norte | Pilar </t>
  </si>
  <si>
    <t>Compartida en Red (50%)</t>
  </si>
  <si>
    <t>CBU39556 AP3990515</t>
  </si>
  <si>
    <t>VENTA Departamento 2 Ambientes - Monserrat</t>
  </si>
  <si>
    <t>Sáenz Peña al 1000</t>
  </si>
  <si>
    <t xml:space="preserve">Argentina | Capital Federal | Monserrat </t>
  </si>
  <si>
    <t>B cerrado valle claro</t>
  </si>
  <si>
    <t>Argentina | G.B.A. Zona Norte | Tigre | Benavidez</t>
  </si>
  <si>
    <t>Departamento en construcción MBV Manzano Bay View UF XXVI y UC (a designar) de baulera de total de 72,5 m2 (cubierta 58 m2 + Terraza 12 + 2,5 baulera m2)</t>
  </si>
  <si>
    <t>Argentina | Neuquen | Villa La Angostura | Puerto Manzano</t>
  </si>
  <si>
    <t>Master</t>
  </si>
  <si>
    <t>CAP6003828</t>
  </si>
  <si>
    <t xml:space="preserve">Departamento en  Venta Complejo Jardines de Esmeralda </t>
  </si>
  <si>
    <t xml:space="preserve"> Miguel Muñoz al 1000</t>
  </si>
  <si>
    <t xml:space="preserve">Argentina | Rio Negro | Cipolletti </t>
  </si>
  <si>
    <t>CAP6118322</t>
  </si>
  <si>
    <t>Venta Departamento 2 Ambientes a Estrenar en Caseros</t>
  </si>
  <si>
    <t>David Magdalena al 2700</t>
  </si>
  <si>
    <t>Argentina | G.B.A. Zona Oeste | Tres De Febrero | Caseros</t>
  </si>
  <si>
    <t>CAP6625851</t>
  </si>
  <si>
    <t>Venta Departamento 2 ambientes en  Belgrano muy luminoso y silencioso excelente ubicación.</t>
  </si>
  <si>
    <t>OLAZÁBAL al 2000</t>
  </si>
  <si>
    <t>Argentina | Capital Federal | Belgrano | Belgrano Barrancas</t>
  </si>
  <si>
    <t>CAP6566341</t>
  </si>
  <si>
    <t>Depto 2 amb con Jardin Venta- Lagoon Pilar</t>
  </si>
  <si>
    <t>Argentina | G.B.A. Zona Norte | Pilar | Countries/B.Cerrado (Pilar) | Lagoon Pilar</t>
  </si>
  <si>
    <t>North Team</t>
  </si>
  <si>
    <t>CAP6440015</t>
  </si>
  <si>
    <t>VENTA DEPARTAMENTO 3 AMBIENTES BALCON CORRIDO COGHLAN</t>
  </si>
  <si>
    <t>Manuela Pedraza al 3600</t>
  </si>
  <si>
    <t xml:space="preserve">Argentina | Capital Federal | Coghlan </t>
  </si>
  <si>
    <t>CAP6420218</t>
  </si>
  <si>
    <t>Venta Departamento Monoambiente con Balcón y Cochera en Las Cañitas</t>
  </si>
  <si>
    <t>Eslovenia 1900</t>
  </si>
  <si>
    <t>Argentina | Capital Federal | Palermo | Las Cañitas</t>
  </si>
  <si>
    <t>CPN55403 AP6593779</t>
  </si>
  <si>
    <t>Venta OPORTUNIDAD Departamento 3 ambientes a estrenar - Lagoon Pilar</t>
  </si>
  <si>
    <t>CHO5699741</t>
  </si>
  <si>
    <t>VENTA  CASA  LOTE PROPIO 6 AMBIENTES DOS COCHERAS PISCINA TERRAZA JARDIN TERRAZA</t>
  </si>
  <si>
    <t>Sargento Cabral  al 3200</t>
  </si>
  <si>
    <t>Argentina | G.B.A. Zona Norte | Vicente López | Munro | Munro-Este</t>
  </si>
  <si>
    <t>Pola 2800</t>
  </si>
  <si>
    <t>POLA 2855 DPTO 3</t>
  </si>
  <si>
    <t xml:space="preserve">Argentina | Capital Federal | Villa Lugano </t>
  </si>
  <si>
    <t>CLA6695688</t>
  </si>
  <si>
    <t>VENTA Lote/Terreno 1.651,30m2 Las Marías del Valle, Club de campo, San Martín de los Andes</t>
  </si>
  <si>
    <t xml:space="preserve"> RN 40  al 2200</t>
  </si>
  <si>
    <t>Argentina | Neuquen | Lacar | San Martin De Los Andes | Las Marias Del Valle</t>
  </si>
  <si>
    <t>CAP6700432</t>
  </si>
  <si>
    <t>Departamento en venta Barrio Parque Belgrano - Zona Norte - Salta Capital</t>
  </si>
  <si>
    <t>Barrio Parque Belgrano Block 17</t>
  </si>
  <si>
    <t>Argentina | Salta | Capital | Salta | Zona Norte</t>
  </si>
  <si>
    <t>CAP6639397</t>
  </si>
  <si>
    <t>VENTA monoambiente apto turismo, San Carlos de Bariloche</t>
  </si>
  <si>
    <t>Centro, San Carlos de Bariloche</t>
  </si>
  <si>
    <t>CBU60233 AP6592855</t>
  </si>
  <si>
    <t>Venta Departamento Monoambiente Apto turismo a 5 minutos del centro</t>
  </si>
  <si>
    <t>Avenida Pioneros, San Carlos de Bariloche</t>
  </si>
  <si>
    <t>CHO6053791</t>
  </si>
  <si>
    <t>Casa con gran terreno! OPORTUNIDAD!</t>
  </si>
  <si>
    <t>OPORTUNIDAD CASA CON GRAN TERRENO 3 dormitorios , JJ Castelli 4300</t>
  </si>
  <si>
    <t>CLA5945502</t>
  </si>
  <si>
    <t>Terreno Lote en  Venta El Canton Golf</t>
  </si>
  <si>
    <t>El Canton Golf 20</t>
  </si>
  <si>
    <t>Argentina | G.B.A. Zona Norte | Escobar | Countries/B.Cerrado (Escobar) | El Canton - Golf</t>
  </si>
  <si>
    <t>CLO6479075</t>
  </si>
  <si>
    <t>Local en  venta en Barrio Norte</t>
  </si>
  <si>
    <t>Charcas  al 2500</t>
  </si>
  <si>
    <t xml:space="preserve">Argentina | Capital Federal | Barrio Norte </t>
  </si>
  <si>
    <t>CPH6681869</t>
  </si>
  <si>
    <t xml:space="preserve">Duplex en  Altos de Limay </t>
  </si>
  <si>
    <t xml:space="preserve"> Altos de Limay, Neuquén </t>
  </si>
  <si>
    <t xml:space="preserve">Argentina | Neuquen | Capital </t>
  </si>
  <si>
    <t>CHO5706080</t>
  </si>
  <si>
    <t>Casa en Luis Guillon- 4 AMBIENTES - COCHERA - PARRILLA- QUINCHO-PERMUTA EN LA COSTA</t>
  </si>
  <si>
    <t>Bruzzone</t>
  </si>
  <si>
    <t>Argentina | G.B.A. Zona Sur | Esteban Echeverria | Luis Guillon</t>
  </si>
  <si>
    <t>CAP6692162</t>
  </si>
  <si>
    <t xml:space="preserve">Departamento en  Venta , Centrico, Edificio Jujuy . </t>
  </si>
  <si>
    <t>Edificio Jujuy  al 300, Neuquen Capital .</t>
  </si>
  <si>
    <t>CPH6339980</t>
  </si>
  <si>
    <t xml:space="preserve">VENTA Departamento PH, Pinar de Festa </t>
  </si>
  <si>
    <t>Pinar de Festa, San Carlos de Bariloche</t>
  </si>
  <si>
    <t>Argentina | Rio Negro | Bariloche | San Carlos De Bariloche | Pinar de Festa</t>
  </si>
  <si>
    <t xml:space="preserve"> CHO6750139</t>
  </si>
  <si>
    <t>Old man 704, lote 480</t>
  </si>
  <si>
    <t>Argentina | G.B.A. Zona Norte | Escobar | Countries/B.Cerrado (Escobar) | Haras Santa Maria</t>
  </si>
  <si>
    <t>Casa venta Santa Ines</t>
  </si>
  <si>
    <t xml:space="preserve">Casa venta Santa Ines </t>
  </si>
  <si>
    <t xml:space="preserve">Argentina | G.B.A. Zona Sur | Ezeiza </t>
  </si>
  <si>
    <t>Livello</t>
  </si>
  <si>
    <t>CLA6660815</t>
  </si>
  <si>
    <t>VENTA  Lote 805m2 10 Manzana A  POSTAL PATAGONIA  San Martin de los Andes</t>
  </si>
  <si>
    <t>Ruta 40</t>
  </si>
  <si>
    <t>Argentina | Neuquen | Lacar | San Martin De Los Andes | Centro</t>
  </si>
  <si>
    <t>CAP6382284</t>
  </si>
  <si>
    <t>MONOAMBIENTE PREMIUM</t>
  </si>
  <si>
    <t>San Martin   al 425</t>
  </si>
  <si>
    <t>Argentina | Neuquen | Confluencia | Neuquen</t>
  </si>
  <si>
    <t>CAP5978284</t>
  </si>
  <si>
    <t>Venta - Departamento - 4 Ambientes - Luminoso - Parque Avellaneda</t>
  </si>
  <si>
    <t>Directorio  al 4000</t>
  </si>
  <si>
    <t xml:space="preserve">Argentina | Capital Federal | Parque Avellaneda </t>
  </si>
  <si>
    <t>Lautaro 46</t>
  </si>
  <si>
    <t>CHO4635234</t>
  </si>
  <si>
    <t>Casa - Villa Santos Tesei</t>
  </si>
  <si>
    <t>Santa Monica al 4100</t>
  </si>
  <si>
    <t>Argentina | G.B.A. Zona Oeste | Hurlingham | Villa Santos Tesei</t>
  </si>
  <si>
    <t>CHO5741428</t>
  </si>
  <si>
    <t>Casa en Barrio Sargento Cabral</t>
  </si>
  <si>
    <t>Sarmiento al 5300</t>
  </si>
  <si>
    <t>CAP6516212</t>
  </si>
  <si>
    <t>Departamento 3 ambientes - A Estrenar con Cochera - Beccar</t>
  </si>
  <si>
    <t>Departamento 3 ambientes a estrenar en Beccar</t>
  </si>
  <si>
    <t>Argentina | G.B.A. Zona Norte | San Isidro | Beccar</t>
  </si>
  <si>
    <t>CHO6603149</t>
  </si>
  <si>
    <t xml:space="preserve">CASA A LA VENTA EN BERISSO </t>
  </si>
  <si>
    <t>Argentina | G.B.A. Zona Sur | Berisso | Berisso</t>
  </si>
  <si>
    <t>CPH5961166</t>
  </si>
  <si>
    <t>Espectacular PH 5 Ambientes Con Patio/Gran Terraza</t>
  </si>
  <si>
    <t>Honduras 4000</t>
  </si>
  <si>
    <t>VPN7622 LA4688472</t>
  </si>
  <si>
    <t>VENTA LOTE INTERNO - Bahía VILLANUEVA</t>
  </si>
  <si>
    <t xml:space="preserve">BAHIA VILLANUEVA </t>
  </si>
  <si>
    <t>Argentina | G.B.A. Zona Norte | Tigre | Countries/B.Cerrado (Tigre) | Villanueva | Bahia</t>
  </si>
  <si>
    <t>VHO6475900</t>
  </si>
  <si>
    <t>Casa en Venta - Haras Santa María, El Molino Sur - 5 Ambientes</t>
  </si>
  <si>
    <t>Haras Santa Maria, El Molino Sur</t>
  </si>
  <si>
    <t>Argentina | G.B.A. Zona Norte | Escobar | Countries/B.Cerrado (Escobar) | Haras Santa Maria | El Molino Sur</t>
  </si>
  <si>
    <t>VPN55315 LA5976242</t>
  </si>
  <si>
    <t xml:space="preserve">Lote Interno en Venta, La Serena, General Rodriguez </t>
  </si>
  <si>
    <t>Instagram</t>
  </si>
  <si>
    <t xml:space="preserve">Venta lote La Serena Barrio Cerrado Gral Rodriguez, Ruta 28   </t>
  </si>
  <si>
    <t>Argentina | G.B.A. Zona Oeste | General Rodriguez | Countries/B.Cerrado (G. Rodriguez)</t>
  </si>
  <si>
    <t>CPH5661202</t>
  </si>
  <si>
    <t>PH DE 2 AMB CON PATIO EN FLORES</t>
  </si>
  <si>
    <t>YERBAL 3100</t>
  </si>
  <si>
    <t>AHO6355214</t>
  </si>
  <si>
    <t>Casa de 3 amb en Lomas de Zamora</t>
  </si>
  <si>
    <t>Segunda Andes al 1100</t>
  </si>
  <si>
    <t>Argentina | G.B.A. Zona Sur | Lomas De Zamora (Partido) | Lomas De Zamora | Lomas de Zamora Oeste</t>
  </si>
  <si>
    <t>Desiderio</t>
  </si>
  <si>
    <t>VLA5679751</t>
  </si>
  <si>
    <t>Terreno en  Pilar Barrio Privado Verona</t>
  </si>
  <si>
    <t>Lote Perimetral Verona Pilar</t>
  </si>
  <si>
    <t>Argentina | G.B.A. Zona Norte | Pilar | Countries/B.Cerrado (Pilar) | Verona Pilar</t>
  </si>
  <si>
    <t>CAP6465196</t>
  </si>
  <si>
    <t>VENTA DEPARTAMENTO 3 AMBIENTES C/ BALCON AL FRENTE Y VISTA ABIERTA. COLEGIALES. APTO CREDITO.</t>
  </si>
  <si>
    <t>Cespedes y Av. Cabildo</t>
  </si>
  <si>
    <t xml:space="preserve">Argentina | Capital Federal | Colegiales </t>
  </si>
  <si>
    <t>CLA6239420</t>
  </si>
  <si>
    <t>Venta terreno/lote en Mataderos</t>
  </si>
  <si>
    <t>Basualdo  al 900</t>
  </si>
  <si>
    <t xml:space="preserve">Argentina | Capital Federal | Mataderos </t>
  </si>
  <si>
    <t>VLA5679693</t>
  </si>
  <si>
    <t>Venta Lote interno Verona - Pilar</t>
  </si>
  <si>
    <t>APH5198583</t>
  </si>
  <si>
    <t>PH 5 ambientes con quincho y terraza</t>
  </si>
  <si>
    <t>Chivilcoy 4800</t>
  </si>
  <si>
    <t xml:space="preserve">Argentina | Capital Federal | Villa Devoto </t>
  </si>
  <si>
    <t>CBU60233 AP6592888</t>
  </si>
  <si>
    <t>Venta Departamento Tres Ambientes vista al lago a 5 minutos del centro</t>
  </si>
  <si>
    <t>Avenida Pioneros Km 2, San Carlos de Bariloche</t>
  </si>
  <si>
    <t>Valentin Vergara 1471</t>
  </si>
  <si>
    <t>Argentina | G.B.A. Zona Sur | Lomas De Zamora (Partido) | Banfield</t>
  </si>
  <si>
    <t>CAP6563369</t>
  </si>
  <si>
    <t>Venta Departamento 3 ambientes con dependencia y balcon Piso alto en Recoleta - Barrio Norte</t>
  </si>
  <si>
    <t>Junin  al 400</t>
  </si>
  <si>
    <t>calle 14 del Luján 306</t>
  </si>
  <si>
    <t>ESCOBAR</t>
  </si>
  <si>
    <t xml:space="preserve">Argentina | G.B.A. Zona Norte | Escobar </t>
  </si>
  <si>
    <t>Referido - Bariloche</t>
  </si>
  <si>
    <t xml:space="preserve">Argentina | Rio Negro | Bariloche </t>
  </si>
  <si>
    <t>Profesional Referenciador (30%)</t>
  </si>
  <si>
    <t>CAP5970035</t>
  </si>
  <si>
    <t>Departamento 4 ambientes Nuñez TODO A NUEVO Luminoso VENTA Seguridad</t>
  </si>
  <si>
    <t>Manzanares al 1800</t>
  </si>
  <si>
    <t xml:space="preserve">Argentina | Capital Federal | Nuñez </t>
  </si>
  <si>
    <t>italia 4545</t>
  </si>
  <si>
    <t>CAP6556808</t>
  </si>
  <si>
    <t>Departamento 3 ambientes  en ALQUILER en Arboris Las Lomas - San Isidro</t>
  </si>
  <si>
    <t>don bosco al 1500 ARBORIS LAS LOMAS</t>
  </si>
  <si>
    <t>Argentina | G.B.A. Zona Norte | San Isidro | Arboris Las Lomas</t>
  </si>
  <si>
    <t>CHO6606168</t>
  </si>
  <si>
    <t>Casa QUINCHO EN VILLA EL CHOCON</t>
  </si>
  <si>
    <t>S.N</t>
  </si>
  <si>
    <t>Argentina | Neuquen | Confluencia | Villa El Chocon</t>
  </si>
  <si>
    <t>CPH6643473</t>
  </si>
  <si>
    <t>Venta PH 3 ambientes Patio Wilde</t>
  </si>
  <si>
    <t>Lartigau 555</t>
  </si>
  <si>
    <t>Argentina | G.B.A. Zona Sur | Avellaneda | Wilde</t>
  </si>
  <si>
    <t>CLA6713319</t>
  </si>
  <si>
    <t>Terreno en Confluencia</t>
  </si>
  <si>
    <t>Belisle</t>
  </si>
  <si>
    <t>Argentina | Neuquen | Capital | Confluencia Rural</t>
  </si>
  <si>
    <t>CAP6435586</t>
  </si>
  <si>
    <t>Venta Departamento Monoambiente en Devoto.</t>
  </si>
  <si>
    <t>Bahía Blanca al 3300</t>
  </si>
  <si>
    <t>Audacity</t>
  </si>
  <si>
    <t>CAP6492091</t>
  </si>
  <si>
    <t>Departamento en  Cipolletti</t>
  </si>
  <si>
    <t>San Martin al 700</t>
  </si>
  <si>
    <t>CAP6355833</t>
  </si>
  <si>
    <t>Departamento en Área Centro Oeste</t>
  </si>
  <si>
    <t>DPTO 1 DORMITORIO NEUQUEN (CERCA DE HIPER DE LA ANONIMA Y CONSEJO DE EDUCACION)</t>
  </si>
  <si>
    <t>Argentina | Neuquen | Capital | Área Centro Oeste</t>
  </si>
  <si>
    <t>CAP6598331</t>
  </si>
  <si>
    <t xml:space="preserve">Departamento 3 ambientes con balcon y baño completo </t>
  </si>
  <si>
    <t>san luis al 3100</t>
  </si>
  <si>
    <t xml:space="preserve">Argentina | Capital Federal | Balvanera </t>
  </si>
  <si>
    <t>Altos de Podesta - Manzana 25 Casa 16</t>
  </si>
  <si>
    <t>CHO6642786</t>
  </si>
  <si>
    <t>Casa en venta en neuquen capital</t>
  </si>
  <si>
    <t>chocon  al 2000</t>
  </si>
  <si>
    <t>CAP6446046</t>
  </si>
  <si>
    <t>VENTA DEPARTAMENTO 2 AMBIENTES CON BALCÓN Y GARAGE -  LOMAS DE ZAMORA</t>
  </si>
  <si>
    <t>AVENIDA ALMIRANTE BROWN al 2200</t>
  </si>
  <si>
    <t>Argentina | G.B.A. Zona Sur | Lomas De Zamora (Partido) | Lomas De Zamora | Lomas de Zamora Este</t>
  </si>
  <si>
    <t>CAP6398751</t>
  </si>
  <si>
    <t>VENTA EXCELENTE DEPARTAMENTO  3 AMBIENTES CON COCHERA</t>
  </si>
  <si>
    <t>Charlone  al 1200</t>
  </si>
  <si>
    <t xml:space="preserve">Argentina | Capital Federal | Chacarita </t>
  </si>
  <si>
    <t>CAP6287723</t>
  </si>
  <si>
    <t>Departamento 5 Ambientes   Balcon  y Terraza en Belgrano R</t>
  </si>
  <si>
    <t>Av de los Incas  al 3800</t>
  </si>
  <si>
    <t>Argentina | Capital Federal | Belgrano | Belgrano R</t>
  </si>
  <si>
    <t>COF6644752</t>
  </si>
  <si>
    <t>Monoambiente en Venta - Apto vivienda o apto profesional - Studios - Ayres Vila</t>
  </si>
  <si>
    <t>Argentina | G.B.A. Zona Norte | Pilar | Manuel Alberti | STUDIOS Work &amp; Live</t>
  </si>
  <si>
    <t>CBU58163 AP6335569</t>
  </si>
  <si>
    <t>Departamento - Recoleta</t>
  </si>
  <si>
    <t>Rodriguez Peña  1136 - 3 A</t>
  </si>
  <si>
    <t>CAP6614633</t>
  </si>
  <si>
    <t>VENTA DEPARTAMENTO 3 AMBIENTES DUPLEX EN VILLA DEVOTO</t>
  </si>
  <si>
    <t>Av Segurola  al 3200</t>
  </si>
  <si>
    <t>Migueletes 524</t>
  </si>
  <si>
    <t>CHO6608939</t>
  </si>
  <si>
    <t>Venta Espectacular Casa de 5 ambientes en  Palermo Hollywood</t>
  </si>
  <si>
    <t>Angel Carranza al 1700</t>
  </si>
  <si>
    <t>Argentina | Capital Federal | Palermo | Palermo Hollywood</t>
  </si>
  <si>
    <t>Av. Álvarez Thomas 827</t>
  </si>
  <si>
    <t>Lote 1N de 950.12 M2 ubicado en loteo “jarama”, nomenclatura catastral (lote madre) 16-20-062-9693-0000, de la ciudad de Villa la Angostura,</t>
  </si>
  <si>
    <t>Libertad 200</t>
  </si>
  <si>
    <t>CAP6316140</t>
  </si>
  <si>
    <t>VENTA Departamento 3 Ambientes con Patio en PALERMO, PALERMO SOHO</t>
  </si>
  <si>
    <t>Coronel Diaz al 1800</t>
  </si>
  <si>
    <t>Argentina | Capital Federal | Palermo | Palermo Soho</t>
  </si>
  <si>
    <t>CHO5238945</t>
  </si>
  <si>
    <t>Casa en venta centro calle Independencia al 300</t>
  </si>
  <si>
    <t>Independencia al 200</t>
  </si>
  <si>
    <t>Argentina | Jujuy | Dr Manuel Belgrano | San Salvador De Jujuy | Centro</t>
  </si>
  <si>
    <t>Plaza</t>
  </si>
  <si>
    <t>VAP6391198</t>
  </si>
  <si>
    <t>Departamento en Venta - 4 AMB - Santa Ana Joven</t>
  </si>
  <si>
    <t>Avenida Italia al 4300</t>
  </si>
  <si>
    <t>Campo Salles</t>
  </si>
  <si>
    <t>Departamento venta Campo Salles</t>
  </si>
  <si>
    <t>Rio Dulce</t>
  </si>
  <si>
    <t>Casa Rio Dulce</t>
  </si>
  <si>
    <t xml:space="preserve">Argentina | Neuquen | Capital | Área Centro Este </t>
  </si>
  <si>
    <t>CBU60695 AP6633715</t>
  </si>
  <si>
    <t>CPH6427458</t>
  </si>
  <si>
    <t>VENTA PH OPORTUNIDAD VILLA DEVOTO</t>
  </si>
  <si>
    <t>Alejandro Margariños Cervantes  al 3700</t>
  </si>
  <si>
    <t>Quality</t>
  </si>
  <si>
    <t>CAP6674356</t>
  </si>
  <si>
    <t>EN NEGOCIACION Venta Departamento Monoambiente con Balcón al frente y amenities en Palermo Hollywood</t>
  </si>
  <si>
    <t>AV CORDOBA al 5800</t>
  </si>
  <si>
    <t>Av. Alvarez Thomas 805</t>
  </si>
  <si>
    <t>CHO5663532</t>
  </si>
  <si>
    <t>VENTA Casa 5 ambientes en Olivos con jardín y cochera</t>
  </si>
  <si>
    <t>Juan Bautista Alberdi al 1900</t>
  </si>
  <si>
    <t>UF N° 23 de 407,04 m2 Loteo B, Loteo Quetrihue</t>
  </si>
  <si>
    <t>Bv. Quetrihue y Bv. Amancay</t>
  </si>
  <si>
    <t>Argentina | Neuquen | Villa La Angostura | Selva Triste</t>
  </si>
  <si>
    <t>CLA6284234</t>
  </si>
  <si>
    <t>Terreno en  calpa</t>
  </si>
  <si>
    <t>TERRENO EN CALPA NEUQUEN (CERCA DE LA CONFLUENCIA DE LOS RIOS)</t>
  </si>
  <si>
    <t>CAP6314403</t>
  </si>
  <si>
    <t>Venta Departamento 2 ambientes en Vista Belgrano</t>
  </si>
  <si>
    <t>Ciudad de la Paz  al 2300</t>
  </si>
  <si>
    <t>Uf 52 Paseo Retamas Monoambiente 39,95 m3</t>
  </si>
  <si>
    <t>CHO1168737</t>
  </si>
  <si>
    <t>VENTA - Casa - Loma Hermosa - permuta - villa bosch - coronado -</t>
  </si>
  <si>
    <t>RIO ATUEL al 9800</t>
  </si>
  <si>
    <t>Argentina | G.B.A. Zona Oeste | Tres De Febrero | Loma Hermosa</t>
  </si>
  <si>
    <t>Boutique</t>
  </si>
  <si>
    <t>Estados Unidos    1342 1° Dpto G</t>
  </si>
  <si>
    <t xml:space="preserve">Argentina | Capital Federal | San Telmo </t>
  </si>
  <si>
    <t>VAP6563252</t>
  </si>
  <si>
    <t>Departamento en  venta 2 ambientes en Palermo. Cañitas.  Libertador y Matienzo</t>
  </si>
  <si>
    <t>Av. Libertador  al 4600</t>
  </si>
  <si>
    <t>Space BA</t>
  </si>
  <si>
    <t>CAP6242053</t>
  </si>
  <si>
    <t>COMERCIALIZACION - TIPO DE INMUEBLE - CANT AMBIENTES - UBICACION - DISTINTIVO</t>
  </si>
  <si>
    <t>Arenales al 1900</t>
  </si>
  <si>
    <t>CHO5742397</t>
  </si>
  <si>
    <t>Casa en  Venta Libertad 500 Nqn Capital</t>
  </si>
  <si>
    <t>Libertad 500</t>
  </si>
  <si>
    <t>Argentina | Neuquen | Capital | Área Centro Sur</t>
  </si>
  <si>
    <t>CAP6393722</t>
  </si>
  <si>
    <t>Departamento en  Villa Santa Rita</t>
  </si>
  <si>
    <t>Remedios Escalada de San Martín 2700 Villa Santa Rita Complejo Los Naranjos</t>
  </si>
  <si>
    <t xml:space="preserve">Argentina | Capital Federal | Villa Santa Rita </t>
  </si>
  <si>
    <t>Departamento al LAGO con opción de muebles - El Palmar</t>
  </si>
  <si>
    <t>INFINITY al 100</t>
  </si>
  <si>
    <t>Argentina | G.B.A. Zona Norte | Tigre | Countries/B.Cerrado (Tigre) | Nordelta | El Palmar</t>
  </si>
  <si>
    <t>CHO5827343</t>
  </si>
  <si>
    <t>VENTA Casa km 16, 2 dormitorios, 900 m2 terreno/lote, Bariloche</t>
  </si>
  <si>
    <t>Valle Encantado, San Carlos de Bariloche</t>
  </si>
  <si>
    <t>Argentina | Rio Negro | Bariloche | San Carlos De Bariloche | Valle Escondido</t>
  </si>
  <si>
    <t>CLA6351991</t>
  </si>
  <si>
    <t>VENTA Lote/terreno de 407,04 m2, UF 26 loteo Quetrihue B° Selva Triste Villa la Angostura</t>
  </si>
  <si>
    <t xml:space="preserve">Quetrihue </t>
  </si>
  <si>
    <t>Argentina | Neuquen | Villa La Angostura | Puerto</t>
  </si>
  <si>
    <t>CAP6647785</t>
  </si>
  <si>
    <t>Monoambiente  en  venta en macrocentro Salta</t>
  </si>
  <si>
    <t>GRAL GUEMES al 1400</t>
  </si>
  <si>
    <t>CBU60233 AP6592853</t>
  </si>
  <si>
    <t>Venta Departamento Monoambiente vista al lago a 5 minutos del centro</t>
  </si>
  <si>
    <t>Av independencia 3270</t>
  </si>
  <si>
    <t xml:space="preserve">Argentina | Capital Federal | San Cristobal </t>
  </si>
  <si>
    <t>CAP6536377</t>
  </si>
  <si>
    <t>VENTA 2 ambientes con cochera Belgrano apto prof</t>
  </si>
  <si>
    <t>Migueletes  al 1700</t>
  </si>
  <si>
    <t>CAP6480746</t>
  </si>
  <si>
    <t xml:space="preserve">Venta 3 amb refaccionado a nuevo </t>
  </si>
  <si>
    <t>Ayacucho  al 600</t>
  </si>
  <si>
    <t>CAP5421831</t>
  </si>
  <si>
    <t>VENTA DEPARTAMENTO 3/4 AMBIENTES EN RECOLETA RECICLADO</t>
  </si>
  <si>
    <t>PUEYRREDON al 1900</t>
  </si>
  <si>
    <t>CBU60233 AP6592851</t>
  </si>
  <si>
    <t>CAP6636606</t>
  </si>
  <si>
    <t>VENTA MONOAMBIENTE CON BALCÓN EN BELGRANO R</t>
  </si>
  <si>
    <t>Av. Dr. Rómulo Naón al 2300</t>
  </si>
  <si>
    <t>CAP6805955</t>
  </si>
  <si>
    <t>Departamento en La Plata</t>
  </si>
  <si>
    <t>DIAG 79 Y 55</t>
  </si>
  <si>
    <t>CAP6805445</t>
  </si>
  <si>
    <t>DEPTO 13 58 Y 59</t>
  </si>
  <si>
    <t>Sebastian Gaboto 197</t>
  </si>
  <si>
    <t>sebastian gaboto 197</t>
  </si>
  <si>
    <t>Argentina | G.B.A. Zona Sur | Berazategui | Guillermo E Hudson</t>
  </si>
  <si>
    <t>CHO6482562</t>
  </si>
  <si>
    <t>Casa en  Venta en Godoy Cruz - Mendoza</t>
  </si>
  <si>
    <t>Renato Zanzin al 1600</t>
  </si>
  <si>
    <t xml:space="preserve">Argentina | Mendoza | Godoy Cruz </t>
  </si>
  <si>
    <t>CHO6728128</t>
  </si>
  <si>
    <t xml:space="preserve">Venta casa 3 habitaciones barrio privado maipu </t>
  </si>
  <si>
    <t>Videla Castillo</t>
  </si>
  <si>
    <t xml:space="preserve">Argentina | Mendoza | Maipu </t>
  </si>
  <si>
    <t>GustavoRemax</t>
  </si>
  <si>
    <t>Bariloche KM 5 Furman y Horacio Cruz</t>
  </si>
  <si>
    <t>Aguilar 2104</t>
  </si>
  <si>
    <t>CHO6581295</t>
  </si>
  <si>
    <t>VENTA casa principal   casa de Hues- Península San Pedro, S. C. de Bariloche</t>
  </si>
  <si>
    <t>Península San Pedro, San Carlos de  Bariloche</t>
  </si>
  <si>
    <t>Argentina | Rio Negro | Bariloche | San Carlos De Bariloche | Península de San Pedro</t>
  </si>
  <si>
    <t>CHO6614984</t>
  </si>
  <si>
    <t>Casa en  Venta , Ruta Nacional 22, Cervantes</t>
  </si>
  <si>
    <t xml:space="preserve">Loteo Peumayen , Cervantes , Gral Roca </t>
  </si>
  <si>
    <t>Argentina | Rio Negro | General Roca | Cervantes</t>
  </si>
  <si>
    <t>VCO59064 AP6619545</t>
  </si>
  <si>
    <t>Departamento Financiado 3 AMB en Altos de Maschwitz</t>
  </si>
  <si>
    <t>Argentina | G.B.A. Zona Norte | Escobar | Ingeniero Maschwitz | Altos de Maschwitz</t>
  </si>
  <si>
    <t>CAP6450767</t>
  </si>
  <si>
    <t>Departamento en  VENTA 2 ambientes  VILLA URQUIZA  BALCON VISTA ABIERTA</t>
  </si>
  <si>
    <t>Av. Triunvirato al 3900</t>
  </si>
  <si>
    <t>Argentina | Capital Federal | Villa Urquiza | Urquiza R</t>
  </si>
  <si>
    <t>CAP6552523</t>
  </si>
  <si>
    <t>*RESERVADO* DEPARTAMENTO 3 AMB BALCON Y DEPENDENCIA</t>
  </si>
  <si>
    <t>Boulogne Sur Mer al 470</t>
  </si>
  <si>
    <t>CAP6306654</t>
  </si>
  <si>
    <t>Venta dos ambientes a estrenar amenities de categoria (Belgrano)</t>
  </si>
  <si>
    <t>Cramer  al 2547</t>
  </si>
  <si>
    <t>CHO6418896</t>
  </si>
  <si>
    <t>VENTA casa de 3 dormitorios, con excelente vista, Melipal, San Carlos de Bariloche</t>
  </si>
  <si>
    <t>Mariano Moreno  al 4600 El Faldeo Bariloche</t>
  </si>
  <si>
    <t>Argentina | Rio Negro | Bariloche | San Carlos De Bariloche | Melipal</t>
  </si>
  <si>
    <t>CPH6440645</t>
  </si>
  <si>
    <t>Hermoso PH 3 ambientes con Patio y Cochera</t>
  </si>
  <si>
    <t>Guevara al 1500</t>
  </si>
  <si>
    <t>CHO6610778</t>
  </si>
  <si>
    <t>Casa en  macro centro</t>
  </si>
  <si>
    <t>Urquiza  al 1800</t>
  </si>
  <si>
    <t>CAP5887847</t>
  </si>
  <si>
    <t>Departamento en  venta céntrico de 3amb Bariloche</t>
  </si>
  <si>
    <t>VHO5826521</t>
  </si>
  <si>
    <t>Casa al rio en venta en Naudir Aguas Privadas - Con Piscina - Amarra - A Estrenar</t>
  </si>
  <si>
    <t>Casa al rio en venta en Naudir Aguas Privadas</t>
  </si>
  <si>
    <t>Argentina | G.B.A. Zona Norte | Escobar | Countries/B.Cerrado (Escobar) | El Naudir</t>
  </si>
  <si>
    <t>CLA6351579</t>
  </si>
  <si>
    <t>VENTA Lote/Terreno 407m2 UF24 loteo Quetrihue B° Selva Triste Villa la Angostura</t>
  </si>
  <si>
    <t>CAP6317207</t>
  </si>
  <si>
    <t>VENTA Monoambiente 37m2 c/cochera cubierta y baulera, céntrico Apto Turístico, Villa La Angostura</t>
  </si>
  <si>
    <t>Complejo Patagonia Etapa II</t>
  </si>
  <si>
    <t>CAP6601171</t>
  </si>
  <si>
    <t>Departamento en  Santa Genoveva</t>
  </si>
  <si>
    <t>Entre Rios al 900</t>
  </si>
  <si>
    <t>Argentina | Neuquen | Capital | Santa Genoveva</t>
  </si>
  <si>
    <t>APH6681646</t>
  </si>
  <si>
    <t xml:space="preserve">PH 2 ambientes con patio en Monte Castro  </t>
  </si>
  <si>
    <t>Pasaje Jose Verdi 1860</t>
  </si>
  <si>
    <t xml:space="preserve">Argentina | Capital Federal | Monte Castro </t>
  </si>
  <si>
    <t>CLA6382117</t>
  </si>
  <si>
    <t>Terreno en Ituzaingó</t>
  </si>
  <si>
    <t>Atacama  al 900</t>
  </si>
  <si>
    <t>Argentina | Corrientes | Ituzaingó | Ituzaingó | Ituzaingó</t>
  </si>
  <si>
    <t>VAP5776863</t>
  </si>
  <si>
    <t>Duplex en Venta de 3 ambientes en el Barrio Altos del Encuentro en Pacheco / Benavidez</t>
  </si>
  <si>
    <t>Departamento 2 dormitorios con parrilla en Barrio Altos del Encuentro en Pacheco / Benavidez</t>
  </si>
  <si>
    <t>Argentina | G.B.A. Zona Norte | Tigre | Countries/B.Cerrado (Tigre) | Altos del Encuentro</t>
  </si>
  <si>
    <t>CHO6106676</t>
  </si>
  <si>
    <t>Casa en  venta Barrio Grand Bourg</t>
  </si>
  <si>
    <t xml:space="preserve">  BARRIO GRAND BOURG</t>
  </si>
  <si>
    <t>Argentina | Salta | Capital | Salta | Bo.Grand Bourg</t>
  </si>
  <si>
    <t>CHO6123521</t>
  </si>
  <si>
    <t>VENTA Casa 2 habitaciones 93m2 en lote de 846 m2 Tres Cerros  Villa la Angostura</t>
  </si>
  <si>
    <t>Río Minero 100</t>
  </si>
  <si>
    <t>Argentina | Neuquen | Villa La Angostura | Tres Cerros</t>
  </si>
  <si>
    <t>VLA6614018</t>
  </si>
  <si>
    <t>Lote a la Laguna - Laguna Grande, Villanueva</t>
  </si>
  <si>
    <t>Argentina | G.B.A. Zona Norte | Tigre | Countries/B.Cerrado (Tigre) | Villanueva | Laguna Grande</t>
  </si>
  <si>
    <t>CAP6188138</t>
  </si>
  <si>
    <t>Venta -  Departamento - Semipiso-   Recoleta -  4 Ambientes - 5 Ambientes</t>
  </si>
  <si>
    <t>Arenales  al 2400</t>
  </si>
  <si>
    <t>CLA5985244</t>
  </si>
  <si>
    <t>Venta Terreno en Barrio Magallanes Hudson 600m2 - Acepta permuta</t>
  </si>
  <si>
    <t>Calle 63 S/N</t>
  </si>
  <si>
    <t>Argentina | G.B.A. Zona Sur | Berazategui | Countries/B.Cerrado (Berazategui) | Magallanes</t>
  </si>
  <si>
    <t>CHO6809753</t>
  </si>
  <si>
    <t>Casa en Loma Verde, Barrio Mi Campo</t>
  </si>
  <si>
    <t>County Mi Campo</t>
  </si>
  <si>
    <t>Argentina | G.B.A. Zona Norte | Escobar | Loma Verde</t>
  </si>
  <si>
    <t>VHO6768457</t>
  </si>
  <si>
    <t>Casa en Venta con Jardín en Santa Ana Joven - Villanueva</t>
  </si>
  <si>
    <t>CAP6058620</t>
  </si>
  <si>
    <t>Departamento en Recoleta</t>
  </si>
  <si>
    <t>Laprida  al 1400</t>
  </si>
  <si>
    <t>Destino II</t>
  </si>
  <si>
    <t>Jacinto Diaz 948</t>
  </si>
  <si>
    <t>CAP6167344</t>
  </si>
  <si>
    <t xml:space="preserve">Departamento con pileta propia  - OSTEN TOWER - Puerto Madero </t>
  </si>
  <si>
    <t>Camila O'Gorman  al 400</t>
  </si>
  <si>
    <t xml:space="preserve">Argentina | Capital Federal | Puerto Madero </t>
  </si>
  <si>
    <t>Local 5</t>
  </si>
  <si>
    <t>Local 5 Saltos</t>
  </si>
  <si>
    <t>5 saltos</t>
  </si>
  <si>
    <t>Argentina | Rio Negro | General Roca | Cinco Saltos</t>
  </si>
  <si>
    <t>CLA5599338</t>
  </si>
  <si>
    <t>Terreno en Triple Frente en Venta Apto Varios Destinos o  Desarrollo de Condominio</t>
  </si>
  <si>
    <t>Conesa</t>
  </si>
  <si>
    <t xml:space="preserve">Av Del Libertador 1137 </t>
  </si>
  <si>
    <t xml:space="preserve">Argentina | G.B.A. Zona Norte | Vicente López </t>
  </si>
  <si>
    <t>AAP6580874</t>
  </si>
  <si>
    <t>2 AMBIENTES- QUIRNO 79 E/ AV. RIVADAVIA Y RAMON L. FALCON BAJAS EXPENSAS</t>
  </si>
  <si>
    <t>QUIRNO 79</t>
  </si>
  <si>
    <t>CLA6371588</t>
  </si>
  <si>
    <t>Terreno calle LA PAMPA 1120</t>
  </si>
  <si>
    <t>LA PAMPA 1120</t>
  </si>
  <si>
    <t>Argentina | Neuquen | Confluencia | Neuquen | Barrio Nuevo</t>
  </si>
  <si>
    <t>Av. Maipú 2515</t>
  </si>
  <si>
    <t>CAP6515981</t>
  </si>
  <si>
    <t>VENTA DEPARTAMENTO 2 AMBIENTES CON PATIO  EN FLORES</t>
  </si>
  <si>
    <t>Neuquen  al 2300</t>
  </si>
  <si>
    <t>Argentina | Capital Federal | Flores | Flores Norte</t>
  </si>
  <si>
    <t>CAP6079787</t>
  </si>
  <si>
    <t>VENTA monoambiente 33m2, vista al lago, Departamento centro Bariloche</t>
  </si>
  <si>
    <t>El cano 179 / 267</t>
  </si>
  <si>
    <t xml:space="preserve">terreno y construcción </t>
  </si>
  <si>
    <t>CPH6053421</t>
  </si>
  <si>
    <t>VENTA PH 2 AMBIENTES CON TERRAZA PROPIA EN COGHLAN</t>
  </si>
  <si>
    <t>MARIANO ACHA  al 2700</t>
  </si>
  <si>
    <t>san blas</t>
  </si>
  <si>
    <t>gallo 953</t>
  </si>
  <si>
    <t>CHO6475132</t>
  </si>
  <si>
    <t>Venta Casa 5 dormitorios, piscina, oficina,microcine/sala de grabación -Barrio El Trébol-Ezeiza</t>
  </si>
  <si>
    <t>Las Tipas al 600</t>
  </si>
  <si>
    <t>Argentina | G.B.A. Zona Sur | Ezeiza | La Union | Barrio Parque El Trébol</t>
  </si>
  <si>
    <t>CAP6566262</t>
  </si>
  <si>
    <t>VENTA MONOAMBIENTE RECICLADO EN PALERMO BOTÁNICO PISO 13 APTO CRÉDITO</t>
  </si>
  <si>
    <t>Avenida Scalabrini Ortiz  al 2500</t>
  </si>
  <si>
    <t>Argentina | Capital Federal | Palermo | Botanico</t>
  </si>
  <si>
    <t>CHO5962170</t>
  </si>
  <si>
    <t>Casa | Alquiler | Cerrillos Santa Polonia</t>
  </si>
  <si>
    <t>CLUB DE CAMPO SANTA APOLONIA</t>
  </si>
  <si>
    <t>Argentina | Salta | Cerrillos | Cerrillos</t>
  </si>
  <si>
    <t>CAP6680371</t>
  </si>
  <si>
    <t>VENTA DEPARTAMENTO 2 AMBIENTES CON COCHERA .SEGURIDAD 24 HS. RECOLETA</t>
  </si>
  <si>
    <t>Pacheco de Melo  al 2900</t>
  </si>
  <si>
    <t>CHO6053451</t>
  </si>
  <si>
    <t>VENTA CASA LOTE PROPIO 5 AMBIENTES PATIO TERRAZA USO COMERCIAL Y RESIDENCIAL PERMUTA</t>
  </si>
  <si>
    <t>TERRADA  al 300</t>
  </si>
  <si>
    <t>CHO6611477</t>
  </si>
  <si>
    <t xml:space="preserve">Casa en venta -4 ambientes-Mayling CC  </t>
  </si>
  <si>
    <t>chubut al 400</t>
  </si>
  <si>
    <t>Argentina | G.B.A. Zona Norte | Pilar | Countries/B.Cerrado (Pilar) | Mayling Club De Campo</t>
  </si>
  <si>
    <t>CHO5556908</t>
  </si>
  <si>
    <t>Casa en venta zona sur sobre avenida</t>
  </si>
  <si>
    <t>casa en venta  zona sur sobre avenida</t>
  </si>
  <si>
    <t>Argentina | Santa Fe | La Capital | Barrio Sur</t>
  </si>
  <si>
    <t>CAP6589453</t>
  </si>
  <si>
    <t>VENTA DEPARTAMENTO 2 AMBIENTES BARRIO NORTE - ZONA FACULTADES. APTO CREDITO.</t>
  </si>
  <si>
    <t>Av. Pueyrredón  al 800</t>
  </si>
  <si>
    <t>CHO6419915</t>
  </si>
  <si>
    <t>Venta Casa Reciclada 4 Ambientes con 2 Cocheras, 2 Patios y Terraza en Villa Domínico</t>
  </si>
  <si>
    <t>Pasaje Beazley 61</t>
  </si>
  <si>
    <t>Argentina | G.B.A. Zona Sur | Avellaneda | Villa Dominico</t>
  </si>
  <si>
    <t>VCO59064 AP6616999</t>
  </si>
  <si>
    <t>Departamento 3 AMB en Altos de Maschwitz - ENTREGA INMEDIATA - APTO CREDITO</t>
  </si>
  <si>
    <t>Departamento 3 AMB en Altos de Maschwitz - ENTREGA INMEDIATA</t>
  </si>
  <si>
    <t>CHO6381003</t>
  </si>
  <si>
    <t>VENTA CASA 5 AMBIENTES, C/ COCHERAS Y JARDÍN EN VICTORIA  SAN FERNANDO</t>
  </si>
  <si>
    <t>MORENO  al 2600</t>
  </si>
  <si>
    <t>Argentina | G.B.A. Zona Norte | San Fernando | Victoria</t>
  </si>
  <si>
    <t>CHO4029169</t>
  </si>
  <si>
    <t>VENTA Casa, 3 dormitorios, Pinar de Festa, Bariloche</t>
  </si>
  <si>
    <t>Pinar de Festa, Bariloche</t>
  </si>
  <si>
    <t>CAP6393286</t>
  </si>
  <si>
    <t>VENTA 3 AMB A ESTRENAR PISCINA Y VISTA ABIERTA</t>
  </si>
  <si>
    <t>Av. Mitre al 4900</t>
  </si>
  <si>
    <t>VAP6344366</t>
  </si>
  <si>
    <t>Departamento en Planta Baja 3 ambientes en Pilar</t>
  </si>
  <si>
    <t xml:space="preserve">Planta Baja con Jardín  en venta 3 ambientes en Pilar </t>
  </si>
  <si>
    <t>Argentina | G.B.A. Zona Norte | Pilar | Countries/B.Cerrado (Pilar) | Saravi Village</t>
  </si>
  <si>
    <t>CAP6536630</t>
  </si>
  <si>
    <t>Venta Departamento 2 Ambientes - Palermo Viejo</t>
  </si>
  <si>
    <t>Gascón  al 1100</t>
  </si>
  <si>
    <t>Argentina | Capital Federal | Palermo | Palermo Viejo</t>
  </si>
  <si>
    <t>Duplex Batilana</t>
  </si>
  <si>
    <t>CAP6309186</t>
  </si>
  <si>
    <t>Departamento tipo Duplex 2 dormitorios Saravi Village Pilar</t>
  </si>
  <si>
    <t>Complejo Saravi Village Pilar</t>
  </si>
  <si>
    <t>CAP6208209</t>
  </si>
  <si>
    <t>VENTA Depto céntrico Ramos Mejia</t>
  </si>
  <si>
    <t>Alvear al 100</t>
  </si>
  <si>
    <t>Argentina | G.B.A. Zona Oeste | La Matanza | Ramos Mejia | Ramos Mejia Sur</t>
  </si>
  <si>
    <t>CHO6340585</t>
  </si>
  <si>
    <t>Venta casa 3 ambientes Banfield, Lomas de Zamora</t>
  </si>
  <si>
    <t>Luis Siciliano al 1400</t>
  </si>
  <si>
    <t>Argentina | G.B.A. Zona Sur | Lomas De Zamora (Partido) | Banfield | Banfield Oeste</t>
  </si>
  <si>
    <t>CHO5781367</t>
  </si>
  <si>
    <t>VENTA Casa moderna 3 ambientes 86m2, lote 213m2, Lomas del Correntoso Villa La Angostura</t>
  </si>
  <si>
    <t>Del Radal  al 600, Villa la Angostura</t>
  </si>
  <si>
    <t>Argentina | Neuquen | Villa La Angostura | Lomas De Correntoso</t>
  </si>
  <si>
    <t>CAP6448965</t>
  </si>
  <si>
    <t>Venta Depto en lo mejor de Palermo. Impecable 3 ambientes c/Dep. Serv. Cochera</t>
  </si>
  <si>
    <t>Cerviño al 3600</t>
  </si>
  <si>
    <t>CAP6446293</t>
  </si>
  <si>
    <t>Venta Departamento 3 amb. a estrenar vista al Golf y Laguna C/ cochera subt.  en Yoo Nordelta</t>
  </si>
  <si>
    <t>Argentina | G.B.A. Zona Norte | Tigre | Countries/B.Cerrado (Tigre) | Nordelta | Yoo Nordelta</t>
  </si>
  <si>
    <t>CAP5671791</t>
  </si>
  <si>
    <t>VENTA DEPARTAMENTO 4 AMBIENTES EN BELGRANO-TERRAZA PROPIA-AMENITIES-COCHERA</t>
  </si>
  <si>
    <t>3 de Febrero  al 2300</t>
  </si>
  <si>
    <t>CHO5620168</t>
  </si>
  <si>
    <t>Venta de casa y departamento en Quilmes Oeste - IDEAL INVERSOR-Calle Ingeniero Butty N° 3529</t>
  </si>
  <si>
    <t>Ingeniero Butty al 3500 -CASA y DEPARTAMENTO -QUILMES</t>
  </si>
  <si>
    <t>Argentina | G.B.A. Zona Sur | Quilmes | Quilmes Oeste</t>
  </si>
  <si>
    <t>CAP6768489</t>
  </si>
  <si>
    <t>Venta Departamento Monoambiente con Balcón en Florida</t>
  </si>
  <si>
    <t>Av Maipu al 300</t>
  </si>
  <si>
    <t>CHO4986119</t>
  </si>
  <si>
    <t>Casa en  Venta en Burzaco Longchamps</t>
  </si>
  <si>
    <t>Palumbo 1536 Burzaco Longchamps</t>
  </si>
  <si>
    <t>Argentina | G.B.A. Zona Sur | Almirante Brown | Longchamps</t>
  </si>
  <si>
    <t>Riobamba 128</t>
  </si>
  <si>
    <t xml:space="preserve">Argentina | G.B.A. Zona Sur | Lanús </t>
  </si>
  <si>
    <t>VCO59064 AP6431032</t>
  </si>
  <si>
    <t>Departamento en Venta de Pozo - Altos de Maschwitz</t>
  </si>
  <si>
    <t>Altos de Maschwitz</t>
  </si>
  <si>
    <t>CHO6128413</t>
  </si>
  <si>
    <t>Casa en Venta esquina -Jardin -Terraza - Cochera - Lanús Oeste</t>
  </si>
  <si>
    <t>AYACUCHO al 100</t>
  </si>
  <si>
    <t>Argentina | G.B.A. Zona Sur | Lanús | Lanús | Lanús Oeste</t>
  </si>
  <si>
    <t>CAP6476181</t>
  </si>
  <si>
    <t>Luminoso Departamento 3 ambientes en Caballito - VENTA</t>
  </si>
  <si>
    <t>Formosa  al 500</t>
  </si>
  <si>
    <t>COF6441798</t>
  </si>
  <si>
    <t>VENTA Oficinas Premium 100 m2 Doble ingreso Buena altura Amenities BELGRANO</t>
  </si>
  <si>
    <t>Ciudad de la Paz al 300</t>
  </si>
  <si>
    <t>CAP6397490</t>
  </si>
  <si>
    <t>Departamento 3 ambientes con Dependencia, Cochera y Baulera en Belgrano VENTA</t>
  </si>
  <si>
    <t>Moldes  al 2100</t>
  </si>
  <si>
    <t>Depto San Juan</t>
  </si>
  <si>
    <t>Departamento San Juan 2D</t>
  </si>
  <si>
    <t>CPH5060465</t>
  </si>
  <si>
    <t>Venta PH en Flores entrada independiente cochera</t>
  </si>
  <si>
    <t>Helguera al 800</t>
  </si>
  <si>
    <t>Chorrarín 3B monoambiente</t>
  </si>
  <si>
    <t>Venta de Departamento en Agronomía</t>
  </si>
  <si>
    <t>Avenida Chorrarín 514</t>
  </si>
  <si>
    <t xml:space="preserve">Argentina | Capital Federal | Agronomia </t>
  </si>
  <si>
    <t>Acqua</t>
  </si>
  <si>
    <t>CAP4295545</t>
  </si>
  <si>
    <t>¡Gran departamento de 4 ambientes en venta! Zona Garrahan</t>
  </si>
  <si>
    <t>Matheu al 1700</t>
  </si>
  <si>
    <t xml:space="preserve">Argentina | Capital Federal | Parque Patricios </t>
  </si>
  <si>
    <t>VAP5129884</t>
  </si>
  <si>
    <t>Departamento en Altos del Encuentro PB con jardín</t>
  </si>
  <si>
    <t>Departamento en venta de 3 ambientes en Benavidez/Pacheco</t>
  </si>
  <si>
    <t>CAP2418624</t>
  </si>
  <si>
    <t>Venta Penthouse 2 dormitorios   escritorio con balcón terraza y lavadero</t>
  </si>
  <si>
    <t>Franklin D. Roseevelt al 3200</t>
  </si>
  <si>
    <t>VAP6111075</t>
  </si>
  <si>
    <t>Venta Departamento AMOBLADO Tigre Centro</t>
  </si>
  <si>
    <t>Luis Garcia al 1000</t>
  </si>
  <si>
    <t>Argentina | G.B.A. Zona Norte | Tigre | Tigre</t>
  </si>
  <si>
    <t>354 Magallanes</t>
  </si>
  <si>
    <t>Lote venta Magallanes 354</t>
  </si>
  <si>
    <t>VBU55574 AP6216666</t>
  </si>
  <si>
    <t>Venta Departamento Dos Amb en Construcción piso 9 al frente en Palermo- " 9A"</t>
  </si>
  <si>
    <t>Cabrera  al 4000</t>
  </si>
  <si>
    <t>CHO6646581</t>
  </si>
  <si>
    <t xml:space="preserve">Casa en venta 3 dormitorios San Sebastian Area 13 </t>
  </si>
  <si>
    <t xml:space="preserve">Barrio San Sebastian </t>
  </si>
  <si>
    <t>Araoz 2592</t>
  </si>
  <si>
    <t>Sucre 1589 - VENTA SOL LORENZO - RX Puerto</t>
  </si>
  <si>
    <t>Sucre 1589</t>
  </si>
  <si>
    <t>CAP6355030</t>
  </si>
  <si>
    <t>VENTA PH 2 AMBIENTES</t>
  </si>
  <si>
    <t>Dr. Nicolas Repetto  al 1000</t>
  </si>
  <si>
    <t>Magdalena</t>
  </si>
  <si>
    <t>Reserva Magda Lucas Knell Dpto GM en Pozo</t>
  </si>
  <si>
    <t>CHO6369698</t>
  </si>
  <si>
    <t>CASA A REFACCIONAR O DEMOLER EN MACROCENTRO SALTA! VENTA OPORTUNIDAD</t>
  </si>
  <si>
    <t>25 MAYO al 800</t>
  </si>
  <si>
    <t>CAP6695277</t>
  </si>
  <si>
    <t>VENTA Depto 44m2 en P.Baja B Modulo 2, Pozo Amenities, Vista al Lago y cordillera, B° Las Balsas, Villa La Angostura</t>
  </si>
  <si>
    <t>Calle Interna Feicuram</t>
  </si>
  <si>
    <t>Argentina | Neuquen | Villa La Angostura | Las Balsas</t>
  </si>
  <si>
    <t>CBU54070 AP5871976</t>
  </si>
  <si>
    <t>VENTA Local comercial pozo 72m2 UF2 gran ubicación ruta 40 Complejo Tres Cerros Villa la Angostura</t>
  </si>
  <si>
    <t>UY ZonaProp</t>
  </si>
  <si>
    <t>Ruta 40, Villa la Angostura</t>
  </si>
  <si>
    <t>CHO6531660</t>
  </si>
  <si>
    <t>VENTA Casa 117m2 Lote 782m2 Altos del Sol San Martín de los Andes</t>
  </si>
  <si>
    <t>Los Robles al 100</t>
  </si>
  <si>
    <t>CASA ubicada en B° Alihuen Bajo P. del Roble al 137 de la ciudad de San Martin de los Andes Pcia. De Neuquén, con todo lo que en ella se encuentre plantado y edificado en un lote de 642.24 m2, nomenclatura catastral: ,15-20-056-4464-0000</t>
  </si>
  <si>
    <t>Paseo del Roble 137</t>
  </si>
  <si>
    <t>Argentina | Neuquen | Lacar | San Martin De Los Andes | Alihuen Alto y Bajo</t>
  </si>
  <si>
    <t>Lote en carrodilla</t>
  </si>
  <si>
    <t>Lote con obra gruesa en carrodilla</t>
  </si>
  <si>
    <t>Argentina | Mendoza | Lujan De Cuyo | Lujan De Cuyo | Carrodilla</t>
  </si>
  <si>
    <t>CHO6692253</t>
  </si>
  <si>
    <t xml:space="preserve">Casa en Venta en La Silleta </t>
  </si>
  <si>
    <t>Barrio Justo Juez, calle Avelino Araoz esquina Gregorio Moreno </t>
  </si>
  <si>
    <t>Argentina | Salta | Rosario De Lerma | La Silleta</t>
  </si>
  <si>
    <t>Santa Elisa Pilar del Este</t>
  </si>
  <si>
    <t>Terreno en venta Barrio Santa Elisa Pilar del Este</t>
  </si>
  <si>
    <t>Argentina | G.B.A. Zona Norte | Pilar | Countries/B.Cerrado (Pilar) | Pilar Del Este</t>
  </si>
  <si>
    <t>CAP6606604</t>
  </si>
  <si>
    <t>Departamento en Venta en Ciudad de Mendoza</t>
  </si>
  <si>
    <t>PERU 2245 2 PISO CIUDAD MENDOZA</t>
  </si>
  <si>
    <t>Argentina | Mendoza | Capital | Mendoza | S1 Parque Central</t>
  </si>
  <si>
    <t>VHO6614310</t>
  </si>
  <si>
    <t>Casa en Venta con Jardín en Santa Ana Joven</t>
  </si>
  <si>
    <t>Casa en venta Barrio Santa Elisa Pilar del Este</t>
  </si>
  <si>
    <t>VHO6130770</t>
  </si>
  <si>
    <t>Casa en Santa Ana - Villanueva</t>
  </si>
  <si>
    <t>Argentina | G.B.A. Zona Norte | Tigre | Countries/B.Cerrado (Tigre) | Villanueva | Santa Ana</t>
  </si>
  <si>
    <t>VAP6183617</t>
  </si>
  <si>
    <t>Venta departamento 3 ambientes c/ balcon de pozo - La Bota 400 - Tigre - Benavidez</t>
  </si>
  <si>
    <t>la bota al 400</t>
  </si>
  <si>
    <t>VAP5782265</t>
  </si>
  <si>
    <t>Departamento de dos ambientes en venta en  venta Palermo Chico</t>
  </si>
  <si>
    <t xml:space="preserve"> Sinclair al 3100 </t>
  </si>
  <si>
    <t>Argentina | Capital Federal | Palermo | Palermo Nuevo</t>
  </si>
  <si>
    <t>CAP6693552</t>
  </si>
  <si>
    <t>Venta Departamento Centro Bariloche Oportunidad</t>
  </si>
  <si>
    <t>CHO6210239</t>
  </si>
  <si>
    <t>VENTA Casa 9 amb 269m2 Centro Bariloche</t>
  </si>
  <si>
    <t>Lote calle Michay nomenclatura catastral 16-20-072-9458-0000</t>
  </si>
  <si>
    <t>MIchay y Millaqueo</t>
  </si>
  <si>
    <t>CHO6478231</t>
  </si>
  <si>
    <t>Casa Triplex con Cochera y Patio en Venta en Muñiz</t>
  </si>
  <si>
    <t>Rodriguez Peña 47</t>
  </si>
  <si>
    <t>Argentina | G.B.A. Zona Norte | San Miguel | Muñiz</t>
  </si>
  <si>
    <t>VAP6644888</t>
  </si>
  <si>
    <t>Departamento en Venta - 2 amb con Jardín y Galería con parrilla - ASTON VILLAGE PILAR</t>
  </si>
  <si>
    <t>Argentina | G.B.A. Zona Norte | Pilar | Villa Rosa</t>
  </si>
  <si>
    <t>JAP6708331</t>
  </si>
  <si>
    <t xml:space="preserve">DEPARTAMENTO MONOAMBIENTE EN VENTA </t>
  </si>
  <si>
    <t>CAMPANA  al 4800</t>
  </si>
  <si>
    <t xml:space="preserve">Argentina | Capital Federal | Villa Pueyrredon </t>
  </si>
  <si>
    <t>benavides 774</t>
  </si>
  <si>
    <t>lote venta Benavides</t>
  </si>
  <si>
    <t>CAP6365112</t>
  </si>
  <si>
    <t>Hermoso Departamento 2 ambientes con Gran Balcón y vista abierta.  APTO CREDITO</t>
  </si>
  <si>
    <t>Monroe  al 4500</t>
  </si>
  <si>
    <t>CHO3821641</t>
  </si>
  <si>
    <t>Venta de Casa en Beccar -San Isidro</t>
  </si>
  <si>
    <t>Julian Navarro al 2400</t>
  </si>
  <si>
    <t>CPH6366725</t>
  </si>
  <si>
    <t>VENTA PH TIPO CASA 3 AMB PATIO LUIS GUILLON</t>
  </si>
  <si>
    <t>Brigadier Juan Manuel de Rosas al 340</t>
  </si>
  <si>
    <t>JPH5873881</t>
  </si>
  <si>
    <t>venta PH en Villa Maipú, Gral. San Martin</t>
  </si>
  <si>
    <t>Lavalle al 2100</t>
  </si>
  <si>
    <t>Argentina | G.B.A. Zona Norte | General San Martin | General San Martin | V.Maipu</t>
  </si>
  <si>
    <t>526 San Lucas</t>
  </si>
  <si>
    <t>lote 526 San Lucas</t>
  </si>
  <si>
    <t xml:space="preserve">Argentina | G.B.A. Zona Sur | San Vicente </t>
  </si>
  <si>
    <t>CBU59332 AP6460294</t>
  </si>
  <si>
    <t>Departamento Monoambiente en Venta en Villa Urquiza CABA</t>
  </si>
  <si>
    <t>Zado  al 3500 -2°  Villa Urquiza</t>
  </si>
  <si>
    <t>CAP5158309</t>
  </si>
  <si>
    <t>VENTA DEPARTAMENTO MONOAMBIENTE EN FLORIDA</t>
  </si>
  <si>
    <t>Adolfo Alsina al 1500</t>
  </si>
  <si>
    <t xml:space="preserve">La pampa 823 3 piso </t>
  </si>
  <si>
    <t>CAP6357724</t>
  </si>
  <si>
    <t>Venta, Departamento, 4 ambientes, balcon, terraza, reciclado, Caballito, Villa Crespo, permuta</t>
  </si>
  <si>
    <t>Av San Martin  al 1200</t>
  </si>
  <si>
    <t>Argentina | Capital Federal | Caballito | Cid Campeador</t>
  </si>
  <si>
    <t>CHO6380747</t>
  </si>
  <si>
    <t>SAN SEBASTIAN Oportunidad  Casa de Hormigon en  Area 1</t>
  </si>
  <si>
    <t>SAN SEBASTIAN EN VENTA / ALQUILER 4 AMBIENTES OPORTUNIDAD AREA 1</t>
  </si>
  <si>
    <t>Argentina | G.B.A. Zona Norte | Escobar | San Sebastian</t>
  </si>
  <si>
    <t>CAP4610808</t>
  </si>
  <si>
    <t>Alquiler depto 2 ambientes en Arboris Las Lomas - San Isidro</t>
  </si>
  <si>
    <t>don Bosco al 1400</t>
  </si>
  <si>
    <t>CAP6742712</t>
  </si>
  <si>
    <t xml:space="preserve">Departamento en  venta de 3 amb con balcon </t>
  </si>
  <si>
    <t>Ciudad de la Paz  al 1000</t>
  </si>
  <si>
    <t>CAP6525137</t>
  </si>
  <si>
    <t>venta departamento 2 ambientes con patio bajas expensas en San Cristobal</t>
  </si>
  <si>
    <t>La Rioja  al 1200</t>
  </si>
  <si>
    <t>CBU60233 AP6592864</t>
  </si>
  <si>
    <t xml:space="preserve">Los Cipresales, San Carlos de Bariloche </t>
  </si>
  <si>
    <t>CAP6645198</t>
  </si>
  <si>
    <t>Departamento Dos Dormitorios Neuquen Capital</t>
  </si>
  <si>
    <t>Rivadavia al 324</t>
  </si>
  <si>
    <t>CAP6633827</t>
  </si>
  <si>
    <t>Venta - Departamento - 3 Ambientes - Balcon - Boedo - Vista Abierta - Permuta - Apto Credito</t>
  </si>
  <si>
    <t>33 Orientales 800</t>
  </si>
  <si>
    <t xml:space="preserve">Argentina | Capital Federal | Boedo </t>
  </si>
  <si>
    <t>CAP6746846</t>
  </si>
  <si>
    <t xml:space="preserve">Venta, 2 ambientes remodelado a nuevo </t>
  </si>
  <si>
    <t>Uriburu  al 1200</t>
  </si>
  <si>
    <t>CHO6505737</t>
  </si>
  <si>
    <t>Oportunidad Venta de Casa en La Madrugada 1, Pilar</t>
  </si>
  <si>
    <t>La Madrugada 100</t>
  </si>
  <si>
    <t>Argentina | G.B.A. Zona Norte | Pilar | Countries/B.Cerrado (Pilar) | La Madrugada I</t>
  </si>
  <si>
    <t>CPH5108136</t>
  </si>
  <si>
    <t>VENTA PH TIPO CASA EN VILLA CRESPO CON TERRAZA Y QUINCHO</t>
  </si>
  <si>
    <t>Serrano al 700</t>
  </si>
  <si>
    <t xml:space="preserve">Argentina | Capital Federal | Villa Crespo </t>
  </si>
  <si>
    <t>CLA6351973</t>
  </si>
  <si>
    <t>VENTA Lote/terreno de 407,04 m2, UF 25 loteo Quetrihue B° Selva Triste Villa la Angostura</t>
  </si>
  <si>
    <t>ALTOS DE LA CAÑADA</t>
  </si>
  <si>
    <t>CASA EN VENTA ALTOS DE LA CAÑADA</t>
  </si>
  <si>
    <t>Argentina | G.B.A. Zona Norte | Pilar | Countries/B.Cerrado (Pilar) | La cañada de Pilar</t>
  </si>
  <si>
    <t>Av. Olivera 281</t>
  </si>
  <si>
    <t>VPN6239 AP4052986</t>
  </si>
  <si>
    <t>EXCELENTE PRECIO!!!!DEPARTAMENTOS A ESTRENAR!!CON AMARRA. TERRAZAS AL RÍO - VILLANUEVA - TIGRE</t>
  </si>
  <si>
    <t xml:space="preserve">TERRAZAS AL RIO - CANAL BARRIO NÁUTICO - VILLANUEVA - TIGRE </t>
  </si>
  <si>
    <t>Argentina | G.B.A. Zona Norte | Tigre | Countries/B.Cerrado (Tigre) | Villanueva | Canal Barrio Nautico</t>
  </si>
  <si>
    <t>Av Olazábal Depto</t>
  </si>
  <si>
    <t>Depto venta Olazabal</t>
  </si>
  <si>
    <t>AAP6667782</t>
  </si>
  <si>
    <t>Departamento monoambiente en San Nicolás</t>
  </si>
  <si>
    <t>Viamonte 800</t>
  </si>
  <si>
    <t xml:space="preserve">Argentina | Capital Federal | San Nicolás </t>
  </si>
  <si>
    <t>Neuquen 3147/51</t>
  </si>
  <si>
    <t>LAMADRID</t>
  </si>
  <si>
    <t>CASA EN VENTA MASCHWITZ</t>
  </si>
  <si>
    <t>N/C - VIRREY LINIERS 71</t>
  </si>
  <si>
    <t>VENTA DPTO 2 AMBIENTES ALMAGRO</t>
  </si>
  <si>
    <t>VIRREY LINIERS 71</t>
  </si>
  <si>
    <t>CPH6434534</t>
  </si>
  <si>
    <t>VENTA PH Monoambiente con GALPON Bauleras y Terraza SAN JUSTO Sin expensas</t>
  </si>
  <si>
    <t>Arieta al 2100</t>
  </si>
  <si>
    <t>Argentina | G.B.A. Zona Oeste | La Matanza | San Justo</t>
  </si>
  <si>
    <t>CAP6452000</t>
  </si>
  <si>
    <t>Departamento en Ramos Mejia - Centro - Cocina Separada - Al frente - Bajas Expensas</t>
  </si>
  <si>
    <t>Rosales al 100</t>
  </si>
  <si>
    <t>Argentina | G.B.A. Zona Oeste | La Matanza | Ramos Mejia</t>
  </si>
  <si>
    <t>VAP6667914</t>
  </si>
  <si>
    <t xml:space="preserve">Departamento en  venta 2 dormitorios con cochera fija en Belgrano </t>
  </si>
  <si>
    <t>Pedro Ignacio Rivera  al 2900</t>
  </si>
  <si>
    <t>Argentina | Capital Federal | Belgrano | Belgrano C</t>
  </si>
  <si>
    <t>CAP6177013</t>
  </si>
  <si>
    <t>Departamento a Reciclar en venta calle 10 esq. 59 de 2 / 3 dormitorios, La Plata</t>
  </si>
  <si>
    <t>Departamento a reciclar 3 Dorm. Calle 10 esq 59  La Plata al 1299</t>
  </si>
  <si>
    <t xml:space="preserve">Argentina | G.B.A. Zona Sur | La Plata </t>
  </si>
  <si>
    <t>CAP6656315</t>
  </si>
  <si>
    <t>Venta Departamento 2 Ambientes con Balcón en Agronomia</t>
  </si>
  <si>
    <t>Avenida Salvador María del Carril al 3100</t>
  </si>
  <si>
    <t>Altos Radal 2 “UF Nº 6, planta baja, vivienda familiar, de dos ambientes de 48 m2 aproximadamente, con parque privado de aproximadamente 25 m2 y espacio guardacoche descubierto a designar</t>
  </si>
  <si>
    <t>Michay  y Millaqueo</t>
  </si>
  <si>
    <t>Argentina | Neuquen | Villa La Angostura | El Once</t>
  </si>
  <si>
    <t>CAP6762005</t>
  </si>
  <si>
    <t>Venta departamento 2 ambientes con Patio Villa Urquiza</t>
  </si>
  <si>
    <t>Altolaguirre  al 1800</t>
  </si>
  <si>
    <t>Grupo Elite</t>
  </si>
  <si>
    <t>CHO6543270</t>
  </si>
  <si>
    <t>Casa en venta San Isidro 5amb con cochera y gran jardín con pileta</t>
  </si>
  <si>
    <t>Larrea 37</t>
  </si>
  <si>
    <t>Argentina | G.B.A. Zona Norte | San Isidro | Boulogne Sur Mer</t>
  </si>
  <si>
    <t>CAP6716028</t>
  </si>
  <si>
    <t>VENTA DEPARTAMENTO 2 AMBIENTES CON TERRAZA Y COCHERA EN NUÑEZ</t>
  </si>
  <si>
    <t>ZAPIOLA  al 3000</t>
  </si>
  <si>
    <t>CHO6381410</t>
  </si>
  <si>
    <t>Venta Casa 3 ambientes   dependencia o estudio con piscina en Martínez</t>
  </si>
  <si>
    <t>Piran al 1100</t>
  </si>
  <si>
    <t>Argentina | G.B.A. Zona Norte | San Isidro | Martinez | Mart.-Santa Fe/Fleming</t>
  </si>
  <si>
    <t>CAP6535533</t>
  </si>
  <si>
    <t>VENTA DEPARTAMENTO 4 AMBIENTES + DEPENDENCIA CON BAULERA Y COCHERA</t>
  </si>
  <si>
    <t>MONTEVIDEO 1500 al 1500</t>
  </si>
  <si>
    <t>CLA6163575</t>
  </si>
  <si>
    <t>VENTA TERRENO RECOLETA 1200 M2 VENDIBLES</t>
  </si>
  <si>
    <t>Billinghurst 1361</t>
  </si>
  <si>
    <t>CHO6331731</t>
  </si>
  <si>
    <t>Venta Casa 3 Amb en Morón Sur</t>
  </si>
  <si>
    <t>Monte al 2400</t>
  </si>
  <si>
    <t>Argentina | G.B.A. Zona Oeste | Moron | Moron | Moron Sur</t>
  </si>
  <si>
    <t>VAP6841457</t>
  </si>
  <si>
    <t>APTO CREDITO! Departamento 2 AMB en Venta - Pilar</t>
  </si>
  <si>
    <t>CAP6318877</t>
  </si>
  <si>
    <t>Venta Departamento 3 Ambientes en Dúplex con Terraza Privada Villa Urquiza</t>
  </si>
  <si>
    <t>Altolaguirre al 3000</t>
  </si>
  <si>
    <t>CHO6329850</t>
  </si>
  <si>
    <t>VENTA CASA 5 AMB GRAN JARDIN, GALERIA, BARRIO LAS CHACRAS MASCHWITZ</t>
  </si>
  <si>
    <t>ATAHUALPA YUPANQUI al 2000, BARRIO LAS CHACRAS</t>
  </si>
  <si>
    <t>CAP6626922</t>
  </si>
  <si>
    <t>VENTA 4 AMBIENTES DEPARTAMENTO EN DUPLEX EN PALERMO - APTO CRÉDITO</t>
  </si>
  <si>
    <t>Julián Álvarez al 2300</t>
  </si>
  <si>
    <t>JAP6310392</t>
  </si>
  <si>
    <t xml:space="preserve">Venta Oportunidad 4 ambientes vista unica al rio con cochera </t>
  </si>
  <si>
    <t>Avenida del Libertador  al 100</t>
  </si>
  <si>
    <t>Argentina | G.B.A. Zona Norte | Vicente López | Barrio Vicente López | V.Lopez-Vias/Rio</t>
  </si>
  <si>
    <t>ALBARELLO 3153 9°</t>
  </si>
  <si>
    <t>ALBARELLOS 3153 9°</t>
  </si>
  <si>
    <t>ALBARELLO3153 9°</t>
  </si>
  <si>
    <t>CHO6345971</t>
  </si>
  <si>
    <t>VENTA Casa 3 dormitorios a estrenar calidad premium 85m2 lote 230m2 Bº Norte Villa la Angostura</t>
  </si>
  <si>
    <t>Lacar al 400</t>
  </si>
  <si>
    <t>Argentina | Neuquen | Villa La Angostura | Barrio Norte Ruta 231</t>
  </si>
  <si>
    <t>CHO6886790</t>
  </si>
  <si>
    <t>Casa en Venta 10 entre 457 y 458 Quimilar</t>
  </si>
  <si>
    <t>Casa en venta 10 ENTRE 457 Y 458 Quimilar</t>
  </si>
  <si>
    <t>Argentina | G.B.A. Zona Sur | La Plata | Countries/B.Cerrado (La Plata) | El Quimilar</t>
  </si>
  <si>
    <t>CLA6399702</t>
  </si>
  <si>
    <t xml:space="preserve">Terreno 300 m2 Confluencia Neuquén </t>
  </si>
  <si>
    <t>Venta terreno 300 m2 Confluencia Neuquén</t>
  </si>
  <si>
    <t>CAP6200873</t>
  </si>
  <si>
    <t>Venta Departamento Monoambiente con patio en  ALMAGRO</t>
  </si>
  <si>
    <t>Rawson al 200</t>
  </si>
  <si>
    <t>CAP6234853</t>
  </si>
  <si>
    <t>Alquiler Monoambiente Recoleta</t>
  </si>
  <si>
    <t>Aguero al 1600</t>
  </si>
  <si>
    <t>Venta UF 19 Girasoles 5</t>
  </si>
  <si>
    <t>Fucsias y Huemul</t>
  </si>
  <si>
    <t>Argentina | Neuquen | Villa La Angostura | Las Piedritas</t>
  </si>
  <si>
    <t>LARREA</t>
  </si>
  <si>
    <t xml:space="preserve">LARREA 1021, CABA </t>
  </si>
  <si>
    <t>LARREA 1021</t>
  </si>
  <si>
    <t>CAP5782480</t>
  </si>
  <si>
    <t>Venta departamento 3 ambientes muy luminoso en la mejor zona de Barracas!</t>
  </si>
  <si>
    <t>Av. Suarez al 1200</t>
  </si>
  <si>
    <t xml:space="preserve">Argentina | Capital Federal | Barracas </t>
  </si>
  <si>
    <t>CAP6679530</t>
  </si>
  <si>
    <t>Departamento en  Venta en Caballito - Permuta</t>
  </si>
  <si>
    <t>Av. Juan Bautista Alberdi  al 300</t>
  </si>
  <si>
    <t>Argentina | Capital Federal | Caballito | Caballito Sur</t>
  </si>
  <si>
    <t>PH 4 ambientes en Venta en Villa Urquiza</t>
  </si>
  <si>
    <t>Diaz Colodrero 3254</t>
  </si>
  <si>
    <t>OP 102</t>
  </si>
  <si>
    <t>Alicia Moreau de Justo 1840 37</t>
  </si>
  <si>
    <t xml:space="preserve">Alicia Moreau de Justo 1840 </t>
  </si>
  <si>
    <t>JAP6677791</t>
  </si>
  <si>
    <t>ALQUILER P. Madero  Azucena Villaflor 300 4 ambientes con doble cochera</t>
  </si>
  <si>
    <t>Azucena Villaflor al 300</t>
  </si>
  <si>
    <t>AV COMBATIENTES DE MALVINAS</t>
  </si>
  <si>
    <t>DEPARTAMENTO EN VENTA EN AV COMBATIENTES DE MALVINAS</t>
  </si>
  <si>
    <t xml:space="preserve">Argentina | Capital Federal | Parque Chas </t>
  </si>
  <si>
    <t>CAP6425634</t>
  </si>
  <si>
    <t>Departamento 4 Ambientes, en venta en San Miguel</t>
  </si>
  <si>
    <t>Coronel Charlone al 600</t>
  </si>
  <si>
    <t>Argentina | G.B.A. Zona Norte | San Miguel | San Miguel</t>
  </si>
  <si>
    <t>CAP6479440</t>
  </si>
  <si>
    <t>VENTA DEPTO IDEAL TEMPORARIO - PALERMO HOLLYWOOD</t>
  </si>
  <si>
    <t xml:space="preserve">Nicaragua 5800 </t>
  </si>
  <si>
    <t>CLA6734920</t>
  </si>
  <si>
    <t>Terreno en alquiler sobre ruta 51 San luis</t>
  </si>
  <si>
    <t>ruta 51</t>
  </si>
  <si>
    <t>Argentina | Salta | Capital | Salta | Zona Sur</t>
  </si>
  <si>
    <t>VHO6719749</t>
  </si>
  <si>
    <t>Casa en venta - a estrenar - Santa Elisa, Pilar del Este</t>
  </si>
  <si>
    <t>VENTA - CASA A ESTRENAR - 4 AMBIENTES - PILAR DEL ESTE</t>
  </si>
  <si>
    <t>Argentina | G.B.A. Zona Norte | Pilar | Countries/B.Cerrado (Pilar) | Pilar Del Este | Santa Elisa</t>
  </si>
  <si>
    <t>Av. Federico Lacroze 2375</t>
  </si>
  <si>
    <t>julian alvarez dpto</t>
  </si>
  <si>
    <t>julian alvarez</t>
  </si>
  <si>
    <t>Casa En Venta San Remo</t>
  </si>
  <si>
    <t>Barrio San Remo</t>
  </si>
  <si>
    <t>CAP6515908</t>
  </si>
  <si>
    <t>VENTA DEPARTAMENTO 2 AMBIENTES EN  PALERMO</t>
  </si>
  <si>
    <t>Fitz Roy al 1600</t>
  </si>
  <si>
    <t>CLA4712618</t>
  </si>
  <si>
    <t>VENTA Lote/Terreno 968,27 m2 Vista franca al lago, primera línea, Epulafquen Villa la Angostura</t>
  </si>
  <si>
    <t>Cacique Antriao al 2300, Villa la Angostura</t>
  </si>
  <si>
    <t>Argentina | Neuquen | Villa La Angostura | Epulaufquen</t>
  </si>
  <si>
    <t>dpto alberdi</t>
  </si>
  <si>
    <t xml:space="preserve">alberdi </t>
  </si>
  <si>
    <t>CAP6487436</t>
  </si>
  <si>
    <t>Venta Departamento 3 ambientes con dependencia y balcón en Olivos, La Isla. Vicente López</t>
  </si>
  <si>
    <t>Juan Bautista Alberdi 600</t>
  </si>
  <si>
    <t xml:space="preserve">AL RIO </t>
  </si>
  <si>
    <t xml:space="preserve">DEPARTAMENTO AL RIO </t>
  </si>
  <si>
    <t>CAP5947829</t>
  </si>
  <si>
    <t>4 amb. super amplio con lavadero en venta a estrenar en villa santa Rita. Exelente diseño</t>
  </si>
  <si>
    <t>Nazca al 1500</t>
  </si>
  <si>
    <t>VHO4086477</t>
  </si>
  <si>
    <t>IMPERDIBLE CASA A LA LAGUNA EN PUERTOS DEL LAGO - BARRIO COSTAS</t>
  </si>
  <si>
    <t>CASA A LA LAGUNA EN PUERTOS DEL LAGO - BARRIO COSTAS</t>
  </si>
  <si>
    <t>Argentina | G.B.A. Zona Norte | Escobar | Countries/B.Cerrado (Escobar) | Puertos del Lago</t>
  </si>
  <si>
    <t>CAP6502712</t>
  </si>
  <si>
    <t>Departamento en Santo Tome</t>
  </si>
  <si>
    <t>Duplex con muy buena ubicación en Barrio 7 de Marzo, Santo Tome</t>
  </si>
  <si>
    <t>Argentina | Santa Fe | La Capital | Santo Tome | 7 de Marzo</t>
  </si>
  <si>
    <t>Maricel68</t>
  </si>
  <si>
    <t>Casa en Venta</t>
  </si>
  <si>
    <t>Llerena 1641</t>
  </si>
  <si>
    <t>CAP4838360</t>
  </si>
  <si>
    <t>VENTA DEPARTAMENTO 2 1/2 AMBIENTES VISTA PANORAMICA C/ BAULERA. PARQUE CHACABUCO. APTO CREDITO.</t>
  </si>
  <si>
    <t>Jose Maria Moreno  al 1300, Piso 13</t>
  </si>
  <si>
    <t>CBU60233 AP6878133</t>
  </si>
  <si>
    <t>Argentina | Rio Negro | Bariloche | San Carlos De Bariloche | Los Cipresales</t>
  </si>
  <si>
    <t>CBU60233 AP6878131</t>
  </si>
  <si>
    <t>Avenida Pioneros  al 2000</t>
  </si>
  <si>
    <t>VAP4487867</t>
  </si>
  <si>
    <t>Departamento en venta 2 Amb Cochera  Tigre Centro - 2 cuadras del Puerto de Frutos</t>
  </si>
  <si>
    <t>Saenz Peña al 1200</t>
  </si>
  <si>
    <t>Argentina | G.B.A. Zona Norte | Tigre | Tigre | Ciudad De Tigre</t>
  </si>
  <si>
    <t>CBU60233 AP6592822</t>
  </si>
  <si>
    <t xml:space="preserve">Rivadavia 6003 5to </t>
  </si>
  <si>
    <t>VAP6495040</t>
  </si>
  <si>
    <t>Venta de Duplex de 3 ambientes en Pacheco / Benavidez</t>
  </si>
  <si>
    <t>Altos del Encuentro</t>
  </si>
  <si>
    <t>CAP6579207</t>
  </si>
  <si>
    <t xml:space="preserve">OPORTUNIDAD 3 ambientes luminoso en zona estratégica!  </t>
  </si>
  <si>
    <t>Guemes al 3700</t>
  </si>
  <si>
    <t>CHO6743622</t>
  </si>
  <si>
    <t>Casa en venta 3 dormitorios San Sebastian Area 13</t>
  </si>
  <si>
    <t xml:space="preserve">Barrio San Sebastian Area 13 </t>
  </si>
  <si>
    <t>Cuba 4501 UF 313</t>
  </si>
  <si>
    <t>CAP6675858</t>
  </si>
  <si>
    <t>Venta departamento 3 ambientes en Nuñez con Cochera</t>
  </si>
  <si>
    <t>Manuel ugarte al 1600 3º. Nuñez</t>
  </si>
  <si>
    <t>Argentina | Capital Federal | Nuñez | L.De Nuñez</t>
  </si>
  <si>
    <t>CAP6655965</t>
  </si>
  <si>
    <t>Venta Departamento 3 ambientes en Villa Devoto</t>
  </si>
  <si>
    <t>Cuenca  al 3600</t>
  </si>
  <si>
    <t>CBU60233 AP6592948</t>
  </si>
  <si>
    <t>VENTA Depto Monoambiente KM2</t>
  </si>
  <si>
    <t>Forest 1236</t>
  </si>
  <si>
    <t>CHO6535628</t>
  </si>
  <si>
    <t>casa en venta en plottier</t>
  </si>
  <si>
    <t>facundo cabral  al 2200</t>
  </si>
  <si>
    <t>Argentina | Neuquen | Confluencia | Plottier</t>
  </si>
  <si>
    <t>CHO6365198</t>
  </si>
  <si>
    <t>Casa en Venta en Centenario</t>
  </si>
  <si>
    <t>Benito Quinquela Martin 1006</t>
  </si>
  <si>
    <t>Argentina | Neuquen | Confluencia | Centenario</t>
  </si>
  <si>
    <t>Av Ricardo Balbin  4543 4to piso depto A</t>
  </si>
  <si>
    <t xml:space="preserve">Argentina | Capital Federal | Saavedra </t>
  </si>
  <si>
    <t>CAP6366535</t>
  </si>
  <si>
    <t>PH - 2 amb - Balcónes - Ramos Mejia - oportunidad - amplio - lavadero - cocina separada</t>
  </si>
  <si>
    <t>BOLIVAR al 1000</t>
  </si>
  <si>
    <t>GAMBOA 6935</t>
  </si>
  <si>
    <t>CBU49671 AP6414030</t>
  </si>
  <si>
    <t>Departamento 1 ambiente A Estrenar Balcon terraza Piso alto Villa Urquiza VENTA</t>
  </si>
  <si>
    <t>CHO6819801</t>
  </si>
  <si>
    <t xml:space="preserve">Casa en  Venta , Barrio Piedras Blancas </t>
  </si>
  <si>
    <t>Valenzuela  al 500</t>
  </si>
  <si>
    <t xml:space="preserve">Argentina | Rio Negro | General Fernandez Oro </t>
  </si>
  <si>
    <t>CAP6411243</t>
  </si>
  <si>
    <t>Complejo Habitacional ideal renta en Centenario, Neuquen</t>
  </si>
  <si>
    <t>Primera Junta y Godoy Díaz</t>
  </si>
  <si>
    <t>Av. de Mayo 1339 4B</t>
  </si>
  <si>
    <t xml:space="preserve">Búsqueda </t>
  </si>
  <si>
    <t>3 de Febrero 2560 3° y 4° "7" CABA</t>
  </si>
  <si>
    <t>CAP6597007</t>
  </si>
  <si>
    <t>Venta Departamento 3 Ambientes con Cochera en Caballito</t>
  </si>
  <si>
    <t>Calasanz al 600</t>
  </si>
  <si>
    <t>CAP6747528</t>
  </si>
  <si>
    <t>Venta depto 3 amb -  palermo</t>
  </si>
  <si>
    <t>Tagle al 2500</t>
  </si>
  <si>
    <t>VAP4856071</t>
  </si>
  <si>
    <t>Departamento a la venta - 3 dormitorios con dependencia - Palermo Chico</t>
  </si>
  <si>
    <t>Gelly al 3500</t>
  </si>
  <si>
    <t>Argentina | Capital Federal | Palermo | Palermo Chico</t>
  </si>
  <si>
    <t>club acohaj</t>
  </si>
  <si>
    <t>Argentina | G.B.A. Zona Norte | Tigre | Rincon de Milberg</t>
  </si>
  <si>
    <t>JAP6721780</t>
  </si>
  <si>
    <t>Venta Departamento 2 ambientes con vista panoramica</t>
  </si>
  <si>
    <t>Fraga 86</t>
  </si>
  <si>
    <t>CAP6636759</t>
  </si>
  <si>
    <t>Increible 3 ambientes con Patio Balcón y Cochera APTO CREDITO</t>
  </si>
  <si>
    <t>Catamarca  al 500</t>
  </si>
  <si>
    <t>N/C - GUEMES 3741</t>
  </si>
  <si>
    <t>VENTA DPTO PALERMO</t>
  </si>
  <si>
    <t>GUEMES 3741, CABA</t>
  </si>
  <si>
    <t>AAP5671381</t>
  </si>
  <si>
    <t>EXCELENTE depto en Villa Crespo con COCHERA!</t>
  </si>
  <si>
    <t>Julian Alvarez al 100 | EXCELENTE depto en Villa Crespo con COCHERA!</t>
  </si>
  <si>
    <t>Dpto Syra. Mono ambiente, 1 baño , 53 m2 . Balcón , 185 mil valor venta .</t>
  </si>
  <si>
    <t>Sarmiento 489</t>
  </si>
  <si>
    <t>Argentina | Neuquen | Lacar | San Martin De Los Andes</t>
  </si>
  <si>
    <t>CHO6440104</t>
  </si>
  <si>
    <t>Casa en B° Centro</t>
  </si>
  <si>
    <t>BARRIO CENTRO - SENADOR PEREZ E INDEPENDENCIA</t>
  </si>
  <si>
    <t>CHO4058449</t>
  </si>
  <si>
    <t>Venta CON RENTA de Casa en La Comarca barrio cerrado - General Pacheco - Tigre</t>
  </si>
  <si>
    <t>La Comarca</t>
  </si>
  <si>
    <t>Argentina | G.B.A. Zona Norte | Tigre | General Pacheco | Countries/B. Cerrado (General Pacheco) | La Comarca</t>
  </si>
  <si>
    <t>castanos castex</t>
  </si>
  <si>
    <t>casa en castanos</t>
  </si>
  <si>
    <t>los castanos 322 nordelta lote 227</t>
  </si>
  <si>
    <t>Argentina | G.B.A. Zona Norte | Tigre | Countries/B.Cerrado (Tigre) | Nordelta | Los Castaños</t>
  </si>
  <si>
    <t>CHO6693692</t>
  </si>
  <si>
    <t xml:space="preserve">Casa en venta ubicado en Vaqueros </t>
  </si>
  <si>
    <t xml:space="preserve">Vaqueros calle Los Aromos </t>
  </si>
  <si>
    <t>CAP5817205</t>
  </si>
  <si>
    <t>Venta departamento 3 ambientes c/ balcón APTO CREDITO -  Julián Álvarez 100 - Villa Crespo - CABA</t>
  </si>
  <si>
    <t>julian alvarez  al 100</t>
  </si>
  <si>
    <t>CHO6781596</t>
  </si>
  <si>
    <t>Casa 4 Ambientes en Venta APTA CRÉDITO en Paso del Rey</t>
  </si>
  <si>
    <t>Soldado M.B Cini al 300</t>
  </si>
  <si>
    <t>Argentina | G.B.A. Zona Oeste | Moreno | Paso Del Rey</t>
  </si>
  <si>
    <t>Departamento de 2 Ambientes con Vista Panorámica en Piso 13! Con renta hasta el 31/03/2025    Con una ubicación privilegiada, este departamento combina vistas inigualables, funcionalidad y excelente conectividad.</t>
  </si>
  <si>
    <t>AAP6667690</t>
  </si>
  <si>
    <t>Departamento dos ambientes en Villa del Parque</t>
  </si>
  <si>
    <t>Marcos Sastre al 3200</t>
  </si>
  <si>
    <t>Profesional Referido (70%)</t>
  </si>
  <si>
    <t>Marcos Sastre 3288</t>
  </si>
  <si>
    <t>Departamento en venta 2 ambientes Marcos Sastre 3288</t>
  </si>
  <si>
    <t>CAP6784712</t>
  </si>
  <si>
    <t xml:space="preserve">DUPLEX en VENTA - Plaza Vicente López + cochera </t>
  </si>
  <si>
    <t>ARENALES  al 1500</t>
  </si>
  <si>
    <t>CAP6675379</t>
  </si>
  <si>
    <t>VENTA DEPARTAMENTO DE 3 AMBIENTES EN COLEGIALES.</t>
  </si>
  <si>
    <t>Santos Dumont al 2700</t>
  </si>
  <si>
    <t>CPN57417 AP6215549</t>
  </si>
  <si>
    <t>Departamento en venta, 2 ambientes, apto turismo con financiación, Bariloche</t>
  </si>
  <si>
    <t>Villaverde, San Carlos de Bariloche</t>
  </si>
  <si>
    <t>Argentina | Rio Negro | Bariloche | San Carlos De Bariloche | Villa Verde</t>
  </si>
  <si>
    <t>CPH6435947</t>
  </si>
  <si>
    <t>Venta PH  4 ambientes en Flores Norte</t>
  </si>
  <si>
    <t>Av Rivadavia  al 6200</t>
  </si>
  <si>
    <t>CHO6307284</t>
  </si>
  <si>
    <t>Oportunidad en Avellaneda, Humberto Primo al 1600, 3 dormitorios, quincho y pileta climatizada</t>
  </si>
  <si>
    <t>Casa a la venta en Humberto Primo entre Av Galicia y Mejico al 1600, Piñeyro- Avellaneda</t>
  </si>
  <si>
    <t>Argentina | G.B.A. Zona Sur | Avellaneda | Piñeyro</t>
  </si>
  <si>
    <t>CHO6783948</t>
  </si>
  <si>
    <t>Casa en venta 3 dormitorios + estudio Barrio Santa Elisa Pilar del Este</t>
  </si>
  <si>
    <t>Barrio Santa Elisa Pilar del Este</t>
  </si>
  <si>
    <t>CAP6842180</t>
  </si>
  <si>
    <t>Venta Departamento 3 Ambientes en Nuñez --- NO ES APTO CREDITO</t>
  </si>
  <si>
    <t>Moldes al 3300</t>
  </si>
  <si>
    <t>DAP6658110</t>
  </si>
  <si>
    <t>Venta Departamento en Saavedra - 3 ambientes - Cochera cubierta - Balcon Aterrazado - Luminoso</t>
  </si>
  <si>
    <t>Av. Melian al 3600</t>
  </si>
  <si>
    <t>Database</t>
  </si>
  <si>
    <t>Barrio Privado Sausalito</t>
  </si>
  <si>
    <t>Casa en venta en Barrio Sausalito Pilar</t>
  </si>
  <si>
    <t>Argentina | G.B.A. Zona Norte | Pilar | Countries/B.Cerrado (Pilar) | Sausalito</t>
  </si>
  <si>
    <t>CHO5865626</t>
  </si>
  <si>
    <t>Casa tipo Duplex 3 dorm en venta en Martinez - Sin expensas</t>
  </si>
  <si>
    <t>Sáenz Valiente al 1200</t>
  </si>
  <si>
    <t>Argentina | G.B.A. Zona Norte | San Isidro | Martinez | Mart.-Fleming/Panam.</t>
  </si>
  <si>
    <t>Ayres Plaza</t>
  </si>
  <si>
    <t>Casa en venta Ayres Plaza 4 ambietes</t>
  </si>
  <si>
    <t>Chile 849 - La Lonja</t>
  </si>
  <si>
    <t>Argentina | G.B.A. Zona Norte | Pilar | Countries/B.Cerrado (Pilar) | Ayres Plaza</t>
  </si>
  <si>
    <t>VPN48121 AP4859051</t>
  </si>
  <si>
    <t>DEPARTAMENTO EN VENTA DEL VISO-PILAR</t>
  </si>
  <si>
    <t>Townhouses en Venta Barrio Privado Oliden  Joven- Pilar.</t>
  </si>
  <si>
    <t>Argentina | G.B.A. Zona Norte | Pilar | Del Viso</t>
  </si>
  <si>
    <t>CLO6045228</t>
  </si>
  <si>
    <t>BARRACAS LOCAL EN VENTA SIN EXPENSAS  CON ALTILLO EN BARRACAS</t>
  </si>
  <si>
    <t>LOS PATOS al 1800</t>
  </si>
  <si>
    <t>CHO5979194</t>
  </si>
  <si>
    <t>Casa 3 dormitorios al golf en Los Horneros</t>
  </si>
  <si>
    <t>Sucre 1023</t>
  </si>
  <si>
    <t>Argentina | G.B.A. Zona Norte | Escobar | Countries/B.Cerrado (Escobar) | Los Horneros</t>
  </si>
  <si>
    <t>CHO6684797</t>
  </si>
  <si>
    <t>VENTA Casa San Martin de los Andes 139m²  terreno 800m² Nuevo Kaleuche Lolog</t>
  </si>
  <si>
    <t>Nuevo Kaleuche ruta 62</t>
  </si>
  <si>
    <t>dpto centro c/ KW</t>
  </si>
  <si>
    <t>Argentina | Mendoza | Capital | Mendoza</t>
  </si>
  <si>
    <t>CAP6775055</t>
  </si>
  <si>
    <t>Departamento en venta en Ciudad de Mendoza</t>
  </si>
  <si>
    <t>Departamento amoblado en venta en Ciudad de Mendoza</t>
  </si>
  <si>
    <t>CHO3950752</t>
  </si>
  <si>
    <t>VENTA CASA 5 AMBIENTES - COCHERA - TERRAZA - PARRILLA - MULTIFAMILIAR - Villa Devoto</t>
  </si>
  <si>
    <t>Belfast al 2700</t>
  </si>
  <si>
    <t>Pilará Tilbury</t>
  </si>
  <si>
    <t>Terreno en venta Pilará Tilbury</t>
  </si>
  <si>
    <t>Argentina | G.B.A. Zona Norte | Pilar | Countries/B.Cerrado (Pilar) | Pilara</t>
  </si>
  <si>
    <t>Colombres 1300</t>
  </si>
  <si>
    <t>Colombres 1361</t>
  </si>
  <si>
    <t>CAP6749061</t>
  </si>
  <si>
    <t>Venta Departamento 2 ambientes con patio en Recoleta</t>
  </si>
  <si>
    <t>Paraguay 2400</t>
  </si>
  <si>
    <t xml:space="preserve">Op. con inmo colega Moldes. </t>
  </si>
  <si>
    <t>Perito Moreno 946</t>
  </si>
  <si>
    <t>Ph venta San Isidro</t>
  </si>
  <si>
    <t>Colectora Panamericana 1752</t>
  </si>
  <si>
    <t>H. IRIGOYEN 1553</t>
  </si>
  <si>
    <t>VAP6518129</t>
  </si>
  <si>
    <t>OPORTUNIDAD - Depto 2 AMB en Venta - SKY II</t>
  </si>
  <si>
    <t>Argentina | G.B.A. Zona Norte | Tigre | Rincon de Milberg | Remeros Beach</t>
  </si>
  <si>
    <t>DAP6624064</t>
  </si>
  <si>
    <t>Venta Departamento en Caballito,  6 ambientes, Piso Alto, 2 Cocheras, Seguridad 24hs, Luminoso</t>
  </si>
  <si>
    <t>Beauchef  al 400</t>
  </si>
  <si>
    <t>Casa en Mayling CC</t>
  </si>
  <si>
    <t>Casa en venta Mayling CC 5 ambientes</t>
  </si>
  <si>
    <t>Chubut 415</t>
  </si>
  <si>
    <t>CAP6671038</t>
  </si>
  <si>
    <t>Venta Monoambiente en  FLORES</t>
  </si>
  <si>
    <t>LA FUENTE al 200</t>
  </si>
  <si>
    <t>Constitución 1511 1° piso CABA</t>
  </si>
  <si>
    <t xml:space="preserve">Argentina | Capital Federal | Constitución </t>
  </si>
  <si>
    <t>Constitución 1511 CABA</t>
  </si>
  <si>
    <t>CPH4135324</t>
  </si>
  <si>
    <t>Venta  Permuta  PH San Telmo 5 ambientes en tres pisos con cochera.</t>
  </si>
  <si>
    <t>Piedras al 1300</t>
  </si>
  <si>
    <t xml:space="preserve">Mariano Acha 1042 </t>
  </si>
  <si>
    <t>CAP6701076</t>
  </si>
  <si>
    <t>VENTA DEPARTAMENTO DE 3 AMBIENTES EN NUÑEZ CON TERRAZA PROPIA!</t>
  </si>
  <si>
    <t>Pico  al 1900</t>
  </si>
  <si>
    <t>VAP6373011</t>
  </si>
  <si>
    <t>Departamento en Venta - 3 amb con balcón terraza y parrilla - ASTON VILLAGE PILAR</t>
  </si>
  <si>
    <t>Departamento en Venta en ASTON VILLAGE PILAR</t>
  </si>
  <si>
    <t>CAP6761737</t>
  </si>
  <si>
    <t>Venta departamento 2 ambientes con cochera Belgrano</t>
  </si>
  <si>
    <t>Cuba al 2600</t>
  </si>
  <si>
    <t>CAP6831217</t>
  </si>
  <si>
    <t>Venta Departamento 3 Ambientes con Balcón en Villa Urquiza</t>
  </si>
  <si>
    <t>Miller al 2200</t>
  </si>
  <si>
    <t>CHO6238676</t>
  </si>
  <si>
    <t xml:space="preserve">VENTA DE CASA </t>
  </si>
  <si>
    <t xml:space="preserve">casa en venta en cinco saltos </t>
  </si>
  <si>
    <t>CLA6717781</t>
  </si>
  <si>
    <t>Terreno en  Villa California</t>
  </si>
  <si>
    <t>De los Duendes y Los Eucaliptos</t>
  </si>
  <si>
    <t>Argentina | Santa Fe | La Capital | San Jose Del Rincon | Villa California</t>
  </si>
  <si>
    <t>CAP6757274</t>
  </si>
  <si>
    <t xml:space="preserve"> DEPARTAMENTO 2 AMBIENTES DEPENDENCIA BALCON FRENTE</t>
  </si>
  <si>
    <t>Larrea 1026</t>
  </si>
  <si>
    <t>Angel Gallardo 579</t>
  </si>
  <si>
    <t>CHO4576637</t>
  </si>
  <si>
    <t>venta - Casa - 3 ambientes - Adrogue - a reciclar - patio - jardin</t>
  </si>
  <si>
    <t>MARTIN RODRIGUEZ al 400</t>
  </si>
  <si>
    <t>Argentina | G.B.A. Zona Sur | Almirante Brown | Adrogue</t>
  </si>
  <si>
    <t>CBU49517 AP6658395</t>
  </si>
  <si>
    <t>UNICO 2 ambientes con Balcon con sol Nuevo Equipado - SUM - Villa Urquiza VENTA</t>
  </si>
  <si>
    <t>Bauness al 1200</t>
  </si>
  <si>
    <t>CAP6643995</t>
  </si>
  <si>
    <t>Venta Departamento 2 ambientes a estrenar en Lomas de Nuñez</t>
  </si>
  <si>
    <t>Arcos al 4200</t>
  </si>
  <si>
    <t>JPH6623104</t>
  </si>
  <si>
    <t>PH en venta 3 ambientes al frente c/ cochera, entrada independiente SAAVEDRA</t>
  </si>
  <si>
    <t>Pico al 4400</t>
  </si>
  <si>
    <t>zafiro</t>
  </si>
  <si>
    <t>CLA5872204</t>
  </si>
  <si>
    <t>Terreno en exclusivo barrio Jardines al Lago, barrio Villa Verde, Bariloche</t>
  </si>
  <si>
    <t>Villa Verde, San Carlos de Bariloche</t>
  </si>
  <si>
    <t>Venta de Pozo espectacular -2 Amb - Palermo - Paraguay y Humboldt</t>
  </si>
  <si>
    <t>Paraguay 5075 y Humbolt</t>
  </si>
  <si>
    <t>Casa - Las Tipas</t>
  </si>
  <si>
    <t>LAS TIPAS al 100</t>
  </si>
  <si>
    <t>Argentina | G.B.A. Zona Norte | Tigre | Countries/B.Cerrado (Tigre) | Nordelta | Las Tipas</t>
  </si>
  <si>
    <t>CHO6601235</t>
  </si>
  <si>
    <t>Casa en Santa Rosa</t>
  </si>
  <si>
    <t>TANCO  al 400</t>
  </si>
  <si>
    <t xml:space="preserve">Argentina | Jujuy | Dr Manuel Belgrano </t>
  </si>
  <si>
    <t>CLA6074320</t>
  </si>
  <si>
    <t xml:space="preserve">Terreno en  PERICO </t>
  </si>
  <si>
    <t>LOS LAPACHOS</t>
  </si>
  <si>
    <t xml:space="preserve">Argentina | Jujuy | El Carmen </t>
  </si>
  <si>
    <t xml:space="preserve">Venta departamento Asamblea </t>
  </si>
  <si>
    <t>Av Asamblea 1512</t>
  </si>
  <si>
    <t>69Tato</t>
  </si>
  <si>
    <t>Casa Arroyo Leyes</t>
  </si>
  <si>
    <t>Argentina | Santa Fe | La Capital | Arroyo Leyes</t>
  </si>
  <si>
    <t>CAP6439910</t>
  </si>
  <si>
    <t xml:space="preserve">Departamento de Dos Dormitorios a Estrenar en B° Gamma </t>
  </si>
  <si>
    <t>Republica de Italia 1100</t>
  </si>
  <si>
    <t>Argentina | Neuquen | Capital | Área Centro Este</t>
  </si>
  <si>
    <t>CHO6072376</t>
  </si>
  <si>
    <t>Casa- 3 amb- Lomas Del Mirador- Pileta- Quincho-Terraza - Remodelada - Cochera- Parque</t>
  </si>
  <si>
    <t>Olleros al 100</t>
  </si>
  <si>
    <t>Argentina | G.B.A. Zona Oeste | La Matanza | Lomas Del Mirador</t>
  </si>
  <si>
    <t>CHO6768795</t>
  </si>
  <si>
    <t>Casa en venta 4 ambientes Floresta</t>
  </si>
  <si>
    <t>Belaustegui 4600</t>
  </si>
  <si>
    <t xml:space="preserve">Argentina | Capital Federal | Floresta </t>
  </si>
  <si>
    <t>SARMIENTO 2232 - REMAX EXPRESS</t>
  </si>
  <si>
    <t>Sarmiento 2232</t>
  </si>
  <si>
    <t>CLA6565757</t>
  </si>
  <si>
    <t>VENTA TERRENO con vista al lago de 827 m2 - Ladera Norte - Bariloche</t>
  </si>
  <si>
    <t>Rancho Grande, Bariloche</t>
  </si>
  <si>
    <t>Argentina | Rio Negro | Bariloche | San Carlos De Bariloche | Rancho Grande</t>
  </si>
  <si>
    <t>JAP6727891</t>
  </si>
  <si>
    <t>VENTA DEPARTAMENTO A RECICLAR  MONOAMB. C/BALCON - BELGRANO</t>
  </si>
  <si>
    <t>Ciudad de la Paz al 200</t>
  </si>
  <si>
    <t>VAP6617016</t>
  </si>
  <si>
    <t>Venta Departamento Dos ambientes con Baulera en Balvanera</t>
  </si>
  <si>
    <t>Avenida Belgrano  al 1900</t>
  </si>
  <si>
    <t>CHO6655245</t>
  </si>
  <si>
    <t>CASA EN VENTA ,4 AMBIENTES, SAN SEBASTIAN, AREA 13</t>
  </si>
  <si>
    <t>CASA EN VENTA, 4 AMBIENTES, SAN SEBASTIAN AREA 13</t>
  </si>
  <si>
    <t>CPH6751802</t>
  </si>
  <si>
    <t>PH EN VENTA, 3 AMBIENTES EN VERSALLES</t>
  </si>
  <si>
    <t>Roma  al 1000</t>
  </si>
  <si>
    <t xml:space="preserve">Argentina | Capital Federal | Versalles </t>
  </si>
  <si>
    <t>CBU55413 AP5986293</t>
  </si>
  <si>
    <t>Departamento tipo Duplex en Alquiler c/ Cochera subt - Studios - Ayres Vila</t>
  </si>
  <si>
    <t xml:space="preserve"> Departamento tipo Duplex en Alquiler c/ Cochera subt - Studios - Ayres Vila</t>
  </si>
  <si>
    <t>CGL6373557</t>
  </si>
  <si>
    <t>Galpón y Cocheras en Temperley centro, galpon, deposito, lomas de zamora, inversion</t>
  </si>
  <si>
    <t>Liniers  al 300</t>
  </si>
  <si>
    <t>Argentina | G.B.A. Zona Sur | Lomas De Zamora (Partido) | Temperley | Temperley Oeste</t>
  </si>
  <si>
    <t>CHO6827404</t>
  </si>
  <si>
    <t>Imponente Casa Estilo Colonial en La Lucila</t>
  </si>
  <si>
    <t xml:space="preserve">  Imponente Casa Estilo Colonial en La Lucila</t>
  </si>
  <si>
    <t>Argentina | G.B.A. Zona Norte | Vicente López | La Lucila</t>
  </si>
  <si>
    <t>CHO6832116</t>
  </si>
  <si>
    <t>Venta casa 5 ambientes con patio Villa Pueyrredon</t>
  </si>
  <si>
    <t>Argerich al 4400</t>
  </si>
  <si>
    <t>DAP4067573</t>
  </si>
  <si>
    <t>Departamento de esquina muy luminoso -  2 ambientes - Saavedra</t>
  </si>
  <si>
    <t>Ruiz Huidobro al 3400</t>
  </si>
  <si>
    <t>CAP6865177</t>
  </si>
  <si>
    <t>Departamento interno en Candioti Norte</t>
  </si>
  <si>
    <t>Guemes al 4000</t>
  </si>
  <si>
    <t>Argentina | Santa Fe | La Capital | Santa Fe | Candioti Norte</t>
  </si>
  <si>
    <t>CPH6475241</t>
  </si>
  <si>
    <t>PH en Lomas Del Mirador - OPORTUNIDAD - SIN EXPENSAS - PATIO -PARQUE - LAVADERO</t>
  </si>
  <si>
    <t>LAS HERAS al 3500</t>
  </si>
  <si>
    <t>2 el cano</t>
  </si>
  <si>
    <t xml:space="preserve">terreno venta el cano 2 </t>
  </si>
  <si>
    <t>calle 63</t>
  </si>
  <si>
    <t>CLA6816423</t>
  </si>
  <si>
    <t>Terreno en  venta en Lomas del Cauquén Bariloche</t>
  </si>
  <si>
    <t>Lomas del Cauquen, San Carlos de Bariloche</t>
  </si>
  <si>
    <t>Argentina | Rio Negro | Bariloche | Lomas del Cauquen</t>
  </si>
  <si>
    <t>CAP6394782</t>
  </si>
  <si>
    <t>VENTA MONOAMBIENTE APTO CRÉDITO PALERMO HOLLYWOOD</t>
  </si>
  <si>
    <t>CHARCAS al 4900</t>
  </si>
  <si>
    <t>CAP6789318</t>
  </si>
  <si>
    <t>Venta Departamento 2 Ambientes en Barrio Norte</t>
  </si>
  <si>
    <t>Tucuman  al 1700</t>
  </si>
  <si>
    <t>UF 7 Postal Patagónia</t>
  </si>
  <si>
    <t>CAP6582362</t>
  </si>
  <si>
    <t>Ecuador 4770</t>
  </si>
  <si>
    <t>Yerbal 1500</t>
  </si>
  <si>
    <t>lote 290 y 291 Magallanes</t>
  </si>
  <si>
    <t>doble lote venta Magallanes</t>
  </si>
  <si>
    <t>CAP6670184</t>
  </si>
  <si>
    <t>VENTA DEPARTAMENTO 2 AMBIENTES - GARAGE Y BAULERA - AMENITIES - PUERTO MADERO</t>
  </si>
  <si>
    <t>Azucena Villaflor  al 300</t>
  </si>
  <si>
    <t>VAP6605293</t>
  </si>
  <si>
    <t>Departamento  de 2 ambientes en Venta Apto Crédito en Villa del Lago - Pilar</t>
  </si>
  <si>
    <t>Av. Champagnat 1200 Pilar</t>
  </si>
  <si>
    <t>Argentina | G.B.A. Zona Norte | Pilar | Countries/B.Cerrado (Pilar) | Villa del Lago</t>
  </si>
  <si>
    <t>Av Balbin 4543 piso 6 unidad E ( monoambiente)</t>
  </si>
  <si>
    <t>CHO6797755</t>
  </si>
  <si>
    <t>Casa con Pileta en Plottier</t>
  </si>
  <si>
    <t>Cuarzo 50</t>
  </si>
  <si>
    <t>CAP6790237</t>
  </si>
  <si>
    <t>Venta Departamento Monoambiente con Balcón y amenities en Palermo, Palermo Hollywood</t>
  </si>
  <si>
    <t>UF 70 Paseo Retamas</t>
  </si>
  <si>
    <t>Las Retamas 200</t>
  </si>
  <si>
    <t xml:space="preserve">Argentina | Neuquen | Villa La Angostura </t>
  </si>
  <si>
    <t>VPN53619 HO5687882</t>
  </si>
  <si>
    <t>Casa Estilo Dúplex - 3 AMB - Las Margaritas, Pilar - Ultimas unidades!!!!</t>
  </si>
  <si>
    <t xml:space="preserve">Casa tipo Dúplex - 3 AMB - Las Margaritas, Pilar </t>
  </si>
  <si>
    <t>Argentina | G.B.A. Zona Norte | Pilar | Countries/B.Cerrado (Pilar) | Las Margaritas</t>
  </si>
  <si>
    <t>CHO5707928</t>
  </si>
  <si>
    <t>VENTA Casa Ph 3 dormitorios 142m2 Lote 300m2 Calle Orión Bº Las Balsas Villa la Angostura</t>
  </si>
  <si>
    <t>Orion</t>
  </si>
  <si>
    <t>CHO6678923</t>
  </si>
  <si>
    <t>CASA 3 AMB, JOSE MARMOL, FONDO, JARDIN, ADROGUE</t>
  </si>
  <si>
    <t>KING  al 300 JOSE MARMOL</t>
  </si>
  <si>
    <t>Argentina | G.B.A. Zona Sur | Almirante Brown | Jose Marmol</t>
  </si>
  <si>
    <t>CPH6613449</t>
  </si>
  <si>
    <t>PH, lomas de zamora, patio, jardin, cochera, 3 ambientes, excelente estado, entrada independiente</t>
  </si>
  <si>
    <t>Mentruyt 85</t>
  </si>
  <si>
    <t>Venta Departamento en Villa Urquiza</t>
  </si>
  <si>
    <t>AR EnBuenosAires</t>
  </si>
  <si>
    <t>Pedro Ignacio Rivera 3028 2D</t>
  </si>
  <si>
    <t>CHO6711959</t>
  </si>
  <si>
    <t>Casa en Barrio Universitario</t>
  </si>
  <si>
    <t>Salvador Mazza  al 300</t>
  </si>
  <si>
    <t>CLA6311493</t>
  </si>
  <si>
    <t>Venta, Terreno, Lote, Saenz Peña, Santos Lugares.</t>
  </si>
  <si>
    <t>Ameghino  al 3200</t>
  </si>
  <si>
    <t>Argentina | G.B.A. Zona Oeste | Tres De Febrero | Villa Saenz Peña</t>
  </si>
  <si>
    <t>CAP5246442</t>
  </si>
  <si>
    <t>Departamento 2 amb a estrenar en  Villa Devoto</t>
  </si>
  <si>
    <t>Jose Cubas al 3300</t>
  </si>
  <si>
    <t>CAP6727112</t>
  </si>
  <si>
    <t xml:space="preserve">Excelente Departamento (38 m2) AMUEBLADO a la Venta en VILLA URQUIZA </t>
  </si>
  <si>
    <t>Quesada al 5100 - Villa Urquiza - CABA</t>
  </si>
  <si>
    <t>CAP6808719</t>
  </si>
  <si>
    <t>Departamento con vista al lago y con cochera en Torre O'connor Bariloche</t>
  </si>
  <si>
    <t>CAP6633621</t>
  </si>
  <si>
    <t>VENTA dpto 2 amb Torre Nuñez cochera amenities</t>
  </si>
  <si>
    <t>Jaramillo  al 1600</t>
  </si>
  <si>
    <t>VHO6860280</t>
  </si>
  <si>
    <t xml:space="preserve">Casa en  santa isabel con jardin </t>
  </si>
  <si>
    <t>rene favaloro al 1500</t>
  </si>
  <si>
    <t>CAP6637315</t>
  </si>
  <si>
    <t>Increible Dpto. 5 ambientes con escritorio y dependencia en Recoleta con amplios balcones.</t>
  </si>
  <si>
    <t>Arenales  al 2300</t>
  </si>
  <si>
    <t>CAP6595074</t>
  </si>
  <si>
    <t>Venta departamento 4 ambientes en  Greenville Polo</t>
  </si>
  <si>
    <t xml:space="preserve">Greenville Polo Resort  </t>
  </si>
  <si>
    <t>Argentina | G.B.A. Zona Sur | Berazategui | Guillermo E Hudson | Greenville Polo &amp; Resort</t>
  </si>
  <si>
    <t>VAP6068530</t>
  </si>
  <si>
    <t>Venta departamento 3 ambientes c/ jardin y  cochera - Armony - Puerto Escondido - Nordelta</t>
  </si>
  <si>
    <t>avenida del puerto al 600</t>
  </si>
  <si>
    <t>Argentina | G.B.A. Zona Norte | Tigre | Countries/B.Cerrado (Tigre) | Nordelta | Puerto Escondido</t>
  </si>
  <si>
    <t>CHO6089217</t>
  </si>
  <si>
    <t>Casa en  venta en Villa Mitre</t>
  </si>
  <si>
    <t>Villa Mitre</t>
  </si>
  <si>
    <t>Argentina | Salta | Capital | Salta | Va.Mitre</t>
  </si>
  <si>
    <t>CAP6880903</t>
  </si>
  <si>
    <t>Departamento en venta bajo la viña</t>
  </si>
  <si>
    <t>bajo la viña calle raul noceti</t>
  </si>
  <si>
    <t>Argentina | Jujuy | Dr Manuel Belgrano | San Salvador De Jujuy | Bajo La Viña</t>
  </si>
  <si>
    <t>CAP5680940</t>
  </si>
  <si>
    <t>VENTA  MONOAMBIENTE BALVANERA -OPORTUNIDAD- DIVISIBLE-FACULTADES-SUBTES B-H-D APTO PROFESIONAL</t>
  </si>
  <si>
    <t>Lavalle  al 2100</t>
  </si>
  <si>
    <t>CAP6620313</t>
  </si>
  <si>
    <t>Venta Departamento 2 ambientes con Balcon buena altura en Villa Crespo</t>
  </si>
  <si>
    <t>Belaustegui al 900</t>
  </si>
  <si>
    <t>CAP6792648</t>
  </si>
  <si>
    <t>VENTA Departamento San Martin de los Andes 52,61M2 B° La Cascada</t>
  </si>
  <si>
    <t>Quinquela Martín y Ruta 40</t>
  </si>
  <si>
    <t>Argentina | Neuquen | Lacar | San Martin De Los Andes | La Cascada</t>
  </si>
  <si>
    <t>CAP6072374</t>
  </si>
  <si>
    <t>VENTA DEPARTAMENTO 4 AMBIENTES EN ALMAGRO C/LAVADERO INDEPENDIENTE X ESCALERA</t>
  </si>
  <si>
    <t>CPH5468212</t>
  </si>
  <si>
    <t>VENTA PH 3 ambientes - Sin Expensas !! Gran patio y Terraza Propia !!</t>
  </si>
  <si>
    <t>Gabriela Mistral al 3200</t>
  </si>
  <si>
    <t>CAP5655889</t>
  </si>
  <si>
    <t>Venta Departamento 3 ambientes, luz y vista con balcón aterrazado y Cochera en Belgrano</t>
  </si>
  <si>
    <t>Ciudad de la Paz al 1700</t>
  </si>
  <si>
    <t>VAP6483440</t>
  </si>
  <si>
    <t>Enorme Semipiso 3 AMB luminosos (Dep y Baulera) en Libertador y Sucre</t>
  </si>
  <si>
    <t>Libertador al 5800</t>
  </si>
  <si>
    <t>VHO6680870</t>
  </si>
  <si>
    <t>Casa en venta en San Sebastian Area 1 a Estrenar</t>
  </si>
  <si>
    <t>San Sebastian Area 1 Pilar</t>
  </si>
  <si>
    <t>VAP6700935</t>
  </si>
  <si>
    <t xml:space="preserve">Departamento en  REMEROS BEACH - 3 ambientes con la mejor vista Crystal Lagoon OPOTUNIDAD INVERSION </t>
  </si>
  <si>
    <t>camino de los remeros al 1500</t>
  </si>
  <si>
    <t>CAP6678664</t>
  </si>
  <si>
    <t>Departamento en  venta en gran lote a 100 mts de Avda A del Valle</t>
  </si>
  <si>
    <t>Esmeralda  al 2500 OPORTUNIDAD lote con departamento al fondo</t>
  </si>
  <si>
    <t xml:space="preserve">Argentina | Santa Fe | La Capital </t>
  </si>
  <si>
    <t>VLA5595101</t>
  </si>
  <si>
    <t>Terreno en  Venta Barrio El Cazador - Escobar</t>
  </si>
  <si>
    <t>Argentina | G.B.A. Zona Norte | Escobar | Barrio El Cazador</t>
  </si>
  <si>
    <t>VAP6740813</t>
  </si>
  <si>
    <t xml:space="preserve">Departamento en  venta monoambiente en Coghlan </t>
  </si>
  <si>
    <t>Roosevelt Franklin D.  al 3100</t>
  </si>
  <si>
    <t>CAP6809352</t>
  </si>
  <si>
    <t>Departamento en  venta 2 ambientes Full amenities</t>
  </si>
  <si>
    <t>Malabia al 2300</t>
  </si>
  <si>
    <t>Horizon Group</t>
  </si>
  <si>
    <t>CHO6307252</t>
  </si>
  <si>
    <t>Casa en Venta 4 amb - Barrio San Ramón - Pilar del Este</t>
  </si>
  <si>
    <t>Pilar del Este - San Ramon</t>
  </si>
  <si>
    <t>Argentina | G.B.A. Zona Norte | Pilar | Countries/B.Cerrado (Pilar) | Pilar Del Este | San Ramon</t>
  </si>
  <si>
    <t>PTACOMP0012</t>
  </si>
  <si>
    <t>CASA EN CALLE 492 Y 27</t>
  </si>
  <si>
    <t xml:space="preserve">27 Y 492 </t>
  </si>
  <si>
    <t>CAP6718465</t>
  </si>
  <si>
    <t>Hermoso 3 ambientes con Jardin de Invierno y Patio en Belgrano</t>
  </si>
  <si>
    <t>Roosvelt  al 2700</t>
  </si>
  <si>
    <t>CAP6085523</t>
  </si>
  <si>
    <t>Departamento en  4 ambientes en Saavedra con amenities</t>
  </si>
  <si>
    <t>Correa al 2600</t>
  </si>
  <si>
    <t>Op. con Finca Sur. Lote en Piedra San Francisco</t>
  </si>
  <si>
    <t>UF 27 Loteo Quetrihue Loteo B</t>
  </si>
  <si>
    <t>Bv. Quetrihue y Amancay</t>
  </si>
  <si>
    <t>CGA6794347</t>
  </si>
  <si>
    <t>Cocheras Premium con Renta! Ideal Inversión.</t>
  </si>
  <si>
    <t>Arenales al 3300</t>
  </si>
  <si>
    <t>Garage</t>
  </si>
  <si>
    <t>CHO6477632</t>
  </si>
  <si>
    <t>Casa en  12 de Octubre</t>
  </si>
  <si>
    <t>Isabel la catolica al 100</t>
  </si>
  <si>
    <t>Argentina | Jujuy | Dr Manuel Belgrano | San Salvador De Jujuy</t>
  </si>
  <si>
    <t>CBU59677 AP6512996</t>
  </si>
  <si>
    <t>Departamento en venta -1 ambiente con Terraza - Edificio Donado - Villa Urquiza</t>
  </si>
  <si>
    <t>Departamento en venta 1 ambiente con Terraza - Edificio Donado - Villa Urquiza</t>
  </si>
  <si>
    <t>JAP6599541</t>
  </si>
  <si>
    <t>Departamento de 2 ambientes a Estrenar con amenities - unica unidad disponible -</t>
  </si>
  <si>
    <t>Gregorio de laferrere  al 1100</t>
  </si>
  <si>
    <t>Dueño Directo - Saavedra 464 - ADRI</t>
  </si>
  <si>
    <t>Saavedra 464</t>
  </si>
  <si>
    <t>CLA6492706</t>
  </si>
  <si>
    <t>Terreno  INDEPENDENCIA Y WINTER</t>
  </si>
  <si>
    <t>INDEPENDENCIA Y WINTER</t>
  </si>
  <si>
    <t>CAP6524299</t>
  </si>
  <si>
    <t>Departamento en Caballito</t>
  </si>
  <si>
    <t>Beauchef al 200</t>
  </si>
  <si>
    <t>elpidio gonzales</t>
  </si>
  <si>
    <t>Elpidio gonzales</t>
  </si>
  <si>
    <t xml:space="preserve">Argentina | Mendoza | Guaymallen </t>
  </si>
  <si>
    <t>CHO6403072</t>
  </si>
  <si>
    <t>Casa en  venta Villa hipodromo</t>
  </si>
  <si>
    <t>Montes de Oca al 1000</t>
  </si>
  <si>
    <t>Argentina | Mendoza | Godoy Cruz | Villa Hipodromo</t>
  </si>
  <si>
    <t>CAP6735295</t>
  </si>
  <si>
    <t>Venta departamento Godoy Cruz en complejo privado, Puente Olive, Benegas , Godoy Cruz Dto 12</t>
  </si>
  <si>
    <t>Cervantes al 1400</t>
  </si>
  <si>
    <t>Argentina | Mendoza | Godoy Cruz | Godoy Cruz | Gobernador Benegas</t>
  </si>
  <si>
    <t>CHO6640419</t>
  </si>
  <si>
    <t>Casa en  venta ubicada en Barrio San Carlos</t>
  </si>
  <si>
    <t>Barrio San Carlos</t>
  </si>
  <si>
    <t>CAP6928439</t>
  </si>
  <si>
    <t>Duplex A estrenar 2 ambientes 2 baños balcon Villa Urquiza</t>
  </si>
  <si>
    <t>Bauness al 1100</t>
  </si>
  <si>
    <t>CCO56858 AP6151581</t>
  </si>
  <si>
    <t>Departamento 3 Ambientes - Civis Tortugas</t>
  </si>
  <si>
    <t>Argentina | G.B.A. Zona Norte | Pilar | Tortugas I y II</t>
  </si>
  <si>
    <t>CHO6843440</t>
  </si>
  <si>
    <t xml:space="preserve">CASA EN VENTA BARRIO MILCAYAC </t>
  </si>
  <si>
    <t xml:space="preserve">BARRIO MILCAYAC </t>
  </si>
  <si>
    <t>CHO6871958</t>
  </si>
  <si>
    <t>Departamento en Tres Cerritos</t>
  </si>
  <si>
    <t>Los Parrales  al 400</t>
  </si>
  <si>
    <t>UF 9 Loteo Quetrihue Loteo A</t>
  </si>
  <si>
    <t>UF 14 Loteo B Quetrihue</t>
  </si>
  <si>
    <t>CAP6300558</t>
  </si>
  <si>
    <t>Venta Departamento Monoambiente en Barrio Norte con Baulera</t>
  </si>
  <si>
    <t>JAP6562799</t>
  </si>
  <si>
    <t>Departamento en venta 3 ambientes en Villa Ballester con balcon</t>
  </si>
  <si>
    <t>Belgrano 4721</t>
  </si>
  <si>
    <t>Argentina | G.B.A. Zona Norte | General San Martin | Villa Ballester</t>
  </si>
  <si>
    <t>AgustinReferido</t>
  </si>
  <si>
    <t xml:space="preserve">Referido 2 amb Villa Crespo </t>
  </si>
  <si>
    <t>CBU42019 AP5804372</t>
  </si>
  <si>
    <t>Departamento 1 Ambiente vista al lago 2E en pozo- Jardín Botánico - Bariloche - Patagonia</t>
  </si>
  <si>
    <t>Tronador al 1700</t>
  </si>
  <si>
    <t>CBU59337 AP6533756</t>
  </si>
  <si>
    <t>VENTA Departamento 2 ambientes 62,10 m2 UF 71 Pozo, Paseo Retamas, Villa la Angostura</t>
  </si>
  <si>
    <t>CAP6214158</t>
  </si>
  <si>
    <t>Departamento en Pozo Edificio Neu, Barrio Belgrano, San Carlos de Bariloche</t>
  </si>
  <si>
    <t>Belgrano, San Carlos de Bariloche</t>
  </si>
  <si>
    <t>Argentina | Rio Negro | Bariloche | San Carlos De Bariloche | Belgrano</t>
  </si>
  <si>
    <t>CBU54762 AP6140835</t>
  </si>
  <si>
    <t>VENTA departamento duplex 3 ambientes Patio Jardin propio en Villa Urquiza</t>
  </si>
  <si>
    <t>Donado 2000</t>
  </si>
  <si>
    <t>CAP6840679</t>
  </si>
  <si>
    <t xml:space="preserve">Departamento dos ambientes en VENTA al frente </t>
  </si>
  <si>
    <t>Arenales  al 1700</t>
  </si>
  <si>
    <t>CHO6440257</t>
  </si>
  <si>
    <t>Venta Casa 3dor CIPOLLETTI</t>
  </si>
  <si>
    <t>9 de julio 1373</t>
  </si>
  <si>
    <t>VAP6716120</t>
  </si>
  <si>
    <t>Departamento en  Venta de 3 ambientes en Palermo</t>
  </si>
  <si>
    <t>Migueletes  al 700</t>
  </si>
  <si>
    <t>CBU41464 AP6741850</t>
  </si>
  <si>
    <t>VENTA Departamento 2 amb Vista al Lago  - A estrenar Baulera y cochera - Puerto Manzano Villa la Angostura</t>
  </si>
  <si>
    <t>Avenida Arrayanes al 7000</t>
  </si>
  <si>
    <t>Argentina | Neuquen | Villa La Angostura | Faldeo Manzano</t>
  </si>
  <si>
    <t xml:space="preserve">Venta </t>
  </si>
  <si>
    <t>DOMUS LIBERTADOR</t>
  </si>
  <si>
    <t>Av. Libertador 2899 Piso 4</t>
  </si>
  <si>
    <t>CAP6917146</t>
  </si>
  <si>
    <t>Departamento | Venta | Juan Pablo II | 3 habitaciones</t>
  </si>
  <si>
    <t>Juan Pablo II 7</t>
  </si>
  <si>
    <t xml:space="preserve">LOTE EN VENTA , MASCHWITZ </t>
  </si>
  <si>
    <t>LAMBARE 448</t>
  </si>
  <si>
    <t>Argentina | G.B.A. Zona Norte | Escobar | Ingeniero Maschwitz | Zelaya</t>
  </si>
  <si>
    <t>CAP6253711</t>
  </si>
  <si>
    <t xml:space="preserve">Departamento en venta </t>
  </si>
  <si>
    <t>Av luro  al 2500</t>
  </si>
  <si>
    <t xml:space="preserve">Argentina | Costa Atlantica | Mar Del Plata </t>
  </si>
  <si>
    <t>CLA6541937</t>
  </si>
  <si>
    <t>City Bell - Último terreno en Barrio Cerrado "Cañitas Bell I" - ESCRITURADO</t>
  </si>
  <si>
    <t>Calle 30 E/ 473 BIS Y 474</t>
  </si>
  <si>
    <t>Argentina | G.B.A. Zona Sur | La Plata | City Bell</t>
  </si>
  <si>
    <t>loyola</t>
  </si>
  <si>
    <t>loyola 1129</t>
  </si>
  <si>
    <t>CPH6419004</t>
  </si>
  <si>
    <t>PH - LOMAS DEL MIRADOR- 4 AMB- 2 BAÑOS- COCHERA-TERRAZA - LAVADERO -PERMUTA-FINANCIACIÓN DIRECTA</t>
  </si>
  <si>
    <t>MORENO al 3000</t>
  </si>
  <si>
    <t>CAP2991515</t>
  </si>
  <si>
    <t>Venta Departamento 2 ambientes en Tigre con cochera. Hermoso complejo! Oportunidad!!!</t>
  </si>
  <si>
    <t>montevideo al 1300</t>
  </si>
  <si>
    <t xml:space="preserve">Argentina | G.B.A. Zona Norte | Tigre </t>
  </si>
  <si>
    <t>JPH6640188</t>
  </si>
  <si>
    <t xml:space="preserve">PH en VENTA EN PLANTA BAJA IMPECABLE ESTADO A METROS DEL PARQUE CHACABUCO </t>
  </si>
  <si>
    <t>EMILIO MITRE al 1400</t>
  </si>
  <si>
    <t>CHO5997368</t>
  </si>
  <si>
    <t>Casa en Haedo Norte</t>
  </si>
  <si>
    <t>Paris al 400</t>
  </si>
  <si>
    <t>Argentina | G.B.A. Zona Oeste | Moron | Haedo | Haedo Norte</t>
  </si>
  <si>
    <t>CAP6871558</t>
  </si>
  <si>
    <t xml:space="preserve">Venta dos ambientes en Colegiales a estrenar </t>
  </si>
  <si>
    <t>Conde  al 1200</t>
  </si>
  <si>
    <t>CHO6049901</t>
  </si>
  <si>
    <t>Venta Casa 4 ambientes en complejo cerrado con seguridad en Vicente López</t>
  </si>
  <si>
    <t>Drysdale  al 5400</t>
  </si>
  <si>
    <t>Argentina | G.B.A. Zona Norte | Vicente López | Carapachay</t>
  </si>
  <si>
    <t>CAP5627451</t>
  </si>
  <si>
    <t>Venta Departamento 3 ambientes Recoleta Último piso edificio antiguo de categoría A reciclar</t>
  </si>
  <si>
    <t>Juncal al 2000</t>
  </si>
  <si>
    <t>Paraguay 3827</t>
  </si>
  <si>
    <t>Depto venta Palermo</t>
  </si>
  <si>
    <t>CAP5109835</t>
  </si>
  <si>
    <t>VENTA DEPARTAMENTO 3 AMBIENTES VILLA DEL PARQUE</t>
  </si>
  <si>
    <t>Concordia  al 2100</t>
  </si>
  <si>
    <t>DEL COMERCIO 1269</t>
  </si>
  <si>
    <t>CPH6658311</t>
  </si>
  <si>
    <t>Venta PH tipo Casa 4 Ambientes con Terraza en Villa Devoto</t>
  </si>
  <si>
    <t>Mercedes  al 4600</t>
  </si>
  <si>
    <t>CBU60233 AP6592896</t>
  </si>
  <si>
    <t>Venta Depto Tres Ambientes vista al lago a 5 minutos del centro</t>
  </si>
  <si>
    <t>CAP6570787</t>
  </si>
  <si>
    <t>VENTA DPTO 4 AMBS RECICLADO EN CABALLITO CON BALCON CORRIDO, TODO LUZ</t>
  </si>
  <si>
    <t>av. Rivadavia  al 5200</t>
  </si>
  <si>
    <t>Venta departamento Belgrano 11 de Septiembre</t>
  </si>
  <si>
    <t>11 de Septiembre 1888</t>
  </si>
  <si>
    <t>CLA4693523</t>
  </si>
  <si>
    <t>VENTA Lote/Terreno 10 Has Genoveva Beveraggi Colonia Suiza Bariloche</t>
  </si>
  <si>
    <t>Genoveva Bevergagi, Bariloche</t>
  </si>
  <si>
    <t>Argentina | Rio Negro | Bariloche | Colonia Suiza</t>
  </si>
  <si>
    <t>Loteo Selvana I, nomenclatura catastral 16-20-068-9843, que una vez realizada la subdivisión será denominado internamente como unidad funcional Nº 12 de 435 m2</t>
  </si>
  <si>
    <t>Caviahue y Av. Nahuel Haupi</t>
  </si>
  <si>
    <t>Argentina | Neuquen | Villa La Angostura | Selvana</t>
  </si>
  <si>
    <t>Venta Soler</t>
  </si>
  <si>
    <t>Soler 5738</t>
  </si>
  <si>
    <t>Nuestra Señora de la Merced 5322</t>
  </si>
  <si>
    <t>Argentina | G.B.A. Zona Sur | Lanús | Lanús | Lanús Este</t>
  </si>
  <si>
    <t>CHO6864495</t>
  </si>
  <si>
    <t xml:space="preserve">Casa en Venta City Bell, 4 dormitorios, escritorio, quincho, pileta </t>
  </si>
  <si>
    <t>18 al 900 entre 462 y 464</t>
  </si>
  <si>
    <t>BOUCHARD 100</t>
  </si>
  <si>
    <t>CAP6809032</t>
  </si>
  <si>
    <t>DEPARTAMENTO EN VENTA 4 AMBIENTES RECICLADO EN SAN TELMO</t>
  </si>
  <si>
    <t>Defensa al 1400</t>
  </si>
  <si>
    <t>CHO6514007</t>
  </si>
  <si>
    <t>Casa en  Venta 3 dormitorios San Alfonso Pilar del Este</t>
  </si>
  <si>
    <t>Barrio San Alfonso</t>
  </si>
  <si>
    <t xml:space="preserve">Argentina | G.B.A. Zona Norte | Pilar | Countries/B.Cerrado (Pilar) | Pilar Del Este | San Alfonso </t>
  </si>
  <si>
    <t>CHO6765553</t>
  </si>
  <si>
    <t>Casa en Venta 3 dormitorios San Ramon Pilar del Este- Financia</t>
  </si>
  <si>
    <t>Barrio San Ramon Pilar del Este</t>
  </si>
  <si>
    <t>CHO6500928</t>
  </si>
  <si>
    <t>Venta Casa 5 ambientes en Barrio Privado Pilar Village</t>
  </si>
  <si>
    <t>Barrio Cerrado Pilar Village Chubut al 600</t>
  </si>
  <si>
    <t>Argentina | G.B.A. Zona Norte | Pilar | Countries/B.Cerrado (Pilar) | Pilar Village</t>
  </si>
  <si>
    <t>CAP6425498</t>
  </si>
  <si>
    <t>DEPARTAMENTO EN RECOLETA DE 4 AMBIENTES MAS DEPENDENCIA DE SERVICIO</t>
  </si>
  <si>
    <t>Beruti al 2800</t>
  </si>
  <si>
    <t>callao 1330</t>
  </si>
  <si>
    <t>CAP6812130</t>
  </si>
  <si>
    <t>Venta departamento 2 ambientes con balcon Parque Patricios</t>
  </si>
  <si>
    <t>Salcedo al 2900</t>
  </si>
  <si>
    <t>Lavalle 376 - Susana Fernandez - Yacoub Palermo</t>
  </si>
  <si>
    <t>Lavalle 376</t>
  </si>
  <si>
    <t>Av. Rivadavia 3521</t>
  </si>
  <si>
    <t>CHO6373352</t>
  </si>
  <si>
    <t>Casa en Venta 3 dormitorios Barrio Santa Lucia Pilar del Este</t>
  </si>
  <si>
    <t>Barrio Santa Lucia Pilar del Este</t>
  </si>
  <si>
    <t>Argentina | G.B.A. Zona Norte | Pilar | Countries/B.Cerrado (Pilar) | Pilar Del Este | Santa Lucia</t>
  </si>
  <si>
    <t>Casa Tres Cerritos Los Jazmines 700</t>
  </si>
  <si>
    <t>Casa En Venta Tres Cerritos Los Jazmines 700</t>
  </si>
  <si>
    <t>Tres Cerritos Los Jazmines 700</t>
  </si>
  <si>
    <t>CAP6280260</t>
  </si>
  <si>
    <t>Venta Departamento de 3 ambientes con balcon, toilette, cochera y amenities en Nuñez</t>
  </si>
  <si>
    <t>11 de Septiembre  al 2700</t>
  </si>
  <si>
    <t>VCO50955 AP6447227</t>
  </si>
  <si>
    <t>Departamento en Venta a Estrenar - Arboris I</t>
  </si>
  <si>
    <t>Árboris I | Angra - Remeros Beach</t>
  </si>
  <si>
    <t>CAP5158488</t>
  </si>
  <si>
    <t>Venta Departamento 3 Ambientes y dependencia en Las Cañitas, parrilla y piscina</t>
  </si>
  <si>
    <t>Gorostiaga  al 1700</t>
  </si>
  <si>
    <t>CAP4510385</t>
  </si>
  <si>
    <t>Oportunidad Venta Departamento 4 amb 82M2</t>
  </si>
  <si>
    <t>MANGE 822</t>
  </si>
  <si>
    <t>CAP6968948</t>
  </si>
  <si>
    <t>Venta, Departamento, 3 ambientes, balcon, terraza, Parrilla, Saenz Peña</t>
  </si>
  <si>
    <t>Giorello al 1100</t>
  </si>
  <si>
    <t>VAP6565576</t>
  </si>
  <si>
    <t>Venta Departamento 4 ambientes Luminoso - Villa Urquiza</t>
  </si>
  <si>
    <t>Avenida Olazabal  al 4000</t>
  </si>
  <si>
    <t>CBU44879 AP4506740</t>
  </si>
  <si>
    <t>Venta Departamento - P3 D -  2 ambientes - Salta 220 - Centro - Bariloche</t>
  </si>
  <si>
    <t>Salta al 200</t>
  </si>
  <si>
    <t>CHO4657463</t>
  </si>
  <si>
    <t>Casa en venta 4 dormitorios calle 487 entre 15 y 15 bis Gonnet Bell La Plata</t>
  </si>
  <si>
    <t>Calle 487 Nº2035 entre 15 y 15 bis, Gonnet</t>
  </si>
  <si>
    <t>Argentina | G.B.A. Zona Sur | La Plata | Manuel B Gonnet</t>
  </si>
  <si>
    <t>VHO6570463</t>
  </si>
  <si>
    <t>Casa en Venta apto credito! Barrio Cerrado Santa Clara Villanueva  4 amb - Piscina - Jardin</t>
  </si>
  <si>
    <t xml:space="preserve"> -Casa en Venta Barrio Santa Clara Villanueva -B. de todos los santos 5700</t>
  </si>
  <si>
    <t>Argentina | G.B.A. Zona Norte | Tigre | Countries/B.Cerrado (Tigre) | Villanueva | Santa Clara</t>
  </si>
  <si>
    <t>CBU60233 AP6592892</t>
  </si>
  <si>
    <t>sanchez bustamante 1180</t>
  </si>
  <si>
    <t>CAP6401011</t>
  </si>
  <si>
    <t>Venta Departamento 2 Dormitorios Reciclado Balvanera</t>
  </si>
  <si>
    <t>AGUERO  al 700</t>
  </si>
  <si>
    <t>CBU60233 AP6592809</t>
  </si>
  <si>
    <t>Arregui 5418  PB 2</t>
  </si>
  <si>
    <t>CPH6702114</t>
  </si>
  <si>
    <t>PH - 3 AMB - TERRAZA - VILLA PUEYRREDON - PERMUTA</t>
  </si>
  <si>
    <t>Ladines al 2200</t>
  </si>
  <si>
    <t>JAP6257911</t>
  </si>
  <si>
    <t>Venta 2 ambientes luminoso remodelado con cochera Oportunidad</t>
  </si>
  <si>
    <t>Azcuenaga | al 1400</t>
  </si>
  <si>
    <t>CAP6472661</t>
  </si>
  <si>
    <t>VENTA SEMIPISO 4 AMB. C/ DEPENDENCIA, COCHERA Y BAULERA. RECOLETA. APTO CREDITO.</t>
  </si>
  <si>
    <t>Vicente Lopez al 1700</t>
  </si>
  <si>
    <t>Av Libertador 5470</t>
  </si>
  <si>
    <t>CAP6817536</t>
  </si>
  <si>
    <t>VENTA Departamento Villa La Angostura 58m2 Península Manzano Todo Equipado Exclusivo</t>
  </si>
  <si>
    <t>Las Hortensias 215 PB</t>
  </si>
  <si>
    <t>Argentina | Neuquen | Villa La Angostura | Peninsulas Del Pto.Manzano</t>
  </si>
  <si>
    <t>San Juan 81-Matheu</t>
  </si>
  <si>
    <t>San Juan n°81 - Matheu</t>
  </si>
  <si>
    <t>Argentina | G.B.A. Zona Norte | Escobar | Matheu</t>
  </si>
  <si>
    <t>venta horizontes al sur 525</t>
  </si>
  <si>
    <t>lote venta horizontes al sur 525</t>
  </si>
  <si>
    <t>Argentina | G.B.A. Zona Sur | Presidente Peron | Guernica</t>
  </si>
  <si>
    <t>JPH6567001</t>
  </si>
  <si>
    <t>VENTA - PH - 2 AMBIENTES - PATIO - VILLA GENERAL MITRE - PATERNAL</t>
  </si>
  <si>
    <t>Magariños Cervantes al 2200</t>
  </si>
  <si>
    <t xml:space="preserve">Argentina | Capital Federal | Villa Gral. Mitre </t>
  </si>
  <si>
    <t>CAP6983667</t>
  </si>
  <si>
    <t>VENTA 2 AMB BCON  VISTA PANORAMICA VILLA CRESPO</t>
  </si>
  <si>
    <t>HONORIO PUEYRREDON 1400</t>
  </si>
  <si>
    <t>Local UF 5 Paseo Retamas Edificio 1</t>
  </si>
  <si>
    <t>Retamas 300</t>
  </si>
  <si>
    <t>Local PB UF 4 Paseo Retamas Edificio 1</t>
  </si>
  <si>
    <t>CAP6881551</t>
  </si>
  <si>
    <t>Depto 3 AMB en Venta C/ Cochera y Baulera - APTO CREDITO</t>
  </si>
  <si>
    <t>Pedro Rivera al 2600</t>
  </si>
  <si>
    <t>VHO6742853</t>
  </si>
  <si>
    <t>Casa 6 ambientes dos plantas con parque y cochera.   Villa Adelina. Parque Cisneros.</t>
  </si>
  <si>
    <t>Joaquín V González al 1600</t>
  </si>
  <si>
    <t>Argentina | G.B.A. Zona Norte | San Isidro | Villa Adelina | V.Ade.-P.Cisneros</t>
  </si>
  <si>
    <t>CHO6985248</t>
  </si>
  <si>
    <t>Casa en Barrio El Prado Eco Village</t>
  </si>
  <si>
    <t xml:space="preserve">Barrio El Prado Eco Village </t>
  </si>
  <si>
    <t>Argentina | Salta | Capital | El Prado</t>
  </si>
  <si>
    <t>CAP6589230</t>
  </si>
  <si>
    <t xml:space="preserve">Venta Departamento  2 Ambientes. Almagro </t>
  </si>
  <si>
    <t>Av. Belgrano al 3200</t>
  </si>
  <si>
    <t>CGL6937031</t>
  </si>
  <si>
    <t>Galpón en Salida de salta | Avenida Asuncion</t>
  </si>
  <si>
    <t>Avenida asuncion  al 1600</t>
  </si>
  <si>
    <t>Argentina | Salta | Capital | Salta | Zona Este</t>
  </si>
  <si>
    <t>CLA6621791</t>
  </si>
  <si>
    <t>VENTA Lote/Terreno  excelente  5.615 m2 Barrio Vallescondido San Martin de los Andes</t>
  </si>
  <si>
    <t xml:space="preserve">Barrio vallescondido </t>
  </si>
  <si>
    <t>Argentina | Neuquen | Lacar | San Martin De Los Andes | Valle escondido – Club de campo</t>
  </si>
  <si>
    <t>Op. con Tizado. Lote 26, Alihuen Alto Nueva Etapa, 1771m2, NC: 15-21-044-2018-0026</t>
  </si>
  <si>
    <t>DeLosCerastios891</t>
  </si>
  <si>
    <t>De Los Cerastios 891</t>
  </si>
  <si>
    <t>CAP6798221</t>
  </si>
  <si>
    <t>Venta departamento 3 ambientes en Torre Full amenities en Palermo Hollywood</t>
  </si>
  <si>
    <t>Humboldt al 1900</t>
  </si>
  <si>
    <t>CHO5087478</t>
  </si>
  <si>
    <t>Casa en Santos Lugares</t>
  </si>
  <si>
    <t>San Carlos  al 1500</t>
  </si>
  <si>
    <t>Argentina | G.B.A. Zona Oeste | Tres De Febrero | Santos Lugares</t>
  </si>
  <si>
    <t>CHO6777248</t>
  </si>
  <si>
    <t>Casa Estilo en 2 plantas zona Villa Pueyrredon</t>
  </si>
  <si>
    <t>Obispo San Alberto al 2700</t>
  </si>
  <si>
    <t>VAP6772192</t>
  </si>
  <si>
    <t>Venta Departamento 3 ambientes con amenities y cochera- Torre Wave Libertador - Vicente López</t>
  </si>
  <si>
    <t>Av. del libertador  al 1200</t>
  </si>
  <si>
    <t>CAP6411494</t>
  </si>
  <si>
    <t>VENTA depto monoambiente divisible apto profesional en San Nicolás</t>
  </si>
  <si>
    <t>Libertad  al 300</t>
  </si>
  <si>
    <t>CAP6680101</t>
  </si>
  <si>
    <t>VENTA Departamento  MONOAMBIENTE A  ESTRENAR FULL AMENITIES - Flores</t>
  </si>
  <si>
    <t>Av. Lafuente 37</t>
  </si>
  <si>
    <t>Argentina | Capital Federal | Flores | Flores Sur</t>
  </si>
  <si>
    <t>CHO6051302</t>
  </si>
  <si>
    <t xml:space="preserve">CASA EN PALPALA </t>
  </si>
  <si>
    <t>RIO COLORADO  260</t>
  </si>
  <si>
    <t>Argentina | Jujuy | Palpala | Palpala</t>
  </si>
  <si>
    <t>VAP6607332</t>
  </si>
  <si>
    <t>Departamento en Venta Y ALQUILER AMOBLADO 2 AMB en Harmony Pilar APTO CREDITO</t>
  </si>
  <si>
    <t>Local</t>
  </si>
  <si>
    <t>OPORTUNIDAD! Departamento en VENTA  y/o ALQUILER 2 AMB en Harmony Pilar</t>
  </si>
  <si>
    <t>Argentina | G.B.A. Zona Norte | Pilar | Manuel Alberti | Harmony Pilar</t>
  </si>
  <si>
    <t>CBA61145 LA6682094</t>
  </si>
  <si>
    <t>VENTA / LOTE  811m² UF11 manzana B  apto comercial Postal Patagonia San Martin de los Andes Patagonia</t>
  </si>
  <si>
    <t>Postal Patagonia</t>
  </si>
  <si>
    <t>CAP6337942</t>
  </si>
  <si>
    <t>VENTA DEPARTAMENTO DEVOTO- APTO CREDITO</t>
  </si>
  <si>
    <t>Ladines  al 3300</t>
  </si>
  <si>
    <t>CHO6633501</t>
  </si>
  <si>
    <t>Venta Casa 5 ambientes a reciclar en Villa Adelina</t>
  </si>
  <si>
    <t>Gobernador Castro al 1400</t>
  </si>
  <si>
    <t>Argentina | G.B.A. Zona Norte | San Isidro | Villa Adelina</t>
  </si>
  <si>
    <t>VHO6639373</t>
  </si>
  <si>
    <t xml:space="preserve">Casa en  venta de 4 amb </t>
  </si>
  <si>
    <t>Pichincha al 1300</t>
  </si>
  <si>
    <t>Argentina | G.B.A. Zona Norte | Vicente López | Villa Adelina</t>
  </si>
  <si>
    <t>UF 18 Huenu M2,NC: 16-21-067-8445 de superficie 50m2 aprox, con un espacio guardacoche descubierto</t>
  </si>
  <si>
    <t>Hortensias 255</t>
  </si>
  <si>
    <t>CAP6827786</t>
  </si>
  <si>
    <t>Venta Departamento 3 ambientes con Amenities en Nuñez</t>
  </si>
  <si>
    <t>Tamborini 2600</t>
  </si>
  <si>
    <t>Lavalle 1131 - Remax Express - Leo Maroni</t>
  </si>
  <si>
    <t>Lavalle 1131</t>
  </si>
  <si>
    <t>JAP6844108</t>
  </si>
  <si>
    <t xml:space="preserve">Departamento venta 2 ambientes  con balcón grande luminoso y con lavadero </t>
  </si>
  <si>
    <t>solis 766</t>
  </si>
  <si>
    <t xml:space="preserve">Argentina | Capital Federal | Congreso </t>
  </si>
  <si>
    <t>CAP6917891</t>
  </si>
  <si>
    <t>Departamento en ALQUILER de 1 dormitorio en 18 e/ 49 y 50 esta desocupado</t>
  </si>
  <si>
    <t>Departamento en ALQUILER de 1 dormitorio en 18 e/ 49 y 50</t>
  </si>
  <si>
    <t>Argentina | G.B.A. Zona Sur | La Plata | La Plata | Microcentro</t>
  </si>
  <si>
    <t>CAP6864182</t>
  </si>
  <si>
    <t>Departamento en  Venta - Guaymallén - Mendoza</t>
  </si>
  <si>
    <t>Suriani al 800</t>
  </si>
  <si>
    <t>CAP6730208</t>
  </si>
  <si>
    <t>Venta Hermoso 2 Ambientes con Balcon - Baulera - Permuta</t>
  </si>
  <si>
    <t>EN NEGOCIACION - Bulnes al 1600</t>
  </si>
  <si>
    <t>CLA6628077</t>
  </si>
  <si>
    <t>Terreno en  Venta sobre Calle Tirasso - Guaymallén - Mendoza</t>
  </si>
  <si>
    <t>Tirasso y Pedro del Castillo</t>
  </si>
  <si>
    <t>Argentina | Mendoza | Guaymallen | Capilla Del Rosario</t>
  </si>
  <si>
    <t>CHO6718218</t>
  </si>
  <si>
    <t>VENTA CASA 5 AMBIENTES EN BARRIO CERRADO BOCA RATON PILAR</t>
  </si>
  <si>
    <t>BARRIO CERRADO BOCA RATON</t>
  </si>
  <si>
    <t>Argentina | G.B.A. Zona Norte | Pilar | Countries/B.Cerrado (Pilar) | Boca Raton</t>
  </si>
  <si>
    <t>Venta Estado de Israel</t>
  </si>
  <si>
    <t>Estado de Israel 4346</t>
  </si>
  <si>
    <t>VAP6336270</t>
  </si>
  <si>
    <t>Departamento en Venta - Remeros Beach - SKY II</t>
  </si>
  <si>
    <t>Remeros Beach</t>
  </si>
  <si>
    <t>CHO6426234</t>
  </si>
  <si>
    <t>Venta Casa 3 Ambientes a Estrenar con Pileta en Barrio Cerrado Haras El Terraplen</t>
  </si>
  <si>
    <t>Haras del Terraplén lote 469</t>
  </si>
  <si>
    <t>Argentina | G.B.A. Zona Oeste | General Rodriguez | General Rodriguez</t>
  </si>
  <si>
    <t>CAP6835777</t>
  </si>
  <si>
    <t>Venta Departamento San Martin de los Andes 32m2 Lote 65m2 Centro</t>
  </si>
  <si>
    <t>Av San Martin  al 1300</t>
  </si>
  <si>
    <t>CHO7001128</t>
  </si>
  <si>
    <t>Casa en Los Horneros</t>
  </si>
  <si>
    <t>Sucre 1023 28</t>
  </si>
  <si>
    <t>CAP6647253</t>
  </si>
  <si>
    <t>Venta Departamento 3 ambientes con Balcon al frente A nuevo en Colegiales</t>
  </si>
  <si>
    <t>Palpa al 3100</t>
  </si>
  <si>
    <t>CHO6732494</t>
  </si>
  <si>
    <t>VENTA Casa 90m2 Lote1500m2  B° Las Balsas Villa La Angostura</t>
  </si>
  <si>
    <t>Cruz del Sur  al 100</t>
  </si>
  <si>
    <t>OP 132</t>
  </si>
  <si>
    <t>Jose Hernandez 1451 B</t>
  </si>
  <si>
    <t>CAP6816403</t>
  </si>
  <si>
    <t>Venta Dpto en ¨La Porteña - FAENA¨-Puerto Madero</t>
  </si>
  <si>
    <t>Martha Salotti al 400</t>
  </si>
  <si>
    <t>CHO6746075</t>
  </si>
  <si>
    <t>Casa - Las Paredes</t>
  </si>
  <si>
    <t>LOS FILTROS al 8000</t>
  </si>
  <si>
    <t>Argentina | Mendoza | San Rafael | Las Paredes</t>
  </si>
  <si>
    <t>Andes</t>
  </si>
  <si>
    <t>CAP6711358</t>
  </si>
  <si>
    <t>Departamento 2 amb en Monte Castro</t>
  </si>
  <si>
    <t>Pedro Calderón de la Barca  al 1800</t>
  </si>
  <si>
    <t>CAP6918757</t>
  </si>
  <si>
    <t>Oportunidad Departamento en Venta</t>
  </si>
  <si>
    <t>Avenida Argentina y Leloir Apto crédito</t>
  </si>
  <si>
    <t>CAP6447747</t>
  </si>
  <si>
    <t>Departamento en Venta en Caballito-2 Amb. Balcon todo al Frente -Excelente estado y ubicación !</t>
  </si>
  <si>
    <t>Av. Jose M. Moreno  al 500</t>
  </si>
  <si>
    <t>Argentina | Capital Federal | Caballito | Caballito Norte</t>
  </si>
  <si>
    <t>CAP6982577</t>
  </si>
  <si>
    <t>Departamento en Parque Chacabuco, dos ambientes y balcón corrido</t>
  </si>
  <si>
    <t>Achaval  al 700</t>
  </si>
  <si>
    <t>VAP6812830</t>
  </si>
  <si>
    <t>Departamento en  venta en Colegiales. Dos ambientes. Balcon terraza</t>
  </si>
  <si>
    <t>AR BuscaInmueble.com</t>
  </si>
  <si>
    <t>Amenabar al 900</t>
  </si>
  <si>
    <t>CLO6421523</t>
  </si>
  <si>
    <t>Local en VENTA en Esquina Sobre Av. Vergara Hurlingham Villa Tesei</t>
  </si>
  <si>
    <t>GOBERNADOR VERGARA  al 3000</t>
  </si>
  <si>
    <t>VHO6684937</t>
  </si>
  <si>
    <t>OPORTUNIDAD Venta casa 4 dormitorios a la laguna - Santa Isabel - Escobar</t>
  </si>
  <si>
    <t>La pista  al 1500</t>
  </si>
  <si>
    <t>Argentina | G.B.A. Zona Norte | Escobar | Countries/B.Cerrado (Escobar) | Santa Isabel</t>
  </si>
  <si>
    <t>CLA6709502</t>
  </si>
  <si>
    <t>VENTA Lote /Terreno 1247 M2 con costa de arroyo Meliquina</t>
  </si>
  <si>
    <t>Villa Meliquina</t>
  </si>
  <si>
    <t>Argentina | Neuquen | Lacar | San Martin De Los Andes | Villa Lago Meliquina</t>
  </si>
  <si>
    <t>CAP6124544</t>
  </si>
  <si>
    <t>Venta Departamento 2 ambientes  cocina independiente en Colegiales</t>
  </si>
  <si>
    <t>Larralde al 2400</t>
  </si>
  <si>
    <t>CAP6757889</t>
  </si>
  <si>
    <t>venta Departamento dos ambientes nuñez Permuta</t>
  </si>
  <si>
    <t>Av libertador  al 6700</t>
  </si>
  <si>
    <t xml:space="preserve">Eleodoro lobos 284 </t>
  </si>
  <si>
    <t>VHO6859388</t>
  </si>
  <si>
    <t>APTO CREDITO!! Casa en Club Privado Loma Verde - Escobar</t>
  </si>
  <si>
    <t>Casa en Club Privado loma verde</t>
  </si>
  <si>
    <t>Argentina | G.B.A. Zona Norte | Escobar | Countries/B.Cerrado (Escobar) | Loma Verde</t>
  </si>
  <si>
    <t>VPN43578 LA4377366</t>
  </si>
  <si>
    <t>Lote Financiado en Almahue Pilar</t>
  </si>
  <si>
    <t>ALMAHUÈ Pilar.  Derqui al 2500</t>
  </si>
  <si>
    <t>Argentina | G.B.A. Zona Norte | Pilar | Pilar</t>
  </si>
  <si>
    <t>CBU37670 AP6101820</t>
  </si>
  <si>
    <t>Venta  Departamento 2 ambientes apaisados Saavedra Entrega Sept.2025  Cochera opc. OPORTUNIDAD</t>
  </si>
  <si>
    <t>Machain al 3500 1E</t>
  </si>
  <si>
    <t xml:space="preserve">CEREZOS 2 </t>
  </si>
  <si>
    <t>Akol Casa 8</t>
  </si>
  <si>
    <t>Blvd. Quetrihue 448</t>
  </si>
  <si>
    <t>Agüero 226</t>
  </si>
  <si>
    <t>departamento venta agüero 226</t>
  </si>
  <si>
    <t>CPH6822471</t>
  </si>
  <si>
    <t>Excelente PH en  venta a estrenar</t>
  </si>
  <si>
    <t xml:space="preserve">Ken Lumar 1 </t>
  </si>
  <si>
    <t>Av. Corrientes 5823</t>
  </si>
  <si>
    <t>CPH6351076</t>
  </si>
  <si>
    <t>PH en  venta en La Plata</t>
  </si>
  <si>
    <t>Casa en venta en 37 entre 19 y 20</t>
  </si>
  <si>
    <t>CHO6593513</t>
  </si>
  <si>
    <t>Casa en Venta calle 68 entre 117 y 118 4 dormitorios lote propio, patio, parrilla, galeria y pileta</t>
  </si>
  <si>
    <t>Casa en Venta calle 68 entre 117 y 118, Galeria, Patio y Pileta</t>
  </si>
  <si>
    <t>UF 22 Paseo Retamas</t>
  </si>
  <si>
    <t>CAP6619241</t>
  </si>
  <si>
    <t>José Juan Biedma al 900</t>
  </si>
  <si>
    <t>CAP6740786</t>
  </si>
  <si>
    <t>Venta Departamento tipo PH 3 Ambientes con dos Patios en Belgrano</t>
  </si>
  <si>
    <t>Maure  al 2300</t>
  </si>
  <si>
    <t>VHO6872198</t>
  </si>
  <si>
    <t>Casa en Venta - 5 AMB en Santa Isabel II</t>
  </si>
  <si>
    <t>Argentina | G.B.A. Zona Norte | Escobar | Countries/B.Cerrado (Escobar) | Santa Isabel II</t>
  </si>
  <si>
    <t>VHO6762813</t>
  </si>
  <si>
    <t>Casa en venta - Fincas del Lago</t>
  </si>
  <si>
    <t xml:space="preserve">Venta de casa en Fincas del Lago </t>
  </si>
  <si>
    <t>Argentina | G.B.A. Zona Norte | Escobar | Countries/B.Cerrado (Escobar) | Fincas De Maschwitz</t>
  </si>
  <si>
    <t>CAP6637442</t>
  </si>
  <si>
    <t>Departamento en Villa Devoto 3 ambientes a estrenar con balcón y cochera cubierta.</t>
  </si>
  <si>
    <t>Av. Beiro al 4200</t>
  </si>
  <si>
    <t>CAP6637011</t>
  </si>
  <si>
    <t>OPORTUNIDAD!! Venta Departamento 2 Ambientes en Paternal</t>
  </si>
  <si>
    <t>Magariños Cervantes  al 1700</t>
  </si>
  <si>
    <t xml:space="preserve">Argentina | Capital Federal | Paternal </t>
  </si>
  <si>
    <t>Thames 56 - 406</t>
  </si>
  <si>
    <t>Thames 56 - dto 313</t>
  </si>
  <si>
    <t>CHO6557086</t>
  </si>
  <si>
    <t>Casa en  B° Golfo Azul</t>
  </si>
  <si>
    <t>La Loberia 565 B° Golfo Azul.</t>
  </si>
  <si>
    <t>Argentina | Rio Negro | San Antonio | Balneario Las Grutas</t>
  </si>
  <si>
    <t>CAP6824387</t>
  </si>
  <si>
    <t>Venta Departamento 3 amb en Parque Avellaneda</t>
  </si>
  <si>
    <t>Mozart al 1000</t>
  </si>
  <si>
    <t>thames 56 - 211</t>
  </si>
  <si>
    <t>AAP6707610</t>
  </si>
  <si>
    <t>Departamento de tres ambientes en  Villa del Parque</t>
  </si>
  <si>
    <t>Llavallol al 3400</t>
  </si>
  <si>
    <t>thames 56 - 610</t>
  </si>
  <si>
    <t xml:space="preserve">carlos pellegrini </t>
  </si>
  <si>
    <t>pellegrini</t>
  </si>
  <si>
    <t>CHO5724177</t>
  </si>
  <si>
    <t>Casa en  venta 4amb +casa 2amb; jardín, patio y cochera p/vs autos</t>
  </si>
  <si>
    <t>Avellaneda al 500</t>
  </si>
  <si>
    <t xml:space="preserve">Argentina | G.B.A. Zona Norte | San Isidro </t>
  </si>
  <si>
    <t>Quinquela Martin 5 C</t>
  </si>
  <si>
    <t>Quinquela Martin 1294</t>
  </si>
  <si>
    <t>CPH7015250</t>
  </si>
  <si>
    <t>PH en VENTA AVENIDA 25 1567 (ENTRE 64 Y 65) 1567</t>
  </si>
  <si>
    <t>PH AVENIDA 25 1567 (ENTRE 64 Y 65) al 1500</t>
  </si>
  <si>
    <t>CPH6150401</t>
  </si>
  <si>
    <t>VENTA PH 3 AMBIENTES PATIO JARDIN TERRAZA PB VILLA BALLESTER</t>
  </si>
  <si>
    <t>Junin al 3900</t>
  </si>
  <si>
    <t>CLA6943463</t>
  </si>
  <si>
    <t>TERRENO EN ZONA BUTACO</t>
  </si>
  <si>
    <t>SIN NOMBRE</t>
  </si>
  <si>
    <t>CHO6795817</t>
  </si>
  <si>
    <t>Venta casa 3 ambientes con patio y cochera en Escobar</t>
  </si>
  <si>
    <t>Lamadrid al 500</t>
  </si>
  <si>
    <t>CAP6739163</t>
  </si>
  <si>
    <t>VENTA Departamento 2 Ambientes  Equipado - Monserrat</t>
  </si>
  <si>
    <t>CLA6860789</t>
  </si>
  <si>
    <t>Terreno en  Costa Nogal de 1800 mts2</t>
  </si>
  <si>
    <t>costa nogal</t>
  </si>
  <si>
    <t>Argentina | Neuquen | Capital | Valentina Sur Rural</t>
  </si>
  <si>
    <t>CAP6816507</t>
  </si>
  <si>
    <t>4 Ambientes con Cochera, Seguridad 24hs y Pileta</t>
  </si>
  <si>
    <t>Av. Maipú  al 1800</t>
  </si>
  <si>
    <t>CLA6243456</t>
  </si>
  <si>
    <t>VENTA Lote/Terreno 600 m2 Barrio Los Manzanos - San Martin de los Andes</t>
  </si>
  <si>
    <t>cascada rio bonito  al 300</t>
  </si>
  <si>
    <t>CAP6621655</t>
  </si>
  <si>
    <t>Dpto. en venta  Mariano Boedo al 200 apto credito</t>
  </si>
  <si>
    <t>Mariano Boedo  al 200</t>
  </si>
  <si>
    <t>CAP6406136</t>
  </si>
  <si>
    <t>VENTA MONOAMBIENTE CON COCHERA EN VILLA CRESPO</t>
  </si>
  <si>
    <t>Julian Alvarez 700</t>
  </si>
  <si>
    <t>Magda</t>
  </si>
  <si>
    <t>Magda PH Las Victorias</t>
  </si>
  <si>
    <t>CHO3788078</t>
  </si>
  <si>
    <t>VENTA Casa de 3994 m2 de lote y 220 m2 cubiertos, con Costa de Lago, en Villa Verde, Bariloche</t>
  </si>
  <si>
    <t>Lancha Correntoso al 5000</t>
  </si>
  <si>
    <t>CAP6800884</t>
  </si>
  <si>
    <t>Venta departamento 3 ambientes Flores</t>
  </si>
  <si>
    <t>Ramon L. Falcon  al 2300</t>
  </si>
  <si>
    <t>CAP6837882</t>
  </si>
  <si>
    <t>Departamento en  VENTA monoambiente</t>
  </si>
  <si>
    <t>Ugarteche al 3200</t>
  </si>
  <si>
    <t>CHO6546318</t>
  </si>
  <si>
    <t>Casa en venta ubicada en Grand bourg, Las Magdalenas</t>
  </si>
  <si>
    <t xml:space="preserve">Las Magdalenas </t>
  </si>
  <si>
    <t>CHO6627210</t>
  </si>
  <si>
    <t>Casa en  venta en neuquen capital</t>
  </si>
  <si>
    <t>pilar  al 4200</t>
  </si>
  <si>
    <t>CAP6936762</t>
  </si>
  <si>
    <t xml:space="preserve">Departamento 1 dormi APTO CREDITO en Neuquen  </t>
  </si>
  <si>
    <t>La Rioja  al 1100</t>
  </si>
  <si>
    <t>Depto Seba</t>
  </si>
  <si>
    <t>Depto Seba y Leo Sfeir</t>
  </si>
  <si>
    <t>CHO5774619</t>
  </si>
  <si>
    <t>Duplex en Fernandez Oro</t>
  </si>
  <si>
    <t>B° Ken Lumar al 100</t>
  </si>
  <si>
    <t>VENTA  - LAMADRID 325 - RE/MAX PREMIUM</t>
  </si>
  <si>
    <t>lamadrid 325</t>
  </si>
  <si>
    <t>CAP6607954</t>
  </si>
  <si>
    <t xml:space="preserve">OPORTUNIDAD UNICA! Departamento apto vivienda para reciclar SUPER LUMINOSO!!!! </t>
  </si>
  <si>
    <t>Juan Domingo Peron  al 1100</t>
  </si>
  <si>
    <t>CAP6794023</t>
  </si>
  <si>
    <t>Venta Departamento 4 ambientes en Almagro</t>
  </si>
  <si>
    <t>Salguero  al 677</t>
  </si>
  <si>
    <t>CAP6710695</t>
  </si>
  <si>
    <t>VENTA departamento 4 ambientes con dependencia en Almagro</t>
  </si>
  <si>
    <t>Avenida Corrientes  al 4500</t>
  </si>
  <si>
    <t>CAP6437066</t>
  </si>
  <si>
    <t>VENTA PISO 3 AMB AMPLIO, BALCÓN PISO 12 CORRIDO Y COCHERA, LAS LOMITAS APTO CREDITO</t>
  </si>
  <si>
    <t>SARMIENTO al 300, Las Lomitas</t>
  </si>
  <si>
    <t>CHO6624702</t>
  </si>
  <si>
    <t>Casa de 4 ambientes en Venta en Barrio Cerrado Comarcas de Lujan</t>
  </si>
  <si>
    <t>Av. Fernandez Beschtedt</t>
  </si>
  <si>
    <t>Argentina | G.B.A. Zona Oeste | Lujan | Countries/B.Cerrado (Lujan) | Comarcas de Luján</t>
  </si>
  <si>
    <t>VHO6069171</t>
  </si>
  <si>
    <t xml:space="preserve">Casa en  venta con pileta de 6 amb </t>
  </si>
  <si>
    <t>Alfredo Guido  al 3700</t>
  </si>
  <si>
    <t>VAP6962581</t>
  </si>
  <si>
    <t>Departamento en Venta 3 amb - Vista al Crystal Lagoon</t>
  </si>
  <si>
    <t>CAP6842587</t>
  </si>
  <si>
    <t>Venta Departamento 3 Ambientes - Balcón terraza y dependencia en Recoleta</t>
  </si>
  <si>
    <t>Arenales al 2100</t>
  </si>
  <si>
    <t>CAP6827370</t>
  </si>
  <si>
    <t xml:space="preserve">Venta departamento monoambiente Colegiales </t>
  </si>
  <si>
    <t>Virrey  Arredondo  al 2500</t>
  </si>
  <si>
    <t>COF6452656</t>
  </si>
  <si>
    <t>venta Oficina al frente, en Retiro, con baño y cocina</t>
  </si>
  <si>
    <t>Libertad al 800</t>
  </si>
  <si>
    <t xml:space="preserve">Argentina | Capital Federal | Retiro </t>
  </si>
  <si>
    <t>CAP6691374</t>
  </si>
  <si>
    <t>Venta Departamento 3 Ambientes en Villa Santa Rita Con Terraza, Parrilla y cochera Luminoso</t>
  </si>
  <si>
    <t>Cesar Diaz al 2800</t>
  </si>
  <si>
    <t>VAP6839934</t>
  </si>
  <si>
    <t>Departamento en Alquiler en Nordelta - 2 ambientes</t>
  </si>
  <si>
    <t xml:space="preserve">Departamento en  ALQUILER  en Edificio Panorama - 2 ambientes </t>
  </si>
  <si>
    <t>Argentina | G.B.A. Zona Norte | Tigre | Countries/B.Cerrado (Tigre) | Nordelta | El Sendero | Panorama</t>
  </si>
  <si>
    <t>CPH6765219</t>
  </si>
  <si>
    <t>PH/ tipo CASA en Parque Chacabuco 3 ambientes con cochera</t>
  </si>
  <si>
    <t>Barbastro  al 2000</t>
  </si>
  <si>
    <t>CPH5966225</t>
  </si>
  <si>
    <t>VENTA - CASA AL FRENTE A ESTRENAR - 4 AMBIENTES - LANUS CENTRO</t>
  </si>
  <si>
    <t>Dr. Arturo Melo al 1600</t>
  </si>
  <si>
    <t>terreno venta el cano</t>
  </si>
  <si>
    <t xml:space="preserve">doble lote venta el cano </t>
  </si>
  <si>
    <t>CAP6701785</t>
  </si>
  <si>
    <t>3 Ambientes en Villa Santa Rita límite Villa del Parque con Cochera y Baulera</t>
  </si>
  <si>
    <t>Alejandro Magariños Cervantes 2746</t>
  </si>
  <si>
    <t>05EM-13-02-25 - Tinogasta Piso 4</t>
  </si>
  <si>
    <t>Venta departamento piso 3 amb | mucha luz | balcón | cercania cuenca | Villa del Parque</t>
  </si>
  <si>
    <t>Ricardo Gutierrez  al 3300</t>
  </si>
  <si>
    <t>CAP6769063</t>
  </si>
  <si>
    <t xml:space="preserve">VENTA DEPARTAMENTO 4 AMBIENTES + DEPENDENCIA  Y COCHERA </t>
  </si>
  <si>
    <t>Arenales  al 1300</t>
  </si>
  <si>
    <t>CAP6872382</t>
  </si>
  <si>
    <t>Se alquila hermoso departamento a estrenar en Domus Parque - Vicente López</t>
  </si>
  <si>
    <t>Av. Maipú al 1800</t>
  </si>
  <si>
    <t>Argentina | G.B.A. Zona Norte | Vicente López | Barrio Vicente López</t>
  </si>
  <si>
    <t>BARRIO SANTO TOMAS- DERQUI 245</t>
  </si>
  <si>
    <t>BARRIO SANTO TOMAS-DERQUI 245</t>
  </si>
  <si>
    <t>Santo Tomás</t>
  </si>
  <si>
    <t>Venta Lote en Santo Tomás</t>
  </si>
  <si>
    <t>Argentina | G.B.A. Zona Norte | Pilar | Countries/B.Cerrado (Pilar) | Santo Tomás</t>
  </si>
  <si>
    <t>CPH6638795</t>
  </si>
  <si>
    <t>Duplex En Venta 2 dormitorios, cochera, patio y parrilla, calle 517 4bis y 5bis Ringuelet</t>
  </si>
  <si>
    <t>Duplex 2 dormitorios 517  al 1021 e / 4 bis y 5 bis, Ringuelet</t>
  </si>
  <si>
    <t>Argentina | G.B.A. Zona Sur | La Plata | La Plata | Ringuelet</t>
  </si>
  <si>
    <t>CAP6403514</t>
  </si>
  <si>
    <t xml:space="preserve">Edificio Jujuy  al 300, Neuquen Capital . </t>
  </si>
  <si>
    <t>CAP5719348</t>
  </si>
  <si>
    <t>Venta - Departamento - 3 Ambientes - Balcon - Frente - Luminoso - Flores - Apto Credito</t>
  </si>
  <si>
    <t>Jose Bonifacio 2800</t>
  </si>
  <si>
    <t>CBU49671 AP6414027</t>
  </si>
  <si>
    <t>Venta Departamento dividido en 2 ambientes A Estrenar Apto profesional Villa Urquiza</t>
  </si>
  <si>
    <t>CAP6673002</t>
  </si>
  <si>
    <t>VENTA DEPARTAMENTO 2 AMBIENTES EN BELGRANO</t>
  </si>
  <si>
    <t>Av Cabildo  al 500</t>
  </si>
  <si>
    <t>CAP6827766</t>
  </si>
  <si>
    <t>VENTA DEPARTAMENTO 4 AMBIENTES EN SAN NICOLÁS - OPORTUNIDAD</t>
  </si>
  <si>
    <t>Av. Rivadavia al 1200</t>
  </si>
  <si>
    <t>CAP6059640</t>
  </si>
  <si>
    <t>VENTA DEPARTAMENTO A ESTRENAR PISO ALTO 3 AMBIENTES CON BALCON COCHERA Y BAULERA</t>
  </si>
  <si>
    <t>NEUQUEN al 1800</t>
  </si>
  <si>
    <t>ciudad de la paz</t>
  </si>
  <si>
    <t>CAP6592406</t>
  </si>
  <si>
    <t>Departamento 3 ambientes con Dependencia Balcon corrido Cochera Baulera Belgrano</t>
  </si>
  <si>
    <t>Moldes al 2100</t>
  </si>
  <si>
    <t>CHO7034649</t>
  </si>
  <si>
    <t>Casa en  GONNET 14 y 490</t>
  </si>
  <si>
    <t>CASA EN GONNET 14 Y 490</t>
  </si>
  <si>
    <t>juana manso 1351</t>
  </si>
  <si>
    <t>CAP6811398</t>
  </si>
  <si>
    <t>Venta departamento 4 ambientes con balcón Mataderos</t>
  </si>
  <si>
    <t>Remedios al 4900</t>
  </si>
  <si>
    <t>CHO6739716</t>
  </si>
  <si>
    <t>Casa en  San Pedrito</t>
  </si>
  <si>
    <t>virrey toledo al 700</t>
  </si>
  <si>
    <t>Argentina | Jujuy | Dr Manuel Belgrano | San Salvador De Jujuy | San Pedrito</t>
  </si>
  <si>
    <t>CBU59337 AP6466923</t>
  </si>
  <si>
    <t>VENTA Monoambiente 39,74m2 UF 55- en pozo, Paseo Retamas,El Cruce, Villa la Angostura</t>
  </si>
  <si>
    <t>NAP3851343</t>
  </si>
  <si>
    <t>VENTA · Departamento céntrico 11 E/ 39 Y 40 | Un dormitorio y balcón al frente</t>
  </si>
  <si>
    <t>Calle 11 E/ 39 y 40</t>
  </si>
  <si>
    <t>CHO6872494</t>
  </si>
  <si>
    <t>Se vende Casa imponente corte antiguo en esquina 6 ambientes excelente ubicacion</t>
  </si>
  <si>
    <t>Oncativo al 2100</t>
  </si>
  <si>
    <t>CHO6412163</t>
  </si>
  <si>
    <t>Casa - Barrio Fincas de San Vicente</t>
  </si>
  <si>
    <t>Fincas de san Vicente Golf</t>
  </si>
  <si>
    <t>Argentina | G.B.A. Zona Sur | San Vicente | Countries/B.Cerrado (San Vicente) | Barrio Fincas de San Vicente</t>
  </si>
  <si>
    <t>CAP6937227</t>
  </si>
  <si>
    <t>Departamento en  HERMOSO DEPARTAMENTO EN MAR DEL PLATA</t>
  </si>
  <si>
    <t>CARLOS ALVEAR  al 4700</t>
  </si>
  <si>
    <t>CHO6928789</t>
  </si>
  <si>
    <t>Casa con cochera y patio verde</t>
  </si>
  <si>
    <t>Llerena al 2900</t>
  </si>
  <si>
    <t>Argentina | Santa Fe | La Capital | Santa Fe | Los Hornos</t>
  </si>
  <si>
    <t>CHO3925981</t>
  </si>
  <si>
    <t>Casa en venta en Escobar con jardín y pileta</t>
  </si>
  <si>
    <t>Cervantes 45 Escobar</t>
  </si>
  <si>
    <t>Argentina | G.B.A. Zona Norte | Escobar | Belen De Escobar</t>
  </si>
  <si>
    <t>VHO6770258</t>
  </si>
  <si>
    <t>Venta CASA en Las Brisas CC - Pilar</t>
  </si>
  <si>
    <t>Venta CASA en Las Brisas Country Club  Pilar</t>
  </si>
  <si>
    <t>Argentina | G.B.A. Zona Norte | Pilar | Countries/B.Cerrado (Pilar) | Las Brisas</t>
  </si>
  <si>
    <t>CPH6391100</t>
  </si>
  <si>
    <t>VENTA PH 2 AMBIENTES CON PATIO Y SÓTANO EN CIUDADELA</t>
  </si>
  <si>
    <t>RAFAELA  al 4100</t>
  </si>
  <si>
    <t>Argentina | G.B.A. Zona Oeste | Tres De Febrero | Ciudadela</t>
  </si>
  <si>
    <t>CPH6623128</t>
  </si>
  <si>
    <t>Departamento en PH en 16 e/ 46 y 49</t>
  </si>
  <si>
    <t>16 e/ 48 y 49</t>
  </si>
  <si>
    <t>Virasoro</t>
  </si>
  <si>
    <t>CAP7016675</t>
  </si>
  <si>
    <t>Venta de departamento en Flores</t>
  </si>
  <si>
    <t>CARABOBO 345</t>
  </si>
  <si>
    <t>CHO6717019</t>
  </si>
  <si>
    <t>DUPLEX EN VENTA EN LOS PERALES</t>
  </si>
  <si>
    <t>Mza Pa8 L1 Uf2</t>
  </si>
  <si>
    <t>Argentina | Jujuy | Dr Manuel Belgrano | San Salvador De Jujuy | Los Perales</t>
  </si>
  <si>
    <t>CAP6634195</t>
  </si>
  <si>
    <t>Venta Departamento 3 ambientes en Almagro</t>
  </si>
  <si>
    <t>Sanchez de Bustamante 24</t>
  </si>
  <si>
    <t>CHO6724397</t>
  </si>
  <si>
    <t>Venta de PH Duplex de 3 ambientes en Palmas del Sol, Pilar</t>
  </si>
  <si>
    <t>Caamaño Palmas del Sol</t>
  </si>
  <si>
    <t>Argentina | G.B.A. Zona Norte | Pilar | Countries/B.Cerrado (Pilar) | Palmas del Sol</t>
  </si>
  <si>
    <t>Cristaline</t>
  </si>
  <si>
    <t>Departamento en venta edificio Cristaline Pilar</t>
  </si>
  <si>
    <t>Los crisantemos 400</t>
  </si>
  <si>
    <t>Argentina | G.B.A. Zona Norte | Pilar | Manuel Alberti | Cristaline</t>
  </si>
  <si>
    <t>4AMBCCOCHERA</t>
  </si>
  <si>
    <t>VENTA DEPARTAMENTO 4 AMBIENTES 3 DORMITORIOS  -  BELGRANO</t>
  </si>
  <si>
    <t>MONTAÑESES al 2700</t>
  </si>
  <si>
    <t>COF6961416</t>
  </si>
  <si>
    <t>Oficina en Venta Chacras de Coria</t>
  </si>
  <si>
    <t>Ruta Panamericana  al 7000</t>
  </si>
  <si>
    <t>Argentina | Mendoza | Lujan De Cuyo | Chacras De Coria</t>
  </si>
  <si>
    <t>CHO6634561</t>
  </si>
  <si>
    <t>Casa en venta en Lujan de Cuyo</t>
  </si>
  <si>
    <t>Argentina | Mendoza | Lujan De Cuyo | Lujan De Cuyo | Lujan De Cuyo</t>
  </si>
  <si>
    <t>CAP6984153</t>
  </si>
  <si>
    <t>Departamento en  Rivadavia al 700</t>
  </si>
  <si>
    <t>Rivadavia  al 700</t>
  </si>
  <si>
    <t>CAP6988339</t>
  </si>
  <si>
    <t xml:space="preserve">Departamento en venta en Barrio Raiz II </t>
  </si>
  <si>
    <t>Dr Lemos  al 600</t>
  </si>
  <si>
    <t>CAP6909212</t>
  </si>
  <si>
    <t>Departamento en calle San Lorenzo esq. Av. España</t>
  </si>
  <si>
    <t>San Lorenzo esq Av. España  al 700</t>
  </si>
  <si>
    <t>CLO6809312</t>
  </si>
  <si>
    <t xml:space="preserve">Venta Local centro de Mendoza . Excelente inversión </t>
  </si>
  <si>
    <t>Alem 17</t>
  </si>
  <si>
    <t>CAP6535494</t>
  </si>
  <si>
    <t>VENTA Departamento 3 ambientes 78m2 Centrico Villa La Angostura</t>
  </si>
  <si>
    <t>Retamas 315</t>
  </si>
  <si>
    <t>Venta ph Balbastro 970</t>
  </si>
  <si>
    <t>Balbastro 970</t>
  </si>
  <si>
    <t>CHO6911826</t>
  </si>
  <si>
    <t>Casa en Venta en Barrio Bombal Mendoza</t>
  </si>
  <si>
    <t>hipolito yrigoyen al 600</t>
  </si>
  <si>
    <t>Argentina | Mendoza | Capital | Mendoza | Primera Seccion</t>
  </si>
  <si>
    <t>CAP6974906</t>
  </si>
  <si>
    <t>Departamento en  Chijra</t>
  </si>
  <si>
    <t>Calle El Pensamiento al 700</t>
  </si>
  <si>
    <t>Argentina | Jujuy | Dr Manuel Belgrano | San Salvador De Jujuy | Chijra</t>
  </si>
  <si>
    <t>CHO6797788</t>
  </si>
  <si>
    <t>Casa en venta en Bariloche</t>
  </si>
  <si>
    <t>Barrio El Progreso, San Carlos de Bariloche</t>
  </si>
  <si>
    <t>Argentina | Rio Negro | Bariloche | San Carlos De Bariloche | El Progreso</t>
  </si>
  <si>
    <t>76Agu</t>
  </si>
  <si>
    <t>Departamento en Venta</t>
  </si>
  <si>
    <t>1ro de Mayo 1590</t>
  </si>
  <si>
    <t>CHO6606969</t>
  </si>
  <si>
    <t>Casa en  Oportunidad Centro de Castelar sur</t>
  </si>
  <si>
    <t>Luis Maria Drago al 2800</t>
  </si>
  <si>
    <t>Argentina | G.B.A. Zona Oeste | Moron | Castelar | Castelar Sur</t>
  </si>
  <si>
    <t>CAP6606963</t>
  </si>
  <si>
    <t>Departamento en  Oportunidad Moron centro</t>
  </si>
  <si>
    <t>Boatti al 200</t>
  </si>
  <si>
    <t>JPH6596761</t>
  </si>
  <si>
    <t>PH EN VENTA EN PALERMO HOLLIWOOD FITZ ROY 1900 RECICLADO PLANTA BAJA LUMINOSO</t>
  </si>
  <si>
    <t>FITZ ROY al 1900</t>
  </si>
  <si>
    <t>JPH6721643</t>
  </si>
  <si>
    <t>VENTA PH 4 AMBIENTES TERRAZA PROPIA PARRILLA P. CHACABUCO</t>
  </si>
  <si>
    <t>Dávila  al 800</t>
  </si>
  <si>
    <t>CAP6872045</t>
  </si>
  <si>
    <t>Venta Departamento 3 Ambientes en Nuñez</t>
  </si>
  <si>
    <t>CHO6854123</t>
  </si>
  <si>
    <t>Casa en Venta 3 dormitorios Barrio Santa Guadalupe Pilar del Este</t>
  </si>
  <si>
    <t>Barrio Santa Guadalupe Pilar del Este</t>
  </si>
  <si>
    <t>Argentina | G.B.A. Zona Norte | Pilar | Countries/B.Cerrado (Pilar) | Pilar Del Este | Santa Guadalupe</t>
  </si>
  <si>
    <t>CHO6190343</t>
  </si>
  <si>
    <t>Casa 5 Dormitorios - Haras La Pradera - Pilar</t>
  </si>
  <si>
    <t xml:space="preserve">Casa 5 Dormitorios - La Pradera Barrio Privado - Pilar </t>
  </si>
  <si>
    <t>Argentina | G.B.A. Zona Norte | Pilar | Countries/B.Cerrado (Pilar) | La Pradera I</t>
  </si>
  <si>
    <t>CAP6775601</t>
  </si>
  <si>
    <t>Venta Departamento 4 ambientes en Art Tower, con cochera y baulera zona Alto Palermo</t>
  </si>
  <si>
    <t>Coronel Diaz  al 2100</t>
  </si>
  <si>
    <t>UF 8 Loteo Quetrihue Loteo A</t>
  </si>
  <si>
    <t>CHO6772220</t>
  </si>
  <si>
    <t>Casa en Cinco Saltos</t>
  </si>
  <si>
    <t>j.m.barry y tehuelches</t>
  </si>
  <si>
    <t>CAP6682303</t>
  </si>
  <si>
    <t>Departamento en venta  DUPLEX EN VENTA  3 AMBIENTES EN NUÑEZ - PERMUTA</t>
  </si>
  <si>
    <t>Nicolas de Vedia 1650 5</t>
  </si>
  <si>
    <t>CPH6421863</t>
  </si>
  <si>
    <t>PH 3 AMBIENTES EN VENTA/ FLORIDA CON PATIO, TERRAZA/ PERMUTA</t>
  </si>
  <si>
    <t>Francia  al 4300</t>
  </si>
  <si>
    <t>Argentina | G.B.A. Zona Norte | Vicente López | Florida | Florida Oeste</t>
  </si>
  <si>
    <t>CPH6884116</t>
  </si>
  <si>
    <t>Venta PH 3 Ambientes c/ terraza refaccionado en Villa Crespo</t>
  </si>
  <si>
    <t>Av Cordoba  al 4200</t>
  </si>
  <si>
    <t>op 134</t>
  </si>
  <si>
    <t>Velasco 967</t>
  </si>
  <si>
    <t>CHO6963350</t>
  </si>
  <si>
    <t>VENTA Casa de dos dormitorios amueblada y equipada con patio seco y terraza</t>
  </si>
  <si>
    <t>Casa en Barrio Escalante - Milenio de Polonia 3000</t>
  </si>
  <si>
    <t>CLA7061135</t>
  </si>
  <si>
    <t>Terreno en San Carlos De Bariloche</t>
  </si>
  <si>
    <t>Barrio Frutillar Calle Prayel</t>
  </si>
  <si>
    <t>CAP6667678</t>
  </si>
  <si>
    <t>Venta Departamento Monoambiente en Palermo, Palermo Hollywood</t>
  </si>
  <si>
    <t>Soler al 5700</t>
  </si>
  <si>
    <t>VAP6776441</t>
  </si>
  <si>
    <t xml:space="preserve">Departamento en Belgrano 3 ambientes con cochera y amenities </t>
  </si>
  <si>
    <t>Av. Congreso  al 1900</t>
  </si>
  <si>
    <t>Argentina | Capital Federal | Belgrano | Belgrano Chico</t>
  </si>
  <si>
    <t>UF 10 Loteo A Loteo Quetrihue</t>
  </si>
  <si>
    <t>CAP6848233</t>
  </si>
  <si>
    <t xml:space="preserve">Oportunidad ! Excelente monoambiente en venta </t>
  </si>
  <si>
    <t>Uruguay  al 300</t>
  </si>
  <si>
    <t>CAP6619946</t>
  </si>
  <si>
    <t>Departamento en  venta Balvanera 2amb</t>
  </si>
  <si>
    <t>Misiones al 200</t>
  </si>
  <si>
    <t>CAP7091909</t>
  </si>
  <si>
    <t xml:space="preserve">Departamento en  56 E 3 Y 4 </t>
  </si>
  <si>
    <t>DPTO 56 E 3 Y 4</t>
  </si>
  <si>
    <t>CAP6780588</t>
  </si>
  <si>
    <t>Departamento  2 ambientes balcón, patio cubierto y descubierto</t>
  </si>
  <si>
    <t>Mexico al 2700</t>
  </si>
  <si>
    <t>CAP6645964</t>
  </si>
  <si>
    <t>Venta Departamento 2 ambientes en Recoleta</t>
  </si>
  <si>
    <t>Arenales al 1100</t>
  </si>
  <si>
    <t>Salguero 2687 - Sol Lorenzo - Lj Ramos</t>
  </si>
  <si>
    <t xml:space="preserve">Salguero 2687 </t>
  </si>
  <si>
    <t>CHO6383362</t>
  </si>
  <si>
    <t>Venta Casa a Refaccionar 5 Ambientes Paternal Cochera Patio Parrilla - Multifamiliar Lote Propio</t>
  </si>
  <si>
    <t>GAVILAN al 2600</t>
  </si>
  <si>
    <t>CHO6599347</t>
  </si>
  <si>
    <t>Venta Casa 5 ambientes en Caseros</t>
  </si>
  <si>
    <t>Constitución al 2700</t>
  </si>
  <si>
    <t>JAP6807420</t>
  </si>
  <si>
    <t>Departamento piso en venta 4 ambientes   dependencia RECOLETA</t>
  </si>
  <si>
    <t>Mansilla al 2400</t>
  </si>
  <si>
    <t>VAP6770775</t>
  </si>
  <si>
    <t>Departamento en Venta/Alquiler - 3 ambientes, Portezuelo, Nordelta</t>
  </si>
  <si>
    <t>Avenida de los Lagos al 6500</t>
  </si>
  <si>
    <t>Argentina | G.B.A. Zona Norte | Tigre | Countries/B.Cerrado (Tigre) | Nordelta | Portezuelo | Marinas del Portezuelo</t>
  </si>
  <si>
    <t>CAP6498409</t>
  </si>
  <si>
    <t>Departamento en venta en Recoleta - Bajas expensas!!!</t>
  </si>
  <si>
    <t>CALLAO Y GUIDO</t>
  </si>
  <si>
    <t>IAP1176434</t>
  </si>
  <si>
    <t>Montevideo 1950 Piso 5 Contrafrente muy Luminoso</t>
  </si>
  <si>
    <t>Montevideo al 1900</t>
  </si>
  <si>
    <t>Casa 3 dormitorios en suite una planta</t>
  </si>
  <si>
    <t>CHO6780447</t>
  </si>
  <si>
    <t>Casa en venta 5 dormitorios mas play mas estudio Haras Santa Maria El Molino Norte</t>
  </si>
  <si>
    <t>Barrio Haras Santa Maria Loma Verde Escobar</t>
  </si>
  <si>
    <t>Venta Lumiere</t>
  </si>
  <si>
    <t xml:space="preserve">Juana manso 1551  </t>
  </si>
  <si>
    <t>CAP6763112</t>
  </si>
  <si>
    <t>VENTA RECOLETA 5 AMB TERRAZA VISTA A JARDINES JOCKEY CLUB</t>
  </si>
  <si>
    <t>Libertad  al 1500</t>
  </si>
  <si>
    <t>VHO6804601</t>
  </si>
  <si>
    <t>ACEPTA FINANCIACION - Casa al agua en Carpinchos - Nordelta</t>
  </si>
  <si>
    <t>Casa a la laguna</t>
  </si>
  <si>
    <t>Argentina | G.B.A. Zona Norte | Tigre | Countries/B.Cerrado (Tigre) | Nordelta | Carpinchos</t>
  </si>
  <si>
    <t>CLO6758717</t>
  </si>
  <si>
    <t>Local en  Venta</t>
  </si>
  <si>
    <t>Montevideo al 700</t>
  </si>
  <si>
    <t>Argentina | Capital Federal | Centro (Capital Federal) | Tribunales</t>
  </si>
  <si>
    <t>CAP6959623</t>
  </si>
  <si>
    <t>En Venta Departamento 2 Ambientes calle 33 3 y 4, La Plata</t>
  </si>
  <si>
    <t>En Venta Departamento 2 Ambientes calle 33 al 400 3 y 4, La Plata</t>
  </si>
  <si>
    <t>CAP6846665</t>
  </si>
  <si>
    <t xml:space="preserve">Excelente Depto . en venta </t>
  </si>
  <si>
    <t>Gabriela Mistral al  al 800</t>
  </si>
  <si>
    <t>Argentina | Rio Negro | General Roca | Cipolletti</t>
  </si>
  <si>
    <t>APH6941282</t>
  </si>
  <si>
    <t>PH en Boedo</t>
  </si>
  <si>
    <t>VIRREY LINIERS al 1800</t>
  </si>
  <si>
    <t>04EM-13-02-25 - Tinogasta Piso 3</t>
  </si>
  <si>
    <t>Venta depto piso 3 amb | 2 balcones | Villa del parque</t>
  </si>
  <si>
    <t>Tinogasta 3200</t>
  </si>
  <si>
    <t>UF 19 Loteo Quetrihue Loteo A</t>
  </si>
  <si>
    <t>UF N° 7 de 407,00m2, Loteo A, Loteo Quetrihue</t>
  </si>
  <si>
    <t>Bv, Quetrihue y Amancay</t>
  </si>
  <si>
    <t>CAP6844339</t>
  </si>
  <si>
    <t>Venta, Depto, 2 amb, patio, Colegiales, belgrano</t>
  </si>
  <si>
    <t>Zapiola al 400</t>
  </si>
  <si>
    <t>Vicente López 239</t>
  </si>
  <si>
    <t>CAP6320407</t>
  </si>
  <si>
    <t>Venta Departamento 2 ambientes con cochera, baulera y Seg 24hs en Recoleta</t>
  </si>
  <si>
    <t>Av Libertador  al 1000</t>
  </si>
  <si>
    <t>CHO6877990</t>
  </si>
  <si>
    <t>VENTA DE CASA LOTE 520 E/9 Y 10 TOLOSA LA PLATA</t>
  </si>
  <si>
    <t>CASA EN VENTA TOLOSA AV. 520</t>
  </si>
  <si>
    <t>CAP6251600</t>
  </si>
  <si>
    <t>Gran Monoambiente Divisible en Palermo Hollywood</t>
  </si>
  <si>
    <t>Nicaragua al 5600</t>
  </si>
  <si>
    <t>Blanco encalada 2975</t>
  </si>
  <si>
    <t>CPN56595 HO6462842</t>
  </si>
  <si>
    <t>Venta Casa 3 suites- El Aljibe Manzanares Pilar</t>
  </si>
  <si>
    <t>Casa en Venta con 3 suite en El Aljibe</t>
  </si>
  <si>
    <t>Argentina | G.B.A. Zona Norte | Pilar | Manzanares | Countries/B.Cerrado (Manzanares) | Barrio El Aljibe</t>
  </si>
  <si>
    <t>CHO6406941</t>
  </si>
  <si>
    <t>Venta de Casa en San Sebastián – Área 13 | 3 Habitaciones, Pileta y Parrilla</t>
  </si>
  <si>
    <t>San sebastian</t>
  </si>
  <si>
    <t>Argentina | G.B.A. Zona Norte | Escobar | Loma Verde | San Sebastian</t>
  </si>
  <si>
    <t>CAP6781867</t>
  </si>
  <si>
    <t>Departamento 2 dormitorios - Vista al lago -apto turistico, Barrio Belgrano, Bariloche</t>
  </si>
  <si>
    <t>Barrio Belgrano, San Carlos de Bariloche</t>
  </si>
  <si>
    <t>CLO6494069</t>
  </si>
  <si>
    <t>LOCAL COMERCIAL - COWORKING- PALERMO HOLLYWOOD</t>
  </si>
  <si>
    <t>Nicaragua  al 5800</t>
  </si>
  <si>
    <t>Bouquet Pilar</t>
  </si>
  <si>
    <t>Departamento 2 ambientes - Vista Central - Bouquet Pilar</t>
  </si>
  <si>
    <t>Argentina | G.B.A. Zona Norte | Pilar | Manuel Alberti | Bouquet</t>
  </si>
  <si>
    <t>CAP6770132</t>
  </si>
  <si>
    <t>Departamento en venta 2 ambientes Retiro</t>
  </si>
  <si>
    <t>Cordoba al 800</t>
  </si>
  <si>
    <t>CHO6783996</t>
  </si>
  <si>
    <t>Casa en venta ubicada en La Caldera - Zona Norte - Apta a credito hipotecario</t>
  </si>
  <si>
    <t xml:space="preserve">La Caldera </t>
  </si>
  <si>
    <t>Argentina | Salta | La Caldera | Caldera</t>
  </si>
  <si>
    <t>CHO6429916</t>
  </si>
  <si>
    <t>VENTA Casa 2habitaciones 72m2 Lote 180m2 PH Valle Chapelco a terminar Chacra 26 San Martín de los Andes</t>
  </si>
  <si>
    <t>Lote 3 A, Mza 18,</t>
  </si>
  <si>
    <t>VAP6818742</t>
  </si>
  <si>
    <t>Hermoso Dpto. con Terraza propia con parrilla y 2 Cocheras</t>
  </si>
  <si>
    <t>Laprida al 2400</t>
  </si>
  <si>
    <t>CAP6677638</t>
  </si>
  <si>
    <t>Departamento en  venta Saenz Peña 1amb</t>
  </si>
  <si>
    <t>Ceraso al 700</t>
  </si>
  <si>
    <t>CBA47695 LA6353553</t>
  </si>
  <si>
    <t>VENTA terreno de 655 m2 en LOTEO "ANTIGUO CAMINO" Bariloche</t>
  </si>
  <si>
    <t>CAP6891477</t>
  </si>
  <si>
    <t>Departamento en  venta Saenz Peña 1amb con balcón</t>
  </si>
  <si>
    <t>CAP6937191</t>
  </si>
  <si>
    <t>CHO7018946</t>
  </si>
  <si>
    <t>Casa en Venta - 4 AMB en El Ensueño</t>
  </si>
  <si>
    <t>Argentina | G.B.A. Zona Norte | Escobar | Barrio Privado El Ensueño</t>
  </si>
  <si>
    <t>Magdalena1706</t>
  </si>
  <si>
    <t>Casa km 13900</t>
  </si>
  <si>
    <t>UF 11 Loteo A Loteo Quetrihue</t>
  </si>
  <si>
    <t>Mono Geral</t>
  </si>
  <si>
    <t>CAP6635826</t>
  </si>
  <si>
    <t>Venta - Departamento - 3 Ambientes - Balcon - Frente - San Telmo - Apto Credito - Permuta</t>
  </si>
  <si>
    <t>Peru 600</t>
  </si>
  <si>
    <t>CAP6626222</t>
  </si>
  <si>
    <t>Departamento en  venta Dean Funes al 1300</t>
  </si>
  <si>
    <t>Dean Funes  al 1300</t>
  </si>
  <si>
    <t>COF3541818</t>
  </si>
  <si>
    <t>Venta y/o alquiler de oficina en el centro/retiro.</t>
  </si>
  <si>
    <t>AV CORDOBA al 600</t>
  </si>
  <si>
    <t>Villalobos lote 606</t>
  </si>
  <si>
    <t>casa venta villalobos</t>
  </si>
  <si>
    <t>CAP6916550</t>
  </si>
  <si>
    <t>Departamento en  Juan Pablo</t>
  </si>
  <si>
    <t xml:space="preserve">Juan Pablo </t>
  </si>
  <si>
    <t>CLA6367239</t>
  </si>
  <si>
    <t>BARRIO GARCIA BAYON - NEUQUEN CAPITAL</t>
  </si>
  <si>
    <t xml:space="preserve">TERRENO GARCIA BAYON </t>
  </si>
  <si>
    <t>CLA6630574</t>
  </si>
  <si>
    <t>VENTA terreno/lote, 600 m2, San Carlos de Bariloche</t>
  </si>
  <si>
    <t>Venta Lote de 600 m2 en barrio privado Solares del este, San Carlos de Bariloche</t>
  </si>
  <si>
    <t>Argentina | Rio Negro | Bariloche | Solares del este</t>
  </si>
  <si>
    <t>CHO6840523</t>
  </si>
  <si>
    <t>Venta Casa 4 Ambientes Apto Crédito en BILLINGHURST</t>
  </si>
  <si>
    <t>25 DE MAYO 4900</t>
  </si>
  <si>
    <t>Argentina | G.B.A. Zona Norte | General San Martin | General San Martin | Billinghurst</t>
  </si>
  <si>
    <t>CAP6080321</t>
  </si>
  <si>
    <t>Departamento en venta, 2 ambientes, San Carlos de Bariloche</t>
  </si>
  <si>
    <t>LETIOCONNOR</t>
  </si>
  <si>
    <t>DEPARTAMENTO con una superficie aproximada de 32,65m2., piso 6 UF NRO 3</t>
  </si>
  <si>
    <t>CAP6968039</t>
  </si>
  <si>
    <t>VENTA Departamento 2 ambientes  BELGRANO</t>
  </si>
  <si>
    <t>Vuelta de Obligado  al 3000</t>
  </si>
  <si>
    <t>CAP6746032</t>
  </si>
  <si>
    <t>Departamento en  venta  salta centro. Zorrilla 100</t>
  </si>
  <si>
    <t>PJE ZORRILLA al 100</t>
  </si>
  <si>
    <t>CAP6760869</t>
  </si>
  <si>
    <t>Venta departamento 3 ambientes con balcón Parque Avellaneda</t>
  </si>
  <si>
    <t>Av. Directorio  al 3900</t>
  </si>
  <si>
    <t>CLO6046500</t>
  </si>
  <si>
    <t>GALPON SIN EXPENSAS EN VENTA DE 180 M2 LIBRES EN BARRACAS</t>
  </si>
  <si>
    <t>VCO59064 AP6619653</t>
  </si>
  <si>
    <t>Departamento en Altos de Maschwitz - 2 AMB con Jardín</t>
  </si>
  <si>
    <t>CAP6924238</t>
  </si>
  <si>
    <t>Venta, Departamento, 2 ambientes, balcon, cochera, Duplex</t>
  </si>
  <si>
    <t>ALBERTI  al 300</t>
  </si>
  <si>
    <t>O'higgins 1622 - Leo Maroni - Bilcic Propiedades</t>
  </si>
  <si>
    <t xml:space="preserve">O'higgins 1622 </t>
  </si>
  <si>
    <t>CAP6871493</t>
  </si>
  <si>
    <t>Departamento en  VENTA 2 DORMITORIOS COSTA TERRA</t>
  </si>
  <si>
    <t>OBRERO ARGENTINO al 300</t>
  </si>
  <si>
    <t>CHO6185867</t>
  </si>
  <si>
    <t>Casa en Oportunidad Villa Tesei</t>
  </si>
  <si>
    <t>Las Provincias al 100</t>
  </si>
  <si>
    <t>San Martin 2803 8 D</t>
  </si>
  <si>
    <t>Av san martin 2803</t>
  </si>
  <si>
    <t>CAP6659334</t>
  </si>
  <si>
    <t>Departamento en Zona Centro Neuquén</t>
  </si>
  <si>
    <t>Islas Malvinas al 100</t>
  </si>
  <si>
    <t>thames 56 - dto 204</t>
  </si>
  <si>
    <t>CHO6247466</t>
  </si>
  <si>
    <t>Casa en Tablada - 4 AMBIENTES - PARRILLA- GALERIA- COCHERA - LIVING COMEDOR- COCINA - PARQUE</t>
  </si>
  <si>
    <t>LIMAY al 200</t>
  </si>
  <si>
    <t>Argentina | G.B.A. Zona Oeste | La Matanza | Tablada</t>
  </si>
  <si>
    <t>CHO6739247</t>
  </si>
  <si>
    <t>Casa en Venta de 3 dormitorios con garage en 51 e/ 30 y 31</t>
  </si>
  <si>
    <t>Casa en Venta de 3 dormitorios con garage en 51 entre 30 y 31</t>
  </si>
  <si>
    <t>Argentina | G.B.A. Zona Sur | La Plata | La Plata | Barrio Norte</t>
  </si>
  <si>
    <t xml:space="preserve">thames 56 - dto 209 </t>
  </si>
  <si>
    <t>CAP6464057</t>
  </si>
  <si>
    <t>Departamento - Palermo</t>
  </si>
  <si>
    <t>Mansilla al 4000</t>
  </si>
  <si>
    <t>UF 49, parte del Edificio Nº 1, conforme croquis adjunto en el ANEXO III, ubicado en calle Las Retamas y Las Mutisias, que será parte del Fideicomiso Retamas, emprendimiento a construir sobre la nomenclatura catastral: 16-20-070-8351-0000, matrícula 4766,</t>
  </si>
  <si>
    <t>Las Retamas 50</t>
  </si>
  <si>
    <t>CAP6769972</t>
  </si>
  <si>
    <t>Departamento en venta 3 ambientes Balvanera</t>
  </si>
  <si>
    <t>Entre Rios al 500</t>
  </si>
  <si>
    <t>Juncal 2985 - Sol Lorenzo con Davaro Propiedades</t>
  </si>
  <si>
    <t>juncal 2985</t>
  </si>
  <si>
    <t>CPH6799043</t>
  </si>
  <si>
    <t xml:space="preserve">Espectacular PH 3 Ambientes con Patio y Terraza en Palemo </t>
  </si>
  <si>
    <t>Gascon  al 1300</t>
  </si>
  <si>
    <t>CHO6752139</t>
  </si>
  <si>
    <t>VENTA Casa 320m2 Lote 1875m2 B° Las Balsas Villa La Angostura</t>
  </si>
  <si>
    <t>Osa Mayor  al 400</t>
  </si>
  <si>
    <t>CLA5808814</t>
  </si>
  <si>
    <t>VENTA TERRENO DOBLE FRENTE EN COGHLAN</t>
  </si>
  <si>
    <t>Nahuel Huapi al 4300</t>
  </si>
  <si>
    <t>UF Nº 18 de 510 m2 Selvana VLA</t>
  </si>
  <si>
    <t>Av. Nahuel Huapi y Caviahue</t>
  </si>
  <si>
    <t>VAP6700248</t>
  </si>
  <si>
    <t>Departamento en Jardines de Saravi 2 Ambientes APTO CREDITO</t>
  </si>
  <si>
    <t>saravi  al 1400</t>
  </si>
  <si>
    <t>Argentina | G.B.A. Zona Norte | Pilar | Jardines de Saravi</t>
  </si>
  <si>
    <t>CAP6910102</t>
  </si>
  <si>
    <t>Departamento 2 ambientes en venta – Palermo Soho</t>
  </si>
  <si>
    <t>Malabia  al 2100</t>
  </si>
  <si>
    <t>CAP6963153</t>
  </si>
  <si>
    <t>Departamento 3 ambientes - Bolivar al 400, Monserrat. TODO SOL, VISTA ABIERTA!!!</t>
  </si>
  <si>
    <t>Bolivar al 400, esquina Venezuela</t>
  </si>
  <si>
    <t>CAP6401336</t>
  </si>
  <si>
    <t>VENTA 3 AMB CON PARRILLA Y VISTA AL RIO</t>
  </si>
  <si>
    <t>CAP6789695</t>
  </si>
  <si>
    <t>Departamento en  PALERMO CHICO</t>
  </si>
  <si>
    <t>SEGUI al 3500</t>
  </si>
  <si>
    <t>N/C - URUGUAY 847</t>
  </si>
  <si>
    <t>VENTA DPTO MONOAMBIENTE RECOLETA</t>
  </si>
  <si>
    <t>URUGUAY 847</t>
  </si>
  <si>
    <t>AAP6765289</t>
  </si>
  <si>
    <t>Departamento de dos ambientes monserrat</t>
  </si>
  <si>
    <t>VIRREY CEBALLOS al 790</t>
  </si>
  <si>
    <t>CHO7031625</t>
  </si>
  <si>
    <t>Casa en  Villa California</t>
  </si>
  <si>
    <t>Calle del Sol al 2100</t>
  </si>
  <si>
    <t>CHO4484609</t>
  </si>
  <si>
    <t>Venta Casa en esquina const. sobre 2 lotes amplio fondo libre - Llavallol</t>
  </si>
  <si>
    <t>Aragón 198</t>
  </si>
  <si>
    <t>Argentina | G.B.A. Zona Sur | Lomas De Zamora (Partido) | Llavallol</t>
  </si>
  <si>
    <t>CAP6868486</t>
  </si>
  <si>
    <t>Departamento en VENTA, dos ambiente con vista al lago, APTO TURISMO</t>
  </si>
  <si>
    <t>Barrio Las Victorias, San Carlos de Bariloche</t>
  </si>
  <si>
    <t>San Luis 3463</t>
  </si>
  <si>
    <t>CAP6520904</t>
  </si>
  <si>
    <t>Departamento en  venta apto Profesional  en Palermo</t>
  </si>
  <si>
    <t>Charcas al 3600</t>
  </si>
  <si>
    <t>CAP6702626</t>
  </si>
  <si>
    <t>Ph Villa Luro 3 ambientes</t>
  </si>
  <si>
    <t>Moreto al 300</t>
  </si>
  <si>
    <t xml:space="preserve">Argentina | Capital Federal | Villa Luro </t>
  </si>
  <si>
    <t>CAP7097865</t>
  </si>
  <si>
    <t>Departamento en Alquiler 2 ambientes calle 9 e/ 47 y diagonal 74 N° 731 3 C | La Plata</t>
  </si>
  <si>
    <t xml:space="preserve">Alquiler Dpto 2 ambientes calle 9 e/ 47 y diagonal 74 N° 731 Piso 3 C | La Plata </t>
  </si>
  <si>
    <t>CHO6619643</t>
  </si>
  <si>
    <t>Casa de 4amb a Refaccionar en Venta excelente Ubicacion con Jardin</t>
  </si>
  <si>
    <t>Potosi  al 2900</t>
  </si>
  <si>
    <t>Argentina | G.B.A. Zona Oeste | Hurlingham | Hurlingham | William Morris</t>
  </si>
  <si>
    <t>CFA6674841</t>
  </si>
  <si>
    <t>Finca en Venta en Bowen, General Alvear, Mendoza</t>
  </si>
  <si>
    <t>Calle 19 Y Calle F</t>
  </si>
  <si>
    <t>Argentina | Mendoza | General Alvear | Bowen</t>
  </si>
  <si>
    <t>Granja</t>
  </si>
  <si>
    <t>78Stella</t>
  </si>
  <si>
    <t>Departamento en General Paz</t>
  </si>
  <si>
    <t>General Paz 7100</t>
  </si>
  <si>
    <t>JAP6740947</t>
  </si>
  <si>
    <t>Departamento en  venta 3 amb. Villa Santa Rita APTO CREDITO</t>
  </si>
  <si>
    <t>Doctor Luis Belaustegui al 3400</t>
  </si>
  <si>
    <t>CLA6808071</t>
  </si>
  <si>
    <t>Terreno en Canales de Plottier</t>
  </si>
  <si>
    <t>Avenida Plottier al 1000</t>
  </si>
  <si>
    <t>Argentina | Neuquen | Confluencia | Plottier | Los Canales</t>
  </si>
  <si>
    <t>Achupallas</t>
  </si>
  <si>
    <t>CPH4756207</t>
  </si>
  <si>
    <t>VENTA 3 AMBIENTES TERRAZA PROPIA APTO CREDITO POMPEYA</t>
  </si>
  <si>
    <t>Grito de Asencio al 3800</t>
  </si>
  <si>
    <t xml:space="preserve">Argentina | Capital Federal | Pompeya </t>
  </si>
  <si>
    <t>CLA6381182</t>
  </si>
  <si>
    <t>Terreno en Alihuen Alto y Bajo</t>
  </si>
  <si>
    <t xml:space="preserve">Alihuen Alto </t>
  </si>
  <si>
    <t>CAP6735937</t>
  </si>
  <si>
    <t>VENTA DEPARTAMENTO 3 AMBIENTES CON BALCÓN Y COCHERA - SAN NICOLÁS</t>
  </si>
  <si>
    <t>Uruguay al 700</t>
  </si>
  <si>
    <t>CHO6954088</t>
  </si>
  <si>
    <t>VENTA Casa 4 ambientes 135m2 Villa La Angostura B° Norte</t>
  </si>
  <si>
    <t xml:space="preserve">Mudon </t>
  </si>
  <si>
    <t>Argentina | Neuquen | Villa La Angostura | Barrio Norte</t>
  </si>
  <si>
    <t>CBU33361 AP3445554</t>
  </si>
  <si>
    <t>VENTA DEPARTAMENTO -  3 AMBIENTES A ESTRENAR- FULL AMENITIES</t>
  </si>
  <si>
    <t>Carlos Calvo al 1500</t>
  </si>
  <si>
    <t>CAP7027136</t>
  </si>
  <si>
    <t>Departamento, Temperley, sum, parrilla, balcón, a estrenar, apto credito, PERMUTA</t>
  </si>
  <si>
    <t>Cangallo  al 400</t>
  </si>
  <si>
    <t>Argentina | G.B.A. Zona Sur | Lomas De Zamora (Partido) | Temperley</t>
  </si>
  <si>
    <t>CAP6197353</t>
  </si>
  <si>
    <t>DEPARTAMENTO, ESTRENAR, 3, AMBIENTES, BALCON, TERRAZA, FLORES, CABALLITO, PATIO</t>
  </si>
  <si>
    <t>Jose Bonifacio  al 1900</t>
  </si>
  <si>
    <t>LLAVALLOL 4616 1° A</t>
  </si>
  <si>
    <t>Departamento Torres Agostinas</t>
  </si>
  <si>
    <t>VAP5023706</t>
  </si>
  <si>
    <t>Departamento en Remeros Beach</t>
  </si>
  <si>
    <t>camino de los remeros  al 1600</t>
  </si>
  <si>
    <t>CHO6789468</t>
  </si>
  <si>
    <t>Venta casa 5 habitaciones Mendoza</t>
  </si>
  <si>
    <t>Barrio Dalvian</t>
  </si>
  <si>
    <t>Argentina | Mendoza | Capital | Mendoza | Dalvian</t>
  </si>
  <si>
    <t xml:space="preserve">quintana 40 </t>
  </si>
  <si>
    <t>CAP6777661</t>
  </si>
  <si>
    <t>Venta Departamento 4 ambientes en Belgrano cochera Dependencia refaccionado Apto Crédito</t>
  </si>
  <si>
    <t>Teodoro García al 2200</t>
  </si>
  <si>
    <t>CAP6913963</t>
  </si>
  <si>
    <t>VENTA DEPARTAMENTO 4 AMBIENTES EN RECOLETA</t>
  </si>
  <si>
    <t>Av. Presidente Manuel Quintana  50</t>
  </si>
  <si>
    <t>CHO6709913</t>
  </si>
  <si>
    <t>Venta Casa 7 Ambientes en  OLIVOS GOLF CLUB</t>
  </si>
  <si>
    <t>OLIVOS GOLF CLUB</t>
  </si>
  <si>
    <t>Argentina | G.B.A. Zona Norte | Malvinas Argentinas | Countries/B.Cerrado (Malvinas) | Olivos Golf Club</t>
  </si>
  <si>
    <t>Unidad funcional en trámite de modificación del PH pendiente, designada actualmente como UF 4, de aproximadamente 73m2 sobre lote de 260,63 m2, ubicada en la calle Roberto Ávila 620 y J.L Barbagelata, nomenclatura catastral: 16-20-061-6672-0004 (UF 00-04)</t>
  </si>
  <si>
    <t>Roberto Avila 620</t>
  </si>
  <si>
    <t>Argentina | Neuquen | Villa La Angostura | Peumayen</t>
  </si>
  <si>
    <t>CHO7055784</t>
  </si>
  <si>
    <t>APTO CREDITO Casa en Venta, La Candela, Pilar.</t>
  </si>
  <si>
    <t>Champagnat al 1600</t>
  </si>
  <si>
    <t>Argentina | G.B.A. Zona Norte | Pilar | Countries/B.Cerrado (Pilar) | La Candela</t>
  </si>
  <si>
    <t>CLA7065234</t>
  </si>
  <si>
    <t>Lote en Venta Barrio Laguna Grande - Oportunidad</t>
  </si>
  <si>
    <t>Laguna Grande</t>
  </si>
  <si>
    <t>CBA47695 LA6353622</t>
  </si>
  <si>
    <t>VENTA terreno de 337m2 en LOTEO "ANTIGUO CAMINO" Bariloche</t>
  </si>
  <si>
    <t>CPH6948638</t>
  </si>
  <si>
    <t>PH en VENTA 2 dormitorios, patio, cochera calle 55 142 y 143</t>
  </si>
  <si>
    <t>PH en Venta 2 dormi y patio calle  55 entre 142 y 143, Los Hornos</t>
  </si>
  <si>
    <t>Argentina | G.B.A. Zona Sur | La Plata | Los Hornos</t>
  </si>
  <si>
    <t>CAP6909565</t>
  </si>
  <si>
    <t>Departamento en  venta en calle  Buenos Aires al 200</t>
  </si>
  <si>
    <t>Buenos Aires  al 200</t>
  </si>
  <si>
    <t>CAP6445423</t>
  </si>
  <si>
    <t xml:space="preserve">Departamento 2 Ambientes, en venta, con terraza propia.  </t>
  </si>
  <si>
    <t>Las Campanillas al 1500</t>
  </si>
  <si>
    <t>Argentina | G.B.A. Zona Norte | Pilar | Manuel Alberti</t>
  </si>
  <si>
    <t>CHO6601400</t>
  </si>
  <si>
    <t>Duplex en Neuquen Capital</t>
  </si>
  <si>
    <t>Gendarme Treppo al 1700</t>
  </si>
  <si>
    <t>CHO6726295</t>
  </si>
  <si>
    <t>Venta de Casa 4 ambientes en Country Club Medal, Pilar</t>
  </si>
  <si>
    <t>Country Club Medal al 200</t>
  </si>
  <si>
    <t>Argentina | G.B.A. Zona Norte | Pilar | Countries/B.Cerrado (Pilar) | Medal Country club</t>
  </si>
  <si>
    <t>CAP6892421</t>
  </si>
  <si>
    <t>VENTA Departamento 3 ambientes luminoso piso alto BALVANERA</t>
  </si>
  <si>
    <t>Matheu 100</t>
  </si>
  <si>
    <t>Mirko30062025</t>
  </si>
  <si>
    <t>Balvanera Mirko Referido</t>
  </si>
  <si>
    <t>CLA6947748</t>
  </si>
  <si>
    <t>TERRENO APTO 4 UF ZONA CONFLUENCIA - BUTACO</t>
  </si>
  <si>
    <t>Lamarque y S/N</t>
  </si>
  <si>
    <t>CLA6681287</t>
  </si>
  <si>
    <t>VENTA  Lote/Terreno 4918 M2 Barrio Vallescondido San Martín de los Andes</t>
  </si>
  <si>
    <t>Barrio Vallescondido al 100</t>
  </si>
  <si>
    <t xml:space="preserve">moldes 850 </t>
  </si>
  <si>
    <t>CAP6292169</t>
  </si>
  <si>
    <t>Departamento en Palermo</t>
  </si>
  <si>
    <t>Bulnes al 1800</t>
  </si>
  <si>
    <t>CHO6945872</t>
  </si>
  <si>
    <t>Casa en  BANFIELD</t>
  </si>
  <si>
    <t>Av La Plata y Granaderos</t>
  </si>
  <si>
    <t>Argentina | G.B.A. Zona Sur | Lomas De Zamora (Partido) | Banfield | Banfield Este</t>
  </si>
  <si>
    <t>Lote 159 de 8426,41 m2, Vallescondido SMA NC:15-RR-023-4620-0159</t>
  </si>
  <si>
    <t>CAP6578947</t>
  </si>
  <si>
    <t>VENTA Departamento 2 Ambientes Recoleta</t>
  </si>
  <si>
    <t>Av. Santa Fe  al 3000</t>
  </si>
  <si>
    <t>CHO6758916</t>
  </si>
  <si>
    <t>Venta Casa 4 Ambientes en  Barrio Hípico Altos de Manzanares - Pilar</t>
  </si>
  <si>
    <t>Barrio Altos de Manzanares</t>
  </si>
  <si>
    <t>Argentina | G.B.A. Zona Norte | Pilar | Manzanares | Countries/B.Cerrado (Manzanares)</t>
  </si>
  <si>
    <t>CHO6782984</t>
  </si>
  <si>
    <t>Venta Casa San Martin de los Andes 72m2 Construidos a Terminar barrio Kaleuche alto</t>
  </si>
  <si>
    <t>Paseo de los Músicos</t>
  </si>
  <si>
    <t>Argentina | Neuquen | Lacar | San Martin De Los Andes | Kaleuche</t>
  </si>
  <si>
    <t>CLA7124193</t>
  </si>
  <si>
    <t>Terreno en VENTA LAS MORAS HIGUERILLA</t>
  </si>
  <si>
    <t>LAS MORAS HIGUERILLA</t>
  </si>
  <si>
    <t>CPH5052489</t>
  </si>
  <si>
    <t>Departamento  en Venta         Rivadavia y Alvear Quilmes NUEVO VALOR</t>
  </si>
  <si>
    <t>Departamento en venta  Rivadavia y Alvear Quilmes</t>
  </si>
  <si>
    <t>Argentina | G.B.A. Zona Sur | Quilmes | Quilmes</t>
  </si>
  <si>
    <t>CAP6283381</t>
  </si>
  <si>
    <t>Departamento en  dúplex de 2 amb</t>
  </si>
  <si>
    <t>Cordoba al 6000</t>
  </si>
  <si>
    <t>ZP-ZP-M-44197908</t>
  </si>
  <si>
    <t>Venta departamento 3 amb en Tigre (R. de Milberg) c/ cochera</t>
  </si>
  <si>
    <t xml:space="preserve">jose marti 600   Jardines del Reconquista    </t>
  </si>
  <si>
    <t>CAP6671607</t>
  </si>
  <si>
    <t>Venta Departamento 2 Ambientes Full Amenities y Cochera, Palermo. Palermo Hollyood</t>
  </si>
  <si>
    <t>Humboldt al 2400</t>
  </si>
  <si>
    <t>CHO5123163</t>
  </si>
  <si>
    <t>VENTA CASA 4 AMBIENTES CON JARDíN Y PILETA EN ADROGUÉ</t>
  </si>
  <si>
    <t>La Rosa 400</t>
  </si>
  <si>
    <t>CLA6933046</t>
  </si>
  <si>
    <t>TERRENO EN VENTA EN LUJAN DE CUYO (SE ESCUCHAN OFERTAS)</t>
  </si>
  <si>
    <t>Los aromos  al 400</t>
  </si>
  <si>
    <t>CPH6336562</t>
  </si>
  <si>
    <t>Venta en Block de Dos Departamentos de 2 Ambientes Sobre Lote 350 m2 en General Rodriguez</t>
  </si>
  <si>
    <t>pueyrredon al 100</t>
  </si>
  <si>
    <t>Argentina | G.B.A. Zona Oeste | General Rodriguez | Las Malvinas</t>
  </si>
  <si>
    <t>CAP3927524</t>
  </si>
  <si>
    <t>Departamento  de 3 dormitorios con ascensor piso alto Barrio  7 jefes</t>
  </si>
  <si>
    <t>DEPARTAMENTO DE 3 DORMITORIOS  PISO 11 EXCELENTE VISTA A LA COSTANERA!!!Laprida al 5000</t>
  </si>
  <si>
    <t>Argentina | Santa Fe | La Capital | Santa Fe | 7 jefes</t>
  </si>
  <si>
    <t>CAP6848011</t>
  </si>
  <si>
    <t>DEPARTAMENTO MONOAMBIENTE EN VENTA EN LIBERTADOR 5700, BELGRNO. APTO CREDITO</t>
  </si>
  <si>
    <t>Av.Libertador 5700 RESERVADO</t>
  </si>
  <si>
    <t>JAP6684503</t>
  </si>
  <si>
    <t>VENTA EXCELENTE DEPARTAMENTO TRIPLEX TERRAZA PROPIA  PARRILLA COCHERA SAN MARTIN</t>
  </si>
  <si>
    <t>Ayacucho al 2200</t>
  </si>
  <si>
    <t>Argentina | G.B.A. Zona Norte | General San Martin | San Martin</t>
  </si>
  <si>
    <t>CAP6606832</t>
  </si>
  <si>
    <t>Departamento en  Villa Tesei 3 amb. con patio propio</t>
  </si>
  <si>
    <t>Jufre al 400</t>
  </si>
  <si>
    <t>COF6931250</t>
  </si>
  <si>
    <t>Oficina Barrio Civico Capital</t>
  </si>
  <si>
    <t>Pedro Molina  al 200</t>
  </si>
  <si>
    <t>Argentina | Mendoza | Capital | Mendoza | Segunda Seccion</t>
  </si>
  <si>
    <t>CAP6896916</t>
  </si>
  <si>
    <t>Departamento en Villa Luzuriaga</t>
  </si>
  <si>
    <t>ZAPIOLA al 200</t>
  </si>
  <si>
    <t>Argentina | G.B.A. Zona Oeste | La Matanza | Villa Luzuriaga</t>
  </si>
  <si>
    <t>JAP6305063</t>
  </si>
  <si>
    <t>VENTA DEPARTAMENTO 2 AMBIENTES BALVANERA ZONA FACULTADES</t>
  </si>
  <si>
    <t>VIAMONTE 2500</t>
  </si>
  <si>
    <t>CHO7083796</t>
  </si>
  <si>
    <t>Casa en Barrio Unimev</t>
  </si>
  <si>
    <t xml:space="preserve">Florentino Ameghino </t>
  </si>
  <si>
    <t>Argentina | Mendoza | San Rafael | San Rafael</t>
  </si>
  <si>
    <t>CAP6702977</t>
  </si>
  <si>
    <t>VENTA - DPTO - 3 AMB - PERMUTA - V. PUEYRREDON</t>
  </si>
  <si>
    <t>Carlos Antonio Lopez  al 2400</t>
  </si>
  <si>
    <t>CAP6984267</t>
  </si>
  <si>
    <t>Departamento en  Villa Urquiza</t>
  </si>
  <si>
    <t>Mendoza al 5300</t>
  </si>
  <si>
    <t>CAP6807552</t>
  </si>
  <si>
    <t>Departamento en Villa Urquiza</t>
  </si>
  <si>
    <t>Fernández Blanco  al 2300</t>
  </si>
  <si>
    <t>CPH6697451</t>
  </si>
  <si>
    <t>PH en  Duplex al frente - Entrada independiente - cochera cubierta y patio</t>
  </si>
  <si>
    <t>Ramon Castro 4300</t>
  </si>
  <si>
    <t>Argentina | G.B.A. Zona Norte | Vicente López | Munro</t>
  </si>
  <si>
    <t>CAP6835693</t>
  </si>
  <si>
    <t>Departamento Venta a estrenar Constructora Sauce Grande 47 18 y 19 La Plata</t>
  </si>
  <si>
    <t xml:space="preserve">Departamento Venta A Estrenar 47 18 y 19 La Plata </t>
  </si>
  <si>
    <t>Selvana UF 16 Lote 561 m2</t>
  </si>
  <si>
    <t>JHO6958984</t>
  </si>
  <si>
    <t>VENTA Casa en DEVOTO</t>
  </si>
  <si>
    <t>RICARDO GUTIERREZ al 3700</t>
  </si>
  <si>
    <t>Argentina | Capital Federal | Villa Devoto | B.San Pedro</t>
  </si>
  <si>
    <t>CBU59332 AP6468034</t>
  </si>
  <si>
    <t>Departamento en  venta en Villa Urquiza</t>
  </si>
  <si>
    <t>Zado  al 3500 1°</t>
  </si>
  <si>
    <t>NC - AUSTRIA 2272</t>
  </si>
  <si>
    <t>VENTA MONOAMBIENTE RECOLETA</t>
  </si>
  <si>
    <t>AUSTRIA 2272</t>
  </si>
  <si>
    <t>CAP6865014</t>
  </si>
  <si>
    <t>VENTA DEPARTAMENTO 3 AMBIENTES EN VICENTE LOPEZ LUMINOSO</t>
  </si>
  <si>
    <t>Av Maipu  al 800</t>
  </si>
  <si>
    <t>JAP6843394</t>
  </si>
  <si>
    <t>VENTA DEPARTAMENTO 3 AMBIENTES C/BALCON LUMINOSO RECICLADO</t>
  </si>
  <si>
    <t>Manzanares al 2900</t>
  </si>
  <si>
    <t>CWE6765267</t>
  </si>
  <si>
    <t>Hermosa casa a minutos de la ciudad!</t>
  </si>
  <si>
    <t>Los sauces  al 6600</t>
  </si>
  <si>
    <t>JAP6804236</t>
  </si>
  <si>
    <t>Venta Departamento  4 ambientes  en Palermo/ Belgrano /Colegiales</t>
  </si>
  <si>
    <t xml:space="preserve">Concepcion Arenal  al 2400 </t>
  </si>
  <si>
    <t>JAP6669609</t>
  </si>
  <si>
    <t>VENTA DEPARTAMENTO 4/5 AMBIENTES COCHERA CUBIERA LUMINOSO NUÑEZ</t>
  </si>
  <si>
    <t>Manzanares  al 2000</t>
  </si>
  <si>
    <t>CAP6939577</t>
  </si>
  <si>
    <t>Departamento - 5 ambientes con dependencia -Recoleta</t>
  </si>
  <si>
    <t xml:space="preserve">Departamento de 5 ambientes en venta </t>
  </si>
  <si>
    <t>CPH7084055</t>
  </si>
  <si>
    <t>PH en Neuquen</t>
  </si>
  <si>
    <t>Rio Agrio al 300</t>
  </si>
  <si>
    <t>Casa Nati Valerio</t>
  </si>
  <si>
    <t>VAP6932663</t>
  </si>
  <si>
    <t>Departamento Luminoso en Venta 2 Ambientes - Saavedra</t>
  </si>
  <si>
    <t>Crisologo Larralde  al 4300</t>
  </si>
  <si>
    <t>Casa Romina Blanquez</t>
  </si>
  <si>
    <t>Islandia 5418</t>
  </si>
  <si>
    <t>CAP5189503</t>
  </si>
  <si>
    <t>Venta Departamento 4 ambientes cochera doble Balcón Palermo Hollywood Colegiales Palermo Permuta</t>
  </si>
  <si>
    <t>Dorrego al 1900</t>
  </si>
  <si>
    <t>Tigre</t>
  </si>
  <si>
    <t>Departamento en venta 2 ambientes</t>
  </si>
  <si>
    <t>Bordieu 772</t>
  </si>
  <si>
    <t>España y Libertad</t>
  </si>
  <si>
    <t>San Carlos de Bariloche</t>
  </si>
  <si>
    <t>Stcheden 1299</t>
  </si>
  <si>
    <t>Departamento de 2 ambientes en Moreno</t>
  </si>
  <si>
    <t>Argentina | G.B.A. Zona Oeste | Moreno | Moreno</t>
  </si>
  <si>
    <t>CAP6640984</t>
  </si>
  <si>
    <t>Venta Departamento 2 Ambientes Monserrat piso alto</t>
  </si>
  <si>
    <t>Salta 600</t>
  </si>
  <si>
    <t>CFA6977404</t>
  </si>
  <si>
    <t>Finca 60 has</t>
  </si>
  <si>
    <t>Calle 3 y Resolana - Cuadro Nacional</t>
  </si>
  <si>
    <t>Argentina | Mendoza | San Rafael | Cuadro Nacional</t>
  </si>
  <si>
    <t>CAP2287554</t>
  </si>
  <si>
    <t>Venta departamento de 2 ambientes en Saavedra con amenities  A ESTRENAR</t>
  </si>
  <si>
    <t>Ramallo al 3100</t>
  </si>
  <si>
    <t>CPH6511899</t>
  </si>
  <si>
    <t>PH, BOEDO, ALMAGRO, TERRAZA, BALCON, LUMINOSO, RECICLADO, EXCELENTE UBICACION</t>
  </si>
  <si>
    <t>QUINTINO BOCAYUVA al 800</t>
  </si>
  <si>
    <t>CST6957534</t>
  </si>
  <si>
    <t xml:space="preserve"> Venta Depósito en   zona Villa Pueyrredon </t>
  </si>
  <si>
    <t>Argerich al 4700</t>
  </si>
  <si>
    <t>Storage</t>
  </si>
  <si>
    <t>VHO6800875</t>
  </si>
  <si>
    <t>APTO CREDITO - Casa en Venta  - C.C Los Horneros</t>
  </si>
  <si>
    <t>APTO CREDITO - Casa en Venta 6 Amb en C.C Los Horneros</t>
  </si>
  <si>
    <t>Bordieu 772 1 y 2 mas baulera</t>
  </si>
  <si>
    <t>OP 148</t>
  </si>
  <si>
    <t>OP 148 Crámer 1682 5 A</t>
  </si>
  <si>
    <t>Crámer 1682 5 A</t>
  </si>
  <si>
    <t>CHO6677269</t>
  </si>
  <si>
    <t>VENTA CASA 5 AMBIENTES IMPECABLE TRIPLEX APTO CRÉDITO - JARDIN COCHERA EN COGHLAN</t>
  </si>
  <si>
    <t>Conde  al 3000</t>
  </si>
  <si>
    <t>VHO5998658</t>
  </si>
  <si>
    <t>Casa en  venta - LOTE PROPIO - APTO CREDITO</t>
  </si>
  <si>
    <t>Italia  al 3400</t>
  </si>
  <si>
    <t>Pinto 4425</t>
  </si>
  <si>
    <t>CHO6697101</t>
  </si>
  <si>
    <t>Casa en venta ubicada en Ciudad Valdivia - Salta Capital</t>
  </si>
  <si>
    <t xml:space="preserve">Ciudad Valdivia </t>
  </si>
  <si>
    <t>CAP6174641</t>
  </si>
  <si>
    <t>VENTA DPTO 2 AMBIENTES EN LANUSITA</t>
  </si>
  <si>
    <t>2 de Mayo al 2800</t>
  </si>
  <si>
    <t>77Stella</t>
  </si>
  <si>
    <t>San Lorenzo 2200</t>
  </si>
  <si>
    <t>CHO4524845</t>
  </si>
  <si>
    <t>Casa en venta Barrio Cielos del Valle</t>
  </si>
  <si>
    <t xml:space="preserve">Barrio Cielos del Valle  </t>
  </si>
  <si>
    <t>CAP6728882</t>
  </si>
  <si>
    <t>Venta Departamento 2 Ambientes Con Jardin Privado y Cochera Cubierta en Bahia Grande Nordelta</t>
  </si>
  <si>
    <t>Av del Puerto  al 600 - Puerto Escondido Nordelta</t>
  </si>
  <si>
    <t>Argentina | G.B.A. Zona Norte | Tigre | Countries/B.Cerrado (Tigre) | Nordelta | Bahia Grande</t>
  </si>
  <si>
    <t>CAP6793998</t>
  </si>
  <si>
    <t xml:space="preserve">Departamento en  </t>
  </si>
  <si>
    <t>SAN PEDRITO  al 1500</t>
  </si>
  <si>
    <t>CAP6954897</t>
  </si>
  <si>
    <t xml:space="preserve">Departamento en venta 2 habitaciones Godoy cruz </t>
  </si>
  <si>
    <t>Sargenti Cabral  al 800</t>
  </si>
  <si>
    <t>CAP6162631</t>
  </si>
  <si>
    <t>Departamento en Venta en San Cristóbal</t>
  </si>
  <si>
    <t>Chile al 2100</t>
  </si>
  <si>
    <t>CAP6849216</t>
  </si>
  <si>
    <t>Departamento en Villa Crespo</t>
  </si>
  <si>
    <t>Estado de Israel 4700</t>
  </si>
  <si>
    <t>CPN61101 LA6673384</t>
  </si>
  <si>
    <t xml:space="preserve"> Lotes en Venta en Chacras De Coria</t>
  </si>
  <si>
    <t>Viamonte al 1000</t>
  </si>
  <si>
    <t>AAP6732195</t>
  </si>
  <si>
    <t xml:space="preserve">Departamento dos ambientes en Recoleta  </t>
  </si>
  <si>
    <t>Juncal 2900</t>
  </si>
  <si>
    <t>CHO6582161</t>
  </si>
  <si>
    <t>Casa en  Venta en Guaymallén</t>
  </si>
  <si>
    <t>Blas Parera al 135</t>
  </si>
  <si>
    <t>Argentina | Mendoza | Guaymallen | Guaymallén</t>
  </si>
  <si>
    <t>CCO55382 AP5983612</t>
  </si>
  <si>
    <t>Venta Departamento c/ Renta 3 ambientes PB c/jardín y cochera - Vilahaus</t>
  </si>
  <si>
    <t>Argentina | G.B.A. Zona Norte | Pilar | Manuel Alberti | vilahaus</t>
  </si>
  <si>
    <t>CAP6106756</t>
  </si>
  <si>
    <t>Venta Espectacular Duplex 3 ambientes en complejo MOCA Barracas</t>
  </si>
  <si>
    <t>Av. Montes de Oca al 200</t>
  </si>
  <si>
    <t>CHO6850596</t>
  </si>
  <si>
    <t>Casa en venta Las Moras Higuerrillas</t>
  </si>
  <si>
    <t>Las Moras - higuerillas</t>
  </si>
  <si>
    <t>Argentina | Jujuy | Dr Manuel Belgrano | San Salvador De Jujuy | Las Higuerillas</t>
  </si>
  <si>
    <t>CHO6908951</t>
  </si>
  <si>
    <t>Venta casa triplex 5 ambientes cocheras pileta Caballito</t>
  </si>
  <si>
    <t>Viel al 800</t>
  </si>
  <si>
    <t>CHO7042878</t>
  </si>
  <si>
    <t>Venta casa 6 ambientes parque pileta cocheras San Isidro Casco Historico Libertador al Rio</t>
  </si>
  <si>
    <t>Roque Saenz Peña al 700</t>
  </si>
  <si>
    <t>CAP7125750</t>
  </si>
  <si>
    <t>DEPARTAMENTO 3 AMBIENTES EN VENTA EN PARQUE AVELLANEDA</t>
  </si>
  <si>
    <t>Juan B, Alberdi  al 4800</t>
  </si>
  <si>
    <t>CAP7080138</t>
  </si>
  <si>
    <t>Monoambiente en venta.</t>
  </si>
  <si>
    <t>La Rioja al 1180</t>
  </si>
  <si>
    <t>CHO6734839</t>
  </si>
  <si>
    <t xml:space="preserve">CASA EN VENTA VISTALBA LOTEO DON CARLOS </t>
  </si>
  <si>
    <t>LOTEO DON CARLOS LOS TILOS LOTE K</t>
  </si>
  <si>
    <t>Argentina | Mendoza | Lujan De Cuyo | Vistalba</t>
  </si>
  <si>
    <t>Area 13 Lote 140</t>
  </si>
  <si>
    <t>San Sebastian A13 L140</t>
  </si>
  <si>
    <t>CBU59332 AP6854405</t>
  </si>
  <si>
    <t>Departamento en  venta de 3 ambientes con patio en Villa Urquiza CABA</t>
  </si>
  <si>
    <t>Zado  al 3500 - PB -  Villa Urquiza</t>
  </si>
  <si>
    <t>CHO6363074</t>
  </si>
  <si>
    <t>Casa en  VENTA Lago Moreno 21</t>
  </si>
  <si>
    <t>Barrio Tres Lagos, San Carlos de Bariloche</t>
  </si>
  <si>
    <t>Argentina | Rio Negro | Bariloche | San Carlos De Bariloche | Tres Lagos</t>
  </si>
  <si>
    <t>CHO5074138</t>
  </si>
  <si>
    <t>VENTA Casa 165.30m2, terreno/lote 965.60 m2, San Ignacio del Cerro, Bariloche</t>
  </si>
  <si>
    <t>Sivori 500, San Ignacio del Cerro, San Carlos de Bariloche</t>
  </si>
  <si>
    <t>Argentina | Rio Negro | Bariloche | San Carlos De Bariloche | San Ignacio del Cerro</t>
  </si>
  <si>
    <t>CAP6813882</t>
  </si>
  <si>
    <t>Departamento en  Venta en Recoleta</t>
  </si>
  <si>
    <t>Presidente Ortiz al 1800</t>
  </si>
  <si>
    <t>CHO6993299</t>
  </si>
  <si>
    <t>Casa en Venta - Santa Clara, Villanueva</t>
  </si>
  <si>
    <t>CHO6661813</t>
  </si>
  <si>
    <t>Casa a Estrenar en VENTA 4 DORMITORIOS - MIRALAGOS  1 LOTE 68</t>
  </si>
  <si>
    <t>Casa A ESTRENAR / MIRALAGOS /  VENTA / APTO BANCO</t>
  </si>
  <si>
    <t>Argentina | G.B.A. Zona Sur | La Plata | Countries/B.Cerrado (La Plata) | Club Miralagos</t>
  </si>
  <si>
    <t>Torres del Yacht  venta departamento</t>
  </si>
  <si>
    <t>Juana Manso 501</t>
  </si>
  <si>
    <t>Ortega y Gasset 1898</t>
  </si>
  <si>
    <t>CLA6975098</t>
  </si>
  <si>
    <t>Terreno en  venta San lorenzo finca catellanos ) ruta 28 Km 11</t>
  </si>
  <si>
    <t>San Lorenzo Lesser, finca castellanos</t>
  </si>
  <si>
    <t>Argentina | Salta | Capital | San Lorenzo</t>
  </si>
  <si>
    <t>CLO6864210</t>
  </si>
  <si>
    <t>Locales en Venta en Calle Azcuénaga - Guaymallén - Mendoza</t>
  </si>
  <si>
    <t>Calle Azcuénaga al 1300</t>
  </si>
  <si>
    <t>CHO6391546</t>
  </si>
  <si>
    <t>Venta Casa 4 Ambientes con Cochera, Patio con Parrilla en Lomas del Mirador</t>
  </si>
  <si>
    <t>ROQUE SAENZ PEÑA al 3000</t>
  </si>
  <si>
    <t>CAP6386116</t>
  </si>
  <si>
    <t>DEPTO DOS AMB LUMINOSO DESTACABLE ZONA BELGRANO</t>
  </si>
  <si>
    <t>Moldes al 2030</t>
  </si>
  <si>
    <t>CAP6877937</t>
  </si>
  <si>
    <t>DEPARTAMENTO EN VENTA BELGRANO 3 AMBIENTES BALCON CORRIDO PERMUTA</t>
  </si>
  <si>
    <t>MELIAN  al 2300</t>
  </si>
  <si>
    <t xml:space="preserve">Depto 3amb </t>
  </si>
  <si>
    <t>Laprida</t>
  </si>
  <si>
    <t>CHO7151732</t>
  </si>
  <si>
    <t>Casa a la laguna  en  Barrio San Francisco, Villanueva</t>
  </si>
  <si>
    <t>San Francisco, Villanueva, Tigre</t>
  </si>
  <si>
    <t>CAP7051075</t>
  </si>
  <si>
    <t>Departamento en  venta 4amb más dep con balcón 2coch y 2 baul</t>
  </si>
  <si>
    <t>Arcos al 1600</t>
  </si>
  <si>
    <t>Depto venta Almagro</t>
  </si>
  <si>
    <t>Depto venta Almagro Querandies</t>
  </si>
  <si>
    <t>CAP6828161</t>
  </si>
  <si>
    <t>Departamento 2 ambientes en venta V. del Parque APTO CREDITO</t>
  </si>
  <si>
    <t>Baigorria  al 2900</t>
  </si>
  <si>
    <t>CAP6946438</t>
  </si>
  <si>
    <t>VENTA Departamento en  RETIRO, PB con patio y piletita,</t>
  </si>
  <si>
    <t>Maipú  al 800</t>
  </si>
  <si>
    <t>CAP6817503</t>
  </si>
  <si>
    <t>Venta Departamento 2 ambientes en Villa Urquiza</t>
  </si>
  <si>
    <t>Alvarez Thomas  al 3200</t>
  </si>
  <si>
    <t>CAP6279410</t>
  </si>
  <si>
    <t>Venta Departamento monoambiente con cochera y amenities en Las Cañitas ideal inversión</t>
  </si>
  <si>
    <t>ARCE al 500</t>
  </si>
  <si>
    <t>CARRANZA 2100 PALERMO</t>
  </si>
  <si>
    <t>DEPTO VENTA CARRANZA 2100</t>
  </si>
  <si>
    <t>09EM-13-02-25 - Tinogasta 2</t>
  </si>
  <si>
    <t>Venta depto 3 ambientes | patio | balcon | luz | cochera fija | como nuevo. Villa del Parque</t>
  </si>
  <si>
    <t>Tinogasta al 2800</t>
  </si>
  <si>
    <t>CHO6839661</t>
  </si>
  <si>
    <t>Casa en  venta -4 ambientes-Mayling CC</t>
  </si>
  <si>
    <t>chubut  al 400</t>
  </si>
  <si>
    <t>CAP6917340</t>
  </si>
  <si>
    <t>VENTA DEPTO 4 AMBIENTES CON COCHERA Y BAULERA - PALERMO HOLLYWOOD</t>
  </si>
  <si>
    <t>Avenida Santa Fe al 5000</t>
  </si>
  <si>
    <t>ayacucho</t>
  </si>
  <si>
    <t>520 HORIZONTES AL SUR</t>
  </si>
  <si>
    <t>Tres cerritos los juncos 177</t>
  </si>
  <si>
    <t>los juncos 177 tres cerritos</t>
  </si>
  <si>
    <t>CAP6716550</t>
  </si>
  <si>
    <t>VENTA DEPARTAMENTO 2 AMBIENTES, COCHERA, BAULERA,FULL AMENITIES, ASTOR NUÑEZ</t>
  </si>
  <si>
    <t>Pico al 2300</t>
  </si>
  <si>
    <t>VHO6864687</t>
  </si>
  <si>
    <t>APTO CREDITO - Casa en venta - 9 ambientes - piscina - Los Olmos, Los Naranjos, Ingeniero Maschwitz</t>
  </si>
  <si>
    <t>VHO5263230</t>
  </si>
  <si>
    <t>venta Casa - Apto crédito Talar Chico - GRAL PACHECO</t>
  </si>
  <si>
    <t>TALAR CHICO</t>
  </si>
  <si>
    <t>Argentina | G.B.A. Zona Norte | Tigre | Countries/B.Cerrado (Tigre) | Talar Chico</t>
  </si>
  <si>
    <t>CAP6894585</t>
  </si>
  <si>
    <t>VENTA MONOAMBIENTE SAN CRISTOBAL -APTO CREDITO- OPORTUNIDAD</t>
  </si>
  <si>
    <t>Constitucion al 1900</t>
  </si>
  <si>
    <t>CAP6710262</t>
  </si>
  <si>
    <t>Venta Departamento 2 ambientes en Recoleta!</t>
  </si>
  <si>
    <t>Jean Jaures al 1100</t>
  </si>
  <si>
    <t>DEPARTAMENTO 59 Y 10</t>
  </si>
  <si>
    <t>59 y 10</t>
  </si>
  <si>
    <t>CAP6633030</t>
  </si>
  <si>
    <t>VENTA DEPARTAMENTO 2 AMBIENTES PALERMO</t>
  </si>
  <si>
    <t>Pringles al 1300</t>
  </si>
  <si>
    <t>VBU61369 AP7141315</t>
  </si>
  <si>
    <t>Venta Departamento en la mejor zona de Chacarita en Pozo Piso 3</t>
  </si>
  <si>
    <t>Charlone  409</t>
  </si>
  <si>
    <t>CAP6923268</t>
  </si>
  <si>
    <t>VENTA DPTO. 2 AMBIENTES EN RECOLETA</t>
  </si>
  <si>
    <t>Av. Santa Fe  al 2000</t>
  </si>
  <si>
    <t>CHO5643267</t>
  </si>
  <si>
    <t>Venta de casaquinta en Barrio Los Viejos Ombues  Florencio Varela. OPORTUNIDAD</t>
  </si>
  <si>
    <t>CASA QUINTA EN VENTA EN FLORENCIO VARELA Bº CERRADO LOS VIEJOS OMBUES 1455</t>
  </si>
  <si>
    <t>Argentina | G.B.A. Zona Sur | Florencio Varela | Villa Brown</t>
  </si>
  <si>
    <t>Av San Juan 4250</t>
  </si>
  <si>
    <t>Varela 682</t>
  </si>
  <si>
    <t>CAP6648100</t>
  </si>
  <si>
    <t>VENTA 3 AMBIENTES BALCON APTO CREDITO</t>
  </si>
  <si>
    <t>Margarita Weild al 1400</t>
  </si>
  <si>
    <t>11 de septiembre</t>
  </si>
  <si>
    <t>CHO6516313</t>
  </si>
  <si>
    <t>Chacra de 1.1has, 3 dormitorios en Match Point</t>
  </si>
  <si>
    <t>Argentina | G.B.A. Zona Oeste | Lujan | Countries/B.Cerrado (Lujan) | Match Point</t>
  </si>
  <si>
    <t>CAP6856324</t>
  </si>
  <si>
    <t xml:space="preserve"> Departamento 3 ambientes en Colegiales POZO</t>
  </si>
  <si>
    <t>CESPEDES al 3300</t>
  </si>
  <si>
    <t>CAP6990382</t>
  </si>
  <si>
    <t>ARENALES al 2000</t>
  </si>
  <si>
    <t>CAP6629745</t>
  </si>
  <si>
    <t>VENTA DEPARTAMENTO 2 AMBIENTES LUMINOSO EN BALVANERA</t>
  </si>
  <si>
    <t>Catamarca  al 400</t>
  </si>
  <si>
    <t>CAP6694996</t>
  </si>
  <si>
    <t>VENTA - Departamento 3 Ambientes con balcón -  Palermo - Las Cañitas</t>
  </si>
  <si>
    <t>Teodoro Garcia  al 1900</t>
  </si>
  <si>
    <t>JAP7051064</t>
  </si>
  <si>
    <t>Venta - Departamento - 2 ambientes - Parque Chacabuco - Boedo</t>
  </si>
  <si>
    <t>Av La Plata 1400</t>
  </si>
  <si>
    <t>VPH6637665</t>
  </si>
  <si>
    <t>PH 3 Ambientes con patio, lavadero cubierto y cuarto exterior</t>
  </si>
  <si>
    <t>Francisco Raffo al 3200</t>
  </si>
  <si>
    <t>79Agustin</t>
  </si>
  <si>
    <t>General Lopez 2966</t>
  </si>
  <si>
    <t>VPN49872 LA5038767</t>
  </si>
  <si>
    <t>PREVENTA, Barrio El Paso  Del Viso</t>
  </si>
  <si>
    <t>BARRIO EL PASO, LOTE</t>
  </si>
  <si>
    <t>VAP6930398</t>
  </si>
  <si>
    <t>Departamento 3 ambientes a la venta en Nuñez</t>
  </si>
  <si>
    <t>Moldes al 3500</t>
  </si>
  <si>
    <t>CAP6812030</t>
  </si>
  <si>
    <t>VENTA Departamento 3 ambientes APTO CREDITO</t>
  </si>
  <si>
    <t>Av. Comodoro Martin Rivadavia al 1600</t>
  </si>
  <si>
    <t>CHO6684036</t>
  </si>
  <si>
    <t>Casa en venta Zona Shopping Alto Noa</t>
  </si>
  <si>
    <t>Pje. Ministro Alvarado 160 - Zona Shopping Alto Noa</t>
  </si>
  <si>
    <t>VHO4956012</t>
  </si>
  <si>
    <t>Casa a la venta al Rio 3 Dorm en Barrio El Canal Villanueva</t>
  </si>
  <si>
    <t>Barrio Canal  al 100</t>
  </si>
  <si>
    <t>Argentina | G.B.A. Zona Norte | Tigre | Countries/B.Cerrado (Tigre) | Villanueva | El Canal</t>
  </si>
  <si>
    <t>Presidente Arturo Illia 1539</t>
  </si>
  <si>
    <t>CAP6930372</t>
  </si>
  <si>
    <t>MONOAMBIENTE Y ½ EN BARRACAS. OPORTUNIDAD INVERSOR</t>
  </si>
  <si>
    <t>Finochietto al 400</t>
  </si>
  <si>
    <t>2479 m2</t>
  </si>
  <si>
    <t>LAPRIDA 1920</t>
  </si>
  <si>
    <t xml:space="preserve">LAPRIDA 1920 PISO 8 </t>
  </si>
  <si>
    <t xml:space="preserve">LAPRIDA 1920, BUENOS AIRES </t>
  </si>
  <si>
    <t>CPH6338130</t>
  </si>
  <si>
    <t>VENTA de PH de 2 dormitorios - Dina Huapi</t>
  </si>
  <si>
    <t>Dina Huapi, Pilcaniyeu</t>
  </si>
  <si>
    <t>Argentina | Rio Negro | Pilcaniyeu | Dina Huapi</t>
  </si>
  <si>
    <t>CBU64387 AP7063868</t>
  </si>
  <si>
    <t>Departamento - Caballito</t>
  </si>
  <si>
    <t>José Bonifacio 1919</t>
  </si>
  <si>
    <t>CAP7131860</t>
  </si>
  <si>
    <t>Departamento 3 Ambientes en Venta APTO CREDITO - Quartier Buena Vista, San Fernando</t>
  </si>
  <si>
    <t>Dr. Rene Favaloro  al 3300, Quartier La Horqueta, Victoria</t>
  </si>
  <si>
    <t>Argentina | G.B.A. Zona Norte | San Fernando | Buenavista</t>
  </si>
  <si>
    <t>Venta Dpto en Tigre</t>
  </si>
  <si>
    <t>VHO6783169</t>
  </si>
  <si>
    <t>CASA EN LOS CASTAÑOS - NORDELTA - OPORTUNIDAD</t>
  </si>
  <si>
    <t>CAP6796724</t>
  </si>
  <si>
    <t>Departamento en almagro</t>
  </si>
  <si>
    <t>Quintino Bocayuva  al 400</t>
  </si>
  <si>
    <t>Argentina | Capital Federal | Almagro | Almagro Sur</t>
  </si>
  <si>
    <t>Dpto colon</t>
  </si>
  <si>
    <t>Departamento en venta en calle colon</t>
  </si>
  <si>
    <t>Argentina | Mendoza | Capital | Mendoza | Quinta Sección</t>
  </si>
  <si>
    <t>CAP6471578</t>
  </si>
  <si>
    <t>Monoambiente en Venta en Las Cañitas.</t>
  </si>
  <si>
    <t>Chenaut al 1900</t>
  </si>
  <si>
    <t>AAP5079981</t>
  </si>
  <si>
    <t>Excelente Departamento en San Nicolás</t>
  </si>
  <si>
    <t>Bartolome Mitre al 1676</t>
  </si>
  <si>
    <t>Martina Cespedes 1620 - Caro Valls - Barrozo y Villa Prop</t>
  </si>
  <si>
    <t>Martina Cespedes 1620</t>
  </si>
  <si>
    <t>Lote identificado como UF 4 – LOTE 9 – Manzana L Lote Pastoril 15 ubicado en Península Manzano, Villa La Angostura, Neuquén, nomenclatura catastral: 16-21-065-4914-0004, con superficie aproximada de 894,65</t>
  </si>
  <si>
    <t>Los Robles</t>
  </si>
  <si>
    <t>CAP7002770</t>
  </si>
  <si>
    <t>Venta Departamento 2 Ambientes Balcón Terraza, Barrio Norte</t>
  </si>
  <si>
    <t>Callao al 700</t>
  </si>
  <si>
    <t>Av. Callao 715 - Guillermina - CB Señority</t>
  </si>
  <si>
    <t>CPN60269 AP7194829</t>
  </si>
  <si>
    <t>Alquiler Departamento 3 ambientes a estrenar - Lagoon Pilar</t>
  </si>
  <si>
    <t>CAP6824790</t>
  </si>
  <si>
    <t>CHO6949603</t>
  </si>
  <si>
    <t>Espectacular Casa Quinta en Matheu</t>
  </si>
  <si>
    <t>Espectacular Casa Quinta en Matheu, Escobar</t>
  </si>
  <si>
    <t>UF 12 Loteo A Quetrihue</t>
  </si>
  <si>
    <t>UF 13 Loteo A Quetrihue 387,55</t>
  </si>
  <si>
    <t>EL CANO 200</t>
  </si>
  <si>
    <t>LOTE VENTA EL CANO 200</t>
  </si>
  <si>
    <t xml:space="preserve">Reserva Mirko PH los coihues </t>
  </si>
  <si>
    <t>JPH6798523</t>
  </si>
  <si>
    <t>PH APTO CREDITO VILLA URQUIZA IMPECABLE ESTADO SIN EXPENSAS  LUMINOSO Y SILENCIOSO</t>
  </si>
  <si>
    <t>TALAVERA  al 5800</t>
  </si>
  <si>
    <t>COF6984206</t>
  </si>
  <si>
    <t>Oficina en  venta san isidro sobre Av. Marquez</t>
  </si>
  <si>
    <t>Oportunidad! oficina san isidro, Av.Marquez 3000</t>
  </si>
  <si>
    <t>Argentina | G.B.A. Zona Norte | San Isidro | San Isidro</t>
  </si>
  <si>
    <t>CHO7039343</t>
  </si>
  <si>
    <t>Casa en venta ubicada en calle España 1893 - Salta</t>
  </si>
  <si>
    <t>España 1893</t>
  </si>
  <si>
    <t>CHO7070056</t>
  </si>
  <si>
    <t>Casa en  San Sebastián</t>
  </si>
  <si>
    <t xml:space="preserve">Hermosa casa en Área 13, San Sebastián </t>
  </si>
  <si>
    <t>Reserva Nayla y Roma Tizado 3 Departamentos Mitre 1447</t>
  </si>
  <si>
    <t>Arcos 3395 2A</t>
  </si>
  <si>
    <t>PH Ramos Mejía</t>
  </si>
  <si>
    <t>PH 3 Ambientes en venta en Ramos Mejía</t>
  </si>
  <si>
    <t>Alvear 1050</t>
  </si>
  <si>
    <t>CAP6817213</t>
  </si>
  <si>
    <t>VENTA SEMIPISO 3 DORMITORIOS MAS DEPENDENCIA, BALCÓN CORRIDO</t>
  </si>
  <si>
    <t>MENDOZA  al 1500</t>
  </si>
  <si>
    <t>DHO6628954</t>
  </si>
  <si>
    <t>Venta Casa en  Martinez - 4 dormitorios - Lavadero - Dependencia de servicio - Pileta - Cochera</t>
  </si>
  <si>
    <t>Juncal  100</t>
  </si>
  <si>
    <t>DHO6451689</t>
  </si>
  <si>
    <t>Venta Casa en  la Lucila -  3 dormitorios - 2 baños - Cochera - Jardin - Excelente ubicacion</t>
  </si>
  <si>
    <t>Rioja al 3400 la Lucila</t>
  </si>
  <si>
    <t>Argentina | G.B.A. Zona Norte | Vicente López | La Lucila | La Lucila-Vias/Maipu</t>
  </si>
  <si>
    <t>Uriburu 1284 - AYELEN COSTAS</t>
  </si>
  <si>
    <t>Uriburu 1284</t>
  </si>
  <si>
    <t>VHO3646798</t>
  </si>
  <si>
    <t>VENTA Casa - Beccar San Isidro - APTO CREDITO</t>
  </si>
  <si>
    <t>SUIPACHA al 1600</t>
  </si>
  <si>
    <t>Argentina | G.B.A. Zona Norte | San Isidro | Beccar | Beccar-Vias/Libert.</t>
  </si>
  <si>
    <t>CLA6876247</t>
  </si>
  <si>
    <t>Terreno en  Venta 400m2 en Nahuel Malal,  Bariloche</t>
  </si>
  <si>
    <t>Nahuel Malal, San Carlos de Bariloche</t>
  </si>
  <si>
    <t>Argentina | Rio Negro | Bariloche | San Carlos De Bariloche | Nahuel Malal</t>
  </si>
  <si>
    <t>CBU42019 AP6893978</t>
  </si>
  <si>
    <t>Departamento 1 ambiente vista al lago - Bariloche</t>
  </si>
  <si>
    <t>Jardin Botanico, San Carlos de Bariloche</t>
  </si>
  <si>
    <t>UF 10, de 78 m2, Las Retamas  315  NC: 16-20-70-7868-0000</t>
  </si>
  <si>
    <t>Las Retamas 315</t>
  </si>
  <si>
    <t>CAP6686803</t>
  </si>
  <si>
    <t>VENTA Departamento 2 AMBIENTES con COCHERA  en Villa Urquiza con Amenities</t>
  </si>
  <si>
    <t>Pacheco al 2400</t>
  </si>
  <si>
    <t>Reserva Cele Bernasconi Dpto 20 de Febrero 775, Piso 4 Trans + IVA</t>
  </si>
  <si>
    <t>CHO6391748</t>
  </si>
  <si>
    <t>Venta Casa céntrica 4 dormitorios en Bariloche</t>
  </si>
  <si>
    <t>CHO4565523</t>
  </si>
  <si>
    <t>Casa - Guadalupe oeste</t>
  </si>
  <si>
    <t>OPORTUNIDAD !! CASA CON PATIO  SECO Y COCHERA!! GUADALUPE "O"</t>
  </si>
  <si>
    <t>Argentina | Santa Fe | La Capital | Santa Fe | Guadalupe</t>
  </si>
  <si>
    <t>CAP6937766</t>
  </si>
  <si>
    <t xml:space="preserve">Departamento tipo Loft en Via Aurelia </t>
  </si>
  <si>
    <t>Via Aurelia lote n7 mza 1 loft 1c</t>
  </si>
  <si>
    <t>Madero 571</t>
  </si>
  <si>
    <t>Dpto Belgrano 97 2I + Refuerzo</t>
  </si>
  <si>
    <t>CLA6840569</t>
  </si>
  <si>
    <t>Terreno en  Lomas del Cauquén Bariloche</t>
  </si>
  <si>
    <t>CHO6699817</t>
  </si>
  <si>
    <t>Gran Casa de 4 Ambientes con Patio - Parrilla -Balcón Terraza en Barrio Municipal Floresta</t>
  </si>
  <si>
    <t>Tacuara  al 1300</t>
  </si>
  <si>
    <t>Argentina | Capital Federal | Floresta | Floresta Norte</t>
  </si>
  <si>
    <t>CHO6703504</t>
  </si>
  <si>
    <t>Casa 4 dorm. con pileta climatizada - Neuquén</t>
  </si>
  <si>
    <t>Villaguay al 3400</t>
  </si>
  <si>
    <t>Argentina | Neuquen | Capital | Huilliches</t>
  </si>
  <si>
    <t>CAP6707989</t>
  </si>
  <si>
    <t>Venta departamento dúplex 2 ambientes a estrenar en Palermo</t>
  </si>
  <si>
    <t>Charcas al 4700</t>
  </si>
  <si>
    <t>CAP6931856</t>
  </si>
  <si>
    <t>Venta, departamento a estrenar con Amenities PISO ALTO</t>
  </si>
  <si>
    <t>Ruiz Huidobro al 4600 8°</t>
  </si>
  <si>
    <t>VHO6638008</t>
  </si>
  <si>
    <t>Venta Casa - Club de Campo San Francisco, Manzanares - Apto Credito</t>
  </si>
  <si>
    <t>Rio Hondo al 500</t>
  </si>
  <si>
    <t>CAP6871584</t>
  </si>
  <si>
    <t>Departamento 3 Ambientes con escritorio en Palermo</t>
  </si>
  <si>
    <t>Paraguay al 4100</t>
  </si>
  <si>
    <t>CAP6592313</t>
  </si>
  <si>
    <t>VENTA DEPARTAMENTO 4 AMBIENTES EN PALERMO, LAS CAÑITAS</t>
  </si>
  <si>
    <t>Jorge Newbery al 1600</t>
  </si>
  <si>
    <t>CAP6400410</t>
  </si>
  <si>
    <t>Departamento en venta ubicado en Barrio El Bosque</t>
  </si>
  <si>
    <t xml:space="preserve">El Bosque </t>
  </si>
  <si>
    <t>Argentina | Salta | Capital | Salta</t>
  </si>
  <si>
    <t>CPH6320069</t>
  </si>
  <si>
    <t>VENTA PH - Ramos Mejia-Don Bosco  - 3 ambientes - Cochera - Planta Baja -Permuta</t>
  </si>
  <si>
    <t>ACHALA al 1300</t>
  </si>
  <si>
    <t>Argentina | G.B.A. Zona Oeste | La Matanza | Ramos Mejia | B.Don Bosco</t>
  </si>
  <si>
    <t>VAP4859355</t>
  </si>
  <si>
    <t>Departamento en Venta - Calle Italia 1111 1C - Escobar</t>
  </si>
  <si>
    <t>Departamento en Venta - Calle Italia 1111 1C - Escobar APTO CREDITO, CON RENTA</t>
  </si>
  <si>
    <t>CAP7085907</t>
  </si>
  <si>
    <t>Venta - Departamento - Saavedra - Apto Crédito - Capital Federal - Nuñez - Amoblado</t>
  </si>
  <si>
    <t>Av Cramer al 4300</t>
  </si>
  <si>
    <t>CHO7098112</t>
  </si>
  <si>
    <t>Casa en venta Zona Norte - Salta</t>
  </si>
  <si>
    <t>Av. 17 de Junio -  Zona Norte</t>
  </si>
  <si>
    <t>79Emi</t>
  </si>
  <si>
    <t>Departamento venta</t>
  </si>
  <si>
    <t xml:space="preserve">1 de Mayo 1602 </t>
  </si>
  <si>
    <t>80Stella</t>
  </si>
  <si>
    <t>Departamento dos dormitorios en venta</t>
  </si>
  <si>
    <t xml:space="preserve">Saavedra 2032 </t>
  </si>
  <si>
    <t>Argentina | Santa Fe | La Capital | Santa Fe | Centro</t>
  </si>
  <si>
    <t>CAP6939570</t>
  </si>
  <si>
    <t>Venta monoambiente ideal Apto Profesional</t>
  </si>
  <si>
    <t>Zapata  al 200</t>
  </si>
  <si>
    <t>VHO6177041</t>
  </si>
  <si>
    <t>Casa en  barrio santa isabel 2 de 4 ambientes</t>
  </si>
  <si>
    <t>CAP6859449</t>
  </si>
  <si>
    <t>VENTA departamento dos ambientes apto crédito</t>
  </si>
  <si>
    <t>Gambaro al 200</t>
  </si>
  <si>
    <t>CAP6898647</t>
  </si>
  <si>
    <t>Departamento en  REMEDIOS DE ESCALADA- LANUS</t>
  </si>
  <si>
    <t>Doctor Melo  al 5000</t>
  </si>
  <si>
    <t>Argentina | G.B.A. Zona Sur | Lanús | Remedios De Escalada</t>
  </si>
  <si>
    <t>CHO6577875</t>
  </si>
  <si>
    <t>CASA EN VENTA BARRIO PRIVADO PASEO DI FIORE</t>
  </si>
  <si>
    <t xml:space="preserve">ZAPIOLA ENTRE AV SAN MARTIN Y ACCESO SUR </t>
  </si>
  <si>
    <t>Argentina | Mendoza | Lujan De Cuyo | Lujan De Cuyo | Mayor Drummond</t>
  </si>
  <si>
    <t>CAP6910971</t>
  </si>
  <si>
    <t>Departamento en venta 2 ambientes en Almagro Balcón</t>
  </si>
  <si>
    <t>Humahuaca al 4200</t>
  </si>
  <si>
    <t>CAP6694024</t>
  </si>
  <si>
    <t>Venta Departamento en Las Victorias Bariloche</t>
  </si>
  <si>
    <t>Las Victorias, San Carlos de Bariloche</t>
  </si>
  <si>
    <t>Argentina | Rio Negro | Bariloche | San Carlos De Bariloche | Las Victorias</t>
  </si>
  <si>
    <t>CHO6858321</t>
  </si>
  <si>
    <t>Casa en  venta ubicada en el Mollar I - Salta</t>
  </si>
  <si>
    <t>Mollar I</t>
  </si>
  <si>
    <t>Argentina | Salta | Rosario De Lerma | El Mollar</t>
  </si>
  <si>
    <t>CHO6919348</t>
  </si>
  <si>
    <t xml:space="preserve">Casa en  Venta Los Perales </t>
  </si>
  <si>
    <t>Luis Agote  al 1000</t>
  </si>
  <si>
    <t>CLO6605064</t>
  </si>
  <si>
    <t xml:space="preserve">Venta Local Saavedra Coghlan esquina </t>
  </si>
  <si>
    <t>Washington al 3400</t>
  </si>
  <si>
    <t xml:space="preserve">thames </t>
  </si>
  <si>
    <t>VHO4938180</t>
  </si>
  <si>
    <t>Casa o Lote en Liniers 4 ambientes Terreno Propio</t>
  </si>
  <si>
    <t>Tonelero  al 7400</t>
  </si>
  <si>
    <t xml:space="preserve">Argentina | Capital Federal | Liniers </t>
  </si>
  <si>
    <t xml:space="preserve">libertador </t>
  </si>
  <si>
    <t>CHO6911420</t>
  </si>
  <si>
    <t>Casa en  Venta en Puertos del Lago.</t>
  </si>
  <si>
    <t>Barrio Puertos del lago - Vistas</t>
  </si>
  <si>
    <t>Argentina | G.B.A. Zona Norte | Escobar | Countries/B.Cerrado (Escobar) | Puertos del Lago | Vistas</t>
  </si>
  <si>
    <t>CPH6781658</t>
  </si>
  <si>
    <t>PH en Tablada Oportunidad 3 ambientes  Cochera  Cubierta Sin Expensas</t>
  </si>
  <si>
    <t>ALMIRANTE BROWN al 4500</t>
  </si>
  <si>
    <t>CAP6935298</t>
  </si>
  <si>
    <t>Departamento Monoambiente a ESTRENAR en 47 e/ 18 y 19 La Plata</t>
  </si>
  <si>
    <t>Departamento Monoambiente a ESTRENAR en 47 entre 18 y 19</t>
  </si>
  <si>
    <t>CPH5599179</t>
  </si>
  <si>
    <t>PH - Venta - 2 Ambientes - Luminoso - Patio - Monte Castro - Permuta - Apto Credito</t>
  </si>
  <si>
    <t>Calderon de la Barca 1400</t>
  </si>
  <si>
    <t>VAP7056675</t>
  </si>
  <si>
    <t>Departamento en venta de 3 dormitorios con cochera fija en Belgrano</t>
  </si>
  <si>
    <t>Aguilar  al 2400</t>
  </si>
  <si>
    <t>VAP6531767</t>
  </si>
  <si>
    <t>Departamento en  Venta 3 amb en Vicente López</t>
  </si>
  <si>
    <t>San Martin al 848</t>
  </si>
  <si>
    <t>JPH6987635</t>
  </si>
  <si>
    <t>PH 3 ambientes en venta SIN EXPENSAS SAN TELMO</t>
  </si>
  <si>
    <t>Carlos Calvo al 600</t>
  </si>
  <si>
    <t>CHO7100411</t>
  </si>
  <si>
    <t>Casa en  Las Heras</t>
  </si>
  <si>
    <t>3 de febrero  al 500</t>
  </si>
  <si>
    <t xml:space="preserve">Argentina | Mendoza | Las Heras </t>
  </si>
  <si>
    <t>leiva</t>
  </si>
  <si>
    <t>CPH6307049</t>
  </si>
  <si>
    <t>Venta Casa 3 ambientes 48m2 amoblada Cordones de Chapelco, San Martin de Los andes</t>
  </si>
  <si>
    <t>Cerro de la Virgen al 1600</t>
  </si>
  <si>
    <t>CAP7031056</t>
  </si>
  <si>
    <t>VENTA Monoambiente 22m2 Baulera y Amenities, Álamos del Río Centro San Martin de los Andes</t>
  </si>
  <si>
    <t>Sarmiento al 300</t>
  </si>
  <si>
    <t>CHO6915422</t>
  </si>
  <si>
    <t>Venta/Casa/5- Amb/Soldati/Terraza/Patio/Cochera/Permuta</t>
  </si>
  <si>
    <t>Beron de Astrada 2100</t>
  </si>
  <si>
    <t xml:space="preserve">Argentina | Capital Federal | Villa Soldati </t>
  </si>
  <si>
    <t>CAP6957306</t>
  </si>
  <si>
    <t>Venta de Departamento 3 ambientes con terraza Villa Urquiza</t>
  </si>
  <si>
    <t>Altolaguirre  al 2700</t>
  </si>
  <si>
    <t>CHO5798626</t>
  </si>
  <si>
    <t xml:space="preserve">Casa en  Venta . Villa Regina </t>
  </si>
  <si>
    <t>Los olmos  al 1400</t>
  </si>
  <si>
    <t>Argentina | Rio Negro | General Roca | Villa Regina</t>
  </si>
  <si>
    <t>Bruselas 511</t>
  </si>
  <si>
    <t>CPH7038072</t>
  </si>
  <si>
    <t>PH en  VILLA URQUIZA A RECICLAR en Venta</t>
  </si>
  <si>
    <t>CULLEN  al 5500</t>
  </si>
  <si>
    <t>CAP6380790</t>
  </si>
  <si>
    <t>VENTA DEPARTAMENTO 3 AMBIENTES EN MONSERRAT CAPITAL FEDERAL</t>
  </si>
  <si>
    <t>Avenida Belgrano al 1600</t>
  </si>
  <si>
    <t>VAP6158713</t>
  </si>
  <si>
    <t>Departamento venta 1 dormitorio - Nuñez - bajas expensas</t>
  </si>
  <si>
    <t>Vuelta de Obligado al 4000</t>
  </si>
  <si>
    <t>CAP6612463</t>
  </si>
  <si>
    <t>Departamento 3 Ambientes Muy luminoso  en Paternal</t>
  </si>
  <si>
    <t>Magariños Cervantes  al 1800</t>
  </si>
  <si>
    <t>CHO6956087</t>
  </si>
  <si>
    <t>Casa en  Via Aurelia</t>
  </si>
  <si>
    <t>mza 16  18</t>
  </si>
  <si>
    <t>CAP7089014</t>
  </si>
  <si>
    <t>Departamento en  VENTA 2 AMB en Barrancas Belgrano</t>
  </si>
  <si>
    <t>3 de Febrero Belgrano</t>
  </si>
  <si>
    <t>Reserva Marianela Dpto Campichuelo 690 Abres</t>
  </si>
  <si>
    <t>CAP6962967</t>
  </si>
  <si>
    <t>Departamento en Villa Pueyrredon 3 Amb. al Frente con Balcon - "RETASADO"</t>
  </si>
  <si>
    <t>GABRIELA MISTRAL  al 3100</t>
  </si>
  <si>
    <t>CHO6730568</t>
  </si>
  <si>
    <t>Casa en Villa Crespo  LOTE  OPORTUNIDAD PATERNAL 7 PISOS 2 RETIROS CANJE POR METROS</t>
  </si>
  <si>
    <t>ROJAS al 1800</t>
  </si>
  <si>
    <t>CAP7176434</t>
  </si>
  <si>
    <t xml:space="preserve">Venta - Departamento - 1 Amb - Floresta - Apto Credito </t>
  </si>
  <si>
    <t>Juan B Justo 7200</t>
  </si>
  <si>
    <t>CHO6867752</t>
  </si>
  <si>
    <t>Casa en  Ciudad Del Milagro</t>
  </si>
  <si>
    <t>Ciudad Del Milagro</t>
  </si>
  <si>
    <t>N/C - PERON 1671</t>
  </si>
  <si>
    <t>VENTA DPTO 3 AMB SAN NICOLAS</t>
  </si>
  <si>
    <t>Tte. Gral. Juan Domingo Perón 1671</t>
  </si>
  <si>
    <t>CAP6799833</t>
  </si>
  <si>
    <t>VENTA Muy luminoso departamento de 3 ambientes en Monserrat</t>
  </si>
  <si>
    <t>Virrey Cevallos  al 400</t>
  </si>
  <si>
    <t>CAP6653096</t>
  </si>
  <si>
    <t>Departamento 4 amb en Venta en Villa Adelina</t>
  </si>
  <si>
    <t>Venezuela  al 3100</t>
  </si>
  <si>
    <t>Argentina | G.B.A. Zona Norte | Vicente López | Villa Martelli</t>
  </si>
  <si>
    <t>CPH6701257</t>
  </si>
  <si>
    <t>VENTA PH TIPO CASA 3 AMBIENTES 2 BAÑOS MORON CENTRO</t>
  </si>
  <si>
    <t>Luis María Campos al 600</t>
  </si>
  <si>
    <t>CHO6812702</t>
  </si>
  <si>
    <t>casa, venta, temperley, lomas de zamora, patio, jardin, fondo, 3 ambientes</t>
  </si>
  <si>
    <t>JACINTO ROSSO al 500</t>
  </si>
  <si>
    <t>Argentina | G.B.A. Zona Sur | Lomas De Zamora (Partido) | Temperley | Temperley Este</t>
  </si>
  <si>
    <t>VAP6893024</t>
  </si>
  <si>
    <t>APTO CREDITO Departamento 2 ambientes, Pilar</t>
  </si>
  <si>
    <t>La Candela, Champangnat  al 1600</t>
  </si>
  <si>
    <t>CHO6734847</t>
  </si>
  <si>
    <t>Casa en  Zabala 342</t>
  </si>
  <si>
    <t>Zabala al 300</t>
  </si>
  <si>
    <t>Sitio de Montevideo 1742 - Leo Maroni - Remax Power</t>
  </si>
  <si>
    <t>Sitio de Montevideo 1742</t>
  </si>
  <si>
    <t>Impactante departamento reciclado de 2 ambientes en Recoleta</t>
  </si>
  <si>
    <t>Av. Callao 2075</t>
  </si>
  <si>
    <t xml:space="preserve">Casa en venta Ayes Plaza 6 ambientes </t>
  </si>
  <si>
    <t>CAP7024624</t>
  </si>
  <si>
    <t>Venta PH 3 Ambientes en Lanus</t>
  </si>
  <si>
    <t>Del Valle Iberlucea  al 3300</t>
  </si>
  <si>
    <t>CLA5612385</t>
  </si>
  <si>
    <t>Terreno en  venta 628 m2 Barrio Don Orione Bariloche</t>
  </si>
  <si>
    <t>Don Orione, San Carlos de Bariloche</t>
  </si>
  <si>
    <t>Argentina | Rio Negro | Bariloche | San Carlos De Bariloche | Villa Don Orione</t>
  </si>
  <si>
    <t>Depto Castelli 256</t>
  </si>
  <si>
    <t>Castelli 256</t>
  </si>
  <si>
    <t>Reserva Mirko Trato Directo Dpto vicealmirante O'Conno3 651</t>
  </si>
  <si>
    <t>JAP5069265</t>
  </si>
  <si>
    <t>Venta Departamento  3 ambientes Saavedra Vista Panorámica</t>
  </si>
  <si>
    <t>Av. Ricardo Balbin  al 4500</t>
  </si>
  <si>
    <t>CAP6708757</t>
  </si>
  <si>
    <t>Venta Departamento 3 Ambientes con Terraza y Balcón en Caballito</t>
  </si>
  <si>
    <t>Nicasio Oroño al 50</t>
  </si>
  <si>
    <t>CHO6780971</t>
  </si>
  <si>
    <t>Casa en San Sebastian</t>
  </si>
  <si>
    <t>Oportunidad! Casa San Sebastian Área 13</t>
  </si>
  <si>
    <t>CAP7046566</t>
  </si>
  <si>
    <t>VENTA DEPARTAMENTO 2 AMBIENTES - APTO CREDITO EN PALERMO</t>
  </si>
  <si>
    <t>Pasaje San Benito de Palermo al 1600</t>
  </si>
  <si>
    <t>CAP7024408</t>
  </si>
  <si>
    <t>Venta Departamento 2 ambientes en Florida</t>
  </si>
  <si>
    <t>Vergara  al 2200</t>
  </si>
  <si>
    <t>op 156</t>
  </si>
  <si>
    <t>Parera 68</t>
  </si>
  <si>
    <t>parera 65</t>
  </si>
  <si>
    <t>SANCHEZ DE BUSTAMANTE</t>
  </si>
  <si>
    <t xml:space="preserve">DEPARTAMENTO SANCHEZ DE BUSTAMANTE </t>
  </si>
  <si>
    <t xml:space="preserve">SANCHEZ DE BUSTAMANTE </t>
  </si>
  <si>
    <t>CAP6516567</t>
  </si>
  <si>
    <t>Venta departamento 4 ambientes en  Belgrano 2 cocheras Parrilla Triplex Dependencia OPORTUNIDAD</t>
  </si>
  <si>
    <t>Montañeses al 2300</t>
  </si>
  <si>
    <t>beiro</t>
  </si>
  <si>
    <t>CAP7060605</t>
  </si>
  <si>
    <t>Departamento de dos dormitorios y balcón al frente en Av. Vicente López | QUILMES</t>
  </si>
  <si>
    <t>Av. Vicente López E/ Tucumán y José María Sánchez</t>
  </si>
  <si>
    <t>CAP7025603</t>
  </si>
  <si>
    <t>Venta monoambiente a estrenar amenities de categoria (Belgrano)</t>
  </si>
  <si>
    <t>Cramer  al 2500 9°</t>
  </si>
  <si>
    <t>Azcuenaga 1064 7A</t>
  </si>
  <si>
    <t>KHO3877339</t>
  </si>
  <si>
    <t>Casa en Venta de 3 dormitorios con quincho y pile  Gorina</t>
  </si>
  <si>
    <t>Calle 135 bis e/ Diag. 9 y 482, Gonnet - CASA EN VENTA</t>
  </si>
  <si>
    <t>Argentina | G.B.A. Zona Sur | La Plata | Joaquin Gorina</t>
  </si>
  <si>
    <t>81Stella</t>
  </si>
  <si>
    <t>Hectarea en Ruta 1</t>
  </si>
  <si>
    <t>Corondaes 5600</t>
  </si>
  <si>
    <t>Argentina | Santa Fe | La Capital | San Jose Del Rincon | Ubajay</t>
  </si>
  <si>
    <t>Bernardo Yrigoyen 573</t>
  </si>
  <si>
    <t xml:space="preserve">Argentina | G.B.A. Zona Sur | Quilmes </t>
  </si>
  <si>
    <t>CHO6772380</t>
  </si>
  <si>
    <t>Casa en Caballito Norte</t>
  </si>
  <si>
    <t>Belaustegui al 1600</t>
  </si>
  <si>
    <t>CPH4257624</t>
  </si>
  <si>
    <t>PH - Candioti Norte</t>
  </si>
  <si>
    <t>CASA AL FRENTE  en venta 4 dormitorios y terraza, zona Candiotti Norte</t>
  </si>
  <si>
    <t>CAP3743973</t>
  </si>
  <si>
    <t>Venta Depto Premium UF102 en Pozo "Casa Grande" Bv. Quetrihue 338 Villa La Angostura - Costa de Lago</t>
  </si>
  <si>
    <t>Bv.  Quetrihue 338, Villa La Angostura</t>
  </si>
  <si>
    <t xml:space="preserve">Reserva Venta casa Lago Mascardi 251 </t>
  </si>
  <si>
    <t>CHO6901670</t>
  </si>
  <si>
    <t>Casa en Las Paredes</t>
  </si>
  <si>
    <t>Bentos y Sarmiento</t>
  </si>
  <si>
    <t>CAP7303870</t>
  </si>
  <si>
    <t>Monoambiente en venta calle Constitución 1950 B San Cristóbal</t>
  </si>
  <si>
    <t>CHO6904199</t>
  </si>
  <si>
    <t>Casa en Venta calle 15 e 671 y 672 P.Sicardi, La Plata</t>
  </si>
  <si>
    <t>15 entre 671 y 672 Parque Sicardi, La Plata</t>
  </si>
  <si>
    <t>Argentina | G.B.A. Zona Sur | La Plata | Villa Parque Sicardi</t>
  </si>
  <si>
    <t>COB62330 OF7095791</t>
  </si>
  <si>
    <t>Oficina en  Meet Pilar</t>
  </si>
  <si>
    <t>Oficina en Meet Pilar</t>
  </si>
  <si>
    <t>CAP5098578</t>
  </si>
  <si>
    <t>Depto en Venta 3 ambientes c/ dependencia !! OPORTUNIDAD</t>
  </si>
  <si>
    <t>Sarmiento al 2600</t>
  </si>
  <si>
    <t>VAP6594622</t>
  </si>
  <si>
    <t>Venta departamento 3 ambientes Colegiales.  Bajas expensas</t>
  </si>
  <si>
    <t>Av. Elcano  al 3600</t>
  </si>
  <si>
    <t>CAP5982566</t>
  </si>
  <si>
    <t>Departamento céntrico 2 ambientes con cochera Bariloche</t>
  </si>
  <si>
    <t>Centro, Bariloche</t>
  </si>
  <si>
    <t>CASA LOTE 333 CRUZ DEL SUR</t>
  </si>
  <si>
    <t>Casa Venta Cruz del Sur 333</t>
  </si>
  <si>
    <t>Las Amapolas 455</t>
  </si>
  <si>
    <t>Departamaneto en venta Vilahaus 4 ambientes</t>
  </si>
  <si>
    <t>Las amapolas 455 -pilar</t>
  </si>
  <si>
    <t>CCS7118993</t>
  </si>
  <si>
    <t>EXCELENTE CAMPO AGRICOLA EN BUSTINZA-SANTA FE</t>
  </si>
  <si>
    <t>BUSTINZA-DEPTO IRIONDO-SANTA FE</t>
  </si>
  <si>
    <t>Argentina | Santa Fe | Iriondo | Bustinza</t>
  </si>
  <si>
    <t>Campo</t>
  </si>
  <si>
    <t>CAP7166417</t>
  </si>
  <si>
    <t>Departamento de 1 dormitorio en 45 e/ 19 y 20, La Plata</t>
  </si>
  <si>
    <t>45 e/ 19 y 20</t>
  </si>
  <si>
    <t>bouchard 3273</t>
  </si>
  <si>
    <t>bouchard 3273 vte lopez</t>
  </si>
  <si>
    <t>bouchard 3273 olivos</t>
  </si>
  <si>
    <t>CLO7062908</t>
  </si>
  <si>
    <t>¡Muy buen local en Olivos, para aprovechar!</t>
  </si>
  <si>
    <t>Bouchard al 3200</t>
  </si>
  <si>
    <t>Venta monoambiente en Monserrat</t>
  </si>
  <si>
    <t>Av. Belgrano 1256 3° "F" CABA</t>
  </si>
  <si>
    <t>CAP6906335</t>
  </si>
  <si>
    <t>Venta departamento 2 amb, cochera y amenities CABALLITO</t>
  </si>
  <si>
    <t>Juan Bautista Alberdi  al 1500</t>
  </si>
  <si>
    <t>CLO7055327</t>
  </si>
  <si>
    <t>¡Gran PH de 4 ambientes en inmejorable ubicación de Olivos - Vicente López!</t>
  </si>
  <si>
    <t>CHO6750277</t>
  </si>
  <si>
    <t>DUPLEX MAR BALTICO 495 RINCON DE EMILIO</t>
  </si>
  <si>
    <t>MAR BALTICO 495 RINCON DE EM ILIO</t>
  </si>
  <si>
    <t>Argentina | Neuquen | Capital | Rincón de Emilio</t>
  </si>
  <si>
    <t>CAP6804669</t>
  </si>
  <si>
    <t>ESPECTACULAR 2 AMBIENTES EN VILLA URQUIZA, EDIFICIO LYNN. PISO ALTO, BALCÓN ATERRAZADO, DORMITORIO EN SUITE CON VESTIDOR Y BAÑO CON BAÑADERA   TOILLETE   SUM   PILETA.</t>
  </si>
  <si>
    <t xml:space="preserve">Juramento  al 5000 - </t>
  </si>
  <si>
    <t>CAP6829249</t>
  </si>
  <si>
    <t xml:space="preserve">Venta Dpto 2 ambientes a Estrenar </t>
  </si>
  <si>
    <t>Paraguay al 2800</t>
  </si>
  <si>
    <t>Reserva Gus Mike Fede Ghiglione, Dpto España y Libertad UF207 C. 13</t>
  </si>
  <si>
    <t>CAP2653770</t>
  </si>
  <si>
    <t>Depto. en Palermo Chico!  Cochera. Impecable! Oportunidad</t>
  </si>
  <si>
    <t xml:space="preserve">Lafinur 3300 </t>
  </si>
  <si>
    <t>OP 170</t>
  </si>
  <si>
    <t>thames 56 213</t>
  </si>
  <si>
    <t>CHO6893769</t>
  </si>
  <si>
    <t>Casa en venta España Al 2300</t>
  </si>
  <si>
    <t>España al 2300</t>
  </si>
  <si>
    <t>Argentina | Salta | Capital | Salta | Zona Oeste</t>
  </si>
  <si>
    <t>UF 76 y UC 57  asignada como cochera y baulera + inventario Av. 7 Lagos 95 en el COMPLEJO PATAGONIA, nomenclatura catastral lote madre: 16-20-0624-969-0000</t>
  </si>
  <si>
    <t>Av. 7 lagos 95</t>
  </si>
  <si>
    <t>CPH6853381</t>
  </si>
  <si>
    <t>PH tipo Casa en Venta en Versalles</t>
  </si>
  <si>
    <t>Irigoyen  al 1800</t>
  </si>
  <si>
    <t>Santiago Tarsitano</t>
  </si>
  <si>
    <t>Departamento 8 esq 58</t>
  </si>
  <si>
    <t>calle 8 esquina 58</t>
  </si>
  <si>
    <t>CHO6971036</t>
  </si>
  <si>
    <t>Venta  Casa de 7 ambientes Apto crédito en Pacheco Sur</t>
  </si>
  <si>
    <t>Aguado  al 300</t>
  </si>
  <si>
    <t>Argentina | G.B.A. Zona Norte | Tigre | General Pacheco</t>
  </si>
  <si>
    <t>COF6930889</t>
  </si>
  <si>
    <t>VENTA OFICINA NUÑEZ - PREMIUM , PICO Y AV. DEL LIBERTADOR, BARRIO NUÑEZ - CIUDAD DE BUENOS AIRES</t>
  </si>
  <si>
    <t xml:space="preserve">Pico 1600 y Av.  Del Libertador, Nuñez , CABA, Argentina </t>
  </si>
  <si>
    <t>VOT59732 LA6522271</t>
  </si>
  <si>
    <t>Terreno en  Barrio Abierto Los Jilgueros El Cazador Escobar</t>
  </si>
  <si>
    <t>JAP7037135</t>
  </si>
  <si>
    <t>VENTA Depto 2 amb con balcón en Villa del Parque</t>
  </si>
  <si>
    <t>Baigorria al 2500</t>
  </si>
  <si>
    <t>CAP6827748</t>
  </si>
  <si>
    <t>Venta departamento 2 ambientes balcón aterrazado Almagro</t>
  </si>
  <si>
    <t>Avenida Independencia  al 3700</t>
  </si>
  <si>
    <t>alcaraz</t>
  </si>
  <si>
    <t>CAP7099180</t>
  </si>
  <si>
    <t>Venta Departamento 3 Ambientes, Dependencia y Cochera en Bahia Grande Nordelta, Puerto Escondido</t>
  </si>
  <si>
    <t>JAP6886546</t>
  </si>
  <si>
    <t>Venta Departamento Tres ambientes Ayres de San Isidro</t>
  </si>
  <si>
    <t>Roque Saenz Peña al 100</t>
  </si>
  <si>
    <t>CAP6751879</t>
  </si>
  <si>
    <t>Venta Departamento 4 Ambientes piso alto con imperdible vista en Belgrano C</t>
  </si>
  <si>
    <t>MIGUELETES AL 1600</t>
  </si>
  <si>
    <t>CPH6697568</t>
  </si>
  <si>
    <t>Casa tipo PH Gonnet 505 e 19 y Cno Gral Belgrano Apto Banco</t>
  </si>
  <si>
    <t>Casa tipo PH en venta dentro de barrio cerrado en Gonnet calle 505 e/ 19 y Camino General Belgrano  Apto Banco</t>
  </si>
  <si>
    <t>CAP6617842</t>
  </si>
  <si>
    <t>Venta Departamento 2 Ambientes con seguridad 24hs en Palermo</t>
  </si>
  <si>
    <t>Mansilla al 2500</t>
  </si>
  <si>
    <t>CHO4004184</t>
  </si>
  <si>
    <t>Casa - La Capital</t>
  </si>
  <si>
    <t>Goyena al 3300</t>
  </si>
  <si>
    <t>Argentina | Santa Fe | La Capital | Santa Fe | Ciudadela</t>
  </si>
  <si>
    <t>CPH7102365</t>
  </si>
  <si>
    <t>PH en  Urquiza con patio.</t>
  </si>
  <si>
    <t>Lugones  al 3200</t>
  </si>
  <si>
    <t>CAP6640459</t>
  </si>
  <si>
    <t>Departamento de 4 ambientes en venta con cochera</t>
  </si>
  <si>
    <t>Irigoyen  al 1900</t>
  </si>
  <si>
    <t>CLA7236181</t>
  </si>
  <si>
    <t xml:space="preserve">Gran Lote en Venta - Barrio Santa Ana </t>
  </si>
  <si>
    <t>Barrio Santa Ana - Arribeños  al 1600</t>
  </si>
  <si>
    <t>CHO7203671</t>
  </si>
  <si>
    <t>Casa en Venta - 3 Ambientes en Santa Isabel</t>
  </si>
  <si>
    <t>CAP7214043</t>
  </si>
  <si>
    <t>Departamento en Venta de 1 dormitorio en 46 entre 13 y 14  en La Plata</t>
  </si>
  <si>
    <t>CLA7090806</t>
  </si>
  <si>
    <t>Terreno en venta ubicado en La Verbena - Salta</t>
  </si>
  <si>
    <t xml:space="preserve">La Verbena Calle 8 </t>
  </si>
  <si>
    <t>CHO6718630</t>
  </si>
  <si>
    <t>Casa de dos dormitorios y patio a metros de Av. Galicia.</t>
  </si>
  <si>
    <t>A. Boneo al 1500</t>
  </si>
  <si>
    <t>Argentina | Santa Fe | La Capital | Santa Fe | Guadalupe oeste</t>
  </si>
  <si>
    <t>85Stella</t>
  </si>
  <si>
    <t>Dpto  tres dormitorios</t>
  </si>
  <si>
    <t>Castelli 2300</t>
  </si>
  <si>
    <t>CAP6942708</t>
  </si>
  <si>
    <t>Venta Dpto 2 Ambientes Balcón Villa del Parque Permuta</t>
  </si>
  <si>
    <t>Bolivia 3000</t>
  </si>
  <si>
    <t>CAP7232048</t>
  </si>
  <si>
    <t>Departamento en venta - 1 dormitorio CON COCHERA en 38 e/ 15 y 16, La Plata</t>
  </si>
  <si>
    <t>38 e/ 15 y 16 La Plata</t>
  </si>
  <si>
    <t>CAP6849243</t>
  </si>
  <si>
    <t>Venta Departamento 3 ambientes totalmente reciclado en Recoleta</t>
  </si>
  <si>
    <t>Agüero  al 1400</t>
  </si>
  <si>
    <t>CAP7047556</t>
  </si>
  <si>
    <t>VENTA DEPARTAMENTO 4 AMBIENTES EN CABALLITO</t>
  </si>
  <si>
    <t>RIVADAVIA al 5900</t>
  </si>
  <si>
    <t>CHO6573371</t>
  </si>
  <si>
    <t>Casa  4 ambientes en  Venta en San Sebastian Area 1 con Jardin y Pileta</t>
  </si>
  <si>
    <t xml:space="preserve">San Sebastian Area 1 </t>
  </si>
  <si>
    <t>CPH7104236</t>
  </si>
  <si>
    <t>PH Reciclado a Nuevo con Terraza Propia en pleno Recoleta</t>
  </si>
  <si>
    <t>Juncal  al 2900</t>
  </si>
  <si>
    <t>CAP6989208</t>
  </si>
  <si>
    <t>Departamento en  Belgrano. 3 Dormitorios. Reciclado a nuevo</t>
  </si>
  <si>
    <t>Moldes al 1900</t>
  </si>
  <si>
    <t>CAP6857435</t>
  </si>
  <si>
    <t>venta de departamento 4 ambientes en caballito</t>
  </si>
  <si>
    <t>valle al 800</t>
  </si>
  <si>
    <t>CAP7119854</t>
  </si>
  <si>
    <t>Venta Departamento 3 Habitaciones, 5 ambientes con 2 dependencias 3 baños y lavadero en Recoleta</t>
  </si>
  <si>
    <t xml:space="preserve">Posadas 1120 -22A- </t>
  </si>
  <si>
    <t>River View</t>
  </si>
  <si>
    <t>Manuela Saenz 446</t>
  </si>
  <si>
    <t>86Nestor</t>
  </si>
  <si>
    <t>Casa en Alberti</t>
  </si>
  <si>
    <t>Alberti2304</t>
  </si>
  <si>
    <t>VAP6047632</t>
  </si>
  <si>
    <t>Venta Monoambiente con Balcón en Palermo Soho, Amenities. A estrenar</t>
  </si>
  <si>
    <t>Fray Justo SM de Oro al 2300</t>
  </si>
  <si>
    <t>JPH6712888</t>
  </si>
  <si>
    <t>PH - 3 AMBIENTES - TERRAZA - PATERNAL - PATIO</t>
  </si>
  <si>
    <t>Alvarez Jonte  al 2400</t>
  </si>
  <si>
    <t>CAP7179392</t>
  </si>
  <si>
    <t>VENTA DEPARTAMENTO 2 AMB PALERMO HOLLYWOOD AMOBLADO C/ PATIO GRANDE</t>
  </si>
  <si>
    <t>NICARAGUA  al 6000</t>
  </si>
  <si>
    <t>CLA6894171</t>
  </si>
  <si>
    <t>GALPÓN en 41 e/ 25 y 26</t>
  </si>
  <si>
    <t>CHO6906264</t>
  </si>
  <si>
    <t>Casa en  enta, Barrio Vista Barda, Av Viterbori, Gral Roca</t>
  </si>
  <si>
    <t>Casa en Venta, Av. Viterbori Barrio Vista Barda, Gral Roca</t>
  </si>
  <si>
    <t xml:space="preserve">Argentina | Rio Negro | General Roca </t>
  </si>
  <si>
    <t>VHO6825953</t>
  </si>
  <si>
    <t>Casa en  venta en Colegiales. Esquina</t>
  </si>
  <si>
    <t>Amenabar 1000</t>
  </si>
  <si>
    <t>CLA7014600</t>
  </si>
  <si>
    <t>Terreno en  venta Grand Bourg</t>
  </si>
  <si>
    <t>Mirador Oeste</t>
  </si>
  <si>
    <t>CAP4500966</t>
  </si>
  <si>
    <t>Departamento - Candioti Norte</t>
  </si>
  <si>
    <t>Domingo Silva al 1350 Piso 6 Dpto 1</t>
  </si>
  <si>
    <t>CAP7016044</t>
  </si>
  <si>
    <t xml:space="preserve">MODERNO  MONOAMBIENTE CON AMENITIES EN CABALLITO </t>
  </si>
  <si>
    <t>Juan B. Alberdi al 1600</t>
  </si>
  <si>
    <t>CHO7033975</t>
  </si>
  <si>
    <t>Casa en Guadalupe oeste con gran terreno</t>
  </si>
  <si>
    <t>Propiedad con doble vivienda, terreno de grandes dimensiones y todos los servicios, en Guadalupe</t>
  </si>
  <si>
    <t>CAP6760187</t>
  </si>
  <si>
    <t>Venta Departamento en  Villa Urquiza, 3 ambientes con balcón y cochera</t>
  </si>
  <si>
    <t>Lugones al 2600</t>
  </si>
  <si>
    <t>CAP6252872</t>
  </si>
  <si>
    <t>VENTA DEPARTAMENTO 3 AMBIENTES A ESTRENAR CON COHERA FIJA EN SAAVEDRA</t>
  </si>
  <si>
    <t>Garcia del rio  al 3800</t>
  </si>
  <si>
    <t>CLA6668228</t>
  </si>
  <si>
    <t>Venta Lote 4.283 m² C/vista Parcial de Lago, Zona Puerto, Villa La Angostura</t>
  </si>
  <si>
    <t>Virgen de la Asunción</t>
  </si>
  <si>
    <t>CAP7020570</t>
  </si>
  <si>
    <t>Venta Departamento en  2 ambientes con balcon Recoleta</t>
  </si>
  <si>
    <t>Las Heras al 1800</t>
  </si>
  <si>
    <t>PH en Venta en Caseros</t>
  </si>
  <si>
    <t>PH de 3 ambientes en Venta en Caseros</t>
  </si>
  <si>
    <t>Mitre 5965</t>
  </si>
  <si>
    <t>CAP6585185</t>
  </si>
  <si>
    <t>VENTA DEPARTAMENTO 2 AMBIENTES - PALERMO HOLLYWOOD</t>
  </si>
  <si>
    <t xml:space="preserve">Paraguay 5200 </t>
  </si>
  <si>
    <t>82Maricel</t>
  </si>
  <si>
    <t>Casa en colastine Norte</t>
  </si>
  <si>
    <t>Ruta 1 km 4</t>
  </si>
  <si>
    <t>CAP6745526</t>
  </si>
  <si>
    <t>Venta Departamento 2 amb. C/ Patio 52m2 Recoleta Airbnb</t>
  </si>
  <si>
    <t>Las Heras al 2000</t>
  </si>
  <si>
    <t>Casa Alsina 1651</t>
  </si>
  <si>
    <t>Alsina 1651</t>
  </si>
  <si>
    <t>AHO5850345</t>
  </si>
  <si>
    <t>Excelente Chalet de Estilo en Banfield</t>
  </si>
  <si>
    <t>Serrano 1257</t>
  </si>
  <si>
    <t>CRISOLOGO LARRALDE 3609</t>
  </si>
  <si>
    <t>VHO3642457</t>
  </si>
  <si>
    <t>Venta  Muy linda Casa - Bella Vista - APTO CREDITO</t>
  </si>
  <si>
    <t>MISIONES al 900</t>
  </si>
  <si>
    <t>Argentina | G.B.A. Zona Norte | San Miguel | Bella Vista</t>
  </si>
  <si>
    <t>Virrey Aviles 2985 - Guillermina Pico - Marimo Propiedades</t>
  </si>
  <si>
    <t xml:space="preserve">Virrey Aviles 2985 </t>
  </si>
  <si>
    <t>CAP6910178</t>
  </si>
  <si>
    <t>DEPARTAMENTO DUPLEX   EN VENTA  - CENTRO ADROGUE</t>
  </si>
  <si>
    <t>Roca al 500</t>
  </si>
  <si>
    <t>CPH6487462</t>
  </si>
  <si>
    <t>Venta PH en Villa Pueyrredón Frente -Jardin -Cochera - Patio- Terraza -Quincho -Parrilla</t>
  </si>
  <si>
    <t>Gabriela Mistral 3200</t>
  </si>
  <si>
    <t>CAP6642818</t>
  </si>
  <si>
    <t>Dpto. en venta - 2 ambientes en Nuñez con Cochera - Apto Credito</t>
  </si>
  <si>
    <t>Departamento en venta - 2 ambientes en Nuñez con Cochera Apto Credito</t>
  </si>
  <si>
    <t xml:space="preserve">Avellaneda 30 </t>
  </si>
  <si>
    <t>CAP4196765</t>
  </si>
  <si>
    <t>Monoambiente en Barrio La Plaza con Jardín - en pozo - financiados - Bariloche - Patagonia</t>
  </si>
  <si>
    <t>Rolando y 258</t>
  </si>
  <si>
    <t>CBU59833 AP7179989</t>
  </si>
  <si>
    <t>VENTA DEPARTAMENTO MONOAMBIENTE EN POZO SAAVEDRA</t>
  </si>
  <si>
    <t>Pinto  al 4200</t>
  </si>
  <si>
    <t>3 de febrero</t>
  </si>
  <si>
    <t>CPN60269 AP6756234</t>
  </si>
  <si>
    <t>Departamento en Lagoon Pilar</t>
  </si>
  <si>
    <t xml:space="preserve">Venta-Depto 2 amb Lagoon Pilar </t>
  </si>
  <si>
    <t>Carlos Calvo</t>
  </si>
  <si>
    <t>CAP6607622</t>
  </si>
  <si>
    <t>Venta Departamento Un Dormitorio Neuquén Capital</t>
  </si>
  <si>
    <t>San Juan al 800</t>
  </si>
  <si>
    <t>JPH7191728</t>
  </si>
  <si>
    <t>RESERVADA!! Oportunidad ph 4 ambientes con patio</t>
  </si>
  <si>
    <t>Hipolito Yrigoyen  al 1100</t>
  </si>
  <si>
    <t>CAP7027480</t>
  </si>
  <si>
    <t>Venta excelente semi piso 3/4 amb BARRANCAS DE BELGRANO</t>
  </si>
  <si>
    <t>Jose Hernandez  al 1900</t>
  </si>
  <si>
    <t>CHO7006377</t>
  </si>
  <si>
    <t>VENTA CASA EN VOLCAN</t>
  </si>
  <si>
    <t>Mariano Moreno  al 100</t>
  </si>
  <si>
    <t xml:space="preserve">Argentina | Jujuy | Tumbaya </t>
  </si>
  <si>
    <t>Aquino 5454</t>
  </si>
  <si>
    <t>CAP6587404</t>
  </si>
  <si>
    <t>Departamento en San Nicolás</t>
  </si>
  <si>
    <t>Parana al 800</t>
  </si>
  <si>
    <t>VAP6995840</t>
  </si>
  <si>
    <t>Venta Departamento Mono ambiente amplio con Jardín en Caballito</t>
  </si>
  <si>
    <t>Terreno Confluencia Manu- Monica</t>
  </si>
  <si>
    <t>Terreno Confluencia Manu - Monica</t>
  </si>
  <si>
    <t>CAP7166074</t>
  </si>
  <si>
    <t>Venta departamento 2 ambientes patio reciclado a nuevo Palermo</t>
  </si>
  <si>
    <t>Godoy Cruz 2800</t>
  </si>
  <si>
    <t>CAP4449603</t>
  </si>
  <si>
    <t>VENTA Departamento 2 amb 44 m2 céntrico calidad premium Diagonales UF1 El Once Villa la Angostura</t>
  </si>
  <si>
    <t>Millaqueo Y Michay, Villa la Angostura</t>
  </si>
  <si>
    <t>CAP7026206</t>
  </si>
  <si>
    <t>VENTA DE DEPARTAMENTO 2 AMBIENTES PADUA CENTRO</t>
  </si>
  <si>
    <t>ITALIA  al 1000</t>
  </si>
  <si>
    <t>Argentina | G.B.A. Zona Oeste | Merlo | San Antonio De Padua</t>
  </si>
  <si>
    <t>CPH6849585</t>
  </si>
  <si>
    <t>Venta PH en Parque Avellaneda patio y terraza</t>
  </si>
  <si>
    <t>Zuviria al 3900</t>
  </si>
  <si>
    <t>CAP7226328</t>
  </si>
  <si>
    <t>Departamento en Venta Monoambiente a estrenar</t>
  </si>
  <si>
    <t>Av Congreso al 4300</t>
  </si>
  <si>
    <t>CHO6655282</t>
  </si>
  <si>
    <t>Venta Casa 3 Ambientes en esquina de San Andres</t>
  </si>
  <si>
    <t>Corrientes al 3400</t>
  </si>
  <si>
    <t>Argentina | G.B.A. Zona Norte | General San Martin | San Andrés</t>
  </si>
  <si>
    <t>CAP6944513</t>
  </si>
  <si>
    <t>VENTA DEPARTAMENTO 3  AMBIENTES - CABALLITO</t>
  </si>
  <si>
    <t>Diaz Velez al 5500</t>
  </si>
  <si>
    <t>CAP6947930</t>
  </si>
  <si>
    <t xml:space="preserve">Departamento en  Venta </t>
  </si>
  <si>
    <t>ENTRE RIOS  DPTO 26 al 1000</t>
  </si>
  <si>
    <t>CHO6044495</t>
  </si>
  <si>
    <t>Casa 4amb quincho, parrilla, parque y doble cochera.  Actualizamos el Valor!  Apto Crédito.</t>
  </si>
  <si>
    <t>Acevedo 36</t>
  </si>
  <si>
    <t>PH en venta en Núñez</t>
  </si>
  <si>
    <t>Nuñez 4067 "9" CABA</t>
  </si>
  <si>
    <t>CAP6445275</t>
  </si>
  <si>
    <t>Venta departamento 3 ambientes con parrilla a estrenar apto credito en Munro</t>
  </si>
  <si>
    <t>Rastreador Fournier  al 3600</t>
  </si>
  <si>
    <t>Fournier 3629 1 E</t>
  </si>
  <si>
    <t>Billinghurst 1645 - Guillermina Pico - Sol Lorenzo</t>
  </si>
  <si>
    <t>Billinghurst 1645</t>
  </si>
  <si>
    <t>DAP5177138</t>
  </si>
  <si>
    <t>Venta -dos ambientes- balcon aterrazado -  cochera - amenities</t>
  </si>
  <si>
    <t>Av. Libertador  al 400</t>
  </si>
  <si>
    <t xml:space="preserve">Argentina | G.B.A. Zona Norte | San Fernando </t>
  </si>
  <si>
    <t>CAP7039916</t>
  </si>
  <si>
    <t>Departamento de 4 ambientes en Venta en Belgrano</t>
  </si>
  <si>
    <t>Luis María Campos al 1100</t>
  </si>
  <si>
    <t>CAP6967255</t>
  </si>
  <si>
    <t>Venta de Departamento Apto Crédito, tres ambientes en Quartier Nordelta. Tigre</t>
  </si>
  <si>
    <t>Argentina | G.B.A. Zona Norte | Tigre | Countries/B.Cerrado (Tigre) | Nordelta | Quartier</t>
  </si>
  <si>
    <t>CLA6528978</t>
  </si>
  <si>
    <t>VENTA Lote/Terreno 295,6 m2  Lomas del Correntoso, Villa La Angostura</t>
  </si>
  <si>
    <t>Del Radal  al 600</t>
  </si>
  <si>
    <t>CLO6651445</t>
  </si>
  <si>
    <t>VENTA Local Comercial 27.5m² UF1 Cordones de Chapelco San Martin de Los Andes</t>
  </si>
  <si>
    <t>Cerro La Virgen -  Cordones de Chapelco</t>
  </si>
  <si>
    <t>Charlone 1902</t>
  </si>
  <si>
    <t>COF6421901</t>
  </si>
  <si>
    <t>Departamento Monoambiente en  venta en San Martín Centro Apto Profesional</t>
  </si>
  <si>
    <t>Cochabamba al 2200</t>
  </si>
  <si>
    <t>CLO7028109</t>
  </si>
  <si>
    <t xml:space="preserve">Dúplex en Venta  </t>
  </si>
  <si>
    <t>Rene Favaloro</t>
  </si>
  <si>
    <t>CAP7044215</t>
  </si>
  <si>
    <t>VENTA DUPLEX 4 AMBIENTES 150m2, COCHERA, PASO DEL REY</t>
  </si>
  <si>
    <t>SOLDADO DERRICO al 1700</t>
  </si>
  <si>
    <t>CPH7061640</t>
  </si>
  <si>
    <t>Venta PH 4 Ambientes con terraza en Villa Santa Rita No Apto Credito</t>
  </si>
  <si>
    <t>Alejandro Magariños Cervantes al 3500</t>
  </si>
  <si>
    <t>CAP7064229</t>
  </si>
  <si>
    <t>Venta Departamento 2 ambientes en Villa Crespo</t>
  </si>
  <si>
    <t>Gurruchaga  al 600</t>
  </si>
  <si>
    <t>CHO6642413</t>
  </si>
  <si>
    <t>Casa en  CABO DE HORNOS 2065 VILLA FARRELL</t>
  </si>
  <si>
    <t>CABO DE HORNOS al 2065 VILLA FARRELL</t>
  </si>
  <si>
    <t>CHO6650693</t>
  </si>
  <si>
    <t>VENTA Casa UF4 Planta Alta 60 m² Lote 200m²  B° Cordones de Chapelco San Martín de los Andes</t>
  </si>
  <si>
    <t>Cerro de la Virgen</t>
  </si>
  <si>
    <t>CAP6105958</t>
  </si>
  <si>
    <t>Depto. 2 amb. con cochera en venta en Villa Santa Rita. Apto Credito!</t>
  </si>
  <si>
    <t>Juan Agustin Garcia al 2700</t>
  </si>
  <si>
    <t>CAP7179988</t>
  </si>
  <si>
    <t xml:space="preserve">VENTA MONOAMBIENTE EN COLEGIALES </t>
  </si>
  <si>
    <t xml:space="preserve">MOLDES 850 </t>
  </si>
  <si>
    <t>Duplex RinconLindo</t>
  </si>
  <si>
    <t>Alvarez Thomas 875 7 B</t>
  </si>
  <si>
    <t>CHO6929237</t>
  </si>
  <si>
    <t>TEJAS ROJAS, Casa en  Venta</t>
  </si>
  <si>
    <t>Tejas Rojas, Villa Farrel.</t>
  </si>
  <si>
    <t>CBU42019 AP6819581</t>
  </si>
  <si>
    <t>Departamento VENTA 2 ambientes vista al lago - Bariloche</t>
  </si>
  <si>
    <t>La Cumbre, San Carlos de Bariloche</t>
  </si>
  <si>
    <t>CHO7271613</t>
  </si>
  <si>
    <t>DUPLEX EN VENTA  MAR BALTICO 491</t>
  </si>
  <si>
    <t>MAR BALTICO  al 491</t>
  </si>
  <si>
    <t>CAP7093923</t>
  </si>
  <si>
    <t>VENTA DEPARTAMENTO 2 AMBIENTES EN PALERMO, PISO ALTO EN TORRE</t>
  </si>
  <si>
    <t>Charcas  al 4000</t>
  </si>
  <si>
    <t>N/C - ARENALES 1391</t>
  </si>
  <si>
    <t>VENTA DPTO 3 AMBIENTES RECOLETA</t>
  </si>
  <si>
    <t>ARENALES 1391</t>
  </si>
  <si>
    <t>Duplex Geral</t>
  </si>
  <si>
    <t>Duplex Geraldine</t>
  </si>
  <si>
    <t>MAIPU 3095 - Tizado Propiedades - Santiago Chiapella</t>
  </si>
  <si>
    <t>MAIPU 3095</t>
  </si>
  <si>
    <t>VAP6791195</t>
  </si>
  <si>
    <t>LUMINOSO Departamento 3 ambientes con balcón  ~ THE KIRI Nordelta, Puerto Escondido</t>
  </si>
  <si>
    <t>Av. del Puerto  al 600</t>
  </si>
  <si>
    <t>VHO6316636</t>
  </si>
  <si>
    <t>Venta Casa APTO CREDITO en San Francisco Manzanares Pilar</t>
  </si>
  <si>
    <t>Club de Campo San Francisco, Manzanares Pilar</t>
  </si>
  <si>
    <t>Argentina | G.B.A. Zona Norte | Pilar | Manzanares | Countries/B.Cerrado (Manzanares) | Club de Campo San Francisco</t>
  </si>
  <si>
    <t>CAP7032584</t>
  </si>
  <si>
    <t xml:space="preserve">Departamento 4 ambientes con cochera en Colegiales  </t>
  </si>
  <si>
    <t>Virrey Olaguer y Feliú  al 3100</t>
  </si>
  <si>
    <t>CHO7117745</t>
  </si>
  <si>
    <t>Casa en venta en Paternal con local independiente</t>
  </si>
  <si>
    <t xml:space="preserve">Terrero </t>
  </si>
  <si>
    <t>CCC57608 HO6242587</t>
  </si>
  <si>
    <t>Permuta/Venta - Casa 5 amb a estrenar - 1 Planta - 4 dormitorios - Altos de Campo Grande</t>
  </si>
  <si>
    <t>Argentina | G.B.A. Zona Norte | Pilar | Countries/B.Cerrado (Pilar) | Altos de Campo grande</t>
  </si>
  <si>
    <t>CAP7064252</t>
  </si>
  <si>
    <t>VENTA DEPARTAMENTO 6 AMBIENTES MAS DEPENDENCIA CON BALCÓN TERRAZA y COCHERA en BELGRANO</t>
  </si>
  <si>
    <t>Av Federico Lacroze al 2300</t>
  </si>
  <si>
    <t>CAP6636113</t>
  </si>
  <si>
    <t>Departamento en Monte Castro</t>
  </si>
  <si>
    <t>Sanabria al 1800</t>
  </si>
  <si>
    <t>CLA6523424</t>
  </si>
  <si>
    <t>LOTE ADROGUE, DOBLE LOTE, CASA A DEMOLER, TERRENO, INVERSION, CONSTRUCCION</t>
  </si>
  <si>
    <t>JORGE al 1300</t>
  </si>
  <si>
    <t>Acevedo 125</t>
  </si>
  <si>
    <t>Acevedo 125 PB</t>
  </si>
  <si>
    <t>CAP5356060</t>
  </si>
  <si>
    <t>Venta - Departamento - 2 Ambientes - A estrenar - Mataderos - Balcon</t>
  </si>
  <si>
    <t>Escalada 1060</t>
  </si>
  <si>
    <t>CLA6949249</t>
  </si>
  <si>
    <t>Venta, Terreno, Colegiales, Lote, belgrano</t>
  </si>
  <si>
    <t>Palpa  al 3100</t>
  </si>
  <si>
    <t>Luciana Ororbia 2</t>
  </si>
  <si>
    <t>Casa en  Gerli</t>
  </si>
  <si>
    <t>Casacuberta al 2000</t>
  </si>
  <si>
    <t>Argentina | G.B.A. Zona Sur | Avellaneda | Gerli</t>
  </si>
  <si>
    <t>APH6868343</t>
  </si>
  <si>
    <t>PH 5 ambientes en Flores</t>
  </si>
  <si>
    <t>Varela al 600</t>
  </si>
  <si>
    <t>CHO6331795</t>
  </si>
  <si>
    <t>Casa 3 Amb con Pileta   Departamento 2 Amb en Venta en Ramos</t>
  </si>
  <si>
    <t>General Rodriguez al 300</t>
  </si>
  <si>
    <t>CAP6812675</t>
  </si>
  <si>
    <t>Departamento de 3 amb en Belgrano C - APTO CREDITO</t>
  </si>
  <si>
    <t>3 de Febrero al 2200</t>
  </si>
  <si>
    <t>JAP6726242</t>
  </si>
  <si>
    <t>VENTA DEPARTAMENTO 2 AMBIENTES  C/DEPENDENCIA BALCON APTO CREDITO FLORESTA</t>
  </si>
  <si>
    <t>Venancio Flores al 3400</t>
  </si>
  <si>
    <t xml:space="preserve">Reserva Tomy Remax Gangi Damiglia + Ref </t>
  </si>
  <si>
    <t>Op. con inmo colega Tierras del Sur. Departamento Mariano Moreno 250 UF 1 SMA NC: 15-20-045-5363-0001</t>
  </si>
  <si>
    <t>Mariano Moreno 250</t>
  </si>
  <si>
    <t>Verona</t>
  </si>
  <si>
    <t xml:space="preserve">Lote  en Verona Pilar </t>
  </si>
  <si>
    <t>CLO7103501</t>
  </si>
  <si>
    <t>Local en el centro de Nueva Pompeya</t>
  </si>
  <si>
    <t>Ventana al 3800</t>
  </si>
  <si>
    <t>CAP7044894</t>
  </si>
  <si>
    <t>Departamento Monoambiente con Gran Patio Moderno y Luminoso en Villa Pueyrredon  -Oportunidad Unica-</t>
  </si>
  <si>
    <t>ARTIGAS al 4600</t>
  </si>
  <si>
    <t>thames 305</t>
  </si>
  <si>
    <t>Junin 1248 - Marcela Subiza</t>
  </si>
  <si>
    <t>Junin 1248</t>
  </si>
  <si>
    <t>CAP7271324</t>
  </si>
  <si>
    <t>VENTA DPTO 4 AMB RECOLETA</t>
  </si>
  <si>
    <t>Av Santa Fe al 1700</t>
  </si>
  <si>
    <t>CHO6857243</t>
  </si>
  <si>
    <t>Espectacular casa en San Sebastián, área 13</t>
  </si>
  <si>
    <t>Barrio San Sebastián, área 13</t>
  </si>
  <si>
    <t>Skyroof living UF 22</t>
  </si>
  <si>
    <t>Castillo 1273</t>
  </si>
  <si>
    <t>JLO6952320</t>
  </si>
  <si>
    <t>VENTA LOCAL A LA CALLE EN V. PUEYRREDON/AGRONOMIA</t>
  </si>
  <si>
    <t>Nazca al 3800</t>
  </si>
  <si>
    <t>CWE6390158</t>
  </si>
  <si>
    <t>Casa Quinta en venta en Altos del Sauce, Sauce Viejo</t>
  </si>
  <si>
    <t>Quinta en  Altos del Sauce</t>
  </si>
  <si>
    <t>Argentina | Santa Fe | La Capital | Sauce Viejo | Altos del Sauce</t>
  </si>
  <si>
    <t>thamer 607</t>
  </si>
  <si>
    <t>CBU64422 AP7067292</t>
  </si>
  <si>
    <t>Monoambiente, departamento, balcon, a estrenar, avenidas, flores, caballito</t>
  </si>
  <si>
    <t>Bonorino 173</t>
  </si>
  <si>
    <t>CAP6702011</t>
  </si>
  <si>
    <t>VENTA Depto 103m2 Complejo Patagonia Centrico Villa La Angostura</t>
  </si>
  <si>
    <t>Siete Lagos 95</t>
  </si>
  <si>
    <t>CPH7051392</t>
  </si>
  <si>
    <t>Venta PH en  Villa Urquiza 4 Ambientes Patio con Parrilla y Cochera</t>
  </si>
  <si>
    <t>Pasaje Talavera  al 5800</t>
  </si>
  <si>
    <t>CHO4879092</t>
  </si>
  <si>
    <t>Casa en venta, 5 ambientes, San Sebastián NO APTO CREDITO</t>
  </si>
  <si>
    <t>Casa en venta- área 13 ,  San Sebastian</t>
  </si>
  <si>
    <t xml:space="preserve">Washington 2569 - Venta </t>
  </si>
  <si>
    <t>Washington 2569</t>
  </si>
  <si>
    <t>CHO6280683</t>
  </si>
  <si>
    <t>Casa en Banfield, banfield este, jardin, fondo, cochera, qui</t>
  </si>
  <si>
    <t>PINTOS al 1800</t>
  </si>
  <si>
    <t>AAP7121236</t>
  </si>
  <si>
    <t>Departamento dos ambientes en Balvanera</t>
  </si>
  <si>
    <t>Riobamba al 100</t>
  </si>
  <si>
    <t>18EM-28-06-25</t>
  </si>
  <si>
    <t>Venta PH 2 ambientes | escritorio | sin expensas| terraza | Caballito</t>
  </si>
  <si>
    <t>Querandies al 4400</t>
  </si>
  <si>
    <t>CAP7061693</t>
  </si>
  <si>
    <t>Departamento 2 amb en venta apto credito- Campanillas Park- Pilar</t>
  </si>
  <si>
    <t>Argentina | G.B.A. Zona Norte | Pilar | Las Campanillas</t>
  </si>
  <si>
    <t>CAP6934402</t>
  </si>
  <si>
    <t xml:space="preserve">Venta 2 amb. amplios, contrafrente silencioso, luminoso. </t>
  </si>
  <si>
    <t>Av. Santa Fe  al 2700</t>
  </si>
  <si>
    <t>CAP6703711</t>
  </si>
  <si>
    <t>Venta 3 ambientes  APTO CREDITO</t>
  </si>
  <si>
    <t>Roosevelt Franklin D.  al 2400</t>
  </si>
  <si>
    <t>Corrientes 4709, piso 8°, depto "80" CABA</t>
  </si>
  <si>
    <t>CAP7112772</t>
  </si>
  <si>
    <t>HERMOSO DEPARTAMENTO 4 AMBIENTES CABALLITO SUR - COCHERA CUBIERTA</t>
  </si>
  <si>
    <t>THOMPSON  al 800</t>
  </si>
  <si>
    <t>CAP7016646</t>
  </si>
  <si>
    <t>VENTA PH 4 AMBIENTES - TERRAZA, PILETA Y PARRILLA PROPIA EN VILLA URQUIZA - C/COCHERA</t>
  </si>
  <si>
    <t>Galvan al 3100</t>
  </si>
  <si>
    <t>CPH6635677</t>
  </si>
  <si>
    <t>PH Real Oportunidad En Loma Hermosa</t>
  </si>
  <si>
    <t>Argentina al 800</t>
  </si>
  <si>
    <t>CHO6974621</t>
  </si>
  <si>
    <t>Venta Casa céntrica en Bariloche</t>
  </si>
  <si>
    <t>JPH6609195</t>
  </si>
  <si>
    <t>venta- ph- 4 ambientes - dos patios- dos baños- garaje</t>
  </si>
  <si>
    <t>Campana al 1400</t>
  </si>
  <si>
    <t xml:space="preserve">Av Cabildo 597 Piso 12 Dto A </t>
  </si>
  <si>
    <t>Local identificado como UNIDAD FUNCIONAL N°1, en planta baja,  en el Complejo Nordic , con nomenclatura catastral 16-20-070-6690</t>
  </si>
  <si>
    <t>Blvd. Pascotto 200</t>
  </si>
  <si>
    <t>CAP6957412</t>
  </si>
  <si>
    <t>Venta de Departamento a estrenar 3 ambientes con balcón y cochera, Saavedra</t>
  </si>
  <si>
    <t>Larralde  al 3500</t>
  </si>
  <si>
    <t>CPN64923 LA7144803</t>
  </si>
  <si>
    <t>Lote en el Sector Isla en el Barrio Privado San Pedro - Villanueva</t>
  </si>
  <si>
    <t>Argentina | G.B.A. Zona Norte | Tigre | Countries/B.Cerrado (Tigre) | Villanueva | San Pedro</t>
  </si>
  <si>
    <t>Venta de casa 5 ambientes con pileta en Saavedra</t>
  </si>
  <si>
    <t>Alfonsina Storni 3622</t>
  </si>
  <si>
    <t>CLA6519113</t>
  </si>
  <si>
    <t>Venta Terreno en Caballito</t>
  </si>
  <si>
    <t>Senillosa al 800</t>
  </si>
  <si>
    <t>VLO6900528</t>
  </si>
  <si>
    <t>Local en venta - centro comercial Vila Terra - Villanueva, Benavidez</t>
  </si>
  <si>
    <t>Local en venta - Centro Comercial Vila Terra - Blvd. de Todos los Santos al 100</t>
  </si>
  <si>
    <t>CAP7082046</t>
  </si>
  <si>
    <t>VENTA DEPARATAMENTO 3 AMBIENTES VILLA URQUIZA</t>
  </si>
  <si>
    <t>Nuñez al 5300</t>
  </si>
  <si>
    <t>BILLINGHURST 1307</t>
  </si>
  <si>
    <t>CHO7015577</t>
  </si>
  <si>
    <t>VENTA Casa 4 ambientes 90m2 San Martin de Los Andes</t>
  </si>
  <si>
    <t xml:space="preserve">Argentina | Neuquen | Lacar </t>
  </si>
  <si>
    <t>CHO6411675</t>
  </si>
  <si>
    <t>venta casa  lote propio 5 amb con cochera y patio villa luzuriaga</t>
  </si>
  <si>
    <t>Carabobo al 3700</t>
  </si>
  <si>
    <t>CAP6778776</t>
  </si>
  <si>
    <t>VENTA DEPARTAMENTO 2 AMBIENTES  ALMAGRO</t>
  </si>
  <si>
    <t>Don Bosco al 3400</t>
  </si>
  <si>
    <t>Op. con Brim.  Bibliotecas Populares y calle sin nombre, Barrio Gobernadores Neuquinos, SMA UF 9 (40,64 m2), NC: 15-20-052-7950-0009, denominado Departamento 118 con entrada por el sector G2</t>
  </si>
  <si>
    <t>Bibliotecas Populares y calle sin nombre</t>
  </si>
  <si>
    <t>CAP6740648</t>
  </si>
  <si>
    <t>Venta Monoambiente con Balcon tipo Terraza - Recoleta</t>
  </si>
  <si>
    <t>Uriburu 1500</t>
  </si>
  <si>
    <t>CAP6948673</t>
  </si>
  <si>
    <t>VENTA DEPARTAMENTO 3 AMBIENTES RECOLETA. APTO CREDITO.</t>
  </si>
  <si>
    <t>Billinghurst al 1600</t>
  </si>
  <si>
    <t>CAP6588299</t>
  </si>
  <si>
    <t>Venta Departamento 3 Ambientes  con Balcón en Palermo, Botanico</t>
  </si>
  <si>
    <t>República Árabe Siria al 3200</t>
  </si>
  <si>
    <t>JLA7326370</t>
  </si>
  <si>
    <t>Venta Terreno en Nuñez</t>
  </si>
  <si>
    <t>Moldes al 2900</t>
  </si>
  <si>
    <t>CLA6972631</t>
  </si>
  <si>
    <t>Terreno en  Las Paredes, San Rafael</t>
  </si>
  <si>
    <t>zamarvide al 600</t>
  </si>
  <si>
    <t>CLA6947141</t>
  </si>
  <si>
    <t>Terreno en Neuquen</t>
  </si>
  <si>
    <t>TERRENO ESQUINA 467,94 M2 CALPA</t>
  </si>
  <si>
    <t>CAP6935848</t>
  </si>
  <si>
    <t>Venta Departamento 3 ambientes con 2 Patios en Flores</t>
  </si>
  <si>
    <t>Av. Rivadavia 7100</t>
  </si>
  <si>
    <t>JAP6136600</t>
  </si>
  <si>
    <t>VENTA TRES AMBIENTES CON COCHERA BARRIO NORTE/ RECOLETA</t>
  </si>
  <si>
    <t>Santa Fe al 1900</t>
  </si>
  <si>
    <t>CAP7261998</t>
  </si>
  <si>
    <t xml:space="preserve">VENTA 3AMB A ESTRENAR - CAÑITAS - PARRILLA </t>
  </si>
  <si>
    <t>Arevalo al 2700</t>
  </si>
  <si>
    <t>CAP7193622</t>
  </si>
  <si>
    <t>Venta Departamento 2 ambientes Villa Ortuzar con Cochera, Balcon, Parrilla</t>
  </si>
  <si>
    <t>Mariano Acha al 1200</t>
  </si>
  <si>
    <t xml:space="preserve">Argentina | Capital Federal | Villa Ortuzar </t>
  </si>
  <si>
    <t>CAP6995943</t>
  </si>
  <si>
    <t xml:space="preserve">Departamento en Recoleta 3 AMBIENTES + DEPENDENCIA + COCHERA </t>
  </si>
  <si>
    <t>PARANA  al 1045</t>
  </si>
  <si>
    <t>CAP7118591</t>
  </si>
  <si>
    <t>Departamento en  venta  2 dormitorios con dep. o 3 dormitorios, piso alto</t>
  </si>
  <si>
    <t>Republica de la India al 2700</t>
  </si>
  <si>
    <t>CAP6747003</t>
  </si>
  <si>
    <t>Departamento en venta 2 ambientes en centro de Pinamar</t>
  </si>
  <si>
    <t>Av. de las Artes  al 200</t>
  </si>
  <si>
    <t xml:space="preserve">Argentina | Costa Atlantica | Pinamar </t>
  </si>
  <si>
    <t>Honduras 5111</t>
  </si>
  <si>
    <t>CHO6856766</t>
  </si>
  <si>
    <t>Casa esquina Av Granadeos y Buenos Aires</t>
  </si>
  <si>
    <t>Av Granaderos  al 300</t>
  </si>
  <si>
    <t xml:space="preserve">Argentina | Mendoza | San Rafael </t>
  </si>
  <si>
    <t>N/C - MARCELO T DE ALVEAR 1270</t>
  </si>
  <si>
    <t>VENTA 2 AMB RECOLETA</t>
  </si>
  <si>
    <t>MARCELO T DE ALVEAR 1270, CABA</t>
  </si>
  <si>
    <t>CAP7125539</t>
  </si>
  <si>
    <t>LUMINOSO LOFT DE 2 AMBIENTES</t>
  </si>
  <si>
    <t>Charcas al 3100</t>
  </si>
  <si>
    <t>CAP6939783</t>
  </si>
  <si>
    <t>Venta Departamento 2 Ambientes en Devoto</t>
  </si>
  <si>
    <t>Asuncion  al 3800</t>
  </si>
  <si>
    <t>CAP7047807</t>
  </si>
  <si>
    <t>Departamento en  HUERGO 475</t>
  </si>
  <si>
    <t>Huergo al 400</t>
  </si>
  <si>
    <t>CAP6724401</t>
  </si>
  <si>
    <t>Venta Departamento Triplex 3 ambientes Super Luminoso con 3 cocheras y baulera en Villa Urquiza</t>
  </si>
  <si>
    <t>Andonaegui al 2000</t>
  </si>
  <si>
    <t>CAP6373344</t>
  </si>
  <si>
    <t>Venta Departamento dos ambientes en la boca con OPCION COCHERA</t>
  </si>
  <si>
    <t>Pi y Margal  al 480</t>
  </si>
  <si>
    <t xml:space="preserve">Argentina | Capital Federal | Boca </t>
  </si>
  <si>
    <t>CAP6859275</t>
  </si>
  <si>
    <t>Departamento en venta centro calle Juramento 1480 - Salta</t>
  </si>
  <si>
    <t>Juramento 1480</t>
  </si>
  <si>
    <t>JWE6781418</t>
  </si>
  <si>
    <t>Venta Quinta en Centro Agricola El Pato</t>
  </si>
  <si>
    <t>Argentina | G.B.A. Zona Sur | Berazategui | Centro Agricola El Pato</t>
  </si>
  <si>
    <t>CAP6335414</t>
  </si>
  <si>
    <t>Venta - Departamento - 2 Ambientes - Balcon - Luminoso - Vis</t>
  </si>
  <si>
    <t>Hipolito Irigoyen 585</t>
  </si>
  <si>
    <t>CHO6011523</t>
  </si>
  <si>
    <t>VENTA CASA PLANTA ALTA 4 AMBIENTES- SARANDI</t>
  </si>
  <si>
    <t>CAP6897675</t>
  </si>
  <si>
    <t xml:space="preserve">Departamento en Zona Aeropuerto </t>
  </si>
  <si>
    <t>Costa Rica  al 5600</t>
  </si>
  <si>
    <t>VAP6914454</t>
  </si>
  <si>
    <t>VENTA APTO CREDITO- DPTO 2 AMB KM 42 PILAR.</t>
  </si>
  <si>
    <t>Departamento en Venta 2 amb en planta baja APTO CREDITO, Las Campanillas al 1500</t>
  </si>
  <si>
    <t>Argentina | G.B.A. Zona Norte | Pilar | HI 42.5</t>
  </si>
  <si>
    <t>CAP7128477</t>
  </si>
  <si>
    <t>Departamento en  venta 1amb con balcón en Recoleta</t>
  </si>
  <si>
    <t>Pasaje Bollini  al 2200</t>
  </si>
  <si>
    <t>CAP7203266</t>
  </si>
  <si>
    <t>Departamento en  venta - Dos ambientes más Escritorio - Recoleta</t>
  </si>
  <si>
    <t>CHO7108747</t>
  </si>
  <si>
    <t>Casa en Venta - Excelente Ubicación Frente a Dalvian</t>
  </si>
  <si>
    <t>Dr. Ramon Carrillo</t>
  </si>
  <si>
    <t xml:space="preserve">Argentina | Mendoza | Capital </t>
  </si>
  <si>
    <t>CHO6746465</t>
  </si>
  <si>
    <t>Casa en  VENTA</t>
  </si>
  <si>
    <t>ITALIA al 700</t>
  </si>
  <si>
    <t>Argentina | Mendoza | Capital | Mendoza | Sexta Sección</t>
  </si>
  <si>
    <t>9 de julio</t>
  </si>
  <si>
    <t xml:space="preserve">DEPARTAMENTO EN VENTA 9 DE JULIO </t>
  </si>
  <si>
    <t xml:space="preserve">9 DE JULIO </t>
  </si>
  <si>
    <t>CAP5394749</t>
  </si>
  <si>
    <t>Venta - Departamento  dos ambientes -  Olivos - a estrenar - cochera - amenities - luminoso</t>
  </si>
  <si>
    <t>Avenida del libertador  al 2800</t>
  </si>
  <si>
    <t>CHO6216624</t>
  </si>
  <si>
    <t>Casa en  Venta  3 dormitorios Barrio San Ramon Pilar del Este</t>
  </si>
  <si>
    <t>N/C - CHARCAS 5108</t>
  </si>
  <si>
    <t>CHARCAS 5108</t>
  </si>
  <si>
    <t>88Stella</t>
  </si>
  <si>
    <t>Casa en Recoleta</t>
  </si>
  <si>
    <t>Santiago del estero 3500</t>
  </si>
  <si>
    <t>CAP6791068</t>
  </si>
  <si>
    <t>Departamento impecable 3 AMB  - Almagro, CABA</t>
  </si>
  <si>
    <t>Departamento  APTO CREDITO 3 AMB en Venta  POSIBILIDAD AMOBLADO - Almagro, CABA</t>
  </si>
  <si>
    <t>VHO6764519</t>
  </si>
  <si>
    <t>Casa en Venta  - Escritura APTO CREDITO! Maschwitz Privado!</t>
  </si>
  <si>
    <t>maschwitz privado</t>
  </si>
  <si>
    <t>Argentina | G.B.A. Zona Norte | Escobar | Countries/B.Cerrado (Escobar) | Maschwitz Privado</t>
  </si>
  <si>
    <t>Casa Vicente Gil</t>
  </si>
  <si>
    <t>Casa en Vicente Gil vendida por Ros a Clientes Americanos</t>
  </si>
  <si>
    <t>Vicente Gil s/n</t>
  </si>
  <si>
    <t>CAP7256425</t>
  </si>
  <si>
    <t>Venta Departamento 3 ambientes Saavedra</t>
  </si>
  <si>
    <t>Correa  al 3700 Saavedra - Capital Federal</t>
  </si>
  <si>
    <t>CHO7269718</t>
  </si>
  <si>
    <t>Casa en venta ubicada en Av. Delgadillo 918</t>
  </si>
  <si>
    <t>Av. Delgadillo 918</t>
  </si>
  <si>
    <t>Argentina | Salta | Capital | Salta | Va.Constitución</t>
  </si>
  <si>
    <t>DHO2427382</t>
  </si>
  <si>
    <t>VENTA HERMOSA CASA QUINTA EN TORTUGUITAS</t>
  </si>
  <si>
    <t>TORTUGUITAS - parque y pileta</t>
  </si>
  <si>
    <t>Argentina | G.B.A. Zona Norte | Malvinas Argentinas | Tortuguitas | Rincon De Tort.</t>
  </si>
  <si>
    <t>Thames 710</t>
  </si>
  <si>
    <t>CHO6673477</t>
  </si>
  <si>
    <t>VENTA Casa 2 habitaciones 100m2 Deck vista arroyo B° Altos de Chapelco San Martin de los andes</t>
  </si>
  <si>
    <t>Los fresnos 655 Altos de Chapelco</t>
  </si>
  <si>
    <t>CAP7165354</t>
  </si>
  <si>
    <t>VENTA DEPARTAMENTO 2 AMBIENTES CON BALCÓN EN TRIBUNALES - EXCELENTE UBICACIÓN- APTO PROFESIONAL</t>
  </si>
  <si>
    <t>Talcahuano  al 800</t>
  </si>
  <si>
    <t>CAP7047523</t>
  </si>
  <si>
    <t>Departamento - Colegiales</t>
  </si>
  <si>
    <t>Cramer al 300</t>
  </si>
  <si>
    <t>CAP6956140</t>
  </si>
  <si>
    <t>Departamento 2 ambientes - Palermo</t>
  </si>
  <si>
    <t>Jose A. Cabrera y Bilinghurst</t>
  </si>
  <si>
    <t>CAP7139459</t>
  </si>
  <si>
    <t>VENTA 4 AMBIENTES A RECICLAR 118 METROS RECOLETA OPORTUNIDAD</t>
  </si>
  <si>
    <t>Marcelo T de Alvear  al 2400</t>
  </si>
  <si>
    <t>CHO6860314</t>
  </si>
  <si>
    <t>CASA CON PILETA EN MANZANARES CHICO - PILAR</t>
  </si>
  <si>
    <t>BARRIO CERRADO MANZANARES CHICO - PILAR</t>
  </si>
  <si>
    <t>Argentina | G.B.A. Zona Norte | Pilar | Countries/B.Cerrado (Pilar) | Manzanares Chico</t>
  </si>
  <si>
    <t xml:space="preserve">MT Alvear </t>
  </si>
  <si>
    <t>CLA6772282</t>
  </si>
  <si>
    <t>OPORTUNIDAD VENTA Terreno 1873m2 en Altos del Ñirihuao</t>
  </si>
  <si>
    <t>Altos del Ñirihuau, Dina Huapi</t>
  </si>
  <si>
    <t>asuncion 2800</t>
  </si>
  <si>
    <t>depto venta asunción 2800</t>
  </si>
  <si>
    <t>CPH7173875</t>
  </si>
  <si>
    <t>PH 3 AMBIENTES EN ALQUILER MUY LUMINOSO</t>
  </si>
  <si>
    <t xml:space="preserve">Nuñez al 2100 </t>
  </si>
  <si>
    <t>José Cubas 3346 1° "C"</t>
  </si>
  <si>
    <t>JPH6795622</t>
  </si>
  <si>
    <t xml:space="preserve">Oportunidad PH 3 ambientes con patio en Olivos  </t>
  </si>
  <si>
    <t>Ayacucho al 4200</t>
  </si>
  <si>
    <t>CPH6987688</t>
  </si>
  <si>
    <t>PH con Cochera, Terraza y Quincho en  Venta. Barrio San Andres</t>
  </si>
  <si>
    <t>Leandro N Alem  al 3000</t>
  </si>
  <si>
    <t>CHO6742742</t>
  </si>
  <si>
    <t>VENTA CASA 4 AMBIENTES CON PILETA EN BARRIO PRIVADO LOS TALAS</t>
  </si>
  <si>
    <t>Barrio Los Talas</t>
  </si>
  <si>
    <t xml:space="preserve">Argentina | G.B.A. Zona Sur | Ezeiza | Canning (Ezeiza) | Los Talas </t>
  </si>
  <si>
    <t>CPH7001732</t>
  </si>
  <si>
    <t>VENTA PH CON COCHERA, PARQUE, PARRILLA Y PILETA, CHACARITA</t>
  </si>
  <si>
    <t>Dorrego al 1400</t>
  </si>
  <si>
    <t>Departamento 2 dormitorios 16 39 y 40</t>
  </si>
  <si>
    <t>DPTO 16 E 39 Y 40</t>
  </si>
  <si>
    <t>16 e 39 y 40</t>
  </si>
  <si>
    <t>CHO7003734</t>
  </si>
  <si>
    <t>VENTA CASA 3 AMB barrio privado Haras el Terraplen, General Rodriguez, pileta, quincho, seguridad</t>
  </si>
  <si>
    <t>Lote 107, Haras el Terraplen, General Rodriguez</t>
  </si>
  <si>
    <t xml:space="preserve">Argentina | G.B.A. Zona Oeste | General Rodriguez </t>
  </si>
  <si>
    <t>CPH6867062</t>
  </si>
  <si>
    <t>VENTA PH 2 AMBIENTES FLORIDA PB - APTO CREDITO</t>
  </si>
  <si>
    <t>CARLOS TEJEDOR  al 1700</t>
  </si>
  <si>
    <t>JAP6739888</t>
  </si>
  <si>
    <t>Departamento - Venta - 3 ambientes - Balcon - Sum - Parrilla - Martin Coronado</t>
  </si>
  <si>
    <t>17 DE AGOSTO al 1600</t>
  </si>
  <si>
    <t>Argentina | G.B.A. Zona Oeste | Tres De Febrero | Martin Coronado</t>
  </si>
  <si>
    <t>CHO6808167</t>
  </si>
  <si>
    <t>Venta casa Villa la Angostura 60 m2 Barrio Norte</t>
  </si>
  <si>
    <t>Cacique Antriao al 100</t>
  </si>
  <si>
    <t>COF7261666</t>
  </si>
  <si>
    <t>Oficina en Recoleta</t>
  </si>
  <si>
    <t>Propiedad con gran potencial cometcial, en San Martin al 3400</t>
  </si>
  <si>
    <t>Argentina | Santa Fe | La Capital | Santa Fe | Recoleta</t>
  </si>
  <si>
    <t>4 ESTACIONES</t>
  </si>
  <si>
    <t xml:space="preserve">VENTA EN 4 ESTACIONES </t>
  </si>
  <si>
    <t>4 ESTACIONES LOMA VERDE</t>
  </si>
  <si>
    <t>CAP7272681</t>
  </si>
  <si>
    <t>VENTA MONOAMBIENTE BALCON ATERRAZADO CABALLITO</t>
  </si>
  <si>
    <t>Acoyte al 100</t>
  </si>
  <si>
    <t>CAP6976542</t>
  </si>
  <si>
    <t>VENTA DEPARTAMENTO ZONA CENTRO NQN</t>
  </si>
  <si>
    <t>Salta  al 400</t>
  </si>
  <si>
    <t>ARISTOBULO DEL VALLE</t>
  </si>
  <si>
    <t>ARISTOBULO DEL VALLE 2642</t>
  </si>
  <si>
    <t>CAP6878363</t>
  </si>
  <si>
    <t xml:space="preserve"> ESPECTACULAR DEPARTAMENTO 3 AMBIENTES PARQUE CHAS!! 77 M2! SUPER AMPLIO Y LUMINOSO.</t>
  </si>
  <si>
    <t>Gamarra  al 1100</t>
  </si>
  <si>
    <t>VHO4914816</t>
  </si>
  <si>
    <t>Casa en  Bº San Francisco</t>
  </si>
  <si>
    <t>Aristobulo del Valle al 5100</t>
  </si>
  <si>
    <t>CAP3588211</t>
  </si>
  <si>
    <t>Venta Departamento, Vista al Lago, apto turismo, Bariloche</t>
  </si>
  <si>
    <t>OP 187</t>
  </si>
  <si>
    <t>Castaños - Las Piedras Departamento 701</t>
  </si>
  <si>
    <t>CAP7124540</t>
  </si>
  <si>
    <t xml:space="preserve">Espectacular 3 amb con terraza piso alto todo reciclado! </t>
  </si>
  <si>
    <t>Marcelo T de Alvear al 1900</t>
  </si>
  <si>
    <t>CAP6291036</t>
  </si>
  <si>
    <t>Espectacular 4 ambientes reciclado super luminoso!!!! Impecable!!!!</t>
  </si>
  <si>
    <t>Billinghurst al 2400</t>
  </si>
  <si>
    <t>CAP6957587</t>
  </si>
  <si>
    <t>Venta de Departamento monoambiente con balcón en Villa Urquiza</t>
  </si>
  <si>
    <t>Holmberg  al 3400</t>
  </si>
  <si>
    <t>EL cano 379</t>
  </si>
  <si>
    <t>lote venta el cano 379</t>
  </si>
  <si>
    <t>Av 60 e 2 y 3</t>
  </si>
  <si>
    <t>Departamento avenida 60 e 2 y 3</t>
  </si>
  <si>
    <t>60 e 2 y 3</t>
  </si>
  <si>
    <t xml:space="preserve">Ruiz Huidobro 4400, Piso 4 </t>
  </si>
  <si>
    <t>Venta de departamento 2 ambientes en Saavedra</t>
  </si>
  <si>
    <t>Ruiz Huidobro 4400, Piso 4</t>
  </si>
  <si>
    <t>JAP7131392</t>
  </si>
  <si>
    <t>Oportunidad Venta Apto credito 2 amb con cochera</t>
  </si>
  <si>
    <t>Ricardo Gutiérrez 3300</t>
  </si>
  <si>
    <t>VHO5979916</t>
  </si>
  <si>
    <t>Casa con departamento en Munro - APTO CREDITO</t>
  </si>
  <si>
    <t xml:space="preserve">Jujuy  al 2200. APTO CRÉDITO. CASA EN LOTE PROPIO </t>
  </si>
  <si>
    <t>CAP6928480</t>
  </si>
  <si>
    <t>Departamento en venta 3 dormitorios con dependencia, Monserrat, San Telmo, Apto Profesional</t>
  </si>
  <si>
    <t>Tacuarí al 300</t>
  </si>
  <si>
    <t>VLA6589913</t>
  </si>
  <si>
    <t>OPORTUNIDAD! Ultimo Lote a la Laguna en Los Lagos - Nordelta</t>
  </si>
  <si>
    <t>Argentina | G.B.A. Zona Norte | Tigre | Countries/B.Cerrado (Tigre) | Nordelta | Los Lagos</t>
  </si>
  <si>
    <t>Lote EL CANO 227</t>
  </si>
  <si>
    <t>lote venta el cano 227</t>
  </si>
  <si>
    <t>AAP7087411</t>
  </si>
  <si>
    <t>Departamento en  Espacioso 3 Ambientes MUY FUNCIONAL Con generoso jardín AIRE SOL  PLANTAS</t>
  </si>
  <si>
    <t>Candelaria al 50</t>
  </si>
  <si>
    <t>AHO6988368</t>
  </si>
  <si>
    <t>Casa 4 ambientes en Burzaco</t>
  </si>
  <si>
    <t>Melian al 900</t>
  </si>
  <si>
    <t>Argentina | G.B.A. Zona Sur | Almirante Brown | Burzaco</t>
  </si>
  <si>
    <t>Vergara 1523 - Busqueda Susan - Banfield</t>
  </si>
  <si>
    <t>Vergara 1523</t>
  </si>
  <si>
    <t>CHO6988570</t>
  </si>
  <si>
    <t>Casa tipo Chalet  en  BANFIELD ESTE  ( Barrio Nuevo) con Jardín y Quincho</t>
  </si>
  <si>
    <t>Boulogne Sur Mer  al 2200</t>
  </si>
  <si>
    <t>CAP7067579</t>
  </si>
  <si>
    <t>VENTA DEPARTAMENTO 3 AMBIENTES CON BALCÓN Y AMENITIES EN URQUIZA</t>
  </si>
  <si>
    <t>Bauness al 2100</t>
  </si>
  <si>
    <t>Lote en Venta Ayres Plaza</t>
  </si>
  <si>
    <t>CAP6937078</t>
  </si>
  <si>
    <t>VENTA DEPARTAMENTO 4 AMBIENTES EN PALERMO</t>
  </si>
  <si>
    <t>Concepción Arenal al 2400</t>
  </si>
  <si>
    <t>CHO7063530</t>
  </si>
  <si>
    <t>Casa en Venta - a Estrenar en San Matías - Área 3</t>
  </si>
  <si>
    <t>Argentina | G.B.A. Zona Norte | Escobar | Countries/B.Cerrado (Escobar) | San Matias</t>
  </si>
  <si>
    <t>CLA6679923</t>
  </si>
  <si>
    <t>VENTA Lote/Terreno 1 Hectárea uf 55 - Muelle de Piedra Villa La Angostura</t>
  </si>
  <si>
    <t>RN 40 Muelle de Piedra</t>
  </si>
  <si>
    <t>Argentina | Neuquen | Villa La Angostura | Muelle De Piedra</t>
  </si>
  <si>
    <t>CAP7242226</t>
  </si>
  <si>
    <t>Departamento en Venta de 1 dormitorio  51 entre 15 y 16 La Plata</t>
  </si>
  <si>
    <t>DepartaDepartamento en Venta de 1 dormitorios en  51 entre 15 y 16 La Plata</t>
  </si>
  <si>
    <t>CAP6726420</t>
  </si>
  <si>
    <t>VENTA DEPARTAMENTO 2 AMBIENTES EN RAMOS MEJIA</t>
  </si>
  <si>
    <t>BOLIVAR al 200</t>
  </si>
  <si>
    <t>CAP7240201</t>
  </si>
  <si>
    <t>Departamento en Venta de 2 dormitorios en  51 entre 15 y 16 La Plata</t>
  </si>
  <si>
    <t>CHO6335602</t>
  </si>
  <si>
    <t>Casa en venta en barrio en pleno crecimiento</t>
  </si>
  <si>
    <t>Permuta, a estrenar por casa en B° Roma</t>
  </si>
  <si>
    <t>CAP7165924</t>
  </si>
  <si>
    <t>Departamento 3 ambientes en edificio Mirasol I.</t>
  </si>
  <si>
    <t>Santiago del Estero  98</t>
  </si>
  <si>
    <t>CPH6915253</t>
  </si>
  <si>
    <t>Venta, PH, 2 ambientes, Escritorio, Terraza, Villa Ortuzar</t>
  </si>
  <si>
    <t>Roseti  al 1500</t>
  </si>
  <si>
    <t>CBU59869 AP6871858</t>
  </si>
  <si>
    <t>Departamento en  venta en Villa Urquiza CABA</t>
  </si>
  <si>
    <t>Quesada al 5900 1* B</t>
  </si>
  <si>
    <t>CAP7185289</t>
  </si>
  <si>
    <t>Venta 2 ambientes con balcón corrido al frente Palermo</t>
  </si>
  <si>
    <t>French al 3000</t>
  </si>
  <si>
    <t>CAP7271850</t>
  </si>
  <si>
    <t>Departamento de tres ambientes con dos baños a Estrenar</t>
  </si>
  <si>
    <t>Concepcion Arenal  al 3900</t>
  </si>
  <si>
    <t>BOSQUE PILAR</t>
  </si>
  <si>
    <t>BOSQUE PILAR -DEPARTAMENTO</t>
  </si>
  <si>
    <t>CHO6961982</t>
  </si>
  <si>
    <t>Casa en  venta San Sebastian Area 1</t>
  </si>
  <si>
    <t>Roque Petrochi al 5300</t>
  </si>
  <si>
    <t>CAP6592569</t>
  </si>
  <si>
    <t>VENTA DEPARTAMENTO 3  AMBIENTES EN PALERMO HOLLYWOOD</t>
  </si>
  <si>
    <t>Nicaragua  al 6000</t>
  </si>
  <si>
    <t>Dos terrenos ubicado en Av. Arrayanes y calle Cerro Bayo, nomenclatura catastral: 16-20-070-4383 con una superficie aproximada de 1.167m2 y 16-20-070-4082 con una superficie aproximada de 1372m2, de la ciudad de Villa la Angostura, Pcia. De Neuquén</t>
  </si>
  <si>
    <t>Cerro Bayo y Av. Arrayanes</t>
  </si>
  <si>
    <t>Cerro Bayo esquina Av. Arrayanes</t>
  </si>
  <si>
    <t>CHO6702755</t>
  </si>
  <si>
    <t>Casa en B santa rosa</t>
  </si>
  <si>
    <t>Napoleon soto al 200</t>
  </si>
  <si>
    <t>89Stella</t>
  </si>
  <si>
    <t>Departamento en el Sur de la ciudad</t>
  </si>
  <si>
    <t>Av. Gral López 2500</t>
  </si>
  <si>
    <t>CHO7101420</t>
  </si>
  <si>
    <t>Casa - Balneario Las Grutas</t>
  </si>
  <si>
    <t>Balnerio Las Grutas , Primer  Bajada, Av San Antonio 448</t>
  </si>
  <si>
    <t>CAP7109812</t>
  </si>
  <si>
    <t>CAP6964465</t>
  </si>
  <si>
    <t>Venta Departamento 3 ambientes en Villa del Parque Apto crédito Bajas expensas</t>
  </si>
  <si>
    <t>Pasaje Pernambuco al 2400</t>
  </si>
  <si>
    <t>OP 175</t>
  </si>
  <si>
    <t>Bolivia 2972 4 8</t>
  </si>
  <si>
    <t>CHO7110062</t>
  </si>
  <si>
    <t>RESERVADO---VENTA casa en San Isidro, 3 dormitorios, jardín y pileta.</t>
  </si>
  <si>
    <t>Carlos Tejedor  al 400</t>
  </si>
  <si>
    <t>Op. con century. Depto UF 8 lote 7 Quinta Urbana 7.</t>
  </si>
  <si>
    <t>Tres de Caballería 1034</t>
  </si>
  <si>
    <t>CHO7253261</t>
  </si>
  <si>
    <t xml:space="preserve">Casa club Manuel Belgrano </t>
  </si>
  <si>
    <t>Barrio Manuel Belgrano</t>
  </si>
  <si>
    <t>Argentina | G.B.A. Zona Norte | Escobar | Countries/B.Cerrado (Escobar) | C.C.Manuel Belgrano</t>
  </si>
  <si>
    <t>CAP7264600</t>
  </si>
  <si>
    <t>Departamento en Capital</t>
  </si>
  <si>
    <t>BELGRANO al 500</t>
  </si>
  <si>
    <t>CAP6876516</t>
  </si>
  <si>
    <t>VENTA Departamento Villa La Angostura 50M2 B° El Once</t>
  </si>
  <si>
    <t>Michay  al 200</t>
  </si>
  <si>
    <t>CAP6913134</t>
  </si>
  <si>
    <t>Venta dpto NQN ZONA CENTRO</t>
  </si>
  <si>
    <t>Alberdi al 400</t>
  </si>
  <si>
    <t>Zelada 5650</t>
  </si>
  <si>
    <t>CHO7044432</t>
  </si>
  <si>
    <t>Casa de 2 dormitorios al frente sobre Avenida (P.H)</t>
  </si>
  <si>
    <t>Casa al frente desarrollada en PB, sobre Av. Fray Cayetano Rodriguez</t>
  </si>
  <si>
    <t>Argentina | Santa Fe | La Capital | Santa Fe | Barranquitas</t>
  </si>
  <si>
    <t xml:space="preserve">Reserva Venta Referido Leti Mati Seniority depto escobar </t>
  </si>
  <si>
    <t>CPH6387759</t>
  </si>
  <si>
    <t>VENTA PH 4 AMBIENTES SIN EXPENSAS C/ TERRAZA, QUINCHO Y PARRILLA. BERNAL. APTO CREDITO.</t>
  </si>
  <si>
    <t>Dardo Rocha al 500</t>
  </si>
  <si>
    <t>Argentina | G.B.A. Zona Sur | Quilmes | Bernal Oeste</t>
  </si>
  <si>
    <t>CAP7278456</t>
  </si>
  <si>
    <t>Venta Monoambiente Divisible A ESTRENAR - Caballito</t>
  </si>
  <si>
    <t>Mahatma Gandhi 790</t>
  </si>
  <si>
    <t>JPH6837867</t>
  </si>
  <si>
    <t>PH - VENTA - 3 AMB - PATIO - VILLA GRAL MITRE - APTO CREDITO</t>
  </si>
  <si>
    <t>Alejandro Magariños Cervantes al 2200</t>
  </si>
  <si>
    <t>CAP6692850</t>
  </si>
  <si>
    <t>VENTA DEPARTAMENTO MONOAMBIENTE CON BALCON Y COCHERA, PALERMO, PALERMO HOLLYWOOD</t>
  </si>
  <si>
    <t>Zapata  100</t>
  </si>
  <si>
    <t>CAP4427118</t>
  </si>
  <si>
    <t>Departamento en venta Bariloche</t>
  </si>
  <si>
    <t>CPH6293931</t>
  </si>
  <si>
    <t>VENTA PH 2 amb UF5A en Villa Verde Bariloche</t>
  </si>
  <si>
    <t>VAP6044969</t>
  </si>
  <si>
    <t>Departamento en  venta la Cañada village III pilar</t>
  </si>
  <si>
    <t>la cañada village III</t>
  </si>
  <si>
    <t>CAP7228146</t>
  </si>
  <si>
    <t>VENTA DEPARTAMENTO 2 AMBIENTES FULL AMENITIES, PISO ALTO, BELGRANO</t>
  </si>
  <si>
    <t>OHiggins al 2400</t>
  </si>
  <si>
    <t>OP 180</t>
  </si>
  <si>
    <t>Virrey Olaguer y Feliu 3046 6 A uf 18</t>
  </si>
  <si>
    <t>CAP6172405</t>
  </si>
  <si>
    <t>Venta de departamento dos ambientes en Boulevard Cerviño - apto credito</t>
  </si>
  <si>
    <t>Departamento 2 ambientes sobre Boulevard Cerviño, entre Lafinur y República de la India</t>
  </si>
  <si>
    <t>CHO6920147</t>
  </si>
  <si>
    <t>Casa sólida con vistas panorámicas al lago en Bariloche – Ideal para vivir o invertir</t>
  </si>
  <si>
    <t>Calle Saihueque, Rancho Grande, San Carlos de Bariloche</t>
  </si>
  <si>
    <t>CAP6595875</t>
  </si>
  <si>
    <t>VENTA TRIPLEX TRES AMBIENTES CON TERRAZA Y COCHERA EN NUÑEZ</t>
  </si>
  <si>
    <t>Ramallo al 1700</t>
  </si>
  <si>
    <t>CLA6849629</t>
  </si>
  <si>
    <t>Terreno en  TERRAZAS PARK VISTALBA</t>
  </si>
  <si>
    <t>TERRAZAS PARK VISTALBA GUARDIA VIEJA al 1200</t>
  </si>
  <si>
    <t>Argentina | Mendoza | Lujan De Cuyo | Lujan De Cuyo | Vistalba</t>
  </si>
  <si>
    <t>CAP7098192</t>
  </si>
  <si>
    <t xml:space="preserve">VENTA Departamento 2 ambientes </t>
  </si>
  <si>
    <t>Avenida Lacroze al 3000</t>
  </si>
  <si>
    <t>UF 57, parte del Edificio Nº 2, conforme croquis adjunto en el ANEXO III, ubicado en calle Las Retamas y Las Mutisias, que será parte del Fideicomiso Retamas, emprendimiento a construir sobre la nomenclatura catastral: 16-20-070-8351-0000</t>
  </si>
  <si>
    <t>Las Retamas y Las Mutisias</t>
  </si>
  <si>
    <t>CAP5136458</t>
  </si>
  <si>
    <t>VENTA Departamento a estrenar, 2 amb 50 m2, Apto ATT m2 céntrico UF 25 centro de Villa la Angostura</t>
  </si>
  <si>
    <t>General José Gervasio Artigas 3850</t>
  </si>
  <si>
    <t>CAP6852994</t>
  </si>
  <si>
    <t xml:space="preserve">Departamento en venta - 2 ambientes -Palermo </t>
  </si>
  <si>
    <t>Departamento - 2 Ambientes  - Palermo</t>
  </si>
  <si>
    <t>CAP6148132</t>
  </si>
  <si>
    <t>Venta Departamento Apto Crédito con Cochera - Concord Pilar</t>
  </si>
  <si>
    <t>Argentina | G.B.A. Zona Norte | Pilar | Countries/B.Cerrado (Pilar) | Concord Pilar</t>
  </si>
  <si>
    <t>CAP7025344</t>
  </si>
  <si>
    <t>VENTA MONOAMBIENTES EN VILLA URQUIZA BALCON AL FRENTE AMENITIES</t>
  </si>
  <si>
    <t>Av Olazabal  al 5400</t>
  </si>
  <si>
    <t>CLA6531022</t>
  </si>
  <si>
    <t>Terreno en  Praderas de San Lorenzo</t>
  </si>
  <si>
    <t xml:space="preserve">Praderas de San Lorenzo </t>
  </si>
  <si>
    <t>Argentina | Salta | Capital | San Lorenzo Chico | Praderas de San Lorenzo</t>
  </si>
  <si>
    <t>CPH6403604</t>
  </si>
  <si>
    <t xml:space="preserve">Increible PH con terraza propia reciclado SUPER LUMINOSO </t>
  </si>
  <si>
    <t>Aguirre al 900</t>
  </si>
  <si>
    <t>CAP6811062</t>
  </si>
  <si>
    <t>Austria al 2400</t>
  </si>
  <si>
    <t>CPH7293621</t>
  </si>
  <si>
    <t>Venta permuta PH Barracas apto credito dos ambientes  sin expensas con patio</t>
  </si>
  <si>
    <t>Santa Magdalena al 783</t>
  </si>
  <si>
    <t>CAP7119833</t>
  </si>
  <si>
    <t>Amplio departamento 2 ambientes luminoso cocina grande ubicado en Floresta</t>
  </si>
  <si>
    <t>Segurola al 200</t>
  </si>
  <si>
    <t>CAP5198530</t>
  </si>
  <si>
    <t>Departamento en  venta en Villa Pueyrredon - urquiza - con balcón a estrenar PERMUTA</t>
  </si>
  <si>
    <t>Mosconi  al 2300</t>
  </si>
  <si>
    <t>CAP7280709</t>
  </si>
  <si>
    <t>VENTA DEPARTAMENTO 2 AMBIENTES con Jardín - Apto crédito - Floresta</t>
  </si>
  <si>
    <t>Coronel Ramón Lorenzo Falcón 3300</t>
  </si>
  <si>
    <t>CHO6987858</t>
  </si>
  <si>
    <t>CAP6990490</t>
  </si>
  <si>
    <t>VENTA DEPARTAMENTO 3 AMBIENTES COCHERA VILLA PUEYRREDON</t>
  </si>
  <si>
    <t>Gabriela Mistral al 2800</t>
  </si>
  <si>
    <t>Departamento en venta en Coghlan</t>
  </si>
  <si>
    <t>Conde 2546 4to A</t>
  </si>
  <si>
    <t>CHO7066189</t>
  </si>
  <si>
    <t>Casa en San Rafael</t>
  </si>
  <si>
    <t>Blas Parera  al 900</t>
  </si>
  <si>
    <t>CHO6960421</t>
  </si>
  <si>
    <t>Casa en  Venta 3 dormitorios Haras Santa Maria El Atardecer-Financia o Permuta</t>
  </si>
  <si>
    <t>Barrio Haras Santa Maria Escobar-El Atardecer</t>
  </si>
  <si>
    <t xml:space="preserve">Rivadavia 5411 A-11 </t>
  </si>
  <si>
    <t>Juan Jose Diaz en venta</t>
  </si>
  <si>
    <t>VAP7166680</t>
  </si>
  <si>
    <t>Piso a la venta en Belgrano 3 dormitorios con dependencia y cochera fija cubierta baulera SUM</t>
  </si>
  <si>
    <t>Av. Cramer  al 2500</t>
  </si>
  <si>
    <t>CPH5180604</t>
  </si>
  <si>
    <t>Amplio PH al frente de tres dormitorios y patio  119 E/ 35 y 36</t>
  </si>
  <si>
    <t>119 E/ 35 y 36</t>
  </si>
  <si>
    <t>Lote 1533 m2 Piedra San Francisco  15-25-050-3372-000</t>
  </si>
  <si>
    <t>Piedra San Francisco</t>
  </si>
  <si>
    <t>CAP6390524</t>
  </si>
  <si>
    <t>VENTA MONOAMBIENTE A ESTRENAR CON PISCINA Y VISTA ABIERTA</t>
  </si>
  <si>
    <t>CAP6392957</t>
  </si>
  <si>
    <t>87Eli</t>
  </si>
  <si>
    <t>Casa en Santo tome</t>
  </si>
  <si>
    <t>J J Paso 4203</t>
  </si>
  <si>
    <t>Argentina | Santa Fe | La Capital | Santo Tome</t>
  </si>
  <si>
    <t>83Stella</t>
  </si>
  <si>
    <t>Departamento de 1 dormitorio</t>
  </si>
  <si>
    <t>Av. Gral Lopez 3234</t>
  </si>
  <si>
    <t>CPH7176485</t>
  </si>
  <si>
    <t>Venta PH 3 Amb Sin Expensas Luminoso en San Isidro</t>
  </si>
  <si>
    <t>Cardenal Copello  747</t>
  </si>
  <si>
    <t>CAP7288637</t>
  </si>
  <si>
    <t>Venta Departamento con patio en centro de Palermo</t>
  </si>
  <si>
    <t>Thames al 1700</t>
  </si>
  <si>
    <t>RIO BAMBA</t>
  </si>
  <si>
    <t xml:space="preserve">RIO BAMBA CABA </t>
  </si>
  <si>
    <t xml:space="preserve">RIOBAMBA </t>
  </si>
  <si>
    <t>CAP6340789</t>
  </si>
  <si>
    <t xml:space="preserve">Departamento 3 ambientes en Belgrano con Cochera </t>
  </si>
  <si>
    <t>Vuelta de Obligado  al 2700</t>
  </si>
  <si>
    <t>CAP7073730</t>
  </si>
  <si>
    <t>Venta piso de 4 ambientes más dependencia en Villa Crespo</t>
  </si>
  <si>
    <t>Lavalleja al 600</t>
  </si>
  <si>
    <t>VAP6718492</t>
  </si>
  <si>
    <t>Departamento en  Venta - 4 AMB en La Balconada, Los Castaños</t>
  </si>
  <si>
    <t>CPH6350996</t>
  </si>
  <si>
    <t>VENTA PH 3 AMBIENTES  SIN EXPENSAS CON PATIO PARRILLA PROPIA   A ESTRENAR</t>
  </si>
  <si>
    <t>124 ENTRE 41 Y 42</t>
  </si>
  <si>
    <t>Argentina | G.B.A. Zona Sur | Ensenada | Ensenada</t>
  </si>
  <si>
    <t>CAP6937628</t>
  </si>
  <si>
    <t>Departamento en  Venta, General Roca</t>
  </si>
  <si>
    <t>Complejo Jujuy  al 700</t>
  </si>
  <si>
    <t>Argentina | Rio Negro | General Roca | General Roca</t>
  </si>
  <si>
    <t>CAP7161805</t>
  </si>
  <si>
    <t>Venta de departamento de 2 ambientes en Almagro super luminoso! - Permuta</t>
  </si>
  <si>
    <t xml:space="preserve"> Colombres al 400</t>
  </si>
  <si>
    <t>CPH7297272</t>
  </si>
  <si>
    <t>Venta PH2 ambientes en Agronomía- Patio- Sin expensas- Apto crédito</t>
  </si>
  <si>
    <t>Asunción al 2200</t>
  </si>
  <si>
    <t>VAP6922986</t>
  </si>
  <si>
    <t>Venta Departamento en  Retiro. Estilo racionalista Dos ambientes</t>
  </si>
  <si>
    <t>Avenida Libertador al 100</t>
  </si>
  <si>
    <t>Departamento de 2 ambientes en Palermo</t>
  </si>
  <si>
    <t>Araoz 2385</t>
  </si>
  <si>
    <t>Departamento en venta en coglan</t>
  </si>
  <si>
    <t>Cramer 2562</t>
  </si>
  <si>
    <t>CAP6840414</t>
  </si>
  <si>
    <t>VENTA DEPARTAMENTO 3 AMBIENTES BALCON PLAZA ARENALES  PERMUTA</t>
  </si>
  <si>
    <t>MARIA DEL CARRIL al 3600</t>
  </si>
  <si>
    <t>VAP7192051</t>
  </si>
  <si>
    <t>Departamento en venta de dos ambientes con balcón y amenities</t>
  </si>
  <si>
    <t>Paraguay al 4800</t>
  </si>
  <si>
    <t>CAP6984374</t>
  </si>
  <si>
    <t>Departamento 2 Ambientes a Estrenar- WE LIVE - Puerto de Olivos</t>
  </si>
  <si>
    <t>Juan Carlos Cruz  al 2200</t>
  </si>
  <si>
    <t>Argentina | G.B.A. Zona Norte | Vicente López | Olivos | Olivos-Vias/Rio</t>
  </si>
  <si>
    <t>CHO6655151</t>
  </si>
  <si>
    <t>VENTA-PERMUTA EXCELENTE CASA de 5 AMB. HARAS MALACATE ( COUNTRY CLUB Y GOLF)</t>
  </si>
  <si>
    <t>HARAS EL MALACATE</t>
  </si>
  <si>
    <t>Argentina | G.B.A. Zona Norte | Exaltacion De La Cruz | Countries/B.Cerrado (Exaltación) | Haras el Malacate</t>
  </si>
  <si>
    <t>COF6352366</t>
  </si>
  <si>
    <t>VENTA  3 AMBIENTES  MUY BUENO  VISTA PANORAMICA  SAN MARTIN</t>
  </si>
  <si>
    <t xml:space="preserve">Profesor Agustín Rogelio vidal 4900 </t>
  </si>
  <si>
    <t>Argentina | G.B.A. Zona Norte | General San Martin | Villa Lynch</t>
  </si>
  <si>
    <t>CAP7098407</t>
  </si>
  <si>
    <t>Venta Departamento 2 ambientes FRENTE Villa Luzuriaga San Justo La Matanza</t>
  </si>
  <si>
    <t>Republica de Chile al 700</t>
  </si>
  <si>
    <t>CHO7284319</t>
  </si>
  <si>
    <t>Casa calle Salta 327  San Rafael</t>
  </si>
  <si>
    <t>SALTA  al 300</t>
  </si>
  <si>
    <t>N/C - JUNCAL 2151</t>
  </si>
  <si>
    <t>VENTA DPTO MONO IMPECABLE</t>
  </si>
  <si>
    <t>JUNCAL 2151</t>
  </si>
  <si>
    <t>CPH7031115</t>
  </si>
  <si>
    <t>Venta/PH/3 Amb/Patio/Apto Credito/Devoto/Permuta</t>
  </si>
  <si>
    <t>Bermudez 3200</t>
  </si>
  <si>
    <t>Marcos Sastre 5115</t>
  </si>
  <si>
    <t>AV. MAIPU 1936</t>
  </si>
  <si>
    <t>N/C - CUENCA 4863</t>
  </si>
  <si>
    <t>VENTA DPTO 3 AMBIENTES VILLA PUEYRREDON C BALCON</t>
  </si>
  <si>
    <t>CUENCA 4863</t>
  </si>
  <si>
    <t>CAP6701451</t>
  </si>
  <si>
    <t>VENTA Departamento, 2 dormitorios con financiación, Bariloche</t>
  </si>
  <si>
    <t>JHO6669568</t>
  </si>
  <si>
    <t>VENTA CASA HARAS DEL SUR 2  4 AMBIENTES  BRANDSEN</t>
  </si>
  <si>
    <t>HARAS DEL SUR II</t>
  </si>
  <si>
    <t>Argentina | G.B.A. Zona Sur | La Plata | Countries/B.Cerrado (La Plata) | Haras del Sur II</t>
  </si>
  <si>
    <t>CAP6738448</t>
  </si>
  <si>
    <t>Venta Departamento Loft  2 Ambientes y medio en Las Cañitas</t>
  </si>
  <si>
    <t>Ortega y Gasset al 1700</t>
  </si>
  <si>
    <t>Venta Curapaligue  436</t>
  </si>
  <si>
    <t xml:space="preserve">Curapaligue 436 </t>
  </si>
  <si>
    <t>CHO6013706</t>
  </si>
  <si>
    <t>Venta/Casa/Lote Propio/Jardín/AptoCredito/5Amb/MonteCastro/Permuta</t>
  </si>
  <si>
    <t>Cervantes 2000</t>
  </si>
  <si>
    <t>CLA6840403</t>
  </si>
  <si>
    <t>Terreno en VENTA o Alquiler COMERCIAL a 100m de Panamericana - Don Torcuato</t>
  </si>
  <si>
    <t>Belgrano al 2300</t>
  </si>
  <si>
    <t>Argentina | G.B.A. Zona Norte | Tigre | Don Torcuato</t>
  </si>
  <si>
    <t>CLA6893264</t>
  </si>
  <si>
    <t>Venta Terreno en  Maschwitz 1.000m2</t>
  </si>
  <si>
    <t>Juana Azurduy y Esteban Echeverria</t>
  </si>
  <si>
    <t>Venta Moldes</t>
  </si>
  <si>
    <t>Moldes 3089 6G</t>
  </si>
  <si>
    <t>Montiel 1300</t>
  </si>
  <si>
    <t>CAP7173966</t>
  </si>
  <si>
    <t>Venta - Departamento - Flores - 2 Amb - Apto Credito - Balcon</t>
  </si>
  <si>
    <t>Directorio 3400</t>
  </si>
  <si>
    <t>CAP6738957</t>
  </si>
  <si>
    <t>Venta Monoambiente Divisible a 2 Ambientes con Balcón en Palermo Hollywood</t>
  </si>
  <si>
    <t>Fitz Roy al 2100</t>
  </si>
  <si>
    <t>CHO7042005</t>
  </si>
  <si>
    <t>Julián Aguirre al 1600 | CASA EN VENTA | HURLINGHAM | UNA PLANTA | 3 DORMITORIOS | JARDIN</t>
  </si>
  <si>
    <t>CAP7186871</t>
  </si>
  <si>
    <t>VENTA DEPARTAMENTO DE 3 AMBIENTES EN VENTA EN PALERMO HOLLYWOOD</t>
  </si>
  <si>
    <t>COSTA RICA al 5500</t>
  </si>
  <si>
    <t>CAP5356061</t>
  </si>
  <si>
    <t>Venta - Departamento - 3 Ambientes - A estrenar - Mataderos - Balcon</t>
  </si>
  <si>
    <t>CAP6772107</t>
  </si>
  <si>
    <t>VENTA 3 AMBIENTES GRAN PATIO PLANTA BAJA - APTO CREDITO Y PROFESIONAL PALERMO</t>
  </si>
  <si>
    <t xml:space="preserve">GORRITI al 4000 </t>
  </si>
  <si>
    <t>OP 192</t>
  </si>
  <si>
    <t>Araoz 2992</t>
  </si>
  <si>
    <t>Lote 12 MZ E  Barrio Piedras de San  Francisco,NC 1525 051 7962 0000, 1000 m2, 20m x 50, SMA</t>
  </si>
  <si>
    <t>CAP6957444</t>
  </si>
  <si>
    <t>Venta de monoambiente con balcón en Devoto</t>
  </si>
  <si>
    <t>Mercedes  al 3200</t>
  </si>
  <si>
    <t>CPH7205589</t>
  </si>
  <si>
    <t>Venta de Ph 3 ambientes en San Fernando Centro</t>
  </si>
  <si>
    <t>Avenida Presidente Peron al 1000</t>
  </si>
  <si>
    <t>Argentina | G.B.A. Zona Norte | San Fernando | San Fernando | S.Fer.-Vias/Centro</t>
  </si>
  <si>
    <t>BERMUDEZ 2466</t>
  </si>
  <si>
    <t>CPH6379080</t>
  </si>
  <si>
    <t>VENTA PH 3 AMBIENTES C/ PATIO, QUINCHO, PARRILLA  Y TERRAZA EN VALENTIN ALSINA.</t>
  </si>
  <si>
    <t>Alfredo Palacios al 3200</t>
  </si>
  <si>
    <t>Argentina | G.B.A. Zona Sur | Lanús | Valentin Alsina</t>
  </si>
  <si>
    <t>CLA6603234</t>
  </si>
  <si>
    <t>Venta CASA  FACHADA HISTORICA EN PATERNAL</t>
  </si>
  <si>
    <t>Granada al 1600</t>
  </si>
  <si>
    <t>CHO6870424</t>
  </si>
  <si>
    <t>VENTA CASA EN BELGRANO R, 3 DORMITORIOS, GRAN PLAYROOM, GARAGE PARA 2 AUTOS.</t>
  </si>
  <si>
    <t>Carbajal al 3600</t>
  </si>
  <si>
    <t>Chorroarin 656</t>
  </si>
  <si>
    <t>CPH6897694</t>
  </si>
  <si>
    <t>VENTA 3 AMBIENTES CON BALCON APTO PROFESIONAL Y CREDITO NUEVA POMPEYA</t>
  </si>
  <si>
    <t>CAP6982816</t>
  </si>
  <si>
    <t>Departamento en Caballito 3 ambientes con parque</t>
  </si>
  <si>
    <t>Avellaneda  al 100</t>
  </si>
  <si>
    <t>CGA7070559</t>
  </si>
  <si>
    <t>Cochera en   pleno candioti</t>
  </si>
  <si>
    <t>Cocheras con local comercial para inversión en pleno candioti</t>
  </si>
  <si>
    <t>CLO7129795</t>
  </si>
  <si>
    <t xml:space="preserve">Local en VENTA- Montevideo al 700 </t>
  </si>
  <si>
    <t>Montevideo  al 700</t>
  </si>
  <si>
    <t>CAP7150569</t>
  </si>
  <si>
    <t>Venta Depto 3 Amb Luminoso Apto Crédito Belgrano</t>
  </si>
  <si>
    <t>O'higgins al 2577</t>
  </si>
  <si>
    <t>Búsqueda depto tres ambientes por reubicación</t>
  </si>
  <si>
    <t>Desiderio Davel 556, 1° CABA</t>
  </si>
  <si>
    <t>CAP7079482</t>
  </si>
  <si>
    <t>VENTA 3 AMBIENTES AMPLIO BALCON  VISTA ABIERTA PARQUE CHAS APTO CREDITO</t>
  </si>
  <si>
    <t>Avenida de los Incas al 4700</t>
  </si>
  <si>
    <t>CAP6502651</t>
  </si>
  <si>
    <t>APTO CREDITO - Departamento  4 AMB -  Venta en Caballito</t>
  </si>
  <si>
    <t>CAP7442606</t>
  </si>
  <si>
    <t>VENTA Depto en pozo , UF 1B Modulo 1  Amenities, Vista al Lago y cordillera, B° Las Balsas, Villa La Angostura</t>
  </si>
  <si>
    <t>CPH7108619</t>
  </si>
  <si>
    <t>Venta PH 4 ambientes terraza balcón Villa Urquiza.</t>
  </si>
  <si>
    <t>Holmberg al 3100</t>
  </si>
  <si>
    <t>CHO6409349</t>
  </si>
  <si>
    <t>Venta Casa en PH  102m2 Lote 560m2 Barrio Las Nalcas San Martin de los  Andes</t>
  </si>
  <si>
    <t>Cerro La Horqueta 852</t>
  </si>
  <si>
    <t>CLA6813712</t>
  </si>
  <si>
    <t>Terreno en Venta en Caballito. USAB2</t>
  </si>
  <si>
    <t>TERRENO EN VENTA José Juan Biedma al 1000</t>
  </si>
  <si>
    <t>CBTCAB00125</t>
  </si>
  <si>
    <t>Departamento Libertador 12950</t>
  </si>
  <si>
    <t>Avenida Libertador 12950</t>
  </si>
  <si>
    <t>Titanio</t>
  </si>
  <si>
    <t>CASA DE 6 AMBIENTES LOTE INTERNO Talar del Lago II al 300</t>
  </si>
  <si>
    <t>Argentina | G.B.A. Zona Norte | Tigre | General Pacheco | Countries/B. Cerrado (General Pacheco) | Talar Del Lago II</t>
  </si>
  <si>
    <t>CAP6407812</t>
  </si>
  <si>
    <t>Venta exclusiva propiedad de 6 dormitorios en Recoleta</t>
  </si>
  <si>
    <t>Av. Santa Fe al 1500</t>
  </si>
  <si>
    <t>AHO6134334</t>
  </si>
  <si>
    <t>Casa de cuatro ambientes con patio y terraza</t>
  </si>
  <si>
    <t>F. M. Esquiu al 1400</t>
  </si>
  <si>
    <t>VPN49872 LA5037497</t>
  </si>
  <si>
    <t>CAP6867038</t>
  </si>
  <si>
    <t>VENTA DEPARTAMENTO 3 AMBIENTES BALCON COCHERA SAN JUSTO CTRO</t>
  </si>
  <si>
    <t>Juan Domingo Perón al 3100</t>
  </si>
  <si>
    <t>Argentina | G.B.A. Zona Oeste | La Matanza | San Justo | S.Justo (Ctro)</t>
  </si>
  <si>
    <t>CAP6172214</t>
  </si>
  <si>
    <t>Venta - Departamento - 2 Ambientes - Reciclado - Belgrano - Permuta - Apto Credito</t>
  </si>
  <si>
    <t>Cramer 2000</t>
  </si>
  <si>
    <t>CAP4420882</t>
  </si>
  <si>
    <t>Venta - Departamento - Colegiales - 2 Ambientes - Luminoso - Oportunidad - Permuta</t>
  </si>
  <si>
    <t>CAP7174444</t>
  </si>
  <si>
    <t>OPORTUNIDAD! APTO CREDITO - Departamento 2 AMB a Nuevo en Almagro</t>
  </si>
  <si>
    <t>Yatay al 700</t>
  </si>
  <si>
    <t>CAP6979030</t>
  </si>
  <si>
    <t>Departamento en  Caballito</t>
  </si>
  <si>
    <t>Luis Viale  al 1700</t>
  </si>
  <si>
    <t>ECUADOR 8vo UF 13 - Tomas Yanigro</t>
  </si>
  <si>
    <t>Ecuardor 8vo</t>
  </si>
  <si>
    <t>VAP4876171</t>
  </si>
  <si>
    <t>Departamento - Zerena</t>
  </si>
  <si>
    <t>Zerena, El Palmar</t>
  </si>
  <si>
    <t>Argentina | G.B.A. Zona Norte | Tigre | Countries/B.Cerrado (Tigre) | Nordelta | El Palmar | Zerena</t>
  </si>
  <si>
    <t>CPH7125734</t>
  </si>
  <si>
    <t>PH en Constitución</t>
  </si>
  <si>
    <t xml:space="preserve">Saenz Peña 1854 </t>
  </si>
  <si>
    <t>AMANECERES RESIDENCE</t>
  </si>
  <si>
    <t>FORMOSA 335</t>
  </si>
  <si>
    <t>Argentina | G.B.A. Zona Sur | Ezeiza | Canning (Ezeiza)</t>
  </si>
  <si>
    <t>CAP7229740</t>
  </si>
  <si>
    <t>VENTA Departamento 3 ambientes 67m2 centro habilitado alquiler ATT Villa La Angostura</t>
  </si>
  <si>
    <t>Del Chilco</t>
  </si>
  <si>
    <t>Argentina | Neuquen | Villa La Angostura | El Cruce</t>
  </si>
  <si>
    <t xml:space="preserve">DEPARTAMENTO BERUTI </t>
  </si>
  <si>
    <t>BERUTI 4642</t>
  </si>
  <si>
    <t>CHO7112738</t>
  </si>
  <si>
    <t>Metan | Casa | 4 habitaciones | terreno 566 m2</t>
  </si>
  <si>
    <t>Calle Salta (este) al 100 - Metan</t>
  </si>
  <si>
    <t>Argentina | Salta | Metan | Metan</t>
  </si>
  <si>
    <t>CWE6870466</t>
  </si>
  <si>
    <t>Quinta en  San Patricio del Chañar</t>
  </si>
  <si>
    <t>Casa Quinta, 4.800 m2, ruta 7, S.P. Chañar- Añelo- Neuquén</t>
  </si>
  <si>
    <t>Argentina | Neuquen | Añelo | San Patricio Del Chañar</t>
  </si>
  <si>
    <t>CAP6514090</t>
  </si>
  <si>
    <t>OPORTUNIDAD!  Apto Crédito  venta departamento 2 amb c/ patio en Palermo</t>
  </si>
  <si>
    <t>Avenida Santa Fe al 5200</t>
  </si>
  <si>
    <t>ORTIZ DE OCAMPO</t>
  </si>
  <si>
    <t xml:space="preserve">ORTIZ DE OCAMPO 2506 </t>
  </si>
  <si>
    <t>ORTIZ DE OCAMPO 3506</t>
  </si>
  <si>
    <t>CAP7320612</t>
  </si>
  <si>
    <t>Venta departamento 3 ambientes, cochera, baulera, en Belgrano</t>
  </si>
  <si>
    <t>Amenabar 1800</t>
  </si>
  <si>
    <t>Boticelli 4719</t>
  </si>
  <si>
    <t>MATANZA 3400</t>
  </si>
  <si>
    <t>VENTA DTO CALLE MATANZA 3400 CABA</t>
  </si>
  <si>
    <t>MATANZA 3410</t>
  </si>
  <si>
    <t>Peña 2028 3A - RBA inmobiliaria - Rodriquez Mañe</t>
  </si>
  <si>
    <t>Peña 2028</t>
  </si>
  <si>
    <t>CAP5163314</t>
  </si>
  <si>
    <t>Departamento en venta 4 ambientes en Caballito</t>
  </si>
  <si>
    <t>Miro al 100</t>
  </si>
  <si>
    <t>CAP7020572</t>
  </si>
  <si>
    <t>Venta Departamento en Villa Urquiza Apto Crédito Apto Profesional</t>
  </si>
  <si>
    <t>Olazabal al 5400</t>
  </si>
  <si>
    <t>Dpto en venta</t>
  </si>
  <si>
    <t xml:space="preserve">Nuñez 3661 piso 19 dto D </t>
  </si>
  <si>
    <t>Ayacucho 1375 - RBA Inmo - Rodriguez Mañe</t>
  </si>
  <si>
    <t>Ayacucho 1375</t>
  </si>
  <si>
    <t>CPH7360102</t>
  </si>
  <si>
    <t>PH en venta Calle 58 entre 12 y Av. 13, con gran potencial a reciclar. Ubicación estratégica</t>
  </si>
  <si>
    <t>CAP7144503</t>
  </si>
  <si>
    <t>Venta Departamento 2 ambientes Av. Santa Fe al 800</t>
  </si>
  <si>
    <t>Avenida Santa Fe al 800</t>
  </si>
  <si>
    <t xml:space="preserve">Olazabal 4538 7°4 </t>
  </si>
  <si>
    <t>Arenales 1876 - Piso 9 - Bs. As. Habitat - Marcela Subiza</t>
  </si>
  <si>
    <t xml:space="preserve">Arenales 1876 </t>
  </si>
  <si>
    <t>CAP7145275</t>
  </si>
  <si>
    <t>Departamento en San Isidro</t>
  </si>
  <si>
    <t>Martin y Omar  al 200</t>
  </si>
  <si>
    <t>Millaqueo 665</t>
  </si>
  <si>
    <t>CHO7175314</t>
  </si>
  <si>
    <t>Casa Apta Crédito en  Cipolletti</t>
  </si>
  <si>
    <t>B° Los Tilos</t>
  </si>
  <si>
    <t>CAP7197860</t>
  </si>
  <si>
    <t xml:space="preserve">VENTA DEPARTAMENTO 4 AMBIENTES CABALLITO CON COCHERA Y BAULERA </t>
  </si>
  <si>
    <t>MARTIN DE GAINZA 60</t>
  </si>
  <si>
    <t>CAP7025062</t>
  </si>
  <si>
    <t>Venta Departamento 4 ambientes con Jardín en Recoleta</t>
  </si>
  <si>
    <t>Laprida al 1700</t>
  </si>
  <si>
    <t>CAP7126766</t>
  </si>
  <si>
    <t>Monoambiente Luminoso con Balcón y Vista Abierta. Pileta - Palermo Hollywood - Opción Amoblado</t>
  </si>
  <si>
    <t>Soler al 5900</t>
  </si>
  <si>
    <t>CAP7066076</t>
  </si>
  <si>
    <t>VENTA - DEPTO - 3 AMB - RECOLETA - PARAGUAY Y URUGUAY</t>
  </si>
  <si>
    <t>Paraguay  al 1300</t>
  </si>
  <si>
    <t>Fraternidad 1769</t>
  </si>
  <si>
    <t>Depto Vale-Evelyn</t>
  </si>
  <si>
    <t>Monroe 4046 - Remax - Agustin Gaviña</t>
  </si>
  <si>
    <t>Monroe 4046</t>
  </si>
  <si>
    <t>VAP6197958</t>
  </si>
  <si>
    <t>Departamento en Villa Los Remeros - 3 Ambientes</t>
  </si>
  <si>
    <t>Departamento en Villa Los Remeros - 3 AMB</t>
  </si>
  <si>
    <t>CCS6159341</t>
  </si>
  <si>
    <t>5 Hectareas En Venta Ruta 26 La Isla - Salta</t>
  </si>
  <si>
    <t xml:space="preserve">La Isla Ruta 26 </t>
  </si>
  <si>
    <t>Argentina | Salta | Capital | La Isla</t>
  </si>
  <si>
    <t>CAP7283556</t>
  </si>
  <si>
    <t>VENTA MONOAMBIENTE APTO PROFESIONAL FACULTAD DE MEDICINA APTO CRÉDITO</t>
  </si>
  <si>
    <t>VIAMONTE al 2100</t>
  </si>
  <si>
    <t>CAP6845327</t>
  </si>
  <si>
    <t>Venta Departamento 2 ambientes Almagro Hospital Italiano</t>
  </si>
  <si>
    <t>Peron al 4200</t>
  </si>
  <si>
    <t>CAP7282199</t>
  </si>
  <si>
    <t>VENTA Departamento Céntrico Monoambiente 22m2 Villa La Angostura</t>
  </si>
  <si>
    <t>CAP7279846</t>
  </si>
  <si>
    <t>VENTA 2 AMBIENTES AMPLIO A RECICLAR - APTO CRÉDITO URQUIZA</t>
  </si>
  <si>
    <t>MONROE al 4100</t>
  </si>
  <si>
    <t>JAP6999267</t>
  </si>
  <si>
    <t>Departamento en  venta</t>
  </si>
  <si>
    <t xml:space="preserve">av. juan bautista alberdi 3292 </t>
  </si>
  <si>
    <t>CAP7349766</t>
  </si>
  <si>
    <t>Venta Departamento 2 ambientes en Paternal</t>
  </si>
  <si>
    <t>Avda San Martin  al 2900</t>
  </si>
  <si>
    <t>CLA4381315</t>
  </si>
  <si>
    <t>Terreno - Cid Campeador</t>
  </si>
  <si>
    <t>PASAJE MACIEL al 800</t>
  </si>
  <si>
    <t>JAP6743042</t>
  </si>
  <si>
    <t>VENTA PISO 4 AMBIENTES DEPENDENCIA COCHERA BAULERA VICENTE LOPEZ</t>
  </si>
  <si>
    <t>José Mármol al 1500</t>
  </si>
  <si>
    <t>Irigoyen 717 en venta</t>
  </si>
  <si>
    <t>Irigoyen 717</t>
  </si>
  <si>
    <t>Cuenca 4547</t>
  </si>
  <si>
    <t>CAP7288480</t>
  </si>
  <si>
    <t>Departamento en venta Ciudad de Mendoza</t>
  </si>
  <si>
    <t>Necochea  40</t>
  </si>
  <si>
    <t>CAP7110804</t>
  </si>
  <si>
    <t>Departamento 2 ambientes con balcón y cochera en VENTA</t>
  </si>
  <si>
    <t>Raquel Español  al 100</t>
  </si>
  <si>
    <t>HONDURAS 3740</t>
  </si>
  <si>
    <t>DEPARTAMENTO VENTA HONDURAS 3740</t>
  </si>
  <si>
    <t>Arias 3183</t>
  </si>
  <si>
    <t>Caracas Nº 1.525</t>
  </si>
  <si>
    <t>CAP7225197</t>
  </si>
  <si>
    <t>Venta departamento 2 habitaciones mendoza</t>
  </si>
  <si>
    <t>La plata  41</t>
  </si>
  <si>
    <t>Argentina | Mendoza | Capital | Mendoza | Cuarta Sección</t>
  </si>
  <si>
    <t>DUPLEX 46 11 Y 12</t>
  </si>
  <si>
    <t>activa</t>
  </si>
  <si>
    <t>tigre park torre tierra 4to h</t>
  </si>
  <si>
    <t>CAP6830451</t>
  </si>
  <si>
    <t>Venta Departamento 2 ambientes en Caballito  CON PATIO Y BALCON PISO 3</t>
  </si>
  <si>
    <t>Yerbal  1000        PISO 3</t>
  </si>
  <si>
    <t>Estados Unidos  2154</t>
  </si>
  <si>
    <t>Estados Unidos 2154</t>
  </si>
  <si>
    <t>CFC7121640</t>
  </si>
  <si>
    <t>Cabañas en Venta - Complejo Turístico Potrerillos</t>
  </si>
  <si>
    <t>Argentina | Mendoza | Lujan De Cuyo | Potrerillos</t>
  </si>
  <si>
    <t>CCO55382 AP6516822</t>
  </si>
  <si>
    <t>Venta/Alquiler Departamento 2 Ambientes - Vilahaus, Ayres Vila</t>
  </si>
  <si>
    <t>Venta/ Alquiler Departamento 2 Ambientes - Vilahaus, Ayres Vila</t>
  </si>
  <si>
    <t>CAP5937369</t>
  </si>
  <si>
    <t xml:space="preserve">Departamento en Venta - Capital - Mendoza </t>
  </si>
  <si>
    <t>25 de Mayo  al 900</t>
  </si>
  <si>
    <t>CHO6759304</t>
  </si>
  <si>
    <t>Casa en Gonnet con quincho, parque y pileta - 486 esq. 23</t>
  </si>
  <si>
    <t>CAP6950734</t>
  </si>
  <si>
    <t>VENTA DEPARTAMENTO 3 DORMITORIOS CON DEPENDENCIA EN LAS CAÑITAS</t>
  </si>
  <si>
    <t>MIgueletes  al 500</t>
  </si>
  <si>
    <t>CPH7097318</t>
  </si>
  <si>
    <t>Venta PH 6 ambientes con patio y terraza en Villa Santa Rita</t>
  </si>
  <si>
    <t>Juan Agustin Garcia  al 3200</t>
  </si>
  <si>
    <t>CPH7050534</t>
  </si>
  <si>
    <t>VENTA PH 2 AMBIENTES Y ENTREPISO, BALCON, LUMINOSO, APTO CREDITO</t>
  </si>
  <si>
    <t>PORTELA al 1700</t>
  </si>
  <si>
    <t>Marraspin 3442 - Gomez Lama - Leo Maroni</t>
  </si>
  <si>
    <t xml:space="preserve">Marraspin 3442 </t>
  </si>
  <si>
    <t>UF 12 Altos Radal II</t>
  </si>
  <si>
    <t>Michay 100</t>
  </si>
  <si>
    <t>Gral Carlos de Alvear 2740 - Leonardo Fodor - Leo Maroni</t>
  </si>
  <si>
    <t>Gral Carlos de Alvear 2740</t>
  </si>
  <si>
    <t>CAP7205540</t>
  </si>
  <si>
    <t>3 Ambientes con cochera en Belgrano. Amplia Cocina</t>
  </si>
  <si>
    <t>vidal  al 1900</t>
  </si>
  <si>
    <t>Av. Pueyrredon 2409 - Toribio Achaval - Marina y Guadalupe</t>
  </si>
  <si>
    <t>Av. Pueyrredon 2409</t>
  </si>
  <si>
    <t>Lote UF 18 Manzano Bay View 694,93m2- 162106451620000</t>
  </si>
  <si>
    <t>Av. Arrayanes 10.000</t>
  </si>
  <si>
    <t>Rosas Castillo 2800</t>
  </si>
  <si>
    <t xml:space="preserve">Argentina | Interior Buenos Aires | Balcarce </t>
  </si>
  <si>
    <t>CFA6928177</t>
  </si>
  <si>
    <t>Finca de 8 has, con casa y galpón, a 18 minutos de San Rafael!</t>
  </si>
  <si>
    <t>Sardini y calle 4 0</t>
  </si>
  <si>
    <t>VAP6950907</t>
  </si>
  <si>
    <t>Monoambiente luminoso - Entre Ríos y Belgrano - vivienda y apto profesional</t>
  </si>
  <si>
    <t>Entre rios al 400 - Piso Alto</t>
  </si>
  <si>
    <t>CAP7044392</t>
  </si>
  <si>
    <t>Venta Departamento 2 Ambientes en Santos Lugares</t>
  </si>
  <si>
    <t>Pablo Giorello  al 1500</t>
  </si>
  <si>
    <t>CAP7037992</t>
  </si>
  <si>
    <t xml:space="preserve">Departamento en  venta, 2 ambientes en calle 7 e/ 32 y 33 </t>
  </si>
  <si>
    <t>7 e/ 32 y 33 31</t>
  </si>
  <si>
    <t>CAP6883338</t>
  </si>
  <si>
    <t>Oportunidad! 2 ambientes super luminoso en zona estratégica! Ideal inversión!</t>
  </si>
  <si>
    <t>Salguero al 1800</t>
  </si>
  <si>
    <t>Cuba 2400</t>
  </si>
  <si>
    <t>CAP6813344</t>
  </si>
  <si>
    <t xml:space="preserve">MONOAMBIENTE CON JARDIN - A ESTRENAR - </t>
  </si>
  <si>
    <t>VOLTA al 1800</t>
  </si>
  <si>
    <t>CAP6886368</t>
  </si>
  <si>
    <t>Austria 2400</t>
  </si>
  <si>
    <t>Op. con century. Lote Comahue 948,67 m2, loteo jarama- 162006296860000</t>
  </si>
  <si>
    <t>Av. 7 Lagos 500</t>
  </si>
  <si>
    <t>CAP7269061</t>
  </si>
  <si>
    <t>VENTA DEPARTAMENTO 3 AMB CON BALCON VILLA URQUIZA</t>
  </si>
  <si>
    <t>Avenida Congreso al 4300</t>
  </si>
  <si>
    <t>CPH7216728</t>
  </si>
  <si>
    <t>Venta PH 3 Ambientes en Caballito</t>
  </si>
  <si>
    <t>Av. Eva Perón al 1300</t>
  </si>
  <si>
    <t>CHO7087890</t>
  </si>
  <si>
    <t>Casa en VENTA de 3 dormitorios, 111 mts, Barrio Las Victorias -APTA CREDITO- Bariloche</t>
  </si>
  <si>
    <t>Reserva Venta Marianela Nay Casa Melipal II - Sarmiento Sup. 3785</t>
  </si>
  <si>
    <t>Sarmiento Superior 3785</t>
  </si>
  <si>
    <t>CAP7212292</t>
  </si>
  <si>
    <t>Venta Departamento 3 Ambientes en Villa Crespo</t>
  </si>
  <si>
    <t>Aguirre  al 500</t>
  </si>
  <si>
    <t>CAP7269117</t>
  </si>
  <si>
    <t>BENJAMIN SAENZ VALIENTE 1472</t>
  </si>
  <si>
    <t>Felipe Vallese 1353</t>
  </si>
  <si>
    <t>Felipe Vallese</t>
  </si>
  <si>
    <t>Tejedor</t>
  </si>
  <si>
    <t>tejedor</t>
  </si>
  <si>
    <t>CHO6525232</t>
  </si>
  <si>
    <t>Venta Casa  4 ambientes en Club Jardín Náutico Escobar c/amarra Río Paraná</t>
  </si>
  <si>
    <t xml:space="preserve">Club Jardín Nautico </t>
  </si>
  <si>
    <t>Argentina | G.B.A. Zona Norte | Escobar | Countries/B.Cerrado (Escobar) | Jardin Nautico De Escobar</t>
  </si>
  <si>
    <t>CHO6527642</t>
  </si>
  <si>
    <t>Duplex Pilar</t>
  </si>
  <si>
    <t>Tacuari al 300</t>
  </si>
  <si>
    <t>CAP6446170</t>
  </si>
  <si>
    <t>VENTA DEPARTAMENTO 3 AMBIENTES CON COCHERA VISTA ABIERTA EN NUÑEZ</t>
  </si>
  <si>
    <t>Cuba al 4600</t>
  </si>
  <si>
    <t>CAP6771879</t>
  </si>
  <si>
    <t>Departamento venta 4 amb</t>
  </si>
  <si>
    <t>Rincón al 100</t>
  </si>
  <si>
    <t>CAP6234351</t>
  </si>
  <si>
    <t>Venta Departamento 3 ambientes en Tigre Centro</t>
  </si>
  <si>
    <t>Saenz Peña al 900</t>
  </si>
  <si>
    <t>CAP6713879</t>
  </si>
  <si>
    <t>VENTA apto credito Casa de 3 dormitorios  Las Marias Bariloche</t>
  </si>
  <si>
    <t>Las Marias, San Carlos de Bariloche</t>
  </si>
  <si>
    <t>Argentina | Rio Negro | Bariloche | San Carlos De Bariloche | Las Marías</t>
  </si>
  <si>
    <t>CHO6931906</t>
  </si>
  <si>
    <t>Casa lote propio en venta con terraza patio cochera parrilla en Parque Chacabuco</t>
  </si>
  <si>
    <t>Tejedor al 800</t>
  </si>
  <si>
    <t>CPH7255069</t>
  </si>
  <si>
    <t xml:space="preserve">VENTA DE PH DE 2 AMBIENTES EN SAN CRISTOBAL </t>
  </si>
  <si>
    <t>Pavon  al 3500</t>
  </si>
  <si>
    <t>Leopardi 152</t>
  </si>
  <si>
    <t>AAP7302931</t>
  </si>
  <si>
    <t>Departamento 2 ambientes amplio en el corazón de Almagro</t>
  </si>
  <si>
    <t>Bartolomé Mitre  al 4000</t>
  </si>
  <si>
    <t>AMENABAR 2081</t>
  </si>
  <si>
    <t>Burela 2172 - Javier Lopez - Yamila Lesina</t>
  </si>
  <si>
    <t>Burela 2172</t>
  </si>
  <si>
    <t>VHO6955432</t>
  </si>
  <si>
    <t>Chalet 4 ambientes con garage, patio y parrilla en Olivos, imperdible!</t>
  </si>
  <si>
    <t>Blas Parera  al 2700</t>
  </si>
  <si>
    <t>Argentina | G.B.A. Zona Norte | Vicente López | Olivos | Olivos-Uzal/Panam.</t>
  </si>
  <si>
    <t>CAP7205657</t>
  </si>
  <si>
    <t>Venta Departamento 3 ambientes en  Saavedra al frente de la plaza  Cochera opc. Entrega Enero 2026</t>
  </si>
  <si>
    <t>Machain  al 3500 2 frente</t>
  </si>
  <si>
    <t>CAP7295102</t>
  </si>
  <si>
    <t>Venta departamento 3 ambientes balcón cochera patio Villa Crespo</t>
  </si>
  <si>
    <t>Gurruchaga al 1100</t>
  </si>
  <si>
    <t>CHO6622142</t>
  </si>
  <si>
    <t xml:space="preserve">Casa en Venta 3 dormitorios Haras Santa Maria El Molino- Financia </t>
  </si>
  <si>
    <t>Haras Santa Maria El Molino Escobar</t>
  </si>
  <si>
    <t xml:space="preserve">FLOREAN PAMPA </t>
  </si>
  <si>
    <t>DEPARTAMENTO FLOREAN PAMPA</t>
  </si>
  <si>
    <t>FLOREAN PAMPA - LA PAMPA 2975</t>
  </si>
  <si>
    <t>CPH7233668</t>
  </si>
  <si>
    <t>Venta PH 2 Ambientes en Villa Adelina</t>
  </si>
  <si>
    <t>Lamadrid al 1400</t>
  </si>
  <si>
    <t>Lote comercial Lucas</t>
  </si>
  <si>
    <t>Lote Comercial Lucas</t>
  </si>
  <si>
    <t>CAP2287495</t>
  </si>
  <si>
    <t>Venta depto. de 2 amb. en Saavedra a estrenar. Amenities</t>
  </si>
  <si>
    <t>CAP6990788</t>
  </si>
  <si>
    <t>Venta Departamento 2 ambientes en Las Cañitas - Apto Crédito</t>
  </si>
  <si>
    <t>Arce al 300</t>
  </si>
  <si>
    <t>CHO7053426</t>
  </si>
  <si>
    <t>Casa en venta  Sargento Cabral cinco dormitorios, patio y cochera! OPORTUNIDAD</t>
  </si>
  <si>
    <t>Casa en venta en Luciano Torrent al 1800 Barrio Sgto Cabral 5 dormitorios, patio y cochera. OPORTUNIDAD!!</t>
  </si>
  <si>
    <t>OP 193</t>
  </si>
  <si>
    <t>193	North Coral</t>
  </si>
  <si>
    <t xml:space="preserve">Virrey Vertiz 2400 </t>
  </si>
  <si>
    <t>JHO7016937</t>
  </si>
  <si>
    <t>Casa en  Ayres de PIlar</t>
  </si>
  <si>
    <t>Ruta Panamericana km 43.5</t>
  </si>
  <si>
    <t>Argentina | G.B.A. Zona Norte | Pilar | Countries/B.Cerrado (Pilar) | Ayres de Pilar</t>
  </si>
  <si>
    <t>CPH7338721</t>
  </si>
  <si>
    <t>PH en Cipolletti</t>
  </si>
  <si>
    <t>bernardino rivadavia al 300, cipolleti</t>
  </si>
  <si>
    <t>CPH7054376</t>
  </si>
  <si>
    <t>Venta PH 2 Ambientes con dos patios en Villa del Parque</t>
  </si>
  <si>
    <t>Pedro Lozano al 2700</t>
  </si>
  <si>
    <t>CAP7336443</t>
  </si>
  <si>
    <t>Departamento en Neuquén Cap.</t>
  </si>
  <si>
    <t>San Martin y Santiago del Estero</t>
  </si>
  <si>
    <t>CHO7072301</t>
  </si>
  <si>
    <t>Casa en Naudir en venta - A estrenar - Lote con fondo al verde</t>
  </si>
  <si>
    <t>CASA EN NAUDIR EN VENTA A ESTRENAR</t>
  </si>
  <si>
    <t>CHO6905977</t>
  </si>
  <si>
    <t>VENTA CASA TRIPLEX COCHERA PATIO Y PARRILLA EXCELENTE ESTADO APTO CREDITO FLORIDA</t>
  </si>
  <si>
    <t>AYACUCHO al 500</t>
  </si>
  <si>
    <t>CLA6884160</t>
  </si>
  <si>
    <t>Terreno en  en pleno centro apto desarrollo locales comerciales mas 2 viviendas a reformar.</t>
  </si>
  <si>
    <t>San Martin  al 121</t>
  </si>
  <si>
    <t>CAP6845163</t>
  </si>
  <si>
    <t>Departamento en venta 4 dormitorios</t>
  </si>
  <si>
    <t>Santa fe  al 900</t>
  </si>
  <si>
    <t>97Stella</t>
  </si>
  <si>
    <t>Local comercial barrio Sur</t>
  </si>
  <si>
    <t>CAP7278866</t>
  </si>
  <si>
    <t>Departamento en venta macrocentro Salta</t>
  </si>
  <si>
    <t>gorriti 40</t>
  </si>
  <si>
    <t>CAP6226154</t>
  </si>
  <si>
    <t>Venta monoambiente semipiso al frente con balcòn a estrenar 41 m2 san cristobal almagro boedo</t>
  </si>
  <si>
    <t>Constitucion  al 2200</t>
  </si>
  <si>
    <t>CAP6671466</t>
  </si>
  <si>
    <t>Venta Monoambiente divisible a estrenar con amenities en Palermo, Palermo Hollywood</t>
  </si>
  <si>
    <t>Coronel Niceto Vega al 5700</t>
  </si>
  <si>
    <t>CHO7305343</t>
  </si>
  <si>
    <t>Duplex Via Aurelia</t>
  </si>
  <si>
    <t>Via Aurelia</t>
  </si>
  <si>
    <t>Argentina | Salta | Capital | El Aybal</t>
  </si>
  <si>
    <t>N/C - MANSILLA 3937</t>
  </si>
  <si>
    <t>VENTA DPTO 2 AMBIENTES RECOLETA</t>
  </si>
  <si>
    <t>MANSILA 3937</t>
  </si>
  <si>
    <t>93Maricel</t>
  </si>
  <si>
    <t>Departamento en Candioti</t>
  </si>
  <si>
    <t>Alberdi 3452</t>
  </si>
  <si>
    <t xml:space="preserve">Reserva Venta Ivi Permuta Lote Solares UF77 </t>
  </si>
  <si>
    <t>92Nestor</t>
  </si>
  <si>
    <t>Departamento en Centro</t>
  </si>
  <si>
    <t xml:space="preserve">Eva Perón 2855 </t>
  </si>
  <si>
    <t>95Stella</t>
  </si>
  <si>
    <t>Casa en San Jose del Rincon</t>
  </si>
  <si>
    <t>Constituyentes 2500</t>
  </si>
  <si>
    <t>Argentina | Santa Fe | La Capital | San Jose Del Rincon</t>
  </si>
  <si>
    <t>departamento en venta en tigre</t>
  </si>
  <si>
    <t>Avenida Italia 1107</t>
  </si>
  <si>
    <t xml:space="preserve">Reserva Venta Dani Toro depto. Albarracín 1461 con salo </t>
  </si>
  <si>
    <t>OP 194</t>
  </si>
  <si>
    <t>Tempus Colon Av. Libertador 13185 1</t>
  </si>
  <si>
    <t>CHO3827568</t>
  </si>
  <si>
    <t>VENTA CASA 7 AMBIENTES CON JARDÍN Y PILETA EN MARTINEZ</t>
  </si>
  <si>
    <t>Colon al 100</t>
  </si>
  <si>
    <t>N/C - AV SANTA FE 2630</t>
  </si>
  <si>
    <t>VENTA MONOAMBIENTE EN RECOLETA C BALCON</t>
  </si>
  <si>
    <t>AV SANTA FE 2630</t>
  </si>
  <si>
    <t>N/C - LUIS MARIA CAMPOS 369</t>
  </si>
  <si>
    <t>VENTA DPTO MONOAMBIENTE EN CAÑITAS</t>
  </si>
  <si>
    <t>LUIS MARIA CAMPOS 369</t>
  </si>
  <si>
    <t xml:space="preserve">Av Corrientes 914 </t>
  </si>
  <si>
    <t xml:space="preserve">Quesada 3144 piso 3 </t>
  </si>
  <si>
    <t>OP 178</t>
  </si>
  <si>
    <t>Seguí 776</t>
  </si>
  <si>
    <t>Dpto en venta en Villa Crespo</t>
  </si>
  <si>
    <t>Thames 56 dto608</t>
  </si>
  <si>
    <t>CAP6936922</t>
  </si>
  <si>
    <t>Venta de Departamento monoambiente a estrenar en Agronomía</t>
  </si>
  <si>
    <t>Avenida Chorroarín al 500</t>
  </si>
  <si>
    <t>CAP7023542</t>
  </si>
  <si>
    <t>Venta de Departamento monoambiente con balcón en Agronomía</t>
  </si>
  <si>
    <t>Av. Chorroarin  al 500</t>
  </si>
  <si>
    <t>CAP7419822</t>
  </si>
  <si>
    <t>Venta, Depto, 2 ambientes, balcon, Cochera, Santos Lugares, Saenz Peña</t>
  </si>
  <si>
    <t>La Rioja  al 3500</t>
  </si>
  <si>
    <t>CPN67832 AP7516744</t>
  </si>
  <si>
    <t>Dpto en Venta - Barrio Rincon Veneto - Elpidio Gonzalez</t>
  </si>
  <si>
    <t>Elpidio Gonzalez</t>
  </si>
  <si>
    <t>Flores depto</t>
  </si>
  <si>
    <t>Avellaneda</t>
  </si>
  <si>
    <t>CAP7079304</t>
  </si>
  <si>
    <t>Departamento en  Venta Chateau del Palmar, Nordelta</t>
  </si>
  <si>
    <t>Argentina | G.B.A. Zona Norte | Tigre | Countries/B.Cerrado (Tigre) | Nordelta | El Palmar | Chateau del Palmar</t>
  </si>
  <si>
    <t>CAP7318531</t>
  </si>
  <si>
    <t>Venta 2 amb Palermo gran ubicación Apto credito!!!</t>
  </si>
  <si>
    <t xml:space="preserve">General Lucio Norberto Mansilla al 3600 </t>
  </si>
  <si>
    <t>Av Federico Lacroze 3318</t>
  </si>
  <si>
    <t>CHO6522434</t>
  </si>
  <si>
    <t>Alquiler de Casa 3 ambientes en Barrio Parque Pellegrini, Pilar</t>
  </si>
  <si>
    <t>Barrio Pellegrini Asuncion al 1400</t>
  </si>
  <si>
    <t>Argentina | G.B.A. Zona Norte | Pilar | Pilar | Pellegrini</t>
  </si>
  <si>
    <t>CBU59833 AP6720970</t>
  </si>
  <si>
    <t>VENTA DEPARTAMENTO 2 AMBIENTES EN POZO SAAVEDRA</t>
  </si>
  <si>
    <t>CLO728953</t>
  </si>
  <si>
    <t>Venta Local Oficina Comercial Balvanera Monserrat San Cristobal</t>
  </si>
  <si>
    <t>Chile al 1800</t>
  </si>
  <si>
    <t>Beiró 500</t>
  </si>
  <si>
    <t>Beiró</t>
  </si>
  <si>
    <t>AHO6750090</t>
  </si>
  <si>
    <t>Casa de tres ambientes mas departamento monoambiente en Banfield Oeste</t>
  </si>
  <si>
    <t>Almafuerte  al 1100</t>
  </si>
  <si>
    <t>CAP7382229</t>
  </si>
  <si>
    <t>Venta departamento 3 ambientes frente balcon Cochera Villa Urquiza</t>
  </si>
  <si>
    <t>Mendoza al 3900</t>
  </si>
  <si>
    <t>Dos ambientes recoleta</t>
  </si>
  <si>
    <t>Juncal 2850, UF 9 piso 2</t>
  </si>
  <si>
    <t>CAP7191658</t>
  </si>
  <si>
    <t>VENTA DEPARTAMENTO 3 AMBIENTES CON DEPENDENCIA Y 2 BALCONES</t>
  </si>
  <si>
    <t>Ayacucho al 100</t>
  </si>
  <si>
    <t>CPH7405703</t>
  </si>
  <si>
    <t>Venta de PH 4 ambientes en Villa Pueyrredón</t>
  </si>
  <si>
    <t>Carlos Molina Arrotea al 2800</t>
  </si>
  <si>
    <t>CAP7332099</t>
  </si>
  <si>
    <t>Venta Departamento 3 ambientes con Balcón y Baulera en Recoleta- Muy luminoso!</t>
  </si>
  <si>
    <t>Peña al 2100</t>
  </si>
  <si>
    <t>VAP6728549</t>
  </si>
  <si>
    <t>Venta departamento de 3 dormitorios con dependencia en Almagro</t>
  </si>
  <si>
    <t>Bartolome Mitre  al 4100</t>
  </si>
  <si>
    <t>Uriburu 1690 11ªA</t>
  </si>
  <si>
    <t>CPH7050004</t>
  </si>
  <si>
    <t>Venta/PH/4 Ambientes/AptoCredito/Cochera/Patio/Parrilla/Permuta/Liniers</t>
  </si>
  <si>
    <t>Pola 900</t>
  </si>
  <si>
    <t>CAP7208782</t>
  </si>
  <si>
    <t>Departamento venta duplex Villa Urquiza</t>
  </si>
  <si>
    <t>Donado  al 2700</t>
  </si>
  <si>
    <t>CAP7249546</t>
  </si>
  <si>
    <t>Departamento en venta 2 amb Olivos</t>
  </si>
  <si>
    <t>Hilarion de la quintana al 1600</t>
  </si>
  <si>
    <t>Argentina | G.B.A. Zona Norte | Vicente López | Olivos | Olivos-Maipu/Uzal</t>
  </si>
  <si>
    <t>CHO6935565</t>
  </si>
  <si>
    <t>Casa en  venta en Caoital Mendoza</t>
  </si>
  <si>
    <t>Mitre al 3500</t>
  </si>
  <si>
    <t>CAP6952465</t>
  </si>
  <si>
    <t>Venta departamento monoambiente con Patio en Flores</t>
  </si>
  <si>
    <t>Pedernera al 100</t>
  </si>
  <si>
    <t>VPN49872 LA5937407</t>
  </si>
  <si>
    <t>LOTES FINANCIADOS en Del Viso - Pilar - El Paso</t>
  </si>
  <si>
    <t>BARRIO EL PASO</t>
  </si>
  <si>
    <t>Juncal 2688</t>
  </si>
  <si>
    <t>CAP6363710</t>
  </si>
  <si>
    <t>Depto Loft en Venta  Apto vivienda o apto profesional - Studios- Ayres Vila- Pilar</t>
  </si>
  <si>
    <t>Los Cardos</t>
  </si>
  <si>
    <t>Lote en Los Cardos Pilar - 700 mts2</t>
  </si>
  <si>
    <t>Manuel Luis de Oliden Manuel Alberti</t>
  </si>
  <si>
    <t>Argentina | G.B.A. Zona Norte | Pilar | Countries/B.Cerrado (Pilar) | Los Cardos</t>
  </si>
  <si>
    <t>VHO6795238</t>
  </si>
  <si>
    <t>Casa A Estrenar en San Matias en Venta con Piscina</t>
  </si>
  <si>
    <t>CASA A ESTRENAR EN SAN MATIAS EN VENTA CON PISCINA</t>
  </si>
  <si>
    <t>CAP6977084</t>
  </si>
  <si>
    <t>VENTA DEPARTAMENTO 2 AMBIENTES C/ BALCON Y AMENITIES. WILDE. APTO CREDITO.</t>
  </si>
  <si>
    <t>Avda. Bartolome Mitre al 5700</t>
  </si>
  <si>
    <t>CLA7305743</t>
  </si>
  <si>
    <t xml:space="preserve">Terreno en excelente Ubicacion </t>
  </si>
  <si>
    <t>Terreno en Blas parera al 5900</t>
  </si>
  <si>
    <t>Argentina | Santa Fe | La Capital | Santa Fe | Oeste</t>
  </si>
  <si>
    <t>CAP6767785</t>
  </si>
  <si>
    <t>Venta 4 ambientes en Balvanera</t>
  </si>
  <si>
    <t>Lavalle al 2000</t>
  </si>
  <si>
    <t>CHO7276413</t>
  </si>
  <si>
    <t xml:space="preserve">Casa centro San Rafael </t>
  </si>
  <si>
    <t>MONTECASEROS  84 SAN RAFAEL MENDOZA</t>
  </si>
  <si>
    <t>CAP7340998</t>
  </si>
  <si>
    <t>Venta departamento 2 amb Recoleta</t>
  </si>
  <si>
    <t>Anchorena al 1600</t>
  </si>
  <si>
    <t>CHO6606669</t>
  </si>
  <si>
    <t>Venta Casa 5 Ambientes en San Justo – Lote Propio – Apto Crédito</t>
  </si>
  <si>
    <t>Ambrosetti al 3200</t>
  </si>
  <si>
    <t>CAP7182909</t>
  </si>
  <si>
    <t>Departamento en venta 2 amb  VILLA CRESPO Balcón luminoso prox subte</t>
  </si>
  <si>
    <t>lavalleja 700</t>
  </si>
  <si>
    <t xml:space="preserve">Thames 56 dto 905 </t>
  </si>
  <si>
    <t>VHO6039001</t>
  </si>
  <si>
    <t>Casa en venta Puertos del Lago ACACIAS</t>
  </si>
  <si>
    <t>Puertos del Lago ACACIAS</t>
  </si>
  <si>
    <t>Argentina | G.B.A. Zona Norte | Escobar | Countries/B.Cerrado (Escobar) | Puertos del Lago | Acacias</t>
  </si>
  <si>
    <t>CBU63770 AP7012291</t>
  </si>
  <si>
    <t>Departamento 3 ambientes en Venta al POZO en San Isidro</t>
  </si>
  <si>
    <t>25 de Mayo 96 - 2do Piso</t>
  </si>
  <si>
    <t>CLA7061233</t>
  </si>
  <si>
    <t>VENTA TERRENO EN CABALLITO - IDEAL EMPRENDIMIENTO.</t>
  </si>
  <si>
    <t>Aranguren  al 600</t>
  </si>
  <si>
    <t>CAP6902390</t>
  </si>
  <si>
    <t>Alvarado 1850. 2 dorm. 2 piso por escalera</t>
  </si>
  <si>
    <t xml:space="preserve">Alvarado al 1800 </t>
  </si>
  <si>
    <t>CAP7008497</t>
  </si>
  <si>
    <t>Venta Departamento de 2 ambientes con balcón al frente en caballito/flores</t>
  </si>
  <si>
    <t>ESPINOSA 82</t>
  </si>
  <si>
    <t>CAP6741550</t>
  </si>
  <si>
    <t>Venta Departamento 2 Ambientes en Boedo</t>
  </si>
  <si>
    <t>Colombres al 900</t>
  </si>
  <si>
    <t>CAP7340975</t>
  </si>
  <si>
    <t>Departamento en San Cristobal</t>
  </si>
  <si>
    <t>Dean funes  al 870</t>
  </si>
  <si>
    <t>AAP7313480</t>
  </si>
  <si>
    <t>Departamento en Villa Luro</t>
  </si>
  <si>
    <t>Moliere al 800</t>
  </si>
  <si>
    <t>CAP7098794</t>
  </si>
  <si>
    <t xml:space="preserve">Departamento en  VENTA 3 AMBIENTES </t>
  </si>
  <si>
    <t>ADOLFO ALSINA 2065 7</t>
  </si>
  <si>
    <t>CHO7407691</t>
  </si>
  <si>
    <t>Agustin Alvarez al 100</t>
  </si>
  <si>
    <t>CAP6872663</t>
  </si>
  <si>
    <t>Departamento en Villa del Parque</t>
  </si>
  <si>
    <t>Avenida Nazca al 2300</t>
  </si>
  <si>
    <t>CAP7217106</t>
  </si>
  <si>
    <t>Departamento en venta Salta centro</t>
  </si>
  <si>
    <t>Av Belgrano al 900</t>
  </si>
  <si>
    <t>CAP6982259</t>
  </si>
  <si>
    <t>Departamento en  Venta en Saavedra a  2 ambientes</t>
  </si>
  <si>
    <t>Manzanares al 3100</t>
  </si>
  <si>
    <t>VCC51142 AP5194725</t>
  </si>
  <si>
    <t>FINANCIACIÓN!!! Departamento 3 Amb en  Venta Medal Country Club Condominios al Golf</t>
  </si>
  <si>
    <t>VOB62330 OF6903719</t>
  </si>
  <si>
    <t>Oficina en Venta Meet Pilar</t>
  </si>
  <si>
    <t>Venta Oficina a estrenar Pilar</t>
  </si>
  <si>
    <t>B° Cerrado valle claro</t>
  </si>
  <si>
    <t>Casa en Barrio Santa Elisa Pilar del Este</t>
  </si>
  <si>
    <t>Pilar del Este</t>
  </si>
  <si>
    <t>CHO6323790</t>
  </si>
  <si>
    <t>Venta Casa 6 amb con Pileta Barrio Cerrado Lote  2000 m2 en Lujan</t>
  </si>
  <si>
    <t>Argentina | G.B.A. Zona Oeste | Lujan | Countries/B.Cerrado (Lujan) | Santa Ines</t>
  </si>
  <si>
    <t>CLA7148415</t>
  </si>
  <si>
    <t xml:space="preserve">BARRIO PRIVADO ALMA GARDENIA LOTE 500 m2 UBICACIÓN PRIVILEGIADA </t>
  </si>
  <si>
    <t xml:space="preserve">LOTE BARRIO PRIVADO ALMA GARDENIA Acceso Sur y calle Bulnes  </t>
  </si>
  <si>
    <t>101Lily</t>
  </si>
  <si>
    <t>Casa en Guadalupe Oeste</t>
  </si>
  <si>
    <t>Javier de la Rosa 2129</t>
  </si>
  <si>
    <t>96Eric</t>
  </si>
  <si>
    <t>Departamento en Barrio Sur</t>
  </si>
  <si>
    <t>1 de Mayo 1045 Piso 17 Unidad D</t>
  </si>
  <si>
    <t>Congreso 3321</t>
  </si>
  <si>
    <t>VAP6808008</t>
  </si>
  <si>
    <t>Venta monoambiente en Palermo Hollywood con amenities</t>
  </si>
  <si>
    <t>Dorrego  al 1800</t>
  </si>
  <si>
    <t>CHO4063256</t>
  </si>
  <si>
    <t>VENTA CASA 4 AMBIENTES EN 2 PLANTAS - RETASADA - EL CASCO</t>
  </si>
  <si>
    <t>COUNTRY CLUB EL CASCO</t>
  </si>
  <si>
    <t xml:space="preserve">Argentina | G.B.A. Zona Norte | Zarate </t>
  </si>
  <si>
    <t>Vidal 2815 4 401</t>
  </si>
  <si>
    <t xml:space="preserve">Vidal 2815 </t>
  </si>
  <si>
    <t>CAP7282179</t>
  </si>
  <si>
    <t>Venta Departamento Dúuplex con terraza y cochera - Palermo Soho</t>
  </si>
  <si>
    <t>Uriarte 1300</t>
  </si>
  <si>
    <t>CHO7388867</t>
  </si>
  <si>
    <t>Casa en venta a reciclar 158 entre 67 y 68 Los Hornos</t>
  </si>
  <si>
    <t>158 entre 67 y 68</t>
  </si>
  <si>
    <t>Venta Mariano Moreno</t>
  </si>
  <si>
    <t>Mariano Moreno 5947</t>
  </si>
  <si>
    <t>CAP7251663</t>
  </si>
  <si>
    <t>Departamento en Floresta Norte</t>
  </si>
  <si>
    <t>Aranguren  al 3700</t>
  </si>
  <si>
    <t>CAP6787791</t>
  </si>
  <si>
    <t>Venta Departamento Monoambiente en Palermo Hollywood</t>
  </si>
  <si>
    <t>José A. Cabrera  al 4100</t>
  </si>
  <si>
    <t>CAP6534688</t>
  </si>
  <si>
    <t>Venta Departamento Monoambiente en Las Cañitas</t>
  </si>
  <si>
    <t>Jorge Newbery  al 1800</t>
  </si>
  <si>
    <t>ARTIGAS 2867</t>
  </si>
  <si>
    <t>JPH7312195</t>
  </si>
  <si>
    <t>PH en Florida</t>
  </si>
  <si>
    <t>Aristobulo del valle 1200</t>
  </si>
  <si>
    <t>CHO6920656</t>
  </si>
  <si>
    <t xml:space="preserve">Casa en  Venta 4 dormitorios Barrio Santa Elena Pilar del Este </t>
  </si>
  <si>
    <t>Barrio Santa Elena Pilar del Este</t>
  </si>
  <si>
    <t xml:space="preserve">Argentina | G.B.A. Zona Norte | Pilar | Countries/B.Cerrado (Pilar) | Pilar Del Este | Santa Elena </t>
  </si>
  <si>
    <t>Soler 4099 piso 8 dto A</t>
  </si>
  <si>
    <t>CHO7136775</t>
  </si>
  <si>
    <t>Casa en venta en barrio privado, Haras el Terraplen, Gral Rodriguez</t>
  </si>
  <si>
    <t>Haras el Terraplen, lote  al 300</t>
  </si>
  <si>
    <t>98Stella</t>
  </si>
  <si>
    <t>Casa de dos dormitorios y cochera</t>
  </si>
  <si>
    <t>San Lorenzo 5100</t>
  </si>
  <si>
    <t>CASA Almeira</t>
  </si>
  <si>
    <t>Almeira</t>
  </si>
  <si>
    <t>VAP6613517</t>
  </si>
  <si>
    <t>Departamento APTO CREDITO 2 amb C/Coch en Club Bamboo Pilar</t>
  </si>
  <si>
    <t>Caamaño al 1000</t>
  </si>
  <si>
    <t>Argentina | G.B.A. Zona Norte | Pilar | Villa Rosa | Club Bamboo</t>
  </si>
  <si>
    <t>AAA6818675</t>
  </si>
  <si>
    <t>Depto 2 amb en duplex a la VENTA, Lago del Sendero, Nordelta</t>
  </si>
  <si>
    <t>Departamento de 2 ambientes en duplex a la VENTA | Lago del Sendero, Nordelta</t>
  </si>
  <si>
    <t>Argentina | G.B.A. Zona Norte | Tigre | Countries/B.Cerrado (Tigre) | Nordelta | Sendero</t>
  </si>
  <si>
    <t>CPH7139877</t>
  </si>
  <si>
    <t>VENTA PH EN VILLA DEL PARQUE PATIO TERRAZA QUINCHO</t>
  </si>
  <si>
    <t>Juan Agustín García al 2300</t>
  </si>
  <si>
    <t>OP 191</t>
  </si>
  <si>
    <t>Loyola 461</t>
  </si>
  <si>
    <t>loyola 461</t>
  </si>
  <si>
    <t>CAP7022441</t>
  </si>
  <si>
    <t>Venta departamento 2 ambientes mas escritorio, balcón, Belgrano R</t>
  </si>
  <si>
    <t>Mendoza  al 3300</t>
  </si>
  <si>
    <t>CBU65829 AP7250289</t>
  </si>
  <si>
    <t>Departamento en Venta 3 AMB - Zona Saavedra OPORTUNIDAD</t>
  </si>
  <si>
    <t>Deheza  al 3100</t>
  </si>
  <si>
    <t>CPH6377017</t>
  </si>
  <si>
    <t>Moderno Dúplex a Estrenar en Barrio Las Victorias -  APTO CRÉDITO HIPOTECARIO</t>
  </si>
  <si>
    <t xml:space="preserve"> Bazurco 3429</t>
  </si>
  <si>
    <t>CHO7325370</t>
  </si>
  <si>
    <t>CASA EN NAUDIR EN VENTA - 5 AMBIENTES</t>
  </si>
  <si>
    <t>VHO5625300</t>
  </si>
  <si>
    <t>Casa en  venta Aero Club Gral Rodriguez Apto Crédito</t>
  </si>
  <si>
    <t>ruta 6 y arroyo La Choza - gral Rodriguez</t>
  </si>
  <si>
    <t>Argentina | G.B.A. Zona Oeste | General Rodriguez | Countries/B.Cerrado (G. Rodriguez) | Aero Country Club</t>
  </si>
  <si>
    <t>CAP6937218</t>
  </si>
  <si>
    <t>Venta Departamento 3 Ambientes con terraza propia en Almagro</t>
  </si>
  <si>
    <t>Av Belgrano al 4000</t>
  </si>
  <si>
    <t xml:space="preserve">Reserva Venta Gustavo Campo Ñorquinco Remax Mike </t>
  </si>
  <si>
    <t>Argentina | Rio Negro | Ñorquinco | Rio Chico</t>
  </si>
  <si>
    <t>CAP6904818</t>
  </si>
  <si>
    <t>Departamento 2 amb  por escalera en venta en Villa Crespo. Muy bajas expensas!</t>
  </si>
  <si>
    <t>Julian Alvarez al 800</t>
  </si>
  <si>
    <t>AAP7313574</t>
  </si>
  <si>
    <t>Departamento en Boedo</t>
  </si>
  <si>
    <t>colombres al 800</t>
  </si>
  <si>
    <t>N/C - TAMBORINI 5041</t>
  </si>
  <si>
    <t>VENTA DPTO 2 AMBIENTES VILLA URQUIZA</t>
  </si>
  <si>
    <t>TAMBORINI 5041</t>
  </si>
  <si>
    <t>DEPTO COLEGA</t>
  </si>
  <si>
    <t>DEPTO. 3 AMBIENTES</t>
  </si>
  <si>
    <t>CONGRESO 2369</t>
  </si>
  <si>
    <t>CAP6412936</t>
  </si>
  <si>
    <t>VENTA  4 AMB, C/BALCÓN COCHERA OPCIONAL EN PALERMO</t>
  </si>
  <si>
    <t>Gorriti   al 3800</t>
  </si>
  <si>
    <t>CHO6967932</t>
  </si>
  <si>
    <t>Muy linda Casa refaccionada a nuevo  - Santa Clara, Villanueva</t>
  </si>
  <si>
    <t>Casa en Venta - 5 AMB en Santa Clara, Villanueva</t>
  </si>
  <si>
    <t>DHO1095491</t>
  </si>
  <si>
    <t>Casa - La Mansa</t>
  </si>
  <si>
    <t>La Mansa</t>
  </si>
  <si>
    <t>Argentina | G.B.A. Zona Norte | Tigre | Countries/B.Cerrado (Tigre) | Nordelta | Islas del Golf | La Mansa</t>
  </si>
  <si>
    <t>CAP6736595</t>
  </si>
  <si>
    <t>VENTA DEPARTAMENTO 3 AMBIENTES EN LANUS OESTE CENTRO</t>
  </si>
  <si>
    <t>Piñeiro 0</t>
  </si>
  <si>
    <t>CAP7249136</t>
  </si>
  <si>
    <t>Departamento de 2 Ambientes en Palermo Hollywood - RESERVADO</t>
  </si>
  <si>
    <t>Angel Justiniano Carranza 2100</t>
  </si>
  <si>
    <t>JHO7385338</t>
  </si>
  <si>
    <t>Casa en Victoria</t>
  </si>
  <si>
    <t>Blanco Encalada  al 3300</t>
  </si>
  <si>
    <t>OP 201</t>
  </si>
  <si>
    <t>san martin 1674 3 b</t>
  </si>
  <si>
    <t>CHO7042296</t>
  </si>
  <si>
    <t>Casa APTO CRÉDITO - LOMA VERDE EXCELENTE ACCESO</t>
  </si>
  <si>
    <t>APTO CREDITO! Casa en Altos de Don Segundo</t>
  </si>
  <si>
    <t>Argentina | G.B.A. Zona Norte | Escobar | Countries/B.Cerrado (Escobar) | Altos De Don Segundo</t>
  </si>
  <si>
    <t>CAP7205768</t>
  </si>
  <si>
    <t>VENTA 2 AMBIENTES CON COCHERA EN VICENTE LOPEZ AMENITIES APTO CREDITO</t>
  </si>
  <si>
    <t>ARISTOBULO DEL VALLE al 700 TORRE PREMIUM</t>
  </si>
  <si>
    <t>CHO7335053</t>
  </si>
  <si>
    <t>VENTA CASA 5 AMBIENTES con GARAGE en Versalles</t>
  </si>
  <si>
    <t>Cuzco 700</t>
  </si>
  <si>
    <t>CAP7408870</t>
  </si>
  <si>
    <t>monoambiente en arenales 425</t>
  </si>
  <si>
    <t>Monoambiente Arenales 425</t>
  </si>
  <si>
    <t>CAP7133045</t>
  </si>
  <si>
    <t>Vendo DTO, vista al lago, 3 dormitorios pleno centro.</t>
  </si>
  <si>
    <t>P. Moreno al 500</t>
  </si>
  <si>
    <t>CLA7046370</t>
  </si>
  <si>
    <t xml:space="preserve">VENTA Lote Villa Meliquina 1000m2 Oportunidad lote 4  MANZANA J </t>
  </si>
  <si>
    <t xml:space="preserve">meliquina </t>
  </si>
  <si>
    <t>CAP6783029</t>
  </si>
  <si>
    <t>Venta Departamento Monoambiente Apto Crédito Moreno Centro</t>
  </si>
  <si>
    <t>Nemesio alvarez al 500</t>
  </si>
  <si>
    <t xml:space="preserve">Argentina | G.B.A. Zona Oeste | Moreno </t>
  </si>
  <si>
    <t xml:space="preserve">Reserva Venta Nayla Heydi Dpto Vicealmirante O'Connor 369 </t>
  </si>
  <si>
    <t>DEPARTAMENTO EN BALVANERA</t>
  </si>
  <si>
    <t>Pasco 79</t>
  </si>
  <si>
    <t>Beyker</t>
  </si>
  <si>
    <t>CAP7321468</t>
  </si>
  <si>
    <t>Venta monoambiente Belgrano a estrenar gran balcón</t>
  </si>
  <si>
    <t>Cespedes al 2200</t>
  </si>
  <si>
    <t>BENJAMIN SAENZ VALIENTE 1525</t>
  </si>
  <si>
    <t>CHO7148312</t>
  </si>
  <si>
    <t>Casa en  Venta 3 dormitorios Santa Elisa Pilar del este</t>
  </si>
  <si>
    <t xml:space="preserve">Allende 4519 </t>
  </si>
  <si>
    <t>CAP7152925</t>
  </si>
  <si>
    <t>Venta 2 amb en San Fernando (bajas expensas)</t>
  </si>
  <si>
    <t>3 de febrero al 1200</t>
  </si>
  <si>
    <t>CAP6709750</t>
  </si>
  <si>
    <t>Venta Monoambiente  con cochera en Las Cañitas Apto Credito</t>
  </si>
  <si>
    <t>Baez  al 500</t>
  </si>
  <si>
    <t>N/C - BAEZ 583</t>
  </si>
  <si>
    <t>VENTA DPTO MONOAMBIENTE LAS CAÑITAS</t>
  </si>
  <si>
    <t>BAEZ 583</t>
  </si>
  <si>
    <t>CLA7109553</t>
  </si>
  <si>
    <t>VENTA Lote Terreno 986m2 B° Náutico  acceso al lago Nahuel Huapi Villa la Angostura</t>
  </si>
  <si>
    <t>Bv. Quetrihue al 300</t>
  </si>
  <si>
    <t>CAP6761346</t>
  </si>
  <si>
    <t>Venta departamento 3 ambientes baño y toilette - Charcas y Coronel Diaz- Apto crédito - Palermo</t>
  </si>
  <si>
    <t>República Dominicana 3318 4</t>
  </si>
  <si>
    <t>99Eric</t>
  </si>
  <si>
    <t xml:space="preserve">Local comercial </t>
  </si>
  <si>
    <t>Rivadavia 6740</t>
  </si>
  <si>
    <t>CAP6991794</t>
  </si>
  <si>
    <t>Hermoso Departamento en Palermo</t>
  </si>
  <si>
    <t>Mansilla al 4000, Palermo</t>
  </si>
  <si>
    <t>op 204</t>
  </si>
  <si>
    <t>Hipolito Yrigoyen 1533 4 D</t>
  </si>
  <si>
    <t>106Stella</t>
  </si>
  <si>
    <t>Casa en Maria Selva</t>
  </si>
  <si>
    <t>Rivadavia 6226</t>
  </si>
  <si>
    <t>CHO7111712</t>
  </si>
  <si>
    <t>VENTA CASA EN SAAVEDRA</t>
  </si>
  <si>
    <t>Quintana al 4400</t>
  </si>
  <si>
    <t>CHO6880418</t>
  </si>
  <si>
    <t>Casa  Cabaña en  venta Bariloche</t>
  </si>
  <si>
    <t>Melipal, San Carlos de Bariloche</t>
  </si>
  <si>
    <t>CHO7205766</t>
  </si>
  <si>
    <t>Venta Casa Multifamiliar 4 Ambientes con Patio, Terraza en Villa Ballester</t>
  </si>
  <si>
    <t>Buenos Aires al 6300</t>
  </si>
  <si>
    <t>CAP7068386</t>
  </si>
  <si>
    <t>Departamento Monoambiente en pozo en Monserrat</t>
  </si>
  <si>
    <t>Salta al 1100</t>
  </si>
  <si>
    <t>N/C - CASTILLO 22</t>
  </si>
  <si>
    <t>VENTA DPTO MONOAMBIENTE VILLA CRESPO</t>
  </si>
  <si>
    <t>CASTILLO 22</t>
  </si>
  <si>
    <t>DEPARTAMENTO 2 AMBIENTES EN BELGRANO</t>
  </si>
  <si>
    <t>Vidal 2138</t>
  </si>
  <si>
    <t>CPH6822298</t>
  </si>
  <si>
    <t>PH CON 2 DORMITORIOS, RECICLADO A NUEVO - VILLA CRESPO</t>
  </si>
  <si>
    <t>MAHATMA GANDHI 734</t>
  </si>
  <si>
    <t>VHO6073953</t>
  </si>
  <si>
    <t>Venta casa 3 dormitorios c/ dependencia APTO CREDITO - San Andrés - Villanueva</t>
  </si>
  <si>
    <t>Av. Italia  al 5200</t>
  </si>
  <si>
    <t>Argentina | G.B.A. Zona Norte | Tigre | Countries/B.Cerrado (Tigre) | Villanueva | San Andres</t>
  </si>
  <si>
    <t>CAP7271801</t>
  </si>
  <si>
    <t>DEPARTAMENTO 2 AMB EN VENTA VILLA URQUIZA</t>
  </si>
  <si>
    <t>CAP7055479</t>
  </si>
  <si>
    <t>Venta Departamento 5 Ambientes más dependencia APTO CRÉDITO en San Cristobal</t>
  </si>
  <si>
    <t>Av Entre Rios al 800</t>
  </si>
  <si>
    <t>CPH7206092</t>
  </si>
  <si>
    <t>PH en  Colegiales 3 ambientes con entrepiso y terraza con parrilla!!!</t>
  </si>
  <si>
    <t>Zabala al 3400</t>
  </si>
  <si>
    <t>CAP6603698</t>
  </si>
  <si>
    <t>VENTA Departamento 2 ambientes PA 59.14m2 a estrenar . Villa la Angostura. apto att</t>
  </si>
  <si>
    <t>Cerro Centinela al 100</t>
  </si>
  <si>
    <t>CAP4279155</t>
  </si>
  <si>
    <t>VENTA DEPARTAMENTO 3 AMBIENTES COCHERA  TODO LUZ NATURAL EN  PALERMO CHICO</t>
  </si>
  <si>
    <t>Av. Las Heras al 2700</t>
  </si>
  <si>
    <t>CAP6884446</t>
  </si>
  <si>
    <t>Oportunidad Departamento 4 amb. en Recoleta</t>
  </si>
  <si>
    <t>Juan Maria Gutierrez al 2700</t>
  </si>
  <si>
    <t>CLA6815295</t>
  </si>
  <si>
    <t>Hermoso lote de más de 3.000 m2 en Chacras de la Reserva - Cardales</t>
  </si>
  <si>
    <t>Barrio Privado Chacras de la Reserva</t>
  </si>
  <si>
    <t>Argentina | G.B.A. Zona Norte | Campana | Countries/B.Cerrado (Campana) | Chacras de la Reserva</t>
  </si>
  <si>
    <t>Don joaquin</t>
  </si>
  <si>
    <t>DON JOAQUIN</t>
  </si>
  <si>
    <t xml:space="preserve">DON JOAQUIN </t>
  </si>
  <si>
    <t>Argentina | G.B.A. Zona Sur | Ezeiza | Countries/B.Cerrado (Ezeiza) | Barrio Don Joaquin</t>
  </si>
  <si>
    <t>AP6347436</t>
  </si>
  <si>
    <t>Departamento Monoambiente Luminoso- Villa Ortuzar</t>
  </si>
  <si>
    <t>Los Incas 4536 5 (501)</t>
  </si>
  <si>
    <t>CAP7382562</t>
  </si>
  <si>
    <t>Monoambiente en venta en Palermo Soho.</t>
  </si>
  <si>
    <t>Fray Justo Santa Maria de Oro  al 2200, y Charcas</t>
  </si>
  <si>
    <t>Wings</t>
  </si>
  <si>
    <t>CAP7079869</t>
  </si>
  <si>
    <t>Departamento en  San Martin y Peatonal</t>
  </si>
  <si>
    <t>san martin  al 1000</t>
  </si>
  <si>
    <t>CAP6400240</t>
  </si>
  <si>
    <t>Departamento en venta en  Dorrego Guaymallén</t>
  </si>
  <si>
    <t>Remedios Escalada  al 1200</t>
  </si>
  <si>
    <t>Argentina | Mendoza | Guaymallen | Coronel Dorrego</t>
  </si>
  <si>
    <t>CAP6763425</t>
  </si>
  <si>
    <t>Venta departamento 2 habitaciones con cochera</t>
  </si>
  <si>
    <t>Estrada al 200</t>
  </si>
  <si>
    <t>Argentina | Mendoza | Las Heras | Las Heras</t>
  </si>
  <si>
    <t>CAP7203533</t>
  </si>
  <si>
    <t xml:space="preserve">Departamento en venta Barrio Bombal Sur </t>
  </si>
  <si>
    <t>Beltran  al 1700</t>
  </si>
  <si>
    <t>Argentina | Mendoza | Godoy Cruz | Godoy Cruz | Godoy Cruz | Bombal Sur</t>
  </si>
  <si>
    <t>CAP5997348</t>
  </si>
  <si>
    <t xml:space="preserve">Departamento en  Venta en Guaymallén - Mendoza </t>
  </si>
  <si>
    <t>Cochabamba al 3800</t>
  </si>
  <si>
    <t>Argentina | Mendoza | Guaymallen | Jesus Nazareno</t>
  </si>
  <si>
    <t>CAP6614590</t>
  </si>
  <si>
    <t>Departamento en  Venta - Barrio Bombal - Mendoza</t>
  </si>
  <si>
    <t>Serú 28</t>
  </si>
  <si>
    <t>CHO6926364</t>
  </si>
  <si>
    <t>Aristóbulo del Valle al 100</t>
  </si>
  <si>
    <t>Argentina | Mendoza | Guaymallen | San Jose De Guaymallen | San Jose</t>
  </si>
  <si>
    <t>COF6002288</t>
  </si>
  <si>
    <t>Oficina en  Venta en Capital - Mendoza</t>
  </si>
  <si>
    <t>Pedro Molina al 200</t>
  </si>
  <si>
    <t>CHO6829835</t>
  </si>
  <si>
    <t>Casa en  Venta ciudad de Mendoza</t>
  </si>
  <si>
    <t>Barrio Soberania Nacional,Cabildo de Mendoza s/N, manzana M.</t>
  </si>
  <si>
    <t>CAP6725416</t>
  </si>
  <si>
    <t>Departamento en Capital, Mendoza</t>
  </si>
  <si>
    <t>Mitre  al 2400</t>
  </si>
  <si>
    <t>CAP7100021</t>
  </si>
  <si>
    <t>Departamento en venta en Lujan de Cuyo</t>
  </si>
  <si>
    <t>DUPLEX 10 523 Y 524</t>
  </si>
  <si>
    <t>DUPLEX 10 523 Y524 TOLOSA</t>
  </si>
  <si>
    <t>Argentina | G.B.A. Zona Sur | La Plata | Tolosa</t>
  </si>
  <si>
    <t>PH 3 Y 58 Y 58</t>
  </si>
  <si>
    <t>PH 3 ENTRE 58 Y 59</t>
  </si>
  <si>
    <t>CAP6856104</t>
  </si>
  <si>
    <t>Departamento en  Venta - Godoy Cruz - Mendoza</t>
  </si>
  <si>
    <t>Cervantes  al 1400</t>
  </si>
  <si>
    <t>CAP7118826</t>
  </si>
  <si>
    <t>Hermoso departamento en venta</t>
  </si>
  <si>
    <t>Republica del Líbano 1500</t>
  </si>
  <si>
    <t>CAP6823372</t>
  </si>
  <si>
    <t xml:space="preserve">Departamento en venta en Lujan de Cuyo </t>
  </si>
  <si>
    <t>Argentina | Mendoza | Lujan De Cuyo | Lujan De Cuyo</t>
  </si>
  <si>
    <t>CLA6178453</t>
  </si>
  <si>
    <t>Venta Terreno en  PH de 534m2 en Dina Huapi Pilcaniyeu Rio Negro</t>
  </si>
  <si>
    <t>CAP7293391</t>
  </si>
  <si>
    <t>Departamento - Guaymallen</t>
  </si>
  <si>
    <t>Callejón Bejarano 1</t>
  </si>
  <si>
    <t>CHO6691838</t>
  </si>
  <si>
    <t>Dos Casas en Bloque a reciclar En Venta calle 527 3 y 4 Tolosa 6 dormitorios La Plata</t>
  </si>
  <si>
    <t>Dos Casas en bloque a reciclar calle 527 3 y 4 Tolosa</t>
  </si>
  <si>
    <t>CLO6633490</t>
  </si>
  <si>
    <t>Local Comercial en  Venta en Estación Torreón</t>
  </si>
  <si>
    <t>IRIGOYEN H. al 2500</t>
  </si>
  <si>
    <t>Argentina | Mendoza | Maipu | Luzuriaga</t>
  </si>
  <si>
    <t>CHO6098947</t>
  </si>
  <si>
    <t>Casa en  Venta en Maipú - Mendoza</t>
  </si>
  <si>
    <t>Calle Pablo Pescara  al 600</t>
  </si>
  <si>
    <t>Argentina | Mendoza | Maipu | Maipu</t>
  </si>
  <si>
    <t>CHO7166721</t>
  </si>
  <si>
    <t>Casa en  venta</t>
  </si>
  <si>
    <t>chaco al 3300</t>
  </si>
  <si>
    <t>España</t>
  </si>
  <si>
    <t>CAP6857476</t>
  </si>
  <si>
    <t>Departamento en venta Ciudad Mendoza</t>
  </si>
  <si>
    <t>9 de Julio al 1200</t>
  </si>
  <si>
    <t>Argentina | Mendoza | Capital | Mendoza | S2 Barrio Civico</t>
  </si>
  <si>
    <t>CLA7087254</t>
  </si>
  <si>
    <t>VENTA PH 3 AMBIENTES A REFACCIONAR PATIO FONDO VILLA GENERAL MITRE CABALLITO FLORES - PERMUTA</t>
  </si>
  <si>
    <t>Galicia al 2000</t>
  </si>
  <si>
    <t>CHO7260376</t>
  </si>
  <si>
    <t>Casa en venta barrio privado en Maipu</t>
  </si>
  <si>
    <t>Casa en venta en Barrio Privado Vista Oliva Maipu Mendoza</t>
  </si>
  <si>
    <t>CAP7128899</t>
  </si>
  <si>
    <t>Venta departamento mendoza</t>
  </si>
  <si>
    <t>San Martin al 100</t>
  </si>
  <si>
    <t>CLA7045623</t>
  </si>
  <si>
    <t xml:space="preserve">Terreno en  venta en CHACRAS DE CORIA </t>
  </si>
  <si>
    <t>Pueyrredon  al 2700</t>
  </si>
  <si>
    <t>CHO6731981</t>
  </si>
  <si>
    <t>Casa esquina en Cuarta Sección</t>
  </si>
  <si>
    <t>SOLER al 600</t>
  </si>
  <si>
    <t>CAP7144179</t>
  </si>
  <si>
    <t>Departamento en Venta Quinta Sección</t>
  </si>
  <si>
    <t>martinez de rosas</t>
  </si>
  <si>
    <t>CHO7370784</t>
  </si>
  <si>
    <t>Casa en venta de 3 dormitorios y dpto de 2 dormis en P.A. en Ringuelet</t>
  </si>
  <si>
    <t>Casa en venta de 3 dormitorios y dpto en P.A de 2 dormitorios en Ringuelet 519bis y 3</t>
  </si>
  <si>
    <t>Op. con Century. UF 1, Superficie total: 43,75m2, Superficie cubierta: 35m2, Superficie. semicubierta 5,5m2, Superficie Descubierta: 24m2 ubicado en calle Libertad s/n en emprendimiento “Rumbo 1” nomenclatura catastral 16-20-062-8266</t>
  </si>
  <si>
    <t>Libertad S/N</t>
  </si>
  <si>
    <t>yrigollen</t>
  </si>
  <si>
    <t>casa yrigollen</t>
  </si>
  <si>
    <t>CHO6163176</t>
  </si>
  <si>
    <t>Casa Barrio Lar de Drummond</t>
  </si>
  <si>
    <t>Barrio Lar de Drummond, Lote 1, Mza B, Lujan de Cuyo Mendoza</t>
  </si>
  <si>
    <t>Casa Duplex</t>
  </si>
  <si>
    <t>Duplex</t>
  </si>
  <si>
    <t>casa</t>
  </si>
  <si>
    <t>casa en venta busqueda</t>
  </si>
  <si>
    <t>CCO55382 AP5983662</t>
  </si>
  <si>
    <t>Departamento 2 ambientes - Vilahaus, Ayres Vila</t>
  </si>
  <si>
    <t>CAP7275077</t>
  </si>
  <si>
    <t>Departamento opcion amoblado en venta en Quinta Seccion Mendoza</t>
  </si>
  <si>
    <t>Av. Boulogne Sur Mer 555</t>
  </si>
  <si>
    <t>CHO6672926</t>
  </si>
  <si>
    <t>Casa en  venta en Barrio Privado Lomas de Terrada, Luján de Cuyo</t>
  </si>
  <si>
    <t>Barrio Privado Lomas de Terrada</t>
  </si>
  <si>
    <t>CAP7233289</t>
  </si>
  <si>
    <t>Departamento 3 ambientes a Estrenar Villa Urquiza</t>
  </si>
  <si>
    <t>Av congreso al 4300</t>
  </si>
  <si>
    <t>arizu</t>
  </si>
  <si>
    <t>casa arizu</t>
  </si>
  <si>
    <t>Argentina | Mendoza | Capital | Mendoza | Barrio Arizu </t>
  </si>
  <si>
    <t>CAP6981754</t>
  </si>
  <si>
    <t>VENTA DEPARTAMENTO 4 AMBIENTES RENOVADO SAN TELMO APTO CREDITO</t>
  </si>
  <si>
    <t>Defensa 1700</t>
  </si>
  <si>
    <t>CHO6703424</t>
  </si>
  <si>
    <t xml:space="preserve">Venta Casa Diseño, Barrio Laderas, Chacras de Coria </t>
  </si>
  <si>
    <t xml:space="preserve">Casa Diseño Barrio Laderas Chacras de Coria </t>
  </si>
  <si>
    <t>CHO6617025</t>
  </si>
  <si>
    <t>Casa en venta en Dalvian, Mendoza</t>
  </si>
  <si>
    <t>CAP6705336</t>
  </si>
  <si>
    <t>Venta departamento centro Mendoza</t>
  </si>
  <si>
    <t xml:space="preserve"> Venta departamento Centro MItre  al 1600</t>
  </si>
  <si>
    <t>102Maricel</t>
  </si>
  <si>
    <t>Dos casa en una propiedad</t>
  </si>
  <si>
    <t>Avellaneda 4301</t>
  </si>
  <si>
    <t>CPH7321625</t>
  </si>
  <si>
    <t>VENTA permuta ph tres ambientes sin expensas refaccionado terraza propia</t>
  </si>
  <si>
    <t>Doctor david peña  al 4117</t>
  </si>
  <si>
    <t>Tizado</t>
  </si>
  <si>
    <t>Antiguo Camino Manzana 595 UF 2 Parcela 6</t>
  </si>
  <si>
    <t>JAP7072396</t>
  </si>
  <si>
    <t>Departamento en  Venta  Caballito 2 ambientes Oportunidad!!!</t>
  </si>
  <si>
    <t>Eleodoro Lobos al 200</t>
  </si>
  <si>
    <t>CAP7259235</t>
  </si>
  <si>
    <t>VENTA MONOAMBIENTE A ESTRENAR - AVELLANEDA - DOMINICO</t>
  </si>
  <si>
    <t>CPH6952960</t>
  </si>
  <si>
    <t xml:space="preserve">PH en  WILDE sobre Av. Mitre </t>
  </si>
  <si>
    <t>Av Mitre al 6500</t>
  </si>
  <si>
    <t>CAP7267223</t>
  </si>
  <si>
    <t>VENTA DEPARTAMENTO 3 AMBIENTES TIGRE EXCLUSIVO APTO CRÉDITO</t>
  </si>
  <si>
    <t>9 de Julio al 800</t>
  </si>
  <si>
    <t xml:space="preserve">Reserva Venta Referido a Mati Lion Team Referido Leti </t>
  </si>
  <si>
    <t>CAP7330154</t>
  </si>
  <si>
    <t>Venta - Departamento - 4 Amb - Frente - Balcon - Belgrano - Apto Credito - Permuta</t>
  </si>
  <si>
    <t>Zabala 2270</t>
  </si>
  <si>
    <t>CLA7597779</t>
  </si>
  <si>
    <t>Terreno en Zona Sur</t>
  </si>
  <si>
    <t>La Verbena, calle 18</t>
  </si>
  <si>
    <t>DEPTO 13  NRO 425 1 PISO</t>
  </si>
  <si>
    <t>CAP7263496</t>
  </si>
  <si>
    <t>Departamento en venta 2 ambientes con balcón muy luminoso</t>
  </si>
  <si>
    <t>Fray Justo Santa Maria de Oro  al 5700</t>
  </si>
  <si>
    <t>Argentina | G.B.A. Zona Oeste | Tres De Febrero | Villa Bosch</t>
  </si>
  <si>
    <t>CAP7329108</t>
  </si>
  <si>
    <t xml:space="preserve">Departamento en venta 3 ambientes en Villa Luro con balcon </t>
  </si>
  <si>
    <t>Rafaela 4957  al 4900</t>
  </si>
  <si>
    <t>CHO6623586</t>
  </si>
  <si>
    <t>Casa a demoler en Juramento al 1200 (zona R1)</t>
  </si>
  <si>
    <t>JURAMENTO  al 1200</t>
  </si>
  <si>
    <t>CAP7175004</t>
  </si>
  <si>
    <t>Venta Departamento 2 ambientes en Palermo Chico</t>
  </si>
  <si>
    <t>Sinclair  al 3100</t>
  </si>
  <si>
    <t>CLA7406739</t>
  </si>
  <si>
    <t>Terreno en Liniers</t>
  </si>
  <si>
    <t>Pieres  al 100</t>
  </si>
  <si>
    <t>Goyena</t>
  </si>
  <si>
    <t>N/C - ARIAS 3188</t>
  </si>
  <si>
    <t xml:space="preserve">VENTA DPTO 3 AMBIENTES </t>
  </si>
  <si>
    <t>ARIAS 3188</t>
  </si>
  <si>
    <t>san eliseo golf 414</t>
  </si>
  <si>
    <t>lote venta san elíseo golf 414</t>
  </si>
  <si>
    <t>Juan Manuel de Rosas 470</t>
  </si>
  <si>
    <t>INCLAN 4278</t>
  </si>
  <si>
    <t>CAP4974245</t>
  </si>
  <si>
    <t>Venta departamento Parque Chacabuco 2 ambientes Apto Crédito</t>
  </si>
  <si>
    <t>Del Barco Centenera al 1800</t>
  </si>
  <si>
    <t>italia 1179</t>
  </si>
  <si>
    <t>italia 1179 1ro c tigre (remax)</t>
  </si>
  <si>
    <t xml:space="preserve"> italia 1179 1ro c tigre (remax)</t>
  </si>
  <si>
    <t>CAP7341637</t>
  </si>
  <si>
    <t>Venta Departamento 3 Ambientes en Colegiales</t>
  </si>
  <si>
    <t>Ciudad de la Paz  al 1300</t>
  </si>
  <si>
    <t>VAP6707301</t>
  </si>
  <si>
    <t>Departamento a la venta 3 ambientes en V. Urquiza - bajas expensas</t>
  </si>
  <si>
    <t>juramento al 4000</t>
  </si>
  <si>
    <t>CLO6474959</t>
  </si>
  <si>
    <t>Deposito en Venta en Devoto</t>
  </si>
  <si>
    <t>Tinogasta al 5000</t>
  </si>
  <si>
    <t>CAP6890800</t>
  </si>
  <si>
    <t>Departamento en Venta en Almagro - Permuta</t>
  </si>
  <si>
    <t>YAPEYU 83</t>
  </si>
  <si>
    <t>VPH6633705</t>
  </si>
  <si>
    <t>PH grande en Segundo Piso - 4 Ambientes - Pedro Goyena Caballito</t>
  </si>
  <si>
    <t>Pedro Goyena  al 1500</t>
  </si>
  <si>
    <t>N/C - AMENABAR 2860</t>
  </si>
  <si>
    <t>VENTA DPTO 3 AMBIENTES C BALCON</t>
  </si>
  <si>
    <t>AMENABAR 2860</t>
  </si>
  <si>
    <t>CBU60233 AP6592912</t>
  </si>
  <si>
    <t>Venta Departamento Dos Ambientes vista al lago a 5 minutos del centro</t>
  </si>
  <si>
    <t>CHO6944460</t>
  </si>
  <si>
    <t>Casa en  Vistalca Country</t>
  </si>
  <si>
    <t>Vistalba Country</t>
  </si>
  <si>
    <t>CAP7387859</t>
  </si>
  <si>
    <t>VENTA - 2 AMB - A RECICLAR</t>
  </si>
  <si>
    <t>Av. Pueyrredón al 900</t>
  </si>
  <si>
    <t>CAP7407326</t>
  </si>
  <si>
    <t>Venta de Ph en Boedo 3 Ambientes con terraza propia</t>
  </si>
  <si>
    <t>33 Orientales 1800</t>
  </si>
  <si>
    <t>CPH7554404</t>
  </si>
  <si>
    <t>Venta PH 4 ambientes terraza Parque Patricios</t>
  </si>
  <si>
    <t>Dr Enrique Finochietto al 2100</t>
  </si>
  <si>
    <t>CAP6979654</t>
  </si>
  <si>
    <t>Departamento en  CABALLITO NORTE</t>
  </si>
  <si>
    <t>JUAN BAUSTISTA ALBERDI al 800</t>
  </si>
  <si>
    <t>Departamento de 3 ambientes</t>
  </si>
  <si>
    <t>Lavalle 45</t>
  </si>
  <si>
    <t>CAP7012811</t>
  </si>
  <si>
    <t>Departamento de 2 ambientes con cochera en Venta, Victoria, San Fernando</t>
  </si>
  <si>
    <t>Dorrego al 1300, Victoria, San Fernando</t>
  </si>
  <si>
    <t>DAP3511633</t>
  </si>
  <si>
    <t>Departamento 3 Ambientes - Ciudad De Tigre - Sobre Av. Cazon - Excelente Ubicación</t>
  </si>
  <si>
    <t>Av Cazon al 900</t>
  </si>
  <si>
    <t>CHO6817333</t>
  </si>
  <si>
    <t>Casa  3 dormitorios con Pileta en San Ramiro- Pilar del este. Financiacion</t>
  </si>
  <si>
    <t>Casa  3 dormitorios con Pileta en San Ramiro- Pilar del este.</t>
  </si>
  <si>
    <t xml:space="preserve">Argentina | G.B.A. Zona Norte | Pilar | Countries/B.Cerrado (Pilar) | Pilar Del Este | San Ramiro </t>
  </si>
  <si>
    <t>CPH7342804</t>
  </si>
  <si>
    <t>VENTA PH en Palermo Soho con gran terraza</t>
  </si>
  <si>
    <t>soler  al 5000</t>
  </si>
  <si>
    <t>CPH7479563</t>
  </si>
  <si>
    <t>PH en Santa Fe</t>
  </si>
  <si>
    <t>PH a refaccionar en Barrio Maria Selva</t>
  </si>
  <si>
    <t>Billinghurst 329 5B</t>
  </si>
  <si>
    <t>CHO7027346</t>
  </si>
  <si>
    <t>APTO CRÉDITO - Casa 4 AMB en Garín Centro</t>
  </si>
  <si>
    <t>Argentina | G.B.A. Zona Norte | Escobar | Garin | Garin-Centro</t>
  </si>
  <si>
    <t>CLA7429709</t>
  </si>
  <si>
    <t>Terreno en Plottier</t>
  </si>
  <si>
    <t>sin nombre 0</t>
  </si>
  <si>
    <t>CBU59833 AP6532354</t>
  </si>
  <si>
    <t>Depto Calle Grecia 3394, Nuñez</t>
  </si>
  <si>
    <t>Calle Grecia 3394, Nuñez</t>
  </si>
  <si>
    <t>CAP7090066</t>
  </si>
  <si>
    <t>VENTA DEPARTAMENTO CON 1 HABITACIÓN Y BALCÓN EN LAS CAÑITAS</t>
  </si>
  <si>
    <t>Huergo  al 256</t>
  </si>
  <si>
    <t>CAP7334372</t>
  </si>
  <si>
    <t>VENDO MONOAMBIENTE EN URQUIZA AL FRENTE</t>
  </si>
  <si>
    <t>CAMPILLO  al 3000</t>
  </si>
  <si>
    <t>Niceto</t>
  </si>
  <si>
    <t>CAP7371180</t>
  </si>
  <si>
    <t>Departamento en Boca</t>
  </si>
  <si>
    <t>Almirante Brown al 200</t>
  </si>
  <si>
    <t>CLO7598956</t>
  </si>
  <si>
    <t>Venta de Local Comercial con financiación en Paseo Quinquela, Pilar</t>
  </si>
  <si>
    <t>Paseo Quinquela , Quinquela Martin  al 1300</t>
  </si>
  <si>
    <t>CPH7096164</t>
  </si>
  <si>
    <t>VENTA  PH en  Parque Avellaneda</t>
  </si>
  <si>
    <t>MOZART  al 500</t>
  </si>
  <si>
    <t>107Stella</t>
  </si>
  <si>
    <t>1 de Mayo 1600 1 C</t>
  </si>
  <si>
    <t>Av Libertador 6328 piso 15</t>
  </si>
  <si>
    <t xml:space="preserve">Pje Del Signo 4042 </t>
  </si>
  <si>
    <t xml:space="preserve">Juncal 2388 </t>
  </si>
  <si>
    <t>CAP6834181</t>
  </si>
  <si>
    <t>Departamento - San Salvador De Jujuy</t>
  </si>
  <si>
    <t>Av. Illia al 600</t>
  </si>
  <si>
    <t>COF6244446</t>
  </si>
  <si>
    <t>venta Oficina EQUIPADA, av. corrientes OPORTUNIDAD</t>
  </si>
  <si>
    <t>Av. Corriente  al 1300</t>
  </si>
  <si>
    <t>CHO7401344</t>
  </si>
  <si>
    <t>Casa en Coronel Dorrego</t>
  </si>
  <si>
    <t>Guayaquil al 200</t>
  </si>
  <si>
    <t xml:space="preserve">Reserva Venta Nayla Dpto Bonomo Tiscornia 274 SS B + Refuerzo </t>
  </si>
  <si>
    <t>Operacion diego con Gabriela Bada</t>
  </si>
  <si>
    <t>Departamento en calle Tunuyan, Godoy Cruz</t>
  </si>
  <si>
    <t>CPH7353442</t>
  </si>
  <si>
    <t>Venta PH 3 amb en  Barracas.</t>
  </si>
  <si>
    <t>Salmún Feijoo 958</t>
  </si>
  <si>
    <t>CAP7364105</t>
  </si>
  <si>
    <t>Departamento a estrenar 1 dormitorio ERCON en 43 e/ 15 y 16, La Plata</t>
  </si>
  <si>
    <t>43 e/ 15 y 16</t>
  </si>
  <si>
    <t>VAP7449626</t>
  </si>
  <si>
    <t>Venta departamento Monoambiente en  Belgrano. Full amenities</t>
  </si>
  <si>
    <t>Aguilar 2200</t>
  </si>
  <si>
    <t xml:space="preserve">Arevalo 1564 </t>
  </si>
  <si>
    <t>Estado de Israel 4537 5 C</t>
  </si>
  <si>
    <t>Venta Dpto. General Güemes N° 1636</t>
  </si>
  <si>
    <t>General Guemes N°1636</t>
  </si>
  <si>
    <t>COF6748942</t>
  </si>
  <si>
    <t>Oficina en  Venta en Edificio Chacras Park - Chacras de Coria - Mendoza</t>
  </si>
  <si>
    <t>Panamericana s/n</t>
  </si>
  <si>
    <t>VAP7473314</t>
  </si>
  <si>
    <t>Departamento en venta en Belgrano. Dos ambientes. Full amenities</t>
  </si>
  <si>
    <t>Aguilar 2282. Belgrano</t>
  </si>
  <si>
    <t>BHO1658694</t>
  </si>
  <si>
    <t>Casa - Rancho Grande - Hermoso Entorno Natural</t>
  </si>
  <si>
    <t>Bach J. San al 800</t>
  </si>
  <si>
    <t>JAP7450413</t>
  </si>
  <si>
    <t>Venta Hermoso Departamento de 3 ambientes c/cochera</t>
  </si>
  <si>
    <t>Virrey Loreto  al 2600</t>
  </si>
  <si>
    <t>CPH7325353</t>
  </si>
  <si>
    <t>Venta PH en Palermo con Terraza propia</t>
  </si>
  <si>
    <t>Arévalo al 1500</t>
  </si>
  <si>
    <t>CAP7080556</t>
  </si>
  <si>
    <t xml:space="preserve">DEPARTAMENTO EN VIDALINDADepartamento en  </t>
  </si>
  <si>
    <t>VIDAL 2300</t>
  </si>
  <si>
    <t>CLA7513332</t>
  </si>
  <si>
    <t>venta de terreno en solares del este</t>
  </si>
  <si>
    <t>Solares del Este, San Carlos de Bariloche</t>
  </si>
  <si>
    <t>CAP7231618</t>
  </si>
  <si>
    <t>Venta departamento quinta sección. Inversión asegurada</t>
  </si>
  <si>
    <t>Pueyrredon al 500</t>
  </si>
  <si>
    <t>Paraguay 430 - 1 7 -RE/MAX - Agustina Gaiña</t>
  </si>
  <si>
    <t>Paraguay 430</t>
  </si>
  <si>
    <t>VOT61512 AP6733374</t>
  </si>
  <si>
    <t>Departamento 2 ambientes en Pilar</t>
  </si>
  <si>
    <t>Joaquin Victor Gonzalez  al 1800</t>
  </si>
  <si>
    <t>Argentina | G.B.A. Zona Norte | Pilar | La Lonja | Chic Village</t>
  </si>
  <si>
    <t>CBU42019 AP4795924</t>
  </si>
  <si>
    <t>Departamento 1 ambiente vista al lago y cochera - Bariloche - Jardín Botánico</t>
  </si>
  <si>
    <t>CPH7347545</t>
  </si>
  <si>
    <t>PH en venta 3 ambientes con terraza en caballito</t>
  </si>
  <si>
    <t>Dr Nicolás Repetto  al 400</t>
  </si>
  <si>
    <t>CAP7281622</t>
  </si>
  <si>
    <t>VENTA departamento 4 ambientes en Palermo</t>
  </si>
  <si>
    <t>Avenida Raúl Scalabrini Ortiz 2400</t>
  </si>
  <si>
    <t>CAP6810730</t>
  </si>
  <si>
    <t>VENTA  DEPARTAMENTO 3 AMBIENTES DEPENDENCIA Y COCHERA, VILLA URQUIZA</t>
  </si>
  <si>
    <t>Roosevelt  al 5000</t>
  </si>
  <si>
    <t>casa ubicada en Los Raulíes 161 , barrio Los Robles, nomenclatura catastral: 15-20-054-3649-0000, con la siguientes superficies aproximadas 115 m2 cubiertos 27m2 descubiertos, con 805 m2 de superficie de  lote</t>
  </si>
  <si>
    <t>Los Raulies 450</t>
  </si>
  <si>
    <t>Argentina | Neuquen | Lacar | San Martin De Los Andes | Los Robles</t>
  </si>
  <si>
    <t>CAP7091056</t>
  </si>
  <si>
    <t>Venta - Departamento 4 ambientes con dependencia - cochera y baulera- Caballito</t>
  </si>
  <si>
    <t>Ambrosetti al 200</t>
  </si>
  <si>
    <t>UF 26 Santa Elena de Pilar del Este</t>
  </si>
  <si>
    <t>CAP7508003</t>
  </si>
  <si>
    <t>Venta Departamento 3 Ambientes  Vista al Río con Cochera en Nuñez</t>
  </si>
  <si>
    <t>Libertador  al 7500</t>
  </si>
  <si>
    <t>CAP7063122</t>
  </si>
  <si>
    <t>Departamento de 3 ambientes con cochera y baulera en COMPLEJO ALRIO</t>
  </si>
  <si>
    <t>Juan carlos Cruz al 100</t>
  </si>
  <si>
    <t>Anchordoqui 1424</t>
  </si>
  <si>
    <t>CHO6457504</t>
  </si>
  <si>
    <t>CASA EN VENTA EN LOTE DE 10 HECTAREAS EN EL DELTA DEL TIGRE EXCELENTE UBICACION EN PRIMERA SECCION</t>
  </si>
  <si>
    <t>Entre Arroyo Helbes y Arroyo Antequera</t>
  </si>
  <si>
    <t>Argentina | G.B.A. Zona Norte | Tigre | Zona Delta Tigre</t>
  </si>
  <si>
    <t>CAP6984474</t>
  </si>
  <si>
    <t>Departamento 2 Ambientes a Estrenar con Cochera - WE LIVE, Olivos</t>
  </si>
  <si>
    <t>Juan Carlos Cruz al 2200</t>
  </si>
  <si>
    <t>CAP7240446</t>
  </si>
  <si>
    <t>VENTA DEPTO 5 AMB DE CATEGORIA COCHERA Y  BAULERA</t>
  </si>
  <si>
    <t>Cerrito  al 1300</t>
  </si>
  <si>
    <t>CAP6883446</t>
  </si>
  <si>
    <t>Venta. Departamento 4 ambientes con jardin, San Isidro</t>
  </si>
  <si>
    <t>Juan Jose Diaz  al 800</t>
  </si>
  <si>
    <t>Argentina | G.B.A. Zona Norte | San Isidro | San Isidro | S.Isi.-Vias/Libert.</t>
  </si>
  <si>
    <t>VHO6779670</t>
  </si>
  <si>
    <t>Casa en Venta y Alquiler en Santa Barbara</t>
  </si>
  <si>
    <t>Casa en Venta en el Barrio Santa Barbara</t>
  </si>
  <si>
    <t>Argentina | G.B.A. Zona Norte | Tigre | Countries/B.Cerrado (Tigre) | Santa Barbara</t>
  </si>
  <si>
    <t>CHO7484413</t>
  </si>
  <si>
    <t>VENTA CASA EN VILLA ELENA CORTADERAS MERLO SAN LUIS</t>
  </si>
  <si>
    <t>Avenida Francisco de la Mota y 1 de mayo al 400</t>
  </si>
  <si>
    <t>Argentina | San Luis | Chacabuco | Villa Elena</t>
  </si>
  <si>
    <t>Grupo Elite II</t>
  </si>
  <si>
    <t xml:space="preserve">VENTA DEPARTAMENTO </t>
  </si>
  <si>
    <t>Perón 4171 U.F.113</t>
  </si>
  <si>
    <t>CAP7227218</t>
  </si>
  <si>
    <t>Venta semipiso apto credito 2 ambientes 2 balcones</t>
  </si>
  <si>
    <t>Ministro Brin 3460</t>
  </si>
  <si>
    <t>JAP7112576</t>
  </si>
  <si>
    <t>VENTA Departamento 3 ambientes PB al frente en Villa Urquiza</t>
  </si>
  <si>
    <t>Pacheco  al 2100</t>
  </si>
  <si>
    <t>CLA6734084</t>
  </si>
  <si>
    <t>Terreno en  Centro Bariloche Permuta</t>
  </si>
  <si>
    <t>CLO6731818</t>
  </si>
  <si>
    <t>VENTA Local en el centro, 45m2 Bariloche</t>
  </si>
  <si>
    <t>CPH6734964</t>
  </si>
  <si>
    <t>VENTA-PH-4AMB - AMPLIO - LUMINOSO - C/TERRAZA - PERMUTA</t>
  </si>
  <si>
    <t>Argerich 2800</t>
  </si>
  <si>
    <t>Congreso 2361 uf 24</t>
  </si>
  <si>
    <t>Congreso 2361</t>
  </si>
  <si>
    <t>Zapiola 969 1 D uf7</t>
  </si>
  <si>
    <t>CPH6045394</t>
  </si>
  <si>
    <t>VENTA PH km 5, dos dormitorios, con patio, Bariloche</t>
  </si>
  <si>
    <t>Pinar del Lago, San Carlos de Bariloche</t>
  </si>
  <si>
    <t>Argentina | Rio Negro | Bariloche | San Carlos De Bariloche | Pinar del Lago</t>
  </si>
  <si>
    <t>Pillado 589</t>
  </si>
  <si>
    <t>yrigoyen 2184</t>
  </si>
  <si>
    <t>venta casa irigoyen 2184</t>
  </si>
  <si>
    <t>CHO7472441</t>
  </si>
  <si>
    <t>VENTA CASA 4 AMB A LA LAGUNA SAN SEBASTIAN A11</t>
  </si>
  <si>
    <t>Boote y Luis Tagle 1</t>
  </si>
  <si>
    <t>CLA6571835</t>
  </si>
  <si>
    <t>Terreno en  Venta en Tupungato</t>
  </si>
  <si>
    <t>La Gloria s/n Lote1</t>
  </si>
  <si>
    <t>Argentina | Mendoza | Tupungato | El Peral</t>
  </si>
  <si>
    <t>CLA7048070</t>
  </si>
  <si>
    <t xml:space="preserve">Terreno en venta, 600m2, Solares del este, Bariloche </t>
  </si>
  <si>
    <t>Italia 6202</t>
  </si>
  <si>
    <t>CHO7477551</t>
  </si>
  <si>
    <t>Casa en Zona Sur</t>
  </si>
  <si>
    <t>Zona Sur</t>
  </si>
  <si>
    <t>108Emilia</t>
  </si>
  <si>
    <t>Gran Local comercia</t>
  </si>
  <si>
    <t>Rivadavia 2844</t>
  </si>
  <si>
    <t>CHO6810897</t>
  </si>
  <si>
    <t>Casa en venta en fernandez oro</t>
  </si>
  <si>
    <t>joaquina bruno  y los chañares</t>
  </si>
  <si>
    <t>CAP7343773</t>
  </si>
  <si>
    <t>Departamento 2 Ambientes en Venta en Belgrano</t>
  </si>
  <si>
    <t>JHO7478242</t>
  </si>
  <si>
    <t>Venta casa 5 ambientes en Florida Oeste con garaje, patio y jardin</t>
  </si>
  <si>
    <t>Coronel Pringles 3736</t>
  </si>
  <si>
    <t>Juncal 1635 -  Irazoft - sol Lorenzo</t>
  </si>
  <si>
    <t>Juncal 1635</t>
  </si>
  <si>
    <t>N/C - GALILEO 2475</t>
  </si>
  <si>
    <t xml:space="preserve">VENTA DPTO 4 AMB + DEP </t>
  </si>
  <si>
    <t>GALILEO 2475</t>
  </si>
  <si>
    <t>CAP6117015</t>
  </si>
  <si>
    <t>Duplex Palacio Alcorta - Quincho y pileta privada</t>
  </si>
  <si>
    <t>AAP7331724</t>
  </si>
  <si>
    <t>Departamento 2 ambientes a reciclar</t>
  </si>
  <si>
    <t>Chacabuco al 1000</t>
  </si>
  <si>
    <t>Lote AiresDelValle Lucas</t>
  </si>
  <si>
    <t>CAP7367834</t>
  </si>
  <si>
    <t>Venta Departamento Loria al 400 Las Lomitas</t>
  </si>
  <si>
    <t>Loria al 400 LOMITAS Lomas de Zamora</t>
  </si>
  <si>
    <t>CHO7333224</t>
  </si>
  <si>
    <t>Casa en San Salvador De Jujuy</t>
  </si>
  <si>
    <t>Higuerillas</t>
  </si>
  <si>
    <t>CPH7212582</t>
  </si>
  <si>
    <t>Ph tipo duplex 2 ambientes límite Villa Pueyrredón Agronomía</t>
  </si>
  <si>
    <t>Vicente Perez Rosales 4096</t>
  </si>
  <si>
    <t>CHO6746457</t>
  </si>
  <si>
    <t>Casa en  VENTA MATUS HOYOS BERMEJO</t>
  </si>
  <si>
    <t>MATUS HOYOS al 3800</t>
  </si>
  <si>
    <t>Argentina | Mendoza | Guaymallen | Bermejo</t>
  </si>
  <si>
    <t>Aizpurúa 2661</t>
  </si>
  <si>
    <t>CAP7117251</t>
  </si>
  <si>
    <t>VENTA DEPARAMENTO MONOAMBIENTE A ESTRENAR</t>
  </si>
  <si>
    <t>Av Congreso al 2300</t>
  </si>
  <si>
    <t>CAP7355074</t>
  </si>
  <si>
    <t>Venta 2 ambientes. Congreso y Cabildo. A estrenar. Amenities!</t>
  </si>
  <si>
    <t>Congreso y Cabildo</t>
  </si>
  <si>
    <t>Venta Departamento en Martinez</t>
  </si>
  <si>
    <t xml:space="preserve">Juan Jose Paso 292 </t>
  </si>
  <si>
    <t>Venta Dpto en Palermo</t>
  </si>
  <si>
    <t>Coronel Diaz 2717</t>
  </si>
  <si>
    <t xml:space="preserve">Reserva Venta Lucho y Remax Bustillo km13 Pajaros Azules </t>
  </si>
  <si>
    <t>CAP7393155</t>
  </si>
  <si>
    <t>Venta Departamento en Palermo</t>
  </si>
  <si>
    <t>Charcas al 3700</t>
  </si>
  <si>
    <t>CAP7065190</t>
  </si>
  <si>
    <t>Departamento   Barrio Norte</t>
  </si>
  <si>
    <t>Av. Pueyrredón  al 900</t>
  </si>
  <si>
    <t>Gorriti 3851</t>
  </si>
  <si>
    <t>DHO2986986</t>
  </si>
  <si>
    <t>Venta casa 3 ambientes - Aranzazu CC - Escobar</t>
  </si>
  <si>
    <t>Aranzazu</t>
  </si>
  <si>
    <t>Argentina | G.B.A. Zona Norte | Escobar | Countries/B.Cerrado (Escobar) | Aranzazu</t>
  </si>
  <si>
    <t>CAP7560217</t>
  </si>
  <si>
    <t>Departamento en Venta en Martinez de Rosas - Quinta Sección</t>
  </si>
  <si>
    <t>Martinez de Rosas 34</t>
  </si>
  <si>
    <t>CLA3970514</t>
  </si>
  <si>
    <t>Venta Terreno - De Los Peinecillos 1186 - Lomas Del Cauquén - Bariloche</t>
  </si>
  <si>
    <t>De Los Peinecillos</t>
  </si>
  <si>
    <t>CHO7366856</t>
  </si>
  <si>
    <t xml:space="preserve">Casa en venta Barrio Estacion Alvarado </t>
  </si>
  <si>
    <t xml:space="preserve">Estacion Alvarado </t>
  </si>
  <si>
    <t>Venta Portela</t>
  </si>
  <si>
    <t>Portela 383</t>
  </si>
  <si>
    <t>JLO7507570</t>
  </si>
  <si>
    <t>Venta Local al frente Oportunidad Martinez 100m2</t>
  </si>
  <si>
    <t>CAP7562911</t>
  </si>
  <si>
    <t>VENTA DEPARTAMENTO 3 AMBIENTES PB CAÑITAS</t>
  </si>
  <si>
    <t>Buolevard Chenaut al 1900</t>
  </si>
  <si>
    <t>CLA7526513</t>
  </si>
  <si>
    <t xml:space="preserve">Terreno a la venta sobre calle Alsina </t>
  </si>
  <si>
    <t>ALSINA 2500</t>
  </si>
  <si>
    <t>Departamento en Condominio Civis</t>
  </si>
  <si>
    <t>Departamento en venta 2 ambientes Condominio Civis</t>
  </si>
  <si>
    <t>Hernando de Magallanes 1433 - Tortugas Norte</t>
  </si>
  <si>
    <t>Argentina | G.B.A. Zona Norte | Escobar | Countries/B.Cerrado (Escobar) | Condominio Civis</t>
  </si>
  <si>
    <t>CAP7320824</t>
  </si>
  <si>
    <t>VENTA Departamento 4 ambientes 84 m2  Lomas del Correntoso, Villa La Angostura</t>
  </si>
  <si>
    <t>Lomas del Correntoso</t>
  </si>
  <si>
    <t>CHO7480698</t>
  </si>
  <si>
    <t>Venta Casa 3 ambientes Terraza, Quincho Bajo  Belgrano</t>
  </si>
  <si>
    <t>Miñones al 2100</t>
  </si>
  <si>
    <t>DEPTO PLAZA ITALIA 2D 80M2</t>
  </si>
  <si>
    <t>CHO7009974</t>
  </si>
  <si>
    <t xml:space="preserve">Casa en B° Santa Rita </t>
  </si>
  <si>
    <t>pasaje 6</t>
  </si>
  <si>
    <t>Argentina | Jujuy | Dr Manuel Belgrano | Barrio Santa Rita</t>
  </si>
  <si>
    <t>Ortega y Gasset 1635 PB 7</t>
  </si>
  <si>
    <t>CAP7330790</t>
  </si>
  <si>
    <t xml:space="preserve">Departamento en Godoy Cruz </t>
  </si>
  <si>
    <t>BALCARCE Y JUAN DE GARAY - DPTO 11</t>
  </si>
  <si>
    <t>MSLORTEGA1637PB7</t>
  </si>
  <si>
    <t>Venta Departamento 2 Ambientes con patio en Las Cañitas</t>
  </si>
  <si>
    <t>Ortega y Gasset al 1600</t>
  </si>
  <si>
    <t>CHO6610782</t>
  </si>
  <si>
    <t>CASA 2 DORMITORIOS CLUB HIDRONOR MARI MENUCO VILLA DEL SOL</t>
  </si>
  <si>
    <t>CLUB HIDRONOR VILLA DEL SOL MARI MENUCO</t>
  </si>
  <si>
    <t>Argentina | Neuquen | Confluencia | Mari Menuco</t>
  </si>
  <si>
    <t>CAP7522049</t>
  </si>
  <si>
    <t>juncal al 2100</t>
  </si>
  <si>
    <t>AAP7229025</t>
  </si>
  <si>
    <t>Excelente departamento en ALQUILER TEMPORAL</t>
  </si>
  <si>
    <t>Padilla 962</t>
  </si>
  <si>
    <t>CAP5110830</t>
  </si>
  <si>
    <t>VENTA Monoambiente amoblado excelente renta temporario</t>
  </si>
  <si>
    <t>Charcas al 4900</t>
  </si>
  <si>
    <t>CAP7396838</t>
  </si>
  <si>
    <t>Departamento 2 AMBIENTES BELGRANO</t>
  </si>
  <si>
    <t>LA PAMPA  al 2800</t>
  </si>
  <si>
    <t>CAP7381728</t>
  </si>
  <si>
    <t>VENTA DEPARTAMENTO 2 AMBIENTES - BALCÓN ATERRAZADO y BAULERA - Villa Crespo</t>
  </si>
  <si>
    <t>Gandhi 700</t>
  </si>
  <si>
    <t>CAP3574821</t>
  </si>
  <si>
    <t>hermoso departamento 2 ambientes en Antares, Nordelta</t>
  </si>
  <si>
    <t>Antares Senior LIving, Nordelta</t>
  </si>
  <si>
    <t>Argentina | G.B.A. Zona Norte | Tigre | Countries/B.Cerrado (Tigre) | Nordelta | El Portal | Antares</t>
  </si>
  <si>
    <t>Joaquin V Gonzalez 2744 UF 3</t>
  </si>
  <si>
    <t>CHO6892523</t>
  </si>
  <si>
    <t>Casa en Venta 3 dormitorios Santa Emilia Pilar del Este</t>
  </si>
  <si>
    <t>Barrio Santa Emilia Pilar del Este</t>
  </si>
  <si>
    <t>Argentina | G.B.A. Zona Norte | Pilar | Countries/B.Cerrado (Pilar) | Pilar Del Este | Santa Emilia</t>
  </si>
  <si>
    <t>VAP7005708</t>
  </si>
  <si>
    <t>Departamento en venta de 2 dormitorios con cochera fija cubierta y amenities en Palermo. Piso alto.</t>
  </si>
  <si>
    <t>Av. Cabildo  66</t>
  </si>
  <si>
    <t>CHO7512914</t>
  </si>
  <si>
    <t>VENTA CASA con JARDÍN en Agronomía</t>
  </si>
  <si>
    <t>Cuenca  al 4000</t>
  </si>
  <si>
    <t>CAP6738799</t>
  </si>
  <si>
    <t>Venta Departamento de 3 Ambientes en Villa Luro con Cochera, Baulera y Gran Parque</t>
  </si>
  <si>
    <t>Magariños Cervantes al 4900</t>
  </si>
  <si>
    <t>VAP6085632</t>
  </si>
  <si>
    <t>Venta Departamento Apto Credito! en Tigre Palmas de la Bahía</t>
  </si>
  <si>
    <t>Rincon de Milberg</t>
  </si>
  <si>
    <t>Argentina | G.B.A. Zona Norte | Tigre | Palmas de la Bahía</t>
  </si>
  <si>
    <t>DHO2667358</t>
  </si>
  <si>
    <t>Venta Casa 3 dormitorios  -Senderos- Nordelta</t>
  </si>
  <si>
    <t>SENDEROS NORDELTA</t>
  </si>
  <si>
    <t>Argentina | G.B.A. Zona Norte | Tigre | Countries/B.Cerrado (Tigre) | Nordelta | Sendero | Casas del Sendero</t>
  </si>
  <si>
    <t>CHO5570523</t>
  </si>
  <si>
    <t>VENTA CASA 5 AMBIENTES C/COCHERA QUINCHO PARRILA 317M2 TOTALES - QUILMES</t>
  </si>
  <si>
    <t>Lavalle  al 1000</t>
  </si>
  <si>
    <t>CAP7239346</t>
  </si>
  <si>
    <t>Venta Departamento 4 ambientes 2 baños Vicente López APTO CREDITO</t>
  </si>
  <si>
    <t>Roca  al 1400</t>
  </si>
  <si>
    <t>CAP7064708</t>
  </si>
  <si>
    <t>Venta Departamento 4 ambientes muy luminoso</t>
  </si>
  <si>
    <t>Jose Ingenieros al 2800</t>
  </si>
  <si>
    <t>VHO6518561</t>
  </si>
  <si>
    <t>Casa en venta en San Matias a la laguna - A estrenar</t>
  </si>
  <si>
    <t>Area 1 - San Matias - Maschwitz - Escobar</t>
  </si>
  <si>
    <t>CAP7037646</t>
  </si>
  <si>
    <t>Departamento en Barrio Casino</t>
  </si>
  <si>
    <t>Barrio Casino</t>
  </si>
  <si>
    <t>Argentina | Salta | Capital | Salta | Bo.Casino</t>
  </si>
  <si>
    <t>CAP7260400</t>
  </si>
  <si>
    <t>Venta departamento 2 ambientes Villa Crespo</t>
  </si>
  <si>
    <t>THAMES al 500</t>
  </si>
  <si>
    <t>CAP6226086</t>
  </si>
  <si>
    <t>Venta  Depto.3 Ambientes  / con cochera Recoleta</t>
  </si>
  <si>
    <t>Juncal al 2900</t>
  </si>
  <si>
    <t>CAP6989347</t>
  </si>
  <si>
    <t>Venta 3 ambientes Semi Piso Edificio Kavanagh Retiro Plaza San Martin</t>
  </si>
  <si>
    <t>Florida  al 1000</t>
  </si>
  <si>
    <t>CLA7567107</t>
  </si>
  <si>
    <t>Terreno en Los Perales</t>
  </si>
  <si>
    <t>Calle El Pirpintero Barrio ADIUNJU</t>
  </si>
  <si>
    <t>CPH7351820</t>
  </si>
  <si>
    <t>VENTA PH 3 AMBIENTES + LOCAL EN PARQUE CHACABUCO</t>
  </si>
  <si>
    <t>Riglos al 1000</t>
  </si>
  <si>
    <t>CAP7270855</t>
  </si>
  <si>
    <t>Departamento en Esperanza</t>
  </si>
  <si>
    <t>Deoartamento en planta alta, en ciudad de Esperanza</t>
  </si>
  <si>
    <t>Argentina | Santa Fe | Las Colonias | Esperanza</t>
  </si>
  <si>
    <t>CAP7341654</t>
  </si>
  <si>
    <t>Departamento 2 dorm. en zona Sur</t>
  </si>
  <si>
    <t>Departamento de 2 dormitorios en barrio Sur</t>
  </si>
  <si>
    <t>Argentina | Santa Fe | La Capital | Santa Fe | Sur</t>
  </si>
  <si>
    <t>Cuenca 3815</t>
  </si>
  <si>
    <t>CAP7477747</t>
  </si>
  <si>
    <t>VENTA Monoambiente UF 12, amoblado, céntrico,  Villa La Angostura</t>
  </si>
  <si>
    <t>Pichi Ruca y Av. Huemul</t>
  </si>
  <si>
    <t>CAP7402230</t>
  </si>
  <si>
    <t>Venta departamento 4 ambientes Barrio General Paz Villa Celina con cochera</t>
  </si>
  <si>
    <t>Av.. General Paz 16500</t>
  </si>
  <si>
    <t>Argentina | G.B.A. Zona Oeste | La Matanza | Ciudad Madero | Villa Celina</t>
  </si>
  <si>
    <t>JAP7561322</t>
  </si>
  <si>
    <t>Departamento 3 ambientes. Balcón Corrido frente. Belgrano/Palermo. Zona Embajadas.</t>
  </si>
  <si>
    <t>Maure  al 2200</t>
  </si>
  <si>
    <t>CAP7365306</t>
  </si>
  <si>
    <t>Venta departamento 4 ambientes Flores Balcón Cochera Baulera</t>
  </si>
  <si>
    <t>Dr. Juan Felipe Aranguren al 1800</t>
  </si>
  <si>
    <t>CAP7568942</t>
  </si>
  <si>
    <t>Impecable depto 3 ambientes luminoso al frente</t>
  </si>
  <si>
    <t>Angel Justiniano Carranza 2336</t>
  </si>
  <si>
    <t>VHO6090362</t>
  </si>
  <si>
    <t>NUEVO VALOR! Venta Casa en Chacras de La Reserva, Campana. APTO CREDITO</t>
  </si>
  <si>
    <t>Chacras de la Reserva</t>
  </si>
  <si>
    <t xml:space="preserve">Argentina | G.B.A. Zona Norte | Campana </t>
  </si>
  <si>
    <t>CAP6928578</t>
  </si>
  <si>
    <t>Venta Depto Tipo Casa con Piscina SUM Propios - Villa Devoto</t>
  </si>
  <si>
    <t>José Cubas al 3900</t>
  </si>
  <si>
    <t>Cd19 lote en zona de bosque Arelauquen</t>
  </si>
  <si>
    <t>Ruiz Huidobro 3737</t>
  </si>
  <si>
    <t>CAP7233028</t>
  </si>
  <si>
    <t xml:space="preserve">Duplex en Venta Santa Ana Joven - Villanueva </t>
  </si>
  <si>
    <t>Santa Ana Joven, Villanueva</t>
  </si>
  <si>
    <t>VHO6939563</t>
  </si>
  <si>
    <t>Casa en  Barrio San Andres - Apto Crédito</t>
  </si>
  <si>
    <t>Venta Barrio San Andres - APTO CREDITO</t>
  </si>
  <si>
    <t>CBU39270 AP7599187</t>
  </si>
  <si>
    <t>VENTA Departamento 80,47m2 Premium  vista y costa de lago UF704 Villa La Angostura</t>
  </si>
  <si>
    <t>Bv.  Quetrihue 338, Barrio Tres cerros, Villa La Angostura - Neuquén</t>
  </si>
  <si>
    <t>N/C - MONROE 3246</t>
  </si>
  <si>
    <t>VENTA DPTO 3 AMBIENTES</t>
  </si>
  <si>
    <t>MONROE 3246</t>
  </si>
  <si>
    <t>O'HIGGINS 2191</t>
  </si>
  <si>
    <t>CHO7112702</t>
  </si>
  <si>
    <t>Casa en  Venta</t>
  </si>
  <si>
    <t>Eduardo costas al 2800</t>
  </si>
  <si>
    <t>Argentina | G.B.A. Zona Norte | San Isidro | Martinez | Mart.-Vias/Libert.</t>
  </si>
  <si>
    <t>CHO7532316</t>
  </si>
  <si>
    <t>Venta Casa+ departamento- ideal renta  en San Carlos De Bariloche</t>
  </si>
  <si>
    <t>CHO7367456</t>
  </si>
  <si>
    <t>Casa en Esperanza</t>
  </si>
  <si>
    <t>Casa en Esperanza en Barrio Sur</t>
  </si>
  <si>
    <t>CAP7389059</t>
  </si>
  <si>
    <t>Venta Villa Devoto - Semipiso de 3 ambientes con balcón y cochera</t>
  </si>
  <si>
    <t>Sanabria al 2500</t>
  </si>
  <si>
    <t>Venta Debenedetti</t>
  </si>
  <si>
    <t>Debenedetti</t>
  </si>
  <si>
    <t>CPH7289966</t>
  </si>
  <si>
    <t>VENTA CASA en La Lucila 6 ambientes con jardin parrilla cocheras</t>
  </si>
  <si>
    <t>Jose ingenieros al 1000</t>
  </si>
  <si>
    <t>CAP7267763</t>
  </si>
  <si>
    <t>venta Departamento monoambiente en Monserrat</t>
  </si>
  <si>
    <t>Montevideo al 100</t>
  </si>
  <si>
    <t>CAP7474209</t>
  </si>
  <si>
    <t>Departamento en  Ciudadela</t>
  </si>
  <si>
    <t>Avenida Republica  al 400</t>
  </si>
  <si>
    <t>CPH7482046</t>
  </si>
  <si>
    <t>VENTA PH 2 AMBIENTES VILLA SANTA RITA</t>
  </si>
  <si>
    <t>Enrique de Vedia al 2000</t>
  </si>
  <si>
    <t>JPH7027711</t>
  </si>
  <si>
    <t>PH - Venta - Parque - 3 ambientes - Villa Lynch - Patio</t>
  </si>
  <si>
    <t>Rondeau al 2300</t>
  </si>
  <si>
    <t>CPH7138386</t>
  </si>
  <si>
    <t>PH 2 AMBIENTES CON ALTILLO Y TERRAZA</t>
  </si>
  <si>
    <t>Florida al 600, Valentin Alsina</t>
  </si>
  <si>
    <t>CAP4031677</t>
  </si>
  <si>
    <t>Venta - Departamento - Mitre 139 2do E - APTO TURISMO -  Centro - Bariloche</t>
  </si>
  <si>
    <t>Mitre al 100</t>
  </si>
  <si>
    <t>CAP7440232</t>
  </si>
  <si>
    <t>Venta departamento con vista al lago, 5  amb céntrico,  Bariloche</t>
  </si>
  <si>
    <t>CHO6917259</t>
  </si>
  <si>
    <t>Venta 4 Amb. con Jardín en La Mansa, Islas del Golf Nordelta</t>
  </si>
  <si>
    <t xml:space="preserve">Av del Golf 1805 La Mansa Nordelta </t>
  </si>
  <si>
    <t>CCO69049 AP7644026</t>
  </si>
  <si>
    <t>la mejor opcion en pozo en TIGRE - Remeros Brickell</t>
  </si>
  <si>
    <t>Esquiu  al 400</t>
  </si>
  <si>
    <t>CAP7224119</t>
  </si>
  <si>
    <t>VENTA 3 AMBIENTES RECICLADO A NUEVO.  LISTO PARA ENTRAR EN SAN TELMO</t>
  </si>
  <si>
    <t>CAP7554058</t>
  </si>
  <si>
    <t>VENTA DEPARTAMENTO 2 AMBIENTES EN RECOLETA</t>
  </si>
  <si>
    <t>Arenales al 1500</t>
  </si>
  <si>
    <t>CHO7340791</t>
  </si>
  <si>
    <t>Preciosa casa en venta</t>
  </si>
  <si>
    <t>Lateral Este Ruta Nacional 40 Acceso Sur Y Calle Olavarría</t>
  </si>
  <si>
    <t>Argentina | Mendoza | Lujan De Cuyo | Perdriel</t>
  </si>
  <si>
    <t>CLA7680696</t>
  </si>
  <si>
    <t>OPORTUNIDAD!!! REVENTA LOTE 790m2 ALMAHUE PILAR sector House 1</t>
  </si>
  <si>
    <t>ALMAHUE PILAR - REVENTA LOTE Sector TACO 2</t>
  </si>
  <si>
    <t>Argentina | G.B.A. Zona Norte | Pilar | La Lonja</t>
  </si>
  <si>
    <t>CHO7481969</t>
  </si>
  <si>
    <t>Venta Casa 4 dormitorios en Villa Marina II</t>
  </si>
  <si>
    <t>Vila Marina II</t>
  </si>
  <si>
    <t>Argentina | G.B.A. Zona Norte | Tigre | Countries/B.Cerrado (Tigre) | Vila Marina II</t>
  </si>
  <si>
    <t>JAP7480601</t>
  </si>
  <si>
    <t>VENTA DEPARTAMENTO 3 AMBIENTES - COCHERA - AMENITIES - ASTOR PALERMO</t>
  </si>
  <si>
    <t>Beruti  al 3300</t>
  </si>
  <si>
    <t xml:space="preserve">UNIDAD FUNCIONAL Nº 28 (veintiocho), que corresponde al loteo A. Quetrihue . La Unidad Funcional cuenta con la siguiente superficie: 358,87 m2 </t>
  </si>
  <si>
    <t>UNIDAD FUNCIONAL Nº 27 (veintisiete), que corresponde al “Loteo A”.  Quetrihue. La Unidad Funcional cuenta con la siguiente superficie: 376,81 m2</t>
  </si>
  <si>
    <t>CAP7342139</t>
  </si>
  <si>
    <t>Departamento VENTA Pilar, 2 ambientes con terraza</t>
  </si>
  <si>
    <t>los almendros  al 1200</t>
  </si>
  <si>
    <t>Argentina | G.B.A. Zona Norte | Pilar | Pilar | Pilar Centro</t>
  </si>
  <si>
    <t>CHO6873701</t>
  </si>
  <si>
    <t>Capilla del Rosario, Guaymallén</t>
  </si>
  <si>
    <t>CLA7371666</t>
  </si>
  <si>
    <t>Terreno en venta Lote 564 m2 sobre Avenida Mitre Sarandi Avellaneda</t>
  </si>
  <si>
    <t>Avda Mitre al 3500 sarandi Partido Avellaneda</t>
  </si>
  <si>
    <t>CLA6679557</t>
  </si>
  <si>
    <t>Terreno en Venta Martinez - 310 m2 - Permuta</t>
  </si>
  <si>
    <t>Sáenz Valiente al 1700, Martínez, San Isidro</t>
  </si>
  <si>
    <t>CBA59141 LA7558630</t>
  </si>
  <si>
    <t>VENTA Lote/terreno 407,04 m2, Loteo Quetrihue, Selvana Triste, Villa la Angostura</t>
  </si>
  <si>
    <t>Blvd Quetrihue y Blvd Amancay</t>
  </si>
  <si>
    <t>CAP7559188</t>
  </si>
  <si>
    <t>Venta Departamento 3 Ambientes en Caballito</t>
  </si>
  <si>
    <t>Honorio Pueyrredon  al 1000</t>
  </si>
  <si>
    <t>Venta dpto</t>
  </si>
  <si>
    <t>Gral Paz 13061</t>
  </si>
  <si>
    <t>CPH7513451</t>
  </si>
  <si>
    <t>venta Ph  2 amb con patio apto credito Villa ortuzar</t>
  </si>
  <si>
    <t>Giribone al 1300</t>
  </si>
  <si>
    <t>CAP6956247</t>
  </si>
  <si>
    <t>Departamento 2 dormitorios con posibilidad de 3, dependencia - APTO CREDITO</t>
  </si>
  <si>
    <t>Medrano  al 300</t>
  </si>
  <si>
    <t>Argentina | Capital Federal | Almagro | Almagro Norte</t>
  </si>
  <si>
    <t>CAP7448605</t>
  </si>
  <si>
    <t>Venta Departamento Piso de 5 Ambientes con 3 Hab de Servicio y 2 Cocheras - Imponente</t>
  </si>
  <si>
    <t>Federico Lacroze al 2300</t>
  </si>
  <si>
    <t>Venta Departamento piso de 5 ambientes con 3 habitaciones de servicio y 2 cocheras</t>
  </si>
  <si>
    <t>Federico Lacroze 2339, piso 4to</t>
  </si>
  <si>
    <t>CAP7070477</t>
  </si>
  <si>
    <t>Luminoso Departamento en Liniers</t>
  </si>
  <si>
    <t>Dr. Angel Roffo  7029</t>
  </si>
  <si>
    <t>CHO4766806</t>
  </si>
  <si>
    <t>Casa interna en venta en Mayoraz</t>
  </si>
  <si>
    <t>Casa interna  en venta en Mayoraz</t>
  </si>
  <si>
    <t>Argentina | Santa Fe | La Capital | Santa Fe | Mayoraz</t>
  </si>
  <si>
    <t>CAP7416851</t>
  </si>
  <si>
    <t>Monoambiente con patio OPORTUNIDAD Bariloche</t>
  </si>
  <si>
    <t>AAP4683438</t>
  </si>
  <si>
    <t>Venta, monoambiente con Balcón en Palermo</t>
  </si>
  <si>
    <t>Angel Justiniano Carranza al 1300, esquina Av. Córdoba.</t>
  </si>
  <si>
    <t>AAP4683443</t>
  </si>
  <si>
    <t>Venta Departamento de 1 ambiente con balcón en PALERMO</t>
  </si>
  <si>
    <t>Angel Justiniano Carranza al 1300, esquina Av. Córdoba</t>
  </si>
  <si>
    <t>CAP7273230</t>
  </si>
  <si>
    <t>VENTA DEPARTAMENTO 2 AMBIENTES BALCON PALERMO</t>
  </si>
  <si>
    <t>Serrano al 1400</t>
  </si>
  <si>
    <t>CHO7572187</t>
  </si>
  <si>
    <t>Casa 4 amb en Venta Apto Credito, Parque Alvear I, Tortuguitas</t>
  </si>
  <si>
    <t>Luis Maria Drago  al 800</t>
  </si>
  <si>
    <t>Argentina | G.B.A. Zona Norte | Malvinas Argentinas | Tortuguitas | P.Alvear</t>
  </si>
  <si>
    <t>CAP7059176</t>
  </si>
  <si>
    <t xml:space="preserve">Departamento 3 amb + escritorio + balcon reciclado luminoso! </t>
  </si>
  <si>
    <t>Austria al 2100</t>
  </si>
  <si>
    <t>COF6241792</t>
  </si>
  <si>
    <t>Av. Santa Fe al 2600</t>
  </si>
  <si>
    <t>CAP7574052</t>
  </si>
  <si>
    <t>Venta Monoambiente Villa Devoto con cochera</t>
  </si>
  <si>
    <t>Carlos Antonio López al 3300</t>
  </si>
  <si>
    <t>IAP1229983</t>
  </si>
  <si>
    <t>Oficina en amplio monoambiente luminoso - Estudio de la Bahia, Nordelta</t>
  </si>
  <si>
    <t>Nordelta</t>
  </si>
  <si>
    <t>Argentina | G.B.A. Zona Norte | Tigre | Countries/B.Cerrado (Tigre) | Nordelta | Bahia Grande | Estudio de la Bahia</t>
  </si>
  <si>
    <t>CAP4631415</t>
  </si>
  <si>
    <t>VENTA Oportunidad! Depto 2amb 43m2 céntrico a estrenar, con gas Villa la Angostura</t>
  </si>
  <si>
    <t>CCO69115 AP7662412</t>
  </si>
  <si>
    <t>VENTA Monoambiente 39m2 Parque y Cochera Altos de Radal centro Villa La Angostura</t>
  </si>
  <si>
    <t>Millaqueo y michay</t>
  </si>
  <si>
    <t>MONROE 4352</t>
  </si>
  <si>
    <t>Monroe 4352</t>
  </si>
  <si>
    <t>CHO7402231</t>
  </si>
  <si>
    <t>Terreno en venta con propiedad a demoler</t>
  </si>
  <si>
    <t>Av. Moreno  74</t>
  </si>
  <si>
    <t>CHO7419960</t>
  </si>
  <si>
    <t>Casa en venta - piscina - a estrenar - Pilar del Este, San Ramiro</t>
  </si>
  <si>
    <t>CHO7550770</t>
  </si>
  <si>
    <t>VENTA - Casas de Santa Ana - Villanueva</t>
  </si>
  <si>
    <t>VENTA- Casas de Santa Ana - Villanueva</t>
  </si>
  <si>
    <t>Argentina | G.B.A. Zona Norte | Tigre | Countries/B.Cerrado (Tigre) | Villanueva | Casas de Santa Ana</t>
  </si>
  <si>
    <t>CAP7300711</t>
  </si>
  <si>
    <t>Venta Departamento de 4 ambientes con cochera</t>
  </si>
  <si>
    <t>Sanchez de Bustamante al 1200</t>
  </si>
  <si>
    <t>CAP6814487</t>
  </si>
  <si>
    <t>Venta Departamento 3 ambientes balcón frente amenities Palermo</t>
  </si>
  <si>
    <t>Mansilla  al 3000</t>
  </si>
  <si>
    <t>CHO6898718</t>
  </si>
  <si>
    <t>B° Santa Angela III Casa en Venta</t>
  </si>
  <si>
    <t>Santa Angela</t>
  </si>
  <si>
    <t>CAP7508422</t>
  </si>
  <si>
    <t>VENTA DEPARTAMENTO DUPLEX 4 AMBIENTES CON COCHERA EN BELGRANO</t>
  </si>
  <si>
    <t>leopoldo basavilvaso al 900</t>
  </si>
  <si>
    <t xml:space="preserve">AV. SAN MARTIN 749 </t>
  </si>
  <si>
    <t>IAP2037434</t>
  </si>
  <si>
    <t>Departamento 3 ambientes con entrepiso - San Isidro</t>
  </si>
  <si>
    <t>Diego Palma al 100</t>
  </si>
  <si>
    <t>CAP7585526</t>
  </si>
  <si>
    <t>Venta Departamento 2 Ambientes en Caballito</t>
  </si>
  <si>
    <t>Hualfin  al 800</t>
  </si>
  <si>
    <t>CHO7188981</t>
  </si>
  <si>
    <t>Casa a la venta Barrio San Sebastian Area 13</t>
  </si>
  <si>
    <t>Barrio San Sebastian - Área 13</t>
  </si>
  <si>
    <t>VILLA LOS LAGOS</t>
  </si>
  <si>
    <t>San Alfonso</t>
  </si>
  <si>
    <t>Casa en venta Barrio San Alfonso Pilar de Este</t>
  </si>
  <si>
    <t>Godoy Cruz 145 - Remax Uno - Sol Lorenzo</t>
  </si>
  <si>
    <t xml:space="preserve">Godoy Cruz 145 </t>
  </si>
  <si>
    <t>VHO6339418</t>
  </si>
  <si>
    <t>Casa en venta Canton Golf en tranquilo cul de sac  5 amb   piscina</t>
  </si>
  <si>
    <t>Libertad al 300</t>
  </si>
  <si>
    <t>CLA7016064</t>
  </si>
  <si>
    <t>LOTE EN VENTA EN BALVANERA, HABILITADO Y FUNCIONANDO COMO HOTEL</t>
  </si>
  <si>
    <t>Alsina  al 2600</t>
  </si>
  <si>
    <t>UF 5 Loteo B Quetrihue</t>
  </si>
  <si>
    <t>Bv, quetrihue y amancay</t>
  </si>
  <si>
    <t>CHO7372693</t>
  </si>
  <si>
    <t>VENTA Casa UF1 Terreno 172,24m2 43,92m2 San Martin de los Andes</t>
  </si>
  <si>
    <t>Los Tobianos y LosTordillos</t>
  </si>
  <si>
    <t>Argentina | Neuquen | Lacar | San Martin De Los Andes | Valle Chapelco</t>
  </si>
  <si>
    <t>CLA7206904</t>
  </si>
  <si>
    <t>Terreno en venta Yala los nogales</t>
  </si>
  <si>
    <t xml:space="preserve">pedro ortiz de zarate los nogales Yala </t>
  </si>
  <si>
    <t>Argentina | Jujuy | Dr Manuel Belgrano | Yala</t>
  </si>
  <si>
    <t>CHO7374306</t>
  </si>
  <si>
    <t>Casa 2 dormitorios con Cochera en Villa Luzuriaga APTO CRÉDITO</t>
  </si>
  <si>
    <t>Santander  al 2900</t>
  </si>
  <si>
    <t>CAP7446187</t>
  </si>
  <si>
    <t xml:space="preserve">Departamento Semi Piso de 4 Ambientes al frente </t>
  </si>
  <si>
    <t>Av Libertad  al 3500</t>
  </si>
  <si>
    <t>Argentina | Costa Atlantica | Mar Del Plata | La Perla Norte</t>
  </si>
  <si>
    <t>CHO7109657</t>
  </si>
  <si>
    <t>APTO CREDITO - Casa en Venta 3 AMB</t>
  </si>
  <si>
    <t>Las Margaritas  al 1000</t>
  </si>
  <si>
    <t>CHO7189662</t>
  </si>
  <si>
    <t>Venta Casa Quinta en Moreno - Inversión - Vivienda</t>
  </si>
  <si>
    <t>Islas Baleares al 500</t>
  </si>
  <si>
    <t>CHO7425854</t>
  </si>
  <si>
    <t>Casa en venta Santa Inés Canning</t>
  </si>
  <si>
    <t>Argentina | G.B.A. Zona Sur | Esteban Echeverria | Countries/B.Cerrado (E. Echeverría) | Santa Ines</t>
  </si>
  <si>
    <t>CAP7135488</t>
  </si>
  <si>
    <t>Departamento 4 ambientes con dependencia COCHERA y BAULERA en  Villa Urquiza R</t>
  </si>
  <si>
    <t>Av Olazabal al 4400</t>
  </si>
  <si>
    <t>AAA6577559</t>
  </si>
  <si>
    <t>Casa en VENTA de 3 habitaciones | Barrio Las Tipas, Nordelta | Tigre</t>
  </si>
  <si>
    <t>Casa en venta de 3 habitaciones | Las Tipas, Nordelta | Tigre</t>
  </si>
  <si>
    <t>CAP7475003</t>
  </si>
  <si>
    <t>Monoambiente dividido en Plaza San Martín, Retiro. ideal inversión.</t>
  </si>
  <si>
    <t>Esmeralda y M.T de Alvear, Plaza San Martín. Ideal inversión.</t>
  </si>
  <si>
    <t>CAP7532603</t>
  </si>
  <si>
    <t>Dpto en Venta - Calle Perito Moreno</t>
  </si>
  <si>
    <t>Perito Moreno</t>
  </si>
  <si>
    <t>CLA7228259</t>
  </si>
  <si>
    <t>Venta Terreno 177 M2 Oportunidad en Villa Martelli</t>
  </si>
  <si>
    <t>General Juan Lavalle  al 4500</t>
  </si>
  <si>
    <t>Casa Gus-LeoSfeir</t>
  </si>
  <si>
    <t>CPH7360399</t>
  </si>
  <si>
    <t>PH 3 Ambientes en Venta en San Martin</t>
  </si>
  <si>
    <t>Lincoln al 4300</t>
  </si>
  <si>
    <t>CLA7693021</t>
  </si>
  <si>
    <t>Terreno interno en Azzurra Tortugas</t>
  </si>
  <si>
    <t>Sector 4, Azzurra Tortugas 44</t>
  </si>
  <si>
    <t>Argentina | G.B.A. Zona Norte | Pilar | Manuel Alberti | Azzurra Tortugas</t>
  </si>
  <si>
    <t>AAP5803086</t>
  </si>
  <si>
    <t>Departamento en venta. 1 ambiente. Parque chacabuco.  AMENITIES PREMIUM</t>
  </si>
  <si>
    <t>Zelarrayan  al 1600</t>
  </si>
  <si>
    <t>CAP7044601</t>
  </si>
  <si>
    <t>Departamento 2 dormitorios a estrenar  5 cuadras de la costanera Santafesina.</t>
  </si>
  <si>
    <t>DEPARTAMENTO A ESTRENAR 2 DORMITORIOS  - AVELLANEDA 5300</t>
  </si>
  <si>
    <t>Tilbury</t>
  </si>
  <si>
    <t xml:space="preserve">Lote en venta en Tilbury Pilara </t>
  </si>
  <si>
    <t>Panamericana Km 56,5 - Pilar</t>
  </si>
  <si>
    <t>CHO7091027</t>
  </si>
  <si>
    <t>Excelente casa, muy bien ubicada</t>
  </si>
  <si>
    <t>San Lorenzo  al 900</t>
  </si>
  <si>
    <t>CAP7062877</t>
  </si>
  <si>
    <t>Departamento en Olivos - PERMUTA</t>
  </si>
  <si>
    <t>CAP6695473</t>
  </si>
  <si>
    <t>VENTA Departamento 2 ambientes UF9 74m2 Manzano Bay ViewVista al Lago Amenities Villa La Angostura</t>
  </si>
  <si>
    <t>Av. Arrayanes al 7000</t>
  </si>
  <si>
    <t>Argentina | Neuquen | Villa La Angostura | Pto.Manzano</t>
  </si>
  <si>
    <t>CAP7547179</t>
  </si>
  <si>
    <t>Departamento - Belgrano - Venta - Apto Credito</t>
  </si>
  <si>
    <t>Cespedes al 2400</t>
  </si>
  <si>
    <t>CAP7396095</t>
  </si>
  <si>
    <t>Departamento 2 ambientes en oportunidad apto turismo Bariloche</t>
  </si>
  <si>
    <t>CAP6946019</t>
  </si>
  <si>
    <t>Departamento 3 ambientes en venta en San Isidro APTO CREDITO</t>
  </si>
  <si>
    <t>Av Santa Fe al 400</t>
  </si>
  <si>
    <t>Argentina | G.B.A. Zona Norte | San Isidro | Acassuso | Acas.-Vias/Santa Fe</t>
  </si>
  <si>
    <t>CAP7383009</t>
  </si>
  <si>
    <t>Departamento 2 ambientes en Nuñez</t>
  </si>
  <si>
    <t>Venta 2 Ambientes Cuba al 2800</t>
  </si>
  <si>
    <t>CHO6069960</t>
  </si>
  <si>
    <t>CASA CON PARQUE Y PILETA EN ESCOBAR LOMA VERDE BARRIO CERRADO</t>
  </si>
  <si>
    <t>BOOTE 1400 LOMA VERDE ESCOBAR</t>
  </si>
  <si>
    <t>CAP7277078</t>
  </si>
  <si>
    <t>VENTA Departamento 3 ambientes con dependencia - Almagro</t>
  </si>
  <si>
    <t>Gascón 700</t>
  </si>
  <si>
    <t>Arregui 6827</t>
  </si>
  <si>
    <t>CHO6752521</t>
  </si>
  <si>
    <t>Casa en venta 3 dormitorios San Sebastian Area 8</t>
  </si>
  <si>
    <t>Barrio San Sebastian Area 8</t>
  </si>
  <si>
    <t>Nieves (ex Group Black)</t>
  </si>
  <si>
    <t>Departamento en Palermo 3 ambientes</t>
  </si>
  <si>
    <t xml:space="preserve">Sanchez de Bustamante 1818 </t>
  </si>
  <si>
    <t>CAP6649576</t>
  </si>
  <si>
    <t>Venta - Departamento - 3 ambientes - Frente - Balcón - Balvanera - Apto Crédito - Permuta</t>
  </si>
  <si>
    <t xml:space="preserve">Bartolome Mitre 2400 </t>
  </si>
  <si>
    <t>CAP7606176</t>
  </si>
  <si>
    <t>Venta Departamento monoambiente Villa Crespo Apto Credito Hipotecario</t>
  </si>
  <si>
    <t>Castillo 100</t>
  </si>
  <si>
    <t>JAP7124267</t>
  </si>
  <si>
    <t>DUPLEX APTO CREDITO CON COCHERA FIJA CUBIERTA Y BAULERAS  BALCON ATERRAZADO CON PARRILLA PROPIA</t>
  </si>
  <si>
    <t>AV BALBIN al 2300</t>
  </si>
  <si>
    <t>JAP7019058</t>
  </si>
  <si>
    <t xml:space="preserve">Departamento de 2 amb a estrenar! en Venta </t>
  </si>
  <si>
    <t>Crisologo Larralde  al 2700</t>
  </si>
  <si>
    <t>CPH7059354</t>
  </si>
  <si>
    <t>Espectacular PH triplex con terraza pileta y parrilla SUPER LUMINOSO</t>
  </si>
  <si>
    <t>Bonpland  al 1500</t>
  </si>
  <si>
    <t>CBA59141 LA7272080</t>
  </si>
  <si>
    <t>VENTA Lote/terreno Villa La Angostura 374 m2, Loteo Quetrihue, Vista a las montañas, Selvana Triste.</t>
  </si>
  <si>
    <t>CAP6499456</t>
  </si>
  <si>
    <t>DEPARTAMENTO PREVENTA - MONOAMBIENTE - SANTOS LUGARES - CASEROS - SAENZ PEÑA - A ESTRENAR</t>
  </si>
  <si>
    <t>Asamblea  al 4000</t>
  </si>
  <si>
    <t>CAP7524551</t>
  </si>
  <si>
    <t>Venta - Departamento al frente en Flores - Balcón - Laundry</t>
  </si>
  <si>
    <t>Tandil  al 2500</t>
  </si>
  <si>
    <t>CPH7298803</t>
  </si>
  <si>
    <t>Venta PH 3 ambientes en Paternal</t>
  </si>
  <si>
    <t>Espinosa al 2200</t>
  </si>
  <si>
    <t>VPN53619 HO5687821</t>
  </si>
  <si>
    <t>Casa 4 AMB en Las Margaritas Village - Pilar</t>
  </si>
  <si>
    <t>Casa en Las Margaritas Village</t>
  </si>
  <si>
    <t>CAP6924352</t>
  </si>
  <si>
    <t>Excelente Departamento en Belgrano R - 3 Dormitorios con Dependencia</t>
  </si>
  <si>
    <t>Zapiola  al 2000</t>
  </si>
  <si>
    <t xml:space="preserve">UF N° 1 de aproximadamente 567 mt2, parte del Loteo denominado Zona “B” Quetrihue en trámite de subdivisión - ubicado en Avenida Quetrihue y Amancay, nomenclatura catastral (lote madre): 16-20-63-5683 </t>
  </si>
  <si>
    <t>ASAMBLEA 4083  PISO 2 UNIDAD B</t>
  </si>
  <si>
    <t>CAP7345302</t>
  </si>
  <si>
    <t>Venta departamento 1 ambiente Villa Crespo Subte B</t>
  </si>
  <si>
    <t>Av corrientes  al 4600</t>
  </si>
  <si>
    <t>CAP7532611</t>
  </si>
  <si>
    <t>Departamento en Venta Rincón Veneto Barrio Cerrado</t>
  </si>
  <si>
    <t>Elpidio Gonzalez  al 4100</t>
  </si>
  <si>
    <t>CAP7678551</t>
  </si>
  <si>
    <t>Departamento DOS DORMITORIOS - Pozo Entrega 08-2026</t>
  </si>
  <si>
    <t>JUJUY 3100</t>
  </si>
  <si>
    <t>CBA59141 LA7272078</t>
  </si>
  <si>
    <t>CAP7259417</t>
  </si>
  <si>
    <t>Venta Palermo - Monoambiente con Balcon y Pileta</t>
  </si>
  <si>
    <t>Julian Alvarez  al 900</t>
  </si>
  <si>
    <t>CPN67252 AP7421127</t>
  </si>
  <si>
    <t>En Venta Departamento en pozo con amenities Barrio Privado Águila Mora Melipal Bariloche</t>
  </si>
  <si>
    <t>Barrio Melipal, San Carlos de Bariloche</t>
  </si>
  <si>
    <t>CAP7438857</t>
  </si>
  <si>
    <t>Propiedad de 2 dptos  de 2 dormitorios en Alvear 3976</t>
  </si>
  <si>
    <t>Oportunidad en Barrio Candioti: dos departamentos en una sola propiedad.</t>
  </si>
  <si>
    <t>Argentina | Santa Fe | La Capital | Candioti</t>
  </si>
  <si>
    <t>J. V. Gonzalez 2823 - Leo Maroni - Remax Suma</t>
  </si>
  <si>
    <t>J. V. Gonzalez 2823</t>
  </si>
  <si>
    <t>CAP7399911</t>
  </si>
  <si>
    <t>Venta departamento 3 ambientes con balcon y cochera en Belgrano</t>
  </si>
  <si>
    <t>Olzabal  al 1800</t>
  </si>
  <si>
    <t>CHO7277233</t>
  </si>
  <si>
    <t>VENTA Casa 1350 m2 B Ruca Hue sobre lote 1350m2 San Martin de los Andes</t>
  </si>
  <si>
    <t>Lote 11 mza. I, Ruca Hue , San Martin de los Andes</t>
  </si>
  <si>
    <t>N/C - BILLINGHURST 1935</t>
  </si>
  <si>
    <t xml:space="preserve">VENTA DPTO 4 AMBIENTES RECICLADO </t>
  </si>
  <si>
    <t>Billinghurst 1935</t>
  </si>
  <si>
    <t>CHO7208393</t>
  </si>
  <si>
    <t>VENTA CASA DIQUE LA CIENEGA</t>
  </si>
  <si>
    <t>Dique La cienga</t>
  </si>
  <si>
    <t>CHO7452542</t>
  </si>
  <si>
    <t xml:space="preserve">Casa centrica San Rafael </t>
  </si>
  <si>
    <t>MAIPU  al 800</t>
  </si>
  <si>
    <t>Argentina | Mendoza | San Rafael | San Rafael | San Rafel</t>
  </si>
  <si>
    <t>CAP7325942</t>
  </si>
  <si>
    <t>Venta Departamento 2 Ambientes a Estrenar en Barrancas de Paso del Rey</t>
  </si>
  <si>
    <t>lujan 400</t>
  </si>
  <si>
    <t>10-F/UF13 ubicado en Callejón de Bello al 300 SMA</t>
  </si>
  <si>
    <t>Argentina | Neuquen | Lacar | San Martin De Los Andes | Villa Vega San Martin</t>
  </si>
  <si>
    <t>CAP6486354</t>
  </si>
  <si>
    <t>Departamento en venta ubicado en calle Gorriti 80 - Salta</t>
  </si>
  <si>
    <t xml:space="preserve">Gorriti 80 </t>
  </si>
  <si>
    <t>CAP7057081</t>
  </si>
  <si>
    <t>Venta 4 ambientes en Monserrat</t>
  </si>
  <si>
    <t>Peru al 500</t>
  </si>
  <si>
    <t xml:space="preserve">Juramento 3121 </t>
  </si>
  <si>
    <t>Terreno en Venta en Ayres Plaza</t>
  </si>
  <si>
    <t>CHO7145158</t>
  </si>
  <si>
    <t>CASA INTERNA EN BARRIO RECOLETA - SANTIAGO DEL ESTERO 2600</t>
  </si>
  <si>
    <t>OPORTUNIDAD, interno único en Recoleta!!!</t>
  </si>
  <si>
    <t>Dpto Salguero</t>
  </si>
  <si>
    <t>Salguero</t>
  </si>
  <si>
    <t>CAP7447284</t>
  </si>
  <si>
    <t>Venta de departamento en San Martin de los andes</t>
  </si>
  <si>
    <t>Belgrano 19</t>
  </si>
  <si>
    <t>OP 242</t>
  </si>
  <si>
    <t>242 Peron 2754 6 B</t>
  </si>
  <si>
    <t>Argentina | G.B.A. Zona Oeste | Moron | Haedo</t>
  </si>
  <si>
    <t>CAP7546968</t>
  </si>
  <si>
    <t>VENTA DUPLEX AMOBLADO CAÑITAS</t>
  </si>
  <si>
    <t>CAP6526820</t>
  </si>
  <si>
    <t xml:space="preserve">Departamento Ideal para renta, Venta 3 dormitorios y cochera </t>
  </si>
  <si>
    <t>Ideal para renta, Departamento 3 dormitorios y cochera</t>
  </si>
  <si>
    <t>Argentina | Santa Fe | La Capital | Santo Tome | Sargento Cabral</t>
  </si>
  <si>
    <t>CAP7666597</t>
  </si>
  <si>
    <t>Departamento en venta ubicado en Barrio Docente - Salta</t>
  </si>
  <si>
    <t>Barrio El Docente</t>
  </si>
  <si>
    <t>Argentina | Salta | Capital | Salta | Bo.Docente</t>
  </si>
  <si>
    <t>CAP7642722</t>
  </si>
  <si>
    <t>Monoambiente Full Amenities en venta - Montserrat</t>
  </si>
  <si>
    <t>Alsina al 1200</t>
  </si>
  <si>
    <t>CAP7511974</t>
  </si>
  <si>
    <t>Departamento 2 amb. en venta en Saavedra.</t>
  </si>
  <si>
    <t>Superi al 3500</t>
  </si>
  <si>
    <t>CLA7308252</t>
  </si>
  <si>
    <t>VENTA Lote/Terreno  UF5 756 m2 Faldeo del Bayo Villa La Angostura</t>
  </si>
  <si>
    <t>Calle 25, Villa La Angostura, Neuquén, Argentina al 900</t>
  </si>
  <si>
    <t>Argentina | Neuquen | Villa La Angostura | Faldeo Del Bayo</t>
  </si>
  <si>
    <t>CHO6893764</t>
  </si>
  <si>
    <t xml:space="preserve">VENTA DE CASA MULTIFAMILIAR </t>
  </si>
  <si>
    <t>Venta De  2  Casas Thames y Joaquin V. Gonzalez al 700.</t>
  </si>
  <si>
    <t>CHO7645745</t>
  </si>
  <si>
    <t>Importante casa en venta en Maipú. A dos cuadras plaza departamental.</t>
  </si>
  <si>
    <t>Tropero Sosa  al 100</t>
  </si>
  <si>
    <t>CHO7356458</t>
  </si>
  <si>
    <t>Venta triplex 5 amb con pileta en Olivos</t>
  </si>
  <si>
    <t>Capitan Justo G Bermudez al 3100</t>
  </si>
  <si>
    <t>JAP7133395</t>
  </si>
  <si>
    <t>Departamento 2 ambientes cochera en Torre Vicente Lopez</t>
  </si>
  <si>
    <t>Av del Libertador 1500 Vicente Lopez</t>
  </si>
  <si>
    <t>CHO7440485</t>
  </si>
  <si>
    <t>VENTA CASA 4 AMBIENTES PREMIUM CON PATIO Y QUINCHO</t>
  </si>
  <si>
    <t>Fragata Presidente Sarmiento al 600</t>
  </si>
  <si>
    <t>CBU65913 AP7520489</t>
  </si>
  <si>
    <t>Venta de Departamento 2 ambientes con balcón en Agronomía</t>
  </si>
  <si>
    <t>inmueble ubicada en Calle Las Palomas 355 de la ciudad de San Martin de los Andes Pcia. De Neuquén, nomenclatura catastral 15-20-052-1475-0000, Propiedad que posee en venta la profesional Laura C. Pargade, Corredora Inmobiliaria, Mat. 801 del CMyCPN,</t>
  </si>
  <si>
    <t>Las Palomas 355</t>
  </si>
  <si>
    <t>Argentina | Neuquen | Lacar | San Martin De Los Andes | Villa Vega Maipú</t>
  </si>
  <si>
    <t>CHO7520957</t>
  </si>
  <si>
    <t>Casa en venta ubicada en Zona Alto La Loma</t>
  </si>
  <si>
    <t>Ramon Acosta 1400</t>
  </si>
  <si>
    <t>CAP6788779</t>
  </si>
  <si>
    <t>DEPARTAMENTO TIPO DUPLEX DE 3 AMB , CON COCHERA  APTO CREDITO</t>
  </si>
  <si>
    <t>Pujol al 1000</t>
  </si>
  <si>
    <t>CAP7414169</t>
  </si>
  <si>
    <t>VENTA MONO AMBIENTE DIVIDIDO LUMINOSO CABALLITO</t>
  </si>
  <si>
    <t>Pumacahua 33</t>
  </si>
  <si>
    <t>CAP7270402</t>
  </si>
  <si>
    <t xml:space="preserve">Departamento Monoambiente en Recoleta </t>
  </si>
  <si>
    <t>ARENALES  al 1900</t>
  </si>
  <si>
    <t>AAP7313768</t>
  </si>
  <si>
    <t>Juncal al 4500</t>
  </si>
  <si>
    <t>CAP6745128</t>
  </si>
  <si>
    <t>CAP7250198</t>
  </si>
  <si>
    <t>Departamento - 42m2 - 2ambientes</t>
  </si>
  <si>
    <t>Ituzaingo  al 1400</t>
  </si>
  <si>
    <t>CAP7070530</t>
  </si>
  <si>
    <t>Departamento en venta - Lanús Este - Zona centrica</t>
  </si>
  <si>
    <t>Tucumán al 1100</t>
  </si>
  <si>
    <t>Murature 5125</t>
  </si>
  <si>
    <t>CAP7370515</t>
  </si>
  <si>
    <t>Departamento en Barracas</t>
  </si>
  <si>
    <t>Finoquieto al 900</t>
  </si>
  <si>
    <t>CAP7318425</t>
  </si>
  <si>
    <t>DEPARTAMENTO EN VENTA 3 AMBIENTES EN COLGIALES</t>
  </si>
  <si>
    <t>Moldes  al 1400</t>
  </si>
  <si>
    <t>CAP6459164</t>
  </si>
  <si>
    <t>VENTA DEPARTAMENTO DE 3 AMBIENTES EN BELGRANO</t>
  </si>
  <si>
    <t>Av Ricardo Balbin al 2300</t>
  </si>
  <si>
    <t>CHO7327830</t>
  </si>
  <si>
    <t>Casas a estrenar en PH al frente 2/3 dormitorios Categoría 21a y 472 City Bell</t>
  </si>
  <si>
    <t>Casa a estrenar en PH  en obra de 2/3 dormitorios 21a y 472 City Bell - Ultima UNIDAD!!</t>
  </si>
  <si>
    <t>CAP7547308</t>
  </si>
  <si>
    <t xml:space="preserve">Espectacular 3 amb + dep balcon corrido SUPER luminoso! </t>
  </si>
  <si>
    <t>Laprida  al 1700</t>
  </si>
  <si>
    <t>OP 219</t>
  </si>
  <si>
    <t>Bouchard</t>
  </si>
  <si>
    <t>110Beti</t>
  </si>
  <si>
    <t>Terreno Los Duendes</t>
  </si>
  <si>
    <t>Los duendes 2763</t>
  </si>
  <si>
    <t>CLA7318565</t>
  </si>
  <si>
    <t>VENTA Lote/Terreno 1.630 m2, B° Las Marías del Valle, San Martín de los Andes</t>
  </si>
  <si>
    <t>Ruta 40 Km 2232</t>
  </si>
  <si>
    <t>111Lily</t>
  </si>
  <si>
    <t>jj Paso 997 - Esperanza</t>
  </si>
  <si>
    <t>CAP7330720</t>
  </si>
  <si>
    <t>Venta de Departamento 3 ambientes a refaccionar en Monte Castro</t>
  </si>
  <si>
    <t>Alvarez Jonte al 5100</t>
  </si>
  <si>
    <t>CBU59332 AP7065680</t>
  </si>
  <si>
    <t>Departamento en  venta de 2 ambientes en Villa Urquiza CABA</t>
  </si>
  <si>
    <t>Zado  al 3500 -1°  Villa Urquiza</t>
  </si>
  <si>
    <t>CAP7575735</t>
  </si>
  <si>
    <t xml:space="preserve">Departamento dos ambientes Centro de Bariloche </t>
  </si>
  <si>
    <t>Departamento dos ambientes en Vicealmirante o´connor  al 600</t>
  </si>
  <si>
    <t>CBU60233 AP6592940</t>
  </si>
  <si>
    <t>Departamento Dos Ambientes con vista al lago a 5 minutos del centro</t>
  </si>
  <si>
    <t xml:space="preserve">Reserva Venta Ada 25 de mayo 1343, Ubicate Transferencia </t>
  </si>
  <si>
    <t>CLO7711949</t>
  </si>
  <si>
    <t>LOCALES EN VENTA</t>
  </si>
  <si>
    <t>Av. Bandera de Los Andes al 3800</t>
  </si>
  <si>
    <t>Argentina | Mendoza | Guaymallen | Villa Nueva De Guaymallen</t>
  </si>
  <si>
    <t>N/C - VALDENEGRO</t>
  </si>
  <si>
    <t>VENTA LOTE VILLA URQUIZA</t>
  </si>
  <si>
    <t>VALDENEGRO 3257</t>
  </si>
  <si>
    <t>CAP7562650</t>
  </si>
  <si>
    <t>MONOAMBIENTE IDEAL INVERSIÓN Y PROFESIONALES</t>
  </si>
  <si>
    <t>Larrea al 1200</t>
  </si>
  <si>
    <t>JAP7640907</t>
  </si>
  <si>
    <t>Departamento en venta 2 ambientes c/ BALCÓN! Excelente estado!</t>
  </si>
  <si>
    <t>Av. Independencia al 1300</t>
  </si>
  <si>
    <t>CBU60233 AP6592806</t>
  </si>
  <si>
    <t>CHO7502803</t>
  </si>
  <si>
    <t>VENTA CASA EN EL BARRIO EL CAZADOR ESCOBAR</t>
  </si>
  <si>
    <t>MIGUEL  CANE al 3300</t>
  </si>
  <si>
    <t>CAP7415128</t>
  </si>
  <si>
    <t>Departamento 4 Ambientes - 2 Baños Completos - Al Frente</t>
  </si>
  <si>
    <t>Julián Álvarez al 2200</t>
  </si>
  <si>
    <t>CHO7104751</t>
  </si>
  <si>
    <t>Casa en Venta - Barrio Portico del Sol 1 - Mendoza</t>
  </si>
  <si>
    <t>Barrio Portico del Sol 1</t>
  </si>
  <si>
    <t>CAP7557679</t>
  </si>
  <si>
    <t>Venta departamento de un dormitorio y balcón en 4 y 63 - LA PLATA</t>
  </si>
  <si>
    <t>CLA6306352</t>
  </si>
  <si>
    <t>Terreno  de 436m2 en Dina Huapi con vista al Cerro Leones</t>
  </si>
  <si>
    <t>Dina Hue, Dina Huapi</t>
  </si>
  <si>
    <t>CAP7193859</t>
  </si>
  <si>
    <t>Luminoso 3 ambientes con Cocina independiente y lavadero ubicado en La Boca</t>
  </si>
  <si>
    <t>Victorica al 100</t>
  </si>
  <si>
    <t>CAP7533698</t>
  </si>
  <si>
    <t>Departamento 2 ambientes en Venta en San Fernando</t>
  </si>
  <si>
    <t>Avenida Perón al 1700</t>
  </si>
  <si>
    <t>Argentina | G.B.A. Zona Norte | San Fernando | San Fernando</t>
  </si>
  <si>
    <t>Uvemvi casa venta punta compradora</t>
  </si>
  <si>
    <t>Colonia N-E</t>
  </si>
  <si>
    <t>Terreno Colonia N-E</t>
  </si>
  <si>
    <t>Colonia Nueva Esperanza</t>
  </si>
  <si>
    <t>CAP7353470</t>
  </si>
  <si>
    <t>VENTA DEPARTAMENTO 3 AMBIENTES CON PATIO - PALERMO BOTÁNICO</t>
  </si>
  <si>
    <t>Araoz  al 2600</t>
  </si>
  <si>
    <t>JPH7233485</t>
  </si>
  <si>
    <t>Venta PH Villa Urquiza patios y terraza</t>
  </si>
  <si>
    <t>Av de los Constituyentes al 4100</t>
  </si>
  <si>
    <t>CAP7531785</t>
  </si>
  <si>
    <t xml:space="preserve">Departamento en VENTA + TERRAZA + COCHERA </t>
  </si>
  <si>
    <t>Olazabal  al 3200</t>
  </si>
  <si>
    <t>N/C - ORO 2631</t>
  </si>
  <si>
    <t>VENTA DPTO 2 AMBIENTES PALERMO NUEVO</t>
  </si>
  <si>
    <t>Fray Justo Sta. María de Oro 2631</t>
  </si>
  <si>
    <t>CHO7508348</t>
  </si>
  <si>
    <t>OPORTUNIDAD APTO CRÉDITO - Casa en Venta a Refaccionar en Santa Teresa</t>
  </si>
  <si>
    <t>Argentina | G.B.A. Zona Norte | Tigre | Countries/B.Cerrado (Tigre) | Villanueva | Santa Teresa</t>
  </si>
  <si>
    <t>CHO7228273</t>
  </si>
  <si>
    <t>Venta Casa 3 Ambientes con Patio en Hurlingham</t>
  </si>
  <si>
    <t>Combate de Pavon al 1000</t>
  </si>
  <si>
    <t xml:space="preserve">Argentina | G.B.A. Zona Oeste | Hurlingham </t>
  </si>
  <si>
    <t>Honduras 3830 5ª 22</t>
  </si>
  <si>
    <t xml:space="preserve">Vidt 1962 </t>
  </si>
  <si>
    <t>CHO7181022</t>
  </si>
  <si>
    <t xml:space="preserve">Casa en  barrio Roma </t>
  </si>
  <si>
    <t>Casa de  3 dormitorios en Barrio Roma</t>
  </si>
  <si>
    <t>CAP7030119</t>
  </si>
  <si>
    <t>VENTA Departamento Viveros II 45m2 Centro San Martin de los Andes</t>
  </si>
  <si>
    <t>Elordi 326 PB</t>
  </si>
  <si>
    <t>CAP7540552</t>
  </si>
  <si>
    <t>Departamento Estilo Francés Espectacular</t>
  </si>
  <si>
    <t>bernardo de irigoyen  al 700</t>
  </si>
  <si>
    <t>CHO6947321</t>
  </si>
  <si>
    <t>Casa en  venta Náutico Escobar</t>
  </si>
  <si>
    <t>Libertad al 1300</t>
  </si>
  <si>
    <t>Argentina | G.B.A. Zona Norte | Escobar | Countries/B.Cerrado (Escobar) | Nautico Escobar</t>
  </si>
  <si>
    <t>Mayling CC</t>
  </si>
  <si>
    <t xml:space="preserve">Lote en Venta Mayling CC </t>
  </si>
  <si>
    <t>CHO7759756</t>
  </si>
  <si>
    <t>OPORTUNIDAD CASA EN VENTA LUMINOSA 3 DORM   ESCRITORIO BARRIO CANTON</t>
  </si>
  <si>
    <t>Casa en venta canton norte a estrenar ! 3 dorm + escritorio</t>
  </si>
  <si>
    <t>Argentina | G.B.A. Zona Norte | Escobar | Countries/B.Cerrado (Escobar) | El Canton - Norte</t>
  </si>
  <si>
    <t>CAP6939464</t>
  </si>
  <si>
    <t>Venta departamento 3 ambientes balcón baulera Muy Luminoso Balvanera</t>
  </si>
  <si>
    <t>Avenida Rivadavia al 2900</t>
  </si>
  <si>
    <t>CAP7222710</t>
  </si>
  <si>
    <t>Venta Departamento 3 Ambientes  A Reciclar en Palermo</t>
  </si>
  <si>
    <t>Bulnes  al 2100</t>
  </si>
  <si>
    <t>JAP7352680</t>
  </si>
  <si>
    <t>VENTA DEPARTAMENTO MONOAMBIENTE CON BALCÓN - PILETA - VILLA PUEYRREDON  APTO CREDITO</t>
  </si>
  <si>
    <t>Nazca al 4500</t>
  </si>
  <si>
    <t>CAP7556650</t>
  </si>
  <si>
    <t>Imperdible 2 ambientes con balcón en zona premium de Caballito</t>
  </si>
  <si>
    <t>Ambrosetti al 400</t>
  </si>
  <si>
    <t>JAP7193820</t>
  </si>
  <si>
    <t xml:space="preserve">Venta Departamento dos ambientes con cochera </t>
  </si>
  <si>
    <t>Av. Brasil al 2300</t>
  </si>
  <si>
    <t xml:space="preserve">Libertad 420 - 2 / CB Seniority - Guadalupe y Claudio </t>
  </si>
  <si>
    <t>Libertad 420</t>
  </si>
  <si>
    <t>CAP7136099</t>
  </si>
  <si>
    <t>Departamento en  VENTA DEPARTAMENTO EN SAAVEDRA</t>
  </si>
  <si>
    <t>CRISOLOGO LARRALDE al 2600</t>
  </si>
  <si>
    <t>CHO7484778</t>
  </si>
  <si>
    <t>Casa en Venta 5 dormitorios con amplios espacios y comodidades, luminosa! Ceibos puertos del Lago</t>
  </si>
  <si>
    <t>Casa en Venta 5 dormitorios con amplios espacios y comodidades, luminosa! Puertos del Lago Ceibos</t>
  </si>
  <si>
    <t>Argentina | G.B.A. Zona Norte | Escobar | Countries/B.Cerrado (Escobar) | Puertos del Lago | Ceibos</t>
  </si>
  <si>
    <t>CAP7459725</t>
  </si>
  <si>
    <t>Venta de departamento 2 ambientes en caballito apto profesional - oportunidad inversión</t>
  </si>
  <si>
    <t>Av Rivadavia  al 5200</t>
  </si>
  <si>
    <t>CAP7564009</t>
  </si>
  <si>
    <t>Venta departamento 2 ambientes Palermo</t>
  </si>
  <si>
    <t>Mario Bravo  al 1200</t>
  </si>
  <si>
    <t>CAP7449720</t>
  </si>
  <si>
    <t>Venta Departamento Dos Ambientes Palermo Distrito Audivisual</t>
  </si>
  <si>
    <t>Dorrego al 1600</t>
  </si>
  <si>
    <t>Nazarre 2524</t>
  </si>
  <si>
    <t>CAP7621023</t>
  </si>
  <si>
    <t xml:space="preserve">VENTA/PERMUTA departamento de 3 dormitorios  </t>
  </si>
  <si>
    <t>Matheu  89</t>
  </si>
  <si>
    <t>CAP7533427</t>
  </si>
  <si>
    <t>Departamento en Caballito - 2 ambientes</t>
  </si>
  <si>
    <t>Miró al 500</t>
  </si>
  <si>
    <t>97Nico</t>
  </si>
  <si>
    <t>Casa en Urquiza</t>
  </si>
  <si>
    <t>Urquiza 2200</t>
  </si>
  <si>
    <t>CAP6953247</t>
  </si>
  <si>
    <t>Venta departamento 3 ambientes con balcón en  Belgrano</t>
  </si>
  <si>
    <t>Ciudad de la Paz al 1900</t>
  </si>
  <si>
    <t>CPH7417689</t>
  </si>
  <si>
    <t>Venta - PH - 5 Ambientes - Sin Expensas - Patio - Terraza - Parrilla - Floresta Norte</t>
  </si>
  <si>
    <t>Chivilcoy 1600</t>
  </si>
  <si>
    <t>CAP7120955</t>
  </si>
  <si>
    <t>Departamento dos dormitorios frente a Plaza Pringles</t>
  </si>
  <si>
    <t>Semipiso en Rosario con vista a Plaza Pringles</t>
  </si>
  <si>
    <t>Argentina | Santa Fe | Rosario | Centro</t>
  </si>
  <si>
    <t>Garcia del Rio</t>
  </si>
  <si>
    <t>Garcia Del Rio</t>
  </si>
  <si>
    <t>CHO7522654</t>
  </si>
  <si>
    <t>VENTA- Casa en Rocio del Talar - Pacheco</t>
  </si>
  <si>
    <t>VENTA- Casa en Rocio del Talar - Pacheco - Tigre</t>
  </si>
  <si>
    <t>Argentina | G.B.A. Zona Norte | Tigre | Countries/B.Cerrado (Tigre) | Rocio Del Talar</t>
  </si>
  <si>
    <t>VHO5084776</t>
  </si>
  <si>
    <t>Casa en Venta - 5 AMB - Acacias - Puertos del Lago</t>
  </si>
  <si>
    <t>PUERTOS DEL LAGO ACACIAS</t>
  </si>
  <si>
    <t>ALA6249754</t>
  </si>
  <si>
    <t>Terreno en Mar del Plata</t>
  </si>
  <si>
    <t>Felipe de Arana al 4800</t>
  </si>
  <si>
    <t>Argentina | Interior Buenos Aires | General Pueyrredon | Mar Del Plata</t>
  </si>
  <si>
    <t>UF N° 30 de 396,00m2 parte del Loteo denominado Zona “C” Quetrihue</t>
  </si>
  <si>
    <t>CHO7298562</t>
  </si>
  <si>
    <t>Casa en La Capital</t>
  </si>
  <si>
    <t>Casa tipo duplex desarrollada en dos plantas</t>
  </si>
  <si>
    <t>110AgustinS</t>
  </si>
  <si>
    <t>Casa en Mayoraz</t>
  </si>
  <si>
    <t>CCO60459 AP6615102</t>
  </si>
  <si>
    <t>Departamento VENTA O ALQUILER  3 amb a estrenar en San Gerónimo</t>
  </si>
  <si>
    <t>Depto 3 amb a estrenar San Geronimo Pilar</t>
  </si>
  <si>
    <t>Argentina | G.B.A. Zona Norte | Pilar | San Gerónimo</t>
  </si>
  <si>
    <t>CAP7439838</t>
  </si>
  <si>
    <t xml:space="preserve">Venta Departamento 2 Dormitorios 3 Amb  Con Cocina y Balcón 2° Piso al frente </t>
  </si>
  <si>
    <t>Juan José Paso  40</t>
  </si>
  <si>
    <t>Argentina | G.B.A. Zona Norte | San Isidro | Martinez | Mart.-Vias/Santa Fe</t>
  </si>
  <si>
    <t>CAP7344949</t>
  </si>
  <si>
    <t>VENTA Departamento en torre Icono acoyte 2 ambientes</t>
  </si>
  <si>
    <t>acoyte al 500</t>
  </si>
  <si>
    <t>Casa Nati&amp;Lore</t>
  </si>
  <si>
    <t>CAP7740666</t>
  </si>
  <si>
    <t>Tucuman 10</t>
  </si>
  <si>
    <t>CHO7381993</t>
  </si>
  <si>
    <t>Casa en venta en Neuquén en Alta Barda con quincho y 4 departamentos para renta</t>
  </si>
  <si>
    <t>Los Lirios  al 600 Barrio Alta Barda</t>
  </si>
  <si>
    <t>Argentina | Neuquen | Capital | Alta Barda</t>
  </si>
  <si>
    <t>CWE6718102</t>
  </si>
  <si>
    <t>Casa quinta en Villa California</t>
  </si>
  <si>
    <t>Calle de Los Duendes 2763</t>
  </si>
  <si>
    <t>CHO7418897</t>
  </si>
  <si>
    <t xml:space="preserve">Duplex en Venta en Santa Ana Joven </t>
  </si>
  <si>
    <t>Duplex en Venta - Santa Ana Joven 3 ambientes con terraza OPORTUNIDAD  - Villanueva</t>
  </si>
  <si>
    <t>JULIO A ROCA</t>
  </si>
  <si>
    <t xml:space="preserve">JULIO A ROCA 928 </t>
  </si>
  <si>
    <t>UF 29 Loteo C Quetrihue</t>
  </si>
  <si>
    <t>CHO7457349</t>
  </si>
  <si>
    <t>Casa céntrica en zona de Hospital Español</t>
  </si>
  <si>
    <t>UY MercadoLibre</t>
  </si>
  <si>
    <t>Emilio Civit al 1300</t>
  </si>
  <si>
    <t>APH4540502</t>
  </si>
  <si>
    <t>Versalles - PH 3 ambientes con terraza propia - SIN EXPENSAS</t>
  </si>
  <si>
    <t>Tinogasta al 6000</t>
  </si>
  <si>
    <t>CAP7373708</t>
  </si>
  <si>
    <t>REAL OPORTUNIDAD - Amplio 2 AMB  - Nordelta</t>
  </si>
  <si>
    <t>2 AMB CON BALCÓN EN VENTA THE KIRI PUERTO ESCONDIDO NORDELTA</t>
  </si>
  <si>
    <t>CESAR DIAZ 570 - YAMILA LESINA - LEONARDI PROPIEDADES</t>
  </si>
  <si>
    <t>CESAR DIAZ 570</t>
  </si>
  <si>
    <t>VAP6770579</t>
  </si>
  <si>
    <t>Venta 3 ambientes - Portezuelo - APTO CREDITO</t>
  </si>
  <si>
    <t>CAP7466792</t>
  </si>
  <si>
    <t>VENTA Departamento 70m2  P Alta  Aldea del Golf Chapelco Golf San Martin de los Andes</t>
  </si>
  <si>
    <t>ALDEAS DEL GOLF  Chapelco Golf &amp; Resort</t>
  </si>
  <si>
    <t>Argentina | Neuquen | Lacar | San Martin De Los Andes | Chapelco Golf &amp; Resort</t>
  </si>
  <si>
    <t>CLA7420038</t>
  </si>
  <si>
    <t>VENTA Lote Terreno 420 m2 Centro San Martin de los Andes</t>
  </si>
  <si>
    <t>Villegas 800</t>
  </si>
  <si>
    <t>CAP7440527</t>
  </si>
  <si>
    <t>Venta departamento 3 ambientes balcón en Palermo</t>
  </si>
  <si>
    <t>Av. Santa Fe al 4900</t>
  </si>
  <si>
    <t>VPN53619 HO5685902</t>
  </si>
  <si>
    <t>Casa en  venta 4 ambientes - Pilar - Barrio cerrado Las Margaritas</t>
  </si>
  <si>
    <t>Pilar</t>
  </si>
  <si>
    <t>CHO7600262</t>
  </si>
  <si>
    <t>Pasaje Francia  al 1031</t>
  </si>
  <si>
    <t>CAP7364115</t>
  </si>
  <si>
    <t>VENTA RECOLETA PISO 5 AMB - COCHERA Y BALCON</t>
  </si>
  <si>
    <t>Av Las Heras al 1970</t>
  </si>
  <si>
    <t>CAP7657136</t>
  </si>
  <si>
    <t>Departamento en venta en Neuquén</t>
  </si>
  <si>
    <t>Picun Leufu  al 100</t>
  </si>
  <si>
    <t>CHO7190676</t>
  </si>
  <si>
    <t>Casa en Las Compuertas</t>
  </si>
  <si>
    <t xml:space="preserve">Los Retamos </t>
  </si>
  <si>
    <t>Argentina | Mendoza | Lujan De Cuyo | Lujan De Cuyo | Chacras De Coria</t>
  </si>
  <si>
    <t>CAP7539215</t>
  </si>
  <si>
    <t>Departamento 3 dormitorios en La Plata Diagonal 73 entre 8 y 58</t>
  </si>
  <si>
    <t>Departamento 3 Dormitorios Diagonal 73 al 1300</t>
  </si>
  <si>
    <t>CHO6434354</t>
  </si>
  <si>
    <t>Casa en  En San Martín</t>
  </si>
  <si>
    <t>Boulogne sur mer  5100 Villa Lynch</t>
  </si>
  <si>
    <t xml:space="preserve">Dpartamento en venta en Aldeana </t>
  </si>
  <si>
    <t>Townhouse 3 ambientes en Aldeana</t>
  </si>
  <si>
    <t>Del Viso</t>
  </si>
  <si>
    <t>Argentina | G.B.A. Zona Norte | Pilar | Del Viso | Aldeana Pilar</t>
  </si>
  <si>
    <t>CAP7206727</t>
  </si>
  <si>
    <t>VENTA DEPARTAMENTO 4 AMBIENTES CON DEPENDENCIA,  3 BALCONES ATERRAZADOS PATIO y COCHERA en PALERMO</t>
  </si>
  <si>
    <t>ARMENIA al 2400</t>
  </si>
  <si>
    <t>UF 4 Loteo C Quetrihue</t>
  </si>
  <si>
    <t>UF 15 loteo C Quetrihue</t>
  </si>
  <si>
    <t>lote de aproximadamente 900 m2 ubicado en Barria 757, nomenclatura catastral 16-20-061-8448-0000</t>
  </si>
  <si>
    <t>Barria 700</t>
  </si>
  <si>
    <t>CAP7381916</t>
  </si>
  <si>
    <t>Venta Departamento 2 Ambientes con Balcon en San Nicolás</t>
  </si>
  <si>
    <t>Libertad al 400</t>
  </si>
  <si>
    <t>CLA7241558</t>
  </si>
  <si>
    <t>Terreno en El Cerrito</t>
  </si>
  <si>
    <t>ADOLFO CALLE al 5100</t>
  </si>
  <si>
    <t>Argentina | Mendoza | San Rafael | El Cerrito</t>
  </si>
  <si>
    <t>CLA7717987</t>
  </si>
  <si>
    <t>Terreno - Maipu</t>
  </si>
  <si>
    <t>Maza y 25 de mayo 0</t>
  </si>
  <si>
    <t>CLA7376533</t>
  </si>
  <si>
    <t>VENDO LOTE EN CHAPADMALAL</t>
  </si>
  <si>
    <t>Chapadmalal al 60 general pueyrredon partido de la costa</t>
  </si>
  <si>
    <t xml:space="preserve">Argentina | Costa Atlantica | Barrio Chapadmalal </t>
  </si>
  <si>
    <t>CPH7429543</t>
  </si>
  <si>
    <t>VENTA PH 3 AMB C/TERRAZA COLEGIALES</t>
  </si>
  <si>
    <t>Fraga  al 600</t>
  </si>
  <si>
    <t>CAP7631275</t>
  </si>
  <si>
    <t>Marcelo T.  de Alvear al 2100</t>
  </si>
  <si>
    <t>CAP7529902</t>
  </si>
  <si>
    <t>Venta departamento AMUEBLADO dos ambientes en Recoleta. IDEAL INVERSION O VIVIENDA</t>
  </si>
  <si>
    <t>op 233</t>
  </si>
  <si>
    <t>Santos Dumont 2355 1 D</t>
  </si>
  <si>
    <t>CAP7269965</t>
  </si>
  <si>
    <t>Venta Departamento de 2 ambientes con cochera en Lanusita</t>
  </si>
  <si>
    <t>Dr. Arturo Melo al 2800</t>
  </si>
  <si>
    <t>CAP7424946</t>
  </si>
  <si>
    <t>Venta  Departamento 2 Ambientes  Balcon Terraza  en Belgrano</t>
  </si>
  <si>
    <t>Blanco Encalada al 2900</t>
  </si>
  <si>
    <t>CAP7325033</t>
  </si>
  <si>
    <t>VENDE Departamento dúplex 72 m² Centro Villa La Angostura</t>
  </si>
  <si>
    <t>Pascotto al 100</t>
  </si>
  <si>
    <t>AV. SANTA FE 3100 - SOL LORENZO - BAIGUN</t>
  </si>
  <si>
    <t>AV. SANTA FE 3100</t>
  </si>
  <si>
    <t>CAP7531799</t>
  </si>
  <si>
    <t>VENTA DEPARTAMENTO 6 AMBIENTES C/DEPENDENCIA Y COCHERA EN RECOLETA</t>
  </si>
  <si>
    <t>AV LAS HERAS  al 1800</t>
  </si>
  <si>
    <t>Caracas venta departamento</t>
  </si>
  <si>
    <t xml:space="preserve">Caracas 1080 </t>
  </si>
  <si>
    <t>CFA7300444</t>
  </si>
  <si>
    <t>Finca en Andrade</t>
  </si>
  <si>
    <t>FRENTE A CALLE CHILECITO S/N</t>
  </si>
  <si>
    <t>Argentina | Mendoza | Rivadavia | Andrade</t>
  </si>
  <si>
    <t>25EM-14-01-26</t>
  </si>
  <si>
    <t>Av. Corrientes  al 4700</t>
  </si>
  <si>
    <t>CAP7546141</t>
  </si>
  <si>
    <t>VENTA 3 AMBIENTES TOTALMENTE RECICLADO A NUEVO DISEÑO Y CALIDAD PREMIUM EN SAN NICOLAS</t>
  </si>
  <si>
    <t>Avenida Corrientes al 1200</t>
  </si>
  <si>
    <t>Casa a la venta</t>
  </si>
  <si>
    <t>Cuenca 2200 olivos</t>
  </si>
  <si>
    <t>CHO7391905</t>
  </si>
  <si>
    <t>Espectacular casa en San Sebastián, área 11, laguna</t>
  </si>
  <si>
    <t>BAP5198928</t>
  </si>
  <si>
    <t>Departamento de dos ambientes</t>
  </si>
  <si>
    <t>Anchorena al 1100</t>
  </si>
  <si>
    <t xml:space="preserve">Reserva Venta Magda Nay y Roma Chaco y Corrientes </t>
  </si>
  <si>
    <t>CAP7087501</t>
  </si>
  <si>
    <t>VENTA DEPARTAMENTO PREMIUM 3 AMBIENTES A ESTRENAR EN BELGRANO</t>
  </si>
  <si>
    <t>Vidal al 2800</t>
  </si>
  <si>
    <t>MANSILLA</t>
  </si>
  <si>
    <t xml:space="preserve">MANSILLA CABA </t>
  </si>
  <si>
    <t>MANSILLA 2568</t>
  </si>
  <si>
    <t>CHO7330250</t>
  </si>
  <si>
    <t>Casa en Venta, a la Laguna en San Benito - Villanueva</t>
  </si>
  <si>
    <t>Argentina | G.B.A. Zona Norte | Tigre | Countries/B.Cerrado (Tigre) | Villanueva | San Benito</t>
  </si>
  <si>
    <t>CHO6966114</t>
  </si>
  <si>
    <t>Casa 4 Ambientes en Venta en  Castelar</t>
  </si>
  <si>
    <t>Wenceslao Paunero  248</t>
  </si>
  <si>
    <t>Argentina | G.B.A. Zona Oeste | Moron | Castelar</t>
  </si>
  <si>
    <t>CAP7149037</t>
  </si>
  <si>
    <t>Venta Departamento 4 ambientes, piso alto con balcon en Belgrano</t>
  </si>
  <si>
    <t>Cabildo al 1100</t>
  </si>
  <si>
    <t>CPH4820178</t>
  </si>
  <si>
    <t>Venta PH - 5 Ambientes - Ideal dos familias - Terraza y Patio - Vélez Sarsfield</t>
  </si>
  <si>
    <t>Alejandro Margariños Cervantes al 4500</t>
  </si>
  <si>
    <t xml:space="preserve">Argentina | Capital Federal | Velez Sarsfield </t>
  </si>
  <si>
    <t>Casa en venta Barrio Santo Tomás</t>
  </si>
  <si>
    <t>Casa en venta en Barrio Santo Tomás</t>
  </si>
  <si>
    <t>Mariano Acosta 3098</t>
  </si>
  <si>
    <t>CAP7296145</t>
  </si>
  <si>
    <t>Venta departamento 4 ambientes dependencia balcones cochera Belgrano</t>
  </si>
  <si>
    <t>Av Congreso al 2700</t>
  </si>
  <si>
    <t>CAP7297674</t>
  </si>
  <si>
    <t>DEPARTAMENTO EN VENTA 2 AMB MORON CENTRO</t>
  </si>
  <si>
    <t>Buen Viaje  al 600</t>
  </si>
  <si>
    <t>Argentina | G.B.A. Zona Oeste | Moron | Moron</t>
  </si>
  <si>
    <t>CAP7200170</t>
  </si>
  <si>
    <t>Venta Departamento 2 Ambientes - Excelente oportunidad para reciclar</t>
  </si>
  <si>
    <t>Talcahuano 60</t>
  </si>
  <si>
    <t>CAP7540046</t>
  </si>
  <si>
    <t>VENTA DEPARTAMENTO 1 Dormitorio - SENADOR PEREZ - CENTRO</t>
  </si>
  <si>
    <t>Senador Perez al 100</t>
  </si>
  <si>
    <t>CAP7285961</t>
  </si>
  <si>
    <t>Departamento en El Palomar</t>
  </si>
  <si>
    <t>Bustillo al 500</t>
  </si>
  <si>
    <t>Argentina | G.B.A. Zona Oeste | Moron | El Palomar</t>
  </si>
  <si>
    <t>CAP7557789</t>
  </si>
  <si>
    <t>AV. CORRIENTES Y MONTEVIDEO. TODO SOL!!! EXCELENTE UBICACIÓN!!!</t>
  </si>
  <si>
    <t>Av. Corrientes  al 1500</t>
  </si>
  <si>
    <t>Neuquén 871</t>
  </si>
  <si>
    <t>CAP7458160</t>
  </si>
  <si>
    <t xml:space="preserve">Venta departamento 3 amb Nuñez </t>
  </si>
  <si>
    <t>Departamento venta 3 ambientes Nuñez</t>
  </si>
  <si>
    <t>CAP6738365</t>
  </si>
  <si>
    <t>Venta Monoambiente en Palermo. Ideal Inversión</t>
  </si>
  <si>
    <t>Mansilla al 3300</t>
  </si>
  <si>
    <t>CBTCO26001</t>
  </si>
  <si>
    <t xml:space="preserve">Departamento 2 Ambientes Exclusivo </t>
  </si>
  <si>
    <t>AZUENAGA  al 900</t>
  </si>
  <si>
    <t>CAP6274947</t>
  </si>
  <si>
    <t>Venta Departamento 3 Ambientes a Estrenar en San Telmo</t>
  </si>
  <si>
    <t>CASEROS al 700</t>
  </si>
  <si>
    <t>CAP7658929</t>
  </si>
  <si>
    <t>VENTA DEPARTAMENTO 3 AMBIENTES A ESTRENAR EN FLORIDA</t>
  </si>
  <si>
    <t>Av San Martin al 1600</t>
  </si>
  <si>
    <t>CHO7329329</t>
  </si>
  <si>
    <t>Casa en Venta 3 dormitorios Barrio Santa Sofia Pilar del Este</t>
  </si>
  <si>
    <t>Barrio Santa Sofia Pilar del Este</t>
  </si>
  <si>
    <t>Argentina | G.B.A. Zona Norte | Pilar | Countries/B.Cerrado (Pilar) | Pilar Del Este | Santa Sofía</t>
  </si>
  <si>
    <t>J. A. Cabrera 3411 7mo D</t>
  </si>
  <si>
    <t>CAP7546148</t>
  </si>
  <si>
    <t>Venta Departamento 3 ambientes en Recoleta</t>
  </si>
  <si>
    <t>Av. Pueyrredon al 2100</t>
  </si>
  <si>
    <t>CHO7329678</t>
  </si>
  <si>
    <t>Casa en Venta 3 dormitorios Santa Elena Pilar del Este</t>
  </si>
  <si>
    <t xml:space="preserve">Av. La Plata 275 - Martin Pitaluga </t>
  </si>
  <si>
    <t>Av. La Plata 275</t>
  </si>
  <si>
    <t>CPH7586781</t>
  </si>
  <si>
    <t>VENTA PH 3 AMBIENTES C/ PATIO, PARRILLA Y ENTRADA INDEPENDIENTE. VILLA DEVOTO.</t>
  </si>
  <si>
    <t>Sanabria al 3600</t>
  </si>
  <si>
    <t>CHO6495923</t>
  </si>
  <si>
    <t>Venta Casa 3 Amb y Dpto 2 Amb Salón, Pileta, Quincho, Parrilla, Garage en Villa Devoto Multifamiliar</t>
  </si>
  <si>
    <t>Simbron al 4100</t>
  </si>
  <si>
    <t>CLA6708960</t>
  </si>
  <si>
    <t>venta casa a demoler/terreno  o reciclar  en Godoy Cruz</t>
  </si>
  <si>
    <t xml:space="preserve">Tiburcio Benegas esquina Uruguay Godoy Cruz </t>
  </si>
  <si>
    <t>Argentina | Mendoza | Godoy Cruz | Godoy Cruz</t>
  </si>
  <si>
    <t>op 235</t>
  </si>
  <si>
    <t>Av Mitre 962 15</t>
  </si>
  <si>
    <t xml:space="preserve">Argentina | G.B.A. Zona Sur | Avellaneda </t>
  </si>
  <si>
    <t>JAP7568237</t>
  </si>
  <si>
    <t>VENTA DEPARTAMENTO MONOAMBIENTE CHACARITA EDIFICIO WALDEN</t>
  </si>
  <si>
    <t>Corrientes  al 6300</t>
  </si>
  <si>
    <t>CAP7794650</t>
  </si>
  <si>
    <t>Alquiler departamento en Villa Crespo</t>
  </si>
  <si>
    <t>Cucha cucha  al 1700</t>
  </si>
  <si>
    <t>PIERES 679</t>
  </si>
  <si>
    <t>CAP7675852</t>
  </si>
  <si>
    <t>Av..Coronel Diaz  al 1700</t>
  </si>
  <si>
    <t>Venta departamento Humberto Primo</t>
  </si>
  <si>
    <t>Humberto Primo 2823</t>
  </si>
  <si>
    <t>Donado CABA</t>
  </si>
  <si>
    <t>Departamento en venta en la Calle Donado Villa Urquiza</t>
  </si>
  <si>
    <t>donado 2544</t>
  </si>
  <si>
    <t>CBU60233 AP6592929</t>
  </si>
  <si>
    <t>CHO7511532</t>
  </si>
  <si>
    <t>Venta Casa en Parque El Faldeo</t>
  </si>
  <si>
    <t>Parque El Faldeo, San Carlos de Bariloche</t>
  </si>
  <si>
    <t>Argentina | Rio Negro | Bariloche | San Carlos De Bariloche | Parque El Faldeo</t>
  </si>
  <si>
    <t>CAP7290006</t>
  </si>
  <si>
    <t>Departamento 3 ambientes con dependencia en Venta</t>
  </si>
  <si>
    <t>Av. Montes de Oca al 500</t>
  </si>
  <si>
    <t>CHO7049417</t>
  </si>
  <si>
    <t>Casa en  venta en country La Tatenguita</t>
  </si>
  <si>
    <t xml:space="preserve">Casa en Country La Tatenguita </t>
  </si>
  <si>
    <t>COF7589489</t>
  </si>
  <si>
    <t>Oficina en Belgrano Barrancas</t>
  </si>
  <si>
    <t>Ciudad de la paz  al 2200</t>
  </si>
  <si>
    <t>JAP7441606</t>
  </si>
  <si>
    <t>Venta Departamento 2 ambientes super luminoso</t>
  </si>
  <si>
    <t>José M. Paiva  al 1500</t>
  </si>
  <si>
    <t>CAP7277831</t>
  </si>
  <si>
    <t>VENTA MONOAMBIENTE DIVISIBLE en Belgrano</t>
  </si>
  <si>
    <t>Avenida del Libertador 5800</t>
  </si>
  <si>
    <t>CLA7237900</t>
  </si>
  <si>
    <t>Venta Terreno Tortuguitas, ideal emprendimiento</t>
  </si>
  <si>
    <t>Caracas y Einstein</t>
  </si>
  <si>
    <t>Argentina | G.B.A. Zona Norte | Malvinas Argentinas | Tortuguitas</t>
  </si>
  <si>
    <t>CHO7075779</t>
  </si>
  <si>
    <t>Casa en Venta 2 dormitorios calle 7 entre 419 y 420 Villa Elisa</t>
  </si>
  <si>
    <t>Casa en Venta 2 Dormitorios, Cocina, Patio Calle 7 820 entre 419 y 420, Villa Elisa</t>
  </si>
  <si>
    <t>Argentina | G.B.A. Zona Sur | La Plata | Villa Elisa</t>
  </si>
  <si>
    <t>CAP7371616</t>
  </si>
  <si>
    <t>Venta Departamento 3 ambientes con balcón en Palermo Soho</t>
  </si>
  <si>
    <t>Scalabrini Ortiz al 1900</t>
  </si>
  <si>
    <t>Casa en Barrio San Sebastián Area 13</t>
  </si>
  <si>
    <t>Loma verde</t>
  </si>
  <si>
    <t>San Sebastian A13 L185</t>
  </si>
  <si>
    <t>CAP7240208</t>
  </si>
  <si>
    <t>VENTA DEPTO CUATRO AMB A RECICLAR  OPORTUNIDAD RECOLETA</t>
  </si>
  <si>
    <t>Junin al 1100</t>
  </si>
  <si>
    <t>CCO55415 AP7031058</t>
  </si>
  <si>
    <t>Departamento tipo duplex 3 amb   playroom y terraza propia - Bouquet Pilar</t>
  </si>
  <si>
    <t>Departamento tipo duplex 3 amb + playroom y terraza propia - Bouquet Pilar</t>
  </si>
  <si>
    <t>CBA59141 LA7277567</t>
  </si>
  <si>
    <t>CBA59141 LA7277569</t>
  </si>
  <si>
    <t>Colombres 957 - Diego Neto Prop - Yudit Cairo</t>
  </si>
  <si>
    <t>Colombres 957</t>
  </si>
  <si>
    <t>CAP7084743</t>
  </si>
  <si>
    <t>IMPECABLE!!! Departamento Larrea al 1300 entre Juncal y French. APTO PROFESIONAL Y APTO CREDITO.</t>
  </si>
  <si>
    <t>Larrea al 1300, entre Juncal y French - RECOLETA.</t>
  </si>
  <si>
    <t>CAP7064550</t>
  </si>
  <si>
    <t>Departamento 2 ambientes a estrenar con pileta San Antonio de Padua - financiación propia</t>
  </si>
  <si>
    <t>Curie  80</t>
  </si>
  <si>
    <t>CAP7462579</t>
  </si>
  <si>
    <t>VENTA DEPTO 3 AMB RETIRO</t>
  </si>
  <si>
    <t>Av. Córdoba al 400</t>
  </si>
  <si>
    <t>CAP6982365</t>
  </si>
  <si>
    <t>Departamento en  Venta en Saavedra a estrenar 2 ambientes</t>
  </si>
  <si>
    <t>Oficina en Edificio Bureau Pilar</t>
  </si>
  <si>
    <t>Martín Miguel de Güemes 80 - La Lonja</t>
  </si>
  <si>
    <t>CHO7309354</t>
  </si>
  <si>
    <t>Duplex a estrenar en Via Aurelia</t>
  </si>
  <si>
    <t>mzna 3 lote 10</t>
  </si>
  <si>
    <t>CPH7739549</t>
  </si>
  <si>
    <t>Venta Departamento PH 3 Ambientes con Balcón – Palermo</t>
  </si>
  <si>
    <t>Gurruchaga al 1900</t>
  </si>
  <si>
    <t>Unidad Funcional N° 7 ubicada sobre la Ruta Nacional 231, de una superficie total de 108,78 m2, nomenclatura catastral: 16-20-059-2026-0007</t>
  </si>
  <si>
    <t>AV. 7 Lagos 700</t>
  </si>
  <si>
    <t>CPH7569227</t>
  </si>
  <si>
    <t>PH en Villa Urquiza</t>
  </si>
  <si>
    <t>Miller al 2000</t>
  </si>
  <si>
    <t>CPH7575954</t>
  </si>
  <si>
    <t>PH en Belgrano R</t>
  </si>
  <si>
    <t>Av Melian  al 2200</t>
  </si>
  <si>
    <t>CAP7420371</t>
  </si>
  <si>
    <t>VENTA PISO DE 150 M2 4 AMBIENTES + DEPENDENCIA Y BALCÓN EN PALERMO BOTÁNICO</t>
  </si>
  <si>
    <t>ARAOZ  al 2700</t>
  </si>
  <si>
    <t>CHO6848112</t>
  </si>
  <si>
    <t>CASA 6 AMBIENTES EN CASTELAR APTA CRÉDITO</t>
  </si>
  <si>
    <t>Benito Villanueva al 1800</t>
  </si>
  <si>
    <t>Argentina | G.B.A. Zona Oeste | Moron | Castelar | Castelar Norte</t>
  </si>
  <si>
    <t>CLA7470286</t>
  </si>
  <si>
    <t>Venta terreno en las heras</t>
  </si>
  <si>
    <t>Belgrano al 700</t>
  </si>
  <si>
    <t>CAP7649184</t>
  </si>
  <si>
    <t>Venta departamento dos ambientes Balvanera</t>
  </si>
  <si>
    <t>Alberti  al 100</t>
  </si>
  <si>
    <t>CHO7032754</t>
  </si>
  <si>
    <t>CASA EN VENTA - 12 DE OCTUBRE</t>
  </si>
  <si>
    <t>Ricardo Rojas al 100</t>
  </si>
  <si>
    <t>AZ001</t>
  </si>
  <si>
    <t>Venta de departamento dos ambientes con terraza propia en Chacarita</t>
  </si>
  <si>
    <t>Charlone al 385</t>
  </si>
  <si>
    <t>CAP7409069</t>
  </si>
  <si>
    <t>VENTA DEPTO MONOAMBIENTE EN LA MEJOR ZONA DE RECOLETA</t>
  </si>
  <si>
    <t>Guido al 2400</t>
  </si>
  <si>
    <t>CASA VILLA ELISA 11 Y 420</t>
  </si>
  <si>
    <t>Nuñez 4720 - 2B</t>
  </si>
  <si>
    <t>Nueñez 4720 - 2B</t>
  </si>
  <si>
    <t>CAP6613858</t>
  </si>
  <si>
    <t>Venta departamento 3 ambientes en San Telmo</t>
  </si>
  <si>
    <t>Mexico  al 500</t>
  </si>
  <si>
    <t>CPH7397936</t>
  </si>
  <si>
    <t>PH en Almagro Norte</t>
  </si>
  <si>
    <t>Agrelo al 3300</t>
  </si>
  <si>
    <t>CAP7643625</t>
  </si>
  <si>
    <t>Departamento en Belgrano</t>
  </si>
  <si>
    <t>Conesa al 1800</t>
  </si>
  <si>
    <t>Suipacha 1225 piso 11</t>
  </si>
  <si>
    <t>VHO6592330</t>
  </si>
  <si>
    <t>Casa en venta en Araucarias Puertos del Lago - A Estrenar</t>
  </si>
  <si>
    <t>Casa en Araucarias Puertos del Lago</t>
  </si>
  <si>
    <t>Argentina | G.B.A. Zona Norte | Escobar | Countries/B.Cerrado (Escobar) | Puertos del Lago | Araucarias</t>
  </si>
  <si>
    <t xml:space="preserve">Reserva Venta Tomi Remax Casa- reserva en remax </t>
  </si>
  <si>
    <t>CLA7246145</t>
  </si>
  <si>
    <t>Venta Terreno en venta en Recoleta</t>
  </si>
  <si>
    <t>Soler al 3500</t>
  </si>
  <si>
    <t>CHO7117206</t>
  </si>
  <si>
    <t>Venta Casa en  lote propio La Ferrere</t>
  </si>
  <si>
    <t>Chopin al 4700</t>
  </si>
  <si>
    <t>Argentina | G.B.A. Zona Oeste | La Matanza | Gregorio De Laferrere</t>
  </si>
  <si>
    <t>AAP7728547</t>
  </si>
  <si>
    <t>VENTA DEPARTAMENTO 2 AMBIENTES CON BALCON EN FLORES</t>
  </si>
  <si>
    <t>Av Rivadavia  al 7400</t>
  </si>
  <si>
    <t>VAP7262670</t>
  </si>
  <si>
    <t>Av Cordoba al 3500 - Piso Alto - Vista Abierta - Mono divisible 45m2</t>
  </si>
  <si>
    <t>Av Cordoba al 3500 - Piso Alto</t>
  </si>
  <si>
    <t>CHO7423548</t>
  </si>
  <si>
    <t>Casa en venta en Neuquén APTA CRÉDITO</t>
  </si>
  <si>
    <t>Se vende casa en Neuquén en zona oeste - APTA CRÉDITO</t>
  </si>
  <si>
    <t>CAP7393522</t>
  </si>
  <si>
    <t>Departamento en Palermo Hollywood</t>
  </si>
  <si>
    <t>Av Cordoba  al 5700</t>
  </si>
  <si>
    <t>CPH7415672</t>
  </si>
  <si>
    <t>ESPECTACULAR!!! PH 3 amb con 2 terrazas + cochera + LUMINOSO!</t>
  </si>
  <si>
    <t>Rastreador Fournier  al 2300</t>
  </si>
  <si>
    <t>Osten Tower I</t>
  </si>
  <si>
    <t>Julieta Lanteri</t>
  </si>
  <si>
    <t>CLA7762823</t>
  </si>
  <si>
    <t xml:space="preserve">Excelente Terreno en Venta </t>
  </si>
  <si>
    <t>Terreno en Colastine Norte sobre calle Los Algarrobos</t>
  </si>
  <si>
    <t>Argentina | Santa Fe | La Capital | Santa Fe | Colastine Norte</t>
  </si>
  <si>
    <t>DLA2855339</t>
  </si>
  <si>
    <t>Terreno - El Canton</t>
  </si>
  <si>
    <t>el canton Islas</t>
  </si>
  <si>
    <t>Argentina | G.B.A. Zona Norte | Escobar | Countries/B.Cerrado (Escobar) | El Canton</t>
  </si>
  <si>
    <t>CAP7555504</t>
  </si>
  <si>
    <t>Monoambiente en Recoleta Vista abierta, muy luminoso</t>
  </si>
  <si>
    <t>Arenales  al 2000 Piso 7 Frente</t>
  </si>
  <si>
    <t>CAP7044376</t>
  </si>
  <si>
    <t>Departamento de 1 dormitorio a media cuadra de Av. Freyre</t>
  </si>
  <si>
    <t>Departamento de un dormitorio a 50 m de Av Freyre</t>
  </si>
  <si>
    <t>Argentina | Santa Fe | La Capital | Santa Fe | Roma</t>
  </si>
  <si>
    <t>CAP7249577</t>
  </si>
  <si>
    <t>Departamento en venta 3 ambientes estilo ph Balvanera - Once - vivienda - Apto comercial</t>
  </si>
  <si>
    <t>Pasteur al 200</t>
  </si>
  <si>
    <t>CAP7409871</t>
  </si>
  <si>
    <t>Departamento en Venta 3 ambientes en San Telmo</t>
  </si>
  <si>
    <t>Peru al 1000</t>
  </si>
  <si>
    <t>ARAOZ 958</t>
  </si>
  <si>
    <t>CAP7419789</t>
  </si>
  <si>
    <t>Bonpland al 1300</t>
  </si>
  <si>
    <t>CAP7773208</t>
  </si>
  <si>
    <t xml:space="preserve">Espectacular 2 amb con balcon corrido LUMINOSO! </t>
  </si>
  <si>
    <t>Santos Dumont al 2300</t>
  </si>
  <si>
    <t>CAP7586110</t>
  </si>
  <si>
    <t>Departamento en Puerto Madero</t>
  </si>
  <si>
    <t>Alicia Moreau de Justo  al 2000</t>
  </si>
  <si>
    <t>CLA6938966</t>
  </si>
  <si>
    <t>Terreno en  Ruta 7</t>
  </si>
  <si>
    <t>Ruta 7 entre calles 9 y 10.</t>
  </si>
  <si>
    <t>CAP7354812</t>
  </si>
  <si>
    <t>Venta Departamento 3 ambientes c/dependencias piso alto Recoleta - Apto crédito</t>
  </si>
  <si>
    <t>Av. Santa Fe al 2100</t>
  </si>
  <si>
    <t>ABU61347 AP6727256</t>
  </si>
  <si>
    <t>Departamento dos ambientes a estrenar en Nuñez</t>
  </si>
  <si>
    <t>Deheza 2300</t>
  </si>
  <si>
    <t>CAP7629432</t>
  </si>
  <si>
    <t>Venta Duplex en Belgrano para Remodelar. Vista Abierta!</t>
  </si>
  <si>
    <t>11 de septiembre al 900</t>
  </si>
  <si>
    <t>CLA7644749</t>
  </si>
  <si>
    <t>Terreno en esquina, Cinco Soles</t>
  </si>
  <si>
    <t>Venta lote 554 m2- Cinco Soles B° privado- Ruta 151, Cinco Saltos</t>
  </si>
  <si>
    <t>CLA7202915</t>
  </si>
  <si>
    <t>Terreno en barrio Los Notros, Calle 10 y Pudú Sur</t>
  </si>
  <si>
    <t>Covibar, San Carlos de Bariloche</t>
  </si>
  <si>
    <t>Argentina | Rio Negro | Bariloche | San Carlos De Bariloche | Covibar</t>
  </si>
  <si>
    <t>CAP7529544</t>
  </si>
  <si>
    <t>Departamento 2 ambientes en Venta en Almagro</t>
  </si>
  <si>
    <t>Quito al 4300</t>
  </si>
  <si>
    <t>CAP6168566</t>
  </si>
  <si>
    <t>Venta departamento 3 ambientes con 2 patios planta baja en Villa Crespo</t>
  </si>
  <si>
    <t>Juan b justo  al 2700</t>
  </si>
  <si>
    <t>CAP7716553</t>
  </si>
  <si>
    <t>Venta, Departamento, 2 ambientes, Balcón, a refaccionar, flipping, Recoleta, Palermo</t>
  </si>
  <si>
    <t>CAP7381775</t>
  </si>
  <si>
    <t>Venta Departamento 2 ambientes balcon terraza y cochera  en Villa Santa RitaV</t>
  </si>
  <si>
    <t>Belaustegui  al 3000</t>
  </si>
  <si>
    <t>CAP7592918</t>
  </si>
  <si>
    <t xml:space="preserve">Departamento en Balvanera - 3 AMBIENTES CON PILETA Y COCHERA - OPORTUNIDAD </t>
  </si>
  <si>
    <t>CATAMARCA al 100</t>
  </si>
  <si>
    <t>CAP7669190</t>
  </si>
  <si>
    <t>CAP7638835</t>
  </si>
  <si>
    <t>Venta Departamento 2 ambientes con balcón y cocheras en Urquiza</t>
  </si>
  <si>
    <t>Mendoza al 5100</t>
  </si>
  <si>
    <t>Casa en venta en Santa Elena 4 ambientes</t>
  </si>
  <si>
    <t>Casa 4 ambientes en venta en Barrio Santa Elena</t>
  </si>
  <si>
    <t>CAP7105934</t>
  </si>
  <si>
    <t>Departamento en  Quartier Nordelta</t>
  </si>
  <si>
    <t>Quartier Nordelta</t>
  </si>
  <si>
    <t>CHO7592112</t>
  </si>
  <si>
    <t>Casa en San Martin De Los Andes</t>
  </si>
  <si>
    <t>VENTA DE CASA EN B° VEGA CHICA,  SAN MARTIN DE LOS ANDES</t>
  </si>
  <si>
    <t>JPH7113041</t>
  </si>
  <si>
    <t>PH - VENTA - BARRIO CERRADO - SAN ANDRES - 2 AMBIENTES</t>
  </si>
  <si>
    <t>ITALIA  al 300</t>
  </si>
  <si>
    <t>Casco Viejo Casa</t>
  </si>
  <si>
    <t>Casa en Casco Viejo Centenario</t>
  </si>
  <si>
    <t>CHO7609478</t>
  </si>
  <si>
    <t>Casa con Galpón  en  Barrio Ciuadela</t>
  </si>
  <si>
    <t>Casa con galpòn en Barrio Ciudadela</t>
  </si>
  <si>
    <t>CAP6630457</t>
  </si>
  <si>
    <t>Departamento en Venta Maipú</t>
  </si>
  <si>
    <t>Villavicencio y Laguna Horcones</t>
  </si>
  <si>
    <t>CASA 4 AMBIENTES FLORES</t>
  </si>
  <si>
    <t>Robertson 924</t>
  </si>
  <si>
    <t>VAP5921714</t>
  </si>
  <si>
    <t>Venta de pozo departamento 2 ambientes c/ terraza Financiado - Lagunita - Nordelta</t>
  </si>
  <si>
    <t>lagunita</t>
  </si>
  <si>
    <t>CHO7482492</t>
  </si>
  <si>
    <t>Casa moderna en venta en Santa Elena – Pilar del Este 3 dormitorios, pileta y galería</t>
  </si>
  <si>
    <t>Santa Elena - Pilar del Este</t>
  </si>
  <si>
    <t>Venta depto Andres Lamas</t>
  </si>
  <si>
    <t>Andres Lamas 2572</t>
  </si>
  <si>
    <t>CPH6960675</t>
  </si>
  <si>
    <t>PH, 3 ambientes, San Justo, Patio, APTO CREDITO</t>
  </si>
  <si>
    <t>Francisco Miranda  al 2500</t>
  </si>
  <si>
    <t>CAP7043537</t>
  </si>
  <si>
    <t>VENTA DEPARTAMENTO - TILCARA</t>
  </si>
  <si>
    <t>belgrano 46 Tilcara</t>
  </si>
  <si>
    <t>Argentina | Jujuy | Tilcara | Tilcara</t>
  </si>
  <si>
    <t>116Stella</t>
  </si>
  <si>
    <t>Hernandarias 1700</t>
  </si>
  <si>
    <t>CHO7043287</t>
  </si>
  <si>
    <t>VENTA CABAÑA - TILCARA</t>
  </si>
  <si>
    <t>Tilcara calle Belgrano</t>
  </si>
  <si>
    <t>CHO7866802</t>
  </si>
  <si>
    <t>CHO7409633</t>
  </si>
  <si>
    <t>Casa - Villa Devoto</t>
  </si>
  <si>
    <t>bermudez al 2400</t>
  </si>
  <si>
    <t>Juan B Justo 8112</t>
  </si>
  <si>
    <t>CAP7519723</t>
  </si>
  <si>
    <t>Departamento en Villa Lugano</t>
  </si>
  <si>
    <t>Barrio Gral Savio Torre 7</t>
  </si>
  <si>
    <t>Dpto en venta Cabildo 4716</t>
  </si>
  <si>
    <t>Av. Cabildo 4716</t>
  </si>
  <si>
    <t>CAP7605873</t>
  </si>
  <si>
    <t>Venta Departamento 2 ambientes Balcón Amoblado y Equipado Congreso</t>
  </si>
  <si>
    <t>Combate de los Pozos al 100</t>
  </si>
  <si>
    <t>CAP7325823</t>
  </si>
  <si>
    <t>Venta Departamento en Almagro</t>
  </si>
  <si>
    <t>Guardia Vieja al 4000</t>
  </si>
  <si>
    <t>CAP7870535</t>
  </si>
  <si>
    <t>Arenales 2500  Recoleta - A estrenar IDEAL Inversor</t>
  </si>
  <si>
    <t>Arenales 2500  Recoleta - A estrenar - IDEAL Inversor</t>
  </si>
  <si>
    <t>VAP6842642</t>
  </si>
  <si>
    <t>Venta CON RENTA Depto Monoambiente c/balcon y cochera en Pilar (Renta Feb 27)</t>
  </si>
  <si>
    <t>Le Petit Champagnat Pilar. Calle La Perdiz al 100</t>
  </si>
  <si>
    <t>CHO7648356</t>
  </si>
  <si>
    <t>VENTA CASA - ALTO GORRITI</t>
  </si>
  <si>
    <t>VENTA CASA GORRITI</t>
  </si>
  <si>
    <t>CHO7774952</t>
  </si>
  <si>
    <t>Av Cabildo y Agustin Alvarez</t>
  </si>
  <si>
    <t>CAP7759048</t>
  </si>
  <si>
    <t>VENTA DEPARTAMENTO DE 3 AMBIENTES EN RECOLETA</t>
  </si>
  <si>
    <t>Ecuador al 1400</t>
  </si>
  <si>
    <t>CLA7459417</t>
  </si>
  <si>
    <t>VENTA Lote | Terreno 1250m2 a 100 metros de la playa Bahía Manzano Villa La Angostura</t>
  </si>
  <si>
    <t>Los Pinos</t>
  </si>
  <si>
    <t>CHO7728122</t>
  </si>
  <si>
    <t xml:space="preserve">Casa en venta en Barrio Santa Barbara </t>
  </si>
  <si>
    <t>Barrio Santa Barbara</t>
  </si>
  <si>
    <t>Terreno LucianoLargo</t>
  </si>
  <si>
    <t>CLA7627469</t>
  </si>
  <si>
    <t>VENTA, TERRENO, MERCEDES, 1 HECTAREA, RUTA5 KM 108</t>
  </si>
  <si>
    <t>Ruta 5 km 108</t>
  </si>
  <si>
    <t>Argentina | Interior Buenos Aires | Mercedes | Manuel Jose Garcia</t>
  </si>
  <si>
    <t>CHO7661306</t>
  </si>
  <si>
    <t xml:space="preserve">Casa de dos dormitorios, patio y terraza. </t>
  </si>
  <si>
    <t>Casa de dos dormitorios, patio y terraza</t>
  </si>
  <si>
    <t>CAP3510535</t>
  </si>
  <si>
    <t>Departamento - Caseros</t>
  </si>
  <si>
    <t>Wenceslao de Tata  al 4900</t>
  </si>
  <si>
    <t>CAP7043582</t>
  </si>
  <si>
    <t>VENTA MONOAMBIENTE - TILCARA</t>
  </si>
  <si>
    <t>Oficina en venta edificio Agora</t>
  </si>
  <si>
    <t xml:space="preserve">Oficina monoambiente en venta en edificio Agora </t>
  </si>
  <si>
    <t>Caamaño 1090</t>
  </si>
  <si>
    <t>CPH6800717</t>
  </si>
  <si>
    <t>Hermoso PH 2 ambientes con terraza propia - Apto Crédito</t>
  </si>
  <si>
    <t>Zelarrayan  al 700</t>
  </si>
  <si>
    <t>CBU55413 AP5986224</t>
  </si>
  <si>
    <t>Alquiler Depto/Oficina c/ cochera subterranea - STUDIOS Work / Live</t>
  </si>
  <si>
    <t>CHO7793190</t>
  </si>
  <si>
    <t xml:space="preserve">Casa 4 amb en VENTA APTO CREDITO, Pilar </t>
  </si>
  <si>
    <t>Champagnat al 1000</t>
  </si>
  <si>
    <t>Argentina | G.B.A. Zona Norte | Pilar | Countries/B.Cerrado (Pilar) | Pilar House</t>
  </si>
  <si>
    <t>CAP7442047</t>
  </si>
  <si>
    <t>Departamento en Belgrano R</t>
  </si>
  <si>
    <t>Freire 1800</t>
  </si>
  <si>
    <t>CHO7819795</t>
  </si>
  <si>
    <t>Casa en Venta 4 Ambientes en San Sebastian - Área 12</t>
  </si>
  <si>
    <t>José Hernández al 6400</t>
  </si>
  <si>
    <t>CAP7007820</t>
  </si>
  <si>
    <t>Venta departamento 3 ambientes c/ balcón y cochera - La Bota 400- Benavidez</t>
  </si>
  <si>
    <t>La Bota al 400</t>
  </si>
  <si>
    <t>CHO7302242</t>
  </si>
  <si>
    <t>Casa en VENTA CON RENTA - Barrio San Francisco - Villanueva</t>
  </si>
  <si>
    <t>APTA CREDITO - Casa en VENTA  Barrio San Francisco - Villanueva</t>
  </si>
  <si>
    <t xml:space="preserve">VENEZUELA 55 - Natalia Lemes </t>
  </si>
  <si>
    <t>VENEZUELA 55</t>
  </si>
  <si>
    <t>Op. con Norambuena Barrio Kaleuche  Alto, San Martin de los Andes, LOTE 21 de la manzana 112, departamento Los Lagos, Provincia de Neuquén, nomenclatura nro 152108212540000, con superficie aproximada de 700 m2 y las medidas, linderos y demás circunstancia</t>
  </si>
  <si>
    <t>CLA7090378</t>
  </si>
  <si>
    <t>Terreno en  Los Canales de Plottier Patagonia Golf &amp; Resort.</t>
  </si>
  <si>
    <t>CAP7534861</t>
  </si>
  <si>
    <t>Venta departamentos 3 ambientes dependencia balcón patio Balvanera</t>
  </si>
  <si>
    <t>Uriburu 23</t>
  </si>
  <si>
    <t>CAP6944630</t>
  </si>
  <si>
    <t>Hermoso Departamento en Coghlan</t>
  </si>
  <si>
    <t>Av. Congreso al 3200</t>
  </si>
  <si>
    <t>CAP7108668</t>
  </si>
  <si>
    <t>Venta departamento 3 Amb a estrenar Piso 3</t>
  </si>
  <si>
    <t>Asamblea al 1600</t>
  </si>
  <si>
    <t>El Maestro 152</t>
  </si>
  <si>
    <t>Av. Cordoba 1554</t>
  </si>
  <si>
    <t>CAP7641084</t>
  </si>
  <si>
    <t>VENTA DEPARTAMENTO 3 AMBIENTES AMENITIES APTO CREDITO VILLA CRESPO</t>
  </si>
  <si>
    <t>El Aljibe</t>
  </si>
  <si>
    <t xml:space="preserve">Casa en venta en Barrio El Aljibe 4 ambientes </t>
  </si>
  <si>
    <t>JAP6896433</t>
  </si>
  <si>
    <t>VENTA DEPTO 3 AMBIENTES APTO CREDITO PATIO PROPIO - PARRILLA V. URQUIZA</t>
  </si>
  <si>
    <t>Diaz Colodrero  al 3500</t>
  </si>
  <si>
    <t>CLA7007520</t>
  </si>
  <si>
    <t>Venta de lotes con planos aprobados y financiación - Bariloche</t>
  </si>
  <si>
    <t>Barrio Las Chacras</t>
  </si>
  <si>
    <t>Argentina | Rio Negro | Bariloche | San Carlos De Bariloche | Las Chacras</t>
  </si>
  <si>
    <t>CASA EN VENTA SANTA INES 317</t>
  </si>
  <si>
    <t>CULLEN 4825</t>
  </si>
  <si>
    <t>Lote, con superficie aproximada de 860 m2, ubicado en el Barrio El Remanso, de la ciudad de San Martin de Los andes Pcia. De Neuquén, nomenclaturas catastrales (lotes madres): 15 RR 023 5026 / 5028, identificado internamente como LOTE RE12</t>
  </si>
  <si>
    <t>CHO7202873</t>
  </si>
  <si>
    <t xml:space="preserve">VENTA CASA EN MORON CON JARDIN </t>
  </si>
  <si>
    <t>Los Olivos al 1200</t>
  </si>
  <si>
    <t>CAP7479982</t>
  </si>
  <si>
    <t>Venta Monoambiente amoblado IDEAL AIRBNB</t>
  </si>
  <si>
    <t>Soler 5800</t>
  </si>
  <si>
    <t>CAP7560010</t>
  </si>
  <si>
    <t>Departamento Venta en Villa Urquiza</t>
  </si>
  <si>
    <t>Gamarra  al 1800</t>
  </si>
  <si>
    <t>CAP6791347</t>
  </si>
  <si>
    <t>VENTA Departamento Monoambiente en Aguila Mora Bariloche</t>
  </si>
  <si>
    <t>Melipal, San Carlos De Bariloche</t>
  </si>
  <si>
    <t>CAP7371296</t>
  </si>
  <si>
    <t>VENTA 4 AMB - VISTA ABIERTA - CONSTITUCIÓN</t>
  </si>
  <si>
    <t>Bernardo de Irigoyen al 1300</t>
  </si>
  <si>
    <t>CAP7688231</t>
  </si>
  <si>
    <t>Departamento en VENTA C/TERRAZA   COCHERA   PARRILLA</t>
  </si>
  <si>
    <t>Aguilar  al 2500</t>
  </si>
  <si>
    <t>CPH7641421</t>
  </si>
  <si>
    <t>PH en Venta</t>
  </si>
  <si>
    <t>Los Griegos al 1800</t>
  </si>
  <si>
    <t>CAP6224048</t>
  </si>
  <si>
    <t>Departamento, venta, caballito, balcon, 3 ambientes,  luminoso, almagro, flores</t>
  </si>
  <si>
    <t>Calasanz  al 100</t>
  </si>
  <si>
    <t>JAP7588496</t>
  </si>
  <si>
    <t>VENTA DEPARTAMENTO 3 Ambientes en lo mejor de OLIVOS</t>
  </si>
  <si>
    <t>Rawson al 2400</t>
  </si>
  <si>
    <t>Argentina | G.B.A. Zona Norte | Vicente López | Olivos | Olivos-Vias/Maipu</t>
  </si>
  <si>
    <t>Monroe 4785</t>
  </si>
  <si>
    <t>CAP7381931</t>
  </si>
  <si>
    <t>Venta Departamento 2 Ambientes tipo loft en Vicente López</t>
  </si>
  <si>
    <t>Uspallata al 700</t>
  </si>
  <si>
    <t>CAP7580690</t>
  </si>
  <si>
    <t>Departamento en Villa Crespo en venta</t>
  </si>
  <si>
    <t>Gurruchaga al 400</t>
  </si>
  <si>
    <t>Araoz</t>
  </si>
  <si>
    <t>CHO7142787</t>
  </si>
  <si>
    <t>Casa en Venta 3 dormitorios + Escritorio Santa Elena Pilar dle Este</t>
  </si>
  <si>
    <t xml:space="preserve">Reserva Venta Lucho 2 Dptos mitre </t>
  </si>
  <si>
    <t>Mitre 831</t>
  </si>
  <si>
    <t>CHO7831090</t>
  </si>
  <si>
    <t>VENTA - Casa en San Matias Area 3</t>
  </si>
  <si>
    <t>Los Arenales al 1100</t>
  </si>
  <si>
    <t>CHL0001</t>
  </si>
  <si>
    <t>Venta Depto Nordelta, 120 m2, vista abierta, cochera</t>
  </si>
  <si>
    <t>Avenida del Puerto al 300</t>
  </si>
  <si>
    <t>Argentina | G.B.A. Zona Norte | Tigre | Countries/B.Cerrado (Tigre) | Nordelta | Bahia Grande | Miradores de la Bahia</t>
  </si>
  <si>
    <t>CBU65913 AP7520495</t>
  </si>
  <si>
    <t>CHO7605356</t>
  </si>
  <si>
    <t>Casa en venta ubicada en Barrio Mirasoles - Zona Norte - Salta</t>
  </si>
  <si>
    <t xml:space="preserve">Barrio Mirasoles </t>
  </si>
  <si>
    <t>CAP7235748</t>
  </si>
  <si>
    <t>Venta departamento dos ambientes en Caballito planta baja y patio</t>
  </si>
  <si>
    <t>Av Angel Gallardo al 800</t>
  </si>
  <si>
    <t>Depto 2 ambientes en Venta en Palermo</t>
  </si>
  <si>
    <t>Gurruchaga 1974 1° "8" CABA</t>
  </si>
  <si>
    <t>CHO7755959</t>
  </si>
  <si>
    <t>VENTA - Casa 3 ambientes - Apta Crédito Hipotecaria - Barrio Las Nalcas - S. M. de los Andes</t>
  </si>
  <si>
    <t>Huemul las Nalcas</t>
  </si>
  <si>
    <t>Lagoon</t>
  </si>
  <si>
    <t>Casa en venta Lagoon Pilar</t>
  </si>
  <si>
    <t>Caamaño 1106 Pilar</t>
  </si>
  <si>
    <t>JAP7527379</t>
  </si>
  <si>
    <t>Departamento en Vicente López</t>
  </si>
  <si>
    <t>VERNET al 500</t>
  </si>
  <si>
    <t>CCO55414 AP7005691</t>
  </si>
  <si>
    <t>Venta de departamento en Ayres loft en PB a la pileta</t>
  </si>
  <si>
    <t>Venta de departamento en Ayres loft con vista a la pileta</t>
  </si>
  <si>
    <t>Argentina | G.B.A. Zona Norte | Pilar | Manuel Alberti | Loft en Ayres Vila</t>
  </si>
  <si>
    <t>Torres del Marques</t>
  </si>
  <si>
    <t>Depto en torres del marques</t>
  </si>
  <si>
    <t>JAP7640940</t>
  </si>
  <si>
    <t>Departamento en venta 3 ambientes c/ DEPENDENCIA y BALCÓN!</t>
  </si>
  <si>
    <t>Paraguay  al 2900</t>
  </si>
  <si>
    <t>CLA7449250</t>
  </si>
  <si>
    <t>Venta Terreno en Villa Devoto</t>
  </si>
  <si>
    <t>Carlos Antonio Lopez al 4100</t>
  </si>
  <si>
    <t>CHO7519960</t>
  </si>
  <si>
    <t>Venta Casa 5 Ambientes Oportunidad Ubicación y gran Jardín en Victoria San Fernando</t>
  </si>
  <si>
    <t>Ricardo Rojas al 700</t>
  </si>
  <si>
    <t>CHO7387067</t>
  </si>
  <si>
    <t>CASA A LA VENTA EN VICENTE LOPEZ</t>
  </si>
  <si>
    <t>Tupac Amaru al 1300</t>
  </si>
  <si>
    <t>CAP7395620</t>
  </si>
  <si>
    <t>Departamento en Infinity Residences</t>
  </si>
  <si>
    <t>Venta - depto 3 amb con amenities a la laguna en Nordelta</t>
  </si>
  <si>
    <t>Argentina | G.B.A. Zona Norte | Tigre | Countries/B.Cerrado (Tigre) | Nordelta | El Palmar | Infinity Residences</t>
  </si>
  <si>
    <t>CHO7870467</t>
  </si>
  <si>
    <t>Casa en Esc.-Centro</t>
  </si>
  <si>
    <t>Belen de Escobar - Centro</t>
  </si>
  <si>
    <t>Argentina | G.B.A. Zona Norte | Escobar | Belen De Escobar | Esc.-Centro</t>
  </si>
  <si>
    <t>DAP2784906</t>
  </si>
  <si>
    <t>Departamento - Petrel</t>
  </si>
  <si>
    <t>Petrel, Portezuelo</t>
  </si>
  <si>
    <t>Argentina | G.B.A. Zona Norte | Tigre | Countries/B.Cerrado (Tigre) | Nordelta | Portezuelo | Marinas del Portezuelo | Petrel</t>
  </si>
  <si>
    <t>CAP7238328</t>
  </si>
  <si>
    <t>MONOAMBIENTE FUNCIONAL CON COCHERA - EXCELENTE UBICACION</t>
  </si>
  <si>
    <t>AAP7418327</t>
  </si>
  <si>
    <t>Araoz al 2800</t>
  </si>
  <si>
    <t>EL CANO 56</t>
  </si>
  <si>
    <t>LOTE EN VENTA BARRIO EL CANO N 56</t>
  </si>
  <si>
    <t>JAP7634263</t>
  </si>
  <si>
    <t>venta Depto 3 ambientes a estrenar</t>
  </si>
  <si>
    <t>Pueyrredon al 2900</t>
  </si>
  <si>
    <t xml:space="preserve">Argentina | G.B.A. Zona Norte | General San Martin </t>
  </si>
  <si>
    <t>JAP7512061</t>
  </si>
  <si>
    <t>Venta Departamento en Nuñez con balcon</t>
  </si>
  <si>
    <t>Quesada 2637</t>
  </si>
  <si>
    <t>Búsqueda Zohay</t>
  </si>
  <si>
    <t>Departamento en Flores</t>
  </si>
  <si>
    <t xml:space="preserve">Dr. Juan Felipe Aranguren 2893 </t>
  </si>
  <si>
    <t>CLA7666000</t>
  </si>
  <si>
    <t xml:space="preserve">Terreno en Venta en Las Chuñas, San Lorenzo Chico, Salta </t>
  </si>
  <si>
    <t>Las Chuñas, San Lorenzo Chico, Salta</t>
  </si>
  <si>
    <t>Argentina | Salta | Capital | San Lorenzo Chico</t>
  </si>
  <si>
    <t>VAP7779926</t>
  </si>
  <si>
    <t>Departamento en venta de 3 ambientes con terraza propia en Villa Devoto</t>
  </si>
  <si>
    <t>Simbron  al 4300</t>
  </si>
  <si>
    <t>112Eric</t>
  </si>
  <si>
    <t>Casa en Arroyo leyes</t>
  </si>
  <si>
    <t>Arroyo Leyes KM 13</t>
  </si>
  <si>
    <t>CAP7649955</t>
  </si>
  <si>
    <t>VENTA DEPARTAMENTO 2 AMBIENTES RECICLADO APTO CREDITO BARRIO NORTE</t>
  </si>
  <si>
    <t>Billingursth al 1400</t>
  </si>
  <si>
    <t>CAP7226159</t>
  </si>
  <si>
    <t>Venta departamento 4 ambientes balcón terraza Caballito</t>
  </si>
  <si>
    <t>García Lorca 87</t>
  </si>
  <si>
    <t>CAP2456597</t>
  </si>
  <si>
    <t>Oportunidad!!! Venta 3 ambientes c/ dependencia APTO CREDITO - Caballito - Rivadavia 6200</t>
  </si>
  <si>
    <t xml:space="preserve"> Caballito </t>
  </si>
  <si>
    <t>CGL7666047</t>
  </si>
  <si>
    <t>CAP7320997</t>
  </si>
  <si>
    <t>VENTA DEPARTAMENTO 2 AMBIENTES CON BALCÓN</t>
  </si>
  <si>
    <t>Tucuman  al 2200</t>
  </si>
  <si>
    <t>DEPTO 6 E 65 Y 66 1D 48M2</t>
  </si>
  <si>
    <t>CAP7622861</t>
  </si>
  <si>
    <t>VENTA MONO  RECICLADO PLAZA SERRANO</t>
  </si>
  <si>
    <t>Jorge luis Borges  al 1600</t>
  </si>
  <si>
    <t>CBU60233 AP6592841</t>
  </si>
  <si>
    <t>CAP7286357</t>
  </si>
  <si>
    <t>Departamento de  tres amb</t>
  </si>
  <si>
    <t>Colodrero al 2300</t>
  </si>
  <si>
    <t>CPH6294679</t>
  </si>
  <si>
    <t>VENTA PH  2 amb en Villa Verde UF 5B Bariloche</t>
  </si>
  <si>
    <t>CAP5040747</t>
  </si>
  <si>
    <t>VENTA Departamento 3 amb, 100 m2, Villa Correntoso, Villa la Angostura, Vista al lago Correntoso</t>
  </si>
  <si>
    <t>Las Gallaretas al 100, Villa la Angostura</t>
  </si>
  <si>
    <t>Argentina | Neuquen | Villa La Angostura | Villa Correntoso</t>
  </si>
  <si>
    <t>CHO5814858</t>
  </si>
  <si>
    <t>VENTA Casa a Estrenar 3 ambientes 106m2 UF 2, Lote 258m Norte, Villa La Angostura</t>
  </si>
  <si>
    <t>Confluencia 750, Villa la Angostura</t>
  </si>
  <si>
    <t>Paraguay 2943 piso 10 Dto A</t>
  </si>
  <si>
    <t>CPH7682995</t>
  </si>
  <si>
    <t>VENTA PH 4 AMBIENTES RECICLADO C/ TERRAZA Y PARRILLA. SAAVEDRA. NO APTO CREDITO.</t>
  </si>
  <si>
    <t>Jaramillo  al 2900</t>
  </si>
  <si>
    <t>CHO7194408</t>
  </si>
  <si>
    <t>Zona Privilegiada Plaza Francia</t>
  </si>
  <si>
    <t>Plaza Francia</t>
  </si>
  <si>
    <t>CAP7734188</t>
  </si>
  <si>
    <t>depto en alquiler en temperley, 3 ambientes en alquiler, a estrenar, amenities, zona sur</t>
  </si>
  <si>
    <t>CANGALLO al 400</t>
  </si>
  <si>
    <t>Depto Referido Rosario</t>
  </si>
  <si>
    <t>Referido Rosario Remax</t>
  </si>
  <si>
    <t xml:space="preserve">Argentina | Santa Fe | Rosario </t>
  </si>
  <si>
    <t>CFA7620297</t>
  </si>
  <si>
    <t>Finca de 10 ha Colonia Elena</t>
  </si>
  <si>
    <t>Finca 10 ha oportunidad en  Colonia Elena</t>
  </si>
  <si>
    <t>Argentina | Mendoza | San Rafael | Colonia Elena</t>
  </si>
  <si>
    <t>CAP7399254</t>
  </si>
  <si>
    <t xml:space="preserve">Departamento en Venta en B° Sur </t>
  </si>
  <si>
    <t>Departamento de dos dormitorios en barrio Sur</t>
  </si>
  <si>
    <t>VENTA DPTO. 2 AMBIENTES</t>
  </si>
  <si>
    <t>VENEZUELA 4369</t>
  </si>
  <si>
    <t>Alberdi 1125</t>
  </si>
  <si>
    <t>Argentina | G.B.A. Zona Oeste | Moron | Villa Sarmiento</t>
  </si>
  <si>
    <t>CAP7658550</t>
  </si>
  <si>
    <t xml:space="preserve">VENTA 3 AMB - VISTA ABIERTA - </t>
  </si>
  <si>
    <t>Presidente Peron  al 1600</t>
  </si>
  <si>
    <t>Propiedad Isabel Palma</t>
  </si>
  <si>
    <t>VENTA CASA 4 AMBIENTES LUMINOSA COCHERA PATIO EN CAMPANA</t>
  </si>
  <si>
    <t>Moreno 471</t>
  </si>
  <si>
    <t>Argentina | G.B.A. Zona Norte | Campana | Campana</t>
  </si>
  <si>
    <t>CAP4383483</t>
  </si>
  <si>
    <t>Departamento - Villa Crespo</t>
  </si>
  <si>
    <t>Vera al 100</t>
  </si>
  <si>
    <t>CPH6928655</t>
  </si>
  <si>
    <t>PH 5 amb.  sin expensas en venta con Garage para 2 autos en Haedo.</t>
  </si>
  <si>
    <t>Manuel Lainez al 1800</t>
  </si>
  <si>
    <t>CHO7235774</t>
  </si>
  <si>
    <t>Casa en venta ubicada en calle Zuviria 1409</t>
  </si>
  <si>
    <t>Zuviria 1409</t>
  </si>
  <si>
    <t>CAP7240025</t>
  </si>
  <si>
    <t>Departamento 3 ambientes sobre Libertador</t>
  </si>
  <si>
    <t>Av Libertador  al 1800</t>
  </si>
  <si>
    <t>CAP7447812</t>
  </si>
  <si>
    <t>Venta Departamento 3 ambientes con dependencia en Recoleta</t>
  </si>
  <si>
    <t>Juan Maria Gutierrez al 2600</t>
  </si>
  <si>
    <t>N/C - HONDURAS 3835</t>
  </si>
  <si>
    <t>HONDURAS 3835</t>
  </si>
  <si>
    <t>op 275</t>
  </si>
  <si>
    <t>Liniers 1599 302 Prana San Isidro</t>
  </si>
  <si>
    <t>CAP7442189</t>
  </si>
  <si>
    <t>Dúplex Tipo Casa de 6 Amb. con Dependencia y Balcones – Súper Luminoso – Núñez</t>
  </si>
  <si>
    <t>Arribeños  al 3600</t>
  </si>
  <si>
    <t>CHO5816235</t>
  </si>
  <si>
    <t>Venta Casa en El Principado</t>
  </si>
  <si>
    <t>El Deslinde  al 1300</t>
  </si>
  <si>
    <t>Argentina | G.B.A. Zona Sur | San Vicente | Countries/B.Cerrado (San Vicente) | El Principado</t>
  </si>
  <si>
    <t>VAP4787641</t>
  </si>
  <si>
    <t>VENTA DEPTO 4 AMB., CABALLITO, LUMINOSO y COCHERA. FULL AMENITIES</t>
  </si>
  <si>
    <t>Acoyte al 500</t>
  </si>
  <si>
    <t>PH San Telmo</t>
  </si>
  <si>
    <t>Bolivar</t>
  </si>
  <si>
    <t>CLA7206108</t>
  </si>
  <si>
    <t>Venta de Lote  a la laguna en El Naudir, Escobar</t>
  </si>
  <si>
    <t>El Naudir al 200</t>
  </si>
  <si>
    <t>CHL7347814</t>
  </si>
  <si>
    <t>Hotel en Once</t>
  </si>
  <si>
    <t>Bartolomé Mitre al 2600</t>
  </si>
  <si>
    <t xml:space="preserve">Argentina | Capital Federal | Once </t>
  </si>
  <si>
    <t>Hotel</t>
  </si>
  <si>
    <t xml:space="preserve"> Reserva Venta Luca Lote Gómez Carrillo </t>
  </si>
  <si>
    <t>CHO7345690</t>
  </si>
  <si>
    <t>Casa en Flores</t>
  </si>
  <si>
    <t>Manco Capac al 1200</t>
  </si>
  <si>
    <t>CHO7388057</t>
  </si>
  <si>
    <t>Casa en Venta - APTA CRÉDITO - Perdriel - Lujan de Cuyo</t>
  </si>
  <si>
    <t>Olavarria al 4700</t>
  </si>
  <si>
    <t>Argentina | Mendoza | Lujan De Cuyo | Lujan De Cuyo | Perdriel</t>
  </si>
  <si>
    <t>CAP7379471</t>
  </si>
  <si>
    <t xml:space="preserve">Ph </t>
  </si>
  <si>
    <t>Gustavo Ceratti al 200</t>
  </si>
  <si>
    <t xml:space="preserve">TIERRA DEL FUEGO </t>
  </si>
  <si>
    <t>LOTE EN VENTA, LA BOTA, BENAVIDEZ</t>
  </si>
  <si>
    <t>Argentina | G.B.A. Zona Norte | Escobar | Ingeniero Maschwitz | La Bota</t>
  </si>
  <si>
    <t>CAP7153326</t>
  </si>
  <si>
    <t>Departamento en VENTA en calle Mitre Ciudad Mendoza</t>
  </si>
  <si>
    <t>General Paz y Mitre</t>
  </si>
  <si>
    <t>CAP7375579</t>
  </si>
  <si>
    <t>Venta Departamento 3 Ambientes c/ Balcon al Fte. en San Telmo. Apto Credito. Amoblado.</t>
  </si>
  <si>
    <t>Carlos Calvo al 400</t>
  </si>
  <si>
    <t xml:space="preserve">Paraguay 3734 </t>
  </si>
  <si>
    <t>CHO6837763</t>
  </si>
  <si>
    <t>Venta Casa 4 dorm, Jardines del Rey - Neuquén</t>
  </si>
  <si>
    <t>Venta Casa , Jardines del Rey, Neuquen</t>
  </si>
  <si>
    <t>Argentina | Neuquen | Capital | Río Grande</t>
  </si>
  <si>
    <t>CLA7121482</t>
  </si>
  <si>
    <t>Terreno en Venta con frente de ruta</t>
  </si>
  <si>
    <t xml:space="preserve">Ruta 151 y Calle 20 </t>
  </si>
  <si>
    <t>Aguaribay balcones</t>
  </si>
  <si>
    <t>Casa en aguaribay balcones</t>
  </si>
  <si>
    <t>Casa en Aguaribay etapa I</t>
  </si>
  <si>
    <t>CAP6731034</t>
  </si>
  <si>
    <t>Venta Departamento Godoy  Cruz, complejo privado Dto 13</t>
  </si>
  <si>
    <t>CPH7441076</t>
  </si>
  <si>
    <t>VENDE PH 3 AMBIENTES CON TERRAZA Y 2 PATIOS VILLA BALLESTER CENTRO</t>
  </si>
  <si>
    <t>san lorenzo  al 3200</t>
  </si>
  <si>
    <t>CAP7373783</t>
  </si>
  <si>
    <t>Departamento 2 Ambientes Balcón Cocina Separada</t>
  </si>
  <si>
    <t>Muñoz al 1600</t>
  </si>
  <si>
    <t>111Nano</t>
  </si>
  <si>
    <t>Mitre 5607</t>
  </si>
  <si>
    <t>CHO7272914</t>
  </si>
  <si>
    <t>VENTA CASA 3 AMBIENTES PILAR JARDIN Y TERRAZA</t>
  </si>
  <si>
    <t>Francisco Lauria  al 1600</t>
  </si>
  <si>
    <t>CAP7393052</t>
  </si>
  <si>
    <t>Departamento  de 2 dormitorios en planta baja a 50m de Bv!</t>
  </si>
  <si>
    <t>Departamento a metros de Boulevard sobre calle Mitre 3562 D2</t>
  </si>
  <si>
    <t>CLA7331200</t>
  </si>
  <si>
    <t>VENTA Lote de 1495m2 para construir hasta 448m2 EN BARRIO EXCLUSIVO CALFUCO - Villa la Angostura</t>
  </si>
  <si>
    <t>Agua Azul al 100</t>
  </si>
  <si>
    <t>Argentina | Neuquen | Villa La Angostura | Calfuco</t>
  </si>
  <si>
    <t>JAP6933589</t>
  </si>
  <si>
    <t xml:space="preserve">venta de departamento en pilar </t>
  </si>
  <si>
    <t>lagoon pilar sucre 1100</t>
  </si>
  <si>
    <t>Departamanto en venta en Lagoon Pilar 2 ambientes</t>
  </si>
  <si>
    <t>CHO7361585</t>
  </si>
  <si>
    <t>Excelente Casa en San Jerónimo Norte de dos dormitorios, patio y cocheras. Posibilidad de Permuta</t>
  </si>
  <si>
    <t>Excelente Casa en San Jerónimo Norte de dos dormitorios, patio y cocheras.</t>
  </si>
  <si>
    <t>Argentina | Santa Fe | Las Colonias | San Jeronimo Norte</t>
  </si>
  <si>
    <t>CAP7586022</t>
  </si>
  <si>
    <t>Venta, Departamento, 3 ambientes, cochera, balcón terraza, parrilla, Nordelta, lagos del Sendero</t>
  </si>
  <si>
    <t>Av. del golf al 600</t>
  </si>
  <si>
    <t>Argentina | G.B.A. Zona Norte | Tigre | Countries/B.Cerrado (Tigre) | Nordelta | Sendero | Lago del Sendero</t>
  </si>
  <si>
    <t>CPH7443193</t>
  </si>
  <si>
    <t>Venta PH 3 ambientes con quincho impecable en Devoto</t>
  </si>
  <si>
    <t>Simbron  al 5100</t>
  </si>
  <si>
    <t>CHO6935597</t>
  </si>
  <si>
    <t>En venta Casa 4 ambientes con Cochera en Munro A Refaccionar - ACEPTA PERMUTA</t>
  </si>
  <si>
    <t>Maquinista Carregal  al 2300</t>
  </si>
  <si>
    <t>CHO7849518</t>
  </si>
  <si>
    <t>CB VENDE CASA EN LOS PERALES</t>
  </si>
  <si>
    <t>Andrade 960</t>
  </si>
  <si>
    <t>CBU52357 AP5500777</t>
  </si>
  <si>
    <t>Venta Departamento 2 ambientes en Colegiales con Balcón y Amenities</t>
  </si>
  <si>
    <t>moldes al 1200</t>
  </si>
  <si>
    <t>CHO7685979</t>
  </si>
  <si>
    <t>VENTA CASA 5 AMBIENTES RECICLADA CON DEPENDENCIA, JARDIN Y PILETA MARTINEZ, SAN ISIDRO</t>
  </si>
  <si>
    <t>ARENALES al 2400</t>
  </si>
  <si>
    <t xml:space="preserve">  Mapeo Oficinas CB → Zona → Localidad</t>
  </si>
  <si>
    <t>Referencia del PDF oficial Oficinas-CB-ARG-UY-PY.pdf</t>
  </si>
  <si>
    <t>Operaciones en dataset</t>
  </si>
  <si>
    <t>CABA</t>
  </si>
  <si>
    <t>Barrio Parque</t>
  </si>
  <si>
    <t>Belgrano</t>
  </si>
  <si>
    <t>Caballito</t>
  </si>
  <si>
    <t>Núñez</t>
  </si>
  <si>
    <t>Palermo</t>
  </si>
  <si>
    <t>Puerto Madero</t>
  </si>
  <si>
    <t>Recoleta</t>
  </si>
  <si>
    <t>Retiro</t>
  </si>
  <si>
    <t>Villa Urquiza</t>
  </si>
  <si>
    <t>Interior - Jujuy</t>
  </si>
  <si>
    <t>Capital Jujuy</t>
  </si>
  <si>
    <t>Interior - Mendoza</t>
  </si>
  <si>
    <t>Capital Mendoza</t>
  </si>
  <si>
    <t>Impacto Pro</t>
  </si>
  <si>
    <t>Godoy Cruz</t>
  </si>
  <si>
    <t>San Rafael</t>
  </si>
  <si>
    <t>Interior - Neuquén</t>
  </si>
  <si>
    <t>Capital Neuquén</t>
  </si>
  <si>
    <t>San Martín de los Andes</t>
  </si>
  <si>
    <t>Villa La Angostura</t>
  </si>
  <si>
    <t>Interior - Río Negro</t>
  </si>
  <si>
    <t>Bariloche</t>
  </si>
  <si>
    <t>Interior - Salta</t>
  </si>
  <si>
    <t>San Lorenzo Chico</t>
  </si>
  <si>
    <t>Interior - San Luis</t>
  </si>
  <si>
    <t>Villa Mercedes</t>
  </si>
  <si>
    <t>Interior - Santa Fe</t>
  </si>
  <si>
    <t>Capital Santa Fe</t>
  </si>
  <si>
    <t>Magnus</t>
  </si>
  <si>
    <t>Interior - Tucumán</t>
  </si>
  <si>
    <t>Capital Tucumán</t>
  </si>
  <si>
    <t>Zona Norte (GBA)</t>
  </si>
  <si>
    <t>Escobar</t>
  </si>
  <si>
    <t>San Isidro</t>
  </si>
  <si>
    <t>Vicente López</t>
  </si>
  <si>
    <t>Zona Oeste (GBA)</t>
  </si>
  <si>
    <t>Parque Leloir</t>
  </si>
  <si>
    <t>Zona Sur (GBA)</t>
  </si>
  <si>
    <t>Canning</t>
  </si>
  <si>
    <t>La Plata</t>
  </si>
  <si>
    <t xml:space="preserve">Reserva Venta Flor Lote Dos Valles A25 </t>
  </si>
  <si>
    <t>CAP7356426</t>
  </si>
  <si>
    <t>Departamento en Las Heras</t>
  </si>
  <si>
    <t>Adolfo Calle y Bombal</t>
  </si>
  <si>
    <t>VAP6607532</t>
  </si>
  <si>
    <t>Departamento 3 AMB en Alquiler en Infinity Nordelta</t>
  </si>
  <si>
    <t>CLA6354054</t>
  </si>
  <si>
    <t>LOTES en Barrio Estancia Kingsbroock - 122 y 612</t>
  </si>
  <si>
    <t>Argentina | G.B.A. Zona Sur | La Plata | Villa Elvira</t>
  </si>
  <si>
    <t>CGA7289163</t>
  </si>
  <si>
    <t>Cochera en Mendoza</t>
  </si>
  <si>
    <t>Garibaldi al 100</t>
  </si>
  <si>
    <t>CGA6673233</t>
  </si>
  <si>
    <t>Venta Cochera en  Almagro</t>
  </si>
  <si>
    <t>Corrientes al 3800</t>
  </si>
  <si>
    <t>CAP7331334</t>
  </si>
  <si>
    <t>Departamento 2 AMB en Alquiler - Marinas del Portezuelo</t>
  </si>
  <si>
    <t>CHO7300194</t>
  </si>
  <si>
    <t>Casa en alquiler permanente en Bariloche</t>
  </si>
  <si>
    <t>CAP6904908</t>
  </si>
  <si>
    <t xml:space="preserve">DUPLEX EN ALQUILER  </t>
  </si>
  <si>
    <t>BARRIO SUELOS DE TROPERO</t>
  </si>
  <si>
    <t>Argentina | Mendoza | Maipu | Maipu | Maipu</t>
  </si>
  <si>
    <t>CGA6573651</t>
  </si>
  <si>
    <t>Cochera en  larrea al 930</t>
  </si>
  <si>
    <t>Larrea 935</t>
  </si>
  <si>
    <t>CGA7165909</t>
  </si>
  <si>
    <t>Cochera 3er piso, en  pleno centro con rampa y ascensor</t>
  </si>
  <si>
    <t>San Jeronimo  al 2600</t>
  </si>
  <si>
    <t>CGA7758909</t>
  </si>
  <si>
    <t>Cochera en Rivadavia al 3100 MetroParking</t>
  </si>
  <si>
    <t>Cochera en Rivadavia al 3100</t>
  </si>
  <si>
    <t>VAP6817616</t>
  </si>
  <si>
    <t>Alquiler 2 amb.  - HOMES 2 - Nordelta</t>
  </si>
  <si>
    <t>Argentina | G.B.A. Zona Norte | Tigre | Countries/B.Cerrado (Tigre) | Nordelta | El Palmar | Homes II</t>
  </si>
  <si>
    <t>CLA7301795</t>
  </si>
  <si>
    <t>Terreno en las hortensias 2</t>
  </si>
  <si>
    <t>Ruta Nacional 68</t>
  </si>
  <si>
    <t xml:space="preserve">Argentina | Salta | Cerrillos </t>
  </si>
  <si>
    <t>CLA6687636</t>
  </si>
  <si>
    <t>Terreno en  venta Pucara</t>
  </si>
  <si>
    <t>PUCARA</t>
  </si>
  <si>
    <t>CLA4602968</t>
  </si>
  <si>
    <t>Terreno - General Pueyrredon</t>
  </si>
  <si>
    <t>Felix U.  Camet</t>
  </si>
  <si>
    <t>Argentina | Costa Atlantica | Mar Del Plata | Camet</t>
  </si>
  <si>
    <t>CLA6390065</t>
  </si>
  <si>
    <t>Terreno en  San Vicente</t>
  </si>
  <si>
    <t>San Vicente</t>
  </si>
  <si>
    <t>CPN57379 LA6447276</t>
  </si>
  <si>
    <t>Terreno - Los Hornos</t>
  </si>
  <si>
    <t>Terreno en VENTA, Barrio PRIVADO, Solares, Calle 83 y 139</t>
  </si>
  <si>
    <t>VILLA LOS REMEROS</t>
  </si>
  <si>
    <t>DEPARTAMENTO VILLA LOS REMEROS 3 AMBIENTES</t>
  </si>
  <si>
    <t>VILLA LOS REMEROS TIGRE</t>
  </si>
  <si>
    <t>Argentina | G.B.A. Zona Norte | Tigre | Villa Los Remeros</t>
  </si>
  <si>
    <t>CHO5031458</t>
  </si>
  <si>
    <t>ALQUILER TURÍSTICO - Casa categoria impresionante vista al lago en barrio cerrado Villa la Angostura</t>
  </si>
  <si>
    <t>Barrio cerrado Dos Lagos, Villa La Angostura</t>
  </si>
  <si>
    <t>Argentina | Neuquen | Villa La Angostura | Countries/ B. Cerrado (V. La Angostura)</t>
  </si>
  <si>
    <t>Casa C/ Remax Follow</t>
  </si>
  <si>
    <t>Casa c/ remax follow</t>
  </si>
  <si>
    <t>CLA7827009</t>
  </si>
  <si>
    <t>Terreno en Lujan</t>
  </si>
  <si>
    <t>BARRIO SANTA IRENE  RUTA 6 KM 155.5 LUJAN 30</t>
  </si>
  <si>
    <t xml:space="preserve">Argentina | G.B.A. Zona Oeste | Lujan </t>
  </si>
  <si>
    <t>CLA6250455</t>
  </si>
  <si>
    <t>Terreno en Venta, Santo Tome, Santa Fe</t>
  </si>
  <si>
    <t>CLA6250311</t>
  </si>
  <si>
    <t>CLA6250352</t>
  </si>
  <si>
    <t>CLA6250391</t>
  </si>
  <si>
    <t>CLA6250401</t>
  </si>
  <si>
    <t>CAP7128288</t>
  </si>
  <si>
    <t>Departamento en  alquiler 2amb con balcón</t>
  </si>
  <si>
    <t>Bonifacini  al 3800</t>
  </si>
  <si>
    <t>CLA7070818</t>
  </si>
  <si>
    <t>Terreno en  Jardines del valle (Cerrillos)</t>
  </si>
  <si>
    <t>RUTA 68 cerrillos</t>
  </si>
  <si>
    <t>Corralitos terreno</t>
  </si>
  <si>
    <t>Terreno en venta en corralitos</t>
  </si>
  <si>
    <t>Argentina | Mendoza | Guaymallen | Los Corralitos</t>
  </si>
  <si>
    <t>CGA6814291</t>
  </si>
  <si>
    <t>Venta Cochera céntrica Bariloche OPORTUNIDAD Permuta</t>
  </si>
  <si>
    <t>CLA6730114</t>
  </si>
  <si>
    <t>Terreno en venta nuevo alisos</t>
  </si>
  <si>
    <t>nuevo alisos manzana 8 lote 1</t>
  </si>
  <si>
    <t>Argentina | Jujuy | San Antonio | Los Alisos</t>
  </si>
  <si>
    <t>CLA6758657</t>
  </si>
  <si>
    <t>Terreno en  venta en Valle Alegre</t>
  </si>
  <si>
    <t>VALLE ALEGRE</t>
  </si>
  <si>
    <t xml:space="preserve">Argentina | Salta | La Caldera </t>
  </si>
  <si>
    <t>CLA7690260</t>
  </si>
  <si>
    <t>Terreno en venta Loteo Pucara</t>
  </si>
  <si>
    <t>LOTEO PUCARA</t>
  </si>
  <si>
    <t>CLA7484087</t>
  </si>
  <si>
    <t>Terreno en venta ubicado en Potreros de Quijano - Salta</t>
  </si>
  <si>
    <t>Potreros de Quijano</t>
  </si>
  <si>
    <t>Argentina | Salta | Rosario De Lerma | Campo Quijano</t>
  </si>
  <si>
    <t>CLA7320742</t>
  </si>
  <si>
    <t>Terreno en venta ubicado en Loteo Pucara - Salta</t>
  </si>
  <si>
    <t xml:space="preserve">Loteo Pucara </t>
  </si>
  <si>
    <t>CLA6752890</t>
  </si>
  <si>
    <t>Terreno en  Barrio Santa Rita</t>
  </si>
  <si>
    <t>TERRENO BARRIO SANTA RITA</t>
  </si>
  <si>
    <t>CLA6948853</t>
  </si>
  <si>
    <t>VENTA TERRENO DE 1132 M2 EN AREA 60, LA VICTORIA POLO COUNTRY ¡OFERTA INCREIBLE!</t>
  </si>
  <si>
    <t>Club de campo La Victoria, Area 60, Lote 160</t>
  </si>
  <si>
    <t>Argentina | Interior Buenos Aires | Coronel Brandsen | Area 60</t>
  </si>
  <si>
    <t>CLA7384505</t>
  </si>
  <si>
    <t>CB VENDE - TERRENO - BOSQUE DEL CEIBAL I</t>
  </si>
  <si>
    <t>Calle Lapacho al 800</t>
  </si>
  <si>
    <t xml:space="preserve">Argentina | Jujuy | San Antonio </t>
  </si>
  <si>
    <t>CLA7263283</t>
  </si>
  <si>
    <t>Terreno en los Domingos sauce viejo</t>
  </si>
  <si>
    <t>Lote en los Domingos, sauce Viejo</t>
  </si>
  <si>
    <t>Argentina | Santa Fe | La Capital | Sauce Viejo</t>
  </si>
  <si>
    <t>CGA6796082</t>
  </si>
  <si>
    <t>Cochera frente plaza Almagro RESERVADA!</t>
  </si>
  <si>
    <t>Bulnes al 300</t>
  </si>
  <si>
    <t>VHO5679651</t>
  </si>
  <si>
    <t xml:space="preserve">Casa en VENTA, Barrio Nuevo Maschwitz </t>
  </si>
  <si>
    <t>Barrio Nuevo Maschwitz</t>
  </si>
  <si>
    <t>CLA6949078</t>
  </si>
  <si>
    <t>Terrenos en Rio Blanco</t>
  </si>
  <si>
    <t>LOTEO PAYPAYA</t>
  </si>
  <si>
    <t>Argentina | Jujuy | Dr Manuel Belgrano | Rio Blanco</t>
  </si>
  <si>
    <t>Op. con inmo colega LOTE PH UF 4  VALLE CHAPELCO 312,05m2 NC 152106681480004</t>
  </si>
  <si>
    <t>Op. con inmo colega LOTE PH UF 3  VALLE CHAPELCO 312,05m2 NC 152106681480003</t>
  </si>
  <si>
    <t>CGA6497473</t>
  </si>
  <si>
    <t xml:space="preserve">Cochera en venta calle 45 e/ 5 y 6 </t>
  </si>
  <si>
    <t>Cochera en venta calle 45 e/ 5 y 6</t>
  </si>
  <si>
    <t>CGA7476226</t>
  </si>
  <si>
    <t>Venta Cochera Av. Cabildo 100 Palermo Caba</t>
  </si>
  <si>
    <t>Av. Cabildo  al 100 Palermo Caba</t>
  </si>
  <si>
    <t>CLA7568177</t>
  </si>
  <si>
    <t>Terreno Pucara</t>
  </si>
  <si>
    <t>CLA6972931</t>
  </si>
  <si>
    <t xml:space="preserve">Terreno en  La Viña </t>
  </si>
  <si>
    <t>Coronel Moldes</t>
  </si>
  <si>
    <t xml:space="preserve">Argentina | Salta | La Viña </t>
  </si>
  <si>
    <t>CLA6673168</t>
  </si>
  <si>
    <t>Terreno en  Venta La Celestina Mza I</t>
  </si>
  <si>
    <t>Terreno La Celestina Mza I</t>
  </si>
  <si>
    <t>CLA6236629</t>
  </si>
  <si>
    <t>Terreno en  venta en barrio abierto SENDAS UR</t>
  </si>
  <si>
    <t>SENDAS UR</t>
  </si>
  <si>
    <t>CGA7342048</t>
  </si>
  <si>
    <t>Cochera en Colegiales</t>
  </si>
  <si>
    <t>Aguilar al 2500</t>
  </si>
  <si>
    <t>CLA7387500</t>
  </si>
  <si>
    <t>Terreno en venta ubicado en Cielos del Valle - Ruta 68 - Salta</t>
  </si>
  <si>
    <t xml:space="preserve">Cielos del Valle </t>
  </si>
  <si>
    <t>CGA6322619</t>
  </si>
  <si>
    <t xml:space="preserve">Cochera fija en venta! Ubicación estratégica! </t>
  </si>
  <si>
    <t>Marcelo t de Alvear al 1300</t>
  </si>
  <si>
    <t>CGA7248532</t>
  </si>
  <si>
    <t>COCHERA CUBIERTA EN RECOLETA</t>
  </si>
  <si>
    <t>Billinghurst al 2000</t>
  </si>
  <si>
    <t>CLA7341975</t>
  </si>
  <si>
    <t>Terreno en venta en La Celestina, Cerrillos</t>
  </si>
  <si>
    <t xml:space="preserve">La Celestina </t>
  </si>
  <si>
    <t>CLA6925280</t>
  </si>
  <si>
    <t>Terreno en Santa María de los Cerrillos</t>
  </si>
  <si>
    <t>Terreno Santa María de los Cerrillos</t>
  </si>
  <si>
    <t>CLA6718992</t>
  </si>
  <si>
    <t>Terreno en  Campo Quijano</t>
  </si>
  <si>
    <t>campo Quijano</t>
  </si>
  <si>
    <t>CLA6833836</t>
  </si>
  <si>
    <t>Terreno en venta barrio arenales calle 2 de abril</t>
  </si>
  <si>
    <t>2 de abril barrio arenales</t>
  </si>
  <si>
    <t>Argentina | Jujuy | Dr Manuel Belgrano | El Arenal</t>
  </si>
  <si>
    <t>CLA6592810</t>
  </si>
  <si>
    <t>Terreno en La Guillermina</t>
  </si>
  <si>
    <t>La Guillermina | Terreno</t>
  </si>
  <si>
    <t>CLA7781357</t>
  </si>
  <si>
    <t xml:space="preserve">Terreno en venta ubicado en La Celestina </t>
  </si>
  <si>
    <t xml:space="preserve">La Celestina Mza I </t>
  </si>
  <si>
    <t>CGA7572952</t>
  </si>
  <si>
    <t>Venta, Cochera, Retiro, Microcentro</t>
  </si>
  <si>
    <t>Juncal  al 800</t>
  </si>
  <si>
    <t>CLA7345390</t>
  </si>
  <si>
    <t>Terreno en venta en Urbanización Los Robles</t>
  </si>
  <si>
    <t>Urbanizacion Los Robles</t>
  </si>
  <si>
    <t xml:space="preserve">Argentina | Salta | Rosario De Lerma </t>
  </si>
  <si>
    <t>CGA6385515</t>
  </si>
  <si>
    <t>Venta Cochera en Recoleta</t>
  </si>
  <si>
    <t>Anchorena  al 1700</t>
  </si>
  <si>
    <t>CLA7150936</t>
  </si>
  <si>
    <t>Terreno en  La Alameda</t>
  </si>
  <si>
    <t>Terreno Loteo La Alameda</t>
  </si>
  <si>
    <t>Argentina | Jujuy | San Antonio | Ceibal</t>
  </si>
  <si>
    <t>CLA6350198</t>
  </si>
  <si>
    <t>EN VENTA Terreno de 231m2 calle 43 e / 209 y 210</t>
  </si>
  <si>
    <t>Lote en calle 43 entre 209 y 210</t>
  </si>
  <si>
    <t>Argentina | G.B.A. Zona Sur | La Plata | Lisandro Olmos Etcheverry</t>
  </si>
  <si>
    <t>Medrano 1029</t>
  </si>
  <si>
    <t>CLA6858869</t>
  </si>
  <si>
    <t>Terreno en venta ubicado en Potreros Quijano - Salta</t>
  </si>
  <si>
    <t>CLA6010599</t>
  </si>
  <si>
    <t>Terreno en  Venta en Loteo La Merced</t>
  </si>
  <si>
    <t xml:space="preserve"> Loteo la Merced, Terreno en Venta </t>
  </si>
  <si>
    <t>Argentina | Santa Fe | La Capital | Recreo | Recreo Sur</t>
  </si>
  <si>
    <t>CLA7329927</t>
  </si>
  <si>
    <t>Terreno en venta Retoños de Colon - Salta</t>
  </si>
  <si>
    <t>Retoños de Colon</t>
  </si>
  <si>
    <t>CGA6261216</t>
  </si>
  <si>
    <t xml:space="preserve">Cochera en  Recoleta </t>
  </si>
  <si>
    <t>Austria 2000</t>
  </si>
  <si>
    <t>CLA7109819</t>
  </si>
  <si>
    <t>Terreno en Rio Blanco</t>
  </si>
  <si>
    <t>San Juan al 200</t>
  </si>
  <si>
    <t>CGA6773079</t>
  </si>
  <si>
    <t>Cochera en  VENTA RECOLETA</t>
  </si>
  <si>
    <t>Ayacucho al 1000</t>
  </si>
  <si>
    <t>CLA6752150</t>
  </si>
  <si>
    <t>Terreno en  Venta - Barrio Privado Ampros VII - Maipú</t>
  </si>
  <si>
    <t>Videla Castillo 1500</t>
  </si>
  <si>
    <t>CLA7132330</t>
  </si>
  <si>
    <t>Terreno en El Jarillal Plottier</t>
  </si>
  <si>
    <t xml:space="preserve">Barrio El Jarillal </t>
  </si>
  <si>
    <t>CLA6794094</t>
  </si>
  <si>
    <t>Terreno en  Hacienda las nubes</t>
  </si>
  <si>
    <t>ruta provincial 24</t>
  </si>
  <si>
    <t>COF6908745</t>
  </si>
  <si>
    <t>Oficina en  edificio en pleno centro</t>
  </si>
  <si>
    <t>Oficina en edificio, 1ra Junta (esquina 25 de Mayo) al 2500</t>
  </si>
  <si>
    <t>CGA6464169</t>
  </si>
  <si>
    <t>Cochera a la venta con financiación en el centro de Bariloche</t>
  </si>
  <si>
    <t>VAP5836371</t>
  </si>
  <si>
    <t>Departamento en Praia 3 ambientes con vista espectacular al lago!!!!</t>
  </si>
  <si>
    <t>av del lago al 3100</t>
  </si>
  <si>
    <t>Argentina | G.B.A. Zona Norte | Tigre | Countries/B.Cerrado (Tigre) | Nordelta | Portezuelo | Praia</t>
  </si>
  <si>
    <t xml:space="preserve">COCHERA EL FARO </t>
  </si>
  <si>
    <t xml:space="preserve">COCHERA EN VENTA EN EL EDIFICIO EL FARO </t>
  </si>
  <si>
    <t>Argentina | G.B.A. Zona Norte | Tigre | Countries/B.Cerrado (Tigre) | Nordelta | Portezuelo | El Faro</t>
  </si>
  <si>
    <t>CLA7261069</t>
  </si>
  <si>
    <t>VENTA Lote/Terreno 800m² Kaleuche Alto San Martín de los Andes</t>
  </si>
  <si>
    <t>B° Kaleuche Alto</t>
  </si>
  <si>
    <t>CLA7240665</t>
  </si>
  <si>
    <t xml:space="preserve">Terreno en Arroyo Leyes </t>
  </si>
  <si>
    <t>Terreno con financiación en Arroyo Leyes</t>
  </si>
  <si>
    <t>CLA4698257</t>
  </si>
  <si>
    <t>Lote en venta zona norte Santa Fe</t>
  </si>
  <si>
    <t>Lote en venta zona Norte Santa Fe</t>
  </si>
  <si>
    <t>Nuñez 2120</t>
  </si>
  <si>
    <t>CLA4698181</t>
  </si>
  <si>
    <t>Terreno - Santa Fe</t>
  </si>
  <si>
    <t>Diagonal aguado 8800</t>
  </si>
  <si>
    <t>CLA7056731</t>
  </si>
  <si>
    <t>VENTA DE LOTE BARRIO FRONTERAS SAN VICENTE</t>
  </si>
  <si>
    <t>CALLE IBAÑEZ</t>
  </si>
  <si>
    <t>CLA5742225</t>
  </si>
  <si>
    <t>Terreno en General Fernandez Oro</t>
  </si>
  <si>
    <t>loteo el sol</t>
  </si>
  <si>
    <t>OP 143</t>
  </si>
  <si>
    <t>Libertador 1080 cochera</t>
  </si>
  <si>
    <t>Libertador 1080</t>
  </si>
  <si>
    <t>Cinco Saltos</t>
  </si>
  <si>
    <t>Terreno Cinco Saltos</t>
  </si>
  <si>
    <t>CLA6564185</t>
  </si>
  <si>
    <t>Terreno en  venta villa Casa del Sol San luis</t>
  </si>
  <si>
    <t>casa del sol</t>
  </si>
  <si>
    <t>CLO6520624</t>
  </si>
  <si>
    <t>Venta de Local en Manzanares Paseo Dino</t>
  </si>
  <si>
    <t>Paseo Dino, Manzanares</t>
  </si>
  <si>
    <t>Argentina | G.B.A. Zona Norte | Pilar | Manzanares</t>
  </si>
  <si>
    <t>CLA7469441</t>
  </si>
  <si>
    <t>VENTA Lote | Terreno 308 m2, Valle Chapelco, San Martín de los Andes</t>
  </si>
  <si>
    <t>PH UF N1 Lote PH</t>
  </si>
  <si>
    <t>CAP6660554</t>
  </si>
  <si>
    <t>ALQUILER depto 3 amb REMODELADO A NUEVO balcón hermosa vista Recoleta</t>
  </si>
  <si>
    <t>Quintana  al 500</t>
  </si>
  <si>
    <t>CST7123830</t>
  </si>
  <si>
    <t>Depósito en Esandi Bariloche a la VENTA</t>
  </si>
  <si>
    <t>Esandi</t>
  </si>
  <si>
    <t>Argentina | Rio Negro | Bariloche | San Carlos De Bariloche | Ñireco</t>
  </si>
  <si>
    <t>Op. con inmo colega María Belén Nuñez Gerstmayer UF 1 Valle Chapelco</t>
  </si>
  <si>
    <t>Manuel Artigas 5106</t>
  </si>
  <si>
    <t xml:space="preserve">Manuel Artigas 5106 </t>
  </si>
  <si>
    <t>CLA6353157</t>
  </si>
  <si>
    <t>LOTES en Barrio DON CARMELO - 22 y 652</t>
  </si>
  <si>
    <t>CBA47695 LA6263100</t>
  </si>
  <si>
    <t>VENTA terreno de 146,30 m2 en LOTEO "ANTIGUO CAMINO" Bariloche</t>
  </si>
  <si>
    <t>76edu</t>
  </si>
  <si>
    <t>Oficina Hermes</t>
  </si>
  <si>
    <t>Primera Junta 2507</t>
  </si>
  <si>
    <t>CLA6942928</t>
  </si>
  <si>
    <t>TERRENO EN LA MESETA CENTENARIO</t>
  </si>
  <si>
    <t>ALBERDI Y SANTA FE-LA MESETA CENTENARIO</t>
  </si>
  <si>
    <t>CLA6606201</t>
  </si>
  <si>
    <t>Terreno en  BARRIO LA MESETA 2 CENTENARIO</t>
  </si>
  <si>
    <t>S,N</t>
  </si>
  <si>
    <t>Argentina | Neuquen | Confluencia | Centenario | Sarmiento II</t>
  </si>
  <si>
    <t>CLA6374066</t>
  </si>
  <si>
    <t>Terreno en Lote 5 Mz 773 SEJUN Centenario</t>
  </si>
  <si>
    <t>VENTA LOTE 300 M2 SEJUN CENTENARIO</t>
  </si>
  <si>
    <t>CLA6969938</t>
  </si>
  <si>
    <t>Terreno en La Meseta Centenario</t>
  </si>
  <si>
    <t>Calle S/N</t>
  </si>
  <si>
    <t>COF7502573</t>
  </si>
  <si>
    <t>Venta Oficina en Microcentro a metros del Obelico / No apta vivienda</t>
  </si>
  <si>
    <t>Cerrito esquina Avenida Presidente Roque Sáenz Peña</t>
  </si>
  <si>
    <t>Argentina | Capital Federal | Centro (Capital Federal) | Microcentro</t>
  </si>
  <si>
    <t>CAP7419403</t>
  </si>
  <si>
    <t>Departamento en alquiler dos ambientes con balcon y amenities.</t>
  </si>
  <si>
    <t>Rio de Janeiro  al 200</t>
  </si>
  <si>
    <t>CLA6939233</t>
  </si>
  <si>
    <t>Lotes en Venta - Jardines de La Falda</t>
  </si>
  <si>
    <t>Venezuela y Quilmebai</t>
  </si>
  <si>
    <t>Argentina | Rio Negro | General Roca | Cipolletti | Distrito Noreste</t>
  </si>
  <si>
    <t>CLA4698164</t>
  </si>
  <si>
    <t>CLA6863902</t>
  </si>
  <si>
    <t>OPORTUNIDAD VENTA URGENTE Lote en Venta Barrio Cerrado Comarcas de Lujan</t>
  </si>
  <si>
    <t>Argentina | G.B.A. Zona Oeste | Lujan | Countries/B.Cerrado (Lujan) | La Elina</t>
  </si>
  <si>
    <t>CLA6674353</t>
  </si>
  <si>
    <t>Terreno en venta en  La Vasconia Maipu</t>
  </si>
  <si>
    <t>La Vasconia</t>
  </si>
  <si>
    <t>Argentina | Mendoza | Maipu | Coquimbito</t>
  </si>
  <si>
    <t>CGA7771978</t>
  </si>
  <si>
    <t>Cochera en Caballito Norte</t>
  </si>
  <si>
    <t>Acoyte  al 100</t>
  </si>
  <si>
    <t>CLA7689447</t>
  </si>
  <si>
    <t>Terreno en venta ubicado en el Mollar II - Cerrillos - Salta</t>
  </si>
  <si>
    <t>El Mollar II</t>
  </si>
  <si>
    <t>Santa Clara 855</t>
  </si>
  <si>
    <t>Santa Clara al sur 855</t>
  </si>
  <si>
    <t>CLA6980928</t>
  </si>
  <si>
    <t>Terreno en venta en barrio Los Sauces</t>
  </si>
  <si>
    <t>Ruta 52</t>
  </si>
  <si>
    <t>CHO7678463</t>
  </si>
  <si>
    <t>comodoro Pí al 200</t>
  </si>
  <si>
    <t>CGA7659656</t>
  </si>
  <si>
    <t>COCHERA EN VENTA VILLA URQUIZA</t>
  </si>
  <si>
    <t>Av. Congreso al 4300</t>
  </si>
  <si>
    <t>CLA7467331</t>
  </si>
  <si>
    <t>TERRENO EN VENTA MAIPU CON TOUR VIRTUAL</t>
  </si>
  <si>
    <t>La Florida Lunlunta</t>
  </si>
  <si>
    <t>UC 8</t>
  </si>
  <si>
    <t>UC 7</t>
  </si>
  <si>
    <t>CGA7621543</t>
  </si>
  <si>
    <t>CLA6950692</t>
  </si>
  <si>
    <t>Terreno en Barrio Norte</t>
  </si>
  <si>
    <t>BARRIO NORTE</t>
  </si>
  <si>
    <t>CCH7037710</t>
  </si>
  <si>
    <t>Chacra en Cinco Saltos</t>
  </si>
  <si>
    <t>Rancho</t>
  </si>
  <si>
    <t>La Elina</t>
  </si>
  <si>
    <t>Lote en Venta Barrio Cerrado La Elina, Comarcas de Lujan</t>
  </si>
  <si>
    <t>CLA6618292</t>
  </si>
  <si>
    <t>Terreno en  VENTA VALLE AZUL Bariloche</t>
  </si>
  <si>
    <t>VALLE AZUL -CASCADA CHACHIN</t>
  </si>
  <si>
    <t>Argentina | Rio Negro | Bariloche | San Carlos De Bariloche | Valle Azul</t>
  </si>
  <si>
    <t>CLA5798692</t>
  </si>
  <si>
    <t>Terreno en  Venta Sauce Viejo Santa Fe</t>
  </si>
  <si>
    <t>Terreno en Venta, Guatemala entre Antartida Argentina y Malvinas, Sauce Viejo</t>
  </si>
  <si>
    <t>CLA4152962</t>
  </si>
  <si>
    <t>Terreno  Estacion Alvarado Zona Sur Salta - Capital</t>
  </si>
  <si>
    <t>estacion alvarado</t>
  </si>
  <si>
    <t>CLA6367472</t>
  </si>
  <si>
    <t>VENTA LOTE en PH de 98 mts, Las Victorias San Carlos de Bariloche</t>
  </si>
  <si>
    <t>CLA6316829</t>
  </si>
  <si>
    <t xml:space="preserve">Urbanización "Las Marías" </t>
  </si>
  <si>
    <t>CFA6647231</t>
  </si>
  <si>
    <t>Finca-Terreno en Venta en Guaymallén POZO SURGENTE de agua apta para consumo</t>
  </si>
  <si>
    <t>Callejón C. García  El Sauce Guaymallén</t>
  </si>
  <si>
    <t>Argentina | Mendoza | Guaymallen | El Sauce</t>
  </si>
  <si>
    <t xml:space="preserve">LLAVALLOL 4616 </t>
  </si>
  <si>
    <t>LLAVALLOL 4616</t>
  </si>
  <si>
    <t>CLA6531138</t>
  </si>
  <si>
    <t>Lote en  venta en Lunlunta</t>
  </si>
  <si>
    <t>Pablo Cuello s/n</t>
  </si>
  <si>
    <t>Argentina | Mendoza | Maipu | Lunlunta</t>
  </si>
  <si>
    <t>CLA6629194</t>
  </si>
  <si>
    <t>LOTE EN VENTA SAN SEBASTIAN, AREA 10</t>
  </si>
  <si>
    <t>CLA7254291</t>
  </si>
  <si>
    <t>Terreno en Antiguo Camino Bariloche</t>
  </si>
  <si>
    <t>Lago Moreno y Caballo Zaino</t>
  </si>
  <si>
    <t>Argentina | Rio Negro | Bariloche | San Carlos De Bariloche | 2 de Agosto</t>
  </si>
  <si>
    <t>CLA6349340</t>
  </si>
  <si>
    <t>Terreno en venta en Rodeo Del Medio</t>
  </si>
  <si>
    <t>NICOLAS SERPA S/N</t>
  </si>
  <si>
    <t>Argentina | Mendoza | Maipu | Rodeo Del Medio</t>
  </si>
  <si>
    <t>MLA5115176</t>
  </si>
  <si>
    <t>Terreno en  San Pablo</t>
  </si>
  <si>
    <t>B privado Nuevo Mundo Aires de Pedemonte</t>
  </si>
  <si>
    <t>Argentina | Tucumán | Lules | San Pablo</t>
  </si>
  <si>
    <t>Urquiza 346</t>
  </si>
  <si>
    <t>CAP6803190</t>
  </si>
  <si>
    <t>Departamento en venta en Las Flores 1- Rentabilidad ideal</t>
  </si>
  <si>
    <t>Departartamento de dos dormitorios en venta, en Barrio Las Flores</t>
  </si>
  <si>
    <t>CLA6808262</t>
  </si>
  <si>
    <t>TERRENO EN PRADERAS 3</t>
  </si>
  <si>
    <t>Argentina | Santa Fe | La Capital | Angel Gallardo</t>
  </si>
  <si>
    <t>CLA7026444</t>
  </si>
  <si>
    <t>VENTA DE TERRENO 326m2, MORENO CENTRO</t>
  </si>
  <si>
    <t>LUZURIAGA  al 2200</t>
  </si>
  <si>
    <t>CLA6677736</t>
  </si>
  <si>
    <t>Terreno en Ampuap 5</t>
  </si>
  <si>
    <t>AMPUAP</t>
  </si>
  <si>
    <t>CLO6578657</t>
  </si>
  <si>
    <t>LOCAL EN GALERIA DEL SOL RETIRO</t>
  </si>
  <si>
    <t>LOCAL CON DEPOSITO GALERIA DEL SOL FLORIDA 860  RETIRO</t>
  </si>
  <si>
    <t>70Beti</t>
  </si>
  <si>
    <t>Casa en el Sur</t>
  </si>
  <si>
    <t>391 horizontes al sur</t>
  </si>
  <si>
    <t>lote 391 horizontes al sur</t>
  </si>
  <si>
    <t>CPN53289 LA5649238</t>
  </si>
  <si>
    <t>Terreno en  venta Lote Nº26 277 m2 en barrio cerrado Liquidambar calle 149 esquina 41</t>
  </si>
  <si>
    <t>Lote Nº26 277 m2 en venta calle 149 esquina 41 Bº cerrado liquidambar, La Plata</t>
  </si>
  <si>
    <t>Berazategui</t>
  </si>
  <si>
    <t xml:space="preserve">Argentina | G.B.A. Zona Sur | Berazategui </t>
  </si>
  <si>
    <t>206 Santa Clara al sur</t>
  </si>
  <si>
    <t>lote venta Santa Clara 206</t>
  </si>
  <si>
    <t>CLA6847421</t>
  </si>
  <si>
    <t>Terreno en  solares de ortiz</t>
  </si>
  <si>
    <t>solares de Ortiz</t>
  </si>
  <si>
    <t>CPH6350924</t>
  </si>
  <si>
    <t>VENTA PH 2 AMBIENTES CON GRAN PATIO A ESTRENAR EN ENSENADA</t>
  </si>
  <si>
    <t>CPH6940008</t>
  </si>
  <si>
    <t xml:space="preserve">PH en Venta en 124 e 41 y 42, Ensenada </t>
  </si>
  <si>
    <t>PH en 124 e 41 y 42, Ensenada</t>
  </si>
  <si>
    <t xml:space="preserve">Argentina | G.B.A. Zona Sur | Ensenada </t>
  </si>
  <si>
    <t>CLA7006119</t>
  </si>
  <si>
    <t xml:space="preserve">Lote en venta en El Naudir Escobar Noroeste </t>
  </si>
  <si>
    <t>RP25, Provincia de Buenos Aires</t>
  </si>
  <si>
    <t>CLA6435961</t>
  </si>
  <si>
    <t>Terreno de 990 m² en calle 98 e/ 11 y 12 con casa de una habitación</t>
  </si>
  <si>
    <t xml:space="preserve">Terreno de 990 m² en calle 98 e/ 11 y 12 con casa de una habitación </t>
  </si>
  <si>
    <t>CLA7003996</t>
  </si>
  <si>
    <t>Terreno en Chacra 28</t>
  </si>
  <si>
    <t>Lote 17, Mza B, B° Los Manzanos, San Martín de los Andes</t>
  </si>
  <si>
    <t>CLA6523223</t>
  </si>
  <si>
    <t>Lote en venta  en Barrio cerrado La Aldea Del Bosque 38 e 191 y 195  Lisandro Olmos 800m2</t>
  </si>
  <si>
    <t>VLA5426074</t>
  </si>
  <si>
    <t xml:space="preserve">Terreno en Venta en Jose C Paz </t>
  </si>
  <si>
    <t>Lote en Venta - Barrio Yei Pora - Los Pinos III</t>
  </si>
  <si>
    <t>Argentina | G.B.A. Zona Norte | Jose Clemente Paz | Countries/B.Cerrado (Jose C Paz)</t>
  </si>
  <si>
    <t>SAN RAMIRO</t>
  </si>
  <si>
    <t>Lote en San Ramiro</t>
  </si>
  <si>
    <t>CLA6700666</t>
  </si>
  <si>
    <t>Venta Terreno 200m2 en Valle Azul Bariloche</t>
  </si>
  <si>
    <t>Valle Azul, San Carlos de Bariloche</t>
  </si>
  <si>
    <t>CLA7681714</t>
  </si>
  <si>
    <t>VENTA TERRENO  Alto Comedero cerca Nueva Terminal</t>
  </si>
  <si>
    <t>Terreno Alto Comedero cerca Nueva Terminal</t>
  </si>
  <si>
    <t>Argentina | Jujuy | Dr Manuel Belgrano | San Salvador De Jujuy | Alto Comedero</t>
  </si>
  <si>
    <t>Cochera en venta</t>
  </si>
  <si>
    <t>Ramallo 3199</t>
  </si>
  <si>
    <t>CLA7326594</t>
  </si>
  <si>
    <t>Terreno en venta Barrio Santa Laura</t>
  </si>
  <si>
    <t>Barrio Santa Laura</t>
  </si>
  <si>
    <t>CLA7152271</t>
  </si>
  <si>
    <t>VENTA Terreno de 146,3 m² con Proyecto Aprobado – Loteo "Antiguo Camino", Bariloche</t>
  </si>
  <si>
    <t>Antiguo Camino</t>
  </si>
  <si>
    <t>santa Clara al sur 231</t>
  </si>
  <si>
    <t>lote venta Santa Clara 231</t>
  </si>
  <si>
    <t>Bernardino Rivadavia km 14,5,</t>
  </si>
  <si>
    <t>Argentina | G.B.A. Zona Oeste | Lujan | Carlos Keen</t>
  </si>
  <si>
    <t>CLA6677667</t>
  </si>
  <si>
    <t>Terreno en  Buen Clima</t>
  </si>
  <si>
    <t xml:space="preserve">Buen Clima </t>
  </si>
  <si>
    <t>CLA6591657</t>
  </si>
  <si>
    <t>Venta Terreno en Santa Clara al Sur  San Vicente Canning</t>
  </si>
  <si>
    <t>Terreno en Venta - Barrio Santa Clara Al Sur</t>
  </si>
  <si>
    <t>Lote 206m2, NC: 15-21-061-5523-0000, SMA</t>
  </si>
  <si>
    <t>CLA7208425</t>
  </si>
  <si>
    <t>VENTA TERRENO - LAS ALPACAS</t>
  </si>
  <si>
    <t>Las alpacas Manzana 1555 lote 7</t>
  </si>
  <si>
    <t>Argentina | Jujuy | Dr Manuel Belgrano | San Salvador De Jujuy | Las Alpacas</t>
  </si>
  <si>
    <t>CLA6357821</t>
  </si>
  <si>
    <t>VENTA Lote/Terreno 402m2 Refugio del Sol - Junín de los Andes</t>
  </si>
  <si>
    <t>Lagrima De Arroyo, Neuquén, Argentina, Junín de los Andes, Huiliches, Neuquén</t>
  </si>
  <si>
    <t>Argentina | Neuquen | Huiliches | Junin De Los Andes</t>
  </si>
  <si>
    <t>JOF6533595</t>
  </si>
  <si>
    <t>Venta-Oficina-Baño-2Ambientes-San Nicolas-Tribunales-Apto Profesional</t>
  </si>
  <si>
    <t>PARANA  al 400</t>
  </si>
  <si>
    <t>CLA7718358</t>
  </si>
  <si>
    <t>Terreno en La Posta Pilar</t>
  </si>
  <si>
    <t>Dr. Manuel Argerich al 800</t>
  </si>
  <si>
    <t>Argentina | G.B.A. Zona Norte | Pilar | Countries/B.Cerrado (Pilar) | La Posta Pilar</t>
  </si>
  <si>
    <t>CHO7409833</t>
  </si>
  <si>
    <t>VENTA CASA 3 Ambientes a Reciclar en Moreno - OPORTUNIDAD</t>
  </si>
  <si>
    <t>Gervasio de Posadas al 1200</t>
  </si>
  <si>
    <t>CLA6818717</t>
  </si>
  <si>
    <t>Terreno en Barrio Qvattro Vistalba</t>
  </si>
  <si>
    <t>calle Pública sin número</t>
  </si>
  <si>
    <t>CLA7520812</t>
  </si>
  <si>
    <t>Terreno en en venta ubicado en el Mollar I - Salta</t>
  </si>
  <si>
    <t>El Mollar I</t>
  </si>
  <si>
    <t>Lote en Santa Elisa</t>
  </si>
  <si>
    <t>CGA7580372</t>
  </si>
  <si>
    <t>Cochera en Santa Fe</t>
  </si>
  <si>
    <t>2 unidades de Cochera en Irigoyen Freyre al 2700</t>
  </si>
  <si>
    <t>CLA7357283</t>
  </si>
  <si>
    <t>Terreno en venta Barrio abedul</t>
  </si>
  <si>
    <t>Castro barros, Lujan de cuyo</t>
  </si>
  <si>
    <t>CLA7026454</t>
  </si>
  <si>
    <t>TERRENO EN VENTA 337m2, FCO ALVAREZ ZONA DE CASA NUEVAS LOTE DE 12X28</t>
  </si>
  <si>
    <t>DIARIO LA NACION  al 4200</t>
  </si>
  <si>
    <t>Argentina | G.B.A. Zona Oeste | Moreno | Francisco Alvarez</t>
  </si>
  <si>
    <t>Altos de alberdi</t>
  </si>
  <si>
    <t>Lote Altos de Alberdi Miri</t>
  </si>
  <si>
    <t>Terreno Primaterra Diego</t>
  </si>
  <si>
    <t>Santa Clara al sur 120</t>
  </si>
  <si>
    <t xml:space="preserve">lote venta Santa Clara 120 </t>
  </si>
  <si>
    <t>CLA5937310</t>
  </si>
  <si>
    <t>Terreno en  Venta General Roca</t>
  </si>
  <si>
    <t>Nahuel Huapi  y Av. Viterbori</t>
  </si>
  <si>
    <t>CLA6848178</t>
  </si>
  <si>
    <t>Terreno En Venta Vaqueros</t>
  </si>
  <si>
    <t xml:space="preserve">Cerros de Buena Vista </t>
  </si>
  <si>
    <t>Op con inmo colega Patricia Cortez. Lote en meliquina</t>
  </si>
  <si>
    <t>15-35-078-8825-0000</t>
  </si>
  <si>
    <t>Lote ubicado en Villa Lago Meliquina, Manzana J - Lote 8 con superficie aproximada de 1000 m2, Pcia. De Neuquén, nomenclatura catastral: 15-35-078-8825-0000,</t>
  </si>
  <si>
    <t>Op. con Ivan Vidal MAT. N° 316. LOTE 806,57 M2 barrio Los Manzanos NC: 15-21-061-5242-0000</t>
  </si>
  <si>
    <t>CPH7017249</t>
  </si>
  <si>
    <t>PH en V.Libertad</t>
  </si>
  <si>
    <t>Magaldi  al 5500</t>
  </si>
  <si>
    <t>Argentina | G.B.A. Zona Norte | General San Martin | General San Martin | V.Libertad</t>
  </si>
  <si>
    <t>CAP7349163</t>
  </si>
  <si>
    <t>Venta departamento monoambiente Balvanera Once</t>
  </si>
  <si>
    <t>Alsina al 2500</t>
  </si>
  <si>
    <t>CLA7179271</t>
  </si>
  <si>
    <t>Terreno en  Barrio Milcayac II</t>
  </si>
  <si>
    <t>Vieytes , esquina Bulnes  o M. A. Saez s/n°, esquinero noroeste</t>
  </si>
  <si>
    <t>Argentina | Mendoza | Maipu | Russell</t>
  </si>
  <si>
    <t>CLA6735472</t>
  </si>
  <si>
    <t>Venta Terreno Barrio Privado Lujan</t>
  </si>
  <si>
    <t>San Martín  al 6864</t>
  </si>
  <si>
    <t>Argentina | Mendoza | Lujan De Cuyo | Carrodilla La Puntilla</t>
  </si>
  <si>
    <t>CLA7136588</t>
  </si>
  <si>
    <t>Venta Lote 455m² B° Los Manzanos Plottier</t>
  </si>
  <si>
    <t>Lote 10 Mza B, B° Los Manzanos</t>
  </si>
  <si>
    <t>CLA7164209</t>
  </si>
  <si>
    <t>Terreno en venta ubicado en Capiasu- San Agustin - Salta</t>
  </si>
  <si>
    <t xml:space="preserve">Capiazu - Ruta Pcial. 86 </t>
  </si>
  <si>
    <t>CLA6973418</t>
  </si>
  <si>
    <t>Venta de Lote Interno en EL NAUDIR   Etapa 3 , Escobar</t>
  </si>
  <si>
    <t xml:space="preserve"> Venta de Lote Interno en EL NAUDIR   Etapa 3 , Escobar</t>
  </si>
  <si>
    <t>Argentina | G.B.A. Zona Norte | Escobar | Belen De Escobar | Naudir Delta</t>
  </si>
  <si>
    <t>CLA6843733</t>
  </si>
  <si>
    <t>Terreno  en Venta Barrio Milcayac II Maipú</t>
  </si>
  <si>
    <t>AR Inmoclick</t>
  </si>
  <si>
    <t>Barrio privado Milcayac II, Russel, Maipú</t>
  </si>
  <si>
    <t xml:space="preserve">826 Santa Clara </t>
  </si>
  <si>
    <t xml:space="preserve">lote 826 Santa Clara </t>
  </si>
  <si>
    <t>CLA6192765</t>
  </si>
  <si>
    <t xml:space="preserve">Venta terreno en Barrio El Campo, Fincas Exclusivas Cardales </t>
  </si>
  <si>
    <t xml:space="preserve">Barrio El Campo, Fincas Exclusivas Cardales </t>
  </si>
  <si>
    <t>Argentina | G.B.A. Zona Norte | Campana | Countries/B.Cerrado (Campana) | El Campo - Fincas Exclusivas Cardales</t>
  </si>
  <si>
    <t>CHO6386802</t>
  </si>
  <si>
    <t>Casa en venta zona Norte Santa Fe</t>
  </si>
  <si>
    <t>Casa en venta en zona Norte Santa Fe</t>
  </si>
  <si>
    <t>Argentina | Santa Fe | La Capital | Santa Fe | Norte</t>
  </si>
  <si>
    <t>Av. Eva Perón 3800, 2° "B" Billinghurst, San Martín, Prov. Bs. As.</t>
  </si>
  <si>
    <t>CLA7062662</t>
  </si>
  <si>
    <t>Terreno esquina en  venta en Via Aurelia</t>
  </si>
  <si>
    <t xml:space="preserve">Austria 2051 - cochera </t>
  </si>
  <si>
    <t>UF 1 Loteo C Quetrihue</t>
  </si>
  <si>
    <t>UF 2 Loteo C Quetrihue</t>
  </si>
  <si>
    <t>UF 3 Loteo C Quetrihue</t>
  </si>
  <si>
    <t>UF 5 Loteo C Quetrihue</t>
  </si>
  <si>
    <t>UF 6 Loteo C Quetrihue</t>
  </si>
  <si>
    <t>UF 7 Loteo C Quetrihue</t>
  </si>
  <si>
    <t>UF 8 Loteo C Quetrihue</t>
  </si>
  <si>
    <t>UF 9 Loteo C Quetrihue</t>
  </si>
  <si>
    <t>UF 10 Loteo C Quetrihue</t>
  </si>
  <si>
    <t>UF 12 Loteo C Quetrihue</t>
  </si>
  <si>
    <t>CLA6924052</t>
  </si>
  <si>
    <t>TERRENO LOTE ZONA OESTE BARRIO CERRADO LUJAN  COMARCAS DE LUJAN</t>
  </si>
  <si>
    <t>Barrio Santa Inés Lote 207, Av.Besdtchet Comarcas de Luján</t>
  </si>
  <si>
    <t>CLO5935247</t>
  </si>
  <si>
    <t>Local en  venta OPORTUNIDAD PROFESIONALES!!</t>
  </si>
  <si>
    <t>Local comercial  a 50 mts de A. del Valle al 7400 lado  este</t>
  </si>
  <si>
    <t>Terrazasdeleste16</t>
  </si>
  <si>
    <t>Terrazas del Este Lote 16 M 19</t>
  </si>
  <si>
    <t>Terrazasdeleste17</t>
  </si>
  <si>
    <t>Terrazas del Este UF 17</t>
  </si>
  <si>
    <t>VHO6890326</t>
  </si>
  <si>
    <t xml:space="preserve">Duplex En Alquiler </t>
  </si>
  <si>
    <t>Alquiler De Duplex 4 amb Beccar, San Isidro</t>
  </si>
  <si>
    <t>Argentina | G.B.A. Zona Norte | San Isidro | Beccar | Beccar Alto</t>
  </si>
  <si>
    <t>CAP6456660</t>
  </si>
  <si>
    <t>Departamento en  pleno centro de san Justo Santa fe</t>
  </si>
  <si>
    <t xml:space="preserve">Avenida 9 de Julio al 2400 </t>
  </si>
  <si>
    <t>Argentina | Santa Fe | San Justo | San Justo</t>
  </si>
  <si>
    <t>CLA6206867</t>
  </si>
  <si>
    <t>Lote con Casita  Terminar en Barrio en Valle Azul</t>
  </si>
  <si>
    <t>Valle Azul, San Carlos de Bariloche.</t>
  </si>
  <si>
    <t>Terrazasdeleste01</t>
  </si>
  <si>
    <t>Terrazas del Este UF 01</t>
  </si>
  <si>
    <t>CLO7008092</t>
  </si>
  <si>
    <t>Venta Local en Balvanera</t>
  </si>
  <si>
    <t>24 de noviembre al 400</t>
  </si>
  <si>
    <t>111Nicolas</t>
  </si>
  <si>
    <t>Casa en zona Norte</t>
  </si>
  <si>
    <t>Pje 207 Nº 4764 Mzn 10547</t>
  </si>
  <si>
    <t>portillo de terrada</t>
  </si>
  <si>
    <t>terreno en venta portillo de terrada</t>
  </si>
  <si>
    <t>Argentina | Mendoza | Lujan De Cuyo | Calle Terrada</t>
  </si>
  <si>
    <t>LOTE LIQUIDAMBAR 27</t>
  </si>
  <si>
    <t>84Eric</t>
  </si>
  <si>
    <t>Terreno en Santo Tome</t>
  </si>
  <si>
    <t>Diagonal 8 S/N</t>
  </si>
  <si>
    <t>VOT59732 LA6522425</t>
  </si>
  <si>
    <t>Lote en venta Barrio Los Jilgueros El Cazador</t>
  </si>
  <si>
    <t>58 Santa Clara al sur</t>
  </si>
  <si>
    <t>lote venta Santa Clara al sur 58</t>
  </si>
  <si>
    <t>CLA6588851</t>
  </si>
  <si>
    <t>Argentina | G.B.A. Zona Sur | San Vicente | Countries/B.Cerrado (San Vicente) | Santa Clara al Sur</t>
  </si>
  <si>
    <t>Terrazas del Este UF 18</t>
  </si>
  <si>
    <t>CLA6741555</t>
  </si>
  <si>
    <t>VENTA · Lote de 36 x 60 en Calle 34 e/ 144 y 145 - Ideal cancha de fútbol 5/padel</t>
  </si>
  <si>
    <t>Terreno en Calle 34 e/144 y 145</t>
  </si>
  <si>
    <t>CLA6876461</t>
  </si>
  <si>
    <t>Terreno en  BARRIO PRIVADO "LA YAYA"</t>
  </si>
  <si>
    <t>AVENIDA CHAMPAGNAT 3045, Las Heras, Mendoza, Las Heras, Mendoza al 3000</t>
  </si>
  <si>
    <t>Argentina | Mendoza | Las Heras | El Challao</t>
  </si>
  <si>
    <t>CPH6929542</t>
  </si>
  <si>
    <t>PH en Venta 2 dormitorios, 2 patios Calle 124 e/ 41 y 42</t>
  </si>
  <si>
    <t>PH en Venta 3 ambientes  con patio Calle 124 entre 41 y 42, Ensenada</t>
  </si>
  <si>
    <t>CLA7510456</t>
  </si>
  <si>
    <t>Terreno en B° Altos de Zapla</t>
  </si>
  <si>
    <t>Deodoro Roca lote 21</t>
  </si>
  <si>
    <t>CLA7510582</t>
  </si>
  <si>
    <t>CB VENDE TERRENO B° ALTOS DE ZAPLA</t>
  </si>
  <si>
    <t>Deodoro Roca  lote - 20 - B° Altos de Zapla</t>
  </si>
  <si>
    <t>100Lily</t>
  </si>
  <si>
    <t>Casa en esperanza</t>
  </si>
  <si>
    <t>pasaje s/n</t>
  </si>
  <si>
    <t>CLA6754985</t>
  </si>
  <si>
    <t>VENTA Lote Villa Meliquina 954m2 Oportunidad  16 mza IX</t>
  </si>
  <si>
    <t>CALLE S/N</t>
  </si>
  <si>
    <t>CLA7228437</t>
  </si>
  <si>
    <t>Venta de lote perimetral en Barrio Cerrado Nueva Zelaya, Pilar</t>
  </si>
  <si>
    <t>Barrio Nueva Zelaya</t>
  </si>
  <si>
    <t>Argentina | G.B.A. Zona Norte | Pilar | Zelaya</t>
  </si>
  <si>
    <t>CGA6807896</t>
  </si>
  <si>
    <t>Cochera en  venta en edificio, Caballito, Caballito Sur</t>
  </si>
  <si>
    <t>San Jose de Calasanz  al 600</t>
  </si>
  <si>
    <t>La Elina Lote 124</t>
  </si>
  <si>
    <t>CHO6434935</t>
  </si>
  <si>
    <t xml:space="preserve">PH CASA A REFACCIONA SAN JUSTO </t>
  </si>
  <si>
    <t>ACHAVAL  al 3900</t>
  </si>
  <si>
    <t>65Emi</t>
  </si>
  <si>
    <t>Local en Venta</t>
  </si>
  <si>
    <t>Francia 2386</t>
  </si>
  <si>
    <t>CLA6620063</t>
  </si>
  <si>
    <t>TERRENO EN BARRIO LOS PERALES</t>
  </si>
  <si>
    <t>LOTEO ADIUNJU ENTRE CALLES JUNQUERO Y LA REINA MORA</t>
  </si>
  <si>
    <t xml:space="preserve">Reserva Venta Flor D. Innova Lote Terrazas </t>
  </si>
  <si>
    <t>CLA6531415</t>
  </si>
  <si>
    <t>Terreno en venta en Lunlunta Maipú</t>
  </si>
  <si>
    <t>CAP4700922</t>
  </si>
  <si>
    <t>Venta- Depto- 2 amb- Ramos Mejía- Piscina- Sum- Parrilla- Apto crédito-Gas Natural</t>
  </si>
  <si>
    <t>SARGENTO CABRAL al 800</t>
  </si>
  <si>
    <t>CLA6247394</t>
  </si>
  <si>
    <t>Terreno en  Venta en Barrio Privado Milcayac II - Maipú - Mendoza</t>
  </si>
  <si>
    <t>Vieytes s/n</t>
  </si>
  <si>
    <t>CLA6227580</t>
  </si>
  <si>
    <t xml:space="preserve">Terreno en  Venta Santa Pilar del Este. Financia </t>
  </si>
  <si>
    <t>CLA7359915</t>
  </si>
  <si>
    <t>Venta Lote/terreno 355 M2 Cordones de Chapelco San Martin de los Andes</t>
  </si>
  <si>
    <t>cordones</t>
  </si>
  <si>
    <t>local comercial 49 e 19 y 20</t>
  </si>
  <si>
    <t>49 e 19 y 20</t>
  </si>
  <si>
    <t>CLA7060269</t>
  </si>
  <si>
    <t>TERRENO EN " QUEBRADA DE LOS PÁJAROS " A 5 MINUTOS DEL CENTRO EN ENTORNO NATURAL</t>
  </si>
  <si>
    <t>QUEBRADA DE LOS PÁJAROS</t>
  </si>
  <si>
    <t>Lote 121, Santa Ines</t>
  </si>
  <si>
    <t>Lote en Venta Barrio Cerrado Santa Inés, Comarcas de Lujan</t>
  </si>
  <si>
    <t>CLA6236538</t>
  </si>
  <si>
    <t>VENTA Lote/Terreno 300m2 con Bosque La Balconada Villa Vega, San Martin de los Andes</t>
  </si>
  <si>
    <t>Av. los Lagos</t>
  </si>
  <si>
    <t>CLA7037692</t>
  </si>
  <si>
    <t>Terreno   EXCELENTE EN ALTO ALBERDI 1</t>
  </si>
  <si>
    <t>LOTE EN ALTO ALBERDI  1  PLOTTIER</t>
  </si>
  <si>
    <t>CLA7222933</t>
  </si>
  <si>
    <t>venta terreno en las moras higuerilla</t>
  </si>
  <si>
    <t>las moras higuerilla</t>
  </si>
  <si>
    <t>CGL6668089</t>
  </si>
  <si>
    <t>VENDE  Galpón en lote a 100mts al este de Avda A. Del Valle</t>
  </si>
  <si>
    <t>Esmeralda al 2500 Barrio La Esmeralda a 100mts de A. del Valle</t>
  </si>
  <si>
    <t>CAP6976294</t>
  </si>
  <si>
    <t>Oportunidad de Inversión departamento Godoy Cruz. Apto crédito. Se dueño.</t>
  </si>
  <si>
    <t>Reconquista  al 1600</t>
  </si>
  <si>
    <t xml:space="preserve">LOTE 3 de la MZA 19, Nomenclatura Catastral 15-21-85-19-9671 con superficies aproximadas de 1.000 m2 ubicado en el barrio denominado “Kaleuche Alto” </t>
  </si>
  <si>
    <t>CLA7563667</t>
  </si>
  <si>
    <t>Terreno en San Roque</t>
  </si>
  <si>
    <t>Terreno interno en Avellaneda  al 5200</t>
  </si>
  <si>
    <t>Argentina | Santa Fe | La Capital | Santa Fe | San Roque</t>
  </si>
  <si>
    <t>la alameda 235</t>
  </si>
  <si>
    <t>lote venta la alameda 235</t>
  </si>
  <si>
    <t>CHO7261731</t>
  </si>
  <si>
    <t>Casa  zona Norte</t>
  </si>
  <si>
    <t>Casa en  Zona Norte con 3 dormitorios, cochera y patio Verde</t>
  </si>
  <si>
    <t>CLA5946478</t>
  </si>
  <si>
    <t>VENTA Lote 1062 m2, Barrio privado Barrancas de Dina Huapi, Río Negro</t>
  </si>
  <si>
    <t>CAP6786881</t>
  </si>
  <si>
    <t>Departamento en Cuyaya</t>
  </si>
  <si>
    <t>B° CUYAYA</t>
  </si>
  <si>
    <t>Argentina | Jujuy | Dr Manuel Belgrano | San Salvador De Jujuy | Cuyaya</t>
  </si>
  <si>
    <t>CLA6695677</t>
  </si>
  <si>
    <t>VENTA Lote/Terreno 630M2 B° El Remanso Lote RC06 San Martin de los Andes</t>
  </si>
  <si>
    <t>CAP4216692</t>
  </si>
  <si>
    <t>Venta Depto 3 amb. amplios - El Talar</t>
  </si>
  <si>
    <t>Lavalleja al 2900</t>
  </si>
  <si>
    <t>Argentina | G.B.A. Zona Norte | Tigre | El Talar</t>
  </si>
  <si>
    <t>Torrent 1315</t>
  </si>
  <si>
    <t>CAP6670417</t>
  </si>
  <si>
    <t>VENTA DEPARTAMENTO 2 AMBIENTES VILLA LUZURIAGA AL FRENTE Y CONTRAFRENTE</t>
  </si>
  <si>
    <t>Ombu  al 1100</t>
  </si>
  <si>
    <t>AAP6354894</t>
  </si>
  <si>
    <t>Departamento 2 amb en  Lanus!</t>
  </si>
  <si>
    <t>Santiago del Estero al 2400</t>
  </si>
  <si>
    <t>CLA6306079</t>
  </si>
  <si>
    <t>Casa  a refaccionar con potencial entre importantes avenidas</t>
  </si>
  <si>
    <t>CHO6500550</t>
  </si>
  <si>
    <t>Casa/Duplex EN Huaico</t>
  </si>
  <si>
    <t>PEATONAL 5</t>
  </si>
  <si>
    <t>Argentina | Jujuy | Dr Manuel Belgrano | San Salvador De Jujuy | Los Huaicos</t>
  </si>
  <si>
    <t>CLA6909143</t>
  </si>
  <si>
    <t xml:space="preserve">La Verbena Calle 28 </t>
  </si>
  <si>
    <t>CHO6781693</t>
  </si>
  <si>
    <t>ALQUILER - Casa de 2 dormitorios en Los Coihues, Bariloche</t>
  </si>
  <si>
    <t>Los Coihues,  San Carlos de Bariloche</t>
  </si>
  <si>
    <t>Argentina | Rio Negro | Bariloche | San Carlos De Bariloche | Villa Los Coihues</t>
  </si>
  <si>
    <t>CPH6109303</t>
  </si>
  <si>
    <t>PH en  Venta,  General Roca</t>
  </si>
  <si>
    <t>Formosa  al 1500, General Roca</t>
  </si>
  <si>
    <t>CLA6743732</t>
  </si>
  <si>
    <t xml:space="preserve">Venta Terreno Costa Jardin 2 Confluencia Rural </t>
  </si>
  <si>
    <t>Minas al 900</t>
  </si>
  <si>
    <t>Terrazasdeleste</t>
  </si>
  <si>
    <t xml:space="preserve">Terreno Terrazas del Este </t>
  </si>
  <si>
    <t>CLA7679978</t>
  </si>
  <si>
    <t>VENTA TERRENO LOS PERALES - LAS LECHUZAS</t>
  </si>
  <si>
    <t>las lechuzas</t>
  </si>
  <si>
    <t>CLA7523420</t>
  </si>
  <si>
    <t>VENTA TERRENO UQUIA</t>
  </si>
  <si>
    <t>Uquia- Dpto Humahuaca</t>
  </si>
  <si>
    <t>Argentina | Jujuy | Humahuaca | Uquia</t>
  </si>
  <si>
    <t>CLA4859617</t>
  </si>
  <si>
    <t>VENTA  terreno de 237,50 m2  en LOTEO "ANTIGUO CAMINO" Bariloche</t>
  </si>
  <si>
    <t>Antiguo Camino Llao Llao</t>
  </si>
  <si>
    <t>CLO6865192</t>
  </si>
  <si>
    <t>Local Comercial en zona centro de Santa Fe</t>
  </si>
  <si>
    <t>Local comercial en venta, en microentro de la ciudad de Santa Fe</t>
  </si>
  <si>
    <t>CPH6945507</t>
  </si>
  <si>
    <t>En Venta PH 2 ambientes, con patio Calle 124 e/ 41 y 42</t>
  </si>
  <si>
    <t>PH en Venta IDEAL INVERSOR 2 ambientes  con patio Calle 124 entre 41 y 42, Ensenada</t>
  </si>
  <si>
    <t>CPH7063101</t>
  </si>
  <si>
    <t>Venta PH en Monserrat – Ideal Vivienda o Renta</t>
  </si>
  <si>
    <t>Tacuari al 600</t>
  </si>
  <si>
    <t>1090 Santa Clara al sur</t>
  </si>
  <si>
    <t>lote 1090 Santa Clara al sur</t>
  </si>
  <si>
    <t>CAP6617214</t>
  </si>
  <si>
    <t>Departamento 2 Amb Frente -Cochera - Amoblado - - San Bernardo- Con Financiacion Directa</t>
  </si>
  <si>
    <t>AV.MITRE al 2900</t>
  </si>
  <si>
    <t>Argentina | Interior Buenos Aires | De La Costa | San Bernardo Del Tuyu</t>
  </si>
  <si>
    <t>San Luis 3053</t>
  </si>
  <si>
    <t>CLA7316278</t>
  </si>
  <si>
    <t>Terreno en barrio nautico CUBE</t>
  </si>
  <si>
    <t>Calle 11 y 12</t>
  </si>
  <si>
    <t>Argentina | G.B.A. Zona Norte | Escobar | Cube</t>
  </si>
  <si>
    <t>CAP6740826</t>
  </si>
  <si>
    <t>Departamento en Venta 1 Dormitorio - Urquiza 1330 - Rosario</t>
  </si>
  <si>
    <t>Venta Departamento 1 Dormitorio - Rosario</t>
  </si>
  <si>
    <t>Argentina | Santa Fe | Rosario | Rosario</t>
  </si>
  <si>
    <t>COF6673231</t>
  </si>
  <si>
    <t>Venta Oficina 2 Despachos, Baño y Cocina en San Nicolás, Tribunales</t>
  </si>
  <si>
    <t>Parana al 400</t>
  </si>
  <si>
    <t>CAP6886848</t>
  </si>
  <si>
    <t>Departamento 2 ambientes con Patio en Constitución</t>
  </si>
  <si>
    <t>Humberto Primo al 1600</t>
  </si>
  <si>
    <t>CAP6311183</t>
  </si>
  <si>
    <t>Venta Departamento monoambiente a estrenar San Cristobal</t>
  </si>
  <si>
    <t>Av. Chiclana  al 3000</t>
  </si>
  <si>
    <t>CLA6580402</t>
  </si>
  <si>
    <t>LOTE TERRENO BARRIO CERRADO COMARCAS DE LUJAN ZONA OESTE</t>
  </si>
  <si>
    <t xml:space="preserve">BARRIO SANTA INES COMARCAS DE LUJAN </t>
  </si>
  <si>
    <t>CAP6923875</t>
  </si>
  <si>
    <t>Departamento en venta en cipolletti</t>
  </si>
  <si>
    <t>arenales esquina don bosco</t>
  </si>
  <si>
    <t>CAP6318177</t>
  </si>
  <si>
    <t>Monoambiente con Pileta en Venta en Morón</t>
  </si>
  <si>
    <t>Ortiz de Rosas al 600</t>
  </si>
  <si>
    <t>lote 63 LAGOS San Eliseo</t>
  </si>
  <si>
    <t xml:space="preserve">Venta lote 63 - LAGOS SAN ELISEO </t>
  </si>
  <si>
    <t>LAGOS SAN ELISEO - LOTE 63 - SAN VICENTE</t>
  </si>
  <si>
    <t>Terreno manu conflu</t>
  </si>
  <si>
    <t>Terreno estado de israel</t>
  </si>
  <si>
    <t>CLA7339382</t>
  </si>
  <si>
    <t>OPORTUNIDAD ULTIMO TERRENO DISPONIBLE - Terreno de 192,5 m² con Proyecto Aprobado – Loteo "Antiguo Camino", Bariloche</t>
  </si>
  <si>
    <t>CAP7182372</t>
  </si>
  <si>
    <t>OPORTUNIDAD Venta departamento monoambiente Balvanera Once</t>
  </si>
  <si>
    <t>Viamonte  al 2600</t>
  </si>
  <si>
    <t>CBA59141 LA7277574</t>
  </si>
  <si>
    <t>CLA6474213</t>
  </si>
  <si>
    <t>Terreno en Centenario</t>
  </si>
  <si>
    <t>Ruta cinco saltos y Avenida Gral. Belgrano</t>
  </si>
  <si>
    <t>CHO6699843</t>
  </si>
  <si>
    <t xml:space="preserve">Casa al fondo entrada independiente - Cochera cubierta para 2 autos </t>
  </si>
  <si>
    <t>Jose Marti  al 3100</t>
  </si>
  <si>
    <t>Pedro Martinez 128</t>
  </si>
  <si>
    <t>CLA6466332</t>
  </si>
  <si>
    <t>Terreno en  La Verbena</t>
  </si>
  <si>
    <t>La verbena calle 15 lote 3</t>
  </si>
  <si>
    <t>CLA5730808</t>
  </si>
  <si>
    <t>Terreno 250m2 en  Confluencia Rural Nqn</t>
  </si>
  <si>
    <t>Richieri y Mapuches</t>
  </si>
  <si>
    <t>CAP6370946</t>
  </si>
  <si>
    <t>Monoambiente en Venta | AS.EM.BA.PR.A.S</t>
  </si>
  <si>
    <t>Monoambiente | Venta | AS.EM.BA.PR.A.S</t>
  </si>
  <si>
    <t>CPH6761330</t>
  </si>
  <si>
    <t>PH en 32 e/ 1 y 1 bis - San Clemente del Tuyú</t>
  </si>
  <si>
    <t xml:space="preserve">Argentina | Costa Atlantica | San Clemente Del Tuyú </t>
  </si>
  <si>
    <t>CHO7385133</t>
  </si>
  <si>
    <t>Casa en Los Hornos</t>
  </si>
  <si>
    <t>RICARDO ALDAO al 3576</t>
  </si>
  <si>
    <t>Argentina | Santa Fe | La Capital | Los Hornos</t>
  </si>
  <si>
    <t>CPH6714214</t>
  </si>
  <si>
    <t>oportunidad PH en  Villa Ballester 3 ambientes a remodelar</t>
  </si>
  <si>
    <t>Mar del Plata al 4600</t>
  </si>
  <si>
    <t>80Lily</t>
  </si>
  <si>
    <t>Laprida y Belgrano</t>
  </si>
  <si>
    <t>CAP6840335</t>
  </si>
  <si>
    <t>Departamento de 1 dormitorio en Barrio 7 de Marzo, Santo Tome!</t>
  </si>
  <si>
    <t>CWE6703781</t>
  </si>
  <si>
    <t>Venta Casa Quinta en Colastine Norte</t>
  </si>
  <si>
    <t>C. Guaranies  al 5800</t>
  </si>
  <si>
    <t>Argentina | Santa Fe | La Capital | Santa Fe | Colastiné</t>
  </si>
  <si>
    <t>CPH6353668</t>
  </si>
  <si>
    <t>Dúplex de dos dormitorios y cochera en Paraná</t>
  </si>
  <si>
    <t>Dúplex de dos dormitorios en Paraná</t>
  </si>
  <si>
    <t xml:space="preserve">Argentina | Entre Rios | Parana </t>
  </si>
  <si>
    <t>CLA6344946</t>
  </si>
  <si>
    <t>Terreno en  Barrio Privado la Verbena</t>
  </si>
  <si>
    <t>La verbena Calle 25 1</t>
  </si>
  <si>
    <t xml:space="preserve">Lote UF 22 Loteo Quetrihue </t>
  </si>
  <si>
    <t>Bv. Amancay y Quetrihue</t>
  </si>
  <si>
    <t>LA TRANQUERA</t>
  </si>
  <si>
    <t xml:space="preserve">LA TRANQUERA </t>
  </si>
  <si>
    <t>Argentina | G.B.A. Zona Norte | Pilar | Countries/B.Cerrado (Pilar) | La Tranquera</t>
  </si>
  <si>
    <t>CLA6752117</t>
  </si>
  <si>
    <t>Terreno en  Venta en Barrio Privado - Maipú - Mendoza</t>
  </si>
  <si>
    <t>Calle Palma esq Maza al 700</t>
  </si>
  <si>
    <t>UF N° 16 de 389,73m2, “C”</t>
  </si>
  <si>
    <t>UF 16 Loteo A Quetrihue</t>
  </si>
  <si>
    <t>AAP7339968</t>
  </si>
  <si>
    <t>Departamento monoambiente en Monserrat</t>
  </si>
  <si>
    <t>chile al 600</t>
  </si>
  <si>
    <t>CBA59141 LA7754025</t>
  </si>
  <si>
    <t>VENTA Lote/terreno 387,39 m2 Loteo Quetrihue, Selva Triste, Villa la Angostura</t>
  </si>
  <si>
    <t>CBA59141 LA6467972</t>
  </si>
  <si>
    <t xml:space="preserve">UF N° 15 de 400,73m2 parte del Loteo denominado Zona “A” Quetrihue en trámite de subdivisión - ubicado en Avenida Quetrihue y Amancay, nomenclatura catastral (lote madre): 16-20-63-5683 </t>
  </si>
  <si>
    <t>Bvld. Quetrihue y Amancay</t>
  </si>
  <si>
    <t>CLA7221456</t>
  </si>
  <si>
    <t>Terreno en Venta - Barrio Privado Pasquini - Los Perales</t>
  </si>
  <si>
    <t>Barrio Privado Pasquini - El Picaflor esquina El Pacara- Los Perales.</t>
  </si>
  <si>
    <t>CLA7249373</t>
  </si>
  <si>
    <t>Terreno en La Verbena</t>
  </si>
  <si>
    <t>calle 9 Lote 5</t>
  </si>
  <si>
    <t>CBA59141 LA6524812</t>
  </si>
  <si>
    <t>CAP7265254</t>
  </si>
  <si>
    <t>Departamento en Va.Palacios</t>
  </si>
  <si>
    <t>Av Cornelio Saavedra villa Palacios</t>
  </si>
  <si>
    <t>Argentina | Salta | Capital | Salta | Va.Palacios</t>
  </si>
  <si>
    <t>CLA7093488</t>
  </si>
  <si>
    <t>Terreno en barrio priva La Verbena calle 6 lote 9</t>
  </si>
  <si>
    <t>Barrio privado La Verbena</t>
  </si>
  <si>
    <t>CBA59141 LA7442517</t>
  </si>
  <si>
    <t>CLA7255775</t>
  </si>
  <si>
    <t>Venta Terreno 350 m2. Chacra 30. San Martín de los Andes</t>
  </si>
  <si>
    <t xml:space="preserve"> Chacra 30. San Martin de los Andes</t>
  </si>
  <si>
    <t>CLA7300676</t>
  </si>
  <si>
    <t>Lote apto Comercial- zona casco viejo- Centenario</t>
  </si>
  <si>
    <t>CHO7176940</t>
  </si>
  <si>
    <t>Casa en  Venta Barrio San Francisco</t>
  </si>
  <si>
    <t>22 de Mayo  al 500</t>
  </si>
  <si>
    <t>CLO5387479</t>
  </si>
  <si>
    <t>ALQUILER - LOCAL COMERCIAL</t>
  </si>
  <si>
    <t>Presidente Peron  al 3500</t>
  </si>
  <si>
    <t>JLA6206756</t>
  </si>
  <si>
    <t>Lote en venta en Villa Ballester APTO DUPLEX</t>
  </si>
  <si>
    <t>Tandil  al 4300</t>
  </si>
  <si>
    <t>CHO6739572</t>
  </si>
  <si>
    <t>Casa en venta en barrio San José</t>
  </si>
  <si>
    <t>Alberti al 3300</t>
  </si>
  <si>
    <t>CHICLANA 3065</t>
  </si>
  <si>
    <t>CPH6193655</t>
  </si>
  <si>
    <t>Venta - PH - 3 Ambientes - Patio - Parrilla - Entrada Independiente - Villa Lynch - Sin Expensas</t>
  </si>
  <si>
    <t>Pergamino 1400</t>
  </si>
  <si>
    <t>UF 15 Loteo Quetrihue 387,39 m2</t>
  </si>
  <si>
    <t>Amancay y Bv. Quetrihue</t>
  </si>
  <si>
    <t>CHO6661553</t>
  </si>
  <si>
    <t xml:space="preserve">Casa a terminar la secundina </t>
  </si>
  <si>
    <t xml:space="preserve">la secundina </t>
  </si>
  <si>
    <t>CLA6306363</t>
  </si>
  <si>
    <t>Terreno en Dina Huapi con vista al Cerro Leones</t>
  </si>
  <si>
    <t>VLA5181460</t>
  </si>
  <si>
    <t>Lote / terreno en venta en El Cazal - Escobar - Barrio Nautico - interno</t>
  </si>
  <si>
    <t>LOTE 50 Barrio Nautico Cazal - Escobar</t>
  </si>
  <si>
    <t>Argentina | G.B.A. Zona Norte | Escobar | Countries/B.Cerrado (Escobar) | El Cazal</t>
  </si>
  <si>
    <t>CLA6353983</t>
  </si>
  <si>
    <t>VENTA Lote/Terrero 1 o 2 Linderos B° El Remanso, San Martin de los Andes</t>
  </si>
  <si>
    <t>sin nombre</t>
  </si>
  <si>
    <t xml:space="preserve">Reserva Venta Analia y Remax Lote 13 Mza D Brisas del Nahuel </t>
  </si>
  <si>
    <t>CFC6756616</t>
  </si>
  <si>
    <t>Fondo de Comercio Café de especialidad – Bar – Brunch</t>
  </si>
  <si>
    <t>Gral. Lopez  al 3000</t>
  </si>
  <si>
    <t>Business Permit</t>
  </si>
  <si>
    <t>CCH7136413</t>
  </si>
  <si>
    <t xml:space="preserve">Chacra en  Cinco Saltos. Ruta 151, calle 19 </t>
  </si>
  <si>
    <t>Ruta 151, Cinco Saltos</t>
  </si>
  <si>
    <t>CCH6728056</t>
  </si>
  <si>
    <t>Chacra en  Venta,  2has en Cipolletti. RN</t>
  </si>
  <si>
    <t>Chacra en Venta, Cipolletti</t>
  </si>
  <si>
    <t>CCH6736125</t>
  </si>
  <si>
    <t>Chacra en  El Chañar</t>
  </si>
  <si>
    <t>Ruta 7</t>
  </si>
  <si>
    <t>DCH5811621</t>
  </si>
  <si>
    <t>Venta Chacra - Haras - Cria Caballos Arabes - 10 ha - Capilla del Señor</t>
  </si>
  <si>
    <t>Partido de EXALTACION DE LA CRUZ</t>
  </si>
  <si>
    <t>Argentina | G.B.A. Zona Norte | Exaltacion De La Cruz | Capilla Del Señor</t>
  </si>
  <si>
    <t>AÑO</t>
  </si>
  <si>
    <t>MES</t>
  </si>
  <si>
    <t>Total general</t>
  </si>
  <si>
    <t>Total 2025</t>
  </si>
  <si>
    <t>Total 2026</t>
  </si>
  <si>
    <t>Otra Red Búsqueda</t>
  </si>
  <si>
    <t>Otra Red Captación</t>
  </si>
  <si>
    <t>CB</t>
  </si>
  <si>
    <t>TIPO_OPERACION2</t>
  </si>
  <si>
    <t>Total CB</t>
  </si>
  <si>
    <t>Total Otra Red Búsqueda</t>
  </si>
  <si>
    <t>Total Otra Red Captación</t>
  </si>
  <si>
    <t>(Todas)</t>
  </si>
  <si>
    <t>(Varios elementos)</t>
  </si>
  <si>
    <t>Suma de Precio Cierre Total</t>
  </si>
  <si>
    <t>Cuenta de Precio Cierre Total</t>
  </si>
  <si>
    <t>Promedio de Precio Cierre Total</t>
  </si>
  <si>
    <t>Total Casa</t>
  </si>
  <si>
    <t>Total Departamento</t>
  </si>
  <si>
    <t>Total Garage</t>
  </si>
  <si>
    <t>Total Hotel</t>
  </si>
  <si>
    <t>Total Local Comercial</t>
  </si>
  <si>
    <t>Total Oficina</t>
  </si>
  <si>
    <t>Total PH</t>
  </si>
  <si>
    <t>Total Storage</t>
  </si>
  <si>
    <t>Total Terreno</t>
  </si>
  <si>
    <t>Lot</t>
  </si>
  <si>
    <t>CASA</t>
  </si>
  <si>
    <t>TOTAL</t>
  </si>
  <si>
    <t>VOLUMEN</t>
  </si>
  <si>
    <t>CANTIDAD</t>
  </si>
  <si>
    <t>PROMEDIO</t>
  </si>
  <si>
    <t>RANGO_TCMC</t>
  </si>
  <si>
    <t>RANGO SUPERIOR</t>
  </si>
  <si>
    <t>RANGO INFERIOR</t>
  </si>
  <si>
    <t>USD</t>
  </si>
  <si>
    <t>TRX</t>
  </si>
  <si>
    <t>Ene25 - Mar26</t>
  </si>
  <si>
    <t>CABA + GBA</t>
  </si>
  <si>
    <t>Sólo Casa, Departamento, Oficina y PH - Excl: Terreno, Storage, Hotel, Garage</t>
  </si>
  <si>
    <t>TICK PROM</t>
  </si>
  <si>
    <t>PROM MES</t>
  </si>
  <si>
    <t>Sólo CABA</t>
  </si>
  <si>
    <t>Captación Inicial</t>
  </si>
  <si>
    <t>Costo captación</t>
  </si>
  <si>
    <t>Neto a colocar</t>
  </si>
  <si>
    <t>Cantidad Operaciones</t>
  </si>
  <si>
    <t>Penetración</t>
  </si>
  <si>
    <t>%</t>
  </si>
  <si>
    <t>Ventas X Mes</t>
  </si>
  <si>
    <t>Meses hasta completar</t>
  </si>
  <si>
    <t>Exluye ventas compartidas con otra RED</t>
  </si>
  <si>
    <t>Todas las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</si>
</sst>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_(&quot;$&quot;\ * \(#,##0.00\);_(&quot;$&quot;\ * &quot;-&quot;??_);_(@_)"/>
    <numFmt numFmtId="164" formatCode="_(&quot;$&quot;\ * #,##0_);_(&quot;$&quot;\ * \(#,##0\);_(&quot;$&quot;\ *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charset val="1"/>
    </font>
    <font>
      <b/>
      <sz val="18"/>
      <color rgb="FFFFFFFF"/>
      <name val="Arial"/>
      <family val="2"/>
    </font>
    <font>
      <i/>
      <sz val="10"/>
      <color rgb="FF555555"/>
      <name val="Arial"/>
      <family val="2"/>
    </font>
    <font>
      <b/>
      <sz val="10"/>
      <color rgb="FFFFFFFF"/>
      <name val="Arial"/>
      <family val="2"/>
    </font>
    <font>
      <sz val="10"/>
      <name val="Arial"/>
      <family val="2"/>
    </font>
    <font>
      <sz val="11"/>
      <color rgb="FF000000"/>
      <name val="Aptos Narrow"/>
      <family val="2"/>
      <scheme val="minor"/>
    </font>
    <font>
      <b/>
      <sz val="11"/>
      <color theme="1"/>
      <name val="Aptos Narrow"/>
      <scheme val="minor"/>
    </font>
    <font>
      <i/>
      <sz val="11"/>
      <color theme="1"/>
      <name val="Aptos Narrow"/>
      <scheme val="minor"/>
    </font>
    <font>
      <i/>
      <sz val="9"/>
      <color theme="1"/>
      <name val="Aptos Narrow"/>
      <scheme val="minor"/>
    </font>
  </fonts>
  <fills count="8">
    <fill>
      <patternFill patternType="none"/>
    </fill>
    <fill>
      <patternFill patternType="gray125"/>
    </fill>
    <fill>
      <patternFill patternType="solid">
        <fgColor rgb="FF0F2440"/>
        <bgColor rgb="FF1E3A5F"/>
      </patternFill>
    </fill>
    <fill>
      <patternFill patternType="solid">
        <fgColor rgb="FF1E3A5F"/>
        <bgColor rgb="FF0F2440"/>
      </patternFill>
    </fill>
    <fill>
      <patternFill patternType="solid">
        <fgColor rgb="FFF4F6F8"/>
        <bgColor rgb="FFEEF3F9"/>
      </patternFill>
    </fill>
    <fill>
      <patternFill patternType="solid">
        <fgColor rgb="FFFFFF00"/>
        <bgColor indexed="64"/>
      </patternFill>
    </fill>
    <fill>
      <patternFill patternType="solid">
        <fgColor rgb="FFFFC000"/>
        <bgColor indexed="64"/>
      </patternFill>
    </fill>
    <fill>
      <patternFill patternType="solid">
        <fgColor theme="3" tint="0.749992370372631"/>
        <bgColor indexed="64"/>
      </patternFill>
    </fill>
  </fills>
  <borders count="6">
    <border>
      <left/>
      <right/>
      <top/>
      <bottom/>
      <diagonal/>
    </border>
    <border>
      <left style="thin">
        <color rgb="FFC8CED6"/>
      </left>
      <right style="thin">
        <color rgb="FFC8CED6"/>
      </right>
      <top style="thin">
        <color rgb="FFC8CED6"/>
      </top>
      <bottom style="thin">
        <color rgb="FFC8CED6"/>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s>
  <cellStyleXfs count="4">
    <xf numFmtId="0" fontId="0" fillId="0" borderId="0"/>
    <xf numFmtId="0" fontId="3" fillId="0" borderId="0"/>
    <xf numFmtId="9" fontId="1" fillId="0" borderId="0" applyFont="0" applyFill="0" applyBorder="0" applyAlignment="0" applyProtection="0"/>
    <xf numFmtId="44" fontId="1" fillId="0" borderId="0" applyFont="0" applyFill="0" applyBorder="0" applyAlignment="0" applyProtection="0"/>
  </cellStyleXfs>
  <cellXfs count="56">
    <xf numFmtId="0" fontId="0" fillId="0" borderId="0" xfId="0"/>
    <xf numFmtId="14" fontId="0" fillId="0" borderId="0" xfId="0" applyNumberFormat="1"/>
    <xf numFmtId="0" fontId="3" fillId="0" borderId="0" xfId="1"/>
    <xf numFmtId="0" fontId="5" fillId="0" borderId="0" xfId="1" applyFont="1"/>
    <xf numFmtId="0" fontId="6" fillId="3" borderId="1" xfId="1" applyFont="1" applyFill="1" applyBorder="1" applyAlignment="1">
      <alignment horizontal="center" vertical="center" wrapText="1"/>
    </xf>
    <xf numFmtId="0" fontId="7" fillId="0" borderId="1" xfId="1" applyFont="1" applyBorder="1" applyAlignment="1">
      <alignment horizontal="left" vertical="center"/>
    </xf>
    <xf numFmtId="3" fontId="7" fillId="0" borderId="1" xfId="1" applyNumberFormat="1" applyFont="1" applyBorder="1" applyAlignment="1">
      <alignment horizontal="right" vertical="center"/>
    </xf>
    <xf numFmtId="0" fontId="7" fillId="4" borderId="1" xfId="1" applyFont="1" applyFill="1" applyBorder="1" applyAlignment="1">
      <alignment horizontal="left" vertical="center"/>
    </xf>
    <xf numFmtId="3" fontId="7" fillId="4" borderId="1" xfId="1" applyNumberFormat="1" applyFont="1" applyFill="1" applyBorder="1" applyAlignment="1">
      <alignment horizontal="right" vertical="center"/>
    </xf>
    <xf numFmtId="0" fontId="0" fillId="0" borderId="0" xfId="0" applyAlignment="1">
      <alignment horizontal="center" vertical="center"/>
    </xf>
    <xf numFmtId="14" fontId="8" fillId="0" borderId="0" xfId="0" applyNumberFormat="1" applyFont="1"/>
    <xf numFmtId="0" fontId="8" fillId="0" borderId="0" xfId="0" applyFont="1"/>
    <xf numFmtId="0" fontId="8" fillId="0" borderId="0" xfId="0" applyFont="1" applyAlignment="1">
      <alignment horizontal="center" vertical="center"/>
    </xf>
    <xf numFmtId="3" fontId="0" fillId="0" borderId="0" xfId="0" applyNumberFormat="1" applyAlignment="1">
      <alignment horizontal="center" vertical="center"/>
    </xf>
    <xf numFmtId="14" fontId="0" fillId="5" borderId="0" xfId="0" applyNumberFormat="1" applyFill="1"/>
    <xf numFmtId="0" fontId="0" fillId="5" borderId="0" xfId="0" applyFill="1"/>
    <xf numFmtId="3" fontId="0" fillId="5" borderId="0" xfId="0" applyNumberFormat="1" applyFill="1" applyAlignment="1">
      <alignment horizontal="center" vertical="center"/>
    </xf>
    <xf numFmtId="0" fontId="0" fillId="6" borderId="0" xfId="0" applyFill="1"/>
    <xf numFmtId="3" fontId="0" fillId="6" borderId="0" xfId="0" applyNumberFormat="1" applyFill="1" applyAlignment="1">
      <alignment horizontal="center" vertical="center"/>
    </xf>
    <xf numFmtId="0" fontId="9" fillId="0" borderId="0" xfId="0" applyFont="1"/>
    <xf numFmtId="1" fontId="0" fillId="0" borderId="0" xfId="0" applyNumberFormat="1"/>
    <xf numFmtId="0" fontId="0" fillId="0" borderId="0" xfId="0" applyAlignment="1">
      <alignment horizontal="left"/>
    </xf>
    <xf numFmtId="0" fontId="0" fillId="0" borderId="0" xfId="0" applyAlignment="1">
      <alignment horizontal="left" indent="1"/>
    </xf>
    <xf numFmtId="3" fontId="0" fillId="0" borderId="0" xfId="0" applyNumberFormat="1"/>
    <xf numFmtId="0" fontId="0" fillId="0" borderId="0" xfId="0" pivotButton="1" applyAlignment="1">
      <alignment horizontal="center" vertical="center"/>
    </xf>
    <xf numFmtId="1" fontId="0" fillId="0" borderId="0" xfId="0" applyNumberFormat="1" applyAlignment="1">
      <alignment horizontal="center" vertical="center"/>
    </xf>
    <xf numFmtId="0" fontId="0" fillId="0" borderId="0" xfId="0" pivotButton="1" applyAlignment="1">
      <alignment horizontal="left" vertical="center"/>
    </xf>
    <xf numFmtId="0" fontId="0" fillId="0" borderId="0" xfId="0" applyAlignment="1">
      <alignment horizontal="left" vertical="center"/>
    </xf>
    <xf numFmtId="9" fontId="0" fillId="0" borderId="0" xfId="2" applyFont="1"/>
    <xf numFmtId="9" fontId="0" fillId="0" borderId="0" xfId="2" applyFont="1" applyAlignment="1">
      <alignment horizontal="center" vertical="center"/>
    </xf>
    <xf numFmtId="0" fontId="2" fillId="0" borderId="2" xfId="0" applyFont="1" applyBorder="1" applyAlignment="1">
      <alignment horizontal="center" vertical="center"/>
    </xf>
    <xf numFmtId="1" fontId="9" fillId="0" borderId="0" xfId="0" applyNumberFormat="1" applyFont="1" applyAlignment="1">
      <alignment horizontal="center" vertical="center"/>
    </xf>
    <xf numFmtId="3" fontId="9" fillId="0" borderId="0" xfId="0" applyNumberFormat="1" applyFont="1" applyAlignment="1">
      <alignment horizontal="center" vertical="center"/>
    </xf>
    <xf numFmtId="3" fontId="3" fillId="0" borderId="0" xfId="1" applyNumberFormat="1" applyAlignment="1">
      <alignment vertical="center"/>
    </xf>
    <xf numFmtId="9" fontId="3" fillId="0" borderId="0" xfId="1" applyNumberFormat="1"/>
    <xf numFmtId="0" fontId="10" fillId="0" borderId="0" xfId="0" applyFont="1"/>
    <xf numFmtId="0" fontId="11" fillId="0" borderId="0" xfId="0" applyFont="1"/>
    <xf numFmtId="0" fontId="9" fillId="0" borderId="0" xfId="0" applyFont="1" applyAlignment="1">
      <alignment horizontal="center" vertical="center"/>
    </xf>
    <xf numFmtId="0" fontId="0" fillId="0" borderId="3" xfId="0" applyBorder="1"/>
    <xf numFmtId="3" fontId="9" fillId="0" borderId="3" xfId="0" applyNumberFormat="1" applyFont="1" applyBorder="1" applyAlignment="1">
      <alignment horizontal="center" vertical="center"/>
    </xf>
    <xf numFmtId="0" fontId="0" fillId="0" borderId="4" xfId="0" applyBorder="1"/>
    <xf numFmtId="0" fontId="9" fillId="0" borderId="4" xfId="0" applyFont="1" applyBorder="1" applyAlignment="1">
      <alignment horizontal="center" vertical="center"/>
    </xf>
    <xf numFmtId="0" fontId="0" fillId="0" borderId="4" xfId="0" applyBorder="1" applyAlignment="1">
      <alignment horizontal="center" vertical="center"/>
    </xf>
    <xf numFmtId="0" fontId="0" fillId="0" borderId="5" xfId="0" applyBorder="1"/>
    <xf numFmtId="10" fontId="0" fillId="0" borderId="0" xfId="0" applyNumberFormat="1"/>
    <xf numFmtId="9" fontId="0" fillId="0" borderId="0" xfId="0" applyNumberFormat="1"/>
    <xf numFmtId="0" fontId="0" fillId="7" borderId="0" xfId="0" applyFill="1" applyAlignment="1">
      <alignment horizontal="center" vertical="center"/>
    </xf>
    <xf numFmtId="0" fontId="9" fillId="7" borderId="0" xfId="0" applyFont="1" applyFill="1" applyAlignment="1">
      <alignment horizontal="center" vertical="center"/>
    </xf>
    <xf numFmtId="3" fontId="9" fillId="5" borderId="3" xfId="0" applyNumberFormat="1" applyFont="1" applyFill="1" applyBorder="1" applyAlignment="1">
      <alignment horizontal="center" vertical="center"/>
    </xf>
    <xf numFmtId="0" fontId="0" fillId="0" borderId="0" xfId="0" applyAlignment="1">
      <alignment horizontal="center"/>
    </xf>
    <xf numFmtId="0" fontId="0" fillId="6" borderId="0" xfId="0" applyFill="1" applyAlignment="1">
      <alignment horizontal="center"/>
    </xf>
    <xf numFmtId="0" fontId="0" fillId="5" borderId="0" xfId="0" applyFill="1" applyAlignment="1">
      <alignment horizontal="center"/>
    </xf>
    <xf numFmtId="164" fontId="9" fillId="5" borderId="3" xfId="3" applyNumberFormat="1" applyFont="1" applyFill="1" applyBorder="1" applyAlignment="1">
      <alignment horizontal="center" vertical="center"/>
    </xf>
    <xf numFmtId="164" fontId="9" fillId="0" borderId="3" xfId="3" applyNumberFormat="1" applyFont="1" applyBorder="1" applyAlignment="1">
      <alignment horizontal="center" vertical="center"/>
    </xf>
    <xf numFmtId="0" fontId="4" fillId="2" borderId="0" xfId="1" applyFont="1" applyFill="1" applyAlignment="1">
      <alignment horizontal="left" vertical="center" indent="1"/>
    </xf>
    <xf numFmtId="0" fontId="3" fillId="0" borderId="0" xfId="1"/>
  </cellXfs>
  <cellStyles count="4">
    <cellStyle name="Moneda" xfId="3" builtinId="4"/>
    <cellStyle name="Normal" xfId="0" builtinId="0"/>
    <cellStyle name="Normal 2" xfId="1" xr:uid="{00000000-0005-0000-0000-00002A000000}"/>
    <cellStyle name="Porcentaje" xfId="2" builtinId="5"/>
  </cellStyles>
  <dxfs count="137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rancisco Benegas" id="{E481C9BC-23AA-AC43-856F-45265DEAEDB7}" userId="5a3584d611083b5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54.439900578705" createdVersion="8" refreshedVersion="8" minRefreshableVersion="3" recordCount="2745" xr:uid="{D90B7EAF-11D8-2B4D-B0FB-99CD21D82E00}">
  <cacheSource type="worksheet">
    <worksheetSource ref="A1:W2746" sheet="Operaciones Venta"/>
  </cacheSource>
  <cacheFields count="23">
    <cacheField name="Fecha" numFmtId="14">
      <sharedItems containsSemiMixedTypes="0" containsNonDate="0" containsDate="1" containsString="0" minDate="2025-01-01T00:00:00" maxDate="2026-04-01T00:00:00"/>
    </cacheField>
    <cacheField name="AÑO" numFmtId="1">
      <sharedItems containsSemiMixedTypes="0" containsString="0" containsNumber="1" containsInteger="1" minValue="2025" maxValue="2026" count="2">
        <n v="2026"/>
        <n v="2025"/>
      </sharedItems>
    </cacheField>
    <cacheField name="MES" numFmtId="1">
      <sharedItems containsSemiMixedTypes="0" containsString="0" containsNumber="1" containsInteger="1" minValue="1" maxValue="12" count="12">
        <n v="2"/>
        <n v="7"/>
        <n v="5"/>
        <n v="4"/>
        <n v="6"/>
        <n v="8"/>
        <n v="9"/>
        <n v="11"/>
        <n v="12"/>
        <n v="3"/>
        <n v="1"/>
        <n v="10"/>
      </sharedItems>
    </cacheField>
    <cacheField name="Ref #" numFmtId="0">
      <sharedItems containsBlank="1" containsMixedTypes="1" containsNumber="1" containsInteger="1" minValue="1" maxValue="30122025"/>
    </cacheField>
    <cacheField name="Unificador" numFmtId="0">
      <sharedItems containsSemiMixedTypes="0" containsString="0" containsNumber="1" containsInteger="1" minValue="0" maxValue="3" count="3">
        <n v="1"/>
        <n v="0"/>
        <n v="3"/>
      </sharedItems>
    </cacheField>
    <cacheField name="Publicación" numFmtId="0">
      <sharedItems containsMixedTypes="1" containsNumber="1" containsInteger="1" minValue="10336" maxValue="10336"/>
    </cacheField>
    <cacheField name="Estado" numFmtId="0">
      <sharedItems/>
    </cacheField>
    <cacheField name="Portal" numFmtId="0">
      <sharedItems/>
    </cacheField>
    <cacheField name="Precio Publicación" numFmtId="3">
      <sharedItems containsSemiMixedTypes="0" containsString="0" containsNumber="1" containsInteger="1" minValue="0" maxValue="3200000"/>
    </cacheField>
    <cacheField name="Precio Cierre Total" numFmtId="3">
      <sharedItems containsSemiMixedTypes="0" containsString="0" containsNumber="1" containsInteger="1" minValue="36000" maxValue="2793333" count="543">
        <n v="36000"/>
        <n v="36500"/>
        <n v="37000"/>
        <n v="37500"/>
        <n v="37753"/>
        <n v="38000"/>
        <n v="38500"/>
        <n v="38735"/>
        <n v="39000"/>
        <n v="39500"/>
        <n v="39800"/>
        <n v="39900"/>
        <n v="40000"/>
        <n v="40500"/>
        <n v="40704"/>
        <n v="41000"/>
        <n v="41200"/>
        <n v="41500"/>
        <n v="41766"/>
        <n v="42000"/>
        <n v="42500"/>
        <n v="42735"/>
        <n v="43000"/>
        <n v="43200"/>
        <n v="43320"/>
        <n v="43500"/>
        <n v="44000"/>
        <n v="44146"/>
        <n v="44350"/>
        <n v="44683"/>
        <n v="44900"/>
        <n v="45000"/>
        <n v="46000"/>
        <n v="46500"/>
        <n v="46600"/>
        <n v="46800"/>
        <n v="47000"/>
        <n v="47500"/>
        <n v="47550"/>
        <n v="48000"/>
        <n v="48200"/>
        <n v="48500"/>
        <n v="49000"/>
        <n v="49500"/>
        <n v="49900"/>
        <n v="50000"/>
        <n v="51000"/>
        <n v="51500"/>
        <n v="52000"/>
        <n v="52500"/>
        <n v="53000"/>
        <n v="53500"/>
        <n v="54000"/>
        <n v="54500"/>
        <n v="54950"/>
        <n v="55000"/>
        <n v="55500"/>
        <n v="56000"/>
        <n v="56500"/>
        <n v="57000"/>
        <n v="57500"/>
        <n v="58000"/>
        <n v="58336"/>
        <n v="58445"/>
        <n v="59000"/>
        <n v="60000"/>
        <n v="61000"/>
        <n v="61500"/>
        <n v="62000"/>
        <n v="62500"/>
        <n v="63000"/>
        <n v="63300"/>
        <n v="63500"/>
        <n v="63524"/>
        <n v="64000"/>
        <n v="64500"/>
        <n v="65000"/>
        <n v="65500"/>
        <n v="65625"/>
        <n v="66000"/>
        <n v="66600"/>
        <n v="66700"/>
        <n v="67000"/>
        <n v="67500"/>
        <n v="67800"/>
        <n v="68000"/>
        <n v="68500"/>
        <n v="69000"/>
        <n v="69200"/>
        <n v="69400"/>
        <n v="69500"/>
        <n v="70000"/>
        <n v="70500"/>
        <n v="70824"/>
        <n v="71000"/>
        <n v="71500"/>
        <n v="71750"/>
        <n v="71793"/>
        <n v="72000"/>
        <n v="72300"/>
        <n v="72400"/>
        <n v="72500"/>
        <n v="73000"/>
        <n v="73400"/>
        <n v="73500"/>
        <n v="73548"/>
        <n v="73880"/>
        <n v="74000"/>
        <n v="74184"/>
        <n v="74500"/>
        <n v="74950"/>
        <n v="75000"/>
        <n v="75500"/>
        <n v="76000"/>
        <n v="76272"/>
        <n v="76500"/>
        <n v="77000"/>
        <n v="77250"/>
        <n v="77300"/>
        <n v="77500"/>
        <n v="77900"/>
        <n v="78000"/>
        <n v="78578"/>
        <n v="78589"/>
        <n v="78970"/>
        <n v="79000"/>
        <n v="79500"/>
        <n v="80000"/>
        <n v="80500"/>
        <n v="81000"/>
        <n v="81233"/>
        <n v="81500"/>
        <n v="81600"/>
        <n v="82000"/>
        <n v="82350"/>
        <n v="82500"/>
        <n v="83000"/>
        <n v="83400"/>
        <n v="83500"/>
        <n v="83700"/>
        <n v="84000"/>
        <n v="84171"/>
        <n v="84500"/>
        <n v="85000"/>
        <n v="85020"/>
        <n v="85500"/>
        <n v="86000"/>
        <n v="86400"/>
        <n v="86500"/>
        <n v="86800"/>
        <n v="87000"/>
        <n v="87500"/>
        <n v="88000"/>
        <n v="88290"/>
        <n v="88500"/>
        <n v="88742"/>
        <n v="88830"/>
        <n v="89000"/>
        <n v="89892"/>
        <n v="89900"/>
        <n v="90000"/>
        <n v="91000"/>
        <n v="91500"/>
        <n v="92000"/>
        <n v="92500"/>
        <n v="93000"/>
        <n v="94000"/>
        <n v="94050"/>
        <n v="94470"/>
        <n v="94500"/>
        <n v="95000"/>
        <n v="96000"/>
        <n v="96500"/>
        <n v="97000"/>
        <n v="97500"/>
        <n v="98000"/>
        <n v="98400"/>
        <n v="98916"/>
        <n v="99000"/>
        <n v="99300"/>
        <n v="99714"/>
        <n v="99900"/>
        <n v="100000"/>
        <n v="100250"/>
        <n v="100380"/>
        <n v="101000"/>
        <n v="101043"/>
        <n v="101250"/>
        <n v="101370"/>
        <n v="101700"/>
        <n v="101925"/>
        <n v="102000"/>
        <n v="103000"/>
        <n v="103500"/>
        <n v="104000"/>
        <n v="104280"/>
        <n v="104500"/>
        <n v="104714"/>
        <n v="104763"/>
        <n v="105000"/>
        <n v="106000"/>
        <n v="106730"/>
        <n v="107000"/>
        <n v="107200"/>
        <n v="107480"/>
        <n v="108000"/>
        <n v="108500"/>
        <n v="109000"/>
        <n v="109900"/>
        <n v="110000"/>
        <n v="111000"/>
        <n v="111500"/>
        <n v="112000"/>
        <n v="112500"/>
        <n v="113000"/>
        <n v="114000"/>
        <n v="115000"/>
        <n v="116000"/>
        <n v="116370"/>
        <n v="116500"/>
        <n v="116800"/>
        <n v="117000"/>
        <n v="117500"/>
        <n v="118000"/>
        <n v="118402"/>
        <n v="118500"/>
        <n v="119000"/>
        <n v="120000"/>
        <n v="121000"/>
        <n v="122000"/>
        <n v="122500"/>
        <n v="123000"/>
        <n v="124000"/>
        <n v="125000"/>
        <n v="126000"/>
        <n v="127000"/>
        <n v="127500"/>
        <n v="128000"/>
        <n v="128500"/>
        <n v="128750"/>
        <n v="129000"/>
        <n v="129500"/>
        <n v="130000"/>
        <n v="130500"/>
        <n v="131000"/>
        <n v="132000"/>
        <n v="132500"/>
        <n v="133000"/>
        <n v="134000"/>
        <n v="134540"/>
        <n v="135000"/>
        <n v="135500"/>
        <n v="136000"/>
        <n v="136053"/>
        <n v="136080"/>
        <n v="136500"/>
        <n v="137000"/>
        <n v="137500"/>
        <n v="138000"/>
        <n v="138500"/>
        <n v="139000"/>
        <n v="140000"/>
        <n v="141000"/>
        <n v="142000"/>
        <n v="142500"/>
        <n v="143000"/>
        <n v="144000"/>
        <n v="144200"/>
        <n v="144380"/>
        <n v="144650"/>
        <n v="145000"/>
        <n v="146000"/>
        <n v="146500"/>
        <n v="147000"/>
        <n v="147020"/>
        <n v="147500"/>
        <n v="147600"/>
        <n v="147630"/>
        <n v="148000"/>
        <n v="148600"/>
        <n v="149000"/>
        <n v="150000"/>
        <n v="150500"/>
        <n v="151000"/>
        <n v="151500"/>
        <n v="152000"/>
        <n v="152500"/>
        <n v="153000"/>
        <n v="153147"/>
        <n v="153850"/>
        <n v="154000"/>
        <n v="155000"/>
        <n v="156000"/>
        <n v="157000"/>
        <n v="157500"/>
        <n v="157740"/>
        <n v="158000"/>
        <n v="158235"/>
        <n v="158500"/>
        <n v="159000"/>
        <n v="160000"/>
        <n v="161000"/>
        <n v="162000"/>
        <n v="162500"/>
        <n v="163000"/>
        <n v="163500"/>
        <n v="163656"/>
        <n v="164000"/>
        <n v="164464"/>
        <n v="165000"/>
        <n v="165520"/>
        <n v="166000"/>
        <n v="167000"/>
        <n v="168000"/>
        <n v="168802"/>
        <n v="169000"/>
        <n v="170000"/>
        <n v="170500"/>
        <n v="171000"/>
        <n v="172000"/>
        <n v="172500"/>
        <n v="173000"/>
        <n v="174000"/>
        <n v="174500"/>
        <n v="175000"/>
        <n v="175689"/>
        <n v="176000"/>
        <n v="177000"/>
        <n v="178000"/>
        <n v="179000"/>
        <n v="180000"/>
        <n v="180468"/>
        <n v="181000"/>
        <n v="182000"/>
        <n v="183000"/>
        <n v="184000"/>
        <n v="185000"/>
        <n v="187000"/>
        <n v="188500"/>
        <n v="189000"/>
        <n v="190000"/>
        <n v="191000"/>
        <n v="192000"/>
        <n v="192500"/>
        <n v="193000"/>
        <n v="195000"/>
        <n v="195100"/>
        <n v="196000"/>
        <n v="197000"/>
        <n v="197800"/>
        <n v="198000"/>
        <n v="199000"/>
        <n v="200000"/>
        <n v="201000"/>
        <n v="201800"/>
        <n v="202000"/>
        <n v="203000"/>
        <n v="204000"/>
        <n v="205000"/>
        <n v="205985"/>
        <n v="206000"/>
        <n v="206700"/>
        <n v="207500"/>
        <n v="208000"/>
        <n v="210000"/>
        <n v="212000"/>
        <n v="212500"/>
        <n v="213000"/>
        <n v="214000"/>
        <n v="215000"/>
        <n v="216000"/>
        <n v="216500"/>
        <n v="217000"/>
        <n v="218000"/>
        <n v="219000"/>
        <n v="220000"/>
        <n v="220122"/>
        <n v="223000"/>
        <n v="224430"/>
        <n v="225000"/>
        <n v="226000"/>
        <n v="227000"/>
        <n v="228000"/>
        <n v="229000"/>
        <n v="230000"/>
        <n v="231446"/>
        <n v="235000"/>
        <n v="236000"/>
        <n v="237000"/>
        <n v="238000"/>
        <n v="238128"/>
        <n v="240000"/>
        <n v="242000"/>
        <n v="243000"/>
        <n v="245000"/>
        <n v="245500"/>
        <n v="247000"/>
        <n v="247500"/>
        <n v="248000"/>
        <n v="248400"/>
        <n v="249000"/>
        <n v="250000"/>
        <n v="252000"/>
        <n v="253000"/>
        <n v="253435"/>
        <n v="254805"/>
        <n v="255000"/>
        <n v="258000"/>
        <n v="259000"/>
        <n v="260000"/>
        <n v="260113"/>
        <n v="261500"/>
        <n v="262000"/>
        <n v="262496"/>
        <n v="262500"/>
        <n v="263000"/>
        <n v="265000"/>
        <n v="266000"/>
        <n v="266500"/>
        <n v="266700"/>
        <n v="270000"/>
        <n v="270559"/>
        <n v="271000"/>
        <n v="273000"/>
        <n v="275000"/>
        <n v="276124"/>
        <n v="278000"/>
        <n v="280000"/>
        <n v="282000"/>
        <n v="285000"/>
        <n v="286000"/>
        <n v="287000"/>
        <n v="288000"/>
        <n v="289000"/>
        <n v="290000"/>
        <n v="292500"/>
        <n v="293000"/>
        <n v="295000"/>
        <n v="296250"/>
        <n v="298000"/>
        <n v="299000"/>
        <n v="300000"/>
        <n v="302000"/>
        <n v="302500"/>
        <n v="305000"/>
        <n v="307000"/>
        <n v="308000"/>
        <n v="310000"/>
        <n v="315000"/>
        <n v="316000"/>
        <n v="318000"/>
        <n v="320000"/>
        <n v="325000"/>
        <n v="327600"/>
        <n v="330000"/>
        <n v="335000"/>
        <n v="340000"/>
        <n v="342000"/>
        <n v="345000"/>
        <n v="347000"/>
        <n v="348000"/>
        <n v="350000"/>
        <n v="353000"/>
        <n v="355000"/>
        <n v="357500"/>
        <n v="358000"/>
        <n v="360000"/>
        <n v="362500"/>
        <n v="365000"/>
        <n v="370000"/>
        <n v="374000"/>
        <n v="375000"/>
        <n v="380000"/>
        <n v="384000"/>
        <n v="385000"/>
        <n v="390000"/>
        <n v="395000"/>
        <n v="395200"/>
        <n v="400000"/>
        <n v="402500"/>
        <n v="405000"/>
        <n v="410000"/>
        <n v="413000"/>
        <n v="415000"/>
        <n v="420000"/>
        <n v="425000"/>
        <n v="430000"/>
        <n v="440000"/>
        <n v="445000"/>
        <n v="449000"/>
        <n v="450000"/>
        <n v="460000"/>
        <n v="465000"/>
        <n v="467500"/>
        <n v="475000"/>
        <n v="480000"/>
        <n v="483300"/>
        <n v="490000"/>
        <n v="495000"/>
        <n v="500000"/>
        <n v="510000"/>
        <n v="515000"/>
        <n v="520000"/>
        <n v="525000"/>
        <n v="530000"/>
        <n v="540000"/>
        <n v="550000"/>
        <n v="555000"/>
        <n v="575000"/>
        <n v="580000"/>
        <n v="585000"/>
        <n v="590000"/>
        <n v="600000"/>
        <n v="620000"/>
        <n v="620440"/>
        <n v="623000"/>
        <n v="625000"/>
        <n v="630000"/>
        <n v="635000"/>
        <n v="640000"/>
        <n v="650000"/>
        <n v="665000"/>
        <n v="670000"/>
        <n v="680000"/>
        <n v="682500"/>
        <n v="690000"/>
        <n v="700000"/>
        <n v="730000"/>
        <n v="750000"/>
        <n v="780000"/>
        <n v="785000"/>
        <n v="795000"/>
        <n v="815000"/>
        <n v="830000"/>
        <n v="900000"/>
        <n v="950000"/>
        <n v="1000000"/>
        <n v="1130000"/>
        <n v="1175000"/>
        <n v="1210000"/>
        <n v="1250000"/>
        <n v="1360906"/>
        <n v="2793333"/>
      </sharedItems>
    </cacheField>
    <cacheField name="RANGO_TCMC" numFmtId="3">
      <sharedItems containsSemiMixedTypes="0" containsString="0" containsNumber="1" containsInteger="1" minValue="0" maxValue="1" count="2">
        <n v="0"/>
        <n v="1"/>
      </sharedItems>
    </cacheField>
    <cacheField name="Moneda Cierre" numFmtId="0">
      <sharedItems/>
    </cacheField>
    <cacheField name="Moneda Publicación" numFmtId="0">
      <sharedItems/>
    </cacheField>
    <cacheField name="Dirección" numFmtId="0">
      <sharedItems containsBlank="1" containsMixedTypes="1" containsNumber="1" containsInteger="1" minValue="1141" maxValue="1801"/>
    </cacheField>
    <cacheField name="Ubicación" numFmtId="0">
      <sharedItems containsBlank="1"/>
    </cacheField>
    <cacheField name="Tipo Propiedad" numFmtId="0">
      <sharedItems containsBlank="1" count="14">
        <s v="Departamento"/>
        <s v="Terreno"/>
        <s v="Casa"/>
        <s v="PH"/>
        <s v="Local Comercial"/>
        <s v="Granja"/>
        <s v="Oficina"/>
        <s v="Storage"/>
        <s v="Garage"/>
        <s v="Lot"/>
        <s v="Hotel"/>
        <s v="Campo"/>
        <s v="Casa Fin de Semana" u="1"/>
        <m u="1"/>
      </sharedItems>
    </cacheField>
    <cacheField name="Lados" numFmtId="0">
      <sharedItems containsSemiMixedTypes="0" containsString="0" containsNumber="1" containsInteger="1" minValue="1" maxValue="2"/>
    </cacheField>
    <cacheField name="Oficina" numFmtId="0">
      <sharedItems/>
    </cacheField>
    <cacheField name="Tipo Operación" numFmtId="0">
      <sharedItems/>
    </cacheField>
    <cacheField name="TIPO_OPERACION2" numFmtId="0">
      <sharedItems count="3">
        <s v="Otra Red Captación"/>
        <s v="CB"/>
        <s v="Otra Red Búsqueda"/>
      </sharedItems>
    </cacheField>
    <cacheField name="Operación" numFmtId="0">
      <sharedItems/>
    </cacheField>
    <cacheField name="Zona CB" numFmtId="0">
      <sharedItems count="11">
        <s v="Zona Sur (GBA)"/>
        <s v="Interior - Neuquén"/>
        <s v="Interior - Mendoza"/>
        <s v="CABA"/>
        <s v="Interior - Salta"/>
        <s v="Interior - Santa Fe"/>
        <s v="Zona Norte (GBA)"/>
        <s v="Interior - Río Negro"/>
        <s v="Interior - Jujuy"/>
        <s v="Zona Oeste (GBA)"/>
        <s v="Interior - San Luis"/>
      </sharedItems>
    </cacheField>
    <cacheField name="Localidad CB"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5">
  <r>
    <d v="2026-02-09T00:00:00"/>
    <x v="0"/>
    <x v="0"/>
    <s v="CAP7557679"/>
    <x v="0"/>
    <s v="Venta departamento de un dormitorio y balcón en 4 y 63 - LA PLATA"/>
    <s v="Realizado"/>
    <s v="AR ZonaProp"/>
    <n v="38000"/>
    <x v="0"/>
    <x v="0"/>
    <s v="Dólares"/>
    <s v="Dólares"/>
    <s v="Venta departamento de un dormitorio y balcón en 4 y 63 - LA PLATA"/>
    <s v="Argentina | G.B.A. Zona Sur | La Plata | La Plata"/>
    <x v="0"/>
    <n v="1"/>
    <s v="Golden Team"/>
    <s v="(Interior) Compartida Fuera de la Red Captación Propia"/>
    <x v="0"/>
    <s v="Venta"/>
    <x v="0"/>
    <s v="La Plata"/>
  </r>
  <r>
    <d v="2025-07-25T00:00:00"/>
    <x v="1"/>
    <x v="1"/>
    <m/>
    <x v="1"/>
    <s v="UF 13 Loteo A Quetrihue 387,55"/>
    <s v="Realizado"/>
    <s v="Conocido"/>
    <n v="36000"/>
    <x v="0"/>
    <x v="0"/>
    <s v="Dólares"/>
    <s v="Dólares"/>
    <s v="Bv, Quetrihue y Amancay"/>
    <s v="Argentina | Neuquen | Villa La Angostura | Selva Triste"/>
    <x v="1"/>
    <n v="2"/>
    <s v="Patagonia Lakes VLA"/>
    <s v="Compartida en Oficina (Dos Asesores)"/>
    <x v="1"/>
    <s v="Venta"/>
    <x v="1"/>
    <s v="Villa La Angostura"/>
  </r>
  <r>
    <d v="2025-02-11T00:00:00"/>
    <x v="1"/>
    <x v="0"/>
    <s v="CLA6351991"/>
    <x v="0"/>
    <s v="VENTA Lote/terreno de 407,04 m2, UF 26 loteo Quetrihue B° Selva Triste Villa la Angostura"/>
    <s v="Realizado"/>
    <s v="Instagram"/>
    <n v="36000"/>
    <x v="0"/>
    <x v="0"/>
    <s v="Dólares"/>
    <s v="Dólares"/>
    <s v="Quetrihue "/>
    <s v="Argentina | Neuquen | Villa La Angostura | Puerto"/>
    <x v="1"/>
    <n v="2"/>
    <s v="Patagonia Lakes VLA"/>
    <s v="Compartida en Oficina (Dos Asesores)"/>
    <x v="1"/>
    <s v="Venta"/>
    <x v="1"/>
    <s v="Villa La Angostura"/>
  </r>
  <r>
    <d v="2025-05-19T00:00:00"/>
    <x v="1"/>
    <x v="2"/>
    <s v="CHO6746075"/>
    <x v="0"/>
    <s v="Casa - Las Paredes"/>
    <s v="Realizado"/>
    <s v="AR ZonaProp"/>
    <n v="36000"/>
    <x v="0"/>
    <x v="0"/>
    <s v="Dólares"/>
    <s v="Dólares"/>
    <s v="LOS FILTROS al 8000"/>
    <s v="Argentina | Mendoza | San Rafael | Las Paredes"/>
    <x v="2"/>
    <n v="2"/>
    <s v="Andes"/>
    <s v="Compartida en Oficina (Dos Asesores)"/>
    <x v="1"/>
    <s v="Venta"/>
    <x v="2"/>
    <s v="San Rafael"/>
  </r>
  <r>
    <d v="2025-07-24T00:00:00"/>
    <x v="1"/>
    <x v="1"/>
    <s v="CAP6796724"/>
    <x v="0"/>
    <s v="Departamento en almagro"/>
    <s v="Realizado"/>
    <s v="AR ZonaProp"/>
    <n v="37000"/>
    <x v="0"/>
    <x v="0"/>
    <s v="Dólares"/>
    <s v="Dólares"/>
    <s v="Quintino Bocayuva  al 400"/>
    <s v="Argentina | Capital Federal | Almagro | Almagro Sur"/>
    <x v="0"/>
    <n v="2"/>
    <s v="Haka"/>
    <s v="Compartida en Oficina (Dos Asesores)"/>
    <x v="1"/>
    <s v="Venta"/>
    <x v="3"/>
    <s v="Núñez"/>
  </r>
  <r>
    <d v="2025-07-25T00:00:00"/>
    <x v="1"/>
    <x v="1"/>
    <m/>
    <x v="0"/>
    <s v="UF 12 Loteo A Quetrihue"/>
    <s v="Realizado"/>
    <s v="Conocido"/>
    <n v="36000"/>
    <x v="0"/>
    <x v="0"/>
    <s v="Dólares"/>
    <s v="Dólares"/>
    <s v="Bv, Quetrihue y Amancay"/>
    <s v="Argentina | Neuquen | Villa La Angostura | Selva Triste"/>
    <x v="1"/>
    <n v="2"/>
    <s v="Patagonia Lakes VLA"/>
    <s v="Compartida en Oficina (Dos Asesores)"/>
    <x v="1"/>
    <s v="Venta"/>
    <x v="1"/>
    <s v="Villa La Angostura"/>
  </r>
  <r>
    <d v="2025-04-30T00:00:00"/>
    <x v="1"/>
    <x v="3"/>
    <s v="CAP6917146"/>
    <x v="0"/>
    <s v="Departamento | Venta | Juan Pablo II | 3 habitaciones"/>
    <s v="Realizado"/>
    <s v="Facebook"/>
    <n v="36000"/>
    <x v="0"/>
    <x v="0"/>
    <s v="Dólares"/>
    <s v="Dólares"/>
    <s v="Juan Pablo II 7"/>
    <s v="Argentina | Salta | Capital | Salta | Zona Sur"/>
    <x v="0"/>
    <n v="2"/>
    <s v="Realty Group"/>
    <s v="Propia (Único Asesor)"/>
    <x v="1"/>
    <s v="Venta"/>
    <x v="4"/>
    <s v="San Lorenzo Chico"/>
  </r>
  <r>
    <d v="2025-06-19T00:00:00"/>
    <x v="1"/>
    <x v="4"/>
    <s v="CAP6916550"/>
    <x v="0"/>
    <s v="Departamento en  Juan Pablo"/>
    <s v="Realizado"/>
    <s v="Referido"/>
    <n v="36000"/>
    <x v="0"/>
    <x v="0"/>
    <s v="Dólares"/>
    <s v="Dólares"/>
    <s v="Juan Pablo "/>
    <s v="Argentina | Salta | Capital | Salta | Zona Sur"/>
    <x v="0"/>
    <n v="2"/>
    <s v="Realty Group"/>
    <s v="Propia (Único Asesor)"/>
    <x v="1"/>
    <s v="Venta"/>
    <x v="4"/>
    <s v="San Lorenzo Chico"/>
  </r>
  <r>
    <d v="2025-08-13T00:00:00"/>
    <x v="1"/>
    <x v="5"/>
    <s v="CAP7166417"/>
    <x v="0"/>
    <s v="Departamento de 1 dormitorio en 45 e/ 19 y 20, La Plata"/>
    <s v="Realizado"/>
    <s v="AR ArgenProp"/>
    <n v="37000"/>
    <x v="0"/>
    <x v="0"/>
    <s v="Dólares"/>
    <s v="Dólares"/>
    <s v="45 e/ 19 y 20"/>
    <s v="Argentina | G.B.A. Zona Sur | La Plata | La Plata"/>
    <x v="0"/>
    <n v="2"/>
    <s v="Golden Team"/>
    <s v="Propia (Único Asesor)"/>
    <x v="1"/>
    <s v="Venta"/>
    <x v="0"/>
    <s v="La Plata"/>
  </r>
  <r>
    <d v="2025-08-20T00:00:00"/>
    <x v="1"/>
    <x v="5"/>
    <s v="CAP7214043"/>
    <x v="0"/>
    <s v="Departamento en Venta de 1 dormitorio en 46 entre 13 y 14  en La Plata"/>
    <s v="Realizado"/>
    <s v="AR ZonaProp"/>
    <n v="39900"/>
    <x v="0"/>
    <x v="0"/>
    <s v="Dólares"/>
    <s v="Dólares"/>
    <s v="Departamento en Venta de 1 dormitorio en 46 entre 13 y 14  en La Plata"/>
    <s v="Argentina | G.B.A. Zona Sur | La Plata | La Plata"/>
    <x v="0"/>
    <n v="2"/>
    <s v="Golden Team"/>
    <s v="Propia (Único Asesor)"/>
    <x v="1"/>
    <s v="Venta"/>
    <x v="0"/>
    <s v="La Plata"/>
  </r>
  <r>
    <d v="2025-08-20T00:00:00"/>
    <x v="1"/>
    <x v="5"/>
    <s v="CLA7090806"/>
    <x v="0"/>
    <s v="Terreno en venta ubicado en La Verbena - Salta"/>
    <s v="Realizado"/>
    <s v="Facebook"/>
    <n v="37500"/>
    <x v="0"/>
    <x v="0"/>
    <s v="Dólares"/>
    <s v="Dólares"/>
    <s v="La Verbena Calle 8 "/>
    <s v="Argentina | Salta | Capital | Salta | Zona Sur"/>
    <x v="1"/>
    <n v="2"/>
    <s v="Realty Group"/>
    <s v="Propia (Único Asesor)"/>
    <x v="1"/>
    <s v="Venta"/>
    <x v="4"/>
    <s v="San Lorenzo Chico"/>
  </r>
  <r>
    <d v="2025-09-11T00:00:00"/>
    <x v="1"/>
    <x v="6"/>
    <s v="CLA6972631"/>
    <x v="0"/>
    <s v="Terreno en  Las Paredes, San Rafael"/>
    <s v="Realizado"/>
    <s v="AR ZonaProp"/>
    <n v="40000"/>
    <x v="0"/>
    <x v="0"/>
    <s v="Dólares"/>
    <s v="Dólares"/>
    <s v="zamarvide al 600"/>
    <s v="Argentina | Mendoza | San Rafael | Las Paredes"/>
    <x v="1"/>
    <n v="2"/>
    <s v="Andes"/>
    <s v="Propia (Único Asesor)"/>
    <x v="1"/>
    <s v="Venta"/>
    <x v="2"/>
    <s v="San Rafael"/>
  </r>
  <r>
    <d v="2025-11-17T00:00:00"/>
    <x v="1"/>
    <x v="7"/>
    <s v="CHO7388867"/>
    <x v="0"/>
    <s v="Casa en venta a reciclar 158 entre 67 y 68 Los Hornos"/>
    <s v="Realizado"/>
    <s v="AR ZonaProp"/>
    <n v="35000"/>
    <x v="0"/>
    <x v="0"/>
    <s v="Dólares"/>
    <s v="Dólares"/>
    <s v="158 entre 67 y 68"/>
    <s v="Argentina | G.B.A. Zona Sur | La Plata | Los Hornos"/>
    <x v="2"/>
    <n v="2"/>
    <s v="Golden Team"/>
    <s v="Propia (Único Asesor)"/>
    <x v="1"/>
    <s v="Venta"/>
    <x v="0"/>
    <s v="La Plata"/>
  </r>
  <r>
    <d v="2025-11-25T00:00:00"/>
    <x v="1"/>
    <x v="7"/>
    <s v="CLA7046370"/>
    <x v="0"/>
    <s v="VENTA Lote Villa Meliquina 1000m2 Oportunidad lote 4  MANZANA J "/>
    <s v="Realizado"/>
    <s v="Web Coldwell-Banker"/>
    <n v="38500"/>
    <x v="0"/>
    <x v="0"/>
    <s v="Dólares"/>
    <s v="Dólares"/>
    <s v="meliquina "/>
    <s v="Argentina | Neuquen | Lacar | San Martin De Los Andes | Villa Lago Meliquina"/>
    <x v="1"/>
    <n v="2"/>
    <s v="Patagonia Lakes SMA"/>
    <s v="Propia (Único Asesor)"/>
    <x v="1"/>
    <s v="Venta"/>
    <x v="1"/>
    <s v="San Martín de los Andes"/>
  </r>
  <r>
    <d v="2025-12-04T00:00:00"/>
    <x v="1"/>
    <x v="8"/>
    <s v="CLA7597779"/>
    <x v="0"/>
    <s v="Terreno en Zona Sur"/>
    <s v="Realizado"/>
    <s v="Facebook"/>
    <n v="37000"/>
    <x v="0"/>
    <x v="0"/>
    <s v="Dólares"/>
    <s v="Dólares"/>
    <s v="La Verbena, calle 18"/>
    <s v="Argentina | Salta | Capital | Salta | Zona Sur"/>
    <x v="1"/>
    <n v="2"/>
    <s v="Realty Group"/>
    <s v="Propia (Único Asesor)"/>
    <x v="1"/>
    <s v="Venta"/>
    <x v="4"/>
    <s v="San Lorenzo Chico"/>
  </r>
  <r>
    <d v="2025-12-05T00:00:00"/>
    <x v="1"/>
    <x v="8"/>
    <s v="san eliseo golf 414"/>
    <x v="0"/>
    <s v="lote venta san elíseo golf 414"/>
    <s v="Realizado"/>
    <s v="AR MercadoLibre"/>
    <n v="36000"/>
    <x v="0"/>
    <x v="0"/>
    <s v="Dólares"/>
    <s v="Dólares"/>
    <m/>
    <s v="Argentina | G.B.A. Zona Sur | San Vicente "/>
    <x v="1"/>
    <n v="2"/>
    <s v="Livello"/>
    <s v="Propia (Único Asesor)"/>
    <x v="1"/>
    <s v="Venta"/>
    <x v="3"/>
    <s v="Palermo"/>
  </r>
  <r>
    <d v="2026-03-09T00:00:00"/>
    <x v="0"/>
    <x v="9"/>
    <s v="CLA7470286"/>
    <x v="0"/>
    <s v="Venta terreno en las heras"/>
    <s v="Realizado"/>
    <s v="AR ZonaProp"/>
    <n v="40000"/>
    <x v="0"/>
    <x v="0"/>
    <s v="Dólares"/>
    <s v="Dólares"/>
    <s v="Belgrano al 700"/>
    <s v="Argentina | Mendoza | Las Heras "/>
    <x v="2"/>
    <n v="2"/>
    <s v="Cuyo Real"/>
    <s v="Propia (Único Asesor)"/>
    <x v="1"/>
    <s v="Venta"/>
    <x v="2"/>
    <s v="Capital Mendoza"/>
  </r>
  <r>
    <d v="2026-03-11T00:00:00"/>
    <x v="0"/>
    <x v="9"/>
    <s v="CLA7762823"/>
    <x v="0"/>
    <s v="Excelente Terreno en Venta "/>
    <s v="Realizado"/>
    <s v="Conocido"/>
    <n v="36000"/>
    <x v="0"/>
    <x v="0"/>
    <s v="Dólares"/>
    <s v="Dólares"/>
    <s v="Terreno en Colastine Norte sobre calle Los Algarrobos"/>
    <s v="Argentina | Santa Fe | La Capital | Santa Fe | Colastine Norte"/>
    <x v="1"/>
    <n v="2"/>
    <s v="De la Veracruz"/>
    <s v="Propia (Único Asesor)"/>
    <x v="1"/>
    <s v="Venta"/>
    <x v="5"/>
    <s v="Capital Santa Fe"/>
  </r>
  <r>
    <d v="2026-03-19T00:00:00"/>
    <x v="0"/>
    <x v="9"/>
    <m/>
    <x v="0"/>
    <s v="Lote, con superficie aproximada de 860 m2, ubicado en el Barrio El Remanso, de la ciudad de San Martin de Los andes Pcia. De Neuquén, nomenclaturas catastrales (lotes madres): 15 RR 023 5026 / 5028, identificado internamente como LOTE RE12"/>
    <s v="Realizado"/>
    <s v="Conocido"/>
    <n v="36000"/>
    <x v="0"/>
    <x v="0"/>
    <s v="Dólares"/>
    <s v="Dólares"/>
    <m/>
    <s v="Argentina | Neuquen | Lacar | San Martin De Los Andes"/>
    <x v="1"/>
    <n v="2"/>
    <s v="Patagonia Lakes SMA"/>
    <s v="Propia (Único Asesor)"/>
    <x v="1"/>
    <s v="Venta"/>
    <x v="1"/>
    <s v="San Martín de los Andes"/>
  </r>
  <r>
    <d v="2025-03-17T00:00:00"/>
    <x v="1"/>
    <x v="9"/>
    <s v="CLA6351973"/>
    <x v="0"/>
    <s v="VENTA Lote/terreno de 407,04 m2, UF 25 loteo Quetrihue B° Selva Triste Villa la Angostura"/>
    <s v="Realizado"/>
    <s v="Conocido"/>
    <n v="38000"/>
    <x v="1"/>
    <x v="0"/>
    <s v="Dólares"/>
    <s v="Dólares"/>
    <s v="Quetrihue "/>
    <s v="Argentina | Neuquen | Villa La Angostura | Selva Triste"/>
    <x v="1"/>
    <n v="2"/>
    <s v="Patagonia Lakes VLA"/>
    <s v="Compartida en Oficina (Dos Asesores)"/>
    <x v="1"/>
    <s v="Venta"/>
    <x v="1"/>
    <s v="Villa La Angostura"/>
  </r>
  <r>
    <d v="2025-03-25T00:00:00"/>
    <x v="1"/>
    <x v="9"/>
    <s v="CLA6399702"/>
    <x v="0"/>
    <s v="Terreno 300 m2 Confluencia Neuquén "/>
    <s v="Realizado"/>
    <s v="AR ZonaProp"/>
    <n v="37000"/>
    <x v="1"/>
    <x v="0"/>
    <s v="Dólares"/>
    <s v="Dólares"/>
    <s v="Venta terreno 300 m2 Confluencia Neuquén"/>
    <s v="Argentina | Neuquen | Confluencia | Neuquen"/>
    <x v="1"/>
    <n v="2"/>
    <s v="Sensus"/>
    <s v="Compartida en Oficina (Dos Asesores)"/>
    <x v="1"/>
    <s v="Venta"/>
    <x v="1"/>
    <s v="Capital Neuquén"/>
  </r>
  <r>
    <d v="2025-03-10T00:00:00"/>
    <x v="1"/>
    <x v="9"/>
    <s v="Lote en carrodilla"/>
    <x v="0"/>
    <s v="Lote con obra gruesa en carrodilla"/>
    <s v="Realizado"/>
    <s v="Conocido"/>
    <n v="36500"/>
    <x v="1"/>
    <x v="0"/>
    <s v="Dólares"/>
    <s v="Dólares"/>
    <m/>
    <s v="Argentina | Mendoza | Lujan De Cuyo | Lujan De Cuyo | Carrodilla"/>
    <x v="1"/>
    <n v="1"/>
    <s v="Cuyo Real"/>
    <s v="Compartida Fuera de la Red Búsqueda"/>
    <x v="2"/>
    <s v="Venta"/>
    <x v="2"/>
    <s v="Capital Mendoza"/>
  </r>
  <r>
    <d v="2025-08-12T00:00:00"/>
    <x v="1"/>
    <x v="5"/>
    <s v="CAP7303870"/>
    <x v="1"/>
    <s v="Monoambiente en venta calle Constitución 1950 B San Cristóbal"/>
    <s v="Realizado"/>
    <s v="Referido"/>
    <n v="36500"/>
    <x v="1"/>
    <x v="0"/>
    <s v="Dólares"/>
    <s v="Dólares"/>
    <s v="Monoambiente en venta calle Constitución 1950 B San Cristóbal"/>
    <s v="Argentina | Capital Federal | San Cristobal "/>
    <x v="0"/>
    <n v="2"/>
    <s v="Golden Team"/>
    <s v="Profesional Referenciador (30%)"/>
    <x v="1"/>
    <s v="Venta"/>
    <x v="0"/>
    <s v="La Plata"/>
  </r>
  <r>
    <d v="2025-07-18T00:00:00"/>
    <x v="1"/>
    <x v="1"/>
    <s v="CAP6894585"/>
    <x v="0"/>
    <s v="VENTA MONOAMBIENTE SAN CRISTOBAL -APTO CREDITO- OPORTUNIDAD"/>
    <s v="Realizado"/>
    <s v="AR ZonaProp"/>
    <n v="38000"/>
    <x v="1"/>
    <x v="0"/>
    <s v="Dólares"/>
    <s v="Dólares"/>
    <s v="Constitucion al 1900"/>
    <s v="Argentina | Capital Federal | San Cristobal "/>
    <x v="0"/>
    <n v="2"/>
    <s v="Seniority"/>
    <s v="Profesional Referido (70%)"/>
    <x v="1"/>
    <s v="Venta"/>
    <x v="3"/>
    <s v="Barrio Parque"/>
  </r>
  <r>
    <d v="2025-01-17T00:00:00"/>
    <x v="1"/>
    <x v="10"/>
    <s v="Pola 2800"/>
    <x v="0"/>
    <s v="POLA 2855 DPTO 3"/>
    <s v="Realizado"/>
    <s v="AR ZonaProp"/>
    <n v="36500"/>
    <x v="1"/>
    <x v="0"/>
    <s v="Dólares"/>
    <s v="Dólares"/>
    <s v="POLA 2855 DPTO 3"/>
    <s v="Argentina | Capital Federal | Villa Lugano "/>
    <x v="3"/>
    <n v="2"/>
    <s v="Lion Team Norte"/>
    <s v="Propia (Único Asesor)"/>
    <x v="1"/>
    <s v="Venta"/>
    <x v="6"/>
    <s v="Vicente López"/>
  </r>
  <r>
    <d v="2025-10-22T00:00:00"/>
    <x v="1"/>
    <x v="11"/>
    <s v="Cuenca 4547"/>
    <x v="0"/>
    <s v="Cuenca 4547"/>
    <s v="Realizado"/>
    <s v="AR MercadoLibre"/>
    <n v="73000"/>
    <x v="1"/>
    <x v="0"/>
    <s v="Dólares"/>
    <s v="Dólares"/>
    <s v="Cuenca 4547"/>
    <s v="Argentina | Capital Federal | Capital Federal "/>
    <x v="0"/>
    <n v="2"/>
    <s v="Lion Team"/>
    <s v="Propia (Único Asesor)"/>
    <x v="1"/>
    <s v="Venta"/>
    <x v="3"/>
    <s v="Villa Urquiza"/>
  </r>
  <r>
    <d v="2025-04-21T00:00:00"/>
    <x v="1"/>
    <x v="3"/>
    <s v="CLA6351579"/>
    <x v="0"/>
    <s v="VENTA Lote/Terreno 407m2 UF24 loteo Quetrihue B° Selva Triste Villa la Angostura"/>
    <s v="Realizado"/>
    <s v="Web Coldwell-Banker"/>
    <n v="36000"/>
    <x v="2"/>
    <x v="0"/>
    <s v="Dólares"/>
    <s v="Dólares"/>
    <s v="Quetrihue "/>
    <s v="Argentina | Neuquen | Villa La Angostura | Selva Triste"/>
    <x v="1"/>
    <n v="2"/>
    <s v="Patagonia Lakes VLA"/>
    <s v="Compartida en Oficina (Dos Asesores)"/>
    <x v="1"/>
    <s v="Venta"/>
    <x v="1"/>
    <s v="Villa La Angostura"/>
  </r>
  <r>
    <d v="2025-12-05T00:00:00"/>
    <x v="1"/>
    <x v="8"/>
    <s v="Juan Manuel de Rosas 470"/>
    <x v="0"/>
    <s v="Juan Manuel de Rosas 470"/>
    <s v="Realizado"/>
    <s v="AR ZonaProp"/>
    <n v="37000"/>
    <x v="2"/>
    <x v="0"/>
    <s v="Dólares"/>
    <s v="Dólares"/>
    <s v="Juan Manuel de Rosas 470"/>
    <s v="Argentina | G.B.A. Zona Oeste | La Matanza | Lomas Del Mirador"/>
    <x v="0"/>
    <n v="2"/>
    <s v="Lion Team"/>
    <s v="Compartida en Oficina (Dos Asesores)"/>
    <x v="1"/>
    <s v="Venta"/>
    <x v="3"/>
    <s v="Villa Urquiza"/>
  </r>
  <r>
    <d v="2025-02-06T00:00:00"/>
    <x v="1"/>
    <x v="0"/>
    <m/>
    <x v="2"/>
    <s v="UF N° 23 de 407,04 m2 Loteo B, Loteo Quetrihue"/>
    <s v="Realizado"/>
    <s v="AR MercadoLibre"/>
    <n v="37000"/>
    <x v="2"/>
    <x v="0"/>
    <s v="Dólares"/>
    <s v="Dólares"/>
    <s v="Bv. Quetrihue y Bv. Amancay"/>
    <s v="Argentina | Neuquen | Villa La Angostura | Selva Triste"/>
    <x v="1"/>
    <n v="2"/>
    <s v="Patagonia Lakes VLA"/>
    <s v="Master"/>
    <x v="1"/>
    <s v="Venta"/>
    <x v="1"/>
    <s v="Villa La Angostura"/>
  </r>
  <r>
    <d v="2025-03-10T00:00:00"/>
    <x v="1"/>
    <x v="9"/>
    <s v="Santa Elisa Pilar del Este"/>
    <x v="2"/>
    <s v="Terreno en venta Barrio Santa Elisa Pilar del Este"/>
    <s v="Realizado"/>
    <s v="AR MercadoLibre"/>
    <n v="37000"/>
    <x v="2"/>
    <x v="0"/>
    <s v="Dólares"/>
    <s v="Dólares"/>
    <m/>
    <s v="Argentina | G.B.A. Zona Norte | Pilar | Countries/B.Cerrado (Pilar) | Pilar Del Este"/>
    <x v="1"/>
    <n v="2"/>
    <s v="North Team"/>
    <s v="Master"/>
    <x v="1"/>
    <s v="Venta"/>
    <x v="6"/>
    <s v="Pilar"/>
  </r>
  <r>
    <d v="2025-06-26T00:00:00"/>
    <x v="1"/>
    <x v="4"/>
    <s v="N/C - URUGUAY 847"/>
    <x v="0"/>
    <s v="VENTA DPTO MONOAMBIENTE RECOLETA"/>
    <s v="Realizado"/>
    <s v="AR ZonaProp"/>
    <n v="37000"/>
    <x v="2"/>
    <x v="0"/>
    <s v="Dólares"/>
    <s v="Dólares"/>
    <s v="URUGUAY 847"/>
    <s v="Argentina | Capital Federal | Recoleta "/>
    <x v="0"/>
    <n v="1"/>
    <s v="Destino II"/>
    <s v="Compartida Fuera de la Red Búsqueda"/>
    <x v="2"/>
    <s v="Venta"/>
    <x v="3"/>
    <s v="Recoleta"/>
  </r>
  <r>
    <d v="2025-06-12T00:00:00"/>
    <x v="1"/>
    <x v="4"/>
    <s v="CLO6758717"/>
    <x v="0"/>
    <s v="Local en  Venta"/>
    <s v="Realizado"/>
    <s v="AR ArgenProp"/>
    <n v="39000"/>
    <x v="2"/>
    <x v="0"/>
    <s v="Dólares"/>
    <s v="Dólares"/>
    <s v="Montevideo al 700"/>
    <s v="Argentina | Capital Federal | Centro (Capital Federal) | Tribunales"/>
    <x v="4"/>
    <n v="2"/>
    <s v="Ser"/>
    <s v="Compartida Fuera de la Red Captación Propia"/>
    <x v="0"/>
    <s v="Venta"/>
    <x v="3"/>
    <s v="Belgrano"/>
  </r>
  <r>
    <d v="2025-12-01T00:00:00"/>
    <x v="1"/>
    <x v="8"/>
    <s v="CAP7382562"/>
    <x v="0"/>
    <s v="Monoambiente en venta en Palermo Soho."/>
    <s v="Realizado"/>
    <s v="AR ZonaProp"/>
    <n v="40000"/>
    <x v="2"/>
    <x v="0"/>
    <s v="Dólares"/>
    <s v="Dólares"/>
    <s v="Fray Justo Santa Maria de Oro  al 2200, y Charcas"/>
    <s v="Argentina | Capital Federal | Palermo | Palermo Soho"/>
    <x v="0"/>
    <n v="2"/>
    <s v="Wings"/>
    <s v="Compartida Fuera de la Red Captación Propia"/>
    <x v="0"/>
    <s v="Venta"/>
    <x v="3"/>
    <s v="Núñez"/>
  </r>
  <r>
    <d v="2025-03-10T00:00:00"/>
    <x v="1"/>
    <x v="9"/>
    <s v="CHO6692253"/>
    <x v="0"/>
    <s v="Casa en Venta en La Silleta "/>
    <s v="Realizado"/>
    <s v="Facebook"/>
    <n v="42000"/>
    <x v="2"/>
    <x v="0"/>
    <s v="Dólares"/>
    <s v="Dólares"/>
    <s v="Barrio Justo Juez, calle Avelino Araoz esquina Gregorio Moreno "/>
    <s v="Argentina | Salta | Rosario De Lerma | La Silleta"/>
    <x v="2"/>
    <n v="2"/>
    <s v="Realty Group"/>
    <s v="Propia (Único Asesor)"/>
    <x v="1"/>
    <s v="Venta"/>
    <x v="4"/>
    <s v="San Lorenzo Chico"/>
  </r>
  <r>
    <d v="2025-04-29T00:00:00"/>
    <x v="1"/>
    <x v="3"/>
    <s v="CHO6871958"/>
    <x v="0"/>
    <s v="Departamento en Tres Cerritos"/>
    <s v="Realizado"/>
    <s v="Facebook"/>
    <n v="40000"/>
    <x v="2"/>
    <x v="0"/>
    <s v="Dólares"/>
    <s v="Dólares"/>
    <s v="Los Parrales  al 400"/>
    <s v="Argentina | Salta | Capital | Salta | Bo.Tres Cerritos"/>
    <x v="0"/>
    <n v="2"/>
    <s v="Realty Group"/>
    <s v="Propia (Único Asesor)"/>
    <x v="1"/>
    <s v="Venta"/>
    <x v="4"/>
    <s v="San Lorenzo Chico"/>
  </r>
  <r>
    <d v="2025-06-19T00:00:00"/>
    <x v="1"/>
    <x v="4"/>
    <s v="CLA6367239"/>
    <x v="0"/>
    <s v="BARRIO GARCIA BAYON - NEUQUEN CAPITAL"/>
    <s v="Realizado"/>
    <s v="AR ZonaProp"/>
    <n v="37000"/>
    <x v="2"/>
    <x v="0"/>
    <s v="Dólares"/>
    <s v="Dólares"/>
    <s v="TERRENO GARCIA BAYON "/>
    <s v="Argentina | Neuquen | Capital "/>
    <x v="1"/>
    <n v="2"/>
    <s v="Sensus"/>
    <s v="Propia (Único Asesor)"/>
    <x v="1"/>
    <s v="Venta"/>
    <x v="1"/>
    <s v="Capital Neuquén"/>
  </r>
  <r>
    <d v="2026-01-30T00:00:00"/>
    <x v="0"/>
    <x v="10"/>
    <s v="CAP6526820"/>
    <x v="0"/>
    <s v="Departamento Ideal para renta, Venta 3 dormitorios y cochera "/>
    <s v="Realizado"/>
    <s v="Conocido"/>
    <n v="40000"/>
    <x v="2"/>
    <x v="0"/>
    <s v="Dólares"/>
    <s v="Dólares"/>
    <s v="Ideal para renta, Departamento 3 dormitorios y cochera"/>
    <s v="Argentina | Santa Fe | La Capital | Santo Tome | Sargento Cabral"/>
    <x v="0"/>
    <n v="2"/>
    <s v="De la Veracruz"/>
    <s v="Propia (Único Asesor)"/>
    <x v="1"/>
    <s v="Venta"/>
    <x v="5"/>
    <s v="Capital Santa Fe"/>
  </r>
  <r>
    <d v="2026-02-09T00:00:00"/>
    <x v="0"/>
    <x v="0"/>
    <s v="CLA6306352"/>
    <x v="0"/>
    <s v="Terreno  de 436m2 en Dina Huapi con vista al Cerro Leones"/>
    <s v="Realizado"/>
    <s v="Teléfono"/>
    <n v="38500"/>
    <x v="2"/>
    <x v="0"/>
    <s v="Dólares"/>
    <s v="Dólares"/>
    <s v="Dina Hue, Dina Huapi"/>
    <s v="Argentina | Rio Negro | Pilcaniyeu | Dina Huapi"/>
    <x v="1"/>
    <n v="2"/>
    <s v="Patagonia Lakes BRC"/>
    <s v="Propia (Único Asesor)"/>
    <x v="1"/>
    <s v="Venta"/>
    <x v="7"/>
    <s v="Bariloche"/>
  </r>
  <r>
    <d v="2025-07-01T00:00:00"/>
    <x v="1"/>
    <x v="1"/>
    <s v="CHO6782984"/>
    <x v="2"/>
    <s v="Venta Casa San Martin de los Andes 72m2 Construidos a Terminar barrio Kaleuche alto"/>
    <s v="Realizado"/>
    <s v="Facebook"/>
    <n v="45000"/>
    <x v="3"/>
    <x v="0"/>
    <s v="Dólares"/>
    <s v="Dólares"/>
    <s v="Paseo de los Músicos"/>
    <s v="Argentina | Neuquen | Lacar | San Martin De Los Andes | Kaleuche"/>
    <x v="2"/>
    <n v="2"/>
    <s v="Patagonia Lakes SMA"/>
    <s v="Master"/>
    <x v="1"/>
    <s v="Venta"/>
    <x v="1"/>
    <s v="San Martín de los Andes"/>
  </r>
  <r>
    <d v="2025-04-07T00:00:00"/>
    <x v="1"/>
    <x v="3"/>
    <s v="CLO6045228"/>
    <x v="0"/>
    <s v="BARRACAS LOCAL EN VENTA SIN EXPENSAS  CON ALTILLO EN BARRACAS"/>
    <s v="Realizado"/>
    <s v="AR ZonaProp"/>
    <n v="40000"/>
    <x v="3"/>
    <x v="0"/>
    <s v="Dólares"/>
    <s v="Dólares"/>
    <s v="LOS PATOS al 1800"/>
    <s v="Argentina | Capital Federal | Barracas "/>
    <x v="4"/>
    <n v="2"/>
    <s v="Lion Team Norte"/>
    <s v="Propia (Único Asesor)"/>
    <x v="1"/>
    <s v="Venta"/>
    <x v="6"/>
    <s v="Vicente López"/>
  </r>
  <r>
    <d v="2025-07-14T00:00:00"/>
    <x v="1"/>
    <x v="1"/>
    <s v="CAP7125750"/>
    <x v="0"/>
    <s v="DEPARTAMENTO 3 AMBIENTES EN VENTA EN PARQUE AVELLANEDA"/>
    <s v="Realizado"/>
    <s v="AR MercadoLibre"/>
    <n v="85000"/>
    <x v="3"/>
    <x v="0"/>
    <s v="Dólares"/>
    <s v="Dólares"/>
    <s v="Juan B, Alberdi  al 4800"/>
    <s v="Argentina | Capital Federal | Parque Avellaneda "/>
    <x v="0"/>
    <n v="2"/>
    <s v="Lion Team"/>
    <s v="Propia (Único Asesor)"/>
    <x v="1"/>
    <s v="Venta"/>
    <x v="3"/>
    <s v="Villa Urquiza"/>
  </r>
  <r>
    <d v="2025-07-15T00:00:00"/>
    <x v="1"/>
    <x v="1"/>
    <s v="Ortega y Gasset 1898"/>
    <x v="0"/>
    <s v="Ortega y Gasset 1898"/>
    <s v="Realizado"/>
    <s v="AR MercadoLibre"/>
    <n v="37500"/>
    <x v="3"/>
    <x v="0"/>
    <s v="Dólares"/>
    <s v="Dólares"/>
    <s v="Ortega y Gasset 1898"/>
    <s v="Argentina | G.B.A. Zona Norte | San Isidro | Martinez"/>
    <x v="0"/>
    <n v="2"/>
    <s v="Lion Team"/>
    <s v="Propia (Único Asesor)"/>
    <x v="1"/>
    <s v="Venta"/>
    <x v="3"/>
    <s v="Villa Urquiza"/>
  </r>
  <r>
    <d v="2026-01-07T00:00:00"/>
    <x v="0"/>
    <x v="10"/>
    <s v="CAP7267763"/>
    <x v="0"/>
    <s v="venta Departamento monoambiente en Monserrat"/>
    <s v="Realizado"/>
    <s v="AR ZonaProp"/>
    <n v="38000"/>
    <x v="3"/>
    <x v="0"/>
    <s v="Dólares"/>
    <s v="Dólares"/>
    <s v="Montevideo al 100"/>
    <s v="Argentina | Capital Federal | Monserrat "/>
    <x v="0"/>
    <n v="2"/>
    <s v="Seniority"/>
    <s v="Propia (Único Asesor)"/>
    <x v="1"/>
    <s v="Venta"/>
    <x v="3"/>
    <s v="Barrio Parque"/>
  </r>
  <r>
    <d v="2026-03-12T00:00:00"/>
    <x v="0"/>
    <x v="9"/>
    <s v="CLA7644749"/>
    <x v="0"/>
    <s v="Terreno en esquina, Cinco Soles"/>
    <s v="Realizado"/>
    <s v="Conocido"/>
    <n v="37000"/>
    <x v="3"/>
    <x v="0"/>
    <s v="Dólares"/>
    <s v="Dólares"/>
    <s v="Venta lote 554 m2- Cinco Soles B° privado- Ruta 151, Cinco Saltos"/>
    <s v="Argentina | Rio Negro | General Roca | Cinco Saltos"/>
    <x v="1"/>
    <n v="2"/>
    <s v="Sensus"/>
    <s v="Propia (Único Asesor)"/>
    <x v="1"/>
    <s v="Venta"/>
    <x v="1"/>
    <s v="Capital Neuquén"/>
  </r>
  <r>
    <d v="2026-03-27T00:00:00"/>
    <x v="0"/>
    <x v="9"/>
    <s v="CAP7734188"/>
    <x v="0"/>
    <s v="depto en alquiler en temperley, 3 ambientes en alquiler, a estrenar, amenities, zona sur"/>
    <s v="Realizado"/>
    <s v="AR ArgenProp"/>
    <n v="750000"/>
    <x v="3"/>
    <x v="0"/>
    <s v="Dólares"/>
    <s v="Local"/>
    <s v="CANGALLO al 400"/>
    <s v="Argentina | G.B.A. Zona Sur | Lomas De Zamora (Partido) | Temperley | Temperley Este"/>
    <x v="0"/>
    <n v="2"/>
    <s v="Lion Team"/>
    <s v="Propia (Único Asesor)"/>
    <x v="1"/>
    <s v="Venta"/>
    <x v="3"/>
    <s v="Villa Urquiza"/>
  </r>
  <r>
    <d v="2025-06-30T00:00:00"/>
    <x v="1"/>
    <x v="4"/>
    <s v="CBA47695 LA6353622"/>
    <x v="0"/>
    <s v="VENTA terreno de 337m2 en LOTEO &quot;ANTIGUO CAMINO&quot; Bariloche"/>
    <s v="Realizado"/>
    <s v="Teléfono"/>
    <n v="41760"/>
    <x v="4"/>
    <x v="0"/>
    <s v="Dólares"/>
    <s v="Dólares"/>
    <s v="Antiguo Camino, San Carlos de Bariloche"/>
    <s v="Argentina | Rio Negro | Bariloche | San Carlos De Bariloche | Lago Moreno"/>
    <x v="1"/>
    <n v="2"/>
    <s v="Patagonia Lakes BRC"/>
    <s v="Compartida en Oficina (Dos Asesores)"/>
    <x v="1"/>
    <s v="Venta"/>
    <x v="7"/>
    <s v="Bariloche"/>
  </r>
  <r>
    <d v="2025-10-10T00:00:00"/>
    <x v="1"/>
    <x v="11"/>
    <m/>
    <x v="0"/>
    <s v="Lote 12 MZ E  Barrio Piedras de San  Francisco,NC 1525 051 7962 0000, 1000 m2, 20m x 50, SMA"/>
    <s v="Realizado"/>
    <s v="Web Coldwell-Banker"/>
    <n v="38000"/>
    <x v="5"/>
    <x v="0"/>
    <s v="Dólares"/>
    <s v="Dólares"/>
    <s v="Piedra San Francisco"/>
    <s v="Argentina | Neuquen | Lacar | San Martin De Los Andes"/>
    <x v="1"/>
    <n v="1"/>
    <s v="Patagonia Lakes SMA"/>
    <s v="(Interior) Compartida Fuera de la Red Búsqueda"/>
    <x v="2"/>
    <s v="Venta"/>
    <x v="1"/>
    <s v="San Martín de los Andes"/>
  </r>
  <r>
    <d v="2025-02-17T00:00:00"/>
    <x v="1"/>
    <x v="0"/>
    <s v="CLA6351579"/>
    <x v="0"/>
    <s v="VENTA Lote/Terreno 407m2 UF24 loteo Quetrihue B° Selva Triste Villa la Angostura"/>
    <s v="Realizado"/>
    <s v="Web Coldwell-Banker"/>
    <n v="36000"/>
    <x v="5"/>
    <x v="0"/>
    <s v="Dólares"/>
    <s v="Dólares"/>
    <s v="Quetrihue "/>
    <s v="Argentina | Neuquen | Villa La Angostura | Selva Triste"/>
    <x v="1"/>
    <n v="2"/>
    <s v="Patagonia Lakes VLA"/>
    <s v="Compartida en Oficina (Dos Asesores)"/>
    <x v="1"/>
    <s v="Venta"/>
    <x v="1"/>
    <s v="Villa La Angostura"/>
  </r>
  <r>
    <d v="2025-04-23T00:00:00"/>
    <x v="1"/>
    <x v="3"/>
    <s v="CHO6089217"/>
    <x v="0"/>
    <s v="Casa en  venta en Villa Mitre"/>
    <s v="Realizado"/>
    <s v="Facebook"/>
    <n v="40000"/>
    <x v="5"/>
    <x v="0"/>
    <s v="Dólares"/>
    <s v="Dólares"/>
    <s v="Villa Mitre"/>
    <s v="Argentina | Salta | Capital | Salta | Va.Mitre"/>
    <x v="2"/>
    <n v="2"/>
    <s v="Realty Group"/>
    <s v="Compartida en Oficina (Dos Asesores)"/>
    <x v="1"/>
    <s v="Venta"/>
    <x v="4"/>
    <s v="San Lorenzo Chico"/>
  </r>
  <r>
    <d v="2026-01-16T00:00:00"/>
    <x v="0"/>
    <x v="10"/>
    <m/>
    <x v="0"/>
    <s v="UF 5 Loteo B Quetrihue"/>
    <s v="Realizado"/>
    <s v="AR ZonaProp"/>
    <n v="38000"/>
    <x v="5"/>
    <x v="0"/>
    <s v="Dólares"/>
    <s v="Dólares"/>
    <s v="Bv, quetrihue y amancay"/>
    <s v="Argentina | Neuquen | Villa La Angostura | Selva Triste"/>
    <x v="1"/>
    <n v="2"/>
    <s v="Patagonia Lakes VLA"/>
    <s v="Compartida en Oficina (Dos Asesores)"/>
    <x v="1"/>
    <s v="Venta"/>
    <x v="1"/>
    <s v="Villa La Angostura"/>
  </r>
  <r>
    <d v="2026-02-21T00:00:00"/>
    <x v="0"/>
    <x v="0"/>
    <m/>
    <x v="0"/>
    <s v="UF 4 Loteo C Quetrihue"/>
    <s v="Realizado"/>
    <s v="Conocido"/>
    <n v="38000"/>
    <x v="5"/>
    <x v="0"/>
    <s v="Dólares"/>
    <s v="Dólares"/>
    <s v="Bv. Quetrihue y Amancay"/>
    <s v="Argentina | Neuquen | Villa La Angostura | Selva Triste"/>
    <x v="1"/>
    <n v="2"/>
    <s v="Patagonia Lakes VLA"/>
    <s v="Compartida en Oficina (Dos Asesores)"/>
    <x v="1"/>
    <s v="Venta"/>
    <x v="1"/>
    <s v="Villa La Angostura"/>
  </r>
  <r>
    <d v="2026-03-06T00:00:00"/>
    <x v="0"/>
    <x v="9"/>
    <s v="CBA59141 LA7277567"/>
    <x v="0"/>
    <s v="VENTA Lote/terreno Villa La Angostura 374 m2, Loteo Quetrihue, Vista a las montañas, Selvana Triste."/>
    <s v="Realizado"/>
    <s v="Conocido"/>
    <n v="40700"/>
    <x v="5"/>
    <x v="0"/>
    <s v="Dólares"/>
    <s v="Dólares"/>
    <s v="Blvd Quetrihue y Blvd Amancay"/>
    <s v="Argentina | Neuquen | Villa La Angostura | Selva Triste"/>
    <x v="1"/>
    <n v="2"/>
    <s v="Patagonia Lakes VLA"/>
    <s v="Compartida en Oficina (Dos Asesores)"/>
    <x v="1"/>
    <s v="Venta"/>
    <x v="1"/>
    <s v="Villa La Angostura"/>
  </r>
  <r>
    <d v="2025-06-09T00:00:00"/>
    <x v="1"/>
    <x v="4"/>
    <m/>
    <x v="0"/>
    <s v="UF 8 Loteo Quetrihue Loteo A"/>
    <s v="Realizado"/>
    <s v="AR ZonaProp"/>
    <n v="38000"/>
    <x v="5"/>
    <x v="0"/>
    <s v="Dólares"/>
    <s v="Dólares"/>
    <s v="Bv. Quetrihue y Amancay"/>
    <s v="Argentina | Neuquen | Villa La Angostura | Selva Triste"/>
    <x v="1"/>
    <n v="2"/>
    <s v="Patagonia Lakes VLA"/>
    <s v="Compartida en Oficina (Dos Asesores)"/>
    <x v="1"/>
    <s v="Venta"/>
    <x v="1"/>
    <s v="Villa La Angostura"/>
  </r>
  <r>
    <d v="2025-06-19T00:00:00"/>
    <x v="1"/>
    <x v="4"/>
    <s v="CLA6630574"/>
    <x v="2"/>
    <s v="VENTA terreno/lote, 600 m2, San Carlos de Bariloche"/>
    <s v="Realizado"/>
    <s v="Referido"/>
    <n v="48000"/>
    <x v="5"/>
    <x v="0"/>
    <s v="Dólares"/>
    <s v="Dólares"/>
    <s v="Venta Lote de 600 m2 en barrio privado Solares del este, San Carlos de Bariloche"/>
    <s v="Argentina | Rio Negro | Bariloche | Solares del este"/>
    <x v="1"/>
    <n v="2"/>
    <s v="Patagonia Lakes BRC"/>
    <s v="Master"/>
    <x v="1"/>
    <s v="Venta"/>
    <x v="7"/>
    <s v="Bariloche"/>
  </r>
  <r>
    <d v="2025-05-14T00:00:00"/>
    <x v="1"/>
    <x v="2"/>
    <s v="CAP6411494"/>
    <x v="0"/>
    <s v="VENTA depto monoambiente divisible apto profesional en San Nicolás"/>
    <s v="Realizado"/>
    <s v="AR ZonaProp"/>
    <n v="39000"/>
    <x v="5"/>
    <x v="0"/>
    <s v="Dólares"/>
    <s v="Dólares"/>
    <s v="Libertad  al 300"/>
    <s v="Argentina | Capital Federal | San Nicolás "/>
    <x v="0"/>
    <n v="2"/>
    <s v="Seniority"/>
    <s v="Propia (Único Asesor)"/>
    <x v="1"/>
    <s v="Venta"/>
    <x v="3"/>
    <s v="Barrio Parque"/>
  </r>
  <r>
    <d v="2025-05-26T00:00:00"/>
    <x v="1"/>
    <x v="2"/>
    <s v="CLA6243456"/>
    <x v="0"/>
    <s v="VENTA Lote/Terreno 600 m2 Barrio Los Manzanos - San Martin de los Andes"/>
    <s v="Realizado"/>
    <s v="Instagram"/>
    <n v="38000"/>
    <x v="5"/>
    <x v="0"/>
    <s v="Dólares"/>
    <s v="Dólares"/>
    <s v="cascada rio bonito  al 300"/>
    <s v="Argentina | Neuquen | Lacar | San Martin De Los Andes | Chacra 28"/>
    <x v="1"/>
    <n v="2"/>
    <s v="Patagonia Lakes SMA"/>
    <s v="Propia (Único Asesor)"/>
    <x v="1"/>
    <s v="Venta"/>
    <x v="1"/>
    <s v="San Martín de los Andes"/>
  </r>
  <r>
    <d v="2025-07-31T00:00:00"/>
    <x v="1"/>
    <x v="1"/>
    <s v="CAP6859449"/>
    <x v="0"/>
    <s v="VENTA departamento dos ambientes apto crédito"/>
    <s v="Realizado"/>
    <s v="AR ArgenProp"/>
    <n v="40000"/>
    <x v="5"/>
    <x v="0"/>
    <s v="Dólares"/>
    <s v="Dólares"/>
    <s v="Gambaro al 200"/>
    <s v="Argentina | G.B.A. Zona Oeste | Hurlingham | Villa Santos Tesei"/>
    <x v="0"/>
    <n v="2"/>
    <s v="Lion Team"/>
    <s v="Propia (Único Asesor)"/>
    <x v="1"/>
    <s v="Venta"/>
    <x v="3"/>
    <s v="Villa Urquiza"/>
  </r>
  <r>
    <d v="2025-08-27T00:00:00"/>
    <x v="1"/>
    <x v="5"/>
    <s v="CHO7006377"/>
    <x v="0"/>
    <s v="VENTA CASA EN VOLCAN"/>
    <s v="Realizado"/>
    <s v="Conocido"/>
    <n v="40000"/>
    <x v="5"/>
    <x v="0"/>
    <s v="Dólares"/>
    <s v="Dólares"/>
    <s v="Mariano Moreno  al 100"/>
    <s v="Argentina | Jujuy | Tumbaya "/>
    <x v="2"/>
    <n v="2"/>
    <s v="Plaza"/>
    <s v="Propia (Único Asesor)"/>
    <x v="1"/>
    <s v="Venta"/>
    <x v="8"/>
    <s v="Capital Jujuy"/>
  </r>
  <r>
    <d v="2025-10-17T00:00:00"/>
    <x v="1"/>
    <x v="11"/>
    <s v="Boticelli 4719"/>
    <x v="0"/>
    <s v="Boticelli 4719"/>
    <s v="Realizado"/>
    <s v="AR ArgenProp"/>
    <n v="38000"/>
    <x v="5"/>
    <x v="0"/>
    <s v="Dólares"/>
    <s v="Dólares"/>
    <s v="Boticelli 4719"/>
    <s v="Argentina | G.B.A. Zona Norte | Pilar "/>
    <x v="0"/>
    <n v="2"/>
    <s v="Lion Team"/>
    <s v="Propia (Único Asesor)"/>
    <x v="1"/>
    <s v="Venta"/>
    <x v="3"/>
    <s v="Villa Urquiza"/>
  </r>
  <r>
    <d v="2025-10-24T00:00:00"/>
    <x v="1"/>
    <x v="11"/>
    <s v="Rosas Castillo 2800"/>
    <x v="0"/>
    <s v="Rosas Castillo 2800"/>
    <s v="Realizado"/>
    <s v="AR MercadoLibre"/>
    <n v="38000"/>
    <x v="5"/>
    <x v="0"/>
    <s v="Dólares"/>
    <s v="Dólares"/>
    <s v="Rosas Castillo 2800"/>
    <s v="Argentina | Interior Buenos Aires | Balcarce "/>
    <x v="0"/>
    <n v="2"/>
    <s v="Lion Team"/>
    <s v="Propia (Único Asesor)"/>
    <x v="1"/>
    <s v="Venta"/>
    <x v="3"/>
    <s v="Villa Urquiza"/>
  </r>
  <r>
    <d v="2026-01-07T00:00:00"/>
    <x v="0"/>
    <x v="10"/>
    <s v="CAP7474209"/>
    <x v="0"/>
    <s v="Departamento en  Ciudadela"/>
    <s v="Realizado"/>
    <s v="AR ZonaProp"/>
    <n v="40500"/>
    <x v="5"/>
    <x v="0"/>
    <s v="Dólares"/>
    <s v="Dólares"/>
    <s v="Avenida Republica  al 400"/>
    <s v="Argentina | G.B.A. Zona Oeste | Tres De Febrero | Ciudadela"/>
    <x v="0"/>
    <n v="2"/>
    <s v="Destino"/>
    <s v="Propia (Único Asesor)"/>
    <x v="1"/>
    <s v="Venta"/>
    <x v="3"/>
    <s v="Recoleta"/>
  </r>
  <r>
    <d v="2026-01-23T00:00:00"/>
    <x v="0"/>
    <x v="10"/>
    <s v="CBA59141 LA7272080"/>
    <x v="0"/>
    <s v="VENTA Lote/terreno Villa La Angostura 374 m2, Loteo Quetrihue, Vista a las montañas, Selvana Triste."/>
    <s v="Realizado"/>
    <s v="Referido"/>
    <n v="42735"/>
    <x v="5"/>
    <x v="0"/>
    <s v="Dólares"/>
    <s v="Dólares"/>
    <s v="Blvd Quetrihue y Blvd Amancay"/>
    <s v="Argentina | Neuquen | Villa La Angostura | Selva Triste"/>
    <x v="1"/>
    <n v="2"/>
    <s v="Patagonia Lakes VLA"/>
    <s v="Propia (Único Asesor)"/>
    <x v="1"/>
    <s v="Venta"/>
    <x v="1"/>
    <s v="Villa La Angostura"/>
  </r>
  <r>
    <d v="2026-01-27T00:00:00"/>
    <x v="0"/>
    <x v="10"/>
    <s v="CBA59141 LA7272078"/>
    <x v="0"/>
    <s v="VENTA Lote/terreno Villa La Angostura 374 m2, Loteo Quetrihue, Vista a las montañas, Selvana Triste."/>
    <s v="Realizado"/>
    <s v="Teléfono"/>
    <n v="40700"/>
    <x v="5"/>
    <x v="0"/>
    <s v="Dólares"/>
    <s v="Dólares"/>
    <s v="Blvd Quetrihue y Blvd Amancay"/>
    <s v="Argentina | Neuquen | Villa La Angostura | Selva Triste"/>
    <x v="1"/>
    <n v="2"/>
    <s v="Patagonia Lakes VLA"/>
    <s v="Propia (Único Asesor)"/>
    <x v="1"/>
    <s v="Venta"/>
    <x v="1"/>
    <s v="Villa La Angostura"/>
  </r>
  <r>
    <d v="2025-05-15T00:00:00"/>
    <x v="1"/>
    <x v="2"/>
    <m/>
    <x v="0"/>
    <s v="Lavalle 1131 - Remax Express - Leo Maroni"/>
    <s v="Realizado"/>
    <s v="AR ZonaProp"/>
    <n v="38500"/>
    <x v="6"/>
    <x v="0"/>
    <s v="Dólares"/>
    <s v="Dólares"/>
    <s v="Lavalle 1131"/>
    <s v="Argentina | Capital Federal | Palermo "/>
    <x v="0"/>
    <n v="1"/>
    <s v="Destino"/>
    <s v="Compartida Fuera de la Red Búsqueda"/>
    <x v="2"/>
    <s v="Venta"/>
    <x v="3"/>
    <s v="Recoleta"/>
  </r>
  <r>
    <d v="2025-06-13T00:00:00"/>
    <x v="1"/>
    <x v="4"/>
    <m/>
    <x v="1"/>
    <s v="UF 19 Loteo Quetrihue Loteo A"/>
    <s v="Realizado"/>
    <s v="Salón"/>
    <n v="38735"/>
    <x v="7"/>
    <x v="0"/>
    <s v="Dólares"/>
    <s v="Dólares"/>
    <s v="Bv. Quetrihue y Amancay"/>
    <s v="Argentina | Neuquen | Villa La Angostura | Selva Triste"/>
    <x v="1"/>
    <n v="2"/>
    <s v="Patagonia Lakes VLA"/>
    <s v="Master"/>
    <x v="1"/>
    <s v="Venta"/>
    <x v="1"/>
    <s v="Villa La Angostura"/>
  </r>
  <r>
    <d v="2025-12-29T00:00:00"/>
    <x v="1"/>
    <x v="8"/>
    <s v="CAP7270855"/>
    <x v="0"/>
    <s v="Departamento en Esperanza"/>
    <s v="Realizado"/>
    <s v="Referido"/>
    <n v="45000"/>
    <x v="8"/>
    <x v="0"/>
    <s v="Dólares"/>
    <s v="Dólares"/>
    <s v="Deoartamento en planta alta, en ciudad de Esperanza"/>
    <s v="Argentina | Santa Fe | Las Colonias | Esperanza"/>
    <x v="0"/>
    <n v="1"/>
    <s v="De la Veracruz"/>
    <s v="(Interior) Compartida Fuera de la Red Captación Propia"/>
    <x v="0"/>
    <s v="Venta"/>
    <x v="5"/>
    <s v="Capital Santa Fe"/>
  </r>
  <r>
    <d v="2025-04-29T00:00:00"/>
    <x v="1"/>
    <x v="3"/>
    <m/>
    <x v="1"/>
    <s v="UF 9 Loteo Quetrihue Loteo A"/>
    <s v="Realizado"/>
    <s v="Conocido"/>
    <n v="39000"/>
    <x v="8"/>
    <x v="0"/>
    <s v="Dólares"/>
    <s v="Dólares"/>
    <s v="Bv. Quetrihue y Amancay"/>
    <s v="Argentina | Neuquen | Villa La Angostura | Puerto"/>
    <x v="1"/>
    <n v="2"/>
    <s v="Patagonia Lakes VLA"/>
    <s v="Compartida en Oficina (Dos Asesores)"/>
    <x v="1"/>
    <s v="Venta"/>
    <x v="1"/>
    <s v="Villa La Angostura"/>
  </r>
  <r>
    <d v="2025-03-18T00:00:00"/>
    <x v="1"/>
    <x v="9"/>
    <s v="AAP6667782"/>
    <x v="0"/>
    <s v="Departamento monoambiente en San Nicolás"/>
    <s v="Realizado"/>
    <s v="AR ArgenProp"/>
    <n v="39500"/>
    <x v="8"/>
    <x v="0"/>
    <s v="Dólares"/>
    <s v="Dólares"/>
    <s v="Viamonte 800"/>
    <s v="Argentina | Capital Federal | San Nicolás "/>
    <x v="0"/>
    <n v="2"/>
    <s v="Desiderio"/>
    <s v="Compartida Fuera de la Red Captación Propia"/>
    <x v="0"/>
    <s v="Venta"/>
    <x v="3"/>
    <s v="Caballito"/>
  </r>
  <r>
    <d v="2025-05-08T00:00:00"/>
    <x v="1"/>
    <x v="2"/>
    <s v="CAP4510385"/>
    <x v="0"/>
    <s v="Oportunidad Venta Departamento 4 amb 82M2"/>
    <s v="Realizado"/>
    <s v="Referido"/>
    <n v="45000"/>
    <x v="8"/>
    <x v="0"/>
    <s v="Dólares"/>
    <s v="Dólares"/>
    <s v="MANGE 822"/>
    <s v="Argentina | Rio Negro | Bariloche "/>
    <x v="0"/>
    <n v="2"/>
    <s v="Patagonia Lakes BRC"/>
    <s v="Propia (Único Asesor)"/>
    <x v="1"/>
    <s v="Venta"/>
    <x v="7"/>
    <s v="Bariloche"/>
  </r>
  <r>
    <d v="2025-07-30T00:00:00"/>
    <x v="1"/>
    <x v="1"/>
    <s v="CAP6400410"/>
    <x v="0"/>
    <s v="Departamento en venta ubicado en Barrio El Bosque"/>
    <s v="Realizado"/>
    <s v="Facebook"/>
    <n v="40000"/>
    <x v="8"/>
    <x v="0"/>
    <s v="Dólares"/>
    <s v="Dólares"/>
    <s v="El Bosque "/>
    <s v="Argentina | Salta | Capital | Salta"/>
    <x v="0"/>
    <n v="2"/>
    <s v="Realty Group"/>
    <s v="Propia (Único Asesor)"/>
    <x v="1"/>
    <s v="Venta"/>
    <x v="4"/>
    <s v="San Lorenzo Chico"/>
  </r>
  <r>
    <d v="2025-10-23T00:00:00"/>
    <x v="1"/>
    <x v="11"/>
    <s v="CPH7050534"/>
    <x v="0"/>
    <s v="VENTA PH 2 AMBIENTES Y ENTREPISO, BALCON, LUMINOSO, APTO CREDITO"/>
    <s v="Realizado"/>
    <s v="AR ZonaProp"/>
    <n v="44000"/>
    <x v="8"/>
    <x v="0"/>
    <s v="Dólares"/>
    <s v="Dólares"/>
    <s v="PORTELA al 1700"/>
    <s v="Argentina | Capital Federal | Flores "/>
    <x v="3"/>
    <n v="2"/>
    <s v="Seniority"/>
    <s v="Propia (Único Asesor)"/>
    <x v="1"/>
    <s v="Venta"/>
    <x v="3"/>
    <s v="Barrio Parque"/>
  </r>
  <r>
    <d v="2026-02-25T00:00:00"/>
    <x v="0"/>
    <x v="0"/>
    <s v="Boticelli 4719"/>
    <x v="0"/>
    <s v="Boticelli 4719"/>
    <s v="Realizado"/>
    <s v="AR MercadoLibre"/>
    <n v="38000"/>
    <x v="8"/>
    <x v="0"/>
    <s v="Dólares"/>
    <s v="Dólares"/>
    <s v="Boticelli 4719"/>
    <s v="Argentina | G.B.A. Zona Norte | Pilar "/>
    <x v="0"/>
    <n v="2"/>
    <s v="Lion Team"/>
    <s v="Propia (Único Asesor)"/>
    <x v="1"/>
    <s v="Venta"/>
    <x v="3"/>
    <s v="Villa Urquiza"/>
  </r>
  <r>
    <d v="2025-12-05T00:00:00"/>
    <x v="1"/>
    <x v="8"/>
    <s v="INCLAN 4278"/>
    <x v="0"/>
    <s v="INCLAN 4278"/>
    <s v="Realizado"/>
    <s v="AR ZonaProp"/>
    <n v="39500"/>
    <x v="9"/>
    <x v="0"/>
    <s v="Dólares"/>
    <s v="Dólares"/>
    <s v="INCLAN 4278"/>
    <s v="Argentina | Capital Federal | Boedo "/>
    <x v="0"/>
    <n v="1"/>
    <s v="Lion Team Norte"/>
    <s v="(Interior) Compartida Fuera de la Red Búsqueda"/>
    <x v="2"/>
    <s v="Venta"/>
    <x v="6"/>
    <s v="Vicente López"/>
  </r>
  <r>
    <d v="2025-12-12T00:00:00"/>
    <x v="1"/>
    <x v="8"/>
    <s v="CAP6834181"/>
    <x v="0"/>
    <s v="Departamento - San Salvador De Jujuy"/>
    <s v="Realizado"/>
    <s v="Conocido"/>
    <n v="42500"/>
    <x v="9"/>
    <x v="0"/>
    <s v="Dólares"/>
    <s v="Dólares"/>
    <s v="Av. Illia al 600"/>
    <s v="Argentina | Jujuy | Dr Manuel Belgrano | San Salvador De Jujuy"/>
    <x v="0"/>
    <n v="2"/>
    <s v="Plaza"/>
    <s v="Compartida en Oficina (Dos Asesores)"/>
    <x v="1"/>
    <s v="Venta"/>
    <x v="8"/>
    <s v="Capital Jujuy"/>
  </r>
  <r>
    <d v="2025-04-30T00:00:00"/>
    <x v="1"/>
    <x v="3"/>
    <m/>
    <x v="0"/>
    <s v="LOTE EN VENTA , MASCHWITZ "/>
    <s v="Realizado"/>
    <s v="AR ZonaProp"/>
    <n v="39500"/>
    <x v="9"/>
    <x v="0"/>
    <s v="Dólares"/>
    <s v="Dólares"/>
    <s v="LAMBARE 448"/>
    <s v="Argentina | G.B.A. Zona Norte | Escobar | Ingeniero Maschwitz | Zelaya"/>
    <x v="1"/>
    <n v="2"/>
    <s v="Puerto Norte"/>
    <s v="Propia (Único Asesor)"/>
    <x v="1"/>
    <s v="Venta"/>
    <x v="6"/>
    <s v="Nordelta"/>
  </r>
  <r>
    <d v="2025-03-25T00:00:00"/>
    <x v="1"/>
    <x v="9"/>
    <s v="CLA6284234"/>
    <x v="0"/>
    <s v="Terreno en  calpa"/>
    <s v="Realizado"/>
    <s v="AR ZonaProp"/>
    <n v="52000"/>
    <x v="10"/>
    <x v="0"/>
    <s v="Dólares"/>
    <s v="Dólares"/>
    <s v="TERRENO EN CALPA NEUQUEN (CERCA DE LA CONFLUENCIA DE LOS RIOS)"/>
    <s v="Argentina | Neuquen | Confluencia | Neuquen"/>
    <x v="1"/>
    <n v="2"/>
    <s v="Sensus"/>
    <s v="Propia (Único Asesor)"/>
    <x v="1"/>
    <s v="Venta"/>
    <x v="1"/>
    <s v="Capital Neuquén"/>
  </r>
  <r>
    <d v="2025-04-23T00:00:00"/>
    <x v="1"/>
    <x v="3"/>
    <s v="CAP6880903"/>
    <x v="0"/>
    <s v="Departamento en venta bajo la viña"/>
    <s v="Realizado"/>
    <s v="Conocido"/>
    <n v="39900"/>
    <x v="11"/>
    <x v="0"/>
    <s v="Dólares"/>
    <s v="Dólares"/>
    <s v="bajo la viña calle raul noceti"/>
    <s v="Argentina | Jujuy | Dr Manuel Belgrano | San Salvador De Jujuy | Bajo La Viña"/>
    <x v="0"/>
    <n v="2"/>
    <s v="Plaza"/>
    <s v="Propia (Único Asesor)"/>
    <x v="1"/>
    <s v="Venta"/>
    <x v="8"/>
    <s v="Capital Jujuy"/>
  </r>
  <r>
    <d v="2025-04-25T00:00:00"/>
    <x v="1"/>
    <x v="3"/>
    <m/>
    <x v="0"/>
    <s v="Op. con Finca Sur. Lote en Piedra San Francisco"/>
    <s v="Realizado"/>
    <s v="Conocido"/>
    <n v="40000"/>
    <x v="12"/>
    <x v="0"/>
    <s v="Dólares"/>
    <s v="Dólares"/>
    <m/>
    <s v="Argentina | Neuquen | Lacar | San Martin De Los Andes"/>
    <x v="1"/>
    <n v="1"/>
    <s v="Patagonia Lakes SMA"/>
    <s v="(Interior) Compartida Fuera de la Red Búsqueda"/>
    <x v="2"/>
    <s v="Venta"/>
    <x v="1"/>
    <s v="San Martín de los Andes"/>
  </r>
  <r>
    <d v="2025-07-29T00:00:00"/>
    <x v="1"/>
    <x v="1"/>
    <s v="CHO4565523"/>
    <x v="0"/>
    <s v="Casa - Guadalupe oeste"/>
    <s v="Realizado"/>
    <s v="AR ZonaProp"/>
    <n v="41000"/>
    <x v="12"/>
    <x v="0"/>
    <s v="Dólares"/>
    <s v="Dólares"/>
    <s v="OPORTUNIDAD !! CASA CON PATIO  SECO Y COCHERA!! GUADALUPE &quot;O&quot;"/>
    <s v="Argentina | Santa Fe | La Capital | Santa Fe | Guadalupe"/>
    <x v="2"/>
    <n v="1"/>
    <s v="De la Veracruz"/>
    <s v="(Interior) Compartida Fuera de la Red Captación Propia"/>
    <x v="0"/>
    <s v="Venta"/>
    <x v="5"/>
    <s v="Capital Santa Fe"/>
  </r>
  <r>
    <d v="2025-10-16T00:00:00"/>
    <x v="1"/>
    <x v="11"/>
    <s v="CHO7112738"/>
    <x v="0"/>
    <s v="Metan | Casa | 4 habitaciones | terreno 566 m2"/>
    <s v="Realizado"/>
    <s v="Facebook"/>
    <n v="52000"/>
    <x v="12"/>
    <x v="0"/>
    <s v="Dólares"/>
    <s v="Dólares"/>
    <s v="Calle Salta (este) al 100 - Metan"/>
    <s v="Argentina | Salta | Metan | Metan"/>
    <x v="2"/>
    <n v="1"/>
    <s v="Realty Group"/>
    <s v="(Interior) Compartida Fuera de la Red Captación Propia"/>
    <x v="0"/>
    <s v="Venta"/>
    <x v="4"/>
    <s v="San Lorenzo Chico"/>
  </r>
  <r>
    <d v="2025-04-24T00:00:00"/>
    <x v="1"/>
    <x v="3"/>
    <s v="CAP6678664"/>
    <x v="0"/>
    <s v="Departamento en  venta en gran lote a 100 mts de Avda A del Valle"/>
    <s v="Realizado"/>
    <s v="Conocido"/>
    <n v="40000"/>
    <x v="12"/>
    <x v="0"/>
    <s v="Dólares"/>
    <s v="Dólares"/>
    <s v="Esmeralda  al 2500 OPORTUNIDAD lote con departamento al fondo"/>
    <s v="Argentina | Santa Fe | La Capital "/>
    <x v="0"/>
    <n v="2"/>
    <s v="De la Veracruz"/>
    <s v="Compartida en Oficina (Dos Asesores)"/>
    <x v="1"/>
    <s v="Venta"/>
    <x v="5"/>
    <s v="Capital Santa Fe"/>
  </r>
  <r>
    <d v="2025-06-06T00:00:00"/>
    <x v="1"/>
    <x v="4"/>
    <s v="CAP6974906"/>
    <x v="0"/>
    <s v="Departamento en  Chijra"/>
    <s v="Realizado"/>
    <s v="Conocido"/>
    <n v="43000"/>
    <x v="12"/>
    <x v="0"/>
    <s v="Dólares"/>
    <s v="Dólares"/>
    <s v="Calle El Pensamiento al 700"/>
    <s v="Argentina | Jujuy | Dr Manuel Belgrano | San Salvador De Jujuy | Chijra"/>
    <x v="0"/>
    <n v="2"/>
    <s v="Plaza"/>
    <s v="Compartida en Oficina (Dos Asesores)"/>
    <x v="1"/>
    <s v="Venta"/>
    <x v="8"/>
    <s v="Capital Jujuy"/>
  </r>
  <r>
    <d v="2025-06-18T00:00:00"/>
    <x v="1"/>
    <x v="4"/>
    <m/>
    <x v="0"/>
    <s v="UF 11 Loteo A Loteo Quetrihue"/>
    <s v="Realizado"/>
    <s v="Referido"/>
    <n v="40000"/>
    <x v="12"/>
    <x v="0"/>
    <s v="Dólares"/>
    <s v="Dólares"/>
    <s v="Bv. Quetrihue y Amancay"/>
    <s v="Argentina | Neuquen | Villa La Angostura | Selva Triste"/>
    <x v="1"/>
    <n v="2"/>
    <s v="Patagonia Lakes VLA"/>
    <s v="Compartida en Oficina (Dos Asesores)"/>
    <x v="1"/>
    <s v="Venta"/>
    <x v="1"/>
    <s v="Villa La Angostura"/>
  </r>
  <r>
    <d v="2025-08-29T00:00:00"/>
    <x v="1"/>
    <x v="5"/>
    <s v="CLA6528978"/>
    <x v="0"/>
    <s v="VENTA Lote/Terreno 295,6 m2  Lomas del Correntoso, Villa La Angostura"/>
    <s v="Realizado"/>
    <s v="Conocido"/>
    <n v="40000"/>
    <x v="12"/>
    <x v="0"/>
    <s v="Dólares"/>
    <s v="Dólares"/>
    <s v="Del Radal  al 600"/>
    <s v="Argentina | Neuquen | Villa La Angostura | Lomas De Correntoso"/>
    <x v="1"/>
    <n v="2"/>
    <s v="Patagonia Lakes VLA"/>
    <s v="Compartida en Oficina (Dos Asesores)"/>
    <x v="1"/>
    <s v="Venta"/>
    <x v="1"/>
    <s v="Villa La Angostura"/>
  </r>
  <r>
    <d v="2025-08-29T00:00:00"/>
    <x v="1"/>
    <x v="5"/>
    <s v="CLO6651445"/>
    <x v="0"/>
    <s v="VENTA Local Comercial 27.5m² UF1 Cordones de Chapelco San Martin de Los Andes"/>
    <s v="Realizado"/>
    <s v="Referido"/>
    <n v="40000"/>
    <x v="12"/>
    <x v="0"/>
    <s v="Dólares"/>
    <s v="Dólares"/>
    <s v="Cerro La Virgen -  Cordones de Chapelco"/>
    <s v="Argentina | Neuquen | Lacar | San Martin De Los Andes"/>
    <x v="4"/>
    <n v="2"/>
    <s v="Patagonia Lakes SMA"/>
    <s v="Compartida en Oficina (Dos Asesores)"/>
    <x v="1"/>
    <s v="Venta"/>
    <x v="1"/>
    <s v="San Martín de los Andes"/>
  </r>
  <r>
    <d v="2025-12-03T00:00:00"/>
    <x v="1"/>
    <x v="8"/>
    <s v="Tizado"/>
    <x v="0"/>
    <s v="Antiguo Camino Manzana 595 UF 2 Parcela 6"/>
    <s v="Realizado"/>
    <s v="Teléfono"/>
    <n v="36881"/>
    <x v="12"/>
    <x v="0"/>
    <s v="Dólares"/>
    <s v="Dólares"/>
    <m/>
    <s v="Argentina | Rio Negro | Bariloche "/>
    <x v="1"/>
    <n v="2"/>
    <s v="Patagonia Lakes BRC"/>
    <s v="Compartida en Oficina (Dos Asesores)"/>
    <x v="1"/>
    <s v="Venta"/>
    <x v="7"/>
    <s v="Bariloche"/>
  </r>
  <r>
    <d v="2026-01-12T00:00:00"/>
    <x v="0"/>
    <x v="10"/>
    <s v="CBA59141 LA7558630"/>
    <x v="0"/>
    <s v="VENTA Lote/terreno 407,04 m2, Loteo Quetrihue, Selvana Triste, Villa la Angostura"/>
    <s v="Realizado"/>
    <s v="Web Coldwell-Banker"/>
    <n v="35000"/>
    <x v="12"/>
    <x v="0"/>
    <s v="Dólares"/>
    <s v="Dólares"/>
    <s v="Blvd Quetrihue y Blvd Amancay"/>
    <s v="Argentina | Neuquen | Villa La Angostura | Selva Triste"/>
    <x v="1"/>
    <n v="2"/>
    <s v="Patagonia Lakes VLA"/>
    <s v="Compartida en Oficina (Dos Asesores)"/>
    <x v="1"/>
    <s v="Venta"/>
    <x v="1"/>
    <s v="Villa La Angostura"/>
  </r>
  <r>
    <d v="2025-04-29T00:00:00"/>
    <x v="1"/>
    <x v="3"/>
    <m/>
    <x v="1"/>
    <s v="UF 14 Loteo B Quetrihue"/>
    <s v="Realizado"/>
    <s v="Salón"/>
    <n v="40000"/>
    <x v="12"/>
    <x v="0"/>
    <s v="Dólares"/>
    <s v="Dólares"/>
    <s v="Bv. Quetrihue y Amancay"/>
    <s v="Argentina | Neuquen | Villa La Angostura "/>
    <x v="1"/>
    <n v="2"/>
    <s v="Patagonia Lakes VLA"/>
    <s v="Compartida en Oficina (Dos Asesores)"/>
    <x v="1"/>
    <s v="Venta"/>
    <x v="1"/>
    <s v="Villa La Angostura"/>
  </r>
  <r>
    <d v="2025-06-11T00:00:00"/>
    <x v="1"/>
    <x v="4"/>
    <m/>
    <x v="1"/>
    <s v="UF 10 Loteo A Loteo Quetrihue"/>
    <s v="Realizado"/>
    <s v="Conocido"/>
    <n v="40000"/>
    <x v="12"/>
    <x v="0"/>
    <s v="Dólares"/>
    <s v="Dólares"/>
    <s v="Bv. Quetrihue y Amancay"/>
    <s v="Argentina | Neuquen | Villa La Angostura | Selva Triste"/>
    <x v="1"/>
    <n v="2"/>
    <s v="Patagonia Lakes VLA"/>
    <s v="Compartida en Oficina (Dos Asesores)"/>
    <x v="1"/>
    <s v="Venta"/>
    <x v="1"/>
    <s v="Villa La Angostura"/>
  </r>
  <r>
    <d v="2025-06-27T00:00:00"/>
    <x v="1"/>
    <x v="4"/>
    <s v="CAP7097865"/>
    <x v="0"/>
    <s v="Departamento en Alquiler 2 ambientes calle 9 e/ 47 y diagonal 74 N° 731 3 C | La Plata"/>
    <s v="Realizado"/>
    <s v="Conocido"/>
    <n v="42700"/>
    <x v="12"/>
    <x v="0"/>
    <s v="Dólares"/>
    <s v="Dólares"/>
    <s v="Alquiler Dpto 2 ambientes calle 9 e/ 47 y diagonal 74 N° 731 Piso 3 C | La Plata "/>
    <s v="Argentina | G.B.A. Zona Sur | La Plata | La Plata"/>
    <x v="0"/>
    <n v="1"/>
    <s v="Golden Team"/>
    <s v="Compartida Fuera de la Red Búsqueda"/>
    <x v="2"/>
    <s v="Venta"/>
    <x v="0"/>
    <s v="La Plata"/>
  </r>
  <r>
    <d v="2025-04-30T00:00:00"/>
    <x v="1"/>
    <x v="3"/>
    <s v="CAP6253711"/>
    <x v="0"/>
    <s v="Departamento en venta "/>
    <s v="Realizado"/>
    <s v="AR ZonaProp"/>
    <n v="41400"/>
    <x v="12"/>
    <x v="0"/>
    <s v="Dólares"/>
    <s v="Dólares"/>
    <s v="Av luro  al 2500"/>
    <s v="Argentina | Costa Atlantica | Mar Del Plata "/>
    <x v="0"/>
    <n v="2"/>
    <s v="Horizon Group"/>
    <s v="Compartida Fuera de la Red Captación Propia"/>
    <x v="0"/>
    <s v="Venta"/>
    <x v="3"/>
    <s v="Núñez"/>
  </r>
  <r>
    <d v="2025-01-10T00:00:00"/>
    <x v="1"/>
    <x v="10"/>
    <s v="CAP6403040"/>
    <x v="0"/>
    <s v="DEPARTAMENTO en 1 y 57 LA PLATA"/>
    <s v="Realizado"/>
    <s v="Referido"/>
    <n v="45000"/>
    <x v="12"/>
    <x v="0"/>
    <s v="Dólares"/>
    <s v="Dólares"/>
    <s v="DEPARTAMENTO 1 dormitorio en 1 y 57"/>
    <s v="Argentina | G.B.A. Zona Sur | La Plata | La Plata"/>
    <x v="0"/>
    <n v="2"/>
    <s v="Golden Team"/>
    <s v="Propia (Único Asesor)"/>
    <x v="1"/>
    <s v="Venta"/>
    <x v="0"/>
    <s v="La Plata"/>
  </r>
  <r>
    <d v="2025-01-17T00:00:00"/>
    <x v="1"/>
    <x v="10"/>
    <s v="CLA6695688"/>
    <x v="0"/>
    <s v="VENTA Lote/Terreno 1.651,30m2 Las Marías del Valle, Club de campo, San Martín de los Andes"/>
    <s v="Realizado"/>
    <s v="Teléfono"/>
    <n v="50000"/>
    <x v="12"/>
    <x v="0"/>
    <s v="Dólares"/>
    <s v="Dólares"/>
    <s v=" RN 40  al 2200"/>
    <s v="Argentina | Neuquen | Lacar | San Martin De Los Andes | Las Marias Del Valle"/>
    <x v="1"/>
    <n v="2"/>
    <s v="Patagonia Lakes SMA"/>
    <s v="Propia (Único Asesor)"/>
    <x v="1"/>
    <s v="Venta"/>
    <x v="1"/>
    <s v="San Martín de los Andes"/>
  </r>
  <r>
    <d v="2025-07-31T00:00:00"/>
    <x v="1"/>
    <x v="1"/>
    <s v="CAP6898647"/>
    <x v="0"/>
    <s v="Departamento en  REMEDIOS DE ESCALADA- LANUS"/>
    <s v="Realizado"/>
    <s v="AR ZonaProp"/>
    <n v="45000"/>
    <x v="12"/>
    <x v="0"/>
    <s v="Dólares"/>
    <s v="Dólares"/>
    <s v="Doctor Melo  al 5000"/>
    <s v="Argentina | G.B.A. Zona Sur | Lanús | Remedios De Escalada"/>
    <x v="0"/>
    <n v="2"/>
    <s v="Destino"/>
    <s v="Propia (Único Asesor)"/>
    <x v="1"/>
    <s v="Venta"/>
    <x v="3"/>
    <s v="Recoleta"/>
  </r>
  <r>
    <d v="2025-08-13T00:00:00"/>
    <x v="1"/>
    <x v="5"/>
    <s v="bouchard 3273"/>
    <x v="0"/>
    <s v="bouchard 3273 vte lopez"/>
    <s v="Realizado"/>
    <s v="AR ZonaProp"/>
    <n v="45000"/>
    <x v="12"/>
    <x v="0"/>
    <s v="Dólares"/>
    <s v="Dólares"/>
    <s v="bouchard 3273 olivos"/>
    <s v="Argentina | G.B.A. Zona Norte | Vicente López | Olivos"/>
    <x v="4"/>
    <n v="2"/>
    <s v="Concept"/>
    <s v="Propia (Único Asesor)"/>
    <x v="1"/>
    <s v="Venta"/>
    <x v="6"/>
    <s v="Tigre"/>
  </r>
  <r>
    <d v="2025-10-03T00:00:00"/>
    <x v="1"/>
    <x v="11"/>
    <s v="CPH7293621"/>
    <x v="0"/>
    <s v="Venta permuta PH Barracas apto credito dos ambientes  sin expensas con patio"/>
    <s v="Realizado"/>
    <s v="AR ZonaProp"/>
    <n v="45000"/>
    <x v="12"/>
    <x v="0"/>
    <s v="Dólares"/>
    <s v="Dólares"/>
    <s v="Santa Magdalena al 783"/>
    <s v="Argentina | Capital Federal | Barracas "/>
    <x v="3"/>
    <n v="2"/>
    <s v="Lion Team"/>
    <s v="Propia (Único Asesor)"/>
    <x v="1"/>
    <s v="Venta"/>
    <x v="3"/>
    <s v="Villa Urquiza"/>
  </r>
  <r>
    <d v="2025-10-16T00:00:00"/>
    <x v="1"/>
    <x v="11"/>
    <s v="CWE6870466"/>
    <x v="0"/>
    <s v="Quinta en  San Patricio del Chañar"/>
    <s v="Realizado"/>
    <s v="AR ZonaProp"/>
    <n v="48000"/>
    <x v="12"/>
    <x v="0"/>
    <s v="Dólares"/>
    <s v="Dólares"/>
    <s v="Casa Quinta, 4.800 m2, ruta 7, S.P. Chañar- Añelo- Neuquén"/>
    <s v="Argentina | Neuquen | Añelo | San Patricio Del Chañar"/>
    <x v="2"/>
    <n v="2"/>
    <s v="Sensus"/>
    <s v="Propia (Único Asesor)"/>
    <x v="1"/>
    <s v="Venta"/>
    <x v="1"/>
    <s v="Capital Neuquén"/>
  </r>
  <r>
    <d v="2025-10-24T00:00:00"/>
    <x v="1"/>
    <x v="11"/>
    <s v="CFA6928177"/>
    <x v="0"/>
    <s v="Finca de 8 has, con casa y galpón, a 18 minutos de San Rafael!"/>
    <s v="Realizado"/>
    <s v="Teléfono"/>
    <n v="45000"/>
    <x v="12"/>
    <x v="0"/>
    <s v="Dólares"/>
    <s v="Dólares"/>
    <s v="Sardini y calle 4 0"/>
    <s v="Argentina | Mendoza | San Rafael | San Rafael"/>
    <x v="5"/>
    <n v="2"/>
    <s v="Andes"/>
    <s v="Propia (Único Asesor)"/>
    <x v="1"/>
    <s v="Venta"/>
    <x v="2"/>
    <s v="San Rafael"/>
  </r>
  <r>
    <d v="2026-01-20T00:00:00"/>
    <x v="0"/>
    <x v="10"/>
    <s v="CPH7360399"/>
    <x v="0"/>
    <s v="PH 3 Ambientes en Venta en San Martin"/>
    <s v="Realizado"/>
    <s v="AR ZonaProp"/>
    <n v="42000"/>
    <x v="12"/>
    <x v="0"/>
    <s v="Dólares"/>
    <s v="Dólares"/>
    <s v="Lincoln al 4300"/>
    <s v="Argentina | G.B.A. Zona Norte | General San Martin | San Martin"/>
    <x v="3"/>
    <n v="2"/>
    <s v="Audacity"/>
    <s v="Propia (Único Asesor)"/>
    <x v="1"/>
    <s v="Venta"/>
    <x v="9"/>
    <s v="Parque Leloir"/>
  </r>
  <r>
    <d v="2026-02-05T00:00:00"/>
    <x v="0"/>
    <x v="0"/>
    <s v="110Beti"/>
    <x v="0"/>
    <s v="Terreno Los Duendes"/>
    <s v="Realizado"/>
    <s v="Cartel"/>
    <n v="55000"/>
    <x v="12"/>
    <x v="0"/>
    <s v="Dólares"/>
    <s v="Dólares"/>
    <s v="Los duendes 2763"/>
    <s v="Argentina | Santa Fe | La Capital | San Jose Del Rincon | Villa California"/>
    <x v="1"/>
    <n v="2"/>
    <s v="De la Veracruz"/>
    <s v="Propia (Único Asesor)"/>
    <x v="1"/>
    <s v="Venta"/>
    <x v="5"/>
    <s v="Capital Santa Fe"/>
  </r>
  <r>
    <d v="2026-02-23T00:00:00"/>
    <x v="0"/>
    <x v="0"/>
    <s v="CLA7241558"/>
    <x v="0"/>
    <s v="Terreno en El Cerrito"/>
    <s v="Realizado"/>
    <s v="UY MercadoLibre"/>
    <n v="45000"/>
    <x v="12"/>
    <x v="0"/>
    <s v="Dólares"/>
    <s v="Dólares"/>
    <s v="ADOLFO CALLE al 5100"/>
    <s v="Argentina | Mendoza | San Rafael | El Cerrito"/>
    <x v="1"/>
    <n v="2"/>
    <s v="Andes"/>
    <s v="Propia (Único Asesor)"/>
    <x v="1"/>
    <s v="Venta"/>
    <x v="2"/>
    <s v="San Rafael"/>
  </r>
  <r>
    <d v="2025-04-23T00:00:00"/>
    <x v="1"/>
    <x v="3"/>
    <s v="CAP5680940"/>
    <x v="0"/>
    <s v="VENTA  MONOAMBIENTE BALVANERA -OPORTUNIDAD- DIVISIBLE-FACULTADES-SUBTES B-H-D APTO PROFESIONAL"/>
    <s v="Realizado"/>
    <s v="AR ZonaProp"/>
    <n v="43000"/>
    <x v="13"/>
    <x v="0"/>
    <s v="Dólares"/>
    <s v="Dólares"/>
    <s v="Lavalle  al 2100"/>
    <s v="Argentina | Capital Federal | Balvanera "/>
    <x v="0"/>
    <n v="2"/>
    <s v="Lion Team"/>
    <s v="Compartida en Oficina (Dos Asesores)"/>
    <x v="1"/>
    <s v="Venta"/>
    <x v="3"/>
    <s v="Villa Urquiza"/>
  </r>
  <r>
    <d v="2025-06-02T00:00:00"/>
    <x v="1"/>
    <x v="4"/>
    <s v="NAP3851343"/>
    <x v="0"/>
    <s v="VENTA · Departamento céntrico 11 E/ 39 Y 40 | Un dormitorio y balcón al frente"/>
    <s v="Realizado"/>
    <s v="AR ZonaProp"/>
    <n v="44000"/>
    <x v="13"/>
    <x v="0"/>
    <s v="Dólares"/>
    <s v="Dólares"/>
    <s v="Calle 11 E/ 39 y 40"/>
    <s v="Argentina | G.B.A. Zona Sur | La Plata "/>
    <x v="0"/>
    <n v="2"/>
    <s v="Golden Team"/>
    <s v="Compartida en Oficina (Dos Asesores)"/>
    <x v="1"/>
    <s v="Venta"/>
    <x v="0"/>
    <s v="La Plata"/>
  </r>
  <r>
    <d v="2026-03-06T00:00:00"/>
    <x v="0"/>
    <x v="9"/>
    <s v="CBA59141 LA7277569"/>
    <x v="1"/>
    <s v="VENTA Lote/terreno Villa La Angostura 374 m2, Loteo Quetrihue, Vista a las montañas, Selvana Triste."/>
    <s v="Realizado"/>
    <s v="Conocido"/>
    <n v="40700"/>
    <x v="14"/>
    <x v="0"/>
    <s v="Dólares"/>
    <s v="Dólares"/>
    <s v="Blvd Quetrihue y Blvd Amancay"/>
    <s v="Argentina | Neuquen | Villa La Angostura | Selva Triste"/>
    <x v="1"/>
    <n v="2"/>
    <s v="Patagonia Lakes VLA"/>
    <s v="Compartida en Oficina (Dos Asesores)"/>
    <x v="1"/>
    <s v="Venta"/>
    <x v="1"/>
    <s v="Villa La Angostura"/>
  </r>
  <r>
    <d v="2025-09-23T00:00:00"/>
    <x v="1"/>
    <x v="6"/>
    <s v="CPH6475241"/>
    <x v="0"/>
    <s v="PH en Lomas Del Mirador - OPORTUNIDAD - SIN EXPENSAS - PATIO -PARQUE - LAVADERO"/>
    <s v="Realizado"/>
    <s v="AR MercadoLibre"/>
    <n v="49990"/>
    <x v="15"/>
    <x v="0"/>
    <s v="Dólares"/>
    <s v="Dólares"/>
    <s v="LAS HERAS al 3500"/>
    <s v="Argentina | G.B.A. Zona Oeste | La Matanza | Lomas Del Mirador"/>
    <x v="3"/>
    <n v="2"/>
    <s v="Lion Team"/>
    <s v="Propia (Único Asesor)"/>
    <x v="1"/>
    <s v="Venta"/>
    <x v="3"/>
    <s v="Villa Urquiza"/>
  </r>
  <r>
    <d v="2025-12-10T00:00:00"/>
    <x v="1"/>
    <x v="8"/>
    <s v="CPH7479563"/>
    <x v="0"/>
    <s v="PH en Santa Fe"/>
    <s v="Realizado"/>
    <s v="Conocido"/>
    <n v="45000"/>
    <x v="16"/>
    <x v="0"/>
    <s v="Dólares"/>
    <s v="Dólares"/>
    <s v="PH a refaccionar en Barrio Maria Selva"/>
    <s v="Argentina | Santa Fe | La Capital | Santa Fe"/>
    <x v="3"/>
    <n v="1"/>
    <s v="De la Veracruz"/>
    <s v="(Interior) Compartida Fuera de la Red Captación Propia"/>
    <x v="0"/>
    <s v="Venta"/>
    <x v="5"/>
    <s v="Capital Santa Fe"/>
  </r>
  <r>
    <d v="2025-11-25T00:00:00"/>
    <x v="1"/>
    <x v="7"/>
    <s v="CAP6783029"/>
    <x v="0"/>
    <s v="Venta Departamento Monoambiente Apto Crédito Moreno Centro"/>
    <s v="Realizado"/>
    <s v="AR ZonaProp"/>
    <n v="41999"/>
    <x v="16"/>
    <x v="0"/>
    <s v="Dólares"/>
    <s v="Dólares"/>
    <s v="Nemesio alvarez al 500"/>
    <s v="Argentina | G.B.A. Zona Oeste | Moreno "/>
    <x v="0"/>
    <n v="2"/>
    <s v="Audacity"/>
    <s v="Propia (Único Asesor)"/>
    <x v="1"/>
    <s v="Venta"/>
    <x v="9"/>
    <s v="Parque Leloir"/>
  </r>
  <r>
    <d v="2025-04-16T00:00:00"/>
    <x v="1"/>
    <x v="3"/>
    <s v="CAP6865177"/>
    <x v="0"/>
    <s v="Departamento interno en Candioti Norte"/>
    <s v="Realizado"/>
    <s v="Conocido"/>
    <n v="45000"/>
    <x v="17"/>
    <x v="0"/>
    <s v="Dólares"/>
    <s v="Dólares"/>
    <s v="Guemes al 4000"/>
    <s v="Argentina | Santa Fe | La Capital | Santa Fe | Candioti Norte"/>
    <x v="0"/>
    <n v="2"/>
    <s v="De la Veracruz"/>
    <s v="Compartida en Oficina (Dos Asesores)"/>
    <x v="1"/>
    <s v="Venta"/>
    <x v="5"/>
    <s v="Capital Santa Fe"/>
  </r>
  <r>
    <d v="2025-06-12T00:00:00"/>
    <x v="1"/>
    <x v="4"/>
    <s v="CAP6959623"/>
    <x v="0"/>
    <s v="En Venta Departamento 2 Ambientes calle 33 3 y 4, La Plata"/>
    <s v="Realizado"/>
    <s v="AR MercadoLibre"/>
    <n v="43500"/>
    <x v="17"/>
    <x v="0"/>
    <s v="Dólares"/>
    <s v="Dólares"/>
    <s v="En Venta Departamento 2 Ambientes calle 33 al 400 3 y 4, La Plata"/>
    <s v="Argentina | G.B.A. Zona Sur | La Plata | La Plata"/>
    <x v="0"/>
    <n v="2"/>
    <s v="Golden Team"/>
    <s v="Propia (Único Asesor)"/>
    <x v="1"/>
    <s v="Venta"/>
    <x v="0"/>
    <s v="La Plata"/>
  </r>
  <r>
    <d v="2025-08-27T00:00:00"/>
    <x v="1"/>
    <x v="5"/>
    <s v="Aquino 5454"/>
    <x v="0"/>
    <s v="Aquino 5454"/>
    <s v="Realizado"/>
    <s v="AR MercadoLibre"/>
    <n v="83000"/>
    <x v="17"/>
    <x v="0"/>
    <s v="Dólares"/>
    <s v="Dólares"/>
    <s v="Aquino 5454"/>
    <s v="Argentina | Capital Federal | Capital Federal "/>
    <x v="0"/>
    <n v="2"/>
    <s v="Lion Team"/>
    <s v="Propia (Único Asesor)"/>
    <x v="1"/>
    <s v="Venta"/>
    <x v="3"/>
    <s v="Villa Urquiza"/>
  </r>
  <r>
    <d v="2025-09-19T00:00:00"/>
    <x v="1"/>
    <x v="6"/>
    <s v="Departamento 2 dormitorios 16 39 y 40"/>
    <x v="0"/>
    <s v="DPTO 16 E 39 Y 40"/>
    <s v="Realizado"/>
    <s v="AR ArgenProp"/>
    <n v="81500"/>
    <x v="18"/>
    <x v="0"/>
    <s v="Dólares"/>
    <s v="Dólares"/>
    <s v="16 e 39 y 40"/>
    <s v="Argentina | G.B.A. Zona Sur | La Plata "/>
    <x v="2"/>
    <n v="1"/>
    <s v="Golden Team"/>
    <s v="Compartida Fuera de la Red Búsqueda"/>
    <x v="2"/>
    <s v="Venta"/>
    <x v="0"/>
    <s v="La Plata"/>
  </r>
  <r>
    <d v="2025-03-19T00:00:00"/>
    <x v="1"/>
    <x v="9"/>
    <s v="CPH6434534"/>
    <x v="0"/>
    <s v="VENTA PH Monoambiente con GALPON Bauleras y Terraza SAN JUSTO Sin expensas"/>
    <s v="Realizado"/>
    <s v="AR MercadoLibre"/>
    <n v="45000"/>
    <x v="19"/>
    <x v="0"/>
    <s v="Dólares"/>
    <s v="Dólares"/>
    <s v="Arieta al 2100"/>
    <s v="Argentina | G.B.A. Zona Oeste | La Matanza | San Justo"/>
    <x v="3"/>
    <n v="2"/>
    <s v="Lion Team"/>
    <s v="Compartida en Oficina (Dos Asesores)"/>
    <x v="1"/>
    <s v="Venta"/>
    <x v="3"/>
    <s v="Villa Urquiza"/>
  </r>
  <r>
    <d v="2025-06-06T00:00:00"/>
    <x v="1"/>
    <x v="4"/>
    <s v="CHO6797788"/>
    <x v="0"/>
    <s v="Casa en venta en Bariloche"/>
    <s v="Realizado"/>
    <s v="Teléfono"/>
    <n v="50000"/>
    <x v="19"/>
    <x v="0"/>
    <s v="Dólares"/>
    <s v="Dólares"/>
    <s v="Barrio El Progreso, San Carlos de Bariloche"/>
    <s v="Argentina | Rio Negro | Bariloche | San Carlos De Bariloche | El Progreso"/>
    <x v="2"/>
    <n v="2"/>
    <s v="Patagonia Lakes BRC"/>
    <s v="Compartida en Oficina (Dos Asesores)"/>
    <x v="1"/>
    <s v="Venta"/>
    <x v="7"/>
    <s v="Bariloche"/>
  </r>
  <r>
    <d v="2025-07-08T00:00:00"/>
    <x v="1"/>
    <x v="1"/>
    <s v="VPN55315 LA5976242"/>
    <x v="0"/>
    <s v="Lote Interno en Venta, La Serena, General Rodriguez "/>
    <s v="Realizado"/>
    <s v="AR ZonaProp"/>
    <n v="44880"/>
    <x v="19"/>
    <x v="0"/>
    <s v="Dólares"/>
    <s v="Dólares"/>
    <s v="Venta lote La Serena Barrio Cerrado Gral Rodriguez, Ruta 28   "/>
    <s v="Argentina | G.B.A. Zona Oeste | General Rodriguez | Countries/B.Cerrado (G. Rodriguez)"/>
    <x v="1"/>
    <n v="2"/>
    <s v="Puerto Norte"/>
    <s v="Compartida en Oficina (Dos Asesores)"/>
    <x v="1"/>
    <s v="Venta"/>
    <x v="6"/>
    <s v="Nordelta"/>
  </r>
  <r>
    <d v="2025-10-08T00:00:00"/>
    <x v="1"/>
    <x v="11"/>
    <s v="COF6352366"/>
    <x v="0"/>
    <s v="VENTA  3 AMBIENTES  MUY BUENO  VISTA PANORAMICA  SAN MARTIN"/>
    <s v="Realizado"/>
    <s v="AR ArgenProp"/>
    <n v="43900"/>
    <x v="19"/>
    <x v="0"/>
    <s v="Dólares"/>
    <s v="Dólares"/>
    <s v="Profesor Agustín Rogelio vidal 4900 "/>
    <s v="Argentina | G.B.A. Zona Norte | General San Martin | Villa Lynch"/>
    <x v="0"/>
    <n v="2"/>
    <s v="Lion Team"/>
    <s v="Compartida en Oficina (Dos Asesores)"/>
    <x v="1"/>
    <s v="Venta"/>
    <x v="3"/>
    <s v="Villa Urquiza"/>
  </r>
  <r>
    <d v="2025-10-24T00:00:00"/>
    <x v="1"/>
    <x v="11"/>
    <s v="VAP6950907"/>
    <x v="0"/>
    <s v="Monoambiente luminoso - Entre Ríos y Belgrano - vivienda y apto profesional"/>
    <s v="Realizado"/>
    <s v="AR ZonaProp"/>
    <n v="43000"/>
    <x v="19"/>
    <x v="0"/>
    <s v="Dólares"/>
    <s v="Dólares"/>
    <s v="Entre rios al 400 - Piso Alto"/>
    <s v="Argentina | Capital Federal | Monserrat "/>
    <x v="0"/>
    <n v="2"/>
    <s v="Space BA"/>
    <s v="Compartida Fuera de la Red Captación Propia"/>
    <x v="0"/>
    <s v="Venta"/>
    <x v="3"/>
    <s v="Belgrano"/>
  </r>
  <r>
    <d v="2025-01-03T00:00:00"/>
    <x v="1"/>
    <x v="10"/>
    <s v="JLO5618192"/>
    <x v="0"/>
    <s v="VENTA LOCAL LOMAS DE ZAMORA"/>
    <s v="Realizado"/>
    <s v="AR ZonaProp"/>
    <n v="49900"/>
    <x v="19"/>
    <x v="0"/>
    <s v="Dólares"/>
    <s v="Dólares"/>
    <s v="General Carlos María de Alvear  al 600"/>
    <s v="Argentina | G.B.A. Zona Sur | Lomas De Zamora (Partido) | Lomas De Zamora"/>
    <x v="4"/>
    <n v="2"/>
    <s v="Lion Team Norte"/>
    <s v="Propia (Único Asesor)"/>
    <x v="1"/>
    <s v="Venta"/>
    <x v="6"/>
    <s v="Vicente López"/>
  </r>
  <r>
    <d v="2025-01-09T00:00:00"/>
    <x v="1"/>
    <x v="10"/>
    <s v="CHO6440273"/>
    <x v="0"/>
    <s v="VENTA Casa 2 ambientes 60m² dos plantas Terreno 200m²  B° Los Manzanos, San Martín de los Andes"/>
    <s v="Realizado"/>
    <s v="Teléfono"/>
    <n v="42000"/>
    <x v="19"/>
    <x v="0"/>
    <s v="Dólares"/>
    <s v="Dólares"/>
    <s v=" Lote 3, mza E"/>
    <s v="Argentina | Neuquen | Lacar | San Martin De Los Andes | Chacra 28"/>
    <x v="2"/>
    <n v="2"/>
    <s v="Patagonia Lakes SMA"/>
    <s v="Propia (Único Asesor)"/>
    <x v="1"/>
    <s v="Venta"/>
    <x v="1"/>
    <s v="San Martín de los Andes"/>
  </r>
  <r>
    <d v="2025-03-28T00:00:00"/>
    <x v="1"/>
    <x v="9"/>
    <s v="CAP6502712"/>
    <x v="0"/>
    <s v="Departamento en Santo Tome"/>
    <s v="Realizado"/>
    <s v="Referido"/>
    <n v="45000"/>
    <x v="19"/>
    <x v="0"/>
    <s v="Dólares"/>
    <s v="Dólares"/>
    <s v="Duplex con muy buena ubicación en Barrio 7 de Marzo, Santo Tome"/>
    <s v="Argentina | Santa Fe | La Capital | Santo Tome | 7 de Marzo"/>
    <x v="0"/>
    <n v="2"/>
    <s v="De la Veracruz"/>
    <s v="Propia (Único Asesor)"/>
    <x v="1"/>
    <s v="Venta"/>
    <x v="5"/>
    <s v="Capital Santa Fe"/>
  </r>
  <r>
    <d v="2025-04-21T00:00:00"/>
    <x v="1"/>
    <x v="3"/>
    <s v="Av Balbin 4543 piso 6 unidad E ( monoambiente)"/>
    <x v="0"/>
    <s v="Av Balbin 4543 piso 6 unidad E ( monoambiente)"/>
    <s v="Realizado"/>
    <s v="AR ZonaProp"/>
    <n v="42000"/>
    <x v="19"/>
    <x v="0"/>
    <s v="Dólares"/>
    <s v="Dólares"/>
    <s v="Av Balbin 4543 piso 6 unidad E ( monoambiente)"/>
    <s v="Argentina | Capital Federal | Saavedra "/>
    <x v="0"/>
    <n v="2"/>
    <s v="Lion Team Norte"/>
    <s v="Propia (Único Asesor)"/>
    <x v="1"/>
    <s v="Venta"/>
    <x v="6"/>
    <s v="Vicente López"/>
  </r>
  <r>
    <d v="2025-06-16T00:00:00"/>
    <x v="1"/>
    <x v="4"/>
    <s v="CHO6429916"/>
    <x v="0"/>
    <s v="VENTA Casa 2habitaciones 72m2 Lote 180m2 PH Valle Chapelco a terminar Chacra 26 San Martín de los Andes"/>
    <s v="Realizado"/>
    <s v="Conocido"/>
    <n v="52000"/>
    <x v="19"/>
    <x v="0"/>
    <s v="Dólares"/>
    <s v="Dólares"/>
    <s v="Lote 3 A, Mza 18,"/>
    <s v="Argentina | Neuquen | Lacar | San Martin De Los Andes | Chacra 28"/>
    <x v="2"/>
    <n v="2"/>
    <s v="Patagonia Lakes SMA"/>
    <s v="Propia (Único Asesor)"/>
    <x v="1"/>
    <s v="Venta"/>
    <x v="1"/>
    <s v="San Martín de los Andes"/>
  </r>
  <r>
    <d v="2025-07-08T00:00:00"/>
    <x v="1"/>
    <x v="1"/>
    <s v="Stcheden 1299"/>
    <x v="0"/>
    <s v="Departamento de 2 ambientes en Moreno"/>
    <s v="Realizado"/>
    <s v="Conocido"/>
    <n v="42000"/>
    <x v="19"/>
    <x v="0"/>
    <s v="Dólares"/>
    <s v="Dólares"/>
    <m/>
    <s v="Argentina | G.B.A. Zona Oeste | Moreno | Moreno"/>
    <x v="0"/>
    <n v="2"/>
    <s v="Audacity"/>
    <s v="Propia (Único Asesor)"/>
    <x v="1"/>
    <s v="Venta"/>
    <x v="9"/>
    <s v="Parque Leloir"/>
  </r>
  <r>
    <d v="2025-09-25T00:00:00"/>
    <x v="1"/>
    <x v="6"/>
    <s v="CAP7242226"/>
    <x v="0"/>
    <s v="Departamento en Venta de 1 dormitorio  51 entre 15 y 16 La Plata"/>
    <s v="Realizado"/>
    <s v="AR ZonaProp"/>
    <n v="42000"/>
    <x v="19"/>
    <x v="0"/>
    <s v="Dólares"/>
    <s v="Dólares"/>
    <s v="DepartaDepartamento en Venta de 1 dormitorios en  51 entre 15 y 16 La Plata"/>
    <s v="Argentina | G.B.A. Zona Sur | La Plata | La Plata"/>
    <x v="0"/>
    <n v="2"/>
    <s v="Golden Team"/>
    <s v="Propia (Único Asesor)"/>
    <x v="1"/>
    <s v="Venta"/>
    <x v="0"/>
    <s v="La Plata"/>
  </r>
  <r>
    <d v="2025-10-03T00:00:00"/>
    <x v="1"/>
    <x v="11"/>
    <s v="CAP7119833"/>
    <x v="0"/>
    <s v="Amplio departamento 2 ambientes luminoso cocina grande ubicado en Floresta"/>
    <s v="Realizado"/>
    <s v="AR ArgenProp"/>
    <n v="45900"/>
    <x v="19"/>
    <x v="0"/>
    <s v="Dólares"/>
    <s v="Dólares"/>
    <s v="Segurola al 200"/>
    <s v="Argentina | Capital Federal | Floresta "/>
    <x v="0"/>
    <n v="2"/>
    <s v="Lion Team"/>
    <s v="Propia (Único Asesor)"/>
    <x v="1"/>
    <s v="Venta"/>
    <x v="3"/>
    <s v="Villa Urquiza"/>
  </r>
  <r>
    <d v="2025-11-18T00:00:00"/>
    <x v="1"/>
    <x v="7"/>
    <s v="CHO7136775"/>
    <x v="0"/>
    <s v="Casa en venta en barrio privado, Haras el Terraplen, Gral Rodriguez"/>
    <s v="Realizado"/>
    <s v="AR ZonaProp"/>
    <n v="46000"/>
    <x v="19"/>
    <x v="0"/>
    <s v="Dólares"/>
    <s v="Dólares"/>
    <s v="Haras el Terraplen, lote  al 300"/>
    <s v="Argentina | G.B.A. Zona Oeste | General Rodriguez | General Rodriguez"/>
    <x v="2"/>
    <n v="2"/>
    <s v="Audacity"/>
    <s v="Propia (Único Asesor)"/>
    <x v="1"/>
    <s v="Venta"/>
    <x v="9"/>
    <s v="Parque Leloir"/>
  </r>
  <r>
    <d v="2025-12-12T00:00:00"/>
    <x v="1"/>
    <x v="8"/>
    <s v="COF6244446"/>
    <x v="0"/>
    <s v="venta Oficina EQUIPADA, av. corrientes OPORTUNIDAD"/>
    <s v="Realizado"/>
    <s v="AR MercadoLibre"/>
    <n v="52000"/>
    <x v="19"/>
    <x v="0"/>
    <s v="Dólares"/>
    <s v="Dólares"/>
    <s v="Av. Corriente  al 1300"/>
    <s v="Argentina | Capital Federal | Monserrat "/>
    <x v="6"/>
    <n v="2"/>
    <s v="Lion Team"/>
    <s v="Propia (Único Asesor)"/>
    <x v="1"/>
    <s v="Venta"/>
    <x v="3"/>
    <s v="Villa Urquiza"/>
  </r>
  <r>
    <d v="2026-02-20T00:00:00"/>
    <x v="0"/>
    <x v="0"/>
    <s v="CAP7657136"/>
    <x v="0"/>
    <s v="Departamento en venta en Neuquén"/>
    <s v="Realizado"/>
    <s v="AR ZonaProp"/>
    <n v="42000"/>
    <x v="19"/>
    <x v="0"/>
    <s v="Dólares"/>
    <s v="Dólares"/>
    <s v="Picun Leufu  al 100"/>
    <s v="Argentina | Neuquen | Confluencia | Neuquen"/>
    <x v="0"/>
    <n v="2"/>
    <s v="Sensus"/>
    <s v="Propia (Único Asesor)"/>
    <x v="1"/>
    <s v="Venta"/>
    <x v="1"/>
    <s v="Capital Neuquén"/>
  </r>
  <r>
    <d v="2025-08-29T00:00:00"/>
    <x v="1"/>
    <x v="5"/>
    <s v="Charlone 1902"/>
    <x v="0"/>
    <s v="Charlone 1902"/>
    <s v="Realizado"/>
    <s v="AR ArgenProp"/>
    <n v="85000"/>
    <x v="20"/>
    <x v="0"/>
    <s v="Dólares"/>
    <s v="Dólares"/>
    <s v="Charlone 1902"/>
    <s v="Argentina | Capital Federal | Capital Federal "/>
    <x v="0"/>
    <n v="2"/>
    <s v="Lion Team"/>
    <s v="Propia (Único Asesor)"/>
    <x v="1"/>
    <s v="Venta"/>
    <x v="3"/>
    <s v="Villa Urquiza"/>
  </r>
  <r>
    <d v="2025-10-03T00:00:00"/>
    <x v="1"/>
    <x v="11"/>
    <s v="CAP5198530"/>
    <x v="0"/>
    <s v="Departamento en  venta en Villa Pueyrredon - urquiza - con balcón a estrenar PERMUTA"/>
    <s v="Realizado"/>
    <s v="AR MercadoLibre"/>
    <n v="81000"/>
    <x v="20"/>
    <x v="0"/>
    <s v="Dólares"/>
    <s v="Dólares"/>
    <s v="Mosconi  al 2300"/>
    <s v="Argentina | Capital Federal | Villa Pueyrredon "/>
    <x v="0"/>
    <n v="2"/>
    <s v="Lion Team"/>
    <s v="Propia (Único Asesor)"/>
    <x v="1"/>
    <s v="Venta"/>
    <x v="3"/>
    <s v="Villa Urquiza"/>
  </r>
  <r>
    <d v="2025-10-20T00:00:00"/>
    <x v="1"/>
    <x v="11"/>
    <s v="CAP7066076"/>
    <x v="0"/>
    <s v="VENTA - DEPTO - 3 AMB - RECOLETA - PARAGUAY Y URUGUAY"/>
    <s v="Realizado"/>
    <s v="AR ZonaProp"/>
    <n v="100000"/>
    <x v="20"/>
    <x v="0"/>
    <s v="Dólares"/>
    <s v="Dólares"/>
    <s v="Paraguay  al 1300"/>
    <s v="Argentina | Capital Federal | Recoleta "/>
    <x v="0"/>
    <n v="2"/>
    <s v="Destino"/>
    <s v="Propia (Único Asesor)"/>
    <x v="1"/>
    <s v="Venta"/>
    <x v="3"/>
    <s v="Recoleta"/>
  </r>
  <r>
    <d v="2025-06-13T00:00:00"/>
    <x v="1"/>
    <x v="4"/>
    <m/>
    <x v="1"/>
    <s v="UF N° 7 de 407,00m2, Loteo A, Loteo Quetrihue"/>
    <s v="Realizado"/>
    <s v="AR ZonaProp"/>
    <n v="42735"/>
    <x v="21"/>
    <x v="0"/>
    <s v="Dólares"/>
    <s v="Dólares"/>
    <s v="Bv, Quetrihue y Amancay"/>
    <s v="Argentina | Neuquen | Villa La Angostura "/>
    <x v="1"/>
    <n v="2"/>
    <s v="Patagonia Lakes VLA"/>
    <s v="Compartida en Oficina (Dos Asesores)"/>
    <x v="1"/>
    <s v="Venta"/>
    <x v="1"/>
    <s v="Villa La Angostura"/>
  </r>
  <r>
    <d v="2026-03-09T00:00:00"/>
    <x v="0"/>
    <x v="9"/>
    <s v="CAP7649184"/>
    <x v="0"/>
    <s v="Venta departamento dos ambientes Balvanera"/>
    <s v="Realizado"/>
    <s v="AR ZonaProp"/>
    <n v="45000"/>
    <x v="22"/>
    <x v="0"/>
    <s v="Dólares"/>
    <s v="Dólares"/>
    <s v="Alberti  al 100"/>
    <s v="Argentina | Capital Federal | Balvanera "/>
    <x v="0"/>
    <n v="2"/>
    <s v="Destino"/>
    <s v="Compartida Fuera de la Red Captación Propia"/>
    <x v="0"/>
    <s v="Venta"/>
    <x v="3"/>
    <s v="Recoleta"/>
  </r>
  <r>
    <d v="2025-06-27T00:00:00"/>
    <x v="1"/>
    <x v="4"/>
    <s v="CHO6619643"/>
    <x v="0"/>
    <s v="Casa de 4amb a Refaccionar en Venta excelente Ubicacion con Jardin"/>
    <s v="Realizado"/>
    <s v="AR MercadoLibre"/>
    <n v="43000"/>
    <x v="22"/>
    <x v="0"/>
    <s v="Dólares"/>
    <s v="Dólares"/>
    <s v="Potosi  al 2900"/>
    <s v="Argentina | G.B.A. Zona Oeste | Hurlingham | Hurlingham | William Morris"/>
    <x v="2"/>
    <n v="2"/>
    <s v="Lion Team"/>
    <s v="Propia (Único Asesor)"/>
    <x v="1"/>
    <s v="Venta"/>
    <x v="3"/>
    <s v="Villa Urquiza"/>
  </r>
  <r>
    <d v="2025-10-22T00:00:00"/>
    <x v="1"/>
    <x v="11"/>
    <s v="CAP7288480"/>
    <x v="0"/>
    <s v="Departamento en venta Ciudad de Mendoza"/>
    <s v="Realizado"/>
    <s v="Facebook"/>
    <n v="47000"/>
    <x v="22"/>
    <x v="0"/>
    <s v="Dólares"/>
    <s v="Dólares"/>
    <s v="Necochea  40"/>
    <s v="Argentina | Mendoza | Capital | Mendoza"/>
    <x v="0"/>
    <n v="2"/>
    <s v="Cuyo Real"/>
    <s v="Propia (Único Asesor)"/>
    <x v="1"/>
    <s v="Venta"/>
    <x v="2"/>
    <s v="Capital Mendoza"/>
  </r>
  <r>
    <d v="2025-12-11T00:00:00"/>
    <x v="1"/>
    <x v="8"/>
    <s v="CAP7334372"/>
    <x v="0"/>
    <s v="VENDO MONOAMBIENTE EN URQUIZA AL FRENTE"/>
    <s v="Realizado"/>
    <s v="AR ZonaProp"/>
    <n v="45000"/>
    <x v="22"/>
    <x v="0"/>
    <s v="Dólares"/>
    <s v="Dólares"/>
    <s v="CAMPILLO  al 3000"/>
    <s v="Argentina | Capital Federal | Parque Chas "/>
    <x v="0"/>
    <n v="2"/>
    <s v="Niceto"/>
    <s v="Propia (Único Asesor)"/>
    <x v="1"/>
    <s v="Venta"/>
    <x v="3"/>
    <s v="Palermo"/>
  </r>
  <r>
    <d v="2026-03-31T00:00:00"/>
    <x v="0"/>
    <x v="9"/>
    <s v="CAP6731034"/>
    <x v="0"/>
    <s v="Venta Departamento Godoy  Cruz, complejo privado Dto 13"/>
    <s v="Realizado"/>
    <s v="AR ZonaProp"/>
    <n v="49000"/>
    <x v="22"/>
    <x v="0"/>
    <s v="Dólares"/>
    <s v="Dólares"/>
    <s v="Cervantes al 1400"/>
    <s v="Argentina | Mendoza | Godoy Cruz | Godoy Cruz | Gobernador Benegas"/>
    <x v="0"/>
    <n v="2"/>
    <s v="Cuyo Real"/>
    <s v="Propia (Único Asesor)"/>
    <x v="1"/>
    <s v="Venta"/>
    <x v="2"/>
    <s v="Capital Mendoza"/>
  </r>
  <r>
    <d v="2026-02-18T00:00:00"/>
    <x v="0"/>
    <x v="0"/>
    <m/>
    <x v="0"/>
    <s v="UF 29 Loteo C Quetrihue"/>
    <s v="Realizado"/>
    <s v="Facebook"/>
    <n v="43200"/>
    <x v="23"/>
    <x v="0"/>
    <s v="Dólares"/>
    <s v="Dólares"/>
    <s v="Bv. Quetrihue y Amancay"/>
    <s v="Argentina | Neuquen | Villa La Angostura | Selva Triste"/>
    <x v="1"/>
    <n v="2"/>
    <s v="Patagonia Lakes VLA"/>
    <s v="Compartida en Oficina (Dos Asesores)"/>
    <x v="1"/>
    <s v="Venta"/>
    <x v="1"/>
    <s v="Villa La Angostura"/>
  </r>
  <r>
    <d v="2025-01-27T00:00:00"/>
    <x v="1"/>
    <x v="10"/>
    <s v="VPN55315 LA5976242"/>
    <x v="0"/>
    <s v="Lote Interno en Venta, La Serena, General Rodriguez "/>
    <s v="Realizado"/>
    <s v="Instagram"/>
    <n v="44880"/>
    <x v="24"/>
    <x v="0"/>
    <s v="Dólares"/>
    <s v="Dólares"/>
    <s v="Venta lote La Serena Barrio Cerrado Gral Rodriguez, Ruta 28   "/>
    <s v="Argentina | G.B.A. Zona Oeste | General Rodriguez | Countries/B.Cerrado (G. Rodriguez)"/>
    <x v="1"/>
    <n v="2"/>
    <s v="Puerto Norte"/>
    <s v="Compartida en Oficina (Dos Asesores)"/>
    <x v="1"/>
    <s v="Venta"/>
    <x v="6"/>
    <s v="Nordelta"/>
  </r>
  <r>
    <d v="2025-05-30T00:00:00"/>
    <x v="1"/>
    <x v="2"/>
    <s v="Santo Tomás"/>
    <x v="2"/>
    <s v="Venta Lote en Santo Tomás"/>
    <s v="Realizado"/>
    <s v="Referido"/>
    <n v="45000"/>
    <x v="25"/>
    <x v="0"/>
    <s v="Dólares"/>
    <s v="Dólares"/>
    <m/>
    <s v="Argentina | G.B.A. Zona Norte | Pilar | Countries/B.Cerrado (Pilar) | Santo Tomás"/>
    <x v="1"/>
    <n v="2"/>
    <s v="North Team"/>
    <s v="Compartida en Red (50%)"/>
    <x v="1"/>
    <s v="Venta"/>
    <x v="6"/>
    <s v="Pilar"/>
  </r>
  <r>
    <d v="2026-02-13T00:00:00"/>
    <x v="0"/>
    <x v="0"/>
    <s v="ALA6249754"/>
    <x v="0"/>
    <s v="Terreno en Mar del Plata"/>
    <s v="Realizado"/>
    <s v="AR MercadoLibre"/>
    <n v="35000"/>
    <x v="25"/>
    <x v="0"/>
    <s v="Dólares"/>
    <s v="Dólares"/>
    <s v="Felipe de Arana al 4800"/>
    <s v="Argentina | Interior Buenos Aires | General Pueyrredon | Mar Del Plata"/>
    <x v="1"/>
    <n v="2"/>
    <s v="Desiderio"/>
    <s v="Compartida Fuera de la Red Captación Propia"/>
    <x v="0"/>
    <s v="Venta"/>
    <x v="3"/>
    <s v="Caballito"/>
  </r>
  <r>
    <d v="2025-05-30T00:00:00"/>
    <x v="1"/>
    <x v="2"/>
    <s v="BARRIO SANTO TOMAS- DERQUI 245"/>
    <x v="0"/>
    <s v="BARRIO SANTO TOMAS-DERQUI 245"/>
    <s v="Realizado"/>
    <s v="AR ZonaProp"/>
    <n v="43500"/>
    <x v="25"/>
    <x v="0"/>
    <s v="Dólares"/>
    <s v="Dólares"/>
    <s v="BARRIO SANTO TOMAS- DERQUI 245"/>
    <s v="Argentina | G.B.A. Zona Norte | Pilar "/>
    <x v="1"/>
    <n v="2"/>
    <s v="Lion Team Norte"/>
    <s v="Propia (Único Asesor)"/>
    <x v="1"/>
    <s v="Venta"/>
    <x v="6"/>
    <s v="Vicente López"/>
  </r>
  <r>
    <d v="2026-02-21T00:00:00"/>
    <x v="0"/>
    <x v="0"/>
    <m/>
    <x v="1"/>
    <s v="UF 15 loteo C Quetrihue"/>
    <s v="Realizado"/>
    <s v="Facebook"/>
    <n v="44000"/>
    <x v="26"/>
    <x v="0"/>
    <s v="Dólares"/>
    <s v="Dólares"/>
    <s v="Bv. Quetrihue y Amancay"/>
    <s v="Argentina | Neuquen | Villa La Angostura | Selva Triste"/>
    <x v="1"/>
    <n v="2"/>
    <s v="Patagonia Lakes VLA"/>
    <s v="Compartida en Oficina (Dos Asesores)"/>
    <x v="1"/>
    <s v="Venta"/>
    <x v="1"/>
    <s v="Villa La Angostura"/>
  </r>
  <r>
    <d v="2025-04-28T00:00:00"/>
    <x v="1"/>
    <x v="3"/>
    <s v="elpidio gonzales"/>
    <x v="0"/>
    <s v="Elpidio gonzales"/>
    <s v="Realizado"/>
    <s v="Conocido"/>
    <n v="44000"/>
    <x v="26"/>
    <x v="0"/>
    <s v="Dólares"/>
    <s v="Dólares"/>
    <m/>
    <s v="Argentina | Mendoza | Guaymallen "/>
    <x v="1"/>
    <n v="1"/>
    <s v="Cuyo Real"/>
    <s v="Compartida Fuera de la Red Búsqueda"/>
    <x v="2"/>
    <s v="Venta"/>
    <x v="2"/>
    <s v="Capital Mendoza"/>
  </r>
  <r>
    <d v="2025-01-30T00:00:00"/>
    <x v="1"/>
    <x v="10"/>
    <s v="CHO6606168"/>
    <x v="0"/>
    <s v="Casa QUINCHO EN VILLA EL CHOCON"/>
    <s v="Realizado"/>
    <s v="AR ZonaProp"/>
    <n v="44000"/>
    <x v="26"/>
    <x v="0"/>
    <s v="Dólares"/>
    <s v="Dólares"/>
    <s v="S.N"/>
    <s v="Argentina | Neuquen | Confluencia | Villa El Chocon"/>
    <x v="2"/>
    <n v="2"/>
    <s v="Sensus"/>
    <s v="Propia (Único Asesor)"/>
    <x v="1"/>
    <s v="Venta"/>
    <x v="1"/>
    <s v="Capital Neuquén"/>
  </r>
  <r>
    <d v="2025-06-17T00:00:00"/>
    <x v="1"/>
    <x v="4"/>
    <s v="CAP6677638"/>
    <x v="0"/>
    <s v="Departamento en  venta Saenz Peña 1amb"/>
    <s v="Realizado"/>
    <s v="AR MercadoLibre"/>
    <n v="47000"/>
    <x v="26"/>
    <x v="0"/>
    <s v="Dólares"/>
    <s v="Dólares"/>
    <s v="Ceraso al 700"/>
    <s v="Argentina | G.B.A. Zona Oeste | Tres De Febrero | Villa Saenz Peña"/>
    <x v="0"/>
    <n v="2"/>
    <s v="Lion Team"/>
    <s v="Propia (Único Asesor)"/>
    <x v="1"/>
    <s v="Venta"/>
    <x v="3"/>
    <s v="Villa Urquiza"/>
  </r>
  <r>
    <d v="2025-07-11T00:00:00"/>
    <x v="1"/>
    <x v="1"/>
    <s v="CAP6793998"/>
    <x v="0"/>
    <s v="Departamento en  "/>
    <s v="Realizado"/>
    <s v="AR ZonaProp"/>
    <n v="45000"/>
    <x v="26"/>
    <x v="0"/>
    <s v="Dólares"/>
    <s v="Dólares"/>
    <s v="SAN PEDRITO  al 1500"/>
    <s v="Argentina | Capital Federal | Flores | Flores Sur"/>
    <x v="0"/>
    <n v="2"/>
    <s v="Horizon Group"/>
    <s v="Propia (Único Asesor)"/>
    <x v="1"/>
    <s v="Venta"/>
    <x v="3"/>
    <s v="Núñez"/>
  </r>
  <r>
    <d v="2025-08-05T00:00:00"/>
    <x v="1"/>
    <x v="5"/>
    <s v="CHO5798626"/>
    <x v="0"/>
    <s v="Casa en  Venta . Villa Regina "/>
    <s v="Realizado"/>
    <s v="Web Coldwell-Banker"/>
    <n v="46000"/>
    <x v="26"/>
    <x v="0"/>
    <s v="Dólares"/>
    <s v="Dólares"/>
    <s v="Los olmos  al 1400"/>
    <s v="Argentina | Rio Negro | General Roca | Villa Regina"/>
    <x v="2"/>
    <n v="2"/>
    <s v="Sensus"/>
    <s v="Propia (Único Asesor)"/>
    <x v="1"/>
    <s v="Venta"/>
    <x v="1"/>
    <s v="Capital Neuquén"/>
  </r>
  <r>
    <d v="2025-12-01T00:00:00"/>
    <x v="1"/>
    <x v="8"/>
    <s v="CAP7079869"/>
    <x v="0"/>
    <s v="Departamento en  San Martin y Peatonal"/>
    <s v="Realizado"/>
    <s v="AR ZonaProp"/>
    <n v="47000"/>
    <x v="26"/>
    <x v="0"/>
    <s v="Dólares"/>
    <s v="Dólares"/>
    <s v="san martin  al 1000"/>
    <s v="Argentina | Mendoza | Capital | Mendoza"/>
    <x v="0"/>
    <n v="2"/>
    <s v="Cuyo Real"/>
    <s v="Propia (Único Asesor)"/>
    <x v="1"/>
    <s v="Venta"/>
    <x v="2"/>
    <s v="Capital Mendoza"/>
  </r>
  <r>
    <d v="2025-12-03T00:00:00"/>
    <x v="1"/>
    <x v="8"/>
    <s v="JAP7072396"/>
    <x v="0"/>
    <s v="Departamento en  Venta  Caballito 2 ambientes Oportunidad!!!"/>
    <s v="Realizado"/>
    <s v="AR ZonaProp"/>
    <n v="45000"/>
    <x v="26"/>
    <x v="0"/>
    <s v="Dólares"/>
    <s v="Dólares"/>
    <s v="Eleodoro Lobos al 200"/>
    <s v="Argentina | Capital Federal | Caballito "/>
    <x v="0"/>
    <n v="2"/>
    <s v="Lion Team Norte"/>
    <s v="Propia (Único Asesor)"/>
    <x v="1"/>
    <s v="Venta"/>
    <x v="6"/>
    <s v="Vicente López"/>
  </r>
  <r>
    <d v="2025-12-18T00:00:00"/>
    <x v="1"/>
    <x v="8"/>
    <s v="CLA6571835"/>
    <x v="0"/>
    <s v="Terreno en  Venta en Tupungato"/>
    <s v="Realizado"/>
    <s v="AR ZonaProp"/>
    <n v="46200"/>
    <x v="26"/>
    <x v="0"/>
    <s v="Dólares"/>
    <s v="Dólares"/>
    <s v="La Gloria s/n Lote1"/>
    <s v="Argentina | Mendoza | Tupungato | El Peral"/>
    <x v="1"/>
    <n v="2"/>
    <s v="Cuyo Real"/>
    <s v="Propia (Único Asesor)"/>
    <x v="1"/>
    <s v="Venta"/>
    <x v="2"/>
    <s v="Capital Mendoza"/>
  </r>
  <r>
    <d v="2025-01-13T00:00:00"/>
    <x v="1"/>
    <x v="10"/>
    <s v="CBA47695 LA6368113"/>
    <x v="0"/>
    <s v="VENTA terreno de 315,33 m2 en LOTEO &quot;ANTIGUO CAMINO&quot; Bariloche"/>
    <s v="Realizado"/>
    <s v="Teléfono"/>
    <n v="44150"/>
    <x v="27"/>
    <x v="0"/>
    <s v="Dólares"/>
    <s v="Dólares"/>
    <s v="Antiguo Camino, San Carlos de Bariloche"/>
    <s v="Argentina | Rio Negro | Bariloche | San Carlos De Bariloche | Lago Moreno"/>
    <x v="1"/>
    <n v="2"/>
    <s v="Patagonia Lakes BRC"/>
    <s v="Propia (Único Asesor)"/>
    <x v="1"/>
    <s v="Venta"/>
    <x v="7"/>
    <s v="Bariloche"/>
  </r>
  <r>
    <d v="2025-07-01T00:00:00"/>
    <x v="1"/>
    <x v="1"/>
    <s v="CLA7124193"/>
    <x v="0"/>
    <s v="Terreno en VENTA LAS MORAS HIGUERILLA"/>
    <s v="Realizado"/>
    <s v="Conocido"/>
    <n v="44350"/>
    <x v="28"/>
    <x v="0"/>
    <s v="Dólares"/>
    <s v="Dólares"/>
    <s v="LAS MORAS HIGUERILLA"/>
    <s v="Argentina | Jujuy | Dr Manuel Belgrano | San Salvador De Jujuy"/>
    <x v="1"/>
    <n v="2"/>
    <s v="Plaza"/>
    <s v="Propia (Único Asesor)"/>
    <x v="1"/>
    <s v="Venta"/>
    <x v="8"/>
    <s v="Capital Jujuy"/>
  </r>
  <r>
    <d v="2026-03-17T00:00:00"/>
    <x v="0"/>
    <x v="9"/>
    <s v="Terreno LucianoLargo"/>
    <x v="0"/>
    <s v="Terreno LucianoLargo"/>
    <s v="Realizado"/>
    <s v="Referido"/>
    <n v="44683"/>
    <x v="29"/>
    <x v="0"/>
    <s v="Dólares"/>
    <s v="Dólares"/>
    <m/>
    <s v="Argentina | Neuquen | Capital "/>
    <x v="1"/>
    <n v="2"/>
    <s v="Sensus"/>
    <s v="Propia (Único Asesor)"/>
    <x v="1"/>
    <s v="Venta"/>
    <x v="1"/>
    <s v="Capital Neuquén"/>
  </r>
  <r>
    <d v="2025-04-28T00:00:00"/>
    <x v="1"/>
    <x v="3"/>
    <s v="CHO6403072"/>
    <x v="0"/>
    <s v="Casa en  venta Villa hipodromo"/>
    <s v="Realizado"/>
    <s v="AR MercadoLibre"/>
    <n v="44900"/>
    <x v="30"/>
    <x v="0"/>
    <s v="Dólares"/>
    <s v="Dólares"/>
    <s v="Montes de Oca al 1000"/>
    <s v="Argentina | Mendoza | Godoy Cruz | Villa Hipodromo"/>
    <x v="2"/>
    <n v="2"/>
    <s v="Cuyo Real"/>
    <s v="Propia (Único Asesor)"/>
    <x v="1"/>
    <s v="Venta"/>
    <x v="2"/>
    <s v="Capital Mendoza"/>
  </r>
  <r>
    <d v="2025-01-10T00:00:00"/>
    <x v="1"/>
    <x v="10"/>
    <s v="CBU60695 AP6633713"/>
    <x v="0"/>
    <s v="Departamento en  Venta en Lujan de Cuyo - Mendoza"/>
    <s v="Realizado"/>
    <s v="Conocido"/>
    <n v="45000"/>
    <x v="31"/>
    <x v="0"/>
    <s v="Dólares"/>
    <s v="Dólares"/>
    <s v="Azcuenaga s/n"/>
    <s v="Argentina | Mendoza | Lujan De Cuyo "/>
    <x v="0"/>
    <n v="1"/>
    <s v="Cuyo Real"/>
    <s v="(Interior) Compartida Fuera de la Red Captación Propia"/>
    <x v="0"/>
    <s v="Venta"/>
    <x v="2"/>
    <s v="Capital Mendoza"/>
  </r>
  <r>
    <d v="2025-06-17T00:00:00"/>
    <x v="1"/>
    <x v="4"/>
    <s v="CBA47695 LA6353553"/>
    <x v="0"/>
    <s v="VENTA terreno de 655 m2 en LOTEO &quot;ANTIGUO CAMINO&quot; Bariloche"/>
    <s v="Realizado"/>
    <s v="Teléfono"/>
    <n v="46410"/>
    <x v="31"/>
    <x v="0"/>
    <s v="Dólares"/>
    <s v="Dólares"/>
    <s v="Antiguo Camino, San Carlos de Bariloche"/>
    <s v="Argentina | Rio Negro | Bariloche | San Carlos De Bariloche | Lago Moreno"/>
    <x v="1"/>
    <n v="1"/>
    <s v="Patagonia Lakes BRC"/>
    <s v="(Interior) Compartida Fuera de la Red Captación Propia"/>
    <x v="0"/>
    <s v="Venta"/>
    <x v="7"/>
    <s v="Bariloche"/>
  </r>
  <r>
    <d v="2026-02-05T00:00:00"/>
    <x v="0"/>
    <x v="0"/>
    <s v="CLA7318565"/>
    <x v="0"/>
    <s v="VENTA Lote/Terreno 1.630 m2, B° Las Marías del Valle, San Martín de los Andes"/>
    <s v="Realizado"/>
    <s v="Conocido"/>
    <n v="47000"/>
    <x v="31"/>
    <x v="0"/>
    <s v="Dólares"/>
    <s v="Dólares"/>
    <s v="Ruta 40 Km 2232"/>
    <s v="Argentina | Neuquen | Lacar | San Martin De Los Andes"/>
    <x v="1"/>
    <n v="1"/>
    <s v="Patagonia Lakes SMA"/>
    <s v="(Interior) Compartida Fuera de la Red Captación Propia"/>
    <x v="0"/>
    <s v="Venta"/>
    <x v="1"/>
    <s v="San Martín de los Andes"/>
  </r>
  <r>
    <d v="2026-01-09T00:00:00"/>
    <x v="0"/>
    <x v="10"/>
    <m/>
    <x v="1"/>
    <s v="UNIDAD FUNCIONAL Nº 27 (veintisiete), que corresponde al “Loteo A”.  Quetrihue. La Unidad Funcional cuenta con la siguiente superficie: 376,81 m2"/>
    <s v="Realizado"/>
    <s v="Referido"/>
    <n v="45000"/>
    <x v="31"/>
    <x v="0"/>
    <s v="Dólares"/>
    <s v="Dólares"/>
    <s v="Bv, Quetrihue y Amancay"/>
    <s v="Argentina | Neuquen | Villa La Angostura | Selva Triste"/>
    <x v="1"/>
    <n v="2"/>
    <s v="Patagonia Lakes VLA"/>
    <s v="Compartida en Oficina (Dos Asesores)"/>
    <x v="1"/>
    <s v="Venta"/>
    <x v="1"/>
    <s v="Villa La Angostura"/>
  </r>
  <r>
    <d v="2025-07-15T00:00:00"/>
    <x v="1"/>
    <x v="1"/>
    <s v="CLA6975098"/>
    <x v="0"/>
    <s v="Terreno en  venta San lorenzo finca catellanos ) ruta 28 Km 11"/>
    <s v="Realizado"/>
    <s v="Facebook"/>
    <n v="52000"/>
    <x v="31"/>
    <x v="0"/>
    <s v="Dólares"/>
    <s v="Dólares"/>
    <s v="San Lorenzo Lesser, finca castellanos"/>
    <s v="Argentina | Salta | Capital | San Lorenzo"/>
    <x v="1"/>
    <n v="2"/>
    <s v="Realty Group"/>
    <s v="Compartida en Oficina (Dos Asesores)"/>
    <x v="1"/>
    <s v="Venta"/>
    <x v="4"/>
    <s v="San Lorenzo Chico"/>
  </r>
  <r>
    <d v="2026-01-09T00:00:00"/>
    <x v="0"/>
    <x v="10"/>
    <m/>
    <x v="0"/>
    <s v="UNIDAD FUNCIONAL Nº 28 (veintiocho), que corresponde al loteo A. Quetrihue . La Unidad Funcional cuenta con la siguiente superficie: 358,87 m2 "/>
    <s v="Realizado"/>
    <s v="Referido"/>
    <n v="45000"/>
    <x v="31"/>
    <x v="0"/>
    <s v="Dólares"/>
    <s v="Dólares"/>
    <s v="Bv. Quetrihue y Amancay"/>
    <s v="Argentina | Neuquen | Villa La Angostura | Selva Triste"/>
    <x v="1"/>
    <n v="2"/>
    <s v="Patagonia Lakes VLA"/>
    <s v="Compartida en Oficina (Dos Asesores)"/>
    <x v="1"/>
    <s v="Venta"/>
    <x v="1"/>
    <s v="Villa La Angostura"/>
  </r>
  <r>
    <d v="2026-01-23T00:00:00"/>
    <x v="0"/>
    <x v="10"/>
    <s v="CAP6499456"/>
    <x v="0"/>
    <s v="DEPARTAMENTO PREVENTA - MONOAMBIENTE - SANTOS LUGARES - CASEROS - SAENZ PEÑA - A ESTRENAR"/>
    <s v="Realizado"/>
    <s v="AR ZonaProp"/>
    <n v="45000"/>
    <x v="31"/>
    <x v="0"/>
    <s v="Dólares"/>
    <s v="Dólares"/>
    <s v="Asamblea  al 4000"/>
    <s v="Argentina | G.B.A. Zona Oeste | Tres De Febrero | Caseros"/>
    <x v="0"/>
    <n v="2"/>
    <s v="Boutique"/>
    <s v="Compartida en Red (50%)"/>
    <x v="1"/>
    <s v="Venta"/>
    <x v="0"/>
    <s v="Canning"/>
  </r>
  <r>
    <d v="2026-01-26T00:00:00"/>
    <x v="0"/>
    <x v="10"/>
    <s v="ASAMBLEA 4083  PISO 2 UNIDAD B"/>
    <x v="1"/>
    <s v="ASAMBLEA 4083  PISO 2 UNIDAD B"/>
    <s v="Realizado"/>
    <s v="AR ZonaProp"/>
    <n v="45000"/>
    <x v="31"/>
    <x v="0"/>
    <s v="Dólares"/>
    <s v="Dólares"/>
    <s v="ASAMBLEA 4083  PISO 2 UNIDAD B"/>
    <s v="Argentina | G.B.A. Zona Oeste | Tres De Febrero | Santos Lugares"/>
    <x v="0"/>
    <n v="2"/>
    <s v="Lion Team Norte"/>
    <s v="Compartida en Red (50%)"/>
    <x v="1"/>
    <s v="Venta"/>
    <x v="6"/>
    <s v="Vicente López"/>
  </r>
  <r>
    <d v="2025-04-15T00:00:00"/>
    <x v="1"/>
    <x v="3"/>
    <m/>
    <x v="0"/>
    <s v="SARMIENTO 2232 - REMAX EXPRESS"/>
    <s v="Realizado"/>
    <s v="AR ZonaProp"/>
    <n v="45000"/>
    <x v="31"/>
    <x v="0"/>
    <s v="Dólares"/>
    <s v="Dólares"/>
    <s v="Sarmiento 2232"/>
    <s v="Argentina | Capital Federal | Almagro "/>
    <x v="0"/>
    <n v="1"/>
    <s v="Destino"/>
    <s v="Compartida Fuera de la Red Búsqueda"/>
    <x v="2"/>
    <s v="Venta"/>
    <x v="3"/>
    <s v="Recoleta"/>
  </r>
  <r>
    <d v="2025-10-17T00:00:00"/>
    <x v="1"/>
    <x v="11"/>
    <s v="MATANZA 3400"/>
    <x v="0"/>
    <s v="VENTA DTO CALLE MATANZA 3400 CABA"/>
    <s v="Realizado"/>
    <s v="Teléfono"/>
    <n v="45000"/>
    <x v="31"/>
    <x v="0"/>
    <s v="Dólares"/>
    <s v="Dólares"/>
    <s v="MATANZA 3410"/>
    <s v="Argentina | Capital Federal | Pompeya "/>
    <x v="0"/>
    <n v="1"/>
    <s v="Boutique"/>
    <s v="Compartida Fuera de la Red Búsqueda"/>
    <x v="2"/>
    <s v="Venta"/>
    <x v="0"/>
    <s v="Canning"/>
  </r>
  <r>
    <d v="2025-12-10T00:00:00"/>
    <x v="1"/>
    <x v="8"/>
    <n v="10602"/>
    <x v="0"/>
    <s v="Billinghurst 329 5B"/>
    <s v="Realizado"/>
    <s v="AR ZonaProp"/>
    <n v="45000"/>
    <x v="31"/>
    <x v="0"/>
    <s v="Dólares"/>
    <s v="Dólares"/>
    <s v="Billinghurst 329 5B"/>
    <s v="Argentina | Capital Federal | Palermo "/>
    <x v="0"/>
    <n v="1"/>
    <s v="Seniority"/>
    <s v="Compartida Fuera de la Red Búsqueda"/>
    <x v="2"/>
    <s v="Venta"/>
    <x v="3"/>
    <s v="Barrio Parque"/>
  </r>
  <r>
    <d v="2025-02-05T00:00:00"/>
    <x v="1"/>
    <x v="0"/>
    <s v="CBU60695 AP6633715"/>
    <x v="0"/>
    <s v="Departamento en  Venta en Lujan de Cuyo - Mendoza"/>
    <s v="Realizado"/>
    <s v="AR ZonaProp"/>
    <n v="45000"/>
    <x v="31"/>
    <x v="0"/>
    <s v="Dólares"/>
    <s v="Dólares"/>
    <s v="Azcuenaga s/n"/>
    <s v="Argentina | Mendoza | Lujan De Cuyo "/>
    <x v="0"/>
    <n v="2"/>
    <s v="Cuyo Real"/>
    <s v="Compartida Fuera de la Red Captación Propia"/>
    <x v="0"/>
    <s v="Venta"/>
    <x v="2"/>
    <s v="Capital Mendoza"/>
  </r>
  <r>
    <d v="2025-01-09T00:00:00"/>
    <x v="1"/>
    <x v="10"/>
    <s v="CGL6038938"/>
    <x v="0"/>
    <s v="Galpón en  Sarandi"/>
    <s v="Realizado"/>
    <s v="AR ZonaProp"/>
    <n v="75000"/>
    <x v="31"/>
    <x v="0"/>
    <s v="Dólares"/>
    <s v="Dólares"/>
    <s v="Helguera al 2500"/>
    <s v="Argentina | G.B.A. Zona Sur | Avellaneda | Sarandi"/>
    <x v="7"/>
    <n v="2"/>
    <s v="Destino"/>
    <s v="Propia (Único Asesor)"/>
    <x v="1"/>
    <s v="Venta"/>
    <x v="3"/>
    <s v="Recoleta"/>
  </r>
  <r>
    <d v="2025-01-10T00:00:00"/>
    <x v="1"/>
    <x v="10"/>
    <s v="CLA5824535"/>
    <x v="0"/>
    <s v="Oportunidad de inversión! Terreno en Tres Cerritos con hermosas vistas de la ciudad. "/>
    <s v="Realizado"/>
    <s v="Facebook"/>
    <n v="45000"/>
    <x v="31"/>
    <x v="0"/>
    <s v="Dólares"/>
    <s v="Dólares"/>
    <s v="Los Parrales al 800"/>
    <s v="Argentina | Salta | Capital | Salta | Bo.Tres Cerritos"/>
    <x v="1"/>
    <n v="2"/>
    <s v="Realty Group"/>
    <s v="Propia (Único Asesor)"/>
    <x v="1"/>
    <s v="Venta"/>
    <x v="4"/>
    <s v="San Lorenzo Chico"/>
  </r>
  <r>
    <d v="2025-05-15T00:00:00"/>
    <x v="1"/>
    <x v="2"/>
    <s v="JAP6844108"/>
    <x v="0"/>
    <s v="Departamento venta 2 ambientes  con balcón grande luminoso y con lavadero "/>
    <s v="Realizado"/>
    <s v="AR ZonaProp"/>
    <n v="52000"/>
    <x v="31"/>
    <x v="0"/>
    <s v="Dólares"/>
    <s v="Dólares"/>
    <s v="solis 766"/>
    <s v="Argentina | Capital Federal | Congreso "/>
    <x v="0"/>
    <n v="2"/>
    <s v="Lion Team Norte"/>
    <s v="Propia (Único Asesor)"/>
    <x v="1"/>
    <s v="Venta"/>
    <x v="6"/>
    <s v="Vicente López"/>
  </r>
  <r>
    <d v="2025-07-02T00:00:00"/>
    <x v="1"/>
    <x v="1"/>
    <s v="CLA6933046"/>
    <x v="0"/>
    <s v="TERRENO EN VENTA EN LUJAN DE CUYO (SE ESCUCHAN OFERTAS)"/>
    <s v="Realizado"/>
    <s v="AR ArgenProp"/>
    <n v="50000"/>
    <x v="31"/>
    <x v="0"/>
    <s v="Dólares"/>
    <s v="Dólares"/>
    <s v="Los aromos  al 400"/>
    <s v="Argentina | Mendoza | Lujan De Cuyo | Chacras De Coria"/>
    <x v="1"/>
    <n v="2"/>
    <s v="Cuyo Real"/>
    <s v="Propia (Único Asesor)"/>
    <x v="1"/>
    <s v="Venta"/>
    <x v="2"/>
    <s v="Capital Mendoza"/>
  </r>
  <r>
    <d v="2025-09-03T00:00:00"/>
    <x v="1"/>
    <x v="6"/>
    <s v="CLO7103501"/>
    <x v="0"/>
    <s v="Local en el centro de Nueva Pompeya"/>
    <s v="Realizado"/>
    <s v="AR ArgenProp"/>
    <n v="49900"/>
    <x v="31"/>
    <x v="0"/>
    <s v="Dólares"/>
    <s v="Dólares"/>
    <s v="Ventana al 3800"/>
    <s v="Argentina | Capital Federal | Pompeya "/>
    <x v="4"/>
    <n v="2"/>
    <s v="Lion Team"/>
    <s v="Propia (Único Asesor)"/>
    <x v="1"/>
    <s v="Venta"/>
    <x v="3"/>
    <s v="Villa Urquiza"/>
  </r>
  <r>
    <d v="2025-09-08T00:00:00"/>
    <x v="1"/>
    <x v="6"/>
    <s v="CPH6635677"/>
    <x v="0"/>
    <s v="PH Real Oportunidad En Loma Hermosa"/>
    <s v="Realizado"/>
    <s v="AR ArgenProp"/>
    <n v="49000"/>
    <x v="31"/>
    <x v="0"/>
    <s v="Dólares"/>
    <s v="Dólares"/>
    <s v="Argentina al 800"/>
    <s v="Argentina | G.B.A. Zona Oeste | Tres De Febrero | Loma Hermosa"/>
    <x v="3"/>
    <n v="2"/>
    <s v="Lion Team"/>
    <s v="Propia (Único Asesor)"/>
    <x v="1"/>
    <s v="Venta"/>
    <x v="3"/>
    <s v="Villa Urquiza"/>
  </r>
  <r>
    <d v="2025-09-18T00:00:00"/>
    <x v="1"/>
    <x v="6"/>
    <s v="CLA6772282"/>
    <x v="0"/>
    <s v="OPORTUNIDAD VENTA Terreno 1873m2 en Altos del Ñirihuao"/>
    <s v="Realizado"/>
    <s v="Teléfono"/>
    <n v="40000"/>
    <x v="31"/>
    <x v="0"/>
    <s v="Dólares"/>
    <s v="Dólares"/>
    <s v="Altos del Ñirihuau, Dina Huapi"/>
    <s v="Argentina | Rio Negro | Pilcaniyeu | Dina Huapi"/>
    <x v="1"/>
    <n v="2"/>
    <s v="Patagonia Lakes BRC"/>
    <s v="Propia (Único Asesor)"/>
    <x v="1"/>
    <s v="Venta"/>
    <x v="7"/>
    <s v="Bariloche"/>
  </r>
  <r>
    <d v="2025-09-30T00:00:00"/>
    <x v="1"/>
    <x v="6"/>
    <s v="Zelada 5650"/>
    <x v="0"/>
    <s v="Zelada 5650"/>
    <s v="Realizado"/>
    <s v="AR ZonaProp"/>
    <n v="45000"/>
    <x v="31"/>
    <x v="0"/>
    <s v="Dólares"/>
    <s v="Dólares"/>
    <s v="Zelada 5650"/>
    <s v="Argentina | Capital Federal | Capital Federal "/>
    <x v="3"/>
    <n v="2"/>
    <s v="Lion Team"/>
    <s v="Propia (Único Asesor)"/>
    <x v="1"/>
    <s v="Venta"/>
    <x v="3"/>
    <s v="Villa Urquiza"/>
  </r>
  <r>
    <d v="2025-10-06T00:00:00"/>
    <x v="1"/>
    <x v="11"/>
    <m/>
    <x v="0"/>
    <s v="Lote 1533 m2 Piedra San Francisco  15-25-050-3372-000"/>
    <s v="Realizado"/>
    <s v="Repetido"/>
    <n v="45000"/>
    <x v="31"/>
    <x v="0"/>
    <s v="Dólares"/>
    <s v="Dólares"/>
    <s v="Piedra San Francisco"/>
    <s v="Argentina | Neuquen | Lacar | San Martin De Los Andes"/>
    <x v="1"/>
    <n v="2"/>
    <s v="Patagonia Lakes SMA"/>
    <s v="Propia (Único Asesor)"/>
    <x v="1"/>
    <s v="Venta"/>
    <x v="1"/>
    <s v="San Martín de los Andes"/>
  </r>
  <r>
    <d v="2026-02-12T00:00:00"/>
    <x v="0"/>
    <x v="0"/>
    <s v="CAP7459725"/>
    <x v="0"/>
    <s v="Venta de departamento 2 ambientes en caballito apto profesional - oportunidad inversión"/>
    <s v="Realizado"/>
    <s v="AR ArgenProp"/>
    <n v="49000"/>
    <x v="31"/>
    <x v="0"/>
    <s v="Dólares"/>
    <s v="Dólares"/>
    <s v="Av Rivadavia  al 5200"/>
    <s v="Argentina | Capital Federal | Caballito "/>
    <x v="0"/>
    <n v="2"/>
    <s v="Lion Team"/>
    <s v="Propia (Único Asesor)"/>
    <x v="1"/>
    <s v="Venta"/>
    <x v="3"/>
    <s v="Villa Urquiza"/>
  </r>
  <r>
    <d v="2026-03-31T00:00:00"/>
    <x v="0"/>
    <x v="9"/>
    <s v="CPH7441076"/>
    <x v="0"/>
    <s v="VENDE PH 3 AMBIENTES CON TERRAZA Y 2 PATIOS VILLA BALLESTER CENTRO"/>
    <s v="Realizado"/>
    <s v="AR ZonaProp"/>
    <n v="47500"/>
    <x v="31"/>
    <x v="0"/>
    <s v="Dólares"/>
    <s v="Dólares"/>
    <s v="san lorenzo  al 3200"/>
    <s v="Argentina | G.B.A. Zona Norte | General San Martin | San Andrés"/>
    <x v="3"/>
    <n v="2"/>
    <s v="Niceto"/>
    <s v="Propia (Único Asesor)"/>
    <x v="1"/>
    <s v="Venta"/>
    <x v="3"/>
    <s v="Palermo"/>
  </r>
  <r>
    <d v="2025-11-03T00:00:00"/>
    <x v="1"/>
    <x v="7"/>
    <n v="3112025"/>
    <x v="0"/>
    <s v="Reserva Venta Ivi Permuta Lote Solares UF77 "/>
    <s v="Realizado"/>
    <s v="Teléfono"/>
    <n v="46000"/>
    <x v="32"/>
    <x v="0"/>
    <s v="Dólares"/>
    <s v="Dólares"/>
    <m/>
    <s v="Argentina | Rio Negro | Bariloche | San Carlos De Bariloche"/>
    <x v="1"/>
    <n v="1"/>
    <s v="Patagonia Lakes BRC"/>
    <s v="(Interior) Compartida Fuera de la Red Búsqueda"/>
    <x v="2"/>
    <s v="Venta"/>
    <x v="7"/>
    <s v="Bariloche"/>
  </r>
  <r>
    <d v="2025-10-05T00:00:00"/>
    <x v="1"/>
    <x v="11"/>
    <s v="CPH5180604"/>
    <x v="0"/>
    <s v="Amplio PH al frente de tres dormitorios y patio  119 E/ 35 y 36"/>
    <s v="Realizado"/>
    <s v="AR ZonaProp"/>
    <n v="47000"/>
    <x v="32"/>
    <x v="0"/>
    <s v="Dólares"/>
    <s v="Dólares"/>
    <s v="119 E/ 35 y 36"/>
    <s v="Argentina | G.B.A. Zona Sur | La Plata | La Plata"/>
    <x v="0"/>
    <n v="1"/>
    <s v="Golden Team"/>
    <s v="(Interior) Compartida Fuera de la Red Captación Propia"/>
    <x v="0"/>
    <s v="Venta"/>
    <x v="0"/>
    <s v="La Plata"/>
  </r>
  <r>
    <d v="2026-03-25T00:00:00"/>
    <x v="0"/>
    <x v="9"/>
    <s v="CAP7238328"/>
    <x v="0"/>
    <s v="MONOAMBIENTE FUNCIONAL CON COCHERA - EXCELENTE UBICACION"/>
    <s v="Realizado"/>
    <s v="AR ZonaProp"/>
    <n v="52000"/>
    <x v="32"/>
    <x v="0"/>
    <s v="Dólares"/>
    <s v="Dólares"/>
    <s v="Austria al 2400"/>
    <s v="Argentina | Capital Federal | Recoleta "/>
    <x v="0"/>
    <n v="2"/>
    <s v="Destino II"/>
    <s v="Compartida en Oficina (Dos Asesores)"/>
    <x v="1"/>
    <s v="Venta"/>
    <x v="3"/>
    <s v="Recoleta"/>
  </r>
  <r>
    <d v="2025-01-30T00:00:00"/>
    <x v="1"/>
    <x v="10"/>
    <s v="CPH6643473"/>
    <x v="0"/>
    <s v="Venta PH 3 ambientes Patio Wilde"/>
    <s v="Realizado"/>
    <s v="AR ZonaProp"/>
    <n v="49000"/>
    <x v="32"/>
    <x v="0"/>
    <s v="Dólares"/>
    <s v="Dólares"/>
    <s v="Lartigau 555"/>
    <s v="Argentina | G.B.A. Zona Sur | Avellaneda | Wilde"/>
    <x v="3"/>
    <n v="2"/>
    <s v="Destino"/>
    <s v="Compartida Fuera de la Red Captación Propia"/>
    <x v="0"/>
    <s v="Venta"/>
    <x v="3"/>
    <s v="Recoleta"/>
  </r>
  <r>
    <d v="2025-03-06T00:00:00"/>
    <x v="1"/>
    <x v="9"/>
    <s v="CAP6355030"/>
    <x v="0"/>
    <s v="VENTA PH 2 AMBIENTES"/>
    <s v="Realizado"/>
    <s v="AR ZonaProp"/>
    <n v="52000"/>
    <x v="32"/>
    <x v="0"/>
    <s v="Dólares"/>
    <s v="Dólares"/>
    <s v="Dr. Nicolas Repetto  al 1000"/>
    <s v="Argentina | Capital Federal | Caballito "/>
    <x v="3"/>
    <n v="2"/>
    <s v="Destino II"/>
    <s v="Propia (Único Asesor)"/>
    <x v="1"/>
    <s v="Venta"/>
    <x v="3"/>
    <s v="Recoleta"/>
  </r>
  <r>
    <d v="2025-05-16T00:00:00"/>
    <x v="1"/>
    <x v="2"/>
    <s v="CHO6426234"/>
    <x v="0"/>
    <s v="Venta Casa 3 Ambientes a Estrenar con Pileta en Barrio Cerrado Haras El Terraplen"/>
    <s v="Realizado"/>
    <s v="AR ZonaProp"/>
    <n v="50000"/>
    <x v="32"/>
    <x v="0"/>
    <s v="Dólares"/>
    <s v="Dólares"/>
    <s v="Haras del Terraplén lote 469"/>
    <s v="Argentina | G.B.A. Zona Oeste | General Rodriguez | General Rodriguez"/>
    <x v="2"/>
    <n v="2"/>
    <s v="Audacity"/>
    <s v="Propia (Único Asesor)"/>
    <x v="1"/>
    <s v="Venta"/>
    <x v="9"/>
    <s v="Parque Leloir"/>
  </r>
  <r>
    <d v="2025-06-04T00:00:00"/>
    <x v="1"/>
    <x v="4"/>
    <s v="CPH6391100"/>
    <x v="0"/>
    <s v="VENTA PH 2 AMBIENTES CON PATIO Y SÓTANO EN CIUDADELA"/>
    <s v="Realizado"/>
    <s v="AR ZonaProp"/>
    <n v="49000"/>
    <x v="32"/>
    <x v="0"/>
    <s v="Dólares"/>
    <s v="Dólares"/>
    <s v="RAFAELA  al 4100"/>
    <s v="Argentina | G.B.A. Zona Oeste | Tres De Febrero | Ciudadela"/>
    <x v="3"/>
    <n v="2"/>
    <s v="Seniority Plus"/>
    <s v="Propia (Único Asesor)"/>
    <x v="1"/>
    <s v="Venta"/>
    <x v="3"/>
    <s v="Palermo"/>
  </r>
  <r>
    <d v="2025-10-21T00:00:00"/>
    <x v="1"/>
    <x v="11"/>
    <s v="CAP7283556"/>
    <x v="0"/>
    <s v="VENTA MONOAMBIENTE APTO PROFESIONAL FACULTAD DE MEDICINA APTO CRÉDITO"/>
    <s v="Realizado"/>
    <s v="AR ZonaProp"/>
    <n v="49000"/>
    <x v="32"/>
    <x v="0"/>
    <s v="Dólares"/>
    <s v="Dólares"/>
    <s v="VIAMONTE al 2100"/>
    <s v="Argentina | Capital Federal | Balvanera "/>
    <x v="0"/>
    <n v="2"/>
    <s v="Seniority"/>
    <s v="Propia (Único Asesor)"/>
    <x v="1"/>
    <s v="Venta"/>
    <x v="3"/>
    <s v="Barrio Parque"/>
  </r>
  <r>
    <d v="2026-03-11T00:00:00"/>
    <x v="0"/>
    <x v="9"/>
    <s v="DLA2855339"/>
    <x v="0"/>
    <s v="Terreno - El Canton"/>
    <s v="Realizado"/>
    <s v="AR MercadoLibre"/>
    <n v="68000"/>
    <x v="32"/>
    <x v="0"/>
    <s v="Dólares"/>
    <s v="Dólares"/>
    <s v="el canton Islas"/>
    <s v="Argentina | G.B.A. Zona Norte | Escobar | Countries/B.Cerrado (Escobar) | El Canton"/>
    <x v="1"/>
    <n v="2"/>
    <s v="Puerto Norte"/>
    <s v="Propia (Único Asesor)"/>
    <x v="1"/>
    <s v="Venta"/>
    <x v="6"/>
    <s v="Nordelta"/>
  </r>
  <r>
    <d v="2025-12-01T00:00:00"/>
    <x v="1"/>
    <x v="8"/>
    <s v="CAP6400240"/>
    <x v="0"/>
    <s v="Departamento en venta en  Dorrego Guaymallén"/>
    <s v="Realizado"/>
    <s v="AR ZonaProp"/>
    <n v="49500"/>
    <x v="33"/>
    <x v="0"/>
    <s v="Dólares"/>
    <s v="Dólares"/>
    <s v="Remedios Escalada  al 1200"/>
    <s v="Argentina | Mendoza | Guaymallen | Coronel Dorrego"/>
    <x v="0"/>
    <n v="1"/>
    <s v="Cuyo Real"/>
    <s v="(Interior) Compartida Fuera de la Red Captación Propia"/>
    <x v="0"/>
    <s v="Venta"/>
    <x v="2"/>
    <s v="Capital Mendoza"/>
  </r>
  <r>
    <d v="2025-04-30T00:00:00"/>
    <x v="1"/>
    <x v="3"/>
    <s v="CLA6541937"/>
    <x v="0"/>
    <s v="City Bell - Último terreno en Barrio Cerrado &quot;Cañitas Bell I&quot; - ESCRITURADO"/>
    <s v="Realizado"/>
    <s v="AR ZonaProp"/>
    <n v="48000"/>
    <x v="33"/>
    <x v="0"/>
    <s v="Dólares"/>
    <s v="Dólares"/>
    <s v="Calle 30 E/ 473 BIS Y 474"/>
    <s v="Argentina | G.B.A. Zona Sur | La Plata | City Bell"/>
    <x v="1"/>
    <n v="2"/>
    <s v="Golden Team"/>
    <s v="Compartida Fuera de la Red Captación Propia"/>
    <x v="0"/>
    <s v="Venta"/>
    <x v="0"/>
    <s v="La Plata"/>
  </r>
  <r>
    <d v="2025-12-01T00:00:00"/>
    <x v="1"/>
    <x v="8"/>
    <s v="CAP6763425"/>
    <x v="0"/>
    <s v="Venta departamento 2 habitaciones con cochera"/>
    <s v="Realizado"/>
    <s v="AR ZonaProp"/>
    <n v="48000"/>
    <x v="34"/>
    <x v="0"/>
    <s v="Dólares"/>
    <s v="Dólares"/>
    <s v="Estrada al 200"/>
    <s v="Argentina | Mendoza | Las Heras | Las Heras"/>
    <x v="0"/>
    <n v="1"/>
    <s v="Cuyo Real"/>
    <s v="(Interior) Compartida Fuera de la Red Captación Propia"/>
    <x v="0"/>
    <s v="Venta"/>
    <x v="2"/>
    <s v="Capital Mendoza"/>
  </r>
  <r>
    <d v="2025-08-01T00:00:00"/>
    <x v="1"/>
    <x v="5"/>
    <s v="CPH6781658"/>
    <x v="0"/>
    <s v="PH en Tablada Oportunidad 3 ambientes  Cochera  Cubierta Sin Expensas"/>
    <s v="Realizado"/>
    <s v="AR ZonaProp"/>
    <n v="45000"/>
    <x v="35"/>
    <x v="0"/>
    <s v="Dólares"/>
    <s v="Dólares"/>
    <s v="ALMIRANTE BROWN al 4500"/>
    <s v="Argentina | G.B.A. Zona Oeste | La Matanza | Tablada"/>
    <x v="3"/>
    <n v="2"/>
    <s v="Lion Team"/>
    <s v="Propia (Único Asesor)"/>
    <x v="1"/>
    <s v="Venta"/>
    <x v="3"/>
    <s v="Villa Urquiza"/>
  </r>
  <r>
    <d v="2025-01-17T00:00:00"/>
    <x v="1"/>
    <x v="10"/>
    <s v="CAP6700432"/>
    <x v="0"/>
    <s v="Departamento en venta Barrio Parque Belgrano - Zona Norte - Salta Capital"/>
    <s v="Realizado"/>
    <s v="Facebook"/>
    <n v="47000"/>
    <x v="36"/>
    <x v="0"/>
    <s v="Dólares"/>
    <s v="Dólares"/>
    <s v="Barrio Parque Belgrano Block 17"/>
    <s v="Argentina | Salta | Capital | Salta | Zona Norte"/>
    <x v="0"/>
    <n v="1"/>
    <s v="Realty Group"/>
    <s v="(Interior) Compartida Fuera de la Red Búsqueda"/>
    <x v="2"/>
    <s v="Venta"/>
    <x v="4"/>
    <s v="San Lorenzo Chico"/>
  </r>
  <r>
    <d v="2025-06-06T00:00:00"/>
    <x v="1"/>
    <x v="4"/>
    <s v="76Agu"/>
    <x v="0"/>
    <s v="Departamento en Venta"/>
    <s v="Realizado"/>
    <s v="Cartel"/>
    <n v="50000"/>
    <x v="36"/>
    <x v="0"/>
    <s v="Dólares"/>
    <s v="Dólares"/>
    <s v="1ro de Mayo 1590"/>
    <s v="Argentina | Santa Fe | La Capital | Santa Fe"/>
    <x v="0"/>
    <n v="1"/>
    <s v="De la Veracruz"/>
    <s v="(Interior) Compartida Fuera de la Red Búsqueda"/>
    <x v="2"/>
    <s v="Venta"/>
    <x v="5"/>
    <s v="Capital Santa Fe"/>
  </r>
  <r>
    <d v="2025-01-18T00:00:00"/>
    <x v="1"/>
    <x v="10"/>
    <s v="CHO6053791"/>
    <x v="0"/>
    <s v="Casa con gran terreno! OPORTUNIDAD!"/>
    <s v="Realizado"/>
    <s v="Cartel"/>
    <n v="52000"/>
    <x v="36"/>
    <x v="0"/>
    <s v="Dólares"/>
    <s v="Dólares"/>
    <s v="OPORTUNIDAD CASA CON GRAN TERRENO 3 dormitorios , JJ Castelli 4300"/>
    <s v="Argentina | Santa Fe | La Capital | Santa Fe"/>
    <x v="2"/>
    <n v="1"/>
    <s v="De la Veracruz"/>
    <s v="(Interior) Compartida Fuera de la Red Captación Propia"/>
    <x v="0"/>
    <s v="Venta"/>
    <x v="5"/>
    <s v="Capital Santa Fe"/>
  </r>
  <r>
    <d v="2025-12-26T00:00:00"/>
    <x v="1"/>
    <x v="8"/>
    <s v="CAP7037646"/>
    <x v="0"/>
    <s v="Departamento en Barrio Casino"/>
    <s v="Realizado"/>
    <s v="Teléfono"/>
    <n v="52000"/>
    <x v="36"/>
    <x v="0"/>
    <s v="Dólares"/>
    <s v="Dólares"/>
    <s v="Barrio Casino"/>
    <s v="Argentina | Salta | Capital | Salta | Bo.Casino"/>
    <x v="0"/>
    <n v="1"/>
    <s v="Realty Group"/>
    <s v="(Interior) Compartida Fuera de la Red Captación Propia"/>
    <x v="0"/>
    <s v="Venta"/>
    <x v="4"/>
    <s v="San Lorenzo Chico"/>
  </r>
  <r>
    <d v="2025-07-11T00:00:00"/>
    <x v="1"/>
    <x v="1"/>
    <s v="CAP6954897"/>
    <x v="0"/>
    <s v="Departamento en venta 2 habitaciones Godoy cruz "/>
    <s v="Realizado"/>
    <s v="Conocido"/>
    <n v="48000"/>
    <x v="36"/>
    <x v="0"/>
    <s v="Dólares"/>
    <s v="Dólares"/>
    <s v="Sargenti Cabral  al 800"/>
    <s v="Argentina | Mendoza | Godoy Cruz "/>
    <x v="0"/>
    <n v="2"/>
    <s v="Cuyo Real"/>
    <s v="Compartida en Oficina (Dos Asesores)"/>
    <x v="1"/>
    <s v="Venta"/>
    <x v="2"/>
    <s v="Capital Mendoza"/>
  </r>
  <r>
    <d v="2025-08-12T00:00:00"/>
    <x v="1"/>
    <x v="5"/>
    <s v="CHO6904199"/>
    <x v="0"/>
    <s v="Casa en Venta calle 15 e 671 y 672 P.Sicardi, La Plata"/>
    <s v="Realizado"/>
    <s v="AR MercadoLibre"/>
    <n v="52000"/>
    <x v="36"/>
    <x v="0"/>
    <s v="Dólares"/>
    <s v="Dólares"/>
    <s v="15 entre 671 y 672 Parque Sicardi, La Plata"/>
    <s v="Argentina | G.B.A. Zona Sur | La Plata | Villa Parque Sicardi"/>
    <x v="2"/>
    <n v="2"/>
    <s v="Golden Team"/>
    <s v="Compartida en Oficina (Dos Asesores)"/>
    <x v="1"/>
    <s v="Venta"/>
    <x v="0"/>
    <s v="La Plata"/>
  </r>
  <r>
    <d v="2026-02-23T00:00:00"/>
    <x v="0"/>
    <x v="0"/>
    <s v="CLA7717987"/>
    <x v="0"/>
    <s v="Terreno - Maipu"/>
    <s v="Realizado"/>
    <s v="AR ZonaProp"/>
    <n v="50000"/>
    <x v="36"/>
    <x v="0"/>
    <s v="Dólares"/>
    <s v="Dólares"/>
    <s v="Maza y 25 de mayo 0"/>
    <s v="Argentina | Mendoza | Maipu "/>
    <x v="1"/>
    <n v="2"/>
    <s v="Cuyo Real"/>
    <s v="Compartida en Oficina (Dos Asesores)"/>
    <x v="1"/>
    <s v="Venta"/>
    <x v="2"/>
    <s v="Capital Mendoza"/>
  </r>
  <r>
    <d v="2026-02-24T00:00:00"/>
    <x v="0"/>
    <x v="0"/>
    <n v="18"/>
    <x v="0"/>
    <s v="Caracas venta departamento"/>
    <s v="Realizado"/>
    <s v="Conocido"/>
    <n v="46000"/>
    <x v="36"/>
    <x v="0"/>
    <s v="Dólares"/>
    <s v="Dólares"/>
    <s v="Caracas 1080 "/>
    <s v="Argentina | Capital Federal | Paternal "/>
    <x v="0"/>
    <n v="1"/>
    <s v="Grupo Elite"/>
    <s v="Compartida Fuera de la Red Búsqueda"/>
    <x v="2"/>
    <s v="Venta"/>
    <x v="3"/>
    <s v="Puerto Madero"/>
  </r>
  <r>
    <d v="2025-01-25T00:00:00"/>
    <x v="1"/>
    <x v="10"/>
    <s v="CHO6603149"/>
    <x v="0"/>
    <s v="CASA A LA VENTA EN BERISSO "/>
    <s v="Realizado"/>
    <s v="Referido"/>
    <n v="51000"/>
    <x v="36"/>
    <x v="0"/>
    <s v="Dólares"/>
    <s v="Dólares"/>
    <s v="CASA A LA VENTA EN BERISSO "/>
    <s v="Argentina | G.B.A. Zona Sur | Berisso | Berisso"/>
    <x v="2"/>
    <n v="2"/>
    <s v="Golden Team"/>
    <s v="Propia (Único Asesor)"/>
    <x v="1"/>
    <s v="Venta"/>
    <x v="0"/>
    <s v="La Plata"/>
  </r>
  <r>
    <d v="2025-02-13T00:00:00"/>
    <x v="1"/>
    <x v="0"/>
    <s v="CHO6482562"/>
    <x v="0"/>
    <s v="Casa en  Venta en Godoy Cruz - Mendoza"/>
    <s v="Realizado"/>
    <s v="AR ZonaProp"/>
    <n v="48000"/>
    <x v="36"/>
    <x v="0"/>
    <s v="Dólares"/>
    <s v="Dólares"/>
    <s v="Renato Zanzin al 1600"/>
    <s v="Argentina | Mendoza | Godoy Cruz "/>
    <x v="2"/>
    <n v="2"/>
    <s v="Cuyo Real"/>
    <s v="Propia (Único Asesor)"/>
    <x v="1"/>
    <s v="Venta"/>
    <x v="2"/>
    <s v="Capital Mendoza"/>
  </r>
  <r>
    <d v="2025-04-16T00:00:00"/>
    <x v="1"/>
    <x v="3"/>
    <s v="CPH6475241"/>
    <x v="0"/>
    <s v="PH en Lomas Del Mirador - OPORTUNIDAD - SIN EXPENSAS - PATIO -PARQUE - LAVADERO"/>
    <s v="Realizado"/>
    <s v="AR ZonaProp"/>
    <n v="49990"/>
    <x v="36"/>
    <x v="0"/>
    <s v="Dólares"/>
    <s v="Dólares"/>
    <s v="LAS HERAS al 3500"/>
    <s v="Argentina | G.B.A. Zona Oeste | La Matanza | Lomas Del Mirador"/>
    <x v="3"/>
    <n v="2"/>
    <s v="Lion Team"/>
    <s v="Propia (Único Asesor)"/>
    <x v="1"/>
    <s v="Venta"/>
    <x v="3"/>
    <s v="Villa Urquiza"/>
  </r>
  <r>
    <d v="2025-06-05T00:00:00"/>
    <x v="1"/>
    <x v="4"/>
    <s v="COF6961416"/>
    <x v="0"/>
    <s v="Oficina en Venta Chacras de Coria"/>
    <s v="Realizado"/>
    <s v="AR ZonaProp"/>
    <n v="47000"/>
    <x v="36"/>
    <x v="0"/>
    <s v="Dólares"/>
    <s v="Dólares"/>
    <s v="Ruta Panamericana  al 7000"/>
    <s v="Argentina | Mendoza | Lujan De Cuyo | Chacras De Coria"/>
    <x v="6"/>
    <n v="2"/>
    <s v="Cuyo Real"/>
    <s v="Propia (Único Asesor)"/>
    <x v="1"/>
    <s v="Venta"/>
    <x v="2"/>
    <s v="Capital Mendoza"/>
  </r>
  <r>
    <d v="2025-06-17T00:00:00"/>
    <x v="1"/>
    <x v="4"/>
    <s v="CAP6891477"/>
    <x v="0"/>
    <s v="Departamento en  venta Saenz Peña 1amb con balcón"/>
    <s v="Realizado"/>
    <s v="AR ArgenProp"/>
    <n v="47000"/>
    <x v="36"/>
    <x v="0"/>
    <s v="Dólares"/>
    <s v="Dólares"/>
    <s v="Ceraso al 700"/>
    <s v="Argentina | G.B.A. Zona Oeste | Tres De Febrero | Villa Saenz Peña"/>
    <x v="0"/>
    <n v="2"/>
    <s v="Lion Team"/>
    <s v="Propia (Único Asesor)"/>
    <x v="1"/>
    <s v="Venta"/>
    <x v="3"/>
    <s v="Villa Urquiza"/>
  </r>
  <r>
    <d v="2025-06-27T00:00:00"/>
    <x v="1"/>
    <x v="4"/>
    <s v="CFA6674841"/>
    <x v="0"/>
    <s v="Finca en Venta en Bowen, General Alvear, Mendoza"/>
    <s v="Realizado"/>
    <s v="Conocido"/>
    <n v="47000"/>
    <x v="36"/>
    <x v="0"/>
    <s v="Dólares"/>
    <s v="Dólares"/>
    <s v="Calle 19 Y Calle F"/>
    <s v="Argentina | Mendoza | General Alvear | Bowen"/>
    <x v="5"/>
    <n v="2"/>
    <s v="Cuyo Real"/>
    <s v="Propia (Único Asesor)"/>
    <x v="1"/>
    <s v="Venta"/>
    <x v="2"/>
    <s v="Capital Mendoza"/>
  </r>
  <r>
    <d v="2025-09-30T00:00:00"/>
    <x v="1"/>
    <x v="6"/>
    <s v="CHO7044432"/>
    <x v="0"/>
    <s v="Casa de 2 dormitorios al frente sobre Avenida (P.H)"/>
    <s v="Realizado"/>
    <s v="Teléfono"/>
    <n v="52000"/>
    <x v="36"/>
    <x v="0"/>
    <s v="Dólares"/>
    <s v="Dólares"/>
    <s v="Casa al frente desarrollada en PB, sobre Av. Fray Cayetano Rodriguez"/>
    <s v="Argentina | Santa Fe | La Capital | Santa Fe | Barranquitas"/>
    <x v="2"/>
    <n v="2"/>
    <s v="De la Veracruz"/>
    <s v="Propia (Único Asesor)"/>
    <x v="1"/>
    <s v="Venta"/>
    <x v="5"/>
    <s v="Capital Santa Fe"/>
  </r>
  <r>
    <d v="2025-12-09T00:00:00"/>
    <x v="1"/>
    <x v="8"/>
    <s v="CAP7387859"/>
    <x v="0"/>
    <s v="VENTA - 2 AMB - A RECICLAR"/>
    <s v="Realizado"/>
    <s v="AR ZonaProp"/>
    <n v="50000"/>
    <x v="36"/>
    <x v="0"/>
    <s v="Dólares"/>
    <s v="Dólares"/>
    <s v="Av. Pueyrredón al 900"/>
    <s v="Argentina | Capital Federal | Balvanera "/>
    <x v="0"/>
    <n v="2"/>
    <s v="Destino"/>
    <s v="Propia (Único Asesor)"/>
    <x v="1"/>
    <s v="Venta"/>
    <x v="3"/>
    <s v="Recoleta"/>
  </r>
  <r>
    <d v="2026-01-12T00:00:00"/>
    <x v="0"/>
    <x v="10"/>
    <s v="CAP6629745"/>
    <x v="0"/>
    <s v="VENTA DEPARTAMENTO 2 AMBIENTES LUMINOSO EN BALVANERA"/>
    <s v="Realizado"/>
    <s v="AR ZonaProp"/>
    <n v="63000"/>
    <x v="36"/>
    <x v="0"/>
    <s v="Dólares"/>
    <s v="Dólares"/>
    <s v="Catamarca  al 400"/>
    <s v="Argentina | Capital Federal | Balvanera "/>
    <x v="0"/>
    <n v="2"/>
    <s v="Seniority"/>
    <s v="Propia (Único Asesor)"/>
    <x v="1"/>
    <s v="Venta"/>
    <x v="3"/>
    <s v="Barrio Parque"/>
  </r>
  <r>
    <d v="2026-01-30T00:00:00"/>
    <x v="0"/>
    <x v="10"/>
    <s v="CAP7666597"/>
    <x v="0"/>
    <s v="Departamento en venta ubicado en Barrio Docente - Salta"/>
    <s v="Realizado"/>
    <s v="Facebook"/>
    <n v="48000"/>
    <x v="36"/>
    <x v="0"/>
    <s v="Dólares"/>
    <s v="Dólares"/>
    <s v="Barrio El Docente"/>
    <s v="Argentina | Salta | Capital | Salta | Bo.Docente"/>
    <x v="0"/>
    <n v="2"/>
    <s v="Realty Group"/>
    <s v="Propia (Único Asesor)"/>
    <x v="1"/>
    <s v="Venta"/>
    <x v="4"/>
    <s v="San Lorenzo Chico"/>
  </r>
  <r>
    <d v="2026-03-02T00:00:00"/>
    <x v="0"/>
    <x v="9"/>
    <s v="CLA6708960"/>
    <x v="0"/>
    <s v="venta casa a demoler/terreno  o reciclar  en Godoy Cruz"/>
    <s v="Realizado"/>
    <s v="AR ZonaProp"/>
    <n v="55000"/>
    <x v="36"/>
    <x v="0"/>
    <s v="Dólares"/>
    <s v="Dólares"/>
    <s v="Tiburcio Benegas esquina Uruguay Godoy Cruz "/>
    <s v="Argentina | Mendoza | Godoy Cruz | Godoy Cruz"/>
    <x v="1"/>
    <n v="2"/>
    <s v="Cuyo Real"/>
    <s v="Propia (Único Asesor)"/>
    <x v="1"/>
    <s v="Venta"/>
    <x v="2"/>
    <s v="Capital Mendoza"/>
  </r>
  <r>
    <d v="2026-03-13T00:00:00"/>
    <x v="0"/>
    <x v="9"/>
    <s v="JPH7113041"/>
    <x v="0"/>
    <s v="PH - VENTA - BARRIO CERRADO - SAN ANDRES - 2 AMBIENTES"/>
    <s v="Realizado"/>
    <s v="AR ZonaProp"/>
    <n v="49900"/>
    <x v="36"/>
    <x v="0"/>
    <s v="Dólares"/>
    <s v="Dólares"/>
    <s v="ITALIA  al 300"/>
    <s v="Argentina | G.B.A. Zona Norte | General San Martin | San Andrés"/>
    <x v="3"/>
    <n v="2"/>
    <s v="Lion Team Norte"/>
    <s v="Propia (Único Asesor)"/>
    <x v="1"/>
    <s v="Venta"/>
    <x v="6"/>
    <s v="Vicente López"/>
  </r>
  <r>
    <d v="2026-03-31T00:00:00"/>
    <x v="0"/>
    <x v="9"/>
    <s v="CAP7373783"/>
    <x v="0"/>
    <s v="Departamento 2 Ambientes Balcón Cocina Separada"/>
    <s v="Realizado"/>
    <s v="AR ZonaProp"/>
    <n v="47000"/>
    <x v="36"/>
    <x v="0"/>
    <s v="Dólares"/>
    <s v="Dólares"/>
    <s v="Muñoz al 1600"/>
    <s v="Argentina | G.B.A. Zona Norte | San Miguel | San Miguel"/>
    <x v="0"/>
    <n v="2"/>
    <s v="Grupo Elite"/>
    <s v="Propia (Único Asesor)"/>
    <x v="1"/>
    <s v="Venta"/>
    <x v="3"/>
    <s v="Puerto Madero"/>
  </r>
  <r>
    <d v="2025-06-30T00:00:00"/>
    <x v="1"/>
    <x v="4"/>
    <s v="CPH6948638"/>
    <x v="0"/>
    <s v="PH en VENTA 2 dormitorios, patio, cochera calle 55 142 y 143"/>
    <s v="Realizado"/>
    <s v="Teléfono"/>
    <n v="50000"/>
    <x v="37"/>
    <x v="0"/>
    <s v="Dólares"/>
    <s v="Dólares"/>
    <s v="PH en Venta 2 dormi y patio calle  55 entre 142 y 143, Los Hornos"/>
    <s v="Argentina | G.B.A. Zona Sur | La Plata | Los Hornos"/>
    <x v="3"/>
    <n v="2"/>
    <s v="Golden Team"/>
    <s v="Compartida Fuera de la Red Captación Propia"/>
    <x v="0"/>
    <s v="Venta"/>
    <x v="0"/>
    <s v="La Plata"/>
  </r>
  <r>
    <d v="2025-12-01T00:00:00"/>
    <x v="1"/>
    <x v="8"/>
    <s v="CAP7203533"/>
    <x v="0"/>
    <s v="Departamento en venta Barrio Bombal Sur "/>
    <s v="Realizado"/>
    <s v="AR ZonaProp"/>
    <n v="50000"/>
    <x v="37"/>
    <x v="0"/>
    <s v="Dólares"/>
    <s v="Dólares"/>
    <s v="Beltran  al 1700"/>
    <s v="Argentina | Mendoza | Godoy Cruz | Godoy Cruz | Godoy Cruz | Bombal Sur"/>
    <x v="0"/>
    <n v="2"/>
    <s v="Cuyo Real"/>
    <s v="Propia (Único Asesor)"/>
    <x v="1"/>
    <s v="Venta"/>
    <x v="2"/>
    <s v="Capital Mendoza"/>
  </r>
  <r>
    <d v="2025-09-22T00:00:00"/>
    <x v="1"/>
    <x v="6"/>
    <s v="VPN55315 LA5976242"/>
    <x v="0"/>
    <s v="Lote Interno en Venta, La Serena, General Rodriguez "/>
    <s v="Realizado"/>
    <s v="AR ZonaProp"/>
    <n v="44880"/>
    <x v="38"/>
    <x v="0"/>
    <s v="Dólares"/>
    <s v="Dólares"/>
    <s v="Venta lote La Serena Barrio Cerrado Gral Rodriguez, Ruta 28   "/>
    <s v="Argentina | G.B.A. Zona Oeste | General Rodriguez | Countries/B.Cerrado (G. Rodriguez)"/>
    <x v="1"/>
    <n v="2"/>
    <s v="Puerto Norte"/>
    <s v="Compartida en Oficina (Dos Asesores)"/>
    <x v="1"/>
    <s v="Venta"/>
    <x v="6"/>
    <s v="Nordelta"/>
  </r>
  <r>
    <d v="2025-12-01T00:00:00"/>
    <x v="1"/>
    <x v="8"/>
    <s v="CAP5997348"/>
    <x v="0"/>
    <s v="Departamento en  Venta en Guaymallén - Mendoza "/>
    <s v="Realizado"/>
    <s v="AR ZonaProp"/>
    <n v="50000"/>
    <x v="39"/>
    <x v="0"/>
    <s v="Dólares"/>
    <s v="Dólares"/>
    <s v="Cochabamba al 3800"/>
    <s v="Argentina | Mendoza | Guaymallen | Jesus Nazareno"/>
    <x v="0"/>
    <n v="1"/>
    <s v="Cuyo Real"/>
    <s v="(Interior) Compartida Fuera de la Red Captación Propia"/>
    <x v="0"/>
    <s v="Venta"/>
    <x v="2"/>
    <s v="Capital Mendoza"/>
  </r>
  <r>
    <d v="2025-04-15T00:00:00"/>
    <x v="1"/>
    <x v="3"/>
    <s v="CLA6565757"/>
    <x v="0"/>
    <s v="VENTA TERRENO con vista al lago de 827 m2 - Ladera Norte - Bariloche"/>
    <s v="Realizado"/>
    <s v="Teléfono"/>
    <n v="49000"/>
    <x v="39"/>
    <x v="0"/>
    <s v="Dólares"/>
    <s v="Dólares"/>
    <s v="Rancho Grande, Bariloche"/>
    <s v="Argentina | Rio Negro | Bariloche | San Carlos De Bariloche | Rancho Grande"/>
    <x v="1"/>
    <n v="2"/>
    <s v="Patagonia Lakes BRC"/>
    <s v="Compartida en Oficina (Dos Asesores)"/>
    <x v="1"/>
    <s v="Venta"/>
    <x v="7"/>
    <s v="Bariloche"/>
  </r>
  <r>
    <d v="2025-06-30T00:00:00"/>
    <x v="1"/>
    <x v="4"/>
    <s v="CAP6909565"/>
    <x v="0"/>
    <s v="Departamento en  venta en calle  Buenos Aires al 200"/>
    <s v="Realizado"/>
    <s v="Facebook"/>
    <n v="54000"/>
    <x v="39"/>
    <x v="0"/>
    <s v="Dólares"/>
    <s v="Dólares"/>
    <s v="Buenos Aires  al 200"/>
    <s v="Argentina | Salta | Capital | Salta | Zona Centro"/>
    <x v="0"/>
    <n v="2"/>
    <s v="Realty Group"/>
    <s v="Compartida en Oficina (Dos Asesores)"/>
    <x v="1"/>
    <s v="Venta"/>
    <x v="4"/>
    <s v="San Lorenzo Chico"/>
  </r>
  <r>
    <d v="2025-12-01T00:00:00"/>
    <x v="1"/>
    <x v="8"/>
    <s v="COF6002288"/>
    <x v="0"/>
    <s v="Oficina en  Venta en Capital - Mendoza"/>
    <s v="Realizado"/>
    <s v="Conocido"/>
    <n v="48000"/>
    <x v="39"/>
    <x v="0"/>
    <s v="Dólares"/>
    <s v="Dólares"/>
    <s v="Pedro Molina al 200"/>
    <s v="Argentina | Mendoza | Capital | Mendoza | Primera Seccion"/>
    <x v="6"/>
    <n v="2"/>
    <s v="Cuyo Real"/>
    <s v="Compartida en Oficina (Dos Asesores)"/>
    <x v="1"/>
    <s v="Venta"/>
    <x v="2"/>
    <s v="Capital Mendoza"/>
  </r>
  <r>
    <d v="2025-02-06T00:00:00"/>
    <x v="1"/>
    <x v="0"/>
    <s v="CLA6284234"/>
    <x v="0"/>
    <s v="Terreno en  calpa"/>
    <s v="Realizado"/>
    <s v="AR ZonaProp"/>
    <n v="52000"/>
    <x v="39"/>
    <x v="0"/>
    <s v="Dólares"/>
    <s v="Dólares"/>
    <s v="TERRENO EN CALPA NEUQUEN (CERCA DE LA CONFLUENCIA DE LOS RIOS)"/>
    <s v="Argentina | Neuquen | Confluencia | Neuquen"/>
    <x v="1"/>
    <n v="2"/>
    <s v="Sensus"/>
    <s v="Propia (Único Asesor)"/>
    <x v="1"/>
    <s v="Venta"/>
    <x v="1"/>
    <s v="Capital Neuquén"/>
  </r>
  <r>
    <d v="2025-08-29T00:00:00"/>
    <x v="1"/>
    <x v="5"/>
    <s v="COF6421901"/>
    <x v="0"/>
    <s v="Departamento Monoambiente en  venta en San Martín Centro Apto Profesional"/>
    <s v="Realizado"/>
    <s v="AR ZonaProp"/>
    <n v="52500"/>
    <x v="39"/>
    <x v="0"/>
    <s v="Dólares"/>
    <s v="Dólares"/>
    <s v="Cochabamba al 2200"/>
    <s v="Argentina | G.B.A. Zona Norte | General San Martin | San Martin"/>
    <x v="0"/>
    <n v="2"/>
    <s v="Audacity"/>
    <s v="Propia (Único Asesor)"/>
    <x v="1"/>
    <s v="Venta"/>
    <x v="9"/>
    <s v="Parque Leloir"/>
  </r>
  <r>
    <d v="2025-08-30T00:00:00"/>
    <x v="1"/>
    <x v="5"/>
    <s v="CAP6636113"/>
    <x v="0"/>
    <s v="Departamento en Monte Castro"/>
    <s v="Realizado"/>
    <s v="AR MercadoLibre"/>
    <n v="97900"/>
    <x v="39"/>
    <x v="0"/>
    <s v="Dólares"/>
    <s v="Dólares"/>
    <s v="Sanabria al 1800"/>
    <s v="Argentina | Capital Federal | Monte Castro "/>
    <x v="0"/>
    <n v="2"/>
    <s v="Lion Team"/>
    <s v="Propia (Único Asesor)"/>
    <x v="1"/>
    <s v="Venta"/>
    <x v="3"/>
    <s v="Villa Urquiza"/>
  </r>
  <r>
    <d v="2025-10-08T00:00:00"/>
    <x v="1"/>
    <x v="11"/>
    <s v="CAP7098407"/>
    <x v="0"/>
    <s v="Venta Departamento 2 ambientes FRENTE Villa Luzuriaga San Justo La Matanza"/>
    <s v="Realizado"/>
    <s v="AR ZonaProp"/>
    <n v="50000"/>
    <x v="39"/>
    <x v="0"/>
    <s v="Dólares"/>
    <s v="Dólares"/>
    <s v="Republica de Chile al 700"/>
    <s v="Argentina | G.B.A. Zona Oeste | La Matanza | Villa Luzuriaga"/>
    <x v="0"/>
    <n v="2"/>
    <s v="Audacity"/>
    <s v="Propia (Único Asesor)"/>
    <x v="1"/>
    <s v="Venta"/>
    <x v="9"/>
    <s v="Parque Leloir"/>
  </r>
  <r>
    <d v="2025-12-01T00:00:00"/>
    <x v="1"/>
    <x v="8"/>
    <s v="CAP6614590"/>
    <x v="0"/>
    <s v="Departamento en  Venta - Barrio Bombal - Mendoza"/>
    <s v="Realizado"/>
    <s v="AR ZonaProp"/>
    <n v="55000"/>
    <x v="39"/>
    <x v="0"/>
    <s v="Dólares"/>
    <s v="Dólares"/>
    <s v="Serú 28"/>
    <s v="Argentina | Mendoza | Capital | Mendoza"/>
    <x v="0"/>
    <n v="2"/>
    <s v="Cuyo Real"/>
    <s v="Propia (Único Asesor)"/>
    <x v="1"/>
    <s v="Venta"/>
    <x v="2"/>
    <s v="Capital Mendoza"/>
  </r>
  <r>
    <d v="2025-12-01T00:00:00"/>
    <x v="1"/>
    <x v="8"/>
    <s v="CHO6926364"/>
    <x v="0"/>
    <s v="Casa en  Venta en Guaymallén"/>
    <s v="Realizado"/>
    <s v="AR ZonaProp"/>
    <n v="48000"/>
    <x v="39"/>
    <x v="0"/>
    <s v="Dólares"/>
    <s v="Dólares"/>
    <s v="Aristóbulo del Valle al 100"/>
    <s v="Argentina | Mendoza | Guaymallen | San Jose De Guaymallen | San Jose"/>
    <x v="2"/>
    <n v="2"/>
    <s v="Cuyo Real"/>
    <s v="Propia (Único Asesor)"/>
    <x v="1"/>
    <s v="Venta"/>
    <x v="2"/>
    <s v="Capital Mendoza"/>
  </r>
  <r>
    <d v="2025-12-11T00:00:00"/>
    <x v="1"/>
    <x v="8"/>
    <s v="CAP7371180"/>
    <x v="0"/>
    <s v="Departamento en Boca"/>
    <s v="Realizado"/>
    <s v="AR ZonaProp"/>
    <n v="50000"/>
    <x v="39"/>
    <x v="0"/>
    <s v="Dólares"/>
    <s v="Dólares"/>
    <s v="Almirante Brown al 200"/>
    <s v="Argentina | Capital Federal | Boca "/>
    <x v="0"/>
    <n v="2"/>
    <s v="Destino"/>
    <s v="Propia (Único Asesor)"/>
    <x v="1"/>
    <s v="Venta"/>
    <x v="3"/>
    <s v="Recoleta"/>
  </r>
  <r>
    <d v="2025-12-19T00:00:00"/>
    <x v="1"/>
    <x v="8"/>
    <s v="AAP7331724"/>
    <x v="0"/>
    <s v="Departamento 2 ambientes a reciclar"/>
    <s v="Realizado"/>
    <s v="AR ZonaProp"/>
    <n v="49000"/>
    <x v="40"/>
    <x v="0"/>
    <s v="Dólares"/>
    <s v="Dólares"/>
    <s v="Chacabuco al 1000"/>
    <s v="Argentina | Capital Federal | San Telmo "/>
    <x v="0"/>
    <n v="2"/>
    <s v="Desiderio"/>
    <s v="Propia (Único Asesor)"/>
    <x v="1"/>
    <s v="Venta"/>
    <x v="3"/>
    <s v="Caballito"/>
  </r>
  <r>
    <d v="2025-04-16T00:00:00"/>
    <x v="1"/>
    <x v="3"/>
    <s v="2 el cano"/>
    <x v="0"/>
    <s v="terreno venta el cano 2 "/>
    <s v="Realizado"/>
    <s v="AR MercadoLibre"/>
    <n v="48500"/>
    <x v="41"/>
    <x v="0"/>
    <s v="Dólares"/>
    <s v="Dólares"/>
    <s v="calle 63"/>
    <s v="Argentina | G.B.A. Zona Sur | Berazategui | Guillermo E Hudson"/>
    <x v="1"/>
    <n v="2"/>
    <s v="Livello"/>
    <s v="Compartida en Oficina (Dos Asesores)"/>
    <x v="1"/>
    <s v="Venta"/>
    <x v="3"/>
    <s v="Palermo"/>
  </r>
  <r>
    <d v="2025-07-21T00:00:00"/>
    <x v="1"/>
    <x v="1"/>
    <s v="CAP6990382"/>
    <x v="0"/>
    <s v="VENTA MONOAMBIENTE RECOLETA"/>
    <s v="Realizado"/>
    <s v="AR ZonaProp"/>
    <n v="51500"/>
    <x v="41"/>
    <x v="0"/>
    <s v="Dólares"/>
    <s v="Dólares"/>
    <s v="ARENALES al 2000"/>
    <s v="Argentina | Capital Federal | Recoleta "/>
    <x v="0"/>
    <n v="2"/>
    <s v="Destino"/>
    <s v="Compartida Fuera de la Red Captación Propia"/>
    <x v="0"/>
    <s v="Venta"/>
    <x v="3"/>
    <s v="Recoleta"/>
  </r>
  <r>
    <d v="2025-07-02T00:00:00"/>
    <x v="1"/>
    <x v="1"/>
    <s v="CPH6336562"/>
    <x v="0"/>
    <s v="Venta en Block de Dos Departamentos de 2 Ambientes Sobre Lote 350 m2 en General Rodriguez"/>
    <s v="Realizado"/>
    <s v="AR ZonaProp"/>
    <n v="54000"/>
    <x v="41"/>
    <x v="0"/>
    <s v="Dólares"/>
    <s v="Dólares"/>
    <s v="pueyrredon al 100"/>
    <s v="Argentina | G.B.A. Zona Oeste | General Rodriguez | Las Malvinas"/>
    <x v="3"/>
    <n v="2"/>
    <s v="Audacity"/>
    <s v="Propia (Único Asesor)"/>
    <x v="1"/>
    <s v="Venta"/>
    <x v="9"/>
    <s v="Parque Leloir"/>
  </r>
  <r>
    <d v="2025-09-04T00:00:00"/>
    <x v="1"/>
    <x v="6"/>
    <s v="Castillo 1273"/>
    <x v="0"/>
    <s v="Castillo 1273"/>
    <s v="Realizado"/>
    <s v="AR ArgenProp"/>
    <n v="48500"/>
    <x v="41"/>
    <x v="0"/>
    <s v="Dólares"/>
    <s v="Dólares"/>
    <s v="Castillo 1273"/>
    <s v="Argentina | Capital Federal | Capital Federal "/>
    <x v="0"/>
    <n v="2"/>
    <s v="Lion Team"/>
    <s v="Propia (Único Asesor)"/>
    <x v="1"/>
    <s v="Venta"/>
    <x v="3"/>
    <s v="Villa Urquiza"/>
  </r>
  <r>
    <d v="2025-12-04T00:00:00"/>
    <x v="1"/>
    <x v="8"/>
    <s v="DEPTO 13  NRO 425 1 PISO"/>
    <x v="0"/>
    <s v="DEPTO 13  NRO 425 1 PISO"/>
    <s v="Realizado"/>
    <s v="AR ZonaProp"/>
    <n v="49000"/>
    <x v="42"/>
    <x v="0"/>
    <s v="Dólares"/>
    <s v="Dólares"/>
    <m/>
    <s v="Argentina | G.B.A. Zona Sur | La Plata | La Plata"/>
    <x v="0"/>
    <n v="1"/>
    <s v="Golden Team"/>
    <s v="(Interior) Compartida Fuera de la Red Búsqueda"/>
    <x v="2"/>
    <s v="Venta"/>
    <x v="0"/>
    <s v="La Plata"/>
  </r>
  <r>
    <d v="2026-02-05T00:00:00"/>
    <x v="0"/>
    <x v="0"/>
    <s v="111Lily"/>
    <x v="0"/>
    <s v="Casa en Esperanza"/>
    <s v="Realizado"/>
    <s v="Referido"/>
    <n v="49000"/>
    <x v="42"/>
    <x v="0"/>
    <s v="Dólares"/>
    <s v="Dólares"/>
    <s v="jj Paso 997 - Esperanza"/>
    <s v="Argentina | Santa Fe | Las Colonias | Esperanza"/>
    <x v="2"/>
    <n v="1"/>
    <s v="De la Veracruz"/>
    <s v="(Interior) Compartida Fuera de la Red Búsqueda"/>
    <x v="2"/>
    <s v="Venta"/>
    <x v="5"/>
    <s v="Capital Santa Fe"/>
  </r>
  <r>
    <d v="2026-03-11T00:00:00"/>
    <x v="0"/>
    <x v="9"/>
    <s v="CAP7555504"/>
    <x v="0"/>
    <s v="Monoambiente en Recoleta Vista abierta, muy luminoso"/>
    <s v="Realizado"/>
    <s v="AR ZonaProp"/>
    <n v="50000"/>
    <x v="42"/>
    <x v="0"/>
    <s v="Dólares"/>
    <s v="Dólares"/>
    <s v="Arenales  al 2000 Piso 7 Frente"/>
    <s v="Argentina | Capital Federal | Recoleta "/>
    <x v="0"/>
    <n v="2"/>
    <s v="Destino"/>
    <s v="Compartida en Oficina (Dos Asesores)"/>
    <x v="1"/>
    <s v="Venta"/>
    <x v="3"/>
    <s v="Recoleta"/>
  </r>
  <r>
    <d v="2025-01-30T00:00:00"/>
    <x v="1"/>
    <x v="10"/>
    <s v="CLA6713319"/>
    <x v="0"/>
    <s v="Terreno en Confluencia"/>
    <s v="Realizado"/>
    <s v="AR ZonaProp"/>
    <n v="49000"/>
    <x v="42"/>
    <x v="0"/>
    <s v="Dólares"/>
    <s v="Dólares"/>
    <s v="Belisle"/>
    <s v="Argentina | Neuquen | Capital | Confluencia Rural"/>
    <x v="1"/>
    <n v="2"/>
    <s v="Sensus"/>
    <s v="Propia (Único Asesor)"/>
    <x v="1"/>
    <s v="Venta"/>
    <x v="1"/>
    <s v="Capital Neuquén"/>
  </r>
  <r>
    <d v="2025-02-20T00:00:00"/>
    <x v="1"/>
    <x v="0"/>
    <s v="AAP6580874"/>
    <x v="0"/>
    <s v="2 AMBIENTES- QUIRNO 79 E/ AV. RIVADAVIA Y RAMON L. FALCON BAJAS EXPENSAS"/>
    <s v="Realizado"/>
    <s v="AR ZonaProp"/>
    <n v="49000"/>
    <x v="42"/>
    <x v="0"/>
    <s v="Dólares"/>
    <s v="Dólares"/>
    <s v="QUIRNO 79"/>
    <s v="Argentina | Capital Federal | Flores "/>
    <x v="0"/>
    <n v="2"/>
    <s v="Desiderio"/>
    <s v="Propia (Único Asesor)"/>
    <x v="1"/>
    <s v="Venta"/>
    <x v="3"/>
    <s v="Caballito"/>
  </r>
  <r>
    <d v="2025-03-13T00:00:00"/>
    <x v="1"/>
    <x v="9"/>
    <s v="CPH6366725"/>
    <x v="0"/>
    <s v="VENTA PH TIPO CASA 3 AMB PATIO LUIS GUILLON"/>
    <s v="Realizado"/>
    <s v="AR ZonaProp"/>
    <n v="52000"/>
    <x v="42"/>
    <x v="0"/>
    <s v="Dólares"/>
    <s v="Dólares"/>
    <s v="Brigadier Juan Manuel de Rosas al 340"/>
    <s v="Argentina | G.B.A. Zona Sur | Esteban Echeverria | Luis Guillon"/>
    <x v="3"/>
    <n v="2"/>
    <s v="Destino"/>
    <s v="Propia (Único Asesor)"/>
    <x v="1"/>
    <s v="Venta"/>
    <x v="3"/>
    <s v="Recoleta"/>
  </r>
  <r>
    <d v="2025-03-13T00:00:00"/>
    <x v="1"/>
    <x v="9"/>
    <s v="JPH5873881"/>
    <x v="0"/>
    <s v="venta PH en Villa Maipú, Gral. San Martin"/>
    <s v="Realizado"/>
    <s v="AR ZonaProp"/>
    <n v="50000"/>
    <x v="42"/>
    <x v="0"/>
    <s v="Dólares"/>
    <s v="Dólares"/>
    <s v="Lavalle al 2100"/>
    <s v="Argentina | G.B.A. Zona Norte | General San Martin | General San Martin | V.Maipu"/>
    <x v="3"/>
    <n v="2"/>
    <s v="Lion Team Norte"/>
    <s v="Propia (Único Asesor)"/>
    <x v="1"/>
    <s v="Venta"/>
    <x v="6"/>
    <s v="Vicente López"/>
  </r>
  <r>
    <d v="2025-04-11T00:00:00"/>
    <x v="1"/>
    <x v="3"/>
    <s v="CHO6238676"/>
    <x v="0"/>
    <s v="VENTA DE CASA "/>
    <s v="Realizado"/>
    <s v="AR ZonaProp"/>
    <n v="49000"/>
    <x v="42"/>
    <x v="0"/>
    <s v="Dólares"/>
    <s v="Dólares"/>
    <s v="casa en venta en cinco saltos "/>
    <s v="Argentina | Rio Negro | General Roca | Cinco Saltos"/>
    <x v="2"/>
    <n v="2"/>
    <s v="Sensus"/>
    <s v="Propia (Único Asesor)"/>
    <x v="1"/>
    <s v="Venta"/>
    <x v="1"/>
    <s v="Capital Neuquén"/>
  </r>
  <r>
    <d v="2025-04-14T00:00:00"/>
    <x v="1"/>
    <x v="3"/>
    <s v="CHO6601235"/>
    <x v="0"/>
    <s v="Casa en Santa Rosa"/>
    <s v="Realizado"/>
    <s v="Cartel"/>
    <n v="55000"/>
    <x v="42"/>
    <x v="0"/>
    <s v="Dólares"/>
    <s v="Dólares"/>
    <s v="TANCO  al 400"/>
    <s v="Argentina | Jujuy | Dr Manuel Belgrano "/>
    <x v="2"/>
    <n v="2"/>
    <s v="Plaza"/>
    <s v="Propia (Único Asesor)"/>
    <x v="1"/>
    <s v="Venta"/>
    <x v="8"/>
    <s v="Capital Jujuy"/>
  </r>
  <r>
    <d v="2025-05-07T00:00:00"/>
    <x v="1"/>
    <x v="2"/>
    <s v="CAP6812130"/>
    <x v="0"/>
    <s v="Venta departamento 2 ambientes con balcon Parque Patricios"/>
    <s v="Realizado"/>
    <s v="AR ZonaProp"/>
    <n v="53000"/>
    <x v="42"/>
    <x v="0"/>
    <s v="Dólares"/>
    <s v="Dólares"/>
    <s v="Salcedo al 2900"/>
    <s v="Argentina | Capital Federal | Parque Patricios "/>
    <x v="0"/>
    <n v="2"/>
    <s v="Grupo Elite"/>
    <s v="Propia (Único Asesor)"/>
    <x v="1"/>
    <s v="Venta"/>
    <x v="3"/>
    <s v="Puerto Madero"/>
  </r>
  <r>
    <d v="2025-09-24T00:00:00"/>
    <x v="1"/>
    <x v="6"/>
    <s v="Lote EL CANO 227"/>
    <x v="0"/>
    <s v="lote venta el cano 227"/>
    <s v="Realizado"/>
    <s v="AR MercadoLibre"/>
    <n v="49000"/>
    <x v="42"/>
    <x v="0"/>
    <s v="Dólares"/>
    <s v="Dólares"/>
    <m/>
    <s v="Argentina | G.B.A. Zona Sur | Berazategui | Guillermo E Hudson"/>
    <x v="1"/>
    <n v="2"/>
    <s v="Livello"/>
    <s v="Propia (Único Asesor)"/>
    <x v="1"/>
    <s v="Venta"/>
    <x v="3"/>
    <s v="Palermo"/>
  </r>
  <r>
    <d v="2025-09-25T00:00:00"/>
    <x v="1"/>
    <x v="6"/>
    <s v="CAP6726420"/>
    <x v="0"/>
    <s v="VENTA DEPARTAMENTO 2 AMBIENTES EN RAMOS MEJIA"/>
    <s v="Realizado"/>
    <s v="AR MercadoLibre"/>
    <n v="52000"/>
    <x v="42"/>
    <x v="0"/>
    <s v="Dólares"/>
    <s v="Dólares"/>
    <s v="BOLIVAR al 200"/>
    <s v="Argentina | G.B.A. Zona Oeste | La Matanza | Ramos Mejia"/>
    <x v="0"/>
    <n v="2"/>
    <s v="Lion Team"/>
    <s v="Propia (Único Asesor)"/>
    <x v="1"/>
    <s v="Venta"/>
    <x v="3"/>
    <s v="Villa Urquiza"/>
  </r>
  <r>
    <d v="2025-03-28T00:00:00"/>
    <x v="1"/>
    <x v="9"/>
    <s v="Maricel68"/>
    <x v="0"/>
    <s v="Casa en Venta"/>
    <s v="Realizado"/>
    <s v="AR MercadoLibre"/>
    <n v="54000"/>
    <x v="43"/>
    <x v="0"/>
    <s v="Dólares"/>
    <s v="Dólares"/>
    <s v="Llerena 1641"/>
    <s v="Argentina | Santa Fe | La Capital | Santa Fe"/>
    <x v="2"/>
    <n v="1"/>
    <s v="De la Veracruz"/>
    <s v="(Interior) Compartida Fuera de la Red Búsqueda"/>
    <x v="2"/>
    <s v="Venta"/>
    <x v="5"/>
    <s v="Capital Santa Fe"/>
  </r>
  <r>
    <d v="2026-01-30T00:00:00"/>
    <x v="0"/>
    <x v="10"/>
    <s v="CAP7642722"/>
    <x v="2"/>
    <s v="Monoambiente Full Amenities en venta - Montserrat"/>
    <s v="Realizado"/>
    <s v="AR MercadoLibre"/>
    <n v="52900"/>
    <x v="44"/>
    <x v="0"/>
    <s v="Dólares"/>
    <s v="Dólares"/>
    <s v="Alsina al 1200"/>
    <s v="Argentina | Capital Federal | Monserrat "/>
    <x v="0"/>
    <n v="2"/>
    <s v="Beyker"/>
    <s v="Master"/>
    <x v="1"/>
    <s v="Venta"/>
    <x v="3"/>
    <s v="Retiro"/>
  </r>
  <r>
    <d v="2025-03-06T00:00:00"/>
    <x v="1"/>
    <x v="9"/>
    <s v="Magdalena"/>
    <x v="0"/>
    <s v="Reserva Magda Lucas Knell Dpto GM en Pozo"/>
    <s v="Realizado"/>
    <s v="Teléfono"/>
    <n v="50000"/>
    <x v="45"/>
    <x v="0"/>
    <s v="Dólares"/>
    <s v="Dólares"/>
    <m/>
    <s v="Argentina | Rio Negro | Bariloche "/>
    <x v="0"/>
    <n v="1"/>
    <s v="Patagonia Lakes BRC"/>
    <s v="(Interior) Compartida Fuera de la Red Búsqueda"/>
    <x v="2"/>
    <s v="Venta"/>
    <x v="7"/>
    <s v="Bariloche"/>
  </r>
  <r>
    <d v="2025-12-23T00:00:00"/>
    <x v="1"/>
    <x v="8"/>
    <s v="DEPTO PLAZA ITALIA 2D 80M2"/>
    <x v="0"/>
    <s v="DEPTO PLAZA ITALIA 2D 80M2"/>
    <s v="Realizado"/>
    <s v="AR ZonaProp"/>
    <n v="50000"/>
    <x v="45"/>
    <x v="0"/>
    <s v="Dólares"/>
    <s v="Dólares"/>
    <m/>
    <s v="Argentina | G.B.A. Zona Sur | La Plata | La Plata"/>
    <x v="0"/>
    <n v="1"/>
    <s v="Golden Team"/>
    <s v="(Interior) Compartida Fuera de la Red Captación Propia"/>
    <x v="0"/>
    <s v="Venta"/>
    <x v="0"/>
    <s v="La Plata"/>
  </r>
  <r>
    <d v="2025-05-01T00:00:00"/>
    <x v="1"/>
    <x v="2"/>
    <m/>
    <x v="0"/>
    <s v="Loteo Selvana I, nomenclatura catastral 16-20-068-9843, que una vez realizada la subdivisión será denominado internamente como unidad funcional Nº 12 de 435 m2"/>
    <s v="Realizado"/>
    <s v="AR ZonaProp"/>
    <n v="50000"/>
    <x v="45"/>
    <x v="0"/>
    <s v="Dólares"/>
    <s v="Dólares"/>
    <s v="Caviahue y Av. Nahuel Haupi"/>
    <s v="Argentina | Neuquen | Villa La Angostura | Selvana"/>
    <x v="1"/>
    <n v="2"/>
    <s v="Patagonia Lakes VLA"/>
    <s v="Compartida en Oficina (Dos Asesores)"/>
    <x v="1"/>
    <s v="Venta"/>
    <x v="1"/>
    <s v="Villa La Angostura"/>
  </r>
  <r>
    <d v="2025-06-11T00:00:00"/>
    <x v="1"/>
    <x v="4"/>
    <s v="CAP6848233"/>
    <x v="0"/>
    <s v="Oportunidad ! Excelente monoambiente en venta "/>
    <s v="Realizado"/>
    <s v="AR ZonaProp"/>
    <n v="55000"/>
    <x v="45"/>
    <x v="0"/>
    <s v="Dólares"/>
    <s v="Dólares"/>
    <s v="Uruguay  al 300"/>
    <s v="Argentina | Rio Negro | Cipolletti "/>
    <x v="0"/>
    <n v="2"/>
    <s v="Sensus"/>
    <s v="Compartida en Oficina (Dos Asesores)"/>
    <x v="1"/>
    <s v="Venta"/>
    <x v="1"/>
    <s v="Capital Neuquén"/>
  </r>
  <r>
    <d v="2025-08-29T00:00:00"/>
    <x v="1"/>
    <x v="5"/>
    <s v="CLO7028109"/>
    <x v="0"/>
    <s v="Dúplex en Venta  "/>
    <s v="Realizado"/>
    <s v="Conocido"/>
    <n v="50000"/>
    <x v="45"/>
    <x v="0"/>
    <s v="Dólares"/>
    <s v="Dólares"/>
    <s v="Rene Favaloro"/>
    <s v="Argentina | Neuquen | Confluencia | Plottier"/>
    <x v="4"/>
    <n v="2"/>
    <s v="Sensus"/>
    <s v="Compartida en Oficina (Dos Asesores)"/>
    <x v="1"/>
    <s v="Venta"/>
    <x v="1"/>
    <s v="Capital Neuquén"/>
  </r>
  <r>
    <d v="2026-01-28T00:00:00"/>
    <x v="0"/>
    <x v="10"/>
    <s v="CHO7208393"/>
    <x v="0"/>
    <s v="VENTA CASA DIQUE LA CIENEGA"/>
    <s v="Realizado"/>
    <s v="Conocido"/>
    <n v="56000"/>
    <x v="45"/>
    <x v="0"/>
    <s v="Dólares"/>
    <s v="Dólares"/>
    <s v="Dique La cienga"/>
    <s v="Argentina | Jujuy | El Carmen "/>
    <x v="2"/>
    <n v="2"/>
    <s v="Plaza"/>
    <s v="Compartida en Oficina (Dos Asesores)"/>
    <x v="1"/>
    <s v="Venta"/>
    <x v="8"/>
    <s v="Capital Jujuy"/>
  </r>
  <r>
    <d v="2026-03-09T00:00:00"/>
    <x v="0"/>
    <x v="9"/>
    <s v="CHO7032754"/>
    <x v="0"/>
    <s v="CASA EN VENTA - 12 DE OCTUBRE"/>
    <s v="Realizado"/>
    <s v="Conocido"/>
    <n v="55000"/>
    <x v="45"/>
    <x v="0"/>
    <s v="Dólares"/>
    <s v="Dólares"/>
    <s v="Ricardo Rojas al 100"/>
    <s v="Argentina | Jujuy | Dr Manuel Belgrano | San Salvador De Jujuy"/>
    <x v="2"/>
    <n v="2"/>
    <s v="Plaza"/>
    <s v="Compartida en Oficina (Dos Asesores)"/>
    <x v="1"/>
    <s v="Venta"/>
    <x v="8"/>
    <s v="Capital Jujuy"/>
  </r>
  <r>
    <d v="2025-10-06T00:00:00"/>
    <x v="1"/>
    <x v="11"/>
    <s v="CAP6390524"/>
    <x v="0"/>
    <s v="VENTA MONOAMBIENTE A ESTRENAR CON PISCINA Y VISTA ABIERTA"/>
    <s v="Realizado"/>
    <s v="AR ZonaProp"/>
    <n v="50000"/>
    <x v="45"/>
    <x v="0"/>
    <s v="Dólares"/>
    <s v="Dólares"/>
    <s v="Av. Mitre al 4900"/>
    <s v="Argentina | G.B.A. Zona Sur | Avellaneda | Villa Dominico"/>
    <x v="0"/>
    <n v="2"/>
    <s v="Destino II"/>
    <s v="Compartida en Red (50%)"/>
    <x v="1"/>
    <s v="Venta"/>
    <x v="3"/>
    <s v="Recoleta"/>
  </r>
  <r>
    <d v="2025-11-17T00:00:00"/>
    <x v="1"/>
    <x v="7"/>
    <n v="44"/>
    <x v="0"/>
    <s v="Venta Mariano Moreno"/>
    <s v="Realizado"/>
    <s v="AR MercadoLibre"/>
    <n v="50000"/>
    <x v="45"/>
    <x v="0"/>
    <s v="Dólares"/>
    <s v="Dólares"/>
    <s v="Mariano Moreno 5947"/>
    <s v="Argentina | G.B.A. Zona Sur | Avellaneda | Wilde"/>
    <x v="0"/>
    <n v="1"/>
    <s v="Grupo Elite"/>
    <s v="Compartida Fuera de la Red Búsqueda"/>
    <x v="2"/>
    <s v="Venta"/>
    <x v="3"/>
    <s v="Puerto Madero"/>
  </r>
  <r>
    <d v="2025-12-10T00:00:00"/>
    <x v="1"/>
    <x v="8"/>
    <s v="CHO7027346"/>
    <x v="0"/>
    <s v="APTO CRÉDITO - Casa 4 AMB en Garín Centro"/>
    <s v="Realizado"/>
    <s v="AR MercadoLibre"/>
    <n v="69900"/>
    <x v="45"/>
    <x v="0"/>
    <s v="Dólares"/>
    <s v="Dólares"/>
    <s v="APTO CRÉDITO - Casa 4 AMB en Garín Centro"/>
    <s v="Argentina | G.B.A. Zona Norte | Escobar | Garin | Garin-Centro"/>
    <x v="2"/>
    <n v="2"/>
    <s v="Puerto Norte"/>
    <s v="Compartida Fuera de la Red Captación Propia"/>
    <x v="0"/>
    <s v="Venta"/>
    <x v="6"/>
    <s v="Nordelta"/>
  </r>
  <r>
    <d v="2025-06-24T00:00:00"/>
    <x v="1"/>
    <x v="4"/>
    <s v="CHO6185867"/>
    <x v="0"/>
    <s v="Casa en Oportunidad Villa Tesei"/>
    <s v="Realizado"/>
    <s v="Conocido"/>
    <n v="54000"/>
    <x v="45"/>
    <x v="0"/>
    <s v="Dólares"/>
    <s v="Dólares"/>
    <s v="Las Provincias al 100"/>
    <s v="Argentina | G.B.A. Zona Oeste | Hurlingham | Villa Santos Tesei"/>
    <x v="2"/>
    <n v="2"/>
    <s v="Patagonia Lakes SMA"/>
    <s v="Profesional Referenciador (30%)"/>
    <x v="1"/>
    <s v="Venta"/>
    <x v="1"/>
    <s v="San Martín de los Andes"/>
  </r>
  <r>
    <d v="2026-03-27T00:00:00"/>
    <x v="0"/>
    <x v="9"/>
    <m/>
    <x v="0"/>
    <s v="Depto Referido Rosario"/>
    <s v="Realizado"/>
    <s v="AR ZonaProp"/>
    <n v="60000"/>
    <x v="45"/>
    <x v="0"/>
    <s v="Dólares"/>
    <s v="Dólares"/>
    <s v="Referido Rosario Remax"/>
    <s v="Argentina | Santa Fe | Rosario "/>
    <x v="0"/>
    <n v="2"/>
    <s v="Destino"/>
    <s v="Profesional Referenciador (30%)"/>
    <x v="1"/>
    <s v="Venta"/>
    <x v="3"/>
    <s v="Recoleta"/>
  </r>
  <r>
    <d v="2025-04-16T00:00:00"/>
    <x v="1"/>
    <x v="3"/>
    <s v="CLA6816423"/>
    <x v="0"/>
    <s v="Terreno en  venta en Lomas del Cauquén Bariloche"/>
    <s v="Realizado"/>
    <s v="Teléfono"/>
    <n v="60000"/>
    <x v="45"/>
    <x v="0"/>
    <s v="Dólares"/>
    <s v="Dólares"/>
    <s v="Lomas del Cauquen, San Carlos de Bariloche"/>
    <s v="Argentina | Rio Negro | Bariloche | Lomas del Cauquen"/>
    <x v="1"/>
    <n v="2"/>
    <s v="Patagonia Lakes BRC"/>
    <s v="Profesional Referido (70%)"/>
    <x v="1"/>
    <s v="Venta"/>
    <x v="7"/>
    <s v="Bariloche"/>
  </r>
  <r>
    <d v="2025-01-30T00:00:00"/>
    <x v="1"/>
    <x v="10"/>
    <s v="CAP6435586"/>
    <x v="0"/>
    <s v="Venta Departamento Monoambiente en Devoto."/>
    <s v="Realizado"/>
    <s v="AR ZonaProp"/>
    <n v="55000"/>
    <x v="45"/>
    <x v="0"/>
    <s v="Dólares"/>
    <s v="Dólares"/>
    <s v="Bahía Blanca al 3300"/>
    <s v="Argentina | Capital Federal | Villa Devoto "/>
    <x v="0"/>
    <n v="2"/>
    <s v="Audacity"/>
    <s v="Propia (Único Asesor)"/>
    <x v="1"/>
    <s v="Venta"/>
    <x v="9"/>
    <s v="Parque Leloir"/>
  </r>
  <r>
    <d v="2025-02-14T00:00:00"/>
    <x v="1"/>
    <x v="0"/>
    <s v="CHO6614984"/>
    <x v="0"/>
    <s v="Casa en  Venta , Ruta Nacional 22, Cervantes"/>
    <s v="Realizado"/>
    <s v="AR ZonaProp"/>
    <n v="53000"/>
    <x v="45"/>
    <x v="0"/>
    <s v="Dólares"/>
    <s v="Dólares"/>
    <s v="Loteo Peumayen , Cervantes , Gral Roca "/>
    <s v="Argentina | Rio Negro | General Roca | Cervantes"/>
    <x v="2"/>
    <n v="2"/>
    <s v="Sensus"/>
    <s v="Propia (Único Asesor)"/>
    <x v="1"/>
    <s v="Venta"/>
    <x v="1"/>
    <s v="Capital Neuquén"/>
  </r>
  <r>
    <d v="2025-04-01T00:00:00"/>
    <x v="1"/>
    <x v="3"/>
    <s v="JAP6721780"/>
    <x v="0"/>
    <s v="Venta Departamento 2 ambientes con vista panoramica"/>
    <s v="Realizado"/>
    <s v="AR ZonaProp"/>
    <n v="60000"/>
    <x v="45"/>
    <x v="0"/>
    <s v="Dólares"/>
    <s v="Dólares"/>
    <s v="Fraga 86"/>
    <s v="Argentina | Capital Federal | Chacarita "/>
    <x v="0"/>
    <n v="2"/>
    <s v="Lion Team Norte"/>
    <s v="Propia (Único Asesor)"/>
    <x v="1"/>
    <s v="Venta"/>
    <x v="6"/>
    <s v="Vicente López"/>
  </r>
  <r>
    <d v="2025-04-03T00:00:00"/>
    <x v="1"/>
    <x v="3"/>
    <s v="CHO6781596"/>
    <x v="0"/>
    <s v="Casa 4 Ambientes en Venta APTA CRÉDITO en Paso del Rey"/>
    <s v="Realizado"/>
    <s v="AR ZonaProp"/>
    <n v="49999"/>
    <x v="45"/>
    <x v="0"/>
    <s v="Dólares"/>
    <s v="Dólares"/>
    <s v="Soldado M.B Cini al 300"/>
    <s v="Argentina | G.B.A. Zona Oeste | Moreno | Paso Del Rey"/>
    <x v="2"/>
    <n v="2"/>
    <s v="Audacity"/>
    <s v="Propia (Único Asesor)"/>
    <x v="1"/>
    <s v="Venta"/>
    <x v="9"/>
    <s v="Parque Leloir"/>
  </r>
  <r>
    <d v="2025-04-14T00:00:00"/>
    <x v="1"/>
    <x v="3"/>
    <s v="CLA6074320"/>
    <x v="0"/>
    <s v="Terreno en  PERICO "/>
    <s v="Realizado"/>
    <s v="Cartel"/>
    <n v="50000"/>
    <x v="45"/>
    <x v="0"/>
    <s v="Dólares"/>
    <s v="Dólares"/>
    <s v="LOS LAPACHOS"/>
    <s v="Argentina | Jujuy | El Carmen "/>
    <x v="1"/>
    <n v="2"/>
    <s v="Plaza"/>
    <s v="Propia (Único Asesor)"/>
    <x v="1"/>
    <s v="Venta"/>
    <x v="8"/>
    <s v="Capital Jujuy"/>
  </r>
  <r>
    <d v="2025-04-24T00:00:00"/>
    <x v="1"/>
    <x v="3"/>
    <s v="VLA5595101"/>
    <x v="0"/>
    <s v="Terreno en  Venta Barrio El Cazador - Escobar"/>
    <s v="Realizado"/>
    <s v="AR ZonaProp"/>
    <n v="35000"/>
    <x v="45"/>
    <x v="0"/>
    <s v="Dólares"/>
    <s v="Dólares"/>
    <s v="Terreno en  Venta Barrio El Cazador - Escobar"/>
    <s v="Argentina | G.B.A. Zona Norte | Escobar | Barrio El Cazador"/>
    <x v="1"/>
    <n v="2"/>
    <s v="Puerto Norte"/>
    <s v="Propia (Único Asesor)"/>
    <x v="1"/>
    <s v="Venta"/>
    <x v="6"/>
    <s v="Nordelta"/>
  </r>
  <r>
    <d v="2025-06-14T00:00:00"/>
    <x v="1"/>
    <x v="4"/>
    <s v="CAP6770132"/>
    <x v="0"/>
    <s v="Departamento en venta 2 ambientes Retiro"/>
    <s v="Realizado"/>
    <s v="AR ZonaProp"/>
    <n v="53000"/>
    <x v="45"/>
    <x v="0"/>
    <s v="Dólares"/>
    <s v="Dólares"/>
    <s v="Cordoba al 800"/>
    <s v="Argentina | Capital Federal | Retiro "/>
    <x v="0"/>
    <n v="2"/>
    <s v="Grupo Elite"/>
    <s v="Propia (Único Asesor)"/>
    <x v="1"/>
    <s v="Venta"/>
    <x v="3"/>
    <s v="Puerto Madero"/>
  </r>
  <r>
    <d v="2025-08-04T00:00:00"/>
    <x v="1"/>
    <x v="5"/>
    <s v="JPH6987635"/>
    <x v="0"/>
    <s v="PH 3 ambientes en venta SIN EXPENSAS SAN TELMO"/>
    <s v="Realizado"/>
    <s v="AR ZonaProp"/>
    <n v="70000"/>
    <x v="45"/>
    <x v="0"/>
    <s v="Dólares"/>
    <s v="Dólares"/>
    <s v="Carlos Calvo al 600"/>
    <s v="Argentina | Capital Federal | San Telmo "/>
    <x v="3"/>
    <n v="2"/>
    <s v="Lion Team Norte"/>
    <s v="Propia (Único Asesor)"/>
    <x v="1"/>
    <s v="Venta"/>
    <x v="6"/>
    <s v="Vicente López"/>
  </r>
  <r>
    <d v="2025-09-15T00:00:00"/>
    <x v="1"/>
    <x v="6"/>
    <s v="JWE6781418"/>
    <x v="0"/>
    <s v="Venta Quinta en Centro Agricola El Pato"/>
    <s v="Realizado"/>
    <s v="AR ZonaProp"/>
    <n v="50000"/>
    <x v="45"/>
    <x v="0"/>
    <s v="Dólares"/>
    <s v="Dólares"/>
    <n v="1141"/>
    <s v="Argentina | G.B.A. Zona Sur | Berazategui | Centro Agricola El Pato"/>
    <x v="2"/>
    <n v="2"/>
    <s v="Lion Team Norte"/>
    <s v="Propia (Único Asesor)"/>
    <x v="1"/>
    <s v="Venta"/>
    <x v="6"/>
    <s v="Vicente López"/>
  </r>
  <r>
    <d v="2025-09-25T00:00:00"/>
    <x v="1"/>
    <x v="6"/>
    <s v="CAP7240201"/>
    <x v="0"/>
    <s v="Departamento en Venta de 2 dormitorios en  51 entre 15 y 16 La Plata"/>
    <s v="Realizado"/>
    <s v="AR MercadoLibre"/>
    <n v="55000"/>
    <x v="45"/>
    <x v="0"/>
    <s v="Dólares"/>
    <s v="Dólares"/>
    <s v="Departamento en Venta de 2 dormitorios en  51 entre 15 y 16 La Plata"/>
    <s v="Argentina | G.B.A. Zona Sur | La Plata | La Plata"/>
    <x v="0"/>
    <n v="2"/>
    <s v="Golden Team"/>
    <s v="Propia (Único Asesor)"/>
    <x v="1"/>
    <s v="Venta"/>
    <x v="0"/>
    <s v="La Plata"/>
  </r>
  <r>
    <d v="2025-10-22T00:00:00"/>
    <x v="1"/>
    <x v="11"/>
    <s v="CAP7110804"/>
    <x v="0"/>
    <s v="Departamento 2 ambientes con balcón y cochera en VENTA"/>
    <s v="Realizado"/>
    <s v="AR ZonaProp"/>
    <n v="52000"/>
    <x v="45"/>
    <x v="0"/>
    <s v="Dólares"/>
    <s v="Dólares"/>
    <s v="Raquel Español  al 100"/>
    <s v="Argentina | G.B.A. Zona Sur | Avellaneda | Wilde"/>
    <x v="0"/>
    <n v="2"/>
    <s v="Quality"/>
    <s v="Propia (Único Asesor)"/>
    <x v="1"/>
    <s v="Venta"/>
    <x v="6"/>
    <s v="Escobar"/>
  </r>
  <r>
    <d v="2025-10-28T00:00:00"/>
    <x v="1"/>
    <x v="11"/>
    <s v="CPH7255069"/>
    <x v="0"/>
    <s v="VENTA DE PH DE 2 AMBIENTES EN SAN CRISTOBAL "/>
    <s v="Realizado"/>
    <s v="AR ZonaProp"/>
    <n v="50000"/>
    <x v="45"/>
    <x v="0"/>
    <s v="Dólares"/>
    <s v="Dólares"/>
    <s v="Pavon  al 3500"/>
    <s v="Argentina | Capital Federal | San Cristobal "/>
    <x v="3"/>
    <n v="2"/>
    <s v="Notable"/>
    <s v="Propia (Único Asesor)"/>
    <x v="1"/>
    <s v="Venta"/>
    <x v="3"/>
    <s v="Palermo"/>
  </r>
  <r>
    <d v="2025-11-06T00:00:00"/>
    <x v="1"/>
    <x v="7"/>
    <s v="CAP6936922"/>
    <x v="0"/>
    <s v="Venta de Departamento monoambiente a estrenar en Agronomía"/>
    <s v="Realizado"/>
    <s v="AR ZonaProp"/>
    <n v="55000"/>
    <x v="45"/>
    <x v="0"/>
    <s v="Dólares"/>
    <s v="Dólares"/>
    <s v="Avenida Chorroarín al 500"/>
    <s v="Argentina | Capital Federal | Agronomia "/>
    <x v="0"/>
    <n v="2"/>
    <s v="Acqua"/>
    <s v="Propia (Único Asesor)"/>
    <x v="1"/>
    <s v="Venta"/>
    <x v="6"/>
    <s v="Pilar"/>
  </r>
  <r>
    <d v="2025-11-06T00:00:00"/>
    <x v="1"/>
    <x v="7"/>
    <s v="CAP7023542"/>
    <x v="0"/>
    <s v="Venta de Departamento monoambiente con balcón en Agronomía"/>
    <s v="Realizado"/>
    <s v="AR ZonaProp"/>
    <n v="55000"/>
    <x v="45"/>
    <x v="0"/>
    <s v="Dólares"/>
    <s v="Dólares"/>
    <s v="Av. Chorroarin  al 500"/>
    <s v="Argentina | Capital Federal | Agronomia "/>
    <x v="0"/>
    <n v="2"/>
    <s v="Acqua"/>
    <s v="Propia (Único Asesor)"/>
    <x v="1"/>
    <s v="Venta"/>
    <x v="6"/>
    <s v="Pilar"/>
  </r>
  <r>
    <d v="2025-11-06T00:00:00"/>
    <x v="1"/>
    <x v="7"/>
    <s v="CAP7419822"/>
    <x v="0"/>
    <s v="Venta, Depto, 2 ambientes, balcon, Cochera, Santos Lugares, Saenz Peña"/>
    <s v="Realizado"/>
    <s v="AR ArgenProp"/>
    <n v="9000"/>
    <x v="45"/>
    <x v="0"/>
    <s v="Dólares"/>
    <s v="Dólares"/>
    <s v="La Rioja  al 3500"/>
    <s v="Argentina | G.B.A. Zona Oeste | Tres De Febrero | Santos Lugares"/>
    <x v="8"/>
    <n v="2"/>
    <s v="Lion Team"/>
    <s v="Propia (Único Asesor)"/>
    <x v="1"/>
    <s v="Venta"/>
    <x v="3"/>
    <s v="Villa Urquiza"/>
  </r>
  <r>
    <d v="2025-11-13T00:00:00"/>
    <x v="1"/>
    <x v="7"/>
    <s v="CAP6902390"/>
    <x v="0"/>
    <s v="Alvarado 1850. 2 dorm. 2 piso por escalera"/>
    <s v="Realizado"/>
    <s v="Facebook"/>
    <n v="55000"/>
    <x v="45"/>
    <x v="0"/>
    <s v="Dólares"/>
    <s v="Dólares"/>
    <s v="Alvarado al 1800 "/>
    <s v="Argentina | Salta | Capital | Salta | Zona Centro"/>
    <x v="0"/>
    <n v="2"/>
    <s v="Realty Group"/>
    <s v="Propia (Único Asesor)"/>
    <x v="1"/>
    <s v="Venta"/>
    <x v="4"/>
    <s v="San Lorenzo Chico"/>
  </r>
  <r>
    <d v="2025-11-26T00:00:00"/>
    <x v="1"/>
    <x v="7"/>
    <s v="CAP7152925"/>
    <x v="0"/>
    <s v="Venta 2 amb en San Fernando (bajas expensas)"/>
    <s v="Realizado"/>
    <s v="AR ZonaProp"/>
    <n v="55000"/>
    <x v="45"/>
    <x v="0"/>
    <s v="Dólares"/>
    <s v="Dólares"/>
    <s v="3 de febrero al 1200"/>
    <s v="Argentina | G.B.A. Zona Norte | San Fernando "/>
    <x v="0"/>
    <n v="2"/>
    <s v="Concept"/>
    <s v="Propia (Único Asesor)"/>
    <x v="1"/>
    <s v="Venta"/>
    <x v="6"/>
    <s v="Tigre"/>
  </r>
  <r>
    <d v="2025-12-22T00:00:00"/>
    <x v="1"/>
    <x v="8"/>
    <s v="DHO2986986"/>
    <x v="0"/>
    <s v="Venta casa 3 ambientes - Aranzazu CC - Escobar"/>
    <s v="Realizado"/>
    <s v="AR MercadoLibre"/>
    <n v="115000"/>
    <x v="45"/>
    <x v="0"/>
    <s v="Dólares"/>
    <s v="Dólares"/>
    <s v="Aranzazu"/>
    <s v="Argentina | G.B.A. Zona Norte | Escobar | Countries/B.Cerrado (Escobar) | Aranzazu"/>
    <x v="2"/>
    <n v="2"/>
    <s v="Lion Team"/>
    <s v="Propia (Único Asesor)"/>
    <x v="1"/>
    <s v="Venta"/>
    <x v="3"/>
    <s v="Villa Urquiza"/>
  </r>
  <r>
    <d v="2026-02-27T00:00:00"/>
    <x v="0"/>
    <x v="0"/>
    <s v="CAP7297674"/>
    <x v="0"/>
    <s v="DEPARTAMENTO EN VENTA 2 AMB MORON CENTRO"/>
    <s v="Realizado"/>
    <s v="AR ArgenProp"/>
    <n v="53000"/>
    <x v="45"/>
    <x v="0"/>
    <s v="Dólares"/>
    <s v="Dólares"/>
    <s v="Buen Viaje  al 600"/>
    <s v="Argentina | G.B.A. Zona Oeste | Moron | Moron"/>
    <x v="0"/>
    <n v="2"/>
    <s v="Lion Team"/>
    <s v="Propia (Único Asesor)"/>
    <x v="1"/>
    <s v="Venta"/>
    <x v="3"/>
    <s v="Villa Urquiza"/>
  </r>
  <r>
    <d v="2026-03-10T00:00:00"/>
    <x v="0"/>
    <x v="9"/>
    <s v="CHO7117206"/>
    <x v="0"/>
    <s v="Venta Casa en  lote propio La Ferrere"/>
    <s v="Realizado"/>
    <s v="AR ArgenProp"/>
    <n v="55000"/>
    <x v="45"/>
    <x v="0"/>
    <s v="Dólares"/>
    <s v="Dólares"/>
    <s v="Chopin al 4700"/>
    <s v="Argentina | G.B.A. Zona Oeste | La Matanza | Gregorio De Laferrere"/>
    <x v="2"/>
    <n v="2"/>
    <s v="Lion Team"/>
    <s v="Propia (Único Asesor)"/>
    <x v="1"/>
    <s v="Venta"/>
    <x v="3"/>
    <s v="Villa Urquiza"/>
  </r>
  <r>
    <d v="2026-03-17T00:00:00"/>
    <x v="0"/>
    <x v="9"/>
    <s v="CLA7627469"/>
    <x v="0"/>
    <s v="VENTA, TERRENO, MERCEDES, 1 HECTAREA, RUTA5 KM 108"/>
    <s v="Realizado"/>
    <s v="AR ZonaProp"/>
    <n v="50000"/>
    <x v="45"/>
    <x v="0"/>
    <s v="Dólares"/>
    <s v="Dólares"/>
    <s v="Ruta 5 km 108"/>
    <s v="Argentina | Interior Buenos Aires | Mercedes | Manuel Jose Garcia"/>
    <x v="1"/>
    <n v="2"/>
    <s v="Lion Team"/>
    <s v="Propia (Único Asesor)"/>
    <x v="1"/>
    <s v="Venta"/>
    <x v="3"/>
    <s v="Villa Urquiza"/>
  </r>
  <r>
    <d v="2025-11-27T00:00:00"/>
    <x v="1"/>
    <x v="7"/>
    <s v="99Eric"/>
    <x v="0"/>
    <s v="Local comercial "/>
    <s v="Realizado"/>
    <s v="Conocido"/>
    <n v="58000"/>
    <x v="46"/>
    <x v="0"/>
    <s v="Dólares"/>
    <s v="Dólares"/>
    <s v="Rivadavia 6740"/>
    <s v="Argentina | Santa Fe | La Capital | Santa Fe"/>
    <x v="4"/>
    <n v="1"/>
    <s v="De la Veracruz"/>
    <s v="(Interior) Compartida Fuera de la Red Búsqueda"/>
    <x v="2"/>
    <s v="Venta"/>
    <x v="5"/>
    <s v="Capital Santa Fe"/>
  </r>
  <r>
    <d v="2025-08-20T00:00:00"/>
    <x v="1"/>
    <x v="5"/>
    <s v="CHO6718630"/>
    <x v="0"/>
    <s v="Casa de dos dormitorios y patio a metros de Av. Galicia."/>
    <s v="Realizado"/>
    <s v="Conocido"/>
    <n v="55000"/>
    <x v="46"/>
    <x v="0"/>
    <s v="Dólares"/>
    <s v="Dólares"/>
    <s v="A. Boneo al 1500"/>
    <s v="Argentina | Santa Fe | La Capital | Santa Fe | Guadalupe oeste"/>
    <x v="2"/>
    <n v="1"/>
    <s v="De la Veracruz"/>
    <s v="(Interior) Compartida Fuera de la Red Captación Propia"/>
    <x v="0"/>
    <s v="Venta"/>
    <x v="5"/>
    <s v="Capital Santa Fe"/>
  </r>
  <r>
    <d v="2025-09-01T00:00:00"/>
    <x v="1"/>
    <x v="6"/>
    <s v="Luciana Ororbia 2"/>
    <x v="0"/>
    <s v="Casa en  Gerli"/>
    <s v="Realizado"/>
    <s v="AR ZonaProp"/>
    <n v="60000"/>
    <x v="46"/>
    <x v="0"/>
    <s v="Dólares"/>
    <s v="Dólares"/>
    <s v="Casacuberta al 2000"/>
    <s v="Argentina | G.B.A. Zona Sur | Avellaneda | Gerli"/>
    <x v="2"/>
    <n v="2"/>
    <s v="Destino"/>
    <s v="Compartida en Oficina (Dos Asesores)"/>
    <x v="1"/>
    <s v="Venta"/>
    <x v="3"/>
    <s v="Recoleta"/>
  </r>
  <r>
    <d v="2025-06-25T00:00:00"/>
    <x v="1"/>
    <x v="4"/>
    <m/>
    <x v="2"/>
    <s v="UF Nº 18 de 510 m2 Selvana VLA"/>
    <s v="Realizado"/>
    <s v="Referido"/>
    <n v="51000"/>
    <x v="46"/>
    <x v="0"/>
    <s v="Dólares"/>
    <s v="Dólares"/>
    <s v="Av. Nahuel Huapi y Caviahue"/>
    <s v="Argentina | Neuquen | Villa La Angostura | Selvana"/>
    <x v="1"/>
    <n v="2"/>
    <s v="Patagonia Lakes VLA"/>
    <s v="Master"/>
    <x v="1"/>
    <s v="Venta"/>
    <x v="1"/>
    <s v="Villa La Angostura"/>
  </r>
  <r>
    <d v="2025-07-04T00:00:00"/>
    <x v="1"/>
    <x v="1"/>
    <s v="CAP6835693"/>
    <x v="0"/>
    <s v="Departamento Venta a estrenar Constructora Sauce Grande 47 18 y 19 La Plata"/>
    <s v="Realizado"/>
    <s v="Referido"/>
    <n v="55000"/>
    <x v="46"/>
    <x v="0"/>
    <s v="Dólares"/>
    <s v="Dólares"/>
    <s v="Departamento Venta A Estrenar 47 18 y 19 La Plata "/>
    <s v="Argentina | G.B.A. Zona Sur | La Plata | La Plata | Microcentro"/>
    <x v="0"/>
    <n v="1"/>
    <s v="Golden Team"/>
    <s v="Compartida Fuera de la Red Búsqueda"/>
    <x v="2"/>
    <s v="Venta"/>
    <x v="0"/>
    <s v="La Plata"/>
  </r>
  <r>
    <d v="2025-08-01T00:00:00"/>
    <x v="1"/>
    <x v="5"/>
    <s v="CAP6935298"/>
    <x v="0"/>
    <s v="Departamento Monoambiente a ESTRENAR en 47 e/ 18 y 19 La Plata"/>
    <s v="Realizado"/>
    <s v="Teléfono"/>
    <n v="55000"/>
    <x v="46"/>
    <x v="0"/>
    <s v="Dólares"/>
    <s v="Dólares"/>
    <s v="Departamento Monoambiente a ESTRENAR en 47 entre 18 y 19"/>
    <s v="Argentina | G.B.A. Zona Sur | La Plata | La Plata"/>
    <x v="0"/>
    <n v="1"/>
    <s v="Golden Team"/>
    <s v="Compartida Fuera de la Red Búsqueda"/>
    <x v="2"/>
    <s v="Venta"/>
    <x v="0"/>
    <s v="La Plata"/>
  </r>
  <r>
    <d v="2025-09-30T00:00:00"/>
    <x v="1"/>
    <x v="6"/>
    <n v="30092025"/>
    <x v="0"/>
    <s v="Reserva Venta Referido Leti Mati Seniority depto escobar "/>
    <s v="Realizado"/>
    <s v="Salón"/>
    <n v="51000"/>
    <x v="46"/>
    <x v="0"/>
    <s v="Dólares"/>
    <s v="Dólares"/>
    <m/>
    <s v="Argentina | G.B.A. Zona Norte | Escobar | Belen De Escobar"/>
    <x v="0"/>
    <n v="2"/>
    <s v="Patagonia Lakes BRC"/>
    <s v="Profesional Referenciador (30%)"/>
    <x v="1"/>
    <s v="Venta"/>
    <x v="7"/>
    <s v="Bariloche"/>
  </r>
  <r>
    <d v="2025-09-15T00:00:00"/>
    <x v="1"/>
    <x v="6"/>
    <s v="CAP6335414"/>
    <x v="0"/>
    <s v="Venta - Departamento - 2 Ambientes - Balcon - Luminoso - Vis"/>
    <s v="Realizado"/>
    <s v="AR MercadoLibre"/>
    <n v="53000"/>
    <x v="46"/>
    <x v="0"/>
    <s v="Dólares"/>
    <s v="Dólares"/>
    <s v="Hipolito Irigoyen 585"/>
    <s v="Argentina | G.B.A. Zona Norte | Escobar | Belen De Escobar"/>
    <x v="0"/>
    <n v="2"/>
    <s v="Lion Team"/>
    <s v="Profesional Referido (70%)"/>
    <x v="1"/>
    <s v="Venta"/>
    <x v="3"/>
    <s v="Villa Urquiza"/>
  </r>
  <r>
    <d v="2025-03-13T00:00:00"/>
    <x v="1"/>
    <x v="9"/>
    <s v="526 San Lucas"/>
    <x v="0"/>
    <s v="lote 526 San Lucas"/>
    <s v="Realizado"/>
    <s v="AR ZonaProp"/>
    <n v="51000"/>
    <x v="46"/>
    <x v="0"/>
    <s v="Dólares"/>
    <s v="Dólares"/>
    <m/>
    <s v="Argentina | G.B.A. Zona Sur | San Vicente "/>
    <x v="1"/>
    <n v="2"/>
    <s v="Livello"/>
    <s v="Propia (Único Asesor)"/>
    <x v="1"/>
    <s v="Venta"/>
    <x v="3"/>
    <s v="Palermo"/>
  </r>
  <r>
    <d v="2025-05-21T00:00:00"/>
    <x v="1"/>
    <x v="2"/>
    <s v="Agüero 226"/>
    <x v="0"/>
    <s v="departamento venta agüero 226"/>
    <s v="Realizado"/>
    <s v="AR MercadoLibre"/>
    <n v="51000"/>
    <x v="46"/>
    <x v="0"/>
    <s v="Dólares"/>
    <s v="Dólares"/>
    <m/>
    <s v="Argentina | Capital Federal | Recoleta "/>
    <x v="0"/>
    <n v="2"/>
    <s v="Livello"/>
    <s v="Propia (Único Asesor)"/>
    <x v="1"/>
    <s v="Venta"/>
    <x v="3"/>
    <s v="Palermo"/>
  </r>
  <r>
    <d v="2025-12-01T00:00:00"/>
    <x v="1"/>
    <x v="8"/>
    <s v="CHO6829835"/>
    <x v="0"/>
    <s v="Casa en  Venta ciudad de Mendoza"/>
    <s v="Realizado"/>
    <s v="AR ZonaProp"/>
    <n v="56000"/>
    <x v="46"/>
    <x v="0"/>
    <s v="Dólares"/>
    <s v="Dólares"/>
    <s v="Barrio Soberania Nacional,Cabildo de Mendoza s/N, manzana M."/>
    <s v="Argentina | Mendoza | Capital | Mendoza | Sexta Sección"/>
    <x v="2"/>
    <n v="2"/>
    <s v="Cuyo Real"/>
    <s v="Propia (Único Asesor)"/>
    <x v="1"/>
    <s v="Venta"/>
    <x v="2"/>
    <s v="Capital Mendoza"/>
  </r>
  <r>
    <d v="2026-01-24T00:00:00"/>
    <x v="0"/>
    <x v="10"/>
    <m/>
    <x v="0"/>
    <s v="UF N° 1 de aproximadamente 567 mt2, parte del Loteo denominado Zona “B” Quetrihue en trámite de subdivisión - ubicado en Avenida Quetrihue y Amancay, nomenclatura catastral (lote madre): 16-20-63-5683 "/>
    <s v="Realizado"/>
    <s v="Conocido"/>
    <n v="51000"/>
    <x v="46"/>
    <x v="0"/>
    <s v="Dólares"/>
    <s v="Dólares"/>
    <s v="Bv. Quetrihue y Amancay"/>
    <s v="Argentina | Neuquen | Villa La Angostura | Selva Triste"/>
    <x v="1"/>
    <n v="2"/>
    <s v="Patagonia Lakes VLA"/>
    <s v="Propia (Único Asesor)"/>
    <x v="1"/>
    <s v="Venta"/>
    <x v="1"/>
    <s v="Villa La Angostura"/>
  </r>
  <r>
    <d v="2026-02-05T00:00:00"/>
    <x v="0"/>
    <x v="0"/>
    <s v="CAP7330720"/>
    <x v="0"/>
    <s v="Venta de Departamento 3 ambientes a refaccionar en Monte Castro"/>
    <s v="Realizado"/>
    <s v="AR MercadoLibre"/>
    <n v="58000"/>
    <x v="46"/>
    <x v="0"/>
    <s v="Dólares"/>
    <s v="Dólares"/>
    <s v="Alvarez Jonte al 5100"/>
    <s v="Argentina | Capital Federal | Monte Castro "/>
    <x v="0"/>
    <n v="2"/>
    <s v="Acqua"/>
    <s v="Propia (Único Asesor)"/>
    <x v="1"/>
    <s v="Venta"/>
    <x v="6"/>
    <s v="Pilar"/>
  </r>
  <r>
    <d v="2025-06-27T00:00:00"/>
    <x v="1"/>
    <x v="4"/>
    <s v="78Stella"/>
    <x v="0"/>
    <s v="Departamento en General Paz"/>
    <s v="Realizado"/>
    <s v="Conocido"/>
    <n v="52000"/>
    <x v="47"/>
    <x v="0"/>
    <s v="Dólares"/>
    <s v="Dólares"/>
    <s v="General Paz 7100"/>
    <s v="Argentina | Santa Fe | La Capital | Santa Fe"/>
    <x v="0"/>
    <n v="1"/>
    <s v="De la Veracruz"/>
    <s v="(Interior) Compartida Fuera de la Red Búsqueda"/>
    <x v="2"/>
    <s v="Venta"/>
    <x v="5"/>
    <s v="Capital Santa Fe"/>
  </r>
  <r>
    <d v="2025-05-28T00:00:00"/>
    <x v="1"/>
    <x v="2"/>
    <s v="CAP6936762"/>
    <x v="0"/>
    <s v="Departamento 1 dormi APTO CREDITO en Neuquen  "/>
    <s v="Realizado"/>
    <s v="AR ZonaProp"/>
    <n v="51500"/>
    <x v="47"/>
    <x v="0"/>
    <s v="Dólares"/>
    <s v="Dólares"/>
    <s v="La Rioja  al 1100"/>
    <s v="Argentina | Neuquen | Capital | Área Centro Oeste"/>
    <x v="0"/>
    <n v="2"/>
    <s v="Sensus"/>
    <s v="Compartida en Oficina (Dos Asesores)"/>
    <x v="1"/>
    <s v="Venta"/>
    <x v="1"/>
    <s v="Capital Neuquén"/>
  </r>
  <r>
    <d v="2025-12-01T00:00:00"/>
    <x v="1"/>
    <x v="8"/>
    <s v="CHO6904199"/>
    <x v="0"/>
    <s v="Casa en Venta calle 15 e 671 y 672 P.Sicardi, La Plata"/>
    <s v="Realizado"/>
    <s v="AR ZonaProp"/>
    <n v="52000"/>
    <x v="47"/>
    <x v="0"/>
    <s v="Dólares"/>
    <s v="Dólares"/>
    <s v="15 entre 671 y 672 Parque Sicardi, La Plata"/>
    <s v="Argentina | G.B.A. Zona Sur | La Plata | Villa Parque Sicardi"/>
    <x v="2"/>
    <n v="2"/>
    <s v="Golden Team"/>
    <s v="Compartida en Oficina (Dos Asesores)"/>
    <x v="1"/>
    <s v="Venta"/>
    <x v="0"/>
    <s v="La Plata"/>
  </r>
  <r>
    <d v="2025-05-20T00:00:00"/>
    <x v="1"/>
    <x v="2"/>
    <s v="CLA6709502"/>
    <x v="2"/>
    <s v="VENTA Lote /Terreno 1247 M2 con costa de arroyo Meliquina"/>
    <s v="Realizado"/>
    <s v="Instagram"/>
    <n v="53000"/>
    <x v="47"/>
    <x v="0"/>
    <s v="Dólares"/>
    <s v="Dólares"/>
    <s v="Villa Meliquina"/>
    <s v="Argentina | Neuquen | Lacar | San Martin De Los Andes | Villa Lago Meliquina"/>
    <x v="1"/>
    <n v="2"/>
    <s v="Patagonia Lakes SMA"/>
    <s v="Master"/>
    <x v="1"/>
    <s v="Venta"/>
    <x v="1"/>
    <s v="San Martín de los Andes"/>
  </r>
  <r>
    <d v="2025-06-18T00:00:00"/>
    <x v="1"/>
    <x v="4"/>
    <s v="Mono Geral"/>
    <x v="0"/>
    <s v="Mono Geral"/>
    <s v="Realizado"/>
    <s v="AR ZonaProp"/>
    <n v="51500"/>
    <x v="47"/>
    <x v="0"/>
    <s v="Dólares"/>
    <s v="Dólares"/>
    <m/>
    <s v="Argentina | Neuquen | Capital "/>
    <x v="0"/>
    <n v="1"/>
    <s v="Sensus"/>
    <s v="Compartida Fuera de la Red Búsqueda"/>
    <x v="2"/>
    <s v="Venta"/>
    <x v="1"/>
    <s v="Capital Neuquén"/>
  </r>
  <r>
    <d v="2025-04-15T00:00:00"/>
    <x v="1"/>
    <x v="3"/>
    <s v="JAP6727891"/>
    <x v="0"/>
    <s v="VENTA DEPARTAMENTO A RECICLAR  MONOAMB. C/BALCON - BELGRANO"/>
    <s v="Realizado"/>
    <s v="AR ZonaProp"/>
    <n v="60000"/>
    <x v="47"/>
    <x v="0"/>
    <s v="Dólares"/>
    <s v="Dólares"/>
    <s v="Ciudad de la Paz al 200"/>
    <s v="Argentina | Capital Federal | Belgrano "/>
    <x v="0"/>
    <n v="2"/>
    <s v="Lion Team Norte"/>
    <s v="Propia (Único Asesor)"/>
    <x v="1"/>
    <s v="Venta"/>
    <x v="6"/>
    <s v="Vicente López"/>
  </r>
  <r>
    <d v="2025-07-23T00:00:00"/>
    <x v="1"/>
    <x v="1"/>
    <s v="Presidente Arturo Illia 1539"/>
    <x v="0"/>
    <s v="Presidente Arturo Illia 1539"/>
    <s v="Realizado"/>
    <s v="AR ZonaProp"/>
    <n v="103000"/>
    <x v="47"/>
    <x v="0"/>
    <s v="Dólares"/>
    <s v="Dólares"/>
    <s v="Presidente Arturo Illia 1539"/>
    <s v="Argentina | G.B.A. Zona Norte | Vicente López | Olivos"/>
    <x v="3"/>
    <n v="2"/>
    <s v="Lion Team"/>
    <s v="Propia (Único Asesor)"/>
    <x v="1"/>
    <s v="Venta"/>
    <x v="3"/>
    <s v="Villa Urquiza"/>
  </r>
  <r>
    <d v="2026-01-26T00:00:00"/>
    <x v="0"/>
    <x v="10"/>
    <s v="CAP7345302"/>
    <x v="0"/>
    <s v="Venta departamento 1 ambiente Villa Crespo Subte B"/>
    <s v="Realizado"/>
    <s v="AR ZonaProp"/>
    <n v="54900"/>
    <x v="47"/>
    <x v="0"/>
    <s v="Dólares"/>
    <s v="Dólares"/>
    <s v="Av corrientes  al 4600"/>
    <s v="Argentina | Capital Federal | Villa Crespo "/>
    <x v="0"/>
    <n v="2"/>
    <s v="Grupo Elite"/>
    <s v="Propia (Único Asesor)"/>
    <x v="1"/>
    <s v="Venta"/>
    <x v="3"/>
    <s v="Puerto Madero"/>
  </r>
  <r>
    <d v="2026-02-03T00:00:00"/>
    <x v="0"/>
    <x v="0"/>
    <s v="CAP7414169"/>
    <x v="0"/>
    <s v="VENTA MONO AMBIENTE DIVIDIDO LUMINOSO CABALLITO"/>
    <s v="Realizado"/>
    <s v="Conocido"/>
    <n v="60000"/>
    <x v="47"/>
    <x v="0"/>
    <s v="Dólares"/>
    <s v="Dólares"/>
    <s v="Pumacahua 33"/>
    <s v="Argentina | Capital Federal | Caballito "/>
    <x v="0"/>
    <n v="2"/>
    <s v="Goyena"/>
    <s v="Propia (Único Asesor)"/>
    <x v="1"/>
    <s v="Venta"/>
    <x v="3"/>
    <s v="Caballito"/>
  </r>
  <r>
    <d v="2025-11-04T00:00:00"/>
    <x v="1"/>
    <x v="7"/>
    <s v="95Stella"/>
    <x v="0"/>
    <s v="Casa en San Jose del Rincon"/>
    <s v="Realizado"/>
    <s v="Referido"/>
    <n v="55000"/>
    <x v="48"/>
    <x v="0"/>
    <s v="Dólares"/>
    <s v="Dólares"/>
    <s v="Constituyentes 2500"/>
    <s v="Argentina | Santa Fe | La Capital | San Jose Del Rincon"/>
    <x v="2"/>
    <n v="1"/>
    <s v="De la Veracruz"/>
    <s v="(Interior) Compartida Fuera de la Red Búsqueda"/>
    <x v="2"/>
    <s v="Venta"/>
    <x v="5"/>
    <s v="Capital Santa Fe"/>
  </r>
  <r>
    <d v="2025-06-17T00:00:00"/>
    <x v="1"/>
    <x v="4"/>
    <s v="CAP6937191"/>
    <x v="0"/>
    <s v="Departamento 1 dormi APTO CREDITO en Neuquen  "/>
    <s v="Realizado"/>
    <s v="AR ZonaProp"/>
    <n v="55000"/>
    <x v="48"/>
    <x v="0"/>
    <s v="Dólares"/>
    <s v="Dólares"/>
    <s v="La Rioja  al 1100"/>
    <s v="Argentina | Neuquen | Capital | Área Centro Oeste"/>
    <x v="0"/>
    <n v="2"/>
    <s v="Sensus"/>
    <s v="Compartida en Oficina (Dos Asesores)"/>
    <x v="1"/>
    <s v="Venta"/>
    <x v="1"/>
    <s v="Capital Neuquén"/>
  </r>
  <r>
    <d v="2025-07-23T00:00:00"/>
    <x v="1"/>
    <x v="1"/>
    <s v="CAP6930372"/>
    <x v="0"/>
    <s v="MONOAMBIENTE Y ½ EN BARRACAS. OPORTUNIDAD INVERSOR"/>
    <s v="Realizado"/>
    <s v="AR ZonaProp"/>
    <n v="54000"/>
    <x v="48"/>
    <x v="0"/>
    <s v="Dólares"/>
    <s v="Dólares"/>
    <s v="Finochietto al 400"/>
    <s v="Argentina | Capital Federal | Barracas "/>
    <x v="0"/>
    <n v="2"/>
    <s v="Puerto Norte"/>
    <s v="Compartida en Oficina (Dos Asesores)"/>
    <x v="1"/>
    <s v="Venta"/>
    <x v="6"/>
    <s v="Nordelta"/>
  </r>
  <r>
    <d v="2025-12-11T00:00:00"/>
    <x v="1"/>
    <x v="8"/>
    <s v="CLO7598956"/>
    <x v="2"/>
    <s v="Venta de Local Comercial con financiación en Paseo Quinquela, Pilar"/>
    <s v="Realizado"/>
    <s v="AR ZonaProp"/>
    <n v="61000"/>
    <x v="48"/>
    <x v="0"/>
    <s v="Dólares"/>
    <s v="Dólares"/>
    <s v="Paseo Quinquela , Quinquela Martin  al 1300"/>
    <s v="Argentina | G.B.A. Zona Norte | Pilar | Villa Rosa"/>
    <x v="4"/>
    <n v="2"/>
    <s v="Acqua"/>
    <s v="Master"/>
    <x v="1"/>
    <s v="Venta"/>
    <x v="6"/>
    <s v="Pilar"/>
  </r>
  <r>
    <d v="2026-03-14T00:00:00"/>
    <x v="0"/>
    <x v="9"/>
    <n v="48"/>
    <x v="0"/>
    <s v="Venta depto Andres Lamas"/>
    <s v="Realizado"/>
    <s v="AR ZonaProp"/>
    <n v="50000"/>
    <x v="48"/>
    <x v="0"/>
    <s v="Dólares"/>
    <s v="Dólares"/>
    <s v="Andres Lamas 2572"/>
    <s v="Argentina | Capital Federal | Paternal "/>
    <x v="0"/>
    <n v="1"/>
    <s v="Grupo Elite"/>
    <s v="Compartida Fuera de la Red Búsqueda"/>
    <x v="2"/>
    <s v="Venta"/>
    <x v="3"/>
    <s v="Puerto Madero"/>
  </r>
  <r>
    <d v="2025-12-15T00:00:00"/>
    <x v="1"/>
    <x v="8"/>
    <s v="CAP7080556"/>
    <x v="0"/>
    <s v="DEPARTAMENTO EN VIDALINDADepartamento en  "/>
    <s v="Realizado"/>
    <s v="AR ZonaProp"/>
    <n v="52000"/>
    <x v="48"/>
    <x v="0"/>
    <s v="Dólares"/>
    <s v="Dólares"/>
    <s v="VIDAL 2300"/>
    <s v="Argentina | Capital Federal | Belgrano "/>
    <x v="0"/>
    <n v="2"/>
    <s v="Destino"/>
    <s v="Compartida Fuera de la Red Captación Propia"/>
    <x v="0"/>
    <s v="Venta"/>
    <x v="3"/>
    <s v="Recoleta"/>
  </r>
  <r>
    <d v="2026-03-25T00:00:00"/>
    <x v="0"/>
    <x v="9"/>
    <s v="AAP7418327"/>
    <x v="0"/>
    <s v="Departamento en Palermo"/>
    <s v="Realizado"/>
    <s v="AR ZonaProp"/>
    <n v="59900"/>
    <x v="48"/>
    <x v="0"/>
    <s v="Dólares"/>
    <s v="Dólares"/>
    <s v="Araoz al 2800"/>
    <s v="Argentina | Capital Federal | Palermo "/>
    <x v="0"/>
    <n v="2"/>
    <s v="Desiderio"/>
    <s v="Compartida Fuera de la Red Captación Propia"/>
    <x v="0"/>
    <s v="Venta"/>
    <x v="3"/>
    <s v="Caballito"/>
  </r>
  <r>
    <d v="2025-10-07T00:00:00"/>
    <x v="1"/>
    <x v="11"/>
    <s v="CPH6350996"/>
    <x v="0"/>
    <s v="VENTA PH 3 AMBIENTES  SIN EXPENSAS CON PATIO PARRILLA PROPIA   A ESTRENAR"/>
    <s v="Realizado"/>
    <s v="AR ZonaProp"/>
    <n v="52000"/>
    <x v="48"/>
    <x v="0"/>
    <s v="Dólares"/>
    <s v="Dólares"/>
    <s v="124 ENTRE 41 Y 42"/>
    <s v="Argentina | G.B.A. Zona Sur | Ensenada | Ensenada"/>
    <x v="3"/>
    <n v="2"/>
    <s v="Lion Team Norte"/>
    <s v="Profesional Referenciador (30%)"/>
    <x v="1"/>
    <s v="Venta"/>
    <x v="6"/>
    <s v="Vicente López"/>
  </r>
  <r>
    <d v="2025-02-27T00:00:00"/>
    <x v="1"/>
    <x v="0"/>
    <s v="CAP6208209"/>
    <x v="0"/>
    <s v="VENTA Depto céntrico Ramos Mejia"/>
    <s v="Realizado"/>
    <s v="AR ArgenProp"/>
    <n v="55000"/>
    <x v="48"/>
    <x v="0"/>
    <s v="Dólares"/>
    <s v="Dólares"/>
    <s v="Alvear al 100"/>
    <s v="Argentina | G.B.A. Zona Oeste | La Matanza | Ramos Mejia | Ramos Mejia Sur"/>
    <x v="0"/>
    <n v="2"/>
    <s v="Lion Team"/>
    <s v="Propia (Único Asesor)"/>
    <x v="1"/>
    <s v="Venta"/>
    <x v="3"/>
    <s v="Villa Urquiza"/>
  </r>
  <r>
    <d v="2025-02-28T00:00:00"/>
    <x v="1"/>
    <x v="0"/>
    <s v="CHO5620168"/>
    <x v="0"/>
    <s v="Venta de casa y departamento en Quilmes Oeste - IDEAL INVERSOR-Calle Ingeniero Butty N° 3529"/>
    <s v="Realizado"/>
    <s v="AR ArgenProp"/>
    <n v="58000"/>
    <x v="48"/>
    <x v="0"/>
    <s v="Dólares"/>
    <s v="Dólares"/>
    <s v="Ingeniero Butty al 3500 -CASA y DEPARTAMENTO -QUILMES"/>
    <s v="Argentina | G.B.A. Zona Sur | Quilmes | Quilmes Oeste"/>
    <x v="2"/>
    <n v="2"/>
    <s v="Golden Team"/>
    <s v="Propia (Único Asesor)"/>
    <x v="1"/>
    <s v="Venta"/>
    <x v="0"/>
    <s v="La Plata"/>
  </r>
  <r>
    <d v="2025-03-31T00:00:00"/>
    <x v="1"/>
    <x v="9"/>
    <s v="CHO6535628"/>
    <x v="0"/>
    <s v="casa en venta en plottier"/>
    <s v="Realizado"/>
    <s v="AR ZonaProp"/>
    <n v="57000"/>
    <x v="48"/>
    <x v="0"/>
    <s v="Dólares"/>
    <s v="Dólares"/>
    <s v="facundo cabral  al 2200"/>
    <s v="Argentina | Neuquen | Confluencia | Plottier"/>
    <x v="2"/>
    <n v="2"/>
    <s v="Sensus"/>
    <s v="Propia (Único Asesor)"/>
    <x v="1"/>
    <s v="Venta"/>
    <x v="1"/>
    <s v="Capital Neuquén"/>
  </r>
  <r>
    <d v="2025-06-11T00:00:00"/>
    <x v="1"/>
    <x v="4"/>
    <s v="CAP6619946"/>
    <x v="0"/>
    <s v="Departamento en  venta Balvanera 2amb"/>
    <s v="Realizado"/>
    <s v="AR ArgenProp"/>
    <n v="55000"/>
    <x v="48"/>
    <x v="0"/>
    <s v="Dólares"/>
    <s v="Dólares"/>
    <s v="Misiones al 200"/>
    <s v="Argentina | Capital Federal | Balvanera "/>
    <x v="0"/>
    <n v="2"/>
    <s v="Lion Team"/>
    <s v="Propia (Único Asesor)"/>
    <x v="1"/>
    <s v="Venta"/>
    <x v="3"/>
    <s v="Villa Urquiza"/>
  </r>
  <r>
    <d v="2025-07-11T00:00:00"/>
    <x v="1"/>
    <x v="1"/>
    <s v="CAP6162631"/>
    <x v="0"/>
    <s v="Departamento en Venta en San Cristóbal"/>
    <s v="Realizado"/>
    <s v="AR ZonaProp"/>
    <n v="50000"/>
    <x v="48"/>
    <x v="0"/>
    <s v="Dólares"/>
    <s v="Dólares"/>
    <s v="Chile al 2100"/>
    <s v="Argentina | Capital Federal | San Cristobal "/>
    <x v="0"/>
    <n v="2"/>
    <s v="Destino"/>
    <s v="Propia (Único Asesor)"/>
    <x v="1"/>
    <s v="Venta"/>
    <x v="3"/>
    <s v="Recoleta"/>
  </r>
  <r>
    <d v="2025-08-07T00:00:00"/>
    <x v="1"/>
    <x v="5"/>
    <s v="CPH6701257"/>
    <x v="0"/>
    <s v="VENTA PH TIPO CASA 3 AMBIENTES 2 BAÑOS MORON CENTRO"/>
    <s v="Realizado"/>
    <s v="AR ZonaProp"/>
    <n v="55000"/>
    <x v="48"/>
    <x v="0"/>
    <s v="Dólares"/>
    <s v="Dólares"/>
    <s v="Luis María Campos al 600"/>
    <s v="Argentina | G.B.A. Zona Oeste | Moron | Moron | Moron Sur"/>
    <x v="3"/>
    <n v="2"/>
    <s v="Audacity"/>
    <s v="Propia (Único Asesor)"/>
    <x v="1"/>
    <s v="Venta"/>
    <x v="9"/>
    <s v="Parque Leloir"/>
  </r>
  <r>
    <d v="2025-08-08T00:00:00"/>
    <x v="1"/>
    <x v="5"/>
    <s v="CAP7024624"/>
    <x v="0"/>
    <s v="Venta PH 3 Ambientes en Lanus"/>
    <s v="Realizado"/>
    <s v="AR ZonaProp"/>
    <n v="55000"/>
    <x v="48"/>
    <x v="0"/>
    <s v="Dólares"/>
    <s v="Dólares"/>
    <s v="Del Valle Iberlucea  al 3300"/>
    <s v="Argentina | G.B.A. Zona Sur | Lanús | Lanús | Lanús Oeste"/>
    <x v="3"/>
    <n v="2"/>
    <s v="Seniority"/>
    <s v="Propia (Único Asesor)"/>
    <x v="1"/>
    <s v="Venta"/>
    <x v="3"/>
    <s v="Barrio Parque"/>
  </r>
  <r>
    <d v="2025-10-14T00:00:00"/>
    <x v="1"/>
    <x v="11"/>
    <s v="Chorroarin 656"/>
    <x v="0"/>
    <s v="Chorroarin 656"/>
    <s v="Realizado"/>
    <s v="AR ZonaProp"/>
    <n v="104000"/>
    <x v="48"/>
    <x v="0"/>
    <s v="Dólares"/>
    <s v="Dólares"/>
    <m/>
    <s v="Argentina | Capital Federal | Capital Federal "/>
    <x v="0"/>
    <n v="2"/>
    <s v="Lion Team"/>
    <s v="Propia (Único Asesor)"/>
    <x v="1"/>
    <s v="Venta"/>
    <x v="3"/>
    <s v="Villa Urquiza"/>
  </r>
  <r>
    <d v="2025-12-19T00:00:00"/>
    <x v="1"/>
    <x v="8"/>
    <s v="Lote AiresDelValle Lucas"/>
    <x v="0"/>
    <s v="Lote AiresDelValle Lucas"/>
    <s v="Realizado"/>
    <s v="AR ZonaProp"/>
    <n v="52000"/>
    <x v="48"/>
    <x v="0"/>
    <s v="Dólares"/>
    <s v="Dólares"/>
    <m/>
    <s v="Argentina | Rio Negro | General Roca | Cipolletti"/>
    <x v="1"/>
    <n v="2"/>
    <s v="Sensus"/>
    <s v="Propia (Único Asesor)"/>
    <x v="1"/>
    <s v="Venta"/>
    <x v="1"/>
    <s v="Capital Neuquén"/>
  </r>
  <r>
    <d v="2026-01-07T00:00:00"/>
    <x v="0"/>
    <x v="10"/>
    <s v="CPH7482046"/>
    <x v="0"/>
    <s v="VENTA PH 2 AMBIENTES VILLA SANTA RITA"/>
    <s v="Realizado"/>
    <s v="AR ZonaProp"/>
    <n v="54000"/>
    <x v="48"/>
    <x v="0"/>
    <s v="Dólares"/>
    <s v="Dólares"/>
    <s v="Enrique de Vedia al 2000"/>
    <s v="Argentina | Capital Federal | Villa Santa Rita "/>
    <x v="3"/>
    <n v="2"/>
    <s v="Destino II"/>
    <s v="Propia (Único Asesor)"/>
    <x v="1"/>
    <s v="Venta"/>
    <x v="3"/>
    <s v="Recoleta"/>
  </r>
  <r>
    <d v="2026-02-06T00:00:00"/>
    <x v="0"/>
    <x v="0"/>
    <s v="CAP7562650"/>
    <x v="0"/>
    <s v="MONOAMBIENTE IDEAL INVERSIÓN Y PROFESIONALES"/>
    <s v="Realizado"/>
    <s v="AR ZonaProp"/>
    <n v="52000"/>
    <x v="48"/>
    <x v="0"/>
    <s v="Dólares"/>
    <s v="Dólares"/>
    <s v="Larrea al 1200"/>
    <s v="Argentina | Capital Federal | Recoleta "/>
    <x v="0"/>
    <n v="2"/>
    <s v="Destino"/>
    <s v="Propia (Único Asesor)"/>
    <x v="1"/>
    <s v="Venta"/>
    <x v="3"/>
    <s v="Recoleta"/>
  </r>
  <r>
    <d v="2026-03-30T00:00:00"/>
    <x v="0"/>
    <x v="9"/>
    <s v="CLA7206108"/>
    <x v="0"/>
    <s v="Venta de Lote  a la laguna en El Naudir, Escobar"/>
    <s v="Realizado"/>
    <s v="Referido"/>
    <n v="55000"/>
    <x v="48"/>
    <x v="0"/>
    <s v="Dólares"/>
    <s v="Dólares"/>
    <s v="El Naudir al 200"/>
    <s v="Argentina | G.B.A. Zona Norte | Escobar | Countries/B.Cerrado (Escobar) | El Naudir"/>
    <x v="1"/>
    <n v="2"/>
    <s v="Acqua"/>
    <s v="Propia (Único Asesor)"/>
    <x v="1"/>
    <s v="Venta"/>
    <x v="6"/>
    <s v="Pilar"/>
  </r>
  <r>
    <d v="2025-01-08T00:00:00"/>
    <x v="1"/>
    <x v="10"/>
    <s v="TerrenoLomasdelCauquen"/>
    <x v="0"/>
    <s v="Terreno Monte Moro N°541 "/>
    <s v="Realizado"/>
    <s v="Salón"/>
    <n v="0"/>
    <x v="49"/>
    <x v="0"/>
    <s v="Dólares"/>
    <s v="Dólares"/>
    <m/>
    <s v="Argentina | Rio Negro | Bariloche | San Carlos De Bariloche"/>
    <x v="1"/>
    <n v="1"/>
    <s v="Patagonia Lakes BRC"/>
    <s v="(Interior) Compartida Fuera de la Red Búsqueda"/>
    <x v="2"/>
    <s v="Venta"/>
    <x v="7"/>
    <s v="Bariloche"/>
  </r>
  <r>
    <d v="2025-08-05T00:00:00"/>
    <x v="1"/>
    <x v="5"/>
    <s v="Bruselas 511"/>
    <x v="0"/>
    <s v="Bruselas 511"/>
    <s v="Realizado"/>
    <s v="AR ArgenProp"/>
    <n v="105000"/>
    <x v="49"/>
    <x v="0"/>
    <s v="Dólares"/>
    <s v="Dólares"/>
    <s v="Bruselas 511"/>
    <s v="Argentina | Capital Federal | Capital Federal "/>
    <x v="0"/>
    <n v="2"/>
    <s v="Lion Team"/>
    <s v="Propia (Único Asesor)"/>
    <x v="1"/>
    <s v="Venta"/>
    <x v="3"/>
    <s v="Villa Urquiza"/>
  </r>
  <r>
    <d v="2025-10-22T00:00:00"/>
    <x v="1"/>
    <x v="11"/>
    <s v="HONDURAS 3740"/>
    <x v="0"/>
    <s v="DEPARTAMENTO VENTA HONDURAS 3740"/>
    <s v="Realizado"/>
    <s v="AR ZonaProp"/>
    <n v="52500"/>
    <x v="49"/>
    <x v="0"/>
    <s v="Dólares"/>
    <s v="Dólares"/>
    <m/>
    <s v="Argentina | Capital Federal | Palermo "/>
    <x v="0"/>
    <n v="2"/>
    <s v="Livello"/>
    <s v="Propia (Único Asesor)"/>
    <x v="1"/>
    <s v="Venta"/>
    <x v="3"/>
    <s v="Palermo"/>
  </r>
  <r>
    <d v="2025-12-01T00:00:00"/>
    <x v="1"/>
    <x v="8"/>
    <s v="CAP6725416"/>
    <x v="0"/>
    <s v="Departamento en Capital, Mendoza"/>
    <s v="Realizado"/>
    <s v="AR ZonaProp"/>
    <n v="52000"/>
    <x v="49"/>
    <x v="0"/>
    <s v="Dólares"/>
    <s v="Dólares"/>
    <s v="Mitre  al 2400"/>
    <s v="Argentina | Mendoza | Capital | Mendoza | S1 Parque Central"/>
    <x v="0"/>
    <n v="2"/>
    <s v="Cuyo Real"/>
    <s v="Propia (Único Asesor)"/>
    <x v="1"/>
    <s v="Venta"/>
    <x v="2"/>
    <s v="Capital Mendoza"/>
  </r>
  <r>
    <d v="2025-04-11T00:00:00"/>
    <x v="1"/>
    <x v="3"/>
    <s v="CLA6717781"/>
    <x v="0"/>
    <s v="Terreno en  Villa California"/>
    <s v="Realizado"/>
    <s v="Instagram"/>
    <n v="59000"/>
    <x v="50"/>
    <x v="0"/>
    <s v="Dólares"/>
    <s v="Dólares"/>
    <s v="De los Duendes y Los Eucaliptos"/>
    <s v="Argentina | Santa Fe | La Capital | San Jose Del Rincon | Villa California"/>
    <x v="1"/>
    <n v="1"/>
    <s v="De la Veracruz"/>
    <s v="(Interior) Compartida Fuera de la Red Captación Propia"/>
    <x v="0"/>
    <s v="Venta"/>
    <x v="5"/>
    <s v="Capital Santa Fe"/>
  </r>
  <r>
    <d v="2025-11-14T00:00:00"/>
    <x v="1"/>
    <x v="7"/>
    <s v="CLA7148415"/>
    <x v="0"/>
    <s v="BARRIO PRIVADO ALMA GARDENIA LOTE 500 m2 UBICACIÓN PRIVILEGIADA "/>
    <s v="Realizado"/>
    <s v="Conocido"/>
    <n v="60000"/>
    <x v="50"/>
    <x v="0"/>
    <s v="Dólares"/>
    <s v="Dólares"/>
    <s v="LOTE BARRIO PRIVADO ALMA GARDENIA Acceso Sur y calle Bulnes  "/>
    <s v="Argentina | Mendoza | Lujan De Cuyo | Lujan De Cuyo | Mayor Drummond"/>
    <x v="1"/>
    <n v="1"/>
    <s v="Cuyo Real"/>
    <s v="(Interior) Compartida Fuera de la Red Captación Propia"/>
    <x v="0"/>
    <s v="Venta"/>
    <x v="2"/>
    <s v="Capital Mendoza"/>
  </r>
  <r>
    <d v="2025-04-03T00:00:00"/>
    <x v="1"/>
    <x v="3"/>
    <m/>
    <x v="2"/>
    <s v="Departamento de 2 Ambientes con Vista Panorámica en Piso 13! Con renta hasta el 31/03/2025    Con una ubicación privilegiada, este departamento combina vistas inigualables, funcionalidad y excelente conectividad."/>
    <s v="Realizado"/>
    <s v="Web Coldwell-Banker"/>
    <n v="60000"/>
    <x v="50"/>
    <x v="0"/>
    <s v="Dólares"/>
    <s v="Dólares"/>
    <s v="Fraga 86"/>
    <s v="Argentina | Capital Federal | Chacarita "/>
    <x v="0"/>
    <n v="2"/>
    <s v="Space BA"/>
    <s v="Compartida en Red (50%)"/>
    <x v="1"/>
    <s v="Venta"/>
    <x v="3"/>
    <s v="Belgrano"/>
  </r>
  <r>
    <d v="2025-06-24T00:00:00"/>
    <x v="1"/>
    <x v="4"/>
    <n v="21"/>
    <x v="0"/>
    <s v="San Martin 2803 8 D"/>
    <s v="Realizado"/>
    <s v="AR ZonaProp"/>
    <n v="53000"/>
    <x v="50"/>
    <x v="0"/>
    <s v="Dólares"/>
    <s v="Dólares"/>
    <s v="Av san martin 2803"/>
    <s v="Argentina | Capital Federal | Paternal "/>
    <x v="0"/>
    <n v="1"/>
    <s v="Grupo Elite"/>
    <s v="Compartida Fuera de la Red Búsqueda"/>
    <x v="2"/>
    <s v="Venta"/>
    <x v="3"/>
    <s v="Puerto Madero"/>
  </r>
  <r>
    <d v="2025-01-27T00:00:00"/>
    <x v="1"/>
    <x v="10"/>
    <s v="CPH5661202"/>
    <x v="0"/>
    <s v="PH DE 2 AMB CON PATIO EN FLORES"/>
    <s v="Realizado"/>
    <s v="AR ZonaProp"/>
    <n v="55000"/>
    <x v="50"/>
    <x v="0"/>
    <s v="Dólares"/>
    <s v="Dólares"/>
    <s v="YERBAL 3100"/>
    <s v="Argentina | Capital Federal | Flores "/>
    <x v="3"/>
    <n v="2"/>
    <s v="Seniority"/>
    <s v="Compartida Fuera de la Red Captación Propia"/>
    <x v="0"/>
    <s v="Venta"/>
    <x v="3"/>
    <s v="Barrio Parque"/>
  </r>
  <r>
    <d v="2025-05-14T00:00:00"/>
    <x v="1"/>
    <x v="2"/>
    <s v="CAP6680101"/>
    <x v="0"/>
    <s v="VENTA Departamento  MONOAMBIENTE A  ESTRENAR FULL AMENITIES - Flores"/>
    <s v="Realizado"/>
    <s v="AR ZonaProp"/>
    <n v="54900"/>
    <x v="50"/>
    <x v="0"/>
    <s v="Dólares"/>
    <s v="Dólares"/>
    <s v="Av. Lafuente 37"/>
    <s v="Argentina | Capital Federal | Flores | Flores Sur"/>
    <x v="0"/>
    <n v="2"/>
    <s v="Seniority"/>
    <s v="Propia (Único Asesor)"/>
    <x v="1"/>
    <s v="Venta"/>
    <x v="3"/>
    <s v="Barrio Parque"/>
  </r>
  <r>
    <d v="2025-05-22T00:00:00"/>
    <x v="1"/>
    <x v="2"/>
    <s v="CAP6637011"/>
    <x v="0"/>
    <s v="OPORTUNIDAD!! Venta Departamento 2 Ambientes en Paternal"/>
    <s v="Realizado"/>
    <s v="AR ZonaProp"/>
    <n v="59000"/>
    <x v="50"/>
    <x v="0"/>
    <s v="Dólares"/>
    <s v="Dólares"/>
    <s v="Magariños Cervantes  al 1700"/>
    <s v="Argentina | Capital Federal | Paternal "/>
    <x v="0"/>
    <n v="2"/>
    <s v="Seniority Plus"/>
    <s v="Propia (Único Asesor)"/>
    <x v="1"/>
    <s v="Venta"/>
    <x v="3"/>
    <s v="Palermo"/>
  </r>
  <r>
    <d v="2025-12-05T00:00:00"/>
    <x v="1"/>
    <x v="8"/>
    <s v="CAP4974245"/>
    <x v="0"/>
    <s v="Venta departamento Parque Chacabuco 2 ambientes Apto Crédito"/>
    <s v="Realizado"/>
    <s v="AR ZonaProp"/>
    <n v="63900"/>
    <x v="50"/>
    <x v="0"/>
    <s v="Dólares"/>
    <s v="Dólares"/>
    <s v="Del Barco Centenera al 1800"/>
    <s v="Argentina | Capital Federal | Parque Chacabuco "/>
    <x v="0"/>
    <n v="2"/>
    <s v="Seniority"/>
    <s v="Propia (Único Asesor)"/>
    <x v="1"/>
    <s v="Venta"/>
    <x v="3"/>
    <s v="Barrio Parque"/>
  </r>
  <r>
    <d v="2025-12-23T00:00:00"/>
    <x v="1"/>
    <x v="8"/>
    <s v="CHO7009974"/>
    <x v="0"/>
    <s v="Casa en B° Santa Rita "/>
    <s v="Realizado"/>
    <s v="Conocido"/>
    <n v="60000"/>
    <x v="50"/>
    <x v="0"/>
    <s v="Dólares"/>
    <s v="Dólares"/>
    <s v="pasaje 6"/>
    <s v="Argentina | Jujuy | Dr Manuel Belgrano | Barrio Santa Rita"/>
    <x v="2"/>
    <n v="2"/>
    <s v="Plaza"/>
    <s v="Propia (Único Asesor)"/>
    <x v="1"/>
    <s v="Venta"/>
    <x v="8"/>
    <s v="Capital Jujuy"/>
  </r>
  <r>
    <d v="2026-02-03T00:00:00"/>
    <x v="0"/>
    <x v="0"/>
    <s v="CAP7270402"/>
    <x v="0"/>
    <s v="Departamento Monoambiente en Recoleta "/>
    <s v="Realizado"/>
    <s v="AR ZonaProp"/>
    <n v="55000"/>
    <x v="50"/>
    <x v="0"/>
    <s v="Dólares"/>
    <s v="Dólares"/>
    <s v="ARENALES  al 1900"/>
    <s v="Argentina | Capital Federal | Recoleta "/>
    <x v="0"/>
    <n v="2"/>
    <s v="Destino"/>
    <s v="Propia (Único Asesor)"/>
    <x v="1"/>
    <s v="Venta"/>
    <x v="3"/>
    <s v="Recoleta"/>
  </r>
  <r>
    <d v="2025-04-16T00:00:00"/>
    <x v="1"/>
    <x v="3"/>
    <s v="CAP6394782"/>
    <x v="0"/>
    <s v="VENTA MONOAMBIENTE APTO CRÉDITO PALERMO HOLLYWOOD"/>
    <s v="Realizado"/>
    <s v="Conocido"/>
    <n v="55500"/>
    <x v="51"/>
    <x v="0"/>
    <s v="Dólares"/>
    <s v="Dólares"/>
    <s v="CHARCAS al 4900"/>
    <s v="Argentina | Capital Federal | Palermo | Palermo Hollywood"/>
    <x v="0"/>
    <n v="2"/>
    <s v="Seniority"/>
    <s v="Compartida en Oficina (Dos Asesores)"/>
    <x v="1"/>
    <s v="Venta"/>
    <x v="3"/>
    <s v="Barrio Parque"/>
  </r>
  <r>
    <d v="2025-08-20T00:00:00"/>
    <x v="1"/>
    <x v="5"/>
    <s v="85Stella"/>
    <x v="0"/>
    <s v="Dpto  tres dormitorios"/>
    <s v="Realizado"/>
    <s v="Conocido"/>
    <n v="58000"/>
    <x v="52"/>
    <x v="0"/>
    <s v="Dólares"/>
    <s v="Dólares"/>
    <s v="Castelli 2300"/>
    <s v="Argentina | Santa Fe | La Capital | Santa Fe"/>
    <x v="0"/>
    <n v="1"/>
    <s v="De la Veracruz"/>
    <s v="(Interior) Compartida Fuera de la Red Búsqueda"/>
    <x v="2"/>
    <s v="Venta"/>
    <x v="5"/>
    <s v="Capital Santa Fe"/>
  </r>
  <r>
    <d v="2025-09-09T00:00:00"/>
    <x v="1"/>
    <x v="6"/>
    <s v="VLO6900528"/>
    <x v="0"/>
    <s v="Local en venta - centro comercial Vila Terra - Villanueva, Benavidez"/>
    <s v="Realizado"/>
    <s v="AR ZonaProp"/>
    <n v="59000"/>
    <x v="52"/>
    <x v="0"/>
    <s v="Dólares"/>
    <s v="Dólares"/>
    <s v="Local en venta - Centro Comercial Vila Terra - Blvd. de Todos los Santos al 100"/>
    <s v="Argentina | G.B.A. Zona Norte | Tigre | Benavidez"/>
    <x v="4"/>
    <n v="2"/>
    <s v="Puerto Norte"/>
    <s v="Compartida en Oficina (Dos Asesores)"/>
    <x v="1"/>
    <s v="Venta"/>
    <x v="6"/>
    <s v="Nordelta"/>
  </r>
  <r>
    <d v="2025-10-06T00:00:00"/>
    <x v="1"/>
    <x v="11"/>
    <s v="CAP6392957"/>
    <x v="1"/>
    <s v="VENTA MONOAMBIENTE A ESTRENAR CON PISCINA Y VISTA ABIERTA"/>
    <s v="Realizado"/>
    <s v="AR ZonaProp"/>
    <n v="54000"/>
    <x v="52"/>
    <x v="0"/>
    <s v="Dólares"/>
    <s v="Dólares"/>
    <s v="Av. Mitre al 4900"/>
    <s v="Argentina | G.B.A. Zona Sur | Avellaneda | Villa Dominico"/>
    <x v="0"/>
    <n v="2"/>
    <s v="Destino II"/>
    <s v="Compartida en Red (50%)"/>
    <x v="1"/>
    <s v="Venta"/>
    <x v="3"/>
    <s v="Recoleta"/>
  </r>
  <r>
    <d v="2025-11-04T00:00:00"/>
    <x v="1"/>
    <x v="7"/>
    <s v="CAP6392957"/>
    <x v="2"/>
    <s v="VENTA MONOAMBIENTE A ESTRENAR CON PISCINA Y VISTA ABIERTA"/>
    <s v="Realizado"/>
    <s v="AR ZonaProp"/>
    <n v="54000"/>
    <x v="52"/>
    <x v="0"/>
    <s v="Dólares"/>
    <s v="Dólares"/>
    <s v="Av. Mitre al 4900"/>
    <s v="Argentina | G.B.A. Zona Sur | Avellaneda | Villa Dominico"/>
    <x v="0"/>
    <n v="2"/>
    <s v="Destino II"/>
    <s v="Compartida en Red (50%)"/>
    <x v="1"/>
    <s v="Venta"/>
    <x v="3"/>
    <s v="Recoleta"/>
  </r>
  <r>
    <d v="2025-11-21T00:00:00"/>
    <x v="1"/>
    <x v="7"/>
    <s v="CAP7408870"/>
    <x v="0"/>
    <s v="monoambiente en arenales 425"/>
    <s v="Realizado"/>
    <s v="Facebook"/>
    <n v="58000"/>
    <x v="52"/>
    <x v="0"/>
    <s v="Dólares"/>
    <s v="Dólares"/>
    <s v="Monoambiente Arenales 425"/>
    <s v="Argentina | Salta | Capital | Salta"/>
    <x v="0"/>
    <n v="2"/>
    <s v="Realty Group"/>
    <s v="Propia (Único Asesor)"/>
    <x v="1"/>
    <s v="Venta"/>
    <x v="4"/>
    <s v="San Lorenzo Chico"/>
  </r>
  <r>
    <d v="2025-12-12T00:00:00"/>
    <x v="1"/>
    <x v="8"/>
    <s v="CHO7401344"/>
    <x v="0"/>
    <s v="Casa en Coronel Dorrego"/>
    <s v="Realizado"/>
    <s v="Cartel"/>
    <n v="55000"/>
    <x v="52"/>
    <x v="0"/>
    <s v="Dólares"/>
    <s v="Dólares"/>
    <s v="Guayaquil al 200"/>
    <s v="Argentina | Mendoza | Guaymallen | Coronel Dorrego"/>
    <x v="2"/>
    <n v="2"/>
    <s v="Cuyo Real"/>
    <s v="Propia (Único Asesor)"/>
    <x v="1"/>
    <s v="Venta"/>
    <x v="2"/>
    <s v="Capital Mendoza"/>
  </r>
  <r>
    <d v="2025-12-15T00:00:00"/>
    <x v="1"/>
    <x v="8"/>
    <s v="CLA7513332"/>
    <x v="0"/>
    <s v="venta de terreno en solares del este"/>
    <s v="Realizado"/>
    <s v="Teléfono"/>
    <n v="53500"/>
    <x v="52"/>
    <x v="0"/>
    <s v="Dólares"/>
    <s v="Dólares"/>
    <s v="Solares del Este, San Carlos de Bariloche"/>
    <s v="Argentina | Rio Negro | Bariloche | Solares del este"/>
    <x v="1"/>
    <n v="2"/>
    <s v="Patagonia Lakes BRC"/>
    <s v="Propia (Único Asesor)"/>
    <x v="1"/>
    <s v="Venta"/>
    <x v="7"/>
    <s v="Bariloche"/>
  </r>
  <r>
    <d v="2026-02-27T00:00:00"/>
    <x v="0"/>
    <x v="0"/>
    <s v="CAP7200170"/>
    <x v="0"/>
    <s v="Venta Departamento 2 Ambientes - Excelente oportunidad para reciclar"/>
    <s v="Realizado"/>
    <s v="AR MercadoLibre"/>
    <n v="59500"/>
    <x v="52"/>
    <x v="0"/>
    <s v="Dólares"/>
    <s v="Dólares"/>
    <s v="Talcahuano 60"/>
    <s v="Argentina | Capital Federal | San Nicolás "/>
    <x v="0"/>
    <n v="2"/>
    <s v="Seniority"/>
    <s v="Propia (Único Asesor)"/>
    <x v="1"/>
    <s v="Venta"/>
    <x v="3"/>
    <s v="Barrio Parque"/>
  </r>
  <r>
    <d v="2026-03-16T00:00:00"/>
    <x v="0"/>
    <x v="9"/>
    <s v="Juan B Justo 8112"/>
    <x v="0"/>
    <s v="Juan B Justo 8112"/>
    <s v="Realizado"/>
    <s v="AR ZonaProp"/>
    <n v="57000"/>
    <x v="52"/>
    <x v="0"/>
    <s v="Dólares"/>
    <s v="Dólares"/>
    <s v="Juan B Justo 8112"/>
    <s v="Argentina | Capital Federal | Palermo | Palermo Viejo"/>
    <x v="2"/>
    <n v="2"/>
    <s v="Lion Team"/>
    <s v="Propia (Único Asesor)"/>
    <x v="1"/>
    <s v="Venta"/>
    <x v="3"/>
    <s v="Villa Urquiza"/>
  </r>
  <r>
    <d v="2026-03-17T00:00:00"/>
    <x v="0"/>
    <x v="9"/>
    <s v="CHO7661306"/>
    <x v="0"/>
    <s v="Casa de dos dormitorios, patio y terraza. "/>
    <s v="Realizado"/>
    <s v="Referido"/>
    <n v="60000"/>
    <x v="52"/>
    <x v="0"/>
    <s v="Dólares"/>
    <s v="Dólares"/>
    <s v="Casa de dos dormitorios, patio y terraza"/>
    <s v="Argentina | Santa Fe | La Capital | Santa Fe"/>
    <x v="2"/>
    <n v="2"/>
    <s v="De la Veracruz"/>
    <s v="Propia (Único Asesor)"/>
    <x v="1"/>
    <s v="Venta"/>
    <x v="5"/>
    <s v="Capital Santa Fe"/>
  </r>
  <r>
    <d v="2025-12-01T00:00:00"/>
    <x v="1"/>
    <x v="8"/>
    <s v="CAP7100021"/>
    <x v="0"/>
    <s v="Departamento en venta en Lujan de Cuyo"/>
    <s v="Realizado"/>
    <s v="AR ZonaProp"/>
    <n v="65000"/>
    <x v="53"/>
    <x v="0"/>
    <s v="Dólares"/>
    <s v="Dólares"/>
    <s v="Departamento en venta en Lujan de Cuyo"/>
    <s v="Argentina | Mendoza | Lujan De Cuyo "/>
    <x v="0"/>
    <n v="2"/>
    <s v="Cuyo Real"/>
    <s v="Propia (Único Asesor)"/>
    <x v="1"/>
    <s v="Venta"/>
    <x v="2"/>
    <s v="Capital Mendoza"/>
  </r>
  <r>
    <d v="2025-07-25T00:00:00"/>
    <x v="1"/>
    <x v="1"/>
    <s v="EL CANO 200"/>
    <x v="0"/>
    <s v="LOTE VENTA EL CANO 200"/>
    <s v="Realizado"/>
    <s v="AR MercadoLibre"/>
    <n v="55000"/>
    <x v="54"/>
    <x v="0"/>
    <s v="Dólares"/>
    <s v="Dólares"/>
    <m/>
    <s v="Argentina | G.B.A. Zona Sur | Berazategui | Guillermo E Hudson"/>
    <x v="1"/>
    <n v="2"/>
    <s v="Livello"/>
    <s v="Propia (Único Asesor)"/>
    <x v="1"/>
    <s v="Venta"/>
    <x v="3"/>
    <s v="Palermo"/>
  </r>
  <r>
    <d v="2025-10-08T00:00:00"/>
    <x v="1"/>
    <x v="11"/>
    <s v="CHO7284319"/>
    <x v="0"/>
    <s v="Casa calle Salta 327  San Rafael"/>
    <s v="Realizado"/>
    <s v="Conocido"/>
    <n v="55000"/>
    <x v="55"/>
    <x v="0"/>
    <s v="Dólares"/>
    <s v="Dólares"/>
    <s v="SALTA  al 300"/>
    <s v="Argentina | Mendoza | San Rafael | San Rafael"/>
    <x v="2"/>
    <n v="1"/>
    <s v="Andes"/>
    <s v="(Interior) Compartida Fuera de la Red Búsqueda"/>
    <x v="2"/>
    <s v="Venta"/>
    <x v="2"/>
    <s v="San Rafael"/>
  </r>
  <r>
    <d v="2025-08-19T00:00:00"/>
    <x v="1"/>
    <x v="5"/>
    <s v="CLA6816423"/>
    <x v="0"/>
    <s v="Terreno en  venta en Lomas del Cauquén Bariloche"/>
    <s v="Realizado"/>
    <s v="Teléfono"/>
    <n v="55000"/>
    <x v="55"/>
    <x v="0"/>
    <s v="Dólares"/>
    <s v="Dólares"/>
    <s v="Lomas del Cauquen, San Carlos de Bariloche"/>
    <s v="Argentina | Rio Negro | Bariloche | Lomas del Cauquen"/>
    <x v="1"/>
    <n v="1"/>
    <s v="Patagonia Lakes BRC"/>
    <s v="(Interior) Compartida Fuera de la Red Captación Propia"/>
    <x v="0"/>
    <s v="Venta"/>
    <x v="7"/>
    <s v="Bariloche"/>
  </r>
  <r>
    <d v="2025-12-29T00:00:00"/>
    <x v="1"/>
    <x v="8"/>
    <s v="CAP7341654"/>
    <x v="0"/>
    <s v="Departamento 2 dorm. en zona Sur"/>
    <s v="Realizado"/>
    <s v="Conocido"/>
    <n v="62000"/>
    <x v="55"/>
    <x v="0"/>
    <s v="Dólares"/>
    <s v="Dólares"/>
    <s v="Departamento de 2 dormitorios en barrio Sur"/>
    <s v="Argentina | Santa Fe | La Capital | Santa Fe | Sur"/>
    <x v="0"/>
    <n v="1"/>
    <s v="De la Veracruz"/>
    <s v="(Interior) Compartida Fuera de la Red Captación Propia"/>
    <x v="0"/>
    <s v="Venta"/>
    <x v="5"/>
    <s v="Capital Santa Fe"/>
  </r>
  <r>
    <d v="2025-06-01T00:00:00"/>
    <x v="1"/>
    <x v="4"/>
    <s v="CHO6739716"/>
    <x v="0"/>
    <s v="Casa en  San Pedrito"/>
    <s v="Realizado"/>
    <s v="Cartel"/>
    <n v="59000"/>
    <x v="55"/>
    <x v="0"/>
    <s v="Dólares"/>
    <s v="Dólares"/>
    <s v="virrey toledo al 700"/>
    <s v="Argentina | Jujuy | Dr Manuel Belgrano | San Salvador De Jujuy | San Pedrito"/>
    <x v="2"/>
    <n v="2"/>
    <s v="Plaza"/>
    <s v="Compartida en Oficina (Dos Asesores)"/>
    <x v="1"/>
    <s v="Venta"/>
    <x v="8"/>
    <s v="Capital Jujuy"/>
  </r>
  <r>
    <d v="2025-08-20T00:00:00"/>
    <x v="1"/>
    <x v="5"/>
    <s v="CAP6942708"/>
    <x v="0"/>
    <s v="Venta Dpto 2 Ambientes Balcón Villa del Parque Permuta"/>
    <s v="Realizado"/>
    <s v="AR ArgenProp"/>
    <n v="59900"/>
    <x v="55"/>
    <x v="0"/>
    <s v="Dólares"/>
    <s v="Dólares"/>
    <s v="Bolivia 3000"/>
    <s v="Argentina | Capital Federal | Villa del Parque "/>
    <x v="0"/>
    <n v="2"/>
    <s v="Lion Team"/>
    <s v="Compartida en Oficina (Dos Asesores)"/>
    <x v="1"/>
    <s v="Venta"/>
    <x v="3"/>
    <s v="Villa Urquiza"/>
  </r>
  <r>
    <d v="2025-11-06T00:00:00"/>
    <x v="1"/>
    <x v="7"/>
    <s v="CPN67832 AP7516744"/>
    <x v="0"/>
    <s v="Dpto en Venta - Barrio Rincon Veneto - Elpidio Gonzalez"/>
    <s v="Realizado"/>
    <s v="Conocido"/>
    <n v="69000"/>
    <x v="55"/>
    <x v="0"/>
    <s v="Dólares"/>
    <s v="Dólares"/>
    <s v="Elpidio Gonzalez"/>
    <s v="Argentina | Mendoza | Guaymallen | Guaymallén"/>
    <x v="0"/>
    <n v="2"/>
    <s v="Cuyo Real"/>
    <s v="Compartida en Oficina (Dos Asesores)"/>
    <x v="1"/>
    <s v="Venta"/>
    <x v="2"/>
    <s v="Capital Mendoza"/>
  </r>
  <r>
    <d v="2025-04-30T00:00:00"/>
    <x v="1"/>
    <x v="3"/>
    <n v="10376"/>
    <x v="0"/>
    <s v="loyola"/>
    <s v="Realizado"/>
    <s v="AR ZonaProp"/>
    <n v="0"/>
    <x v="55"/>
    <x v="0"/>
    <s v="Dólares"/>
    <s v="Dólares"/>
    <s v="loyola 1129"/>
    <s v="Argentina | Capital Federal | Villa Crespo "/>
    <x v="0"/>
    <n v="1"/>
    <s v="Seniority"/>
    <s v="Compartida Fuera de la Red Búsqueda"/>
    <x v="2"/>
    <s v="Venta"/>
    <x v="3"/>
    <s v="Barrio Parque"/>
  </r>
  <r>
    <d v="2025-09-10T00:00:00"/>
    <x v="1"/>
    <x v="6"/>
    <s v="CAP6778776"/>
    <x v="0"/>
    <s v="VENTA DEPARTAMENTO 2 AMBIENTES  ALMAGRO"/>
    <s v="Realizado"/>
    <s v="AR ZonaProp"/>
    <n v="60000"/>
    <x v="55"/>
    <x v="0"/>
    <s v="Dólares"/>
    <s v="Dólares"/>
    <s v="Don Bosco al 3400"/>
    <s v="Argentina | Capital Federal | Almagro "/>
    <x v="0"/>
    <n v="2"/>
    <s v="Seniority"/>
    <s v="Compartida Fuera de la Red Captación Propia"/>
    <x v="0"/>
    <s v="Venta"/>
    <x v="3"/>
    <s v="Barrio Parque"/>
  </r>
  <r>
    <d v="2025-10-21T00:00:00"/>
    <x v="1"/>
    <x v="11"/>
    <s v="CAP6845327"/>
    <x v="0"/>
    <s v="Venta Departamento 2 ambientes Almagro Hospital Italiano"/>
    <s v="Realizado"/>
    <s v="AR ZonaProp"/>
    <n v="59900"/>
    <x v="55"/>
    <x v="0"/>
    <s v="Dólares"/>
    <s v="Dólares"/>
    <s v="Peron al 4200"/>
    <s v="Argentina | Capital Federal | Almagro "/>
    <x v="0"/>
    <n v="2"/>
    <s v="Seniority"/>
    <s v="Compartida Fuera de la Red Captación Propia"/>
    <x v="0"/>
    <s v="Venta"/>
    <x v="3"/>
    <s v="Barrio Parque"/>
  </r>
  <r>
    <d v="2025-10-22T00:00:00"/>
    <x v="1"/>
    <x v="11"/>
    <s v="CLA6849629"/>
    <x v="1"/>
    <s v="Terreno en  TERRAZAS PARK VISTALBA"/>
    <s v="Realizado"/>
    <s v="Referido"/>
    <n v="58000"/>
    <x v="55"/>
    <x v="0"/>
    <s v="Dólares"/>
    <s v="Dólares"/>
    <s v="TERRAZAS PARK VISTALBA GUARDIA VIEJA al 1200"/>
    <s v="Argentina | Mendoza | Lujan De Cuyo | Lujan De Cuyo | Vistalba"/>
    <x v="1"/>
    <n v="2"/>
    <s v="Patagonia Lakes VLA"/>
    <s v="Profesional Referenciador (30%)"/>
    <x v="1"/>
    <s v="Venta"/>
    <x v="1"/>
    <s v="Villa La Angostura"/>
  </r>
  <r>
    <d v="2025-10-01T00:00:00"/>
    <x v="1"/>
    <x v="11"/>
    <s v="CLA6849629"/>
    <x v="0"/>
    <s v="Terreno en  TERRAZAS PARK VISTALBA"/>
    <s v="Realizado"/>
    <s v="AR ArgenProp"/>
    <n v="58000"/>
    <x v="55"/>
    <x v="0"/>
    <s v="Dólares"/>
    <s v="Dólares"/>
    <s v="TERRAZAS PARK VISTALBA GUARDIA VIEJA al 1200"/>
    <s v="Argentina | Mendoza | Lujan De Cuyo | Lujan De Cuyo | Vistalba"/>
    <x v="1"/>
    <n v="2"/>
    <s v="Cuyo Real"/>
    <s v="Profesional Referido (70%)"/>
    <x v="1"/>
    <s v="Venta"/>
    <x v="2"/>
    <s v="Capital Mendoza"/>
  </r>
  <r>
    <d v="2025-01-10T00:00:00"/>
    <x v="1"/>
    <x v="10"/>
    <s v="CHO6149910"/>
    <x v="0"/>
    <s v="Casa en  Venta para reciclar - Tupungato - Mendoza"/>
    <s v="Realizado"/>
    <s v="AR ZonaProp"/>
    <n v="70000"/>
    <x v="55"/>
    <x v="0"/>
    <s v="Dólares"/>
    <s v="Dólares"/>
    <s v="Calle Irigoyen al 200"/>
    <s v="Argentina | Mendoza | Tupungato | San Jose De Tupungato"/>
    <x v="2"/>
    <n v="2"/>
    <s v="Cuyo Real"/>
    <s v="Propia (Único Asesor)"/>
    <x v="1"/>
    <s v="Venta"/>
    <x v="2"/>
    <s v="Capital Mendoza"/>
  </r>
  <r>
    <d v="2025-01-13T00:00:00"/>
    <x v="1"/>
    <x v="10"/>
    <s v="Salcedo 2913"/>
    <x v="0"/>
    <s v="Salcedo 2913"/>
    <s v="Realizado"/>
    <s v="AR MercadoLibre"/>
    <n v="55000"/>
    <x v="55"/>
    <x v="0"/>
    <s v="Dólares"/>
    <s v="Dólares"/>
    <s v="Salcedo 2913"/>
    <s v="Argentina | Capital Federal | Capital Federal "/>
    <x v="0"/>
    <n v="2"/>
    <s v="Lion Team"/>
    <s v="Propia (Único Asesor)"/>
    <x v="1"/>
    <s v="Venta"/>
    <x v="3"/>
    <s v="Villa Urquiza"/>
  </r>
  <r>
    <d v="2025-02-11T00:00:00"/>
    <x v="1"/>
    <x v="0"/>
    <s v="CAP6647785"/>
    <x v="0"/>
    <s v="Monoambiente  en  venta en macrocentro Salta"/>
    <s v="Realizado"/>
    <s v="Facebook"/>
    <n v="55000"/>
    <x v="55"/>
    <x v="0"/>
    <s v="Dólares"/>
    <s v="Dólares"/>
    <s v="GRAL GUEMES al 1400"/>
    <s v="Argentina | Salta | Capital | Salta | Zona Centro"/>
    <x v="0"/>
    <n v="2"/>
    <s v="Realty Group"/>
    <s v="Propia (Único Asesor)"/>
    <x v="1"/>
    <s v="Venta"/>
    <x v="4"/>
    <s v="San Lorenzo Chico"/>
  </r>
  <r>
    <d v="2025-07-03T00:00:00"/>
    <x v="1"/>
    <x v="1"/>
    <s v="CAP6606832"/>
    <x v="0"/>
    <s v="Departamento en  Villa Tesei 3 amb. con patio propio"/>
    <s v="Realizado"/>
    <s v="AR ArgenProp"/>
    <n v="54900"/>
    <x v="55"/>
    <x v="0"/>
    <s v="Dólares"/>
    <s v="Dólares"/>
    <s v="Jufre al 400"/>
    <s v="Argentina | G.B.A. Zona Oeste | Hurlingham | Villa Santos Tesei"/>
    <x v="0"/>
    <n v="2"/>
    <s v="Lion Team"/>
    <s v="Propia (Único Asesor)"/>
    <x v="1"/>
    <s v="Venta"/>
    <x v="3"/>
    <s v="Villa Urquiza"/>
  </r>
  <r>
    <d v="2025-07-03T00:00:00"/>
    <x v="1"/>
    <x v="1"/>
    <s v="COF6931250"/>
    <x v="0"/>
    <s v="Oficina Barrio Civico Capital"/>
    <s v="Realizado"/>
    <s v="AR ZonaProp"/>
    <n v="60000"/>
    <x v="55"/>
    <x v="0"/>
    <s v="Dólares"/>
    <s v="Dólares"/>
    <s v="Pedro Molina  al 200"/>
    <s v="Argentina | Mendoza | Capital | Mendoza | Segunda Seccion"/>
    <x v="6"/>
    <n v="2"/>
    <s v="Cuyo Real"/>
    <s v="Propia (Único Asesor)"/>
    <x v="1"/>
    <s v="Venta"/>
    <x v="2"/>
    <s v="Capital Mendoza"/>
  </r>
  <r>
    <d v="2025-07-30T00:00:00"/>
    <x v="1"/>
    <x v="1"/>
    <s v="CPH6320069"/>
    <x v="0"/>
    <s v="VENTA PH - Ramos Mejia-Don Bosco  - 3 ambientes - Cochera - Planta Baja -Permuta"/>
    <s v="Realizado"/>
    <s v="AR ArgenProp"/>
    <n v="63900"/>
    <x v="55"/>
    <x v="0"/>
    <s v="Dólares"/>
    <s v="Dólares"/>
    <s v="ACHALA al 1300"/>
    <s v="Argentina | G.B.A. Zona Oeste | La Matanza | Ramos Mejia | B.Don Bosco"/>
    <x v="3"/>
    <n v="2"/>
    <s v="Lion Team"/>
    <s v="Propia (Único Asesor)"/>
    <x v="1"/>
    <s v="Venta"/>
    <x v="3"/>
    <s v="Villa Urquiza"/>
  </r>
  <r>
    <d v="2025-07-30T00:00:00"/>
    <x v="1"/>
    <x v="1"/>
    <s v="VAP4859355"/>
    <x v="0"/>
    <s v="Departamento en Venta - Calle Italia 1111 1C - Escobar"/>
    <s v="Realizado"/>
    <s v="AR MercadoLibre"/>
    <n v="58000"/>
    <x v="55"/>
    <x v="0"/>
    <s v="Dólares"/>
    <s v="Dólares"/>
    <s v="Departamento en Venta - Calle Italia 1111 1C - Escobar APTO CREDITO, CON RENTA"/>
    <s v="Argentina | G.B.A. Zona Norte | Escobar "/>
    <x v="0"/>
    <n v="2"/>
    <s v="Puerto Norte"/>
    <s v="Propia (Único Asesor)"/>
    <x v="1"/>
    <s v="Venta"/>
    <x v="6"/>
    <s v="Nordelta"/>
  </r>
  <r>
    <d v="2025-08-13T00:00:00"/>
    <x v="1"/>
    <x v="5"/>
    <s v="CLO7062908"/>
    <x v="0"/>
    <s v="¡Muy buen local en Olivos, para aprovechar!"/>
    <s v="Realizado"/>
    <s v="Repetido"/>
    <n v="65000"/>
    <x v="55"/>
    <x v="0"/>
    <s v="Dólares"/>
    <s v="Dólares"/>
    <s v="Bouchard al 3200"/>
    <s v="Argentina | G.B.A. Zona Norte | Vicente López | Olivos"/>
    <x v="4"/>
    <n v="2"/>
    <s v="Concept"/>
    <s v="Propia (Único Asesor)"/>
    <x v="1"/>
    <s v="Venta"/>
    <x v="6"/>
    <s v="Tigre"/>
  </r>
  <r>
    <d v="2025-09-15T00:00:00"/>
    <x v="1"/>
    <x v="6"/>
    <s v="CHO6011523"/>
    <x v="0"/>
    <s v="VENTA CASA PLANTA ALTA 4 AMBIENTES- SARANDI"/>
    <s v="Realizado"/>
    <s v="AR ZonaProp"/>
    <n v="65000"/>
    <x v="55"/>
    <x v="0"/>
    <s v="Dólares"/>
    <s v="Dólares"/>
    <s v="Helguera al 2500"/>
    <s v="Argentina | G.B.A. Zona Sur | Avellaneda | Sarandi"/>
    <x v="2"/>
    <n v="2"/>
    <s v="Destino"/>
    <s v="Propia (Único Asesor)"/>
    <x v="1"/>
    <s v="Venta"/>
    <x v="3"/>
    <s v="Recoleta"/>
  </r>
  <r>
    <d v="2025-09-19T00:00:00"/>
    <x v="1"/>
    <x v="6"/>
    <s v="CHO7003734"/>
    <x v="0"/>
    <s v="VENTA CASA 3 AMB barrio privado Haras el Terraplen, General Rodriguez, pileta, quincho, seguridad"/>
    <s v="Realizado"/>
    <s v="AR ZonaProp"/>
    <n v="55000"/>
    <x v="55"/>
    <x v="0"/>
    <s v="Dólares"/>
    <s v="Dólares"/>
    <s v="Lote 107, Haras el Terraplen, General Rodriguez"/>
    <s v="Argentina | G.B.A. Zona Oeste | General Rodriguez "/>
    <x v="2"/>
    <n v="2"/>
    <s v="Audacity"/>
    <s v="Propia (Único Asesor)"/>
    <x v="1"/>
    <s v="Venta"/>
    <x v="9"/>
    <s v="Parque Leloir"/>
  </r>
  <r>
    <d v="2025-10-21T00:00:00"/>
    <x v="1"/>
    <x v="11"/>
    <s v="CAP7282199"/>
    <x v="0"/>
    <s v="VENTA Departamento Céntrico Monoambiente 22m2 Villa La Angostura"/>
    <s v="Realizado"/>
    <s v="Web Coldwell-Banker"/>
    <n v="55000"/>
    <x v="55"/>
    <x v="0"/>
    <s v="Dólares"/>
    <s v="Dólares"/>
    <s v="Retamas 315"/>
    <s v="Argentina | Neuquen | Villa La Angostura | El Cruce"/>
    <x v="0"/>
    <n v="2"/>
    <s v="Patagonia Lakes VLA"/>
    <s v="Propia (Único Asesor)"/>
    <x v="1"/>
    <s v="Venta"/>
    <x v="1"/>
    <s v="Villa La Angostura"/>
  </r>
  <r>
    <d v="2025-11-28T00:00:00"/>
    <x v="1"/>
    <x v="7"/>
    <s v="CHO7205766"/>
    <x v="0"/>
    <s v="Venta Casa Multifamiliar 4 Ambientes con Patio, Terraza en Villa Ballester"/>
    <s v="Realizado"/>
    <s v="AR ZonaProp"/>
    <n v="55000"/>
    <x v="55"/>
    <x v="0"/>
    <s v="Dólares"/>
    <s v="Dólares"/>
    <s v="Buenos Aires al 6300"/>
    <s v="Argentina | G.B.A. Zona Norte | General San Martin | Villa Ballester"/>
    <x v="2"/>
    <n v="2"/>
    <s v="Seniority Plus"/>
    <s v="Propia (Único Asesor)"/>
    <x v="1"/>
    <s v="Venta"/>
    <x v="3"/>
    <s v="Palermo"/>
  </r>
  <r>
    <d v="2026-01-07T00:00:00"/>
    <x v="0"/>
    <x v="10"/>
    <s v="JPH7027711"/>
    <x v="0"/>
    <s v="PH - Venta - Parque - 3 ambientes - Villa Lynch - Patio"/>
    <s v="Realizado"/>
    <s v="AR ZonaProp"/>
    <n v="65000"/>
    <x v="55"/>
    <x v="0"/>
    <s v="Dólares"/>
    <s v="Dólares"/>
    <s v="Rondeau al 2300"/>
    <s v="Argentina | G.B.A. Zona Norte | General San Martin | Villa Lynch"/>
    <x v="3"/>
    <n v="2"/>
    <s v="Lion Team Norte"/>
    <s v="Propia (Único Asesor)"/>
    <x v="1"/>
    <s v="Venta"/>
    <x v="6"/>
    <s v="Vicente López"/>
  </r>
  <r>
    <d v="2026-01-13T00:00:00"/>
    <x v="0"/>
    <x v="10"/>
    <s v="CAP7070477"/>
    <x v="0"/>
    <s v="Luminoso Departamento en Liniers"/>
    <s v="Realizado"/>
    <s v="AR ZonaProp"/>
    <n v="55000"/>
    <x v="55"/>
    <x v="0"/>
    <s v="Dólares"/>
    <s v="Dólares"/>
    <s v="Dr. Angel Roffo  7029"/>
    <s v="Argentina | Capital Federal | Liniers "/>
    <x v="0"/>
    <n v="2"/>
    <s v="Beyker"/>
    <s v="Propia (Único Asesor)"/>
    <x v="1"/>
    <s v="Venta"/>
    <x v="3"/>
    <s v="Retiro"/>
  </r>
  <r>
    <d v="2026-01-13T00:00:00"/>
    <x v="0"/>
    <x v="10"/>
    <s v="CHO4766806"/>
    <x v="0"/>
    <s v="Casa interna en venta en Mayoraz"/>
    <s v="Realizado"/>
    <s v="Conocido"/>
    <n v="58000"/>
    <x v="55"/>
    <x v="0"/>
    <s v="Dólares"/>
    <s v="Dólares"/>
    <s v="Casa interna  en venta en Mayoraz"/>
    <s v="Argentina | Santa Fe | La Capital | Santa Fe | Mayoraz"/>
    <x v="2"/>
    <n v="2"/>
    <s v="De la Veracruz"/>
    <s v="Propia (Único Asesor)"/>
    <x v="1"/>
    <s v="Venta"/>
    <x v="5"/>
    <s v="Capital Santa Fe"/>
  </r>
  <r>
    <d v="2026-01-23T00:00:00"/>
    <x v="0"/>
    <x v="10"/>
    <s v="CAP7524551"/>
    <x v="0"/>
    <s v="Venta - Departamento al frente en Flores - Balcón - Laundry"/>
    <s v="Realizado"/>
    <s v="AR ZonaProp"/>
    <n v="55000"/>
    <x v="55"/>
    <x v="0"/>
    <s v="Dólares"/>
    <s v="Dólares"/>
    <s v="Tandil  al 2500"/>
    <s v="Argentina | Capital Federal | Flores "/>
    <x v="0"/>
    <n v="2"/>
    <s v="Wings"/>
    <s v="Propia (Único Asesor)"/>
    <x v="1"/>
    <s v="Venta"/>
    <x v="3"/>
    <s v="Núñez"/>
  </r>
  <r>
    <d v="2026-03-10T00:00:00"/>
    <x v="0"/>
    <x v="9"/>
    <s v="AAP7728547"/>
    <x v="0"/>
    <s v="VENTA DEPARTAMENTO 2 AMBIENTES CON BALCON EN FLORES"/>
    <s v="Realizado"/>
    <s v="AR MercadoLibre"/>
    <n v="55000"/>
    <x v="55"/>
    <x v="0"/>
    <s v="Dólares"/>
    <s v="Dólares"/>
    <s v="Av Rivadavia  al 7400"/>
    <s v="Argentina | Capital Federal | Flores "/>
    <x v="0"/>
    <n v="2"/>
    <s v="Desiderio"/>
    <s v="Propia (Único Asesor)"/>
    <x v="1"/>
    <s v="Venta"/>
    <x v="3"/>
    <s v="Caballito"/>
  </r>
  <r>
    <d v="2026-03-25T00:00:00"/>
    <x v="0"/>
    <x v="9"/>
    <s v="EL CANO 56"/>
    <x v="0"/>
    <s v="LOTE EN VENTA BARRIO EL CANO N 56"/>
    <s v="Realizado"/>
    <s v="AR MercadoLibre"/>
    <n v="55000"/>
    <x v="55"/>
    <x v="0"/>
    <s v="Dólares"/>
    <s v="Dólares"/>
    <m/>
    <s v="Argentina | G.B.A. Zona Sur | Berazategui | Guillermo E Hudson"/>
    <x v="1"/>
    <n v="2"/>
    <s v="Livello"/>
    <s v="Propia (Único Asesor)"/>
    <x v="1"/>
    <s v="Venta"/>
    <x v="3"/>
    <s v="Palermo"/>
  </r>
  <r>
    <d v="2025-12-01T00:00:00"/>
    <x v="1"/>
    <x v="8"/>
    <s v="DUPLEX 10 523 Y 524"/>
    <x v="0"/>
    <s v="DUPLEX 10 523 Y524 TOLOSA"/>
    <s v="Realizado"/>
    <s v="AR ZonaProp"/>
    <n v="55500"/>
    <x v="56"/>
    <x v="0"/>
    <s v="Dólares"/>
    <s v="Dólares"/>
    <m/>
    <s v="Argentina | G.B.A. Zona Sur | La Plata | Tolosa"/>
    <x v="0"/>
    <n v="1"/>
    <s v="Golden Team"/>
    <s v="(Interior) Compartida Fuera de la Red Búsqueda"/>
    <x v="2"/>
    <s v="Venta"/>
    <x v="0"/>
    <s v="La Plata"/>
  </r>
  <r>
    <d v="2025-09-12T00:00:00"/>
    <x v="1"/>
    <x v="6"/>
    <s v="CAP6662178"/>
    <x v="0"/>
    <s v="Departamento Monoambiente en Venta de pozo en 50 entre 26 y 27"/>
    <s v="Realizado"/>
    <s v="AR MercadoLibre"/>
    <n v="50500"/>
    <x v="56"/>
    <x v="0"/>
    <s v="Dólares"/>
    <s v="Dólares"/>
    <s v="Departamento Monoambiente en Venta de pozo en 50 entre 26 y 27  "/>
    <s v="Argentina | G.B.A. Zona Sur | La Plata | La Plata"/>
    <x v="0"/>
    <n v="2"/>
    <s v="Golden Team"/>
    <s v="Propia (Único Asesor)"/>
    <x v="1"/>
    <s v="Venta"/>
    <x v="0"/>
    <s v="La Plata"/>
  </r>
  <r>
    <d v="2026-01-14T00:00:00"/>
    <x v="0"/>
    <x v="10"/>
    <s v="COF6241792"/>
    <x v="0"/>
    <s v="Oficina en Recoleta"/>
    <s v="Realizado"/>
    <s v="AR ZonaProp"/>
    <n v="60000"/>
    <x v="56"/>
    <x v="0"/>
    <s v="Dólares"/>
    <s v="Dólares"/>
    <s v="Av. Santa Fe al 2600"/>
    <s v="Argentina | Capital Federal | Recoleta "/>
    <x v="6"/>
    <n v="2"/>
    <s v="Horizon Group"/>
    <s v="Propia (Único Asesor)"/>
    <x v="1"/>
    <s v="Venta"/>
    <x v="3"/>
    <s v="Núñez"/>
  </r>
  <r>
    <d v="2025-07-08T00:00:00"/>
    <x v="1"/>
    <x v="1"/>
    <s v="CAP6640984"/>
    <x v="0"/>
    <s v="Venta Departamento 2 Ambientes Monserrat piso alto"/>
    <s v="Realizado"/>
    <s v="AR ZonaProp"/>
    <n v="57000"/>
    <x v="57"/>
    <x v="0"/>
    <s v="Dólares"/>
    <s v="Dólares"/>
    <s v="Salta 600"/>
    <s v="Argentina | Capital Federal | Monserrat "/>
    <x v="0"/>
    <n v="2"/>
    <s v="Lion Team"/>
    <s v="Propia (Único Asesor)"/>
    <x v="1"/>
    <s v="Venta"/>
    <x v="3"/>
    <s v="Villa Urquiza"/>
  </r>
  <r>
    <d v="2025-12-03T00:00:00"/>
    <x v="1"/>
    <x v="8"/>
    <s v="CAP7259235"/>
    <x v="0"/>
    <s v="VENTA MONOAMBIENTE A ESTRENAR - AVELLANEDA - DOMINICO"/>
    <s v="Realizado"/>
    <s v="AR ZonaProp"/>
    <n v="56000"/>
    <x v="57"/>
    <x v="0"/>
    <s v="Dólares"/>
    <s v="Dólares"/>
    <s v="Av. Mitre al 4900"/>
    <s v="Argentina | G.B.A. Zona Sur | Avellaneda | Villa Dominico"/>
    <x v="0"/>
    <n v="2"/>
    <s v="Destino"/>
    <s v="Propia (Único Asesor)"/>
    <x v="1"/>
    <s v="Venta"/>
    <x v="3"/>
    <s v="Recoleta"/>
  </r>
  <r>
    <d v="2025-12-16T00:00:00"/>
    <x v="1"/>
    <x v="8"/>
    <s v="Anchordoqui 1424"/>
    <x v="0"/>
    <s v="Anchordoqui 1424"/>
    <s v="Realizado"/>
    <s v="AR MercadoLibre"/>
    <n v="112000"/>
    <x v="57"/>
    <x v="0"/>
    <s v="Dólares"/>
    <s v="Dólares"/>
    <m/>
    <m/>
    <x v="0"/>
    <n v="2"/>
    <s v="Lion Team"/>
    <s v="Propia (Único Asesor)"/>
    <x v="1"/>
    <s v="Venta"/>
    <x v="3"/>
    <s v="Villa Urquiza"/>
  </r>
  <r>
    <d v="2025-11-12T00:00:00"/>
    <x v="1"/>
    <x v="7"/>
    <s v="CAP6977084"/>
    <x v="0"/>
    <s v="VENTA DEPARTAMENTO 2 AMBIENTES C/ BALCON Y AMENITIES. WILDE. APTO CREDITO."/>
    <s v="Realizado"/>
    <s v="AR ZonaProp"/>
    <n v="64000"/>
    <x v="58"/>
    <x v="0"/>
    <s v="Dólares"/>
    <s v="Dólares"/>
    <s v="Avda. Bartolome Mitre al 5700"/>
    <s v="Argentina | G.B.A. Zona Sur | Avellaneda | Wilde"/>
    <x v="0"/>
    <n v="2"/>
    <s v="Seniority"/>
    <s v="Compartida Fuera de la Red Captación Propia"/>
    <x v="0"/>
    <s v="Venta"/>
    <x v="3"/>
    <s v="Barrio Parque"/>
  </r>
  <r>
    <d v="2025-11-13T00:00:00"/>
    <x v="1"/>
    <x v="7"/>
    <s v="CAP7008497"/>
    <x v="0"/>
    <s v="Venta Departamento de 2 ambientes con balcón al frente en caballito/flores"/>
    <s v="Realizado"/>
    <s v="AR ZonaProp"/>
    <n v="62000"/>
    <x v="58"/>
    <x v="0"/>
    <s v="Dólares"/>
    <s v="Dólares"/>
    <s v="ESPINOSA 82"/>
    <s v="Argentina | Capital Federal | Caballito "/>
    <x v="0"/>
    <n v="2"/>
    <s v="Seniority"/>
    <s v="Propia (Único Asesor)"/>
    <x v="1"/>
    <s v="Venta"/>
    <x v="3"/>
    <s v="Barrio Parque"/>
  </r>
  <r>
    <d v="2025-10-06T00:00:00"/>
    <x v="1"/>
    <x v="11"/>
    <s v="87Eli"/>
    <x v="0"/>
    <s v="Casa en Santo tome"/>
    <s v="Realizado"/>
    <s v="AR MercadoLibre"/>
    <n v="60000"/>
    <x v="59"/>
    <x v="0"/>
    <s v="Dólares"/>
    <s v="Dólares"/>
    <s v="J J Paso 4203"/>
    <s v="Argentina | Santa Fe | La Capital | Santo Tome"/>
    <x v="2"/>
    <n v="1"/>
    <s v="De la Veracruz"/>
    <s v="(Interior) Compartida Fuera de la Red Búsqueda"/>
    <x v="2"/>
    <s v="Venta"/>
    <x v="5"/>
    <s v="Capital Santa Fe"/>
  </r>
  <r>
    <d v="2025-07-03T00:00:00"/>
    <x v="1"/>
    <x v="1"/>
    <s v="CAP6896916"/>
    <x v="0"/>
    <s v="Departamento en Villa Luzuriaga"/>
    <s v="Realizado"/>
    <s v="AR ZonaProp"/>
    <n v="65000"/>
    <x v="59"/>
    <x v="0"/>
    <s v="Dólares"/>
    <s v="Dólares"/>
    <s v="ZAPIOLA al 200"/>
    <s v="Argentina | G.B.A. Zona Oeste | La Matanza | Villa Luzuriaga"/>
    <x v="0"/>
    <n v="2"/>
    <s v="Lion Team"/>
    <s v="Compartida en Oficina (Dos Asesores)"/>
    <x v="1"/>
    <s v="Venta"/>
    <x v="3"/>
    <s v="Villa Urquiza"/>
  </r>
  <r>
    <d v="2025-08-17T00:00:00"/>
    <x v="1"/>
    <x v="5"/>
    <s v="VOT59732 LA6522271"/>
    <x v="0"/>
    <s v="Terreno en  Barrio Abierto Los Jilgueros El Cazador Escobar"/>
    <s v="Realizado"/>
    <s v="AR ZonaProp"/>
    <n v="35000"/>
    <x v="59"/>
    <x v="0"/>
    <s v="Dólares"/>
    <s v="Dólares"/>
    <s v="Terreno en  Barrio Abierto Los Jilgueros El Cazador Escobar"/>
    <s v="Argentina | G.B.A. Zona Norte | Escobar | Barrio El Cazador"/>
    <x v="1"/>
    <n v="2"/>
    <s v="Puerto Norte"/>
    <s v="Compartida en Oficina (Dos Asesores)"/>
    <x v="1"/>
    <s v="Venta"/>
    <x v="6"/>
    <s v="Nordelta"/>
  </r>
  <r>
    <d v="2025-11-11T00:00:00"/>
    <x v="1"/>
    <x v="7"/>
    <s v="CAP7249546"/>
    <x v="0"/>
    <s v="Departamento en venta 2 amb Olivos"/>
    <s v="Realizado"/>
    <s v="AR ZonaProp"/>
    <n v="59000"/>
    <x v="59"/>
    <x v="0"/>
    <s v="Dólares"/>
    <s v="Dólares"/>
    <s v="Hilarion de la quintana al 1600"/>
    <s v="Argentina | G.B.A. Zona Norte | Vicente López | Olivos | Olivos-Maipu/Uzal"/>
    <x v="0"/>
    <n v="2"/>
    <s v="Puerto Norte"/>
    <s v="Compartida en Oficina (Dos Asesores)"/>
    <x v="1"/>
    <s v="Venta"/>
    <x v="6"/>
    <s v="Nordelta"/>
  </r>
  <r>
    <d v="2026-02-13T00:00:00"/>
    <x v="0"/>
    <x v="0"/>
    <m/>
    <x v="0"/>
    <s v="UF N° 30 de 396,00m2 parte del Loteo denominado Zona “C” Quetrihue"/>
    <s v="Realizado"/>
    <s v="Instagram"/>
    <n v="57000"/>
    <x v="59"/>
    <x v="0"/>
    <s v="Dólares"/>
    <s v="Dólares"/>
    <s v="Bv. Quetrihue y Amancay"/>
    <s v="Argentina | Neuquen | Villa La Angostura | Selva Triste"/>
    <x v="1"/>
    <n v="2"/>
    <s v="Patagonia Lakes VLA"/>
    <s v="Compartida en Oficina (Dos Asesores)"/>
    <x v="1"/>
    <s v="Venta"/>
    <x v="1"/>
    <s v="Villa La Angostura"/>
  </r>
  <r>
    <d v="2025-11-06T00:00:00"/>
    <x v="1"/>
    <x v="7"/>
    <n v="3"/>
    <x v="0"/>
    <s v="Flores depto"/>
    <s v="Realizado"/>
    <s v="AR ZonaProp"/>
    <n v="57000"/>
    <x v="59"/>
    <x v="0"/>
    <s v="Dólares"/>
    <s v="Dólares"/>
    <s v="Avellaneda"/>
    <s v="Argentina | Capital Federal | Flores "/>
    <x v="0"/>
    <n v="1"/>
    <s v="Desiderio"/>
    <s v="Compartida Fuera de la Red Búsqueda"/>
    <x v="2"/>
    <s v="Venta"/>
    <x v="3"/>
    <s v="Caballito"/>
  </r>
  <r>
    <d v="2026-03-06T00:00:00"/>
    <x v="0"/>
    <x v="9"/>
    <m/>
    <x v="0"/>
    <s v="Colombres 957 - Diego Neto Prop - Yudit Cairo"/>
    <s v="Realizado"/>
    <s v="AR ZonaProp"/>
    <n v="57000"/>
    <x v="59"/>
    <x v="0"/>
    <s v="Dólares"/>
    <s v="Dólares"/>
    <s v="Colombres 957"/>
    <s v="Argentina | Capital Federal | Boedo "/>
    <x v="0"/>
    <n v="1"/>
    <s v="Destino"/>
    <s v="Compartida Fuera de la Red Búsqueda"/>
    <x v="2"/>
    <s v="Venta"/>
    <x v="3"/>
    <s v="Recoleta"/>
  </r>
  <r>
    <d v="2025-05-30T00:00:00"/>
    <x v="1"/>
    <x v="2"/>
    <s v="CPH6638795"/>
    <x v="0"/>
    <s v="Duplex En Venta 2 dormitorios, cochera, patio y parrilla, calle 517 4bis y 5bis Ringuelet"/>
    <s v="Realizado"/>
    <s v="AR ZonaProp"/>
    <n v="59500"/>
    <x v="59"/>
    <x v="0"/>
    <s v="Dólares"/>
    <s v="Dólares"/>
    <s v="Duplex 2 dormitorios 517  al 1021 e / 4 bis y 5 bis, Ringuelet"/>
    <s v="Argentina | G.B.A. Zona Sur | La Plata | La Plata | Ringuelet"/>
    <x v="3"/>
    <n v="2"/>
    <s v="Golden Team"/>
    <s v="Compartida Fuera de la Red Captación Propia"/>
    <x v="0"/>
    <s v="Venta"/>
    <x v="0"/>
    <s v="La Plata"/>
  </r>
  <r>
    <d v="2025-06-19T00:00:00"/>
    <x v="1"/>
    <x v="4"/>
    <s v="CHO6840523"/>
    <x v="0"/>
    <s v="Venta Casa 4 Ambientes Apto Crédito en BILLINGHURST"/>
    <s v="Realizado"/>
    <s v="Cartel"/>
    <n v="59000"/>
    <x v="59"/>
    <x v="0"/>
    <s v="Dólares"/>
    <s v="Dólares"/>
    <s v="25 DE MAYO 4900"/>
    <s v="Argentina | G.B.A. Zona Norte | General San Martin | General San Martin | Billinghurst"/>
    <x v="2"/>
    <n v="2"/>
    <s v="Audacity"/>
    <s v="Propia (Único Asesor)"/>
    <x v="1"/>
    <s v="Venta"/>
    <x v="9"/>
    <s v="Parque Leloir"/>
  </r>
  <r>
    <d v="2025-09-04T00:00:00"/>
    <x v="1"/>
    <x v="6"/>
    <s v="JLO6952320"/>
    <x v="0"/>
    <s v="VENTA LOCAL A LA CALLE EN V. PUEYRREDON/AGRONOMIA"/>
    <s v="Realizado"/>
    <s v="AR ZonaProp"/>
    <n v="59000"/>
    <x v="59"/>
    <x v="0"/>
    <s v="Dólares"/>
    <s v="Dólares"/>
    <s v="Nazca al 3800"/>
    <s v="Argentina | Capital Federal | Villa Pueyrredon "/>
    <x v="4"/>
    <n v="2"/>
    <s v="Lion Team Norte"/>
    <s v="Propia (Único Asesor)"/>
    <x v="1"/>
    <s v="Venta"/>
    <x v="6"/>
    <s v="Vicente López"/>
  </r>
  <r>
    <d v="2025-09-13T00:00:00"/>
    <x v="1"/>
    <x v="6"/>
    <s v="CAP6373344"/>
    <x v="0"/>
    <s v="Venta Departamento dos ambientes en la boca con OPCION COCHERA"/>
    <s v="Realizado"/>
    <s v="AR ZonaProp"/>
    <n v="59800"/>
    <x v="59"/>
    <x v="0"/>
    <s v="Dólares"/>
    <s v="Dólares"/>
    <s v="Pi y Margal  al 480"/>
    <s v="Argentina | Capital Federal | Boca "/>
    <x v="0"/>
    <n v="2"/>
    <s v="Seniority"/>
    <s v="Propia (Único Asesor)"/>
    <x v="1"/>
    <s v="Venta"/>
    <x v="3"/>
    <s v="Barrio Parque"/>
  </r>
  <r>
    <d v="2025-10-07T00:00:00"/>
    <x v="1"/>
    <x v="11"/>
    <s v="CAP6937628"/>
    <x v="0"/>
    <s v="Departamento en  Venta, General Roca"/>
    <s v="Realizado"/>
    <s v="AR ZonaProp"/>
    <n v="54000"/>
    <x v="59"/>
    <x v="0"/>
    <s v="Dólares"/>
    <s v="Dólares"/>
    <s v="Complejo Jujuy  al 700"/>
    <s v="Argentina | Rio Negro | General Roca | General Roca"/>
    <x v="0"/>
    <n v="2"/>
    <s v="Sensus"/>
    <s v="Propia (Único Asesor)"/>
    <x v="1"/>
    <s v="Venta"/>
    <x v="1"/>
    <s v="Capital Neuquén"/>
  </r>
  <r>
    <d v="2025-10-09T00:00:00"/>
    <x v="1"/>
    <x v="11"/>
    <s v="CLA6893264"/>
    <x v="0"/>
    <s v="Venta Terreno en  Maschwitz 1.000m2"/>
    <s v="Realizado"/>
    <s v="AR ZonaProp"/>
    <n v="62900"/>
    <x v="59"/>
    <x v="0"/>
    <s v="Dólares"/>
    <s v="Dólares"/>
    <s v="Juana Azurduy y Esteban Echeverria"/>
    <s v="Argentina | G.B.A. Zona Norte | Escobar | Ingeniero Maschwitz"/>
    <x v="1"/>
    <n v="2"/>
    <s v="Seniority"/>
    <s v="Propia (Único Asesor)"/>
    <x v="1"/>
    <s v="Venta"/>
    <x v="3"/>
    <s v="Barrio Parque"/>
  </r>
  <r>
    <d v="2025-11-13T00:00:00"/>
    <x v="1"/>
    <x v="7"/>
    <s v="CAP6741550"/>
    <x v="0"/>
    <s v="Venta Departamento 2 Ambientes en Boedo"/>
    <s v="Realizado"/>
    <s v="AR ZonaProp"/>
    <n v="60000"/>
    <x v="59"/>
    <x v="0"/>
    <s v="Dólares"/>
    <s v="Dólares"/>
    <s v="Colombres al 900"/>
    <s v="Argentina | Capital Federal | Boedo "/>
    <x v="0"/>
    <n v="2"/>
    <s v="Seniority Plus"/>
    <s v="Propia (Único Asesor)"/>
    <x v="1"/>
    <s v="Venta"/>
    <x v="3"/>
    <s v="Palermo"/>
  </r>
  <r>
    <d v="2026-01-19T00:00:00"/>
    <x v="0"/>
    <x v="10"/>
    <s v="CAP7475003"/>
    <x v="0"/>
    <s v="Monoambiente dividido en Plaza San Martín, Retiro. ideal inversión."/>
    <s v="Realizado"/>
    <s v="AR ZonaProp"/>
    <n v="63000"/>
    <x v="59"/>
    <x v="0"/>
    <s v="Dólares"/>
    <s v="Dólares"/>
    <s v="Esmeralda y M.T de Alvear, Plaza San Martín. Ideal inversión."/>
    <s v="Argentina | Capital Federal | Retiro "/>
    <x v="0"/>
    <n v="2"/>
    <s v="Destino"/>
    <s v="Propia (Único Asesor)"/>
    <x v="1"/>
    <s v="Venta"/>
    <x v="3"/>
    <s v="Recoleta"/>
  </r>
  <r>
    <d v="2026-02-27T00:00:00"/>
    <x v="0"/>
    <x v="0"/>
    <s v="CAP7540046"/>
    <x v="0"/>
    <s v="VENTA DEPARTAMENTO 1 Dormitorio - SENADOR PEREZ - CENTRO"/>
    <s v="Realizado"/>
    <s v="Conocido"/>
    <n v="58000"/>
    <x v="59"/>
    <x v="0"/>
    <s v="Dólares"/>
    <s v="Dólares"/>
    <s v="Senador Perez al 100"/>
    <s v="Argentina | Jujuy | Dr Manuel Belgrano | San Salvador De Jujuy"/>
    <x v="0"/>
    <n v="2"/>
    <s v="Plaza"/>
    <s v="Propia (Único Asesor)"/>
    <x v="1"/>
    <s v="Venta"/>
    <x v="8"/>
    <s v="Capital Jujuy"/>
  </r>
  <r>
    <d v="2026-03-19T00:00:00"/>
    <x v="0"/>
    <x v="9"/>
    <s v="CHO7202873"/>
    <x v="0"/>
    <s v="VENTA CASA EN MORON CON JARDIN "/>
    <s v="Realizado"/>
    <s v="AR ArgenProp"/>
    <n v="64900"/>
    <x v="59"/>
    <x v="0"/>
    <s v="Dólares"/>
    <s v="Dólares"/>
    <s v="Los Olivos al 1200"/>
    <s v="Argentina | G.B.A. Zona Oeste | Moron | Moron"/>
    <x v="2"/>
    <n v="2"/>
    <s v="Lion Team"/>
    <s v="Propia (Único Asesor)"/>
    <x v="1"/>
    <s v="Venta"/>
    <x v="3"/>
    <s v="Villa Urquiza"/>
  </r>
  <r>
    <d v="2025-06-26T00:00:00"/>
    <x v="1"/>
    <x v="4"/>
    <s v="AAP6765289"/>
    <x v="0"/>
    <s v="Departamento de dos ambientes monserrat"/>
    <s v="Realizado"/>
    <s v="AR ZonaProp"/>
    <n v="59000"/>
    <x v="60"/>
    <x v="0"/>
    <s v="Dólares"/>
    <s v="Dólares"/>
    <s v="VIRREY CEBALLOS al 790"/>
    <s v="Argentina | Capital Federal | Monserrat "/>
    <x v="0"/>
    <n v="2"/>
    <s v="Desiderio"/>
    <s v="Compartida Fuera de la Red Captación Propia"/>
    <x v="0"/>
    <s v="Venta"/>
    <x v="3"/>
    <s v="Caballito"/>
  </r>
  <r>
    <d v="2026-02-04T00:00:00"/>
    <x v="0"/>
    <x v="0"/>
    <s v="CAP7250198"/>
    <x v="0"/>
    <s v="Departamento - 42m2 - 2ambientes"/>
    <s v="Realizado"/>
    <s v="AR ZonaProp"/>
    <n v="60000"/>
    <x v="60"/>
    <x v="0"/>
    <s v="Dólares"/>
    <s v="Dólares"/>
    <s v="Ituzaingo  al 1400"/>
    <s v="Argentina | G.B.A. Zona Sur | Lanús | Lanús | Lanús Este"/>
    <x v="0"/>
    <n v="2"/>
    <s v="Destino II"/>
    <s v="Compartida Fuera de la Red Captación Propia"/>
    <x v="0"/>
    <s v="Venta"/>
    <x v="3"/>
    <s v="Recoleta"/>
  </r>
  <r>
    <d v="2025-03-01T00:00:00"/>
    <x v="1"/>
    <x v="9"/>
    <s v="Chorrarín 3B monoambiente"/>
    <x v="0"/>
    <s v="Venta de Departamento en Agronomía"/>
    <s v="Realizado"/>
    <s v="AR ZonaProp"/>
    <n v="57500"/>
    <x v="60"/>
    <x v="0"/>
    <s v="Dólares"/>
    <s v="Dólares"/>
    <s v="Avenida Chorrarín 514"/>
    <s v="Argentina | Capital Federal | Agronomia "/>
    <x v="0"/>
    <n v="2"/>
    <s v="Acqua"/>
    <s v="Propia (Único Asesor)"/>
    <x v="1"/>
    <s v="Venta"/>
    <x v="6"/>
    <s v="Pilar"/>
  </r>
  <r>
    <d v="2025-05-12T00:00:00"/>
    <x v="1"/>
    <x v="2"/>
    <s v="San Juan 81-Matheu"/>
    <x v="0"/>
    <s v="San Juan n°81 - Matheu"/>
    <s v="Realizado"/>
    <s v="AR ZonaProp"/>
    <n v="58000"/>
    <x v="61"/>
    <x v="0"/>
    <s v="Dólares"/>
    <s v="Dólares"/>
    <s v="San Juan n°81 - Matheu"/>
    <s v="Argentina | G.B.A. Zona Norte | Escobar | Matheu"/>
    <x v="2"/>
    <n v="1"/>
    <s v="Quality"/>
    <s v="(Interior) Compartida Fuera de la Red Búsqueda"/>
    <x v="2"/>
    <s v="Venta"/>
    <x v="6"/>
    <s v="Escobar"/>
  </r>
  <r>
    <d v="2025-11-18T00:00:00"/>
    <x v="1"/>
    <x v="7"/>
    <s v="98Stella"/>
    <x v="0"/>
    <s v="Casa de dos dormitorios y cochera"/>
    <s v="Realizado"/>
    <s v="Referido"/>
    <n v="62000"/>
    <x v="61"/>
    <x v="0"/>
    <s v="Dólares"/>
    <s v="Dólares"/>
    <s v="San Lorenzo 5100"/>
    <s v="Argentina | Santa Fe | La Capital | Santa Fe"/>
    <x v="2"/>
    <n v="1"/>
    <s v="De la Veracruz"/>
    <s v="(Interior) Compartida Fuera de la Red Búsqueda"/>
    <x v="2"/>
    <s v="Venta"/>
    <x v="5"/>
    <s v="Capital Santa Fe"/>
  </r>
  <r>
    <d v="2025-04-25T00:00:00"/>
    <x v="1"/>
    <x v="3"/>
    <m/>
    <x v="0"/>
    <s v="UF 27 Loteo Quetrihue Loteo B"/>
    <s v="Realizado"/>
    <s v="Facebook"/>
    <n v="58000"/>
    <x v="61"/>
    <x v="0"/>
    <s v="Dólares"/>
    <s v="Dólares"/>
    <s v="Bv. Quetrihue y Amancay"/>
    <s v="Argentina | Neuquen | Villa La Angostura | Puerto"/>
    <x v="1"/>
    <n v="2"/>
    <s v="Patagonia Lakes VLA"/>
    <s v="Compartida en Oficina (Dos Asesores)"/>
    <x v="1"/>
    <s v="Venta"/>
    <x v="1"/>
    <s v="Villa La Angostura"/>
  </r>
  <r>
    <d v="2025-03-20T00:00:00"/>
    <x v="1"/>
    <x v="9"/>
    <s v="CAP6177013"/>
    <x v="0"/>
    <s v="Departamento a Reciclar en venta calle 10 esq. 59 de 2 / 3 dormitorios, La Plata"/>
    <s v="Realizado"/>
    <s v="Teléfono"/>
    <n v="69500"/>
    <x v="61"/>
    <x v="0"/>
    <s v="Dólares"/>
    <s v="Dólares"/>
    <s v="Departamento a reciclar 3 Dorm. Calle 10 esq 59  La Plata al 1299"/>
    <s v="Argentina | G.B.A. Zona Sur | La Plata "/>
    <x v="0"/>
    <n v="2"/>
    <s v="Golden Team"/>
    <s v="Compartida Fuera de la Red Captación Propia"/>
    <x v="0"/>
    <s v="Venta"/>
    <x v="0"/>
    <s v="La Plata"/>
  </r>
  <r>
    <d v="2025-03-22T00:00:00"/>
    <x v="1"/>
    <x v="9"/>
    <s v="ALBARELLO 3153 9°"/>
    <x v="0"/>
    <s v="ALBARELLOS 3153 9°"/>
    <s v="Realizado"/>
    <s v="AR ZonaProp"/>
    <n v="58000"/>
    <x v="61"/>
    <x v="0"/>
    <s v="Dólares"/>
    <s v="Dólares"/>
    <s v="ALBARELLO3153 9°"/>
    <s v="Argentina | Capital Federal | Villa Pueyrredon "/>
    <x v="0"/>
    <n v="2"/>
    <s v="Lion Team Norte"/>
    <s v="Propia (Único Asesor)"/>
    <x v="1"/>
    <s v="Venta"/>
    <x v="6"/>
    <s v="Vicente López"/>
  </r>
  <r>
    <d v="2025-06-04T00:00:00"/>
    <x v="1"/>
    <x v="4"/>
    <s v="CPH6623128"/>
    <x v="0"/>
    <s v="Departamento en PH en 16 e/ 46 y 49"/>
    <s v="Realizado"/>
    <s v="AR ZonaProp"/>
    <n v="60000"/>
    <x v="61"/>
    <x v="0"/>
    <s v="Dólares"/>
    <s v="Dólares"/>
    <s v="16 e/ 48 y 49"/>
    <s v="Argentina | G.B.A. Zona Sur | La Plata | La Plata"/>
    <x v="3"/>
    <n v="2"/>
    <s v="Golden Team"/>
    <s v="Propia (Único Asesor)"/>
    <x v="1"/>
    <s v="Venta"/>
    <x v="0"/>
    <s v="La Plata"/>
  </r>
  <r>
    <d v="2025-07-16T00:00:00"/>
    <x v="1"/>
    <x v="1"/>
    <s v="Depto venta Almagro"/>
    <x v="0"/>
    <s v="Depto venta Almagro Querandies"/>
    <s v="Realizado"/>
    <s v="AR ZonaProp"/>
    <n v="58000"/>
    <x v="61"/>
    <x v="0"/>
    <s v="Dólares"/>
    <s v="Dólares"/>
    <m/>
    <s v="Argentina | Capital Federal | Almagro "/>
    <x v="0"/>
    <n v="2"/>
    <s v="Livello"/>
    <s v="Propia (Único Asesor)"/>
    <x v="1"/>
    <s v="Venta"/>
    <x v="3"/>
    <s v="Palermo"/>
  </r>
  <r>
    <d v="2025-11-12T00:00:00"/>
    <x v="1"/>
    <x v="7"/>
    <s v="CLA7305743"/>
    <x v="0"/>
    <s v="Terreno en excelente Ubicacion "/>
    <s v="Realizado"/>
    <s v="Conocido"/>
    <n v="65000"/>
    <x v="61"/>
    <x v="0"/>
    <s v="Dólares"/>
    <s v="Dólares"/>
    <s v="Terreno en Blas parera al 5900"/>
    <s v="Argentina | Santa Fe | La Capital | Santa Fe | Oeste"/>
    <x v="1"/>
    <n v="2"/>
    <s v="De la Veracruz"/>
    <s v="Propia (Único Asesor)"/>
    <x v="1"/>
    <s v="Venta"/>
    <x v="5"/>
    <s v="Capital Santa Fe"/>
  </r>
  <r>
    <d v="2026-03-26T00:00:00"/>
    <x v="0"/>
    <x v="9"/>
    <s v="CGL7666047"/>
    <x v="0"/>
    <s v="Galpón en  Sarandi"/>
    <s v="Realizado"/>
    <s v="AR ZonaProp"/>
    <n v="67000"/>
    <x v="61"/>
    <x v="0"/>
    <s v="Dólares"/>
    <s v="Dólares"/>
    <s v="Helguera al 2500"/>
    <s v="Argentina | G.B.A. Zona Sur | Avellaneda | Sarandi"/>
    <x v="7"/>
    <n v="2"/>
    <s v="Destino"/>
    <s v="Propia (Único Asesor)"/>
    <x v="1"/>
    <s v="Venta"/>
    <x v="3"/>
    <s v="Recoleta"/>
  </r>
  <r>
    <d v="2025-11-13T00:00:00"/>
    <x v="1"/>
    <x v="7"/>
    <s v="CAP7340975"/>
    <x v="0"/>
    <s v="Departamento en San Cristobal"/>
    <s v="Realizado"/>
    <s v="AR ArgenProp"/>
    <n v="53280"/>
    <x v="62"/>
    <x v="0"/>
    <s v="Dólares"/>
    <s v="Dólares"/>
    <s v="Dean funes  al 870"/>
    <s v="Argentina | Capital Federal | San Cristobal "/>
    <x v="0"/>
    <n v="2"/>
    <s v="Lion Team"/>
    <s v="Propia (Único Asesor)"/>
    <x v="1"/>
    <s v="Venta"/>
    <x v="3"/>
    <s v="Villa Urquiza"/>
  </r>
  <r>
    <d v="2025-11-30T00:00:00"/>
    <x v="1"/>
    <x v="7"/>
    <s v="CLA6815295"/>
    <x v="0"/>
    <s v="Hermoso lote de más de 3.000 m2 en Chacras de la Reserva - Cardales"/>
    <s v="Realizado"/>
    <s v="AR ZonaProp"/>
    <n v="60000"/>
    <x v="63"/>
    <x v="0"/>
    <s v="Dólares"/>
    <s v="Dólares"/>
    <s v="Barrio Privado Chacras de la Reserva"/>
    <s v="Argentina | G.B.A. Zona Norte | Campana | Countries/B.Cerrado (Campana) | Chacras de la Reserva"/>
    <x v="1"/>
    <n v="2"/>
    <s v="Concept"/>
    <s v="Propia (Único Asesor)"/>
    <x v="1"/>
    <s v="Venta"/>
    <x v="6"/>
    <s v="Tigre"/>
  </r>
  <r>
    <d v="2025-12-01T00:00:00"/>
    <x v="1"/>
    <x v="8"/>
    <s v="PH 3 Y 58 Y 58"/>
    <x v="0"/>
    <s v="PH 3 ENTRE 58 Y 59"/>
    <s v="Realizado"/>
    <s v="AR ZonaProp"/>
    <n v="59000"/>
    <x v="64"/>
    <x v="0"/>
    <s v="Dólares"/>
    <s v="Dólares"/>
    <m/>
    <s v="Argentina | G.B.A. Zona Sur | La Plata | La Plata"/>
    <x v="3"/>
    <n v="1"/>
    <s v="Golden Team"/>
    <s v="(Interior) Compartida Fuera de la Red Captación Propia"/>
    <x v="0"/>
    <s v="Venta"/>
    <x v="0"/>
    <s v="La Plata"/>
  </r>
  <r>
    <d v="2025-08-08T00:00:00"/>
    <x v="1"/>
    <x v="5"/>
    <s v="CLA5612385"/>
    <x v="0"/>
    <s v="Terreno en  venta 628 m2 Barrio Don Orione Bariloche"/>
    <s v="Realizado"/>
    <s v="Teléfono"/>
    <n v="59000"/>
    <x v="64"/>
    <x v="0"/>
    <s v="Dólares"/>
    <s v="Dólares"/>
    <s v="Don Orione, San Carlos de Bariloche"/>
    <s v="Argentina | Rio Negro | Bariloche | San Carlos De Bariloche | Villa Don Orione"/>
    <x v="1"/>
    <n v="2"/>
    <s v="Patagonia Lakes BRC"/>
    <s v="Compartida en Oficina (Dos Asesores)"/>
    <x v="1"/>
    <s v="Venta"/>
    <x v="7"/>
    <s v="Bariloche"/>
  </r>
  <r>
    <d v="2025-12-18T00:00:00"/>
    <x v="1"/>
    <x v="8"/>
    <s v="CLA7048070"/>
    <x v="0"/>
    <s v="Terreno en venta, 600m2, Solares del este, Bariloche "/>
    <s v="Realizado"/>
    <s v="Teléfono"/>
    <n v="60000"/>
    <x v="64"/>
    <x v="0"/>
    <s v="Dólares"/>
    <s v="Dólares"/>
    <s v="Solares del Este, San Carlos de Bariloche"/>
    <s v="Argentina | Rio Negro | Bariloche | Solares del este"/>
    <x v="1"/>
    <n v="2"/>
    <s v="Patagonia Lakes BRC"/>
    <s v="Compartida en Oficina (Dos Asesores)"/>
    <x v="1"/>
    <s v="Venta"/>
    <x v="7"/>
    <s v="Bariloche"/>
  </r>
  <r>
    <d v="2025-01-16T00:00:00"/>
    <x v="1"/>
    <x v="10"/>
    <s v="CAP6003828"/>
    <x v="0"/>
    <s v="Departamento en  Venta Complejo Jardines de Esmeralda "/>
    <s v="Realizado"/>
    <s v="AR ZonaProp"/>
    <n v="59000"/>
    <x v="64"/>
    <x v="0"/>
    <s v="Dólares"/>
    <s v="Dólares"/>
    <s v=" Miguel Muñoz al 1000"/>
    <s v="Argentina | Rio Negro | Cipolletti "/>
    <x v="0"/>
    <n v="2"/>
    <s v="Sensus"/>
    <s v="Compartida Fuera de la Red Captación Propia"/>
    <x v="0"/>
    <s v="Venta"/>
    <x v="1"/>
    <s v="Capital Neuquén"/>
  </r>
  <r>
    <d v="2025-07-22T00:00:00"/>
    <x v="1"/>
    <x v="1"/>
    <s v="JAP7051064"/>
    <x v="0"/>
    <s v="Venta - Departamento - 2 ambientes - Parque Chacabuco - Boedo"/>
    <s v="Realizado"/>
    <s v="AR ZonaProp"/>
    <n v="59900"/>
    <x v="64"/>
    <x v="0"/>
    <s v="Dólares"/>
    <s v="Dólares"/>
    <s v="Av La Plata 1400"/>
    <s v="Argentina | Capital Federal | Parque Chacabuco "/>
    <x v="0"/>
    <n v="2"/>
    <s v="Lion Team Norte"/>
    <s v="Propia (Único Asesor)"/>
    <x v="1"/>
    <s v="Venta"/>
    <x v="6"/>
    <s v="Vicente López"/>
  </r>
  <r>
    <d v="2025-08-04T00:00:00"/>
    <x v="1"/>
    <x v="5"/>
    <s v="CHO7100411"/>
    <x v="0"/>
    <s v="Casa en  Las Heras"/>
    <s v="Realizado"/>
    <s v="AR ZonaProp"/>
    <n v="48000"/>
    <x v="64"/>
    <x v="0"/>
    <s v="Dólares"/>
    <s v="Dólares"/>
    <s v="3 de febrero  al 500"/>
    <s v="Argentina | Mendoza | Las Heras "/>
    <x v="2"/>
    <n v="2"/>
    <s v="Cuyo Real"/>
    <s v="Propia (Único Asesor)"/>
    <x v="1"/>
    <s v="Venta"/>
    <x v="2"/>
    <s v="Capital Mendoza"/>
  </r>
  <r>
    <d v="2026-02-04T00:00:00"/>
    <x v="0"/>
    <x v="0"/>
    <s v="CAP7070530"/>
    <x v="0"/>
    <s v="Departamento en venta - Lanús Este - Zona centrica"/>
    <s v="Realizado"/>
    <s v="AR ZonaProp"/>
    <n v="61000"/>
    <x v="64"/>
    <x v="0"/>
    <s v="Dólares"/>
    <s v="Dólares"/>
    <s v="Tucumán al 1100"/>
    <s v="Argentina | G.B.A. Zona Sur | Lanús | Lanús | Lanús Este"/>
    <x v="0"/>
    <n v="2"/>
    <s v="Destino II"/>
    <s v="Propia (Único Asesor)"/>
    <x v="1"/>
    <s v="Venta"/>
    <x v="3"/>
    <s v="Recoleta"/>
  </r>
  <r>
    <d v="2026-03-20T00:00:00"/>
    <x v="0"/>
    <x v="9"/>
    <s v="CBU65913 AP7520495"/>
    <x v="0"/>
    <s v="Venta de Departamento monoambiente con balcón en Agronomía"/>
    <s v="Realizado"/>
    <s v="Conocido"/>
    <n v="65000"/>
    <x v="64"/>
    <x v="0"/>
    <s v="Dólares"/>
    <s v="Dólares"/>
    <s v="Av. Chorroarin  al 500"/>
    <s v="Argentina | Capital Federal | Parque Chas "/>
    <x v="0"/>
    <n v="2"/>
    <s v="Acqua"/>
    <s v="Propia (Único Asesor)"/>
    <x v="1"/>
    <s v="Venta"/>
    <x v="6"/>
    <s v="Pilar"/>
  </r>
  <r>
    <d v="2025-07-25T00:00:00"/>
    <x v="1"/>
    <x v="1"/>
    <n v="24072025"/>
    <x v="0"/>
    <s v="Reserva Mirko PH los coihues "/>
    <s v="Realizado"/>
    <s v="Teléfono"/>
    <n v="60000"/>
    <x v="65"/>
    <x v="0"/>
    <s v="Dólares"/>
    <s v="Dólares"/>
    <m/>
    <s v="Argentina | Rio Negro | Bariloche | San Carlos De Bariloche"/>
    <x v="3"/>
    <n v="1"/>
    <s v="Patagonia Lakes BRC"/>
    <s v="(Interior) Compartida Fuera de la Red Búsqueda"/>
    <x v="2"/>
    <s v="Venta"/>
    <x v="7"/>
    <s v="Bariloche"/>
  </r>
  <r>
    <d v="2025-12-12T00:00:00"/>
    <x v="1"/>
    <x v="8"/>
    <n v="12122025"/>
    <x v="0"/>
    <s v="Reserva Venta Nayla Dpto Bonomo Tiscornia 274 SS B + Refuerzo "/>
    <s v="Realizado"/>
    <s v="Teléfono"/>
    <n v="60000"/>
    <x v="65"/>
    <x v="0"/>
    <s v="Dólares"/>
    <s v="Dólares"/>
    <m/>
    <s v="Argentina | Rio Negro | Bariloche | San Carlos De Bariloche"/>
    <x v="0"/>
    <n v="1"/>
    <s v="Patagonia Lakes BRC"/>
    <s v="(Interior) Compartida Fuera de la Red Búsqueda"/>
    <x v="2"/>
    <s v="Venta"/>
    <x v="7"/>
    <s v="Bariloche"/>
  </r>
  <r>
    <d v="2025-12-12T00:00:00"/>
    <x v="1"/>
    <x v="8"/>
    <s v="Operacion diego con Gabriela Bada"/>
    <x v="0"/>
    <s v="Departamento en calle Tunuyan, Godoy Cruz"/>
    <s v="Realizado"/>
    <s v="Conocido"/>
    <n v="60000"/>
    <x v="65"/>
    <x v="0"/>
    <s v="Dólares"/>
    <s v="Dólares"/>
    <m/>
    <s v="Argentina | Mendoza | Godoy Cruz "/>
    <x v="0"/>
    <n v="1"/>
    <s v="Cuyo Real"/>
    <s v="(Interior) Compartida Fuera de la Red Búsqueda"/>
    <x v="2"/>
    <s v="Venta"/>
    <x v="2"/>
    <s v="Capital Mendoza"/>
  </r>
  <r>
    <d v="2026-03-18T00:00:00"/>
    <x v="0"/>
    <x v="9"/>
    <m/>
    <x v="0"/>
    <s v="Op. con Norambuena Barrio Kaleuche  Alto, San Martin de los Andes, LOTE 21 de la manzana 112, departamento Los Lagos, Provincia de Neuquén, nomenclatura nro 152108212540000, con superficie aproximada de 700 m2 y las medidas, linderos y demás circunstancia"/>
    <s v="Realizado"/>
    <s v="Conocido"/>
    <n v="60000"/>
    <x v="65"/>
    <x v="0"/>
    <s v="Dólares"/>
    <s v="Dólares"/>
    <m/>
    <s v="Argentina | Neuquen | Lacar | San Martin De Los Andes | Kaleuche"/>
    <x v="2"/>
    <n v="1"/>
    <s v="Patagonia Lakes SMA"/>
    <s v="(Interior) Compartida Fuera de la Red Búsqueda"/>
    <x v="2"/>
    <s v="Venta"/>
    <x v="1"/>
    <s v="San Martín de los Andes"/>
  </r>
  <r>
    <d v="2025-09-25T00:00:00"/>
    <x v="1"/>
    <x v="6"/>
    <s v="CHO6335602"/>
    <x v="0"/>
    <s v="Casa en venta en barrio en pleno crecimiento"/>
    <s v="Realizado"/>
    <s v="Conocido"/>
    <n v="68000"/>
    <x v="65"/>
    <x v="0"/>
    <s v="Dólares"/>
    <s v="Dólares"/>
    <s v="Permuta, a estrenar por casa en B° Roma"/>
    <s v="Argentina | Santa Fe | La Capital | Santa Fe"/>
    <x v="2"/>
    <n v="1"/>
    <s v="De la Veracruz"/>
    <s v="(Interior) Compartida Fuera de la Red Captación Propia"/>
    <x v="0"/>
    <s v="Venta"/>
    <x v="5"/>
    <s v="Capital Santa Fe"/>
  </r>
  <r>
    <d v="2025-12-01T00:00:00"/>
    <x v="1"/>
    <x v="8"/>
    <s v="CAP6856104"/>
    <x v="0"/>
    <s v="Departamento en  Venta - Godoy Cruz - Mendoza"/>
    <s v="Realizado"/>
    <s v="AR ZonaProp"/>
    <n v="65000"/>
    <x v="65"/>
    <x v="0"/>
    <s v="Dólares"/>
    <s v="Dólares"/>
    <s v="Cervantes  al 1400"/>
    <s v="Argentina | Mendoza | Godoy Cruz "/>
    <x v="0"/>
    <n v="1"/>
    <s v="Cuyo Real"/>
    <s v="(Interior) Compartida Fuera de la Red Captación Propia"/>
    <x v="0"/>
    <s v="Venta"/>
    <x v="2"/>
    <s v="Capital Mendoza"/>
  </r>
  <r>
    <d v="2026-03-27T00:00:00"/>
    <x v="0"/>
    <x v="9"/>
    <s v="CFA7620297"/>
    <x v="0"/>
    <s v="Finca de 10 ha Colonia Elena"/>
    <s v="Realizado"/>
    <s v="Conocido"/>
    <n v="75000"/>
    <x v="65"/>
    <x v="0"/>
    <s v="Dólares"/>
    <s v="Dólares"/>
    <s v="Finca 10 ha oportunidad en  Colonia Elena"/>
    <s v="Argentina | Mendoza | San Rafael | Colonia Elena"/>
    <x v="5"/>
    <n v="1"/>
    <s v="Andes"/>
    <s v="(Interior) Compartida Fuera de la Red Captación Propia"/>
    <x v="0"/>
    <s v="Venta"/>
    <x v="2"/>
    <s v="San Rafael"/>
  </r>
  <r>
    <d v="2025-06-10T00:00:00"/>
    <x v="1"/>
    <x v="4"/>
    <s v="CHO6963350"/>
    <x v="0"/>
    <s v="VENTA Casa de dos dormitorios amueblada y equipada con patio seco y terraza"/>
    <s v="Realizado"/>
    <s v="Referido"/>
    <n v="65000"/>
    <x v="65"/>
    <x v="0"/>
    <s v="Dólares"/>
    <s v="Dólares"/>
    <s v="Casa en Barrio Escalante - Milenio de Polonia 3000"/>
    <s v="Argentina | Santa Fe | La Capital | Santa Fe"/>
    <x v="2"/>
    <n v="2"/>
    <s v="De la Veracruz"/>
    <s v="Compartida en Oficina (Dos Asesores)"/>
    <x v="1"/>
    <s v="Venta"/>
    <x v="5"/>
    <s v="Capital Santa Fe"/>
  </r>
  <r>
    <d v="2025-07-29T00:00:00"/>
    <x v="1"/>
    <x v="1"/>
    <s v="CAP6937766"/>
    <x v="0"/>
    <s v="Departamento tipo Loft en Via Aurelia "/>
    <s v="Realizado"/>
    <s v="Facebook"/>
    <n v="63000"/>
    <x v="65"/>
    <x v="0"/>
    <s v="Dólares"/>
    <s v="Dólares"/>
    <s v="Via Aurelia lote n7 mza 1 loft 1c"/>
    <s v="Argentina | Salta | Capital | Salta | Zona Sur"/>
    <x v="0"/>
    <n v="2"/>
    <s v="Realty Group"/>
    <s v="Compartida en Oficina (Dos Asesores)"/>
    <x v="1"/>
    <s v="Venta"/>
    <x v="4"/>
    <s v="San Lorenzo Chico"/>
  </r>
  <r>
    <d v="2025-07-30T00:00:00"/>
    <x v="1"/>
    <x v="1"/>
    <s v="CHO7098112"/>
    <x v="0"/>
    <s v="Casa en venta Zona Norte - Salta"/>
    <s v="Realizado"/>
    <s v="AR ZonaProp"/>
    <n v="63000"/>
    <x v="65"/>
    <x v="0"/>
    <s v="Dólares"/>
    <s v="Dólares"/>
    <s v="Av. 17 de Junio -  Zona Norte"/>
    <s v="Argentina | Salta | Capital | Salta | Zona Norte"/>
    <x v="2"/>
    <n v="2"/>
    <s v="Realty Group"/>
    <s v="Compartida en Oficina (Dos Asesores)"/>
    <x v="1"/>
    <s v="Venta"/>
    <x v="4"/>
    <s v="San Lorenzo Chico"/>
  </r>
  <r>
    <d v="2025-09-04T00:00:00"/>
    <x v="1"/>
    <x v="6"/>
    <s v="CWE6390158"/>
    <x v="0"/>
    <s v="Casa Quinta en venta en Altos del Sauce, Sauce Viejo"/>
    <s v="Realizado"/>
    <s v="Conocido"/>
    <n v="65000"/>
    <x v="65"/>
    <x v="0"/>
    <s v="Dólares"/>
    <s v="Dólares"/>
    <s v="Quinta en  Altos del Sauce"/>
    <s v="Argentina | Santa Fe | La Capital | Sauce Viejo | Altos del Sauce"/>
    <x v="2"/>
    <n v="2"/>
    <s v="De la Veracruz"/>
    <s v="Compartida en Oficina (Dos Asesores)"/>
    <x v="1"/>
    <s v="Venta"/>
    <x v="5"/>
    <s v="Capital Santa Fe"/>
  </r>
  <r>
    <d v="2025-12-23T00:00:00"/>
    <x v="1"/>
    <x v="8"/>
    <s v="MSLORTEGA1637PB7"/>
    <x v="1"/>
    <s v="Venta Departamento 2 Ambientes con patio en Las Cañitas"/>
    <s v="Realizado"/>
    <s v="AR ZonaProp"/>
    <n v="70000"/>
    <x v="65"/>
    <x v="0"/>
    <s v="Dólares"/>
    <s v="Dólares"/>
    <s v="Ortega y Gasset al 1600"/>
    <s v="Argentina | Capital Federal | Palermo | Las Cañitas"/>
    <x v="0"/>
    <n v="2"/>
    <s v="Seniority"/>
    <s v="Compartida en Red (50%)"/>
    <x v="1"/>
    <s v="Venta"/>
    <x v="3"/>
    <s v="Barrio Parque"/>
  </r>
  <r>
    <d v="2025-12-23T00:00:00"/>
    <x v="1"/>
    <x v="8"/>
    <n v="223"/>
    <x v="0"/>
    <s v="Ortega y Gasset 1635 PB 7"/>
    <s v="Realizado"/>
    <s v="AR ZonaProp"/>
    <n v="60000"/>
    <x v="65"/>
    <x v="0"/>
    <s v="Dólares"/>
    <s v="Dólares"/>
    <s v="Ortega y Gasset 1635 PB 7"/>
    <s v="Argentina | Capital Federal | Palermo "/>
    <x v="0"/>
    <n v="2"/>
    <s v="Seniority Plus"/>
    <s v="Compartida en Red (50%)"/>
    <x v="1"/>
    <s v="Venta"/>
    <x v="3"/>
    <s v="Palermo"/>
  </r>
  <r>
    <d v="2025-05-07T00:00:00"/>
    <x v="1"/>
    <x v="2"/>
    <m/>
    <x v="0"/>
    <s v="Lavalle 376 - Susana Fernandez - Yacoub Palermo"/>
    <s v="Realizado"/>
    <s v="AR MercadoLibre"/>
    <n v="60000"/>
    <x v="65"/>
    <x v="0"/>
    <s v="Dólares"/>
    <s v="Dólares"/>
    <s v="Lavalle 376"/>
    <s v="Argentina | Capital Federal | Palermo "/>
    <x v="0"/>
    <n v="1"/>
    <s v="Destino"/>
    <s v="Compartida Fuera de la Red Búsqueda"/>
    <x v="2"/>
    <s v="Venta"/>
    <x v="3"/>
    <s v="Recoleta"/>
  </r>
  <r>
    <d v="2025-05-28T00:00:00"/>
    <x v="1"/>
    <x v="2"/>
    <s v="Depto Seba"/>
    <x v="0"/>
    <s v="Depto Seba y Leo Sfeir"/>
    <s v="Realizado"/>
    <s v="AR ZonaProp"/>
    <n v="30000"/>
    <x v="65"/>
    <x v="0"/>
    <s v="Dólares"/>
    <s v="Dólares"/>
    <m/>
    <s v="Argentina | Neuquen | Capital "/>
    <x v="0"/>
    <n v="1"/>
    <s v="Sensus"/>
    <s v="Compartida Fuera de la Red Búsqueda"/>
    <x v="2"/>
    <s v="Venta"/>
    <x v="1"/>
    <s v="Capital Neuquén"/>
  </r>
  <r>
    <d v="2025-07-21T00:00:00"/>
    <x v="1"/>
    <x v="1"/>
    <s v="CAP6629745"/>
    <x v="0"/>
    <s v="VENTA DEPARTAMENTO 2 AMBIENTES LUMINOSO EN BALVANERA"/>
    <s v="Realizado"/>
    <s v="AR ZonaProp"/>
    <n v="63000"/>
    <x v="65"/>
    <x v="0"/>
    <s v="Dólares"/>
    <s v="Dólares"/>
    <s v="Catamarca  al 400"/>
    <s v="Argentina | Capital Federal | Balvanera "/>
    <x v="0"/>
    <n v="2"/>
    <s v="Seniority"/>
    <s v="Compartida Fuera de la Red Captación Propia"/>
    <x v="0"/>
    <s v="Venta"/>
    <x v="3"/>
    <s v="Barrio Parque"/>
  </r>
  <r>
    <d v="2025-09-19T00:00:00"/>
    <x v="1"/>
    <x v="6"/>
    <s v="CPH6867062"/>
    <x v="0"/>
    <s v="VENTA PH 2 AMBIENTES FLORIDA PB - APTO CREDITO"/>
    <s v="Realizado"/>
    <s v="AR ZonaProp"/>
    <n v="63900"/>
    <x v="65"/>
    <x v="0"/>
    <s v="Dólares"/>
    <s v="Dólares"/>
    <s v="CARLOS TEJEDOR  al 1700"/>
    <s v="Argentina | G.B.A. Zona Norte | Vicente López | Florida | Florida Oeste"/>
    <x v="3"/>
    <n v="2"/>
    <s v="Seniority"/>
    <s v="Compartida Fuera de la Red Captación Propia"/>
    <x v="0"/>
    <s v="Venta"/>
    <x v="3"/>
    <s v="Barrio Parque"/>
  </r>
  <r>
    <d v="2025-02-28T00:00:00"/>
    <x v="1"/>
    <x v="0"/>
    <s v="CAP6768489"/>
    <x v="0"/>
    <s v="Venta Departamento Monoambiente con Balcón en Florida"/>
    <s v="Realizado"/>
    <s v="AR ZonaProp"/>
    <n v="72000"/>
    <x v="65"/>
    <x v="0"/>
    <s v="Dólares"/>
    <s v="Dólares"/>
    <s v="Av Maipu al 300"/>
    <s v="Argentina | G.B.A. Zona Norte | Vicente López | Florida"/>
    <x v="0"/>
    <n v="2"/>
    <s v="Seniority Plus"/>
    <s v="Propia (Único Asesor)"/>
    <x v="1"/>
    <s v="Venta"/>
    <x v="3"/>
    <s v="Palermo"/>
  </r>
  <r>
    <d v="2025-03-01T00:00:00"/>
    <x v="1"/>
    <x v="9"/>
    <s v="CAP4295545"/>
    <x v="0"/>
    <s v="¡Gran departamento de 4 ambientes en venta! Zona Garrahan"/>
    <s v="Realizado"/>
    <s v="AR MercadoLibre"/>
    <n v="60000"/>
    <x v="65"/>
    <x v="0"/>
    <s v="Dólares"/>
    <s v="Dólares"/>
    <s v="Matheu al 1700"/>
    <s v="Argentina | Capital Federal | Parque Patricios "/>
    <x v="0"/>
    <n v="2"/>
    <s v="Concept"/>
    <s v="Propia (Único Asesor)"/>
    <x v="1"/>
    <s v="Venta"/>
    <x v="6"/>
    <s v="Tigre"/>
  </r>
  <r>
    <d v="2025-03-14T00:00:00"/>
    <x v="1"/>
    <x v="9"/>
    <s v="CAP6525137"/>
    <x v="0"/>
    <s v="venta departamento 2 ambientes con patio bajas expensas en San Cristobal"/>
    <s v="Realizado"/>
    <s v="AR ArgenProp"/>
    <n v="66900"/>
    <x v="65"/>
    <x v="0"/>
    <s v="Dólares"/>
    <s v="Dólares"/>
    <s v="La Rioja  al 1200"/>
    <s v="Argentina | Capital Federal | San Cristobal "/>
    <x v="0"/>
    <n v="2"/>
    <s v="Lion Team"/>
    <s v="Propia (Único Asesor)"/>
    <x v="1"/>
    <s v="Venta"/>
    <x v="3"/>
    <s v="Villa Urquiza"/>
  </r>
  <r>
    <d v="2025-03-31T00:00:00"/>
    <x v="1"/>
    <x v="9"/>
    <s v="CHO6365198"/>
    <x v="0"/>
    <s v="Casa en Venta en Centenario"/>
    <s v="Realizado"/>
    <s v="AR ZonaProp"/>
    <n v="60000"/>
    <x v="65"/>
    <x v="0"/>
    <s v="Dólares"/>
    <s v="Dólares"/>
    <s v="Benito Quinquela Martin 1006"/>
    <s v="Argentina | Neuquen | Confluencia | Centenario"/>
    <x v="2"/>
    <n v="2"/>
    <s v="Sensus"/>
    <s v="Propia (Único Asesor)"/>
    <x v="1"/>
    <s v="Venta"/>
    <x v="1"/>
    <s v="Capital Neuquén"/>
  </r>
  <r>
    <d v="2025-04-15T00:00:00"/>
    <x v="1"/>
    <x v="3"/>
    <s v="VAP6617016"/>
    <x v="0"/>
    <s v="Venta Departamento Dos ambientes con Baulera en Balvanera"/>
    <s v="Realizado"/>
    <s v="AR ZonaProp"/>
    <n v="60000"/>
    <x v="65"/>
    <x v="0"/>
    <s v="Dólares"/>
    <s v="Dólares"/>
    <s v="Avenida Belgrano  al 1900"/>
    <s v="Argentina | Capital Federal | Balvanera "/>
    <x v="0"/>
    <n v="2"/>
    <s v="Space BA"/>
    <s v="Propia (Único Asesor)"/>
    <x v="1"/>
    <s v="Venta"/>
    <x v="3"/>
    <s v="Belgrano"/>
  </r>
  <r>
    <d v="2025-04-29T00:00:00"/>
    <x v="1"/>
    <x v="3"/>
    <s v="CAP6300558"/>
    <x v="0"/>
    <s v="Venta Departamento Monoambiente en Barrio Norte con Baulera"/>
    <s v="Realizado"/>
    <s v="AR ZonaProp"/>
    <n v="65000"/>
    <x v="65"/>
    <x v="0"/>
    <s v="Dólares"/>
    <s v="Dólares"/>
    <s v="Ayacucho  al 600"/>
    <s v="Argentina | Capital Federal | Barrio Norte "/>
    <x v="0"/>
    <n v="2"/>
    <s v="Seniority Plus"/>
    <s v="Propia (Único Asesor)"/>
    <x v="1"/>
    <s v="Venta"/>
    <x v="3"/>
    <s v="Palermo"/>
  </r>
  <r>
    <d v="2025-05-20T00:00:00"/>
    <x v="1"/>
    <x v="2"/>
    <s v="CAP6124544"/>
    <x v="0"/>
    <s v="Venta Departamento 2 ambientes  cocina independiente en Colegiales"/>
    <s v="Realizado"/>
    <s v="AR ZonaProp"/>
    <n v="64900"/>
    <x v="65"/>
    <x v="0"/>
    <s v="Dólares"/>
    <s v="Dólares"/>
    <s v="Larralde al 2400"/>
    <s v="Argentina | Capital Federal | Nuñez "/>
    <x v="0"/>
    <n v="2"/>
    <s v="Lion Team"/>
    <s v="Propia (Único Asesor)"/>
    <x v="1"/>
    <s v="Venta"/>
    <x v="3"/>
    <s v="Villa Urquiza"/>
  </r>
  <r>
    <d v="2025-06-05T00:00:00"/>
    <x v="1"/>
    <x v="4"/>
    <s v="CHO6634561"/>
    <x v="0"/>
    <s v="Casa en venta en Lujan de Cuyo"/>
    <s v="Realizado"/>
    <s v="AR ZonaProp"/>
    <n v="65000"/>
    <x v="65"/>
    <x v="0"/>
    <s v="Dólares"/>
    <s v="Dólares"/>
    <s v="Casa en venta en Lujan de Cuyo"/>
    <s v="Argentina | Mendoza | Lujan De Cuyo | Lujan De Cuyo | Lujan De Cuyo"/>
    <x v="2"/>
    <n v="2"/>
    <s v="Cuyo Real"/>
    <s v="Propia (Único Asesor)"/>
    <x v="1"/>
    <s v="Venta"/>
    <x v="2"/>
    <s v="Capital Mendoza"/>
  </r>
  <r>
    <d v="2025-06-13T00:00:00"/>
    <x v="1"/>
    <x v="4"/>
    <s v="CAP6844339"/>
    <x v="0"/>
    <s v="Venta, Depto, 2 amb, patio, Colegiales, belgrano"/>
    <s v="Realizado"/>
    <s v="AR ArgenProp"/>
    <n v="68000"/>
    <x v="65"/>
    <x v="0"/>
    <s v="Dólares"/>
    <s v="Dólares"/>
    <s v="Zapiola al 400"/>
    <s v="Argentina | Capital Federal | Colegiales "/>
    <x v="0"/>
    <n v="2"/>
    <s v="Lion Team"/>
    <s v="Propia (Único Asesor)"/>
    <x v="1"/>
    <s v="Venta"/>
    <x v="3"/>
    <s v="Villa Urquiza"/>
  </r>
  <r>
    <d v="2025-07-03T00:00:00"/>
    <x v="1"/>
    <x v="1"/>
    <s v="JAP6305063"/>
    <x v="0"/>
    <s v="VENTA DEPARTAMENTO 2 AMBIENTES BALVANERA ZONA FACULTADES"/>
    <s v="Realizado"/>
    <s v="AR ZonaProp"/>
    <n v="62000"/>
    <x v="65"/>
    <x v="0"/>
    <s v="Dólares"/>
    <s v="Dólares"/>
    <s v="VIAMONTE 2500"/>
    <s v="Argentina | Capital Federal | Balvanera "/>
    <x v="0"/>
    <n v="2"/>
    <s v="Lion Team Norte"/>
    <s v="Propia (Único Asesor)"/>
    <x v="1"/>
    <s v="Venta"/>
    <x v="6"/>
    <s v="Vicente López"/>
  </r>
  <r>
    <d v="2025-07-08T00:00:00"/>
    <x v="1"/>
    <x v="1"/>
    <s v="CFA6977404"/>
    <x v="0"/>
    <s v="Finca 60 has"/>
    <s v="Realizado"/>
    <s v="Conocido"/>
    <n v="80000"/>
    <x v="65"/>
    <x v="0"/>
    <s v="Dólares"/>
    <s v="Dólares"/>
    <s v="Calle 3 y Resolana - Cuadro Nacional"/>
    <s v="Argentina | Mendoza | San Rafael | Cuadro Nacional"/>
    <x v="5"/>
    <n v="2"/>
    <s v="Andes"/>
    <s v="Propia (Único Asesor)"/>
    <x v="1"/>
    <s v="Venta"/>
    <x v="2"/>
    <s v="San Rafael"/>
  </r>
  <r>
    <d v="2025-07-11T00:00:00"/>
    <x v="1"/>
    <x v="1"/>
    <s v="CAP6849216"/>
    <x v="0"/>
    <s v="Departamento en Villa Crespo"/>
    <s v="Realizado"/>
    <s v="AR ZonaProp"/>
    <n v="60000"/>
    <x v="65"/>
    <x v="0"/>
    <s v="Dólares"/>
    <s v="Dólares"/>
    <s v="Estado de Israel 4700"/>
    <s v="Argentina | Capital Federal | Villa Crespo "/>
    <x v="0"/>
    <n v="2"/>
    <s v="Quality"/>
    <s v="Propia (Único Asesor)"/>
    <x v="1"/>
    <s v="Venta"/>
    <x v="6"/>
    <s v="Escobar"/>
  </r>
  <r>
    <d v="2025-07-30T00:00:00"/>
    <x v="1"/>
    <x v="1"/>
    <s v="CAP7085907"/>
    <x v="0"/>
    <s v="Venta - Departamento - Saavedra - Apto Crédito - Capital Federal - Nuñez - Amoblado"/>
    <s v="Realizado"/>
    <s v="AR ArgenProp"/>
    <n v="750000"/>
    <x v="65"/>
    <x v="0"/>
    <s v="Dólares"/>
    <s v="Local"/>
    <s v="Av Cramer al 4300"/>
    <s v="Argentina | Capital Federal | Saavedra "/>
    <x v="0"/>
    <n v="2"/>
    <s v="Lion Team"/>
    <s v="Propia (Único Asesor)"/>
    <x v="1"/>
    <s v="Venta"/>
    <x v="3"/>
    <s v="Villa Urquiza"/>
  </r>
  <r>
    <d v="2025-08-05T00:00:00"/>
    <x v="1"/>
    <x v="5"/>
    <s v="CPH7038072"/>
    <x v="0"/>
    <s v="PH en  VILLA URQUIZA A RECICLAR en Venta"/>
    <s v="Realizado"/>
    <s v="AR ZonaProp"/>
    <n v="65000"/>
    <x v="65"/>
    <x v="0"/>
    <s v="Dólares"/>
    <s v="Dólares"/>
    <s v="CULLEN  al 5500"/>
    <s v="Argentina | Capital Federal | Villa Urquiza "/>
    <x v="3"/>
    <n v="2"/>
    <s v="Audacity"/>
    <s v="Propia (Único Asesor)"/>
    <x v="1"/>
    <s v="Venta"/>
    <x v="9"/>
    <s v="Parque Leloir"/>
  </r>
  <r>
    <d v="2025-08-28T00:00:00"/>
    <x v="1"/>
    <x v="5"/>
    <s v="CAP7026206"/>
    <x v="0"/>
    <s v="VENTA DE DEPARTAMENTO 2 AMBIENTES PADUA CENTRO"/>
    <s v="Realizado"/>
    <s v="AR ZonaProp"/>
    <n v="31500"/>
    <x v="65"/>
    <x v="0"/>
    <s v="Dólares"/>
    <s v="Dólares"/>
    <s v="ITALIA  al 1000"/>
    <s v="Argentina | G.B.A. Zona Oeste | Merlo | San Antonio De Padua"/>
    <x v="0"/>
    <n v="2"/>
    <s v="Audacity"/>
    <s v="Propia (Único Asesor)"/>
    <x v="1"/>
    <s v="Venta"/>
    <x v="9"/>
    <s v="Parque Leloir"/>
  </r>
  <r>
    <d v="2025-08-29T00:00:00"/>
    <x v="1"/>
    <x v="5"/>
    <s v="CAP7044215"/>
    <x v="0"/>
    <s v="VENTA DUPLEX 4 AMBIENTES 150m2, COCHERA, PASO DEL REY"/>
    <s v="Realizado"/>
    <s v="AR ZonaProp"/>
    <n v="38500"/>
    <x v="65"/>
    <x v="0"/>
    <s v="Dólares"/>
    <s v="Dólares"/>
    <s v="SOLDADO DERRICO al 1700"/>
    <s v="Argentina | G.B.A. Zona Oeste | Moreno | Paso Del Rey"/>
    <x v="0"/>
    <n v="2"/>
    <s v="Audacity"/>
    <s v="Propia (Único Asesor)"/>
    <x v="1"/>
    <s v="Venta"/>
    <x v="9"/>
    <s v="Parque Leloir"/>
  </r>
  <r>
    <d v="2025-09-16T00:00:00"/>
    <x v="1"/>
    <x v="6"/>
    <s v="CAP7256425"/>
    <x v="0"/>
    <s v="Venta Departamento 3 ambientes Saavedra"/>
    <s v="Realizado"/>
    <s v="AR MercadoLibre"/>
    <n v="60000"/>
    <x v="65"/>
    <x v="0"/>
    <s v="Dólares"/>
    <s v="Dólares"/>
    <s v="Correa  al 3700 Saavedra - Capital Federal"/>
    <s v="Argentina | Capital Federal | Saavedra "/>
    <x v="0"/>
    <n v="2"/>
    <s v="Lion Team"/>
    <s v="Propia (Único Asesor)"/>
    <x v="1"/>
    <s v="Venta"/>
    <x v="3"/>
    <s v="Villa Urquiza"/>
  </r>
  <r>
    <d v="2025-10-21T00:00:00"/>
    <x v="1"/>
    <x v="11"/>
    <s v="CAP7279846"/>
    <x v="0"/>
    <s v="VENTA 2 AMBIENTES AMPLIO A RECICLAR - APTO CRÉDITO URQUIZA"/>
    <s v="Realizado"/>
    <s v="AR ZonaProp"/>
    <n v="69500"/>
    <x v="65"/>
    <x v="0"/>
    <s v="Dólares"/>
    <s v="Dólares"/>
    <s v="MONROE al 4100"/>
    <s v="Argentina | Capital Federal | Villa Urquiza "/>
    <x v="0"/>
    <n v="2"/>
    <s v="Seniority"/>
    <s v="Propia (Único Asesor)"/>
    <x v="1"/>
    <s v="Venta"/>
    <x v="3"/>
    <s v="Barrio Parque"/>
  </r>
  <r>
    <d v="2025-10-24T00:00:00"/>
    <x v="1"/>
    <x v="11"/>
    <s v="CAP7044392"/>
    <x v="0"/>
    <s v="Venta Departamento 2 Ambientes en Santos Lugares"/>
    <s v="Realizado"/>
    <s v="AR ZonaProp"/>
    <n v="66000"/>
    <x v="65"/>
    <x v="0"/>
    <s v="Dólares"/>
    <s v="Dólares"/>
    <s v="Pablo Giorello  al 1500"/>
    <s v="Argentina | G.B.A. Zona Oeste | Tres De Febrero | Santos Lugares"/>
    <x v="0"/>
    <n v="2"/>
    <s v="Seniority"/>
    <s v="Propia (Único Asesor)"/>
    <x v="1"/>
    <s v="Venta"/>
    <x v="3"/>
    <s v="Barrio Parque"/>
  </r>
  <r>
    <d v="2025-11-11T00:00:00"/>
    <x v="1"/>
    <x v="7"/>
    <s v="CHO6935565"/>
    <x v="0"/>
    <s v="Casa en  venta en Caoital Mendoza"/>
    <s v="Realizado"/>
    <s v="AR ZonaProp"/>
    <n v="62000"/>
    <x v="65"/>
    <x v="0"/>
    <s v="Dólares"/>
    <s v="Dólares"/>
    <s v="Mitre al 3500"/>
    <s v="Argentina | Mendoza | Capital | Mendoza"/>
    <x v="2"/>
    <n v="2"/>
    <s v="Cuyo Real"/>
    <s v="Propia (Único Asesor)"/>
    <x v="1"/>
    <s v="Venta"/>
    <x v="2"/>
    <s v="Capital Mendoza"/>
  </r>
  <r>
    <d v="2025-12-01T00:00:00"/>
    <x v="1"/>
    <x v="8"/>
    <s v="CAP7118826"/>
    <x v="0"/>
    <s v="Hermoso departamento en venta"/>
    <s v="Realizado"/>
    <s v="AR ZonaProp"/>
    <n v="60000"/>
    <x v="65"/>
    <x v="0"/>
    <s v="Dólares"/>
    <s v="Dólares"/>
    <s v="Republica del Líbano 1500"/>
    <s v="Argentina | Mendoza | Godoy Cruz | Godoy Cruz | Gobernador Benegas"/>
    <x v="0"/>
    <n v="2"/>
    <s v="Cuyo Real"/>
    <s v="Propia (Único Asesor)"/>
    <x v="1"/>
    <s v="Venta"/>
    <x v="2"/>
    <s v="Capital Mendoza"/>
  </r>
  <r>
    <d v="2025-12-23T00:00:00"/>
    <x v="1"/>
    <x v="8"/>
    <s v="CAP7330790"/>
    <x v="0"/>
    <s v="Departamento en Godoy Cruz "/>
    <s v="Realizado"/>
    <s v="AR ZonaProp"/>
    <n v="62000"/>
    <x v="65"/>
    <x v="0"/>
    <s v="Dólares"/>
    <s v="Dólares"/>
    <s v="BALCARCE Y JUAN DE GARAY - DPTO 11"/>
    <s v="Argentina | Mendoza | Godoy Cruz "/>
    <x v="0"/>
    <n v="2"/>
    <s v="Cuyo Real"/>
    <s v="Propia (Único Asesor)"/>
    <x v="1"/>
    <s v="Venta"/>
    <x v="2"/>
    <s v="Capital Mendoza"/>
  </r>
  <r>
    <d v="2026-01-31T00:00:00"/>
    <x v="0"/>
    <x v="10"/>
    <s v="CHO6429916"/>
    <x v="0"/>
    <s v="VENTA Casa 2habitaciones 72m2 Lote 180m2 PH Valle Chapelco a terminar Chacra 26 San Martín de los Andes"/>
    <s v="Realizado"/>
    <s v="Referido"/>
    <n v="70000"/>
    <x v="65"/>
    <x v="0"/>
    <s v="Dólares"/>
    <s v="Dólares"/>
    <s v="Lote 3 A, Mza 18,"/>
    <s v="Argentina | Neuquen | Lacar | San Martin De Los Andes | Chacra 28"/>
    <x v="2"/>
    <n v="2"/>
    <s v="Patagonia Lakes SMA"/>
    <s v="Propia (Único Asesor)"/>
    <x v="1"/>
    <s v="Venta"/>
    <x v="1"/>
    <s v="San Martín de los Andes"/>
  </r>
  <r>
    <d v="2026-02-06T00:00:00"/>
    <x v="0"/>
    <x v="0"/>
    <s v="JAP7640907"/>
    <x v="0"/>
    <s v="Departamento en venta 2 ambientes c/ BALCÓN! Excelente estado!"/>
    <s v="Realizado"/>
    <s v="AR ArgenProp"/>
    <n v="60000"/>
    <x v="65"/>
    <x v="0"/>
    <s v="Dólares"/>
    <s v="Dólares"/>
    <s v="Av. Independencia al 1300"/>
    <s v="Argentina | Capital Federal | Monserrat "/>
    <x v="0"/>
    <n v="2"/>
    <s v="Lion Team Norte"/>
    <s v="Propia (Único Asesor)"/>
    <x v="1"/>
    <s v="Venta"/>
    <x v="6"/>
    <s v="Vicente López"/>
  </r>
  <r>
    <d v="2026-02-09T00:00:00"/>
    <x v="0"/>
    <x v="0"/>
    <s v="CAP7193859"/>
    <x v="0"/>
    <s v="Luminoso 3 ambientes con Cocina independiente y lavadero ubicado en La Boca"/>
    <s v="Realizado"/>
    <s v="AR MercadoLibre"/>
    <n v="64900"/>
    <x v="65"/>
    <x v="0"/>
    <s v="Dólares"/>
    <s v="Dólares"/>
    <s v="Victorica al 100"/>
    <s v="Argentina | Capital Federal | Boca "/>
    <x v="0"/>
    <n v="2"/>
    <s v="Lion Team"/>
    <s v="Propia (Único Asesor)"/>
    <x v="1"/>
    <s v="Venta"/>
    <x v="3"/>
    <s v="Villa Urquiza"/>
  </r>
  <r>
    <d v="2026-03-16T00:00:00"/>
    <x v="0"/>
    <x v="9"/>
    <s v="CAP7519723"/>
    <x v="0"/>
    <s v="Departamento en Villa Lugano"/>
    <s v="Realizado"/>
    <s v="AR ZonaProp"/>
    <n v="65000"/>
    <x v="65"/>
    <x v="0"/>
    <s v="Dólares"/>
    <s v="Dólares"/>
    <s v="Barrio Gral Savio Torre 7"/>
    <s v="Argentina | Capital Federal | Villa Lugano "/>
    <x v="0"/>
    <n v="2"/>
    <s v="Goyena"/>
    <s v="Propia (Único Asesor)"/>
    <x v="1"/>
    <s v="Venta"/>
    <x v="3"/>
    <s v="Caballito"/>
  </r>
  <r>
    <d v="2025-04-08T00:00:00"/>
    <x v="1"/>
    <x v="3"/>
    <n v="5"/>
    <x v="0"/>
    <s v="Colombres 1300"/>
    <s v="Realizado"/>
    <s v="AR ZonaProp"/>
    <n v="57000"/>
    <x v="66"/>
    <x v="0"/>
    <s v="Dólares"/>
    <s v="Dólares"/>
    <s v="Colombres 1361"/>
    <s v="Argentina | Capital Federal | Boedo "/>
    <x v="0"/>
    <n v="1"/>
    <s v="Grupo Elite"/>
    <s v="Compartida Fuera de la Red Búsqueda"/>
    <x v="2"/>
    <s v="Venta"/>
    <x v="3"/>
    <s v="Puerto Madero"/>
  </r>
  <r>
    <d v="2025-04-09T00:00:00"/>
    <x v="1"/>
    <x v="3"/>
    <s v="CAP6671038"/>
    <x v="0"/>
    <s v="Venta Monoambiente en  FLORES"/>
    <s v="Realizado"/>
    <s v="AR ZonaProp"/>
    <n v="65000"/>
    <x v="66"/>
    <x v="0"/>
    <s v="Dólares"/>
    <s v="Dólares"/>
    <s v="LA FUENTE al 200"/>
    <s v="Argentina | Capital Federal | Flores "/>
    <x v="0"/>
    <n v="2"/>
    <s v="Seniority"/>
    <s v="Propia (Único Asesor)"/>
    <x v="1"/>
    <s v="Venta"/>
    <x v="3"/>
    <s v="Barrio Parque"/>
  </r>
  <r>
    <d v="2025-06-27T00:00:00"/>
    <x v="1"/>
    <x v="4"/>
    <s v="JAP6740947"/>
    <x v="0"/>
    <s v="Departamento en  venta 3 amb. Villa Santa Rita APTO CREDITO"/>
    <s v="Realizado"/>
    <s v="AR ZonaProp"/>
    <n v="64500"/>
    <x v="66"/>
    <x v="0"/>
    <s v="Dólares"/>
    <s v="Dólares"/>
    <s v="Doctor Luis Belaustegui al 3400"/>
    <s v="Argentina | Capital Federal | Villa Santa Rita "/>
    <x v="0"/>
    <n v="2"/>
    <s v="Lion Team Norte"/>
    <s v="Propia (Único Asesor)"/>
    <x v="1"/>
    <s v="Venta"/>
    <x v="6"/>
    <s v="Vicente López"/>
  </r>
  <r>
    <d v="2025-09-12T00:00:00"/>
    <x v="1"/>
    <x v="6"/>
    <s v="CAP6747003"/>
    <x v="0"/>
    <s v="Departamento en venta 2 ambientes en centro de Pinamar"/>
    <s v="Realizado"/>
    <s v="AR ZonaProp"/>
    <n v="66000"/>
    <x v="66"/>
    <x v="0"/>
    <s v="Dólares"/>
    <s v="Dólares"/>
    <s v="Av. de las Artes  al 200"/>
    <s v="Argentina | Costa Atlantica | Pinamar "/>
    <x v="0"/>
    <n v="2"/>
    <s v="Seniority"/>
    <s v="Propia (Único Asesor)"/>
    <x v="1"/>
    <s v="Venta"/>
    <x v="3"/>
    <s v="Barrio Parque"/>
  </r>
  <r>
    <d v="2025-11-13T00:00:00"/>
    <x v="1"/>
    <x v="7"/>
    <s v="AAP7313480"/>
    <x v="0"/>
    <s v="Departamento en Villa Luro"/>
    <s v="Realizado"/>
    <s v="AR ZonaProp"/>
    <n v="63000"/>
    <x v="66"/>
    <x v="0"/>
    <s v="Dólares"/>
    <s v="Dólares"/>
    <s v="Moliere al 800"/>
    <s v="Argentina | Capital Federal | Villa Luro "/>
    <x v="0"/>
    <n v="2"/>
    <s v="Desiderio"/>
    <s v="Propia (Único Asesor)"/>
    <x v="1"/>
    <s v="Venta"/>
    <x v="3"/>
    <s v="Caballito"/>
  </r>
  <r>
    <d v="2026-03-12T00:00:00"/>
    <x v="0"/>
    <x v="9"/>
    <s v="CLA7202915"/>
    <x v="0"/>
    <s v="Terreno en barrio Los Notros, Calle 10 y Pudú Sur"/>
    <s v="Realizado"/>
    <s v="Teléfono"/>
    <n v="64000"/>
    <x v="66"/>
    <x v="0"/>
    <s v="Dólares"/>
    <s v="Dólares"/>
    <s v="Covibar, San Carlos de Bariloche"/>
    <s v="Argentina | Rio Negro | Bariloche | San Carlos De Bariloche | Covibar"/>
    <x v="1"/>
    <n v="2"/>
    <s v="Patagonia Lakes BRC"/>
    <s v="Propia (Único Asesor)"/>
    <x v="1"/>
    <s v="Venta"/>
    <x v="7"/>
    <s v="Bariloche"/>
  </r>
  <r>
    <d v="2025-11-14T00:00:00"/>
    <x v="1"/>
    <x v="7"/>
    <s v="101Lily"/>
    <x v="0"/>
    <s v="Casa en Guadalupe Oeste"/>
    <s v="Realizado"/>
    <s v="AR ZonaProp"/>
    <n v="61500"/>
    <x v="67"/>
    <x v="0"/>
    <s v="Dólares"/>
    <s v="Dólares"/>
    <s v="Javier de la Rosa 2129"/>
    <s v="Argentina | Santa Fe | La Capital | Santa Fe"/>
    <x v="2"/>
    <n v="1"/>
    <s v="De la Veracruz"/>
    <s v="(Interior) Compartida Fuera de la Red Búsqueda"/>
    <x v="2"/>
    <s v="Venta"/>
    <x v="5"/>
    <s v="Capital Santa Fe"/>
  </r>
  <r>
    <d v="2026-03-11T00:00:00"/>
    <x v="0"/>
    <x v="9"/>
    <s v="CAP7044376"/>
    <x v="0"/>
    <s v="Departamento de 1 dormitorio a media cuadra de Av. Freyre"/>
    <s v="Realizado"/>
    <s v="Cartel"/>
    <n v="61500"/>
    <x v="67"/>
    <x v="0"/>
    <s v="Dólares"/>
    <s v="Dólares"/>
    <s v="Departamento de un dormitorio a 50 m de Av Freyre"/>
    <s v="Argentina | Santa Fe | La Capital | Santa Fe | Roma"/>
    <x v="0"/>
    <n v="1"/>
    <s v="De la Veracruz"/>
    <s v="(Interior) Compartida Fuera de la Red Captación Propia"/>
    <x v="0"/>
    <s v="Venta"/>
    <x v="5"/>
    <s v="Capital Santa Fe"/>
  </r>
  <r>
    <d v="2025-07-30T00:00:00"/>
    <x v="1"/>
    <x v="1"/>
    <s v="79Emi"/>
    <x v="0"/>
    <s v="Departamento venta"/>
    <s v="Realizado"/>
    <s v="Referido"/>
    <n v="65000"/>
    <x v="68"/>
    <x v="0"/>
    <s v="Dólares"/>
    <s v="Dólares"/>
    <s v="1 de Mayo 1602 "/>
    <s v="Argentina | Santa Fe | La Capital | Santa Fe"/>
    <x v="0"/>
    <n v="1"/>
    <s v="De la Veracruz"/>
    <s v="(Interior) Compartida Fuera de la Red Búsqueda"/>
    <x v="2"/>
    <s v="Venta"/>
    <x v="5"/>
    <s v="Capital Santa Fe"/>
  </r>
  <r>
    <d v="2025-12-15T00:00:00"/>
    <x v="1"/>
    <x v="8"/>
    <s v="CAP7231618"/>
    <x v="0"/>
    <s v="Venta departamento quinta sección. Inversión asegurada"/>
    <s v="Realizado"/>
    <s v="AR ZonaProp"/>
    <n v="62000"/>
    <x v="68"/>
    <x v="0"/>
    <s v="Dólares"/>
    <s v="Dólares"/>
    <s v="Pueyrredon al 500"/>
    <s v="Argentina | Mendoza | Capital | Mendoza | Quinta Sección"/>
    <x v="0"/>
    <n v="1"/>
    <s v="Cuyo Real"/>
    <s v="(Interior) Compartida Fuera de la Red Captación Propia"/>
    <x v="0"/>
    <s v="Venta"/>
    <x v="2"/>
    <s v="Capital Mendoza"/>
  </r>
  <r>
    <d v="2025-07-14T00:00:00"/>
    <x v="1"/>
    <x v="1"/>
    <s v="CAP7080138"/>
    <x v="0"/>
    <s v="Monoambiente en venta."/>
    <s v="Realizado"/>
    <s v="AR ZonaProp"/>
    <n v="65000"/>
    <x v="68"/>
    <x v="0"/>
    <s v="Dólares"/>
    <s v="Dólares"/>
    <s v="La Rioja al 1180"/>
    <s v="Argentina | Neuquen | Confluencia | Neuquen"/>
    <x v="0"/>
    <n v="2"/>
    <s v="Sensus"/>
    <s v="Compartida en Oficina (Dos Asesores)"/>
    <x v="1"/>
    <s v="Venta"/>
    <x v="1"/>
    <s v="Capital Neuquén"/>
  </r>
  <r>
    <d v="2025-09-26T00:00:00"/>
    <x v="1"/>
    <x v="6"/>
    <s v="CHO6702755"/>
    <x v="0"/>
    <s v="Casa en B santa rosa"/>
    <s v="Realizado"/>
    <s v="Conocido"/>
    <n v="65000"/>
    <x v="68"/>
    <x v="0"/>
    <s v="Dólares"/>
    <s v="Dólares"/>
    <s v="Napoleon soto al 200"/>
    <s v="Argentina | Jujuy | Dr Manuel Belgrano "/>
    <x v="2"/>
    <n v="2"/>
    <s v="Plaza"/>
    <s v="Compartida en Oficina (Dos Asesores)"/>
    <x v="1"/>
    <s v="Venta"/>
    <x v="8"/>
    <s v="Capital Jujuy"/>
  </r>
  <r>
    <d v="2025-08-08T00:00:00"/>
    <x v="1"/>
    <x v="5"/>
    <n v="11"/>
    <x v="0"/>
    <s v="Depto Castelli 256"/>
    <s v="Realizado"/>
    <s v="AR ZonaProp"/>
    <n v="62000"/>
    <x v="68"/>
    <x v="0"/>
    <s v="Dólares"/>
    <s v="Dólares"/>
    <s v="Castelli 256"/>
    <s v="Argentina | Capital Federal | Balvanera "/>
    <x v="0"/>
    <n v="1"/>
    <s v="Desiderio"/>
    <s v="Compartida Fuera de la Red Búsqueda"/>
    <x v="2"/>
    <s v="Venta"/>
    <x v="3"/>
    <s v="Caballito"/>
  </r>
  <r>
    <d v="2025-04-03T00:00:00"/>
    <x v="1"/>
    <x v="3"/>
    <s v="Marcos Sastre 3288"/>
    <x v="1"/>
    <s v="Departamento en venta 2 ambientes Marcos Sastre 3288"/>
    <s v="Realizado"/>
    <s v="Referido"/>
    <n v="65000"/>
    <x v="68"/>
    <x v="0"/>
    <s v="Dólares"/>
    <s v="Dólares"/>
    <s v="Marcos Sastre 3288"/>
    <s v="Argentina | Capital Federal | Villa del Parque "/>
    <x v="0"/>
    <n v="2"/>
    <s v="North Team"/>
    <s v="Profesional Referenciador (30%)"/>
    <x v="1"/>
    <s v="Venta"/>
    <x v="6"/>
    <s v="Pilar"/>
  </r>
  <r>
    <d v="2025-06-23T00:00:00"/>
    <x v="1"/>
    <x v="4"/>
    <s v="CAP6917891"/>
    <x v="1"/>
    <s v="Departamento en ALQUILER de 1 dormitorio en 18 e/ 49 y 50 esta desocupado"/>
    <s v="Realizado"/>
    <s v="Referido"/>
    <n v="63000"/>
    <x v="68"/>
    <x v="0"/>
    <s v="Dólares"/>
    <s v="Dólares"/>
    <s v="Departamento en ALQUILER de 1 dormitorio en 18 e/ 49 y 50"/>
    <s v="Argentina | G.B.A. Zona Sur | La Plata | La Plata | Microcentro"/>
    <x v="0"/>
    <n v="2"/>
    <s v="Patagonia Lakes SMA"/>
    <s v="Profesional Referenciador (30%)"/>
    <x v="1"/>
    <s v="Venta"/>
    <x v="1"/>
    <s v="San Martín de los Andes"/>
  </r>
  <r>
    <d v="2025-04-03T00:00:00"/>
    <x v="1"/>
    <x v="3"/>
    <s v="AAP6667690"/>
    <x v="0"/>
    <s v="Departamento dos ambientes en Villa del Parque"/>
    <s v="Realizado"/>
    <s v="AR ZonaProp"/>
    <n v="65000"/>
    <x v="68"/>
    <x v="0"/>
    <s v="Dólares"/>
    <s v="Dólares"/>
    <s v="Marcos Sastre al 3200"/>
    <s v="Argentina | Capital Federal | Villa del Parque "/>
    <x v="0"/>
    <n v="2"/>
    <s v="Desiderio"/>
    <s v="Profesional Referido (70%)"/>
    <x v="1"/>
    <s v="Venta"/>
    <x v="3"/>
    <s v="Caballito"/>
  </r>
  <r>
    <d v="2025-05-15T00:00:00"/>
    <x v="1"/>
    <x v="2"/>
    <s v="CAP6917891"/>
    <x v="0"/>
    <s v="Departamento en ALQUILER de 1 dormitorio en 18 e/ 49 y 50 esta desocupado"/>
    <s v="Realizado"/>
    <s v="Referido"/>
    <n v="63000"/>
    <x v="68"/>
    <x v="0"/>
    <s v="Dólares"/>
    <s v="Dólares"/>
    <s v="Departamento en ALQUILER de 1 dormitorio en 18 e/ 49 y 50"/>
    <s v="Argentina | G.B.A. Zona Sur | La Plata | La Plata | Microcentro"/>
    <x v="0"/>
    <n v="2"/>
    <s v="Golden Team"/>
    <s v="Profesional Referido (70%)"/>
    <x v="1"/>
    <s v="Venta"/>
    <x v="0"/>
    <s v="La Plata"/>
  </r>
  <r>
    <d v="2025-02-24T00:00:00"/>
    <x v="1"/>
    <x v="0"/>
    <s v="CAP6589453"/>
    <x v="0"/>
    <s v="VENTA DEPARTAMENTO 2 AMBIENTES BARRIO NORTE - ZONA FACULTADES. APTO CREDITO."/>
    <s v="Realizado"/>
    <s v="AR ZonaProp"/>
    <n v="65000"/>
    <x v="68"/>
    <x v="0"/>
    <s v="Dólares"/>
    <s v="Dólares"/>
    <s v="Av. Pueyrredón  al 800"/>
    <s v="Argentina | Capital Federal | Barrio Norte "/>
    <x v="0"/>
    <n v="2"/>
    <s v="Seniority"/>
    <s v="Propia (Único Asesor)"/>
    <x v="1"/>
    <s v="Venta"/>
    <x v="3"/>
    <s v="Barrio Parque"/>
  </r>
  <r>
    <d v="2025-02-26T00:00:00"/>
    <x v="1"/>
    <x v="0"/>
    <s v="CAP6536630"/>
    <x v="0"/>
    <s v="Venta Departamento 2 Ambientes - Palermo Viejo"/>
    <s v="Realizado"/>
    <s v="AR ZonaProp"/>
    <n v="68000"/>
    <x v="68"/>
    <x v="0"/>
    <s v="Dólares"/>
    <s v="Dólares"/>
    <s v="Gascón  al 1100"/>
    <s v="Argentina | Capital Federal | Palermo | Palermo Viejo"/>
    <x v="0"/>
    <n v="2"/>
    <s v="Seniority"/>
    <s v="Propia (Único Asesor)"/>
    <x v="1"/>
    <s v="Venta"/>
    <x v="3"/>
    <s v="Barrio Parque"/>
  </r>
  <r>
    <d v="2025-03-31T00:00:00"/>
    <x v="1"/>
    <x v="9"/>
    <s v="Av Ricardo Balbin  4543 4to piso depto A"/>
    <x v="0"/>
    <s v="Av Ricardo Balbin  4543 4to piso depto A"/>
    <s v="Realizado"/>
    <s v="AR ZonaProp"/>
    <n v="62000"/>
    <x v="68"/>
    <x v="0"/>
    <s v="Dólares"/>
    <s v="Dólares"/>
    <s v="Av Ricardo Balbin  4543 4to piso depto A"/>
    <s v="Argentina | Capital Federal | Saavedra "/>
    <x v="0"/>
    <n v="2"/>
    <s v="Lion Team Norte"/>
    <s v="Propia (Único Asesor)"/>
    <x v="1"/>
    <s v="Venta"/>
    <x v="6"/>
    <s v="Vicente López"/>
  </r>
  <r>
    <d v="2025-06-10T00:00:00"/>
    <x v="1"/>
    <x v="4"/>
    <s v="CLA7061135"/>
    <x v="0"/>
    <s v="Terreno en San Carlos De Bariloche"/>
    <s v="Realizado"/>
    <s v="Teléfono"/>
    <n v="62000"/>
    <x v="68"/>
    <x v="0"/>
    <s v="Dólares"/>
    <s v="Dólares"/>
    <s v="Barrio Frutillar Calle Prayel"/>
    <s v="Argentina | Rio Negro | Bariloche | San Carlos De Bariloche"/>
    <x v="1"/>
    <n v="2"/>
    <s v="Patagonia Lakes BRC"/>
    <s v="Propia (Único Asesor)"/>
    <x v="1"/>
    <s v="Venta"/>
    <x v="7"/>
    <s v="Bariloche"/>
  </r>
  <r>
    <d v="2025-07-10T00:00:00"/>
    <x v="1"/>
    <x v="1"/>
    <s v="CHO6697101"/>
    <x v="0"/>
    <s v="Casa en venta ubicada en Ciudad Valdivia - Salta Capital"/>
    <s v="Realizado"/>
    <s v="Facebook"/>
    <n v="62000"/>
    <x v="68"/>
    <x v="0"/>
    <s v="Dólares"/>
    <s v="Dólares"/>
    <s v="Ciudad Valdivia "/>
    <s v="Argentina | Salta | Capital | Salta | Zona Sur"/>
    <x v="2"/>
    <n v="2"/>
    <s v="Realty Group"/>
    <s v="Propia (Único Asesor)"/>
    <x v="1"/>
    <s v="Venta"/>
    <x v="4"/>
    <s v="San Lorenzo Chico"/>
  </r>
  <r>
    <d v="2025-08-01T00:00:00"/>
    <x v="1"/>
    <x v="5"/>
    <s v="CPH5599179"/>
    <x v="0"/>
    <s v="PH - Venta - 2 Ambientes - Luminoso - Patio - Monte Castro - Permuta - Apto Credito"/>
    <s v="Realizado"/>
    <s v="AR MercadoLibre"/>
    <n v="65000"/>
    <x v="68"/>
    <x v="0"/>
    <s v="Dólares"/>
    <s v="Dólares"/>
    <s v="Calderon de la Barca 1400"/>
    <s v="Argentina | Capital Federal | Monte Castro "/>
    <x v="3"/>
    <n v="2"/>
    <s v="Lion Team"/>
    <s v="Propia (Único Asesor)"/>
    <x v="1"/>
    <s v="Venta"/>
    <x v="3"/>
    <s v="Villa Urquiza"/>
  </r>
  <r>
    <d v="2025-10-14T00:00:00"/>
    <x v="1"/>
    <x v="11"/>
    <s v="CAP6768489"/>
    <x v="0"/>
    <s v="Venta Departamento Monoambiente con Balcón en Florida"/>
    <s v="Realizado"/>
    <s v="AR ZonaProp"/>
    <n v="60000"/>
    <x v="68"/>
    <x v="0"/>
    <s v="Dólares"/>
    <s v="Dólares"/>
    <s v="Av Maipu al 300"/>
    <s v="Argentina | G.B.A. Zona Norte | Vicente López | Florida"/>
    <x v="0"/>
    <n v="2"/>
    <s v="Seniority Plus"/>
    <s v="Propia (Único Asesor)"/>
    <x v="1"/>
    <s v="Venta"/>
    <x v="3"/>
    <s v="Palermo"/>
  </r>
  <r>
    <d v="2025-12-04T00:00:00"/>
    <x v="1"/>
    <x v="8"/>
    <s v="CAP7263496"/>
    <x v="0"/>
    <s v="Departamento en venta 2 ambientes con balcón muy luminoso"/>
    <s v="Realizado"/>
    <s v="AR ZonaProp"/>
    <n v="65000"/>
    <x v="68"/>
    <x v="0"/>
    <s v="Dólares"/>
    <s v="Dólares"/>
    <s v="Fray Justo Santa Maria de Oro  al 5700"/>
    <s v="Argentina | G.B.A. Zona Oeste | Tres De Febrero | Villa Bosch"/>
    <x v="0"/>
    <n v="2"/>
    <s v="Lion Team"/>
    <s v="Propia (Único Asesor)"/>
    <x v="1"/>
    <s v="Venta"/>
    <x v="3"/>
    <s v="Villa Urquiza"/>
  </r>
  <r>
    <d v="2026-01-07T00:00:00"/>
    <x v="0"/>
    <x v="10"/>
    <s v="CPH7138386"/>
    <x v="0"/>
    <s v="PH 2 AMBIENTES CON ALTILLO Y TERRAZA"/>
    <s v="Realizado"/>
    <s v="AR ZonaProp"/>
    <n v="68000"/>
    <x v="68"/>
    <x v="0"/>
    <s v="Dólares"/>
    <s v="Dólares"/>
    <s v="Florida al 600, Valentin Alsina"/>
    <s v="Argentina | G.B.A. Zona Sur | Lanús | Valentin Alsina"/>
    <x v="3"/>
    <n v="2"/>
    <s v="Destino II"/>
    <s v="Propia (Único Asesor)"/>
    <x v="1"/>
    <s v="Venta"/>
    <x v="3"/>
    <s v="Recoleta"/>
  </r>
  <r>
    <d v="2026-03-14T00:00:00"/>
    <x v="0"/>
    <x v="9"/>
    <s v="CPH6960675"/>
    <x v="0"/>
    <s v="PH, 3 ambientes, San Justo, Patio, APTO CREDITO"/>
    <s v="Realizado"/>
    <s v="AR ArgenProp"/>
    <n v="64900"/>
    <x v="68"/>
    <x v="0"/>
    <s v="Dólares"/>
    <s v="Dólares"/>
    <s v="Francisco Miranda  al 2500"/>
    <s v="Argentina | G.B.A. Zona Oeste | La Matanza | San Justo"/>
    <x v="3"/>
    <n v="2"/>
    <s v="Lion Team"/>
    <s v="Propia (Único Asesor)"/>
    <x v="1"/>
    <s v="Venta"/>
    <x v="3"/>
    <s v="Villa Urquiza"/>
  </r>
  <r>
    <d v="2025-12-17T00:00:00"/>
    <x v="1"/>
    <x v="8"/>
    <s v="dpto centro c/ KW"/>
    <x v="0"/>
    <s v="dpto centro c/ KW"/>
    <s v="Realizado"/>
    <s v="Referido"/>
    <n v="125000"/>
    <x v="69"/>
    <x v="0"/>
    <s v="Dólares"/>
    <s v="Dólares"/>
    <m/>
    <s v="Argentina | Mendoza | Capital | Mendoza"/>
    <x v="0"/>
    <n v="1"/>
    <s v="Cuyo Real"/>
    <s v="(Interior) Compartida Fuera de la Red Búsqueda"/>
    <x v="2"/>
    <s v="Venta"/>
    <x v="2"/>
    <s v="Capital Mendoza"/>
  </r>
  <r>
    <d v="2026-02-12T00:00:00"/>
    <x v="0"/>
    <x v="0"/>
    <s v="CAP7564009"/>
    <x v="0"/>
    <s v="Venta departamento 2 ambientes Palermo"/>
    <s v="Realizado"/>
    <s v="Conocido"/>
    <n v="64900"/>
    <x v="69"/>
    <x v="0"/>
    <s v="Dólares"/>
    <s v="Dólares"/>
    <s v="Mario Bravo  al 1200"/>
    <s v="Argentina | Capital Federal | Palermo "/>
    <x v="0"/>
    <n v="2"/>
    <s v="Grupo Elite"/>
    <s v="Propia (Único Asesor)"/>
    <x v="1"/>
    <s v="Venta"/>
    <x v="3"/>
    <s v="Puerto Madero"/>
  </r>
  <r>
    <d v="2025-10-31T00:00:00"/>
    <x v="1"/>
    <x v="11"/>
    <s v="97Stella"/>
    <x v="0"/>
    <s v="Local comercial barrio Sur"/>
    <s v="Realizado"/>
    <s v="AR ZonaProp"/>
    <n v="67000"/>
    <x v="70"/>
    <x v="0"/>
    <s v="Dólares"/>
    <s v="Dólares"/>
    <n v="1801"/>
    <s v="Argentina | G.B.A. Zona Norte | Escobar | Countries/B.Cerrado (Escobar) | San Matias"/>
    <x v="4"/>
    <n v="1"/>
    <s v="De la Veracruz"/>
    <s v="(Interior) Compartida Fuera de la Red Búsqueda"/>
    <x v="2"/>
    <s v="Venta"/>
    <x v="5"/>
    <s v="Capital Santa Fe"/>
  </r>
  <r>
    <d v="2025-07-07T00:00:00"/>
    <x v="1"/>
    <x v="1"/>
    <s v="CPH7084055"/>
    <x v="0"/>
    <s v="PH en Neuquen"/>
    <s v="Realizado"/>
    <s v="AR ZonaProp"/>
    <n v="70000"/>
    <x v="70"/>
    <x v="0"/>
    <s v="Dólares"/>
    <s v="Dólares"/>
    <s v="Rio Agrio al 300"/>
    <s v="Argentina | Neuquen | Confluencia | Neuquen"/>
    <x v="3"/>
    <n v="1"/>
    <s v="Sensus"/>
    <s v="(Interior) Compartida Fuera de la Red Captación Propia"/>
    <x v="0"/>
    <s v="Venta"/>
    <x v="1"/>
    <s v="Capital Neuquén"/>
  </r>
  <r>
    <d v="2026-03-27T00:00:00"/>
    <x v="0"/>
    <x v="9"/>
    <s v="CAP7399254"/>
    <x v="0"/>
    <s v="Departamento en Venta en B° Sur "/>
    <s v="Realizado"/>
    <s v="Referido"/>
    <n v="68000"/>
    <x v="70"/>
    <x v="0"/>
    <s v="Dólares"/>
    <s v="Dólares"/>
    <s v="Departamento de dos dormitorios en barrio Sur"/>
    <s v="Argentina | Santa Fe | La Capital | Santa Fe | Sur"/>
    <x v="0"/>
    <n v="1"/>
    <s v="De la Veracruz"/>
    <s v="(Interior) Compartida Fuera de la Red Captación Propia"/>
    <x v="0"/>
    <s v="Venta"/>
    <x v="5"/>
    <s v="Capital Santa Fe"/>
  </r>
  <r>
    <d v="2025-01-30T00:00:00"/>
    <x v="1"/>
    <x v="10"/>
    <s v="CAP6492091"/>
    <x v="0"/>
    <s v="Departamento en  Cipolletti"/>
    <s v="Realizado"/>
    <s v="AR ZonaProp"/>
    <n v="63000"/>
    <x v="70"/>
    <x v="0"/>
    <s v="Dólares"/>
    <s v="Dólares"/>
    <s v="San Martin al 700"/>
    <s v="Argentina | Rio Negro | Cipolletti "/>
    <x v="0"/>
    <n v="2"/>
    <s v="Sensus"/>
    <s v="Compartida en Oficina (Dos Asesores)"/>
    <x v="1"/>
    <s v="Venta"/>
    <x v="1"/>
    <s v="Capital Neuquén"/>
  </r>
  <r>
    <d v="2026-01-13T00:00:00"/>
    <x v="0"/>
    <x v="10"/>
    <s v="CAP7416851"/>
    <x v="0"/>
    <s v="Monoambiente con patio OPORTUNIDAD Bariloche"/>
    <s v="Realizado"/>
    <s v="Salón"/>
    <n v="73000"/>
    <x v="70"/>
    <x v="0"/>
    <s v="Dólares"/>
    <s v="Dólares"/>
    <s v="Centro, San Carlos de Bariloche"/>
    <s v="Argentina | Rio Negro | Bariloche | San Carlos De Bariloche | Centro"/>
    <x v="0"/>
    <n v="2"/>
    <s v="Patagonia Lakes BRC"/>
    <s v="Compartida en Oficina (Dos Asesores)"/>
    <x v="1"/>
    <s v="Venta"/>
    <x v="7"/>
    <s v="Bariloche"/>
  </r>
  <r>
    <d v="2025-07-04T00:00:00"/>
    <x v="1"/>
    <x v="1"/>
    <m/>
    <x v="2"/>
    <s v="Selvana UF 16 Lote 561 m2"/>
    <s v="Realizado"/>
    <s v="AR MercadoLibre"/>
    <n v="52000"/>
    <x v="70"/>
    <x v="0"/>
    <s v="Dólares"/>
    <s v="Dólares"/>
    <s v="Selvana UF 16 Lote 561 m2"/>
    <s v="Argentina | Neuquen | Villa La Angostura | Selvana"/>
    <x v="9"/>
    <n v="2"/>
    <s v="Patagonia Lakes VLA"/>
    <s v="Master"/>
    <x v="1"/>
    <s v="Venta"/>
    <x v="1"/>
    <s v="Villa La Angostura"/>
  </r>
  <r>
    <d v="2026-03-27T00:00:00"/>
    <x v="0"/>
    <x v="9"/>
    <m/>
    <x v="0"/>
    <s v="VENTA DPTO. 2 AMBIENTES"/>
    <s v="Realizado"/>
    <s v="Conocido"/>
    <n v="63000"/>
    <x v="70"/>
    <x v="0"/>
    <s v="Dólares"/>
    <s v="Dólares"/>
    <s v="VENEZUELA 4369"/>
    <s v="Argentina | Capital Federal | Almagro "/>
    <x v="0"/>
    <n v="1"/>
    <s v="Audacity"/>
    <s v="Compartida Fuera de la Red Búsqueda"/>
    <x v="2"/>
    <s v="Venta"/>
    <x v="9"/>
    <s v="Parque Leloir"/>
  </r>
  <r>
    <d v="2025-01-06T00:00:00"/>
    <x v="1"/>
    <x v="10"/>
    <s v="CAP6452531"/>
    <x v="0"/>
    <s v="Departamento en  Junin 530"/>
    <s v="Realizado"/>
    <s v="Facebook"/>
    <n v="58000"/>
    <x v="70"/>
    <x v="0"/>
    <s v="Dólares"/>
    <s v="Dólares"/>
    <s v="Junin 530"/>
    <s v="Argentina | Salta | Capital | Salta | Zona Centro"/>
    <x v="0"/>
    <n v="2"/>
    <s v="Realty Group"/>
    <s v="Propia (Único Asesor)"/>
    <x v="1"/>
    <s v="Venta"/>
    <x v="4"/>
    <s v="San Lorenzo Chico"/>
  </r>
  <r>
    <d v="2025-03-25T00:00:00"/>
    <x v="1"/>
    <x v="9"/>
    <s v="CAP6200873"/>
    <x v="0"/>
    <s v="Venta Departamento Monoambiente con patio en  ALMAGRO"/>
    <s v="Realizado"/>
    <s v="AR ZonaProp"/>
    <n v="64900"/>
    <x v="70"/>
    <x v="0"/>
    <s v="Dólares"/>
    <s v="Dólares"/>
    <s v="Rawson al 200"/>
    <s v="Argentina | Capital Federal | Almagro "/>
    <x v="0"/>
    <n v="2"/>
    <s v="Seniority"/>
    <s v="Propia (Único Asesor)"/>
    <x v="1"/>
    <s v="Venta"/>
    <x v="3"/>
    <s v="Barrio Parque"/>
  </r>
  <r>
    <d v="2025-04-08T00:00:00"/>
    <x v="1"/>
    <x v="3"/>
    <s v="CAP6749061"/>
    <x v="0"/>
    <s v="Venta Departamento 2 ambientes con patio en Recoleta"/>
    <s v="Realizado"/>
    <s v="AR MercadoLibre"/>
    <n v="65000"/>
    <x v="70"/>
    <x v="0"/>
    <s v="Dólares"/>
    <s v="Dólares"/>
    <s v="Paraguay 2400"/>
    <s v="Argentina | Capital Federal | Recoleta "/>
    <x v="0"/>
    <n v="2"/>
    <s v="Ser"/>
    <s v="Propia (Único Asesor)"/>
    <x v="1"/>
    <s v="Venta"/>
    <x v="3"/>
    <s v="Belgrano"/>
  </r>
  <r>
    <d v="2025-04-16T00:00:00"/>
    <x v="1"/>
    <x v="3"/>
    <s v="CAP6789318"/>
    <x v="0"/>
    <s v="Venta Departamento 2 Ambientes en Barrio Norte"/>
    <s v="Realizado"/>
    <s v="AR ZonaProp"/>
    <n v="65000"/>
    <x v="70"/>
    <x v="0"/>
    <s v="Dólares"/>
    <s v="Dólares"/>
    <s v="Tucuman  al 1700"/>
    <s v="Argentina | Capital Federal | Barrio Norte "/>
    <x v="0"/>
    <n v="2"/>
    <s v="Seniority Plus"/>
    <s v="Propia (Único Asesor)"/>
    <x v="1"/>
    <s v="Venta"/>
    <x v="3"/>
    <s v="Palermo"/>
  </r>
  <r>
    <d v="2025-05-13T00:00:00"/>
    <x v="1"/>
    <x v="2"/>
    <s v="CAP6589230"/>
    <x v="0"/>
    <s v="Venta Departamento  2 Ambientes. Almagro "/>
    <s v="Realizado"/>
    <s v="AR ZonaProp"/>
    <n v="68000"/>
    <x v="70"/>
    <x v="0"/>
    <s v="Dólares"/>
    <s v="Dólares"/>
    <s v="Av. Belgrano al 3200"/>
    <s v="Argentina | Capital Federal | Almagro "/>
    <x v="0"/>
    <n v="2"/>
    <s v="Destino"/>
    <s v="Propia (Único Asesor)"/>
    <x v="1"/>
    <s v="Venta"/>
    <x v="3"/>
    <s v="Recoleta"/>
  </r>
  <r>
    <d v="2025-10-14T00:00:00"/>
    <x v="1"/>
    <x v="11"/>
    <s v="CPH6897694"/>
    <x v="0"/>
    <s v="VENTA 3 AMBIENTES CON BALCON APTO PROFESIONAL Y CREDITO NUEVA POMPEYA"/>
    <s v="Realizado"/>
    <s v="AR ZonaProp"/>
    <n v="65000"/>
    <x v="70"/>
    <x v="0"/>
    <s v="Dólares"/>
    <s v="Dólares"/>
    <s v="Grito de Asencio al 3800"/>
    <s v="Argentina | Capital Federal | Pompeya "/>
    <x v="0"/>
    <n v="2"/>
    <s v="Seniority"/>
    <s v="Propia (Único Asesor)"/>
    <x v="1"/>
    <s v="Venta"/>
    <x v="3"/>
    <s v="Barrio Parque"/>
  </r>
  <r>
    <d v="2025-12-29T00:00:00"/>
    <x v="1"/>
    <x v="8"/>
    <s v="Cuenca 3815"/>
    <x v="0"/>
    <s v="Cuenca 3815"/>
    <s v="Realizado"/>
    <s v="AR ZonaProp"/>
    <n v="63000"/>
    <x v="70"/>
    <x v="0"/>
    <s v="Dólares"/>
    <s v="Dólares"/>
    <s v="Cuenca 3815"/>
    <s v="Argentina | Capital Federal | Agronomia "/>
    <x v="0"/>
    <n v="2"/>
    <s v="Lion Team"/>
    <s v="Propia (Único Asesor)"/>
    <x v="1"/>
    <s v="Venta"/>
    <x v="3"/>
    <s v="Villa Urquiza"/>
  </r>
  <r>
    <d v="2026-03-05T00:00:00"/>
    <x v="0"/>
    <x v="9"/>
    <s v="CLA7237900"/>
    <x v="0"/>
    <s v="Venta Terreno Tortuguitas, ideal emprendimiento"/>
    <s v="Realizado"/>
    <s v="AR MercadoLibre"/>
    <n v="75000"/>
    <x v="70"/>
    <x v="0"/>
    <s v="Dólares"/>
    <s v="Dólares"/>
    <s v="Caracas y Einstein"/>
    <s v="Argentina | G.B.A. Zona Norte | Malvinas Argentinas | Tortuguitas"/>
    <x v="2"/>
    <n v="2"/>
    <s v="Ser"/>
    <s v="Propia (Único Asesor)"/>
    <x v="1"/>
    <s v="Venta"/>
    <x v="3"/>
    <s v="Belgrano"/>
  </r>
  <r>
    <d v="2025-12-01T00:00:00"/>
    <x v="1"/>
    <x v="8"/>
    <s v="CAP6823372"/>
    <x v="0"/>
    <s v="Departamento en venta en Lujan de Cuyo "/>
    <s v="Realizado"/>
    <s v="AR ZonaProp"/>
    <n v="59500"/>
    <x v="71"/>
    <x v="0"/>
    <s v="Dólares"/>
    <s v="Dólares"/>
    <s v="Departamento en venta en Lujan de Cuyo "/>
    <s v="Argentina | Mendoza | Lujan De Cuyo | Lujan De Cuyo"/>
    <x v="0"/>
    <n v="2"/>
    <s v="Cuyo Real"/>
    <s v="Propia (Único Asesor)"/>
    <x v="1"/>
    <s v="Venta"/>
    <x v="2"/>
    <s v="Capital Mendoza"/>
  </r>
  <r>
    <d v="2025-05-12T00:00:00"/>
    <x v="1"/>
    <x v="2"/>
    <s v="venta horizontes al sur 525"/>
    <x v="0"/>
    <s v="lote venta horizontes al sur 525"/>
    <s v="Realizado"/>
    <s v="AR MercadoLibre"/>
    <n v="63500"/>
    <x v="72"/>
    <x v="0"/>
    <s v="Dólares"/>
    <s v="Dólares"/>
    <m/>
    <s v="Argentina | G.B.A. Zona Sur | Presidente Peron | Guernica"/>
    <x v="1"/>
    <n v="2"/>
    <s v="Livello"/>
    <s v="Propia (Único Asesor)"/>
    <x v="1"/>
    <s v="Venta"/>
    <x v="3"/>
    <s v="Palermo"/>
  </r>
  <r>
    <d v="2025-07-23T00:00:00"/>
    <x v="1"/>
    <x v="1"/>
    <n v="23072025"/>
    <x v="0"/>
    <s v="2479 m2"/>
    <s v="Realizado"/>
    <s v="Teléfono"/>
    <n v="63524"/>
    <x v="73"/>
    <x v="0"/>
    <s v="Dólares"/>
    <s v="Dólares"/>
    <m/>
    <s v="Argentina | Rio Negro | Bariloche | San Carlos De Bariloche"/>
    <x v="1"/>
    <n v="1"/>
    <s v="Patagonia Lakes BRC"/>
    <s v="(Interior) Compartida Fuera de la Red Búsqueda"/>
    <x v="2"/>
    <s v="Venta"/>
    <x v="7"/>
    <s v="Bariloche"/>
  </r>
  <r>
    <d v="2025-06-05T00:00:00"/>
    <x v="1"/>
    <x v="4"/>
    <s v="CAP6984153"/>
    <x v="0"/>
    <s v="Departamento en  Rivadavia al 700"/>
    <s v="Realizado"/>
    <s v="Referido"/>
    <n v="64000"/>
    <x v="74"/>
    <x v="0"/>
    <s v="Dólares"/>
    <s v="Dólares"/>
    <s v="Rivadavia  al 700"/>
    <s v="Argentina | Salta | Capital | Salta | Zona Centro"/>
    <x v="0"/>
    <n v="1"/>
    <s v="Realty Group"/>
    <s v="(Interior) Compartida Fuera de la Red Captación Propia"/>
    <x v="0"/>
    <s v="Venta"/>
    <x v="4"/>
    <s v="San Lorenzo Chico"/>
  </r>
  <r>
    <d v="2025-03-31T00:00:00"/>
    <x v="1"/>
    <x v="9"/>
    <s v="CAP6366535"/>
    <x v="0"/>
    <s v="PH - 2 amb - Balcónes - Ramos Mejia - oportunidad - amplio - lavadero - cocina separada"/>
    <s v="Realizado"/>
    <s v="AR ZonaProp"/>
    <n v="69000"/>
    <x v="74"/>
    <x v="0"/>
    <s v="Dólares"/>
    <s v="Dólares"/>
    <s v="BOLIVAR al 1000"/>
    <s v="Argentina | G.B.A. Zona Oeste | La Matanza | Ramos Mejia"/>
    <x v="3"/>
    <n v="2"/>
    <s v="Lion Team"/>
    <s v="Compartida en Oficina (Dos Asesores)"/>
    <x v="1"/>
    <s v="Venta"/>
    <x v="3"/>
    <s v="Villa Urquiza"/>
  </r>
  <r>
    <d v="2025-02-05T00:00:00"/>
    <x v="1"/>
    <x v="0"/>
    <s v="CPH6427458"/>
    <x v="0"/>
    <s v="VENTA PH OPORTUNIDAD VILLA DEVOTO"/>
    <s v="Realizado"/>
    <s v="AR ZonaProp"/>
    <n v="75000"/>
    <x v="74"/>
    <x v="0"/>
    <s v="Dólares"/>
    <s v="Dólares"/>
    <s v="Alejandro Margariños Cervantes  al 3700"/>
    <s v="Argentina | Capital Federal | Villa Devoto "/>
    <x v="3"/>
    <n v="2"/>
    <s v="Quality"/>
    <s v="Propia (Único Asesor)"/>
    <x v="1"/>
    <s v="Venta"/>
    <x v="6"/>
    <s v="Escobar"/>
  </r>
  <r>
    <d v="2025-02-18T00:00:00"/>
    <x v="1"/>
    <x v="0"/>
    <s v="CLA5985244"/>
    <x v="0"/>
    <s v="Venta Terreno en Barrio Magallanes Hudson 600m2 - Acepta permuta"/>
    <s v="Realizado"/>
    <s v="Conocido"/>
    <n v="68000"/>
    <x v="74"/>
    <x v="0"/>
    <s v="Dólares"/>
    <s v="Dólares"/>
    <s v="Calle 63 S/N"/>
    <s v="Argentina | G.B.A. Zona Sur | Berazategui | Countries/B.Cerrado (Berazategui) | Magallanes"/>
    <x v="1"/>
    <n v="2"/>
    <s v="Seniority"/>
    <s v="Propia (Único Asesor)"/>
    <x v="1"/>
    <s v="Venta"/>
    <x v="3"/>
    <s v="Barrio Parque"/>
  </r>
  <r>
    <d v="2025-02-28T00:00:00"/>
    <x v="1"/>
    <x v="0"/>
    <s v="CHO4986119"/>
    <x v="0"/>
    <s v="Casa en  Venta en Burzaco Longchamps"/>
    <s v="Realizado"/>
    <s v="Referido"/>
    <n v="75000"/>
    <x v="74"/>
    <x v="0"/>
    <s v="Dólares"/>
    <s v="Dólares"/>
    <s v="Palumbo 1536 Burzaco Longchamps"/>
    <s v="Argentina | G.B.A. Zona Sur | Almirante Brown | Longchamps"/>
    <x v="2"/>
    <n v="2"/>
    <s v="Golden Team"/>
    <s v="Propia (Único Asesor)"/>
    <x v="1"/>
    <s v="Venta"/>
    <x v="0"/>
    <s v="La Plata"/>
  </r>
  <r>
    <d v="2025-09-02T00:00:00"/>
    <x v="1"/>
    <x v="6"/>
    <s v="JAP6726242"/>
    <x v="0"/>
    <s v="VENTA DEPARTAMENTO 2 AMBIENTES  C/DEPENDENCIA BALCON APTO CREDITO FLORESTA"/>
    <s v="Realizado"/>
    <s v="AR ZonaProp"/>
    <n v="65000"/>
    <x v="74"/>
    <x v="0"/>
    <s v="Dólares"/>
    <s v="Dólares"/>
    <s v="Venancio Flores al 3400"/>
    <s v="Argentina | Capital Federal | Floresta "/>
    <x v="0"/>
    <n v="2"/>
    <s v="Lion Team Norte"/>
    <s v="Propia (Único Asesor)"/>
    <x v="1"/>
    <s v="Venta"/>
    <x v="6"/>
    <s v="Vicente López"/>
  </r>
  <r>
    <d v="2025-10-24T00:00:00"/>
    <x v="1"/>
    <x v="11"/>
    <s v="CAP7037992"/>
    <x v="0"/>
    <s v="Departamento en  venta, 2 ambientes en calle 7 e/ 32 y 33 "/>
    <s v="Realizado"/>
    <s v="AR ZonaProp"/>
    <n v="65000"/>
    <x v="74"/>
    <x v="0"/>
    <s v="Dólares"/>
    <s v="Dólares"/>
    <s v="7 e/ 32 y 33 31"/>
    <s v="Argentina | G.B.A. Zona Sur | La Plata | La Plata"/>
    <x v="0"/>
    <n v="2"/>
    <s v="Golden Team"/>
    <s v="Propia (Único Asesor)"/>
    <x v="1"/>
    <s v="Venta"/>
    <x v="0"/>
    <s v="La Plata"/>
  </r>
  <r>
    <d v="2025-12-10T00:00:00"/>
    <x v="1"/>
    <x v="8"/>
    <s v="CLA7429709"/>
    <x v="0"/>
    <s v="Terreno en Plottier"/>
    <s v="Realizado"/>
    <s v="Cartel"/>
    <n v="68000"/>
    <x v="74"/>
    <x v="0"/>
    <s v="Dólares"/>
    <s v="Dólares"/>
    <s v="sin nombre 0"/>
    <s v="Argentina | Neuquen | Confluencia | Plottier"/>
    <x v="1"/>
    <n v="2"/>
    <s v="Sensus"/>
    <s v="Propia (Único Asesor)"/>
    <x v="1"/>
    <s v="Venta"/>
    <x v="1"/>
    <s v="Capital Neuquén"/>
  </r>
  <r>
    <d v="2026-01-09T00:00:00"/>
    <x v="0"/>
    <x v="10"/>
    <s v="CAP7342139"/>
    <x v="0"/>
    <s v="Departamento VENTA Pilar, 2 ambientes con terraza"/>
    <s v="Realizado"/>
    <s v="AR ZonaProp"/>
    <n v="69000"/>
    <x v="74"/>
    <x v="0"/>
    <s v="Dólares"/>
    <s v="Dólares"/>
    <s v="los almendros  al 1200"/>
    <s v="Argentina | G.B.A. Zona Norte | Pilar | Pilar | Pilar Centro"/>
    <x v="0"/>
    <n v="2"/>
    <s v="Quality"/>
    <s v="Propia (Único Asesor)"/>
    <x v="1"/>
    <s v="Venta"/>
    <x v="6"/>
    <s v="Escobar"/>
  </r>
  <r>
    <d v="2026-02-20T00:00:00"/>
    <x v="0"/>
    <x v="0"/>
    <s v="CHO7190676"/>
    <x v="0"/>
    <s v="Casa en Las Compuertas"/>
    <s v="Realizado"/>
    <s v="AR ZonaProp"/>
    <n v="64000"/>
    <x v="74"/>
    <x v="0"/>
    <s v="Dólares"/>
    <s v="Dólares"/>
    <s v="Los Retamos "/>
    <s v="Argentina | Mendoza | Lujan De Cuyo | Lujan De Cuyo | Chacras De Coria"/>
    <x v="2"/>
    <n v="2"/>
    <s v="Cuyo Real"/>
    <s v="Propia (Único Asesor)"/>
    <x v="1"/>
    <s v="Venta"/>
    <x v="2"/>
    <s v="Capital Mendoza"/>
  </r>
  <r>
    <d v="2026-03-17T00:00:00"/>
    <x v="0"/>
    <x v="9"/>
    <s v="CAP3510535"/>
    <x v="0"/>
    <s v="Departamento - Caseros"/>
    <s v="Realizado"/>
    <s v="AR MercadoLibre"/>
    <n v="68500"/>
    <x v="75"/>
    <x v="0"/>
    <s v="Dólares"/>
    <s v="Dólares"/>
    <s v="Wenceslao de Tata  al 4900"/>
    <s v="Argentina | G.B.A. Zona Oeste | Tres De Febrero | Caseros"/>
    <x v="0"/>
    <n v="1"/>
    <s v="Puerto Norte"/>
    <s v="Compartida Fuera de la Red Búsqueda"/>
    <x v="2"/>
    <s v="Venta"/>
    <x v="6"/>
    <s v="Nordelta"/>
  </r>
  <r>
    <d v="2025-07-24T00:00:00"/>
    <x v="1"/>
    <x v="1"/>
    <s v="Dpto colon"/>
    <x v="0"/>
    <s v="Departamento en venta en calle colon"/>
    <s v="Realizado"/>
    <s v="Conocido"/>
    <n v="65000"/>
    <x v="76"/>
    <x v="0"/>
    <s v="Dólares"/>
    <s v="Dólares"/>
    <m/>
    <s v="Argentina | Mendoza | Capital | Mendoza | Quinta Sección"/>
    <x v="0"/>
    <n v="1"/>
    <s v="Cuyo Real"/>
    <s v="(Interior) Compartida Fuera de la Red Búsqueda"/>
    <x v="2"/>
    <s v="Venta"/>
    <x v="2"/>
    <s v="Capital Mendoza"/>
  </r>
  <r>
    <d v="2025-06-30T00:00:00"/>
    <x v="1"/>
    <x v="4"/>
    <s v="CAP6445423"/>
    <x v="0"/>
    <s v="Departamento 2 Ambientes, en venta, con terraza propia.  "/>
    <s v="Realizado"/>
    <s v="AR ZonaProp"/>
    <n v="75000"/>
    <x v="76"/>
    <x v="0"/>
    <s v="Dólares"/>
    <s v="Dólares"/>
    <s v="Las Campanillas al 1500"/>
    <s v="Argentina | G.B.A. Zona Norte | Pilar | Manuel Alberti"/>
    <x v="0"/>
    <n v="1"/>
    <s v="Quality"/>
    <s v="(Interior) Compartida Fuera de la Red Captación Propia"/>
    <x v="0"/>
    <s v="Venta"/>
    <x v="6"/>
    <s v="Escobar"/>
  </r>
  <r>
    <d v="2025-08-22T00:00:00"/>
    <x v="1"/>
    <x v="5"/>
    <s v="CAP4500966"/>
    <x v="0"/>
    <s v="Departamento - Candioti Norte"/>
    <s v="Realizado"/>
    <s v="Referido"/>
    <n v="65000"/>
    <x v="76"/>
    <x v="0"/>
    <s v="Dólares"/>
    <s v="Dólares"/>
    <s v="Domingo Silva al 1350 Piso 6 Dpto 1"/>
    <s v="Argentina | Santa Fe | La Capital | Santa Fe | Candioti Norte"/>
    <x v="0"/>
    <n v="1"/>
    <s v="De la Veracruz"/>
    <s v="(Interior) Compartida Fuera de la Red Captación Propia"/>
    <x v="0"/>
    <s v="Venta"/>
    <x v="5"/>
    <s v="Capital Santa Fe"/>
  </r>
  <r>
    <d v="2025-12-01T00:00:00"/>
    <x v="1"/>
    <x v="8"/>
    <s v="CLA6178453"/>
    <x v="0"/>
    <s v="Venta Terreno en  PH de 534m2 en Dina Huapi Pilcaniyeu Rio Negro"/>
    <s v="Realizado"/>
    <s v="Salón"/>
    <n v="68000"/>
    <x v="76"/>
    <x v="0"/>
    <s v="Dólares"/>
    <s v="Dólares"/>
    <s v="Dina Huapi, Pilcaniyeu"/>
    <s v="Argentina | Rio Negro | Pilcaniyeu | Dina Huapi"/>
    <x v="1"/>
    <n v="1"/>
    <s v="Patagonia Lakes BRC"/>
    <s v="(Interior) Compartida Fuera de la Red Captación Propia"/>
    <x v="0"/>
    <s v="Venta"/>
    <x v="7"/>
    <s v="Bariloche"/>
  </r>
  <r>
    <d v="2025-05-28T00:00:00"/>
    <x v="1"/>
    <x v="2"/>
    <s v="CHO5774619"/>
    <x v="0"/>
    <s v="Duplex en Fernandez Oro"/>
    <s v="Realizado"/>
    <s v="AR ZonaProp"/>
    <n v="70000"/>
    <x v="76"/>
    <x v="0"/>
    <s v="Dólares"/>
    <s v="Dólares"/>
    <s v="B° Ken Lumar al 100"/>
    <s v="Argentina | Rio Negro | General Fernandez Oro "/>
    <x v="2"/>
    <n v="2"/>
    <s v="Sensus"/>
    <s v="Compartida en Oficina (Dos Asesores)"/>
    <x v="1"/>
    <s v="Venta"/>
    <x v="1"/>
    <s v="Capital Neuquén"/>
  </r>
  <r>
    <d v="2025-07-03T00:00:00"/>
    <x v="1"/>
    <x v="1"/>
    <s v="CHO7083796"/>
    <x v="0"/>
    <s v="Casa en Barrio Unimev"/>
    <s v="Realizado"/>
    <s v="AR ZonaProp"/>
    <n v="65000"/>
    <x v="76"/>
    <x v="0"/>
    <s v="Dólares"/>
    <s v="Dólares"/>
    <s v="Florentino Ameghino "/>
    <s v="Argentina | Mendoza | San Rafael | San Rafael"/>
    <x v="2"/>
    <n v="2"/>
    <s v="Andes"/>
    <s v="Compartida en Oficina (Dos Asesores)"/>
    <x v="1"/>
    <s v="Venta"/>
    <x v="2"/>
    <s v="San Rafael"/>
  </r>
  <r>
    <d v="2025-06-04T00:00:00"/>
    <x v="1"/>
    <x v="4"/>
    <n v="10417"/>
    <x v="0"/>
    <s v="Virasoro"/>
    <s v="Realizado"/>
    <s v="AR ZonaProp"/>
    <n v="0"/>
    <x v="76"/>
    <x v="0"/>
    <s v="Dólares"/>
    <s v="Dólares"/>
    <m/>
    <s v="Argentina | Capital Federal | Caballito "/>
    <x v="0"/>
    <n v="1"/>
    <s v="Seniority"/>
    <s v="Compartida Fuera de la Red Búsqueda"/>
    <x v="2"/>
    <s v="Venta"/>
    <x v="3"/>
    <s v="Barrio Parque"/>
  </r>
  <r>
    <d v="2025-07-18T00:00:00"/>
    <x v="1"/>
    <x v="1"/>
    <m/>
    <x v="0"/>
    <s v="DEPARTAMENTO 59 Y 10"/>
    <s v="Realizado"/>
    <s v="AR ZonaProp"/>
    <n v="65000"/>
    <x v="76"/>
    <x v="0"/>
    <s v="Dólares"/>
    <s v="Dólares"/>
    <s v="59 y 10"/>
    <s v="Argentina | G.B.A. Zona Sur | La Plata | La Plata"/>
    <x v="0"/>
    <n v="1"/>
    <s v="Golden Team"/>
    <s v="Compartida Fuera de la Red Búsqueda"/>
    <x v="2"/>
    <s v="Venta"/>
    <x v="0"/>
    <s v="La Plata"/>
  </r>
  <r>
    <d v="2025-08-25T00:00:00"/>
    <x v="1"/>
    <x v="5"/>
    <s v="PH en Venta en Caseros"/>
    <x v="0"/>
    <s v="PH de 3 ambientes en Venta en Caseros"/>
    <s v="Realizado"/>
    <s v="AR ZonaProp"/>
    <n v="65000"/>
    <x v="76"/>
    <x v="0"/>
    <s v="Dólares"/>
    <s v="Dólares"/>
    <s v="Mitre 5965"/>
    <s v="Argentina | G.B.A. Zona Oeste | Tres De Febrero | Caseros"/>
    <x v="3"/>
    <n v="1"/>
    <s v="Audacity"/>
    <s v="Compartida Fuera de la Red Búsqueda"/>
    <x v="2"/>
    <s v="Venta"/>
    <x v="9"/>
    <s v="Parque Leloir"/>
  </r>
  <r>
    <d v="2025-10-28T00:00:00"/>
    <x v="1"/>
    <x v="11"/>
    <n v="10576"/>
    <x v="0"/>
    <s v="Leopardi 152"/>
    <s v="Realizado"/>
    <s v="AR ZonaProp"/>
    <n v="65000"/>
    <x v="76"/>
    <x v="0"/>
    <s v="Dólares"/>
    <s v="Dólares"/>
    <s v="Leopardi 152"/>
    <s v="Argentina | Capital Federal | Villa Luro "/>
    <x v="0"/>
    <n v="1"/>
    <s v="Seniority"/>
    <s v="Compartida Fuera de la Red Búsqueda"/>
    <x v="2"/>
    <s v="Venta"/>
    <x v="3"/>
    <s v="Barrio Parque"/>
  </r>
  <r>
    <d v="2025-11-08T00:00:00"/>
    <x v="1"/>
    <x v="7"/>
    <n v="1"/>
    <x v="0"/>
    <s v="Beiró 500"/>
    <s v="Realizado"/>
    <s v="AR ZonaProp"/>
    <n v="65000"/>
    <x v="76"/>
    <x v="0"/>
    <s v="Dólares"/>
    <s v="Dólares"/>
    <s v="Beiró"/>
    <s v="Argentina | Capital Federal | Monte Castro "/>
    <x v="0"/>
    <n v="1"/>
    <s v="Desiderio"/>
    <s v="Compartida Fuera de la Red Búsqueda"/>
    <x v="2"/>
    <s v="Venta"/>
    <x v="3"/>
    <s v="Caballito"/>
  </r>
  <r>
    <d v="2025-12-15T00:00:00"/>
    <x v="1"/>
    <x v="8"/>
    <m/>
    <x v="0"/>
    <s v="Paraguay 430 - 1 7 -RE/MAX - Agustina Gaiña"/>
    <s v="Realizado"/>
    <s v="AR ZonaProp"/>
    <n v="65000"/>
    <x v="76"/>
    <x v="0"/>
    <s v="Dólares"/>
    <s v="Dólares"/>
    <s v="Paraguay 430"/>
    <s v="Argentina | Capital Federal | Recoleta "/>
    <x v="0"/>
    <n v="1"/>
    <s v="Destino"/>
    <s v="Compartida Fuera de la Red Búsqueda"/>
    <x v="2"/>
    <s v="Venta"/>
    <x v="3"/>
    <s v="Recoleta"/>
  </r>
  <r>
    <d v="2025-01-16T00:00:00"/>
    <x v="1"/>
    <x v="10"/>
    <s v="CAP6118322"/>
    <x v="0"/>
    <s v="Venta Departamento 2 Ambientes a Estrenar en Caseros"/>
    <s v="Realizado"/>
    <s v="AR ZonaProp"/>
    <n v="65500"/>
    <x v="76"/>
    <x v="0"/>
    <s v="Dólares"/>
    <s v="Dólares"/>
    <s v="David Magdalena al 2700"/>
    <s v="Argentina | G.B.A. Zona Oeste | Tres De Febrero | Caseros"/>
    <x v="0"/>
    <n v="2"/>
    <s v="Seniority Plus"/>
    <s v="Compartida Fuera de la Red Captación Propia"/>
    <x v="0"/>
    <s v="Venta"/>
    <x v="3"/>
    <s v="Palermo"/>
  </r>
  <r>
    <d v="2026-02-12T00:00:00"/>
    <x v="0"/>
    <x v="0"/>
    <s v="CAP7449720"/>
    <x v="0"/>
    <s v="Venta Departamento Dos Ambientes Palermo Distrito Audivisual"/>
    <s v="Realizado"/>
    <s v="AR ZonaProp"/>
    <n v="69000"/>
    <x v="76"/>
    <x v="0"/>
    <s v="Dólares"/>
    <s v="Dólares"/>
    <s v="Dorrego al 1600"/>
    <s v="Argentina | Capital Federal | Palermo "/>
    <x v="0"/>
    <n v="2"/>
    <s v="Seniority"/>
    <s v="Compartida Fuera de la Red Captación Propia"/>
    <x v="0"/>
    <s v="Venta"/>
    <x v="3"/>
    <s v="Barrio Parque"/>
  </r>
  <r>
    <d v="2025-01-28T00:00:00"/>
    <x v="1"/>
    <x v="10"/>
    <s v="Valentin Vergara 1471"/>
    <x v="0"/>
    <s v="Valentin Vergara 1471"/>
    <s v="Realizado"/>
    <s v="AR ZonaProp"/>
    <n v="65000"/>
    <x v="76"/>
    <x v="0"/>
    <s v="Dólares"/>
    <s v="Dólares"/>
    <s v="Valentin Vergara 1471"/>
    <s v="Argentina | G.B.A. Zona Sur | Lomas De Zamora (Partido) | Banfield"/>
    <x v="0"/>
    <n v="2"/>
    <s v="Lion Team"/>
    <s v="Propia (Único Asesor)"/>
    <x v="1"/>
    <s v="Venta"/>
    <x v="3"/>
    <s v="Villa Urquiza"/>
  </r>
  <r>
    <d v="2025-02-27T00:00:00"/>
    <x v="1"/>
    <x v="0"/>
    <s v="CHO6340585"/>
    <x v="0"/>
    <s v="Venta casa 3 ambientes Banfield, Lomas de Zamora"/>
    <s v="Realizado"/>
    <s v="AR ZonaProp"/>
    <n v="65000"/>
    <x v="76"/>
    <x v="0"/>
    <s v="Dólares"/>
    <s v="Dólares"/>
    <s v="Luis Siciliano al 1400"/>
    <s v="Argentina | G.B.A. Zona Sur | Lomas De Zamora (Partido) | Banfield | Banfield Oeste"/>
    <x v="2"/>
    <n v="2"/>
    <s v="Destino"/>
    <s v="Propia (Único Asesor)"/>
    <x v="1"/>
    <s v="Venta"/>
    <x v="3"/>
    <s v="Recoleta"/>
  </r>
  <r>
    <d v="2025-03-18T00:00:00"/>
    <x v="1"/>
    <x v="9"/>
    <s v="Neuquen 3147/51"/>
    <x v="0"/>
    <s v="Neuquen 3147/51"/>
    <s v="Realizado"/>
    <s v="AR ZonaProp"/>
    <n v="65000"/>
    <x v="76"/>
    <x v="0"/>
    <s v="Dólares"/>
    <s v="Dólares"/>
    <s v="Neuquen 3147/51"/>
    <s v="Argentina | G.B.A. Zona Sur | Lanús | Lanús | Lanús Oeste"/>
    <x v="0"/>
    <n v="2"/>
    <s v="Lion Team"/>
    <s v="Propia (Único Asesor)"/>
    <x v="1"/>
    <s v="Venta"/>
    <x v="3"/>
    <s v="Villa Urquiza"/>
  </r>
  <r>
    <d v="2025-03-21T00:00:00"/>
    <x v="1"/>
    <x v="9"/>
    <s v="CHO6331731"/>
    <x v="0"/>
    <s v="Venta Casa 3 Amb en Morón Sur"/>
    <s v="Realizado"/>
    <s v="AR ZonaProp"/>
    <n v="70000"/>
    <x v="76"/>
    <x v="0"/>
    <s v="Dólares"/>
    <s v="Dólares"/>
    <s v="Monte al 2400"/>
    <s v="Argentina | G.B.A. Zona Oeste | Moron | Moron | Moron Sur"/>
    <x v="2"/>
    <n v="2"/>
    <s v="Audacity"/>
    <s v="Propia (Único Asesor)"/>
    <x v="1"/>
    <s v="Venta"/>
    <x v="9"/>
    <s v="Parque Leloir"/>
  </r>
  <r>
    <d v="2025-05-12T00:00:00"/>
    <x v="1"/>
    <x v="2"/>
    <s v="JPH6567001"/>
    <x v="0"/>
    <s v="VENTA - PH - 2 AMBIENTES - PATIO - VILLA GENERAL MITRE - PATERNAL"/>
    <s v="Realizado"/>
    <s v="AR ZonaProp"/>
    <n v="69000"/>
    <x v="76"/>
    <x v="0"/>
    <s v="Dólares"/>
    <s v="Dólares"/>
    <s v="Magariños Cervantes al 2200"/>
    <s v="Argentina | Capital Federal | Villa Gral. Mitre "/>
    <x v="3"/>
    <n v="2"/>
    <s v="Lion Team Norte"/>
    <s v="Propia (Único Asesor)"/>
    <x v="1"/>
    <s v="Venta"/>
    <x v="6"/>
    <s v="Vicente López"/>
  </r>
  <r>
    <d v="2025-05-21T00:00:00"/>
    <x v="1"/>
    <x v="2"/>
    <s v="CPH6822471"/>
    <x v="0"/>
    <s v="Excelente PH en  venta a estrenar"/>
    <s v="Realizado"/>
    <s v="AR ZonaProp"/>
    <n v="75000"/>
    <x v="76"/>
    <x v="0"/>
    <s v="Dólares"/>
    <s v="Dólares"/>
    <s v="Ken Lumar 1 "/>
    <s v="Argentina | Rio Negro | General Fernandez Oro "/>
    <x v="3"/>
    <n v="2"/>
    <s v="Sensus"/>
    <s v="Propia (Único Asesor)"/>
    <x v="1"/>
    <s v="Venta"/>
    <x v="1"/>
    <s v="Capital Neuquén"/>
  </r>
  <r>
    <d v="2025-06-14T00:00:00"/>
    <x v="1"/>
    <x v="4"/>
    <s v="CHO6783996"/>
    <x v="0"/>
    <s v="Casa en venta ubicada en La Caldera - Zona Norte - Apta a credito hipotecario"/>
    <s v="Realizado"/>
    <s v="Facebook"/>
    <n v="65000"/>
    <x v="76"/>
    <x v="0"/>
    <s v="Dólares"/>
    <s v="Dólares"/>
    <s v="La Caldera "/>
    <s v="Argentina | Salta | La Caldera | Caldera"/>
    <x v="2"/>
    <n v="2"/>
    <s v="Realty Group"/>
    <s v="Propia (Único Asesor)"/>
    <x v="1"/>
    <s v="Venta"/>
    <x v="4"/>
    <s v="San Lorenzo Chico"/>
  </r>
  <r>
    <d v="2025-06-27T00:00:00"/>
    <x v="1"/>
    <x v="4"/>
    <s v="CLA6808071"/>
    <x v="0"/>
    <s v="Terreno en Canales de Plottier"/>
    <s v="Realizado"/>
    <s v="AR ZonaProp"/>
    <n v="64000"/>
    <x v="76"/>
    <x v="0"/>
    <s v="Dólares"/>
    <s v="Dólares"/>
    <s v="Avenida Plottier al 1000"/>
    <s v="Argentina | Neuquen | Confluencia | Plottier | Los Canales"/>
    <x v="1"/>
    <n v="2"/>
    <s v="Sensus"/>
    <s v="Propia (Único Asesor)"/>
    <x v="1"/>
    <s v="Venta"/>
    <x v="1"/>
    <s v="Capital Neuquén"/>
  </r>
  <r>
    <d v="2025-07-04T00:00:00"/>
    <x v="1"/>
    <x v="1"/>
    <s v="JHO6958984"/>
    <x v="0"/>
    <s v="VENTA Casa en DEVOTO"/>
    <s v="Realizado"/>
    <s v="AR ZonaProp"/>
    <n v="72000"/>
    <x v="76"/>
    <x v="0"/>
    <s v="Dólares"/>
    <s v="Dólares"/>
    <s v="RICARDO GUTIERREZ al 3700"/>
    <s v="Argentina | Capital Federal | Villa Devoto | B.San Pedro"/>
    <x v="0"/>
    <n v="2"/>
    <s v="Lion Team Norte"/>
    <s v="Propia (Único Asesor)"/>
    <x v="1"/>
    <s v="Venta"/>
    <x v="6"/>
    <s v="Vicente López"/>
  </r>
  <r>
    <d v="2025-07-16T00:00:00"/>
    <x v="1"/>
    <x v="1"/>
    <s v="CAP6828161"/>
    <x v="0"/>
    <s v="Departamento 2 ambientes en venta V. del Parque APTO CREDITO"/>
    <s v="Realizado"/>
    <s v="AR ZonaProp"/>
    <n v="67000"/>
    <x v="76"/>
    <x v="0"/>
    <s v="Dólares"/>
    <s v="Dólares"/>
    <s v="Baigorria  al 2900"/>
    <s v="Argentina | Capital Federal | Villa del Parque "/>
    <x v="0"/>
    <n v="2"/>
    <s v="Puerto Norte"/>
    <s v="Propia (Único Asesor)"/>
    <x v="1"/>
    <s v="Venta"/>
    <x v="6"/>
    <s v="Nordelta"/>
  </r>
  <r>
    <d v="2025-07-18T00:00:00"/>
    <x v="1"/>
    <x v="1"/>
    <s v="CAP6710262"/>
    <x v="0"/>
    <s v="Venta Departamento 2 ambientes en Recoleta!"/>
    <s v="Realizado"/>
    <s v="AR ZonaProp"/>
    <n v="69000"/>
    <x v="76"/>
    <x v="0"/>
    <s v="Dólares"/>
    <s v="Dólares"/>
    <s v="Jean Jaures al 1100"/>
    <s v="Argentina | Capital Federal | Recoleta "/>
    <x v="0"/>
    <n v="2"/>
    <s v="Seniority"/>
    <s v="Propia (Único Asesor)"/>
    <x v="1"/>
    <s v="Venta"/>
    <x v="3"/>
    <s v="Barrio Parque"/>
  </r>
  <r>
    <d v="2025-08-13T00:00:00"/>
    <x v="1"/>
    <x v="5"/>
    <m/>
    <x v="0"/>
    <s v="Venta monoambiente en Monserrat"/>
    <s v="Realizado"/>
    <s v="Conocido"/>
    <n v="65000"/>
    <x v="76"/>
    <x v="0"/>
    <s v="Dólares"/>
    <s v="Dólares"/>
    <s v="Av. Belgrano 1256 3° &quot;F&quot; CABA"/>
    <s v="Argentina | Capital Federal | San Telmo "/>
    <x v="0"/>
    <n v="2"/>
    <s v="Ser"/>
    <s v="Propia (Único Asesor)"/>
    <x v="1"/>
    <s v="Venta"/>
    <x v="3"/>
    <s v="Belgrano"/>
  </r>
  <r>
    <d v="2025-08-28T00:00:00"/>
    <x v="1"/>
    <x v="5"/>
    <s v="CPH6849585"/>
    <x v="0"/>
    <s v="Venta PH en Parque Avellaneda patio y terraza"/>
    <s v="Realizado"/>
    <s v="AR ZonaProp"/>
    <n v="76900"/>
    <x v="76"/>
    <x v="0"/>
    <s v="Dólares"/>
    <s v="Dólares"/>
    <s v="Zuviria al 3900"/>
    <s v="Argentina | Capital Federal | Parque Avellaneda "/>
    <x v="3"/>
    <n v="2"/>
    <s v="Seniority"/>
    <s v="Propia (Único Asesor)"/>
    <x v="1"/>
    <s v="Venta"/>
    <x v="3"/>
    <s v="Barrio Parque"/>
  </r>
  <r>
    <d v="2025-09-22T00:00:00"/>
    <x v="1"/>
    <x v="6"/>
    <s v="CAP7272681"/>
    <x v="0"/>
    <s v="VENTA MONOAMBIENTE BALCON ATERRAZADO CABALLITO"/>
    <s v="Realizado"/>
    <s v="AR MercadoLibre"/>
    <n v="69000"/>
    <x v="76"/>
    <x v="0"/>
    <s v="Dólares"/>
    <s v="Dólares"/>
    <s v="Acoyte al 100"/>
    <s v="Argentina | Capital Federal | Caballito "/>
    <x v="0"/>
    <n v="2"/>
    <s v="Lion Team"/>
    <s v="Propia (Único Asesor)"/>
    <x v="1"/>
    <s v="Venta"/>
    <x v="3"/>
    <s v="Villa Urquiza"/>
  </r>
  <r>
    <d v="2025-10-28T00:00:00"/>
    <x v="1"/>
    <x v="11"/>
    <s v="AAP7302931"/>
    <x v="0"/>
    <s v="Departamento 2 ambientes amplio en el corazón de Almagro"/>
    <s v="Realizado"/>
    <s v="AR ZonaProp"/>
    <n v="65000"/>
    <x v="76"/>
    <x v="0"/>
    <s v="Dólares"/>
    <s v="Dólares"/>
    <s v="Bartolomé Mitre  al 4000"/>
    <s v="Argentina | Capital Federal | Almagro "/>
    <x v="0"/>
    <n v="2"/>
    <s v="Desiderio"/>
    <s v="Propia (Único Asesor)"/>
    <x v="1"/>
    <s v="Venta"/>
    <x v="3"/>
    <s v="Caballito"/>
  </r>
  <r>
    <d v="2025-12-12T00:00:00"/>
    <x v="1"/>
    <x v="8"/>
    <s v="CPH7353442"/>
    <x v="0"/>
    <s v="Venta PH 3 amb en  Barracas."/>
    <s v="Realizado"/>
    <s v="AR ZonaProp"/>
    <n v="65000"/>
    <x v="76"/>
    <x v="0"/>
    <s v="Dólares"/>
    <s v="Dólares"/>
    <s v="Salmún Feijoo 958"/>
    <s v="Argentina | Capital Federal | Barracas "/>
    <x v="3"/>
    <n v="2"/>
    <s v="Grupo Elite"/>
    <s v="Propia (Único Asesor)"/>
    <x v="1"/>
    <s v="Venta"/>
    <x v="3"/>
    <s v="Puerto Madero"/>
  </r>
  <r>
    <d v="2025-12-17T00:00:00"/>
    <x v="1"/>
    <x v="8"/>
    <s v="CHO7484413"/>
    <x v="0"/>
    <s v="VENTA CASA EN VILLA ELENA CORTADERAS MERLO SAN LUIS"/>
    <s v="Realizado"/>
    <s v="Cartel"/>
    <n v="65000"/>
    <x v="76"/>
    <x v="0"/>
    <s v="Dólares"/>
    <s v="Dólares"/>
    <s v="Avenida Francisco de la Mota y 1 de mayo al 400"/>
    <s v="Argentina | San Luis | Chacabuco | Villa Elena"/>
    <x v="2"/>
    <n v="2"/>
    <s v="Grupo Elite II"/>
    <s v="Propia (Único Asesor)"/>
    <x v="1"/>
    <s v="Venta"/>
    <x v="10"/>
    <s v="Villa Mercedes"/>
  </r>
  <r>
    <d v="2025-12-27T00:00:00"/>
    <x v="1"/>
    <x v="8"/>
    <s v="CLA7567107"/>
    <x v="0"/>
    <s v="Terreno en Los Perales"/>
    <s v="Realizado"/>
    <s v="Conocido"/>
    <n v="65000"/>
    <x v="76"/>
    <x v="0"/>
    <s v="Dólares"/>
    <s v="Dólares"/>
    <s v="Calle El Pirpintero Barrio ADIUNJU"/>
    <s v="Argentina | Jujuy | Dr Manuel Belgrano | San Salvador De Jujuy | Los Perales"/>
    <x v="1"/>
    <n v="2"/>
    <s v="Plaza"/>
    <s v="Propia (Único Asesor)"/>
    <x v="1"/>
    <s v="Venta"/>
    <x v="8"/>
    <s v="Capital Jujuy"/>
  </r>
  <r>
    <d v="2026-01-06T00:00:00"/>
    <x v="0"/>
    <x v="10"/>
    <s v="CHO7367456"/>
    <x v="0"/>
    <s v="Casa en Esperanza"/>
    <s v="Realizado"/>
    <s v="Teléfono"/>
    <n v="60000"/>
    <x v="76"/>
    <x v="0"/>
    <s v="Dólares"/>
    <s v="Dólares"/>
    <s v="Casa en Esperanza en Barrio Sur"/>
    <s v="Argentina | Santa Fe | Las Colonias | Esperanza"/>
    <x v="2"/>
    <n v="2"/>
    <s v="De la Veracruz"/>
    <s v="Propia (Único Asesor)"/>
    <x v="1"/>
    <s v="Venta"/>
    <x v="5"/>
    <s v="Capital Santa Fe"/>
  </r>
  <r>
    <d v="2026-01-12T00:00:00"/>
    <x v="0"/>
    <x v="10"/>
    <s v="CAP7559188"/>
    <x v="0"/>
    <s v="Venta Departamento 3 Ambientes en Caballito"/>
    <s v="Realizado"/>
    <s v="AR ZonaProp"/>
    <n v="67000"/>
    <x v="76"/>
    <x v="0"/>
    <s v="Dólares"/>
    <s v="Dólares"/>
    <s v="Honorio Pueyrredon  al 1000"/>
    <s v="Argentina | Capital Federal | Caballito | Cid Campeador"/>
    <x v="0"/>
    <n v="2"/>
    <s v="Seniority Plus"/>
    <s v="Propia (Único Asesor)"/>
    <x v="1"/>
    <s v="Venta"/>
    <x v="3"/>
    <s v="Palermo"/>
  </r>
  <r>
    <d v="2026-01-19T00:00:00"/>
    <x v="0"/>
    <x v="10"/>
    <s v="CAP7532603"/>
    <x v="0"/>
    <s v="Dpto en Venta - Calle Perito Moreno"/>
    <s v="Realizado"/>
    <s v="AR ZonaProp"/>
    <n v="69000"/>
    <x v="76"/>
    <x v="0"/>
    <s v="Dólares"/>
    <s v="Dólares"/>
    <s v="Perito Moreno"/>
    <s v="Argentina | Mendoza | Godoy Cruz "/>
    <x v="0"/>
    <n v="2"/>
    <s v="Cuyo Real"/>
    <s v="Propia (Único Asesor)"/>
    <x v="1"/>
    <s v="Venta"/>
    <x v="2"/>
    <s v="Capital Mendoza"/>
  </r>
  <r>
    <d v="2026-02-09T00:00:00"/>
    <x v="0"/>
    <x v="0"/>
    <s v="CAP7533698"/>
    <x v="0"/>
    <s v="Departamento 2 ambientes en Venta en San Fernando"/>
    <s v="Realizado"/>
    <s v="AR ZonaProp"/>
    <n v="68000"/>
    <x v="76"/>
    <x v="0"/>
    <s v="Dólares"/>
    <s v="Dólares"/>
    <s v="Avenida Perón al 1700"/>
    <s v="Argentina | G.B.A. Zona Norte | San Fernando | San Fernando"/>
    <x v="0"/>
    <n v="2"/>
    <s v="Quality"/>
    <s v="Propia (Único Asesor)"/>
    <x v="1"/>
    <s v="Venta"/>
    <x v="6"/>
    <s v="Escobar"/>
  </r>
  <r>
    <d v="2026-02-10T00:00:00"/>
    <x v="0"/>
    <x v="0"/>
    <s v="CHO7228273"/>
    <x v="0"/>
    <s v="Venta Casa 3 Ambientes con Patio en Hurlingham"/>
    <s v="Realizado"/>
    <s v="AR ZonaProp"/>
    <n v="65000"/>
    <x v="76"/>
    <x v="0"/>
    <s v="Dólares"/>
    <s v="Dólares"/>
    <s v="Combate de Pavon al 1000"/>
    <s v="Argentina | G.B.A. Zona Oeste | Hurlingham "/>
    <x v="2"/>
    <n v="2"/>
    <s v="Seniority Plus"/>
    <s v="Propia (Único Asesor)"/>
    <x v="1"/>
    <s v="Venta"/>
    <x v="3"/>
    <s v="Palermo"/>
  </r>
  <r>
    <d v="2026-03-11T00:00:00"/>
    <x v="0"/>
    <x v="9"/>
    <s v="CAP7249577"/>
    <x v="0"/>
    <s v="Departamento en venta 3 ambientes estilo ph Balvanera - Once - vivienda - Apto comercial"/>
    <s v="Realizado"/>
    <s v="AR ArgenProp"/>
    <n v="67000"/>
    <x v="76"/>
    <x v="0"/>
    <s v="Dólares"/>
    <s v="Dólares"/>
    <s v="Pasteur al 200"/>
    <s v="Argentina | Capital Federal | Balvanera "/>
    <x v="0"/>
    <n v="2"/>
    <s v="Lion Team"/>
    <s v="Propia (Único Asesor)"/>
    <x v="1"/>
    <s v="Venta"/>
    <x v="3"/>
    <s v="Villa Urquiza"/>
  </r>
  <r>
    <d v="2026-03-25T00:00:00"/>
    <x v="0"/>
    <x v="9"/>
    <s v="JAP7634263"/>
    <x v="0"/>
    <s v="venta Depto 3 ambientes a estrenar"/>
    <s v="Realizado"/>
    <s v="AR ZonaProp"/>
    <n v="69000"/>
    <x v="76"/>
    <x v="0"/>
    <s v="Dólares"/>
    <s v="Dólares"/>
    <s v="Pueyrredon al 2900"/>
    <s v="Argentina | G.B.A. Zona Norte | General San Martin "/>
    <x v="0"/>
    <n v="2"/>
    <s v="Lion Team Norte"/>
    <s v="Propia (Único Asesor)"/>
    <x v="1"/>
    <s v="Venta"/>
    <x v="6"/>
    <s v="Vicente López"/>
  </r>
  <r>
    <d v="2025-11-20T00:00:00"/>
    <x v="1"/>
    <x v="7"/>
    <s v="CAP6736595"/>
    <x v="0"/>
    <s v="VENTA DEPARTAMENTO 3 AMBIENTES EN LANUS OESTE CENTRO"/>
    <s v="Realizado"/>
    <s v="AR ZonaProp"/>
    <n v="67000"/>
    <x v="77"/>
    <x v="0"/>
    <s v="Dólares"/>
    <s v="Dólares"/>
    <s v="Piñeiro 0"/>
    <s v="Argentina | G.B.A. Zona Sur | Lanús | Lanús | Lanús Oeste"/>
    <x v="0"/>
    <n v="2"/>
    <s v="Seniority"/>
    <s v="Propia (Único Asesor)"/>
    <x v="1"/>
    <s v="Venta"/>
    <x v="3"/>
    <s v="Barrio Parque"/>
  </r>
  <r>
    <d v="2025-11-20T00:00:00"/>
    <x v="1"/>
    <x v="7"/>
    <s v="CAP6736595"/>
    <x v="0"/>
    <s v="VENTA DEPARTAMENTO 3 AMBIENTES EN LANUS OESTE CENTRO"/>
    <s v="Realizado"/>
    <s v="AR ZonaProp"/>
    <n v="67000"/>
    <x v="77"/>
    <x v="0"/>
    <s v="Dólares"/>
    <s v="Dólares"/>
    <s v="Piñeiro 0"/>
    <s v="Argentina | G.B.A. Zona Sur | Lanús | Lanús | Lanús Oeste"/>
    <x v="0"/>
    <n v="2"/>
    <s v="Seniority"/>
    <s v="Propia (Único Asesor)"/>
    <x v="1"/>
    <s v="Venta"/>
    <x v="3"/>
    <s v="Barrio Parque"/>
  </r>
  <r>
    <d v="2025-09-03T00:00:00"/>
    <x v="1"/>
    <x v="6"/>
    <s v="CAP7044894"/>
    <x v="0"/>
    <s v="Departamento Monoambiente con Gran Patio Moderno y Luminoso en Villa Pueyrredon  -Oportunidad Unica-"/>
    <s v="Realizado"/>
    <s v="AR ZonaProp"/>
    <n v="79900"/>
    <x v="78"/>
    <x v="0"/>
    <s v="Dólares"/>
    <s v="Dólares"/>
    <s v="ARTIGAS al 4600"/>
    <s v="Argentina | Capital Federal | Villa Pueyrredon "/>
    <x v="0"/>
    <n v="2"/>
    <s v="Seniority"/>
    <s v="Compartida Fuera de la Red Captación Propia"/>
    <x v="0"/>
    <s v="Venta"/>
    <x v="3"/>
    <s v="Barrio Parque"/>
  </r>
  <r>
    <d v="2025-03-27T00:00:00"/>
    <x v="1"/>
    <x v="9"/>
    <m/>
    <x v="0"/>
    <s v="Casa En Venta San Remo"/>
    <s v="Realizado"/>
    <s v="Referido"/>
    <n v="70000"/>
    <x v="79"/>
    <x v="0"/>
    <s v="Dólares"/>
    <s v="Dólares"/>
    <s v="Barrio San Remo"/>
    <s v="Argentina | Salta | Capital | Salta | Zona Sur"/>
    <x v="2"/>
    <n v="1"/>
    <s v="Realty Group"/>
    <s v="(Interior) Compartida Fuera de la Red Búsqueda"/>
    <x v="2"/>
    <s v="Venta"/>
    <x v="4"/>
    <s v="San Lorenzo Chico"/>
  </r>
  <r>
    <d v="2025-09-10T00:00:00"/>
    <x v="1"/>
    <x v="6"/>
    <m/>
    <x v="0"/>
    <s v="Op. con Brim.  Bibliotecas Populares y calle sin nombre, Barrio Gobernadores Neuquinos, SMA UF 9 (40,64 m2), NC: 15-20-052-7950-0009, denominado Departamento 118 con entrada por el sector G2"/>
    <s v="Realizado"/>
    <s v="Conocido"/>
    <n v="66000"/>
    <x v="79"/>
    <x v="0"/>
    <s v="Dólares"/>
    <s v="Dólares"/>
    <s v="Bibliotecas Populares y calle sin nombre"/>
    <s v="Argentina | Neuquen | Lacar | San Martin De Los Andes"/>
    <x v="0"/>
    <n v="1"/>
    <s v="Patagonia Lakes SMA"/>
    <s v="(Interior) Compartida Fuera de la Red Búsqueda"/>
    <x v="2"/>
    <s v="Venta"/>
    <x v="1"/>
    <s v="San Martín de los Andes"/>
  </r>
  <r>
    <d v="2025-09-14T00:00:00"/>
    <x v="1"/>
    <x v="6"/>
    <s v="CAP6859275"/>
    <x v="0"/>
    <s v="Departamento en venta centro calle Juramento 1480 - Salta"/>
    <s v="Realizado"/>
    <s v="Facebook"/>
    <n v="68000"/>
    <x v="79"/>
    <x v="0"/>
    <s v="Dólares"/>
    <s v="Dólares"/>
    <s v="Juramento 1480"/>
    <s v="Argentina | Salta | Capital | Salta | Zona Centro"/>
    <x v="0"/>
    <n v="1"/>
    <s v="Realty Group"/>
    <s v="(Interior) Compartida Fuera de la Red Captación Propia"/>
    <x v="0"/>
    <s v="Venta"/>
    <x v="4"/>
    <s v="San Lorenzo Chico"/>
  </r>
  <r>
    <d v="2025-12-01T00:00:00"/>
    <x v="1"/>
    <x v="8"/>
    <s v="CAP7293391"/>
    <x v="0"/>
    <s v="Departamento - Guaymallen"/>
    <s v="Realizado"/>
    <s v="Conocido"/>
    <n v="66000"/>
    <x v="79"/>
    <x v="0"/>
    <s v="Dólares"/>
    <s v="Dólares"/>
    <s v="Callejón Bejarano 1"/>
    <s v="Argentina | Mendoza | Guaymallen "/>
    <x v="0"/>
    <n v="2"/>
    <s v="Cuyo Real"/>
    <s v="Compartida en Oficina (Dos Asesores)"/>
    <x v="1"/>
    <s v="Venta"/>
    <x v="2"/>
    <s v="Capital Mendoza"/>
  </r>
  <r>
    <d v="2025-03-27T00:00:00"/>
    <x v="1"/>
    <x v="9"/>
    <n v="12"/>
    <x v="0"/>
    <s v="julian alvarez dpto"/>
    <s v="Realizado"/>
    <s v="AR ZonaProp"/>
    <n v="66000"/>
    <x v="79"/>
    <x v="0"/>
    <s v="Dólares"/>
    <s v="Dólares"/>
    <s v="julian alvarez"/>
    <s v="Argentina | Capital Federal | Villa Crespo "/>
    <x v="0"/>
    <n v="1"/>
    <s v="Desiderio"/>
    <s v="Compartida Fuera de la Red Búsqueda"/>
    <x v="2"/>
    <s v="Venta"/>
    <x v="3"/>
    <s v="Caballito"/>
  </r>
  <r>
    <d v="2025-05-09T00:00:00"/>
    <x v="1"/>
    <x v="2"/>
    <n v="10384"/>
    <x v="0"/>
    <s v="sanchez bustamante 1180"/>
    <s v="Realizado"/>
    <s v="AR ZonaProp"/>
    <n v="0"/>
    <x v="79"/>
    <x v="0"/>
    <s v="Dólares"/>
    <s v="Dólares"/>
    <m/>
    <s v="Argentina | Capital Federal | Recoleta "/>
    <x v="0"/>
    <n v="1"/>
    <s v="Seniority"/>
    <s v="Compartida Fuera de la Red Búsqueda"/>
    <x v="2"/>
    <s v="Venta"/>
    <x v="3"/>
    <s v="Barrio Parque"/>
  </r>
  <r>
    <d v="2025-06-27T00:00:00"/>
    <x v="1"/>
    <x v="4"/>
    <s v="Achupallas"/>
    <x v="0"/>
    <s v="Achupallas"/>
    <s v="Realizado"/>
    <s v="AR ZonaProp"/>
    <n v="55000"/>
    <x v="79"/>
    <x v="0"/>
    <s v="Dólares"/>
    <s v="Dólares"/>
    <m/>
    <s v="Argentina | Mendoza | Guaymallen "/>
    <x v="0"/>
    <n v="1"/>
    <s v="Cuyo Real"/>
    <s v="Compartida Fuera de la Red Búsqueda"/>
    <x v="2"/>
    <s v="Venta"/>
    <x v="2"/>
    <s v="Capital Mendoza"/>
  </r>
  <r>
    <d v="2025-03-26T00:00:00"/>
    <x v="1"/>
    <x v="9"/>
    <s v="AV COMBATIENTES DE MALVINAS"/>
    <x v="0"/>
    <s v="DEPARTAMENTO EN VENTA EN AV COMBATIENTES DE MALVINAS"/>
    <s v="Realizado"/>
    <s v="AR ZonaProp"/>
    <n v="66000"/>
    <x v="79"/>
    <x v="0"/>
    <s v="Dólares"/>
    <s v="Dólares"/>
    <m/>
    <s v="Argentina | Capital Federal | Parque Chas "/>
    <x v="0"/>
    <n v="2"/>
    <s v="Puerto Norte"/>
    <s v="Compartida Fuera de la Red Captación Propia"/>
    <x v="0"/>
    <s v="Venta"/>
    <x v="6"/>
    <s v="Nordelta"/>
  </r>
  <r>
    <d v="2025-06-05T00:00:00"/>
    <x v="1"/>
    <x v="4"/>
    <s v="CAP6988339"/>
    <x v="0"/>
    <s v="Departamento en venta en Barrio Raiz II "/>
    <s v="Realizado"/>
    <s v="Cartel"/>
    <n v="77000"/>
    <x v="80"/>
    <x v="0"/>
    <s v="Dólares"/>
    <s v="Dólares"/>
    <s v="Dr Lemos  al 600"/>
    <s v="Argentina | Mendoza | Capital | Mendoza"/>
    <x v="0"/>
    <n v="2"/>
    <s v="Cuyo Real"/>
    <s v="Compartida Fuera de la Red Captación Propia"/>
    <x v="0"/>
    <s v="Venta"/>
    <x v="2"/>
    <s v="Capital Mendoza"/>
  </r>
  <r>
    <d v="2025-02-20T00:00:00"/>
    <x v="1"/>
    <x v="0"/>
    <s v="CLA6371588"/>
    <x v="0"/>
    <s v="Terreno calle LA PAMPA 1120"/>
    <s v="Realizado"/>
    <s v="AR ZonaProp"/>
    <n v="75000"/>
    <x v="81"/>
    <x v="0"/>
    <s v="Dólares"/>
    <s v="Dólares"/>
    <s v="LA PAMPA 1120"/>
    <s v="Argentina | Neuquen | Confluencia | Neuquen | Barrio Nuevo"/>
    <x v="1"/>
    <n v="2"/>
    <s v="Sensus"/>
    <s v="Propia (Único Asesor)"/>
    <x v="1"/>
    <s v="Venta"/>
    <x v="1"/>
    <s v="Capital Neuquén"/>
  </r>
  <r>
    <d v="2026-01-26T00:00:00"/>
    <x v="0"/>
    <x v="10"/>
    <s v="CAP7532611"/>
    <x v="0"/>
    <s v="Departamento en Venta Rincón Veneto Barrio Cerrado"/>
    <s v="Realizado"/>
    <s v="AR ZonaProp"/>
    <n v="70000"/>
    <x v="82"/>
    <x v="0"/>
    <s v="Dólares"/>
    <s v="Dólares"/>
    <s v="Elpidio Gonzalez  al 4100"/>
    <s v="Argentina | Mendoza | Guaymallen | Jesus Nazareno"/>
    <x v="0"/>
    <n v="1"/>
    <s v="Cuyo Real"/>
    <s v="(Interior) Compartida Fuera de la Red Captación Propia"/>
    <x v="0"/>
    <s v="Venta"/>
    <x v="2"/>
    <s v="Capital Mendoza"/>
  </r>
  <r>
    <d v="2025-06-11T00:00:00"/>
    <x v="1"/>
    <x v="4"/>
    <s v="CAP7091909"/>
    <x v="0"/>
    <s v="Departamento en  56 E 3 Y 4 "/>
    <s v="Realizado"/>
    <s v="Teléfono"/>
    <n v="67000"/>
    <x v="82"/>
    <x v="0"/>
    <s v="Dólares"/>
    <s v="Dólares"/>
    <s v="DPTO 56 E 3 Y 4"/>
    <s v="Argentina | G.B.A. Zona Sur | La Plata | La Plata"/>
    <x v="0"/>
    <n v="1"/>
    <s v="Golden Team"/>
    <s v="Compartida Fuera de la Red Búsqueda"/>
    <x v="2"/>
    <s v="Venta"/>
    <x v="0"/>
    <s v="La Plata"/>
  </r>
  <r>
    <d v="2025-11-13T00:00:00"/>
    <x v="1"/>
    <x v="7"/>
    <s v="CAP7098794"/>
    <x v="0"/>
    <s v="Departamento en  VENTA 3 AMBIENTES "/>
    <s v="Realizado"/>
    <s v="AR ZonaProp"/>
    <n v="70000"/>
    <x v="82"/>
    <x v="0"/>
    <s v="Dólares"/>
    <s v="Dólares"/>
    <s v="ADOLFO ALSINA 2065 7"/>
    <s v="Argentina | Capital Federal | Balvanera "/>
    <x v="0"/>
    <n v="2"/>
    <s v="Destino"/>
    <s v="Compartida Fuera de la Red Captación Propia"/>
    <x v="0"/>
    <s v="Venta"/>
    <x v="3"/>
    <s v="Recoleta"/>
  </r>
  <r>
    <d v="2025-04-28T00:00:00"/>
    <x v="1"/>
    <x v="3"/>
    <s v="CAP6735295"/>
    <x v="0"/>
    <s v="Venta departamento Godoy Cruz en complejo privado, Puente Olive, Benegas , Godoy Cruz Dto 12"/>
    <s v="Realizado"/>
    <s v="AR ZonaProp"/>
    <n v="75000"/>
    <x v="82"/>
    <x v="0"/>
    <s v="Dólares"/>
    <s v="Dólares"/>
    <s v="Cervantes al 1400"/>
    <s v="Argentina | Mendoza | Godoy Cruz | Godoy Cruz | Gobernador Benegas"/>
    <x v="0"/>
    <n v="2"/>
    <s v="Cuyo Real"/>
    <s v="Propia (Único Asesor)"/>
    <x v="1"/>
    <s v="Venta"/>
    <x v="2"/>
    <s v="Capital Mendoza"/>
  </r>
  <r>
    <d v="2025-10-31T00:00:00"/>
    <x v="1"/>
    <x v="11"/>
    <s v="CAP7278866"/>
    <x v="0"/>
    <s v="Departamento en venta macrocentro Salta"/>
    <s v="Realizado"/>
    <s v="Referido"/>
    <n v="68000"/>
    <x v="83"/>
    <x v="0"/>
    <s v="Dólares"/>
    <s v="Dólares"/>
    <s v="gorriti 40"/>
    <s v="Argentina | Salta | Capital "/>
    <x v="0"/>
    <n v="2"/>
    <s v="Realty Group"/>
    <s v="Compartida en Oficina (Dos Asesores)"/>
    <x v="1"/>
    <s v="Venta"/>
    <x v="4"/>
    <s v="San Lorenzo Chico"/>
  </r>
  <r>
    <d v="2026-02-20T00:00:00"/>
    <x v="0"/>
    <x v="0"/>
    <s v="CAP7539215"/>
    <x v="0"/>
    <s v="Departamento 3 dormitorios en La Plata Diagonal 73 entre 8 y 58"/>
    <s v="Realizado"/>
    <s v="AR MercadoLibre"/>
    <n v="75000"/>
    <x v="83"/>
    <x v="0"/>
    <s v="Dólares"/>
    <s v="Dólares"/>
    <s v="Departamento 3 Dormitorios Diagonal 73 al 1300"/>
    <s v="Argentina | G.B.A. Zona Sur | La Plata | La Plata"/>
    <x v="0"/>
    <n v="2"/>
    <s v="Golden Team"/>
    <s v="Propia (Único Asesor)"/>
    <x v="1"/>
    <s v="Venta"/>
    <x v="0"/>
    <s v="La Plata"/>
  </r>
  <r>
    <d v="2025-03-10T00:00:00"/>
    <x v="1"/>
    <x v="9"/>
    <s v="CAP6606604"/>
    <x v="0"/>
    <s v="Departamento en Venta en Ciudad de Mendoza"/>
    <s v="Realizado"/>
    <s v="Teléfono"/>
    <n v="70000"/>
    <x v="84"/>
    <x v="0"/>
    <s v="Dólares"/>
    <s v="Dólares"/>
    <s v="PERU 2245 2 PISO CIUDAD MENDOZA"/>
    <s v="Argentina | Mendoza | Capital | Mendoza | S1 Parque Central"/>
    <x v="0"/>
    <n v="2"/>
    <s v="Cuyo Real"/>
    <s v="Propia (Único Asesor)"/>
    <x v="1"/>
    <s v="Venta"/>
    <x v="2"/>
    <s v="Capital Mendoza"/>
  </r>
  <r>
    <d v="2025-10-20T00:00:00"/>
    <x v="1"/>
    <x v="11"/>
    <s v="Fraternidad 1769"/>
    <x v="0"/>
    <s v="Fraternidad 1769"/>
    <s v="Realizado"/>
    <s v="AR ZonaProp"/>
    <n v="68000"/>
    <x v="85"/>
    <x v="0"/>
    <s v="Dólares"/>
    <s v="Dólares"/>
    <s v="Fraternidad 1769"/>
    <s v="Argentina | G.B.A. Zona Norte | General San Martin | Villa Ballester"/>
    <x v="0"/>
    <n v="1"/>
    <s v="Lion Team Norte"/>
    <s v="(Interior) Compartida Fuera de la Red Búsqueda"/>
    <x v="2"/>
    <s v="Venta"/>
    <x v="6"/>
    <s v="Vicente López"/>
  </r>
  <r>
    <d v="2026-01-29T00:00:00"/>
    <x v="0"/>
    <x v="10"/>
    <s v="CHO7145158"/>
    <x v="0"/>
    <s v="CASA INTERNA EN BARRIO RECOLETA - SANTIAGO DEL ESTERO 2600"/>
    <s v="Realizado"/>
    <s v="Conocido"/>
    <n v="79000"/>
    <x v="85"/>
    <x v="0"/>
    <s v="Dólares"/>
    <s v="Dólares"/>
    <s v="OPORTUNIDAD, interno único en Recoleta!!!"/>
    <s v="Argentina | Santa Fe | La Capital | Santa Fe | Recoleta"/>
    <x v="2"/>
    <n v="1"/>
    <s v="De la Veracruz"/>
    <s v="(Interior) Compartida Fuera de la Red Captación Propia"/>
    <x v="0"/>
    <s v="Venta"/>
    <x v="5"/>
    <s v="Capital Santa Fe"/>
  </r>
  <r>
    <d v="2025-01-06T00:00:00"/>
    <x v="1"/>
    <x v="10"/>
    <s v="CCM54953 LO5934597"/>
    <x v="0"/>
    <s v="Local en  Porto San Lorenzo chico"/>
    <s v="Realizado"/>
    <s v="Referido"/>
    <n v="167000"/>
    <x v="85"/>
    <x v="0"/>
    <s v="Dólares"/>
    <s v="Dólares"/>
    <s v="san Lorenzo chico"/>
    <s v="Argentina | Salta | Capital "/>
    <x v="4"/>
    <n v="2"/>
    <s v="Realty Group"/>
    <s v="Compartida en Oficina (Dos Asesores)"/>
    <x v="1"/>
    <s v="Venta"/>
    <x v="4"/>
    <s v="San Lorenzo Chico"/>
  </r>
  <r>
    <d v="2025-05-30T00:00:00"/>
    <x v="1"/>
    <x v="2"/>
    <s v="CAP6403514"/>
    <x v="2"/>
    <s v="Departamento en  Venta , Centrico, Edificio Jujuy . "/>
    <s v="Realizado"/>
    <s v="Referido"/>
    <n v="74000"/>
    <x v="85"/>
    <x v="0"/>
    <s v="Dólares"/>
    <s v="Dólares"/>
    <s v="Edificio Jujuy  al 300, Neuquen Capital . "/>
    <s v="Argentina | Neuquen | Capital | Confluencia Urbana"/>
    <x v="0"/>
    <n v="2"/>
    <s v="Patagonia Lakes SMA"/>
    <s v="Master"/>
    <x v="1"/>
    <s v="Venta"/>
    <x v="1"/>
    <s v="San Martín de los Andes"/>
  </r>
  <r>
    <d v="2025-10-09T00:00:00"/>
    <x v="1"/>
    <x v="11"/>
    <n v="10519"/>
    <x v="0"/>
    <s v="Venta Moldes"/>
    <s v="Realizado"/>
    <s v="AR ZonaProp"/>
    <n v="68000"/>
    <x v="85"/>
    <x v="0"/>
    <s v="Dólares"/>
    <s v="Dólares"/>
    <s v="Moldes 3089 6G"/>
    <s v="Argentina | Capital Federal | Nuñez "/>
    <x v="0"/>
    <n v="1"/>
    <s v="Seniority"/>
    <s v="Compartida Fuera de la Red Búsqueda"/>
    <x v="2"/>
    <s v="Venta"/>
    <x v="3"/>
    <s v="Barrio Parque"/>
  </r>
  <r>
    <d v="2025-05-22T00:00:00"/>
    <x v="1"/>
    <x v="2"/>
    <n v="10373"/>
    <x v="0"/>
    <s v="Thames 56 - 406"/>
    <s v="Realizado"/>
    <s v="AR ZonaProp"/>
    <n v="0"/>
    <x v="85"/>
    <x v="0"/>
    <s v="Dólares"/>
    <s v="Dólares"/>
    <m/>
    <s v="Argentina | Capital Federal | Flores "/>
    <x v="0"/>
    <n v="2"/>
    <s v="Seniority"/>
    <s v="Compartida Fuera de la Red Captación Propia"/>
    <x v="0"/>
    <s v="Venta"/>
    <x v="3"/>
    <s v="Barrio Parque"/>
  </r>
  <r>
    <d v="2025-05-22T00:00:00"/>
    <x v="1"/>
    <x v="2"/>
    <n v="10374"/>
    <x v="0"/>
    <s v="Thames 56 - dto 313"/>
    <s v="Realizado"/>
    <s v="AR ZonaProp"/>
    <n v="0"/>
    <x v="85"/>
    <x v="0"/>
    <s v="Dólares"/>
    <s v="Dólares"/>
    <m/>
    <s v="Argentina | Capital Federal | Flores "/>
    <x v="0"/>
    <n v="2"/>
    <s v="Seniority"/>
    <s v="Compartida Fuera de la Red Captación Propia"/>
    <x v="0"/>
    <s v="Venta"/>
    <x v="3"/>
    <s v="Barrio Parque"/>
  </r>
  <r>
    <d v="2025-07-18T00:00:00"/>
    <x v="1"/>
    <x v="1"/>
    <s v="CAP6633030"/>
    <x v="0"/>
    <s v="VENTA DEPARTAMENTO 2 AMBIENTES PALERMO"/>
    <s v="Realizado"/>
    <s v="AR ZonaProp"/>
    <n v="75000"/>
    <x v="85"/>
    <x v="0"/>
    <s v="Dólares"/>
    <s v="Dólares"/>
    <s v="Pringles al 1300"/>
    <s v="Argentina | Capital Federal | Palermo "/>
    <x v="0"/>
    <n v="2"/>
    <s v="Seniority"/>
    <s v="Compartida Fuera de la Red Captación Propia"/>
    <x v="0"/>
    <s v="Venta"/>
    <x v="3"/>
    <s v="Barrio Parque"/>
  </r>
  <r>
    <d v="2025-10-15T00:00:00"/>
    <x v="1"/>
    <x v="11"/>
    <s v="AHO6134334"/>
    <x v="0"/>
    <s v="Casa de cuatro ambientes con patio y terraza"/>
    <s v="Realizado"/>
    <s v="AR ZonaProp"/>
    <n v="69999"/>
    <x v="85"/>
    <x v="0"/>
    <s v="Dólares"/>
    <s v="Dólares"/>
    <s v="F. M. Esquiu al 1400"/>
    <s v="Argentina | G.B.A. Zona Sur | Lanús | Lanús | Lanús Este"/>
    <x v="2"/>
    <n v="2"/>
    <s v="Desiderio"/>
    <s v="Compartida Fuera de la Red Captación Propia"/>
    <x v="0"/>
    <s v="Venta"/>
    <x v="3"/>
    <s v="Caballito"/>
  </r>
  <r>
    <d v="2025-11-11T00:00:00"/>
    <x v="1"/>
    <x v="7"/>
    <s v="CAP6952465"/>
    <x v="0"/>
    <s v="Venta departamento monoambiente con Patio en Flores"/>
    <s v="Realizado"/>
    <s v="AR ZonaProp"/>
    <n v="70000"/>
    <x v="85"/>
    <x v="0"/>
    <s v="Dólares"/>
    <s v="Dólares"/>
    <s v="Pedernera al 100"/>
    <s v="Argentina | Capital Federal | Flores "/>
    <x v="0"/>
    <n v="2"/>
    <s v="Grupo Elite"/>
    <s v="Compartida Fuera de la Red Captación Propia"/>
    <x v="0"/>
    <s v="Venta"/>
    <x v="3"/>
    <s v="Puerto Madero"/>
  </r>
  <r>
    <d v="2025-01-22T00:00:00"/>
    <x v="1"/>
    <x v="10"/>
    <s v="CLA6660815"/>
    <x v="0"/>
    <s v="VENTA  Lote 805m2 10 Manzana A  POSTAL PATAGONIA  San Martin de los Andes"/>
    <s v="Realizado"/>
    <s v="Conocido"/>
    <n v="68000"/>
    <x v="85"/>
    <x v="0"/>
    <s v="Dólares"/>
    <s v="Dólares"/>
    <s v="Ruta 40"/>
    <s v="Argentina | Neuquen | Lacar | San Martin De Los Andes | Centro"/>
    <x v="1"/>
    <n v="2"/>
    <s v="Patagonia Lakes SMA"/>
    <s v="Propia (Único Asesor)"/>
    <x v="1"/>
    <s v="Venta"/>
    <x v="1"/>
    <s v="San Martín de los Andes"/>
  </r>
  <r>
    <d v="2025-04-21T00:00:00"/>
    <x v="1"/>
    <x v="3"/>
    <s v="CHO6797755"/>
    <x v="0"/>
    <s v="Casa con Pileta en Plottier"/>
    <s v="Realizado"/>
    <s v="AR ZonaProp"/>
    <n v="68000"/>
    <x v="85"/>
    <x v="0"/>
    <s v="Dólares"/>
    <s v="Dólares"/>
    <s v="Cuarzo 50"/>
    <s v="Argentina | Neuquen | Confluencia | Plottier"/>
    <x v="2"/>
    <n v="2"/>
    <s v="Sensus"/>
    <s v="Propia (Único Asesor)"/>
    <x v="1"/>
    <s v="Venta"/>
    <x v="1"/>
    <s v="Capital Neuquén"/>
  </r>
  <r>
    <d v="2025-06-30T00:00:00"/>
    <x v="1"/>
    <x v="4"/>
    <s v="CHO6601400"/>
    <x v="0"/>
    <s v="Duplex en Neuquen Capital"/>
    <s v="Realizado"/>
    <s v="AR ZonaProp"/>
    <n v="68000"/>
    <x v="85"/>
    <x v="0"/>
    <s v="Dólares"/>
    <s v="Dólares"/>
    <s v="Gendarme Treppo al 1700"/>
    <s v="Argentina | Neuquen | Capital "/>
    <x v="2"/>
    <n v="2"/>
    <s v="Sensus"/>
    <s v="Propia (Único Asesor)"/>
    <x v="1"/>
    <s v="Venta"/>
    <x v="1"/>
    <s v="Capital Neuquén"/>
  </r>
  <r>
    <d v="2025-07-17T00:00:00"/>
    <x v="1"/>
    <x v="1"/>
    <n v="10410"/>
    <x v="0"/>
    <s v="ayacucho"/>
    <s v="Realizado"/>
    <s v="Conocido"/>
    <n v="0"/>
    <x v="85"/>
    <x v="0"/>
    <s v="Dólares"/>
    <s v="Dólares"/>
    <s v="ayacucho"/>
    <s v="Argentina | Capital Federal | Recoleta "/>
    <x v="0"/>
    <n v="2"/>
    <s v="Seniority"/>
    <s v="Propia (Único Asesor)"/>
    <x v="1"/>
    <s v="Venta"/>
    <x v="3"/>
    <s v="Barrio Parque"/>
  </r>
  <r>
    <d v="2025-07-22T00:00:00"/>
    <x v="1"/>
    <x v="1"/>
    <s v="VPH6637665"/>
    <x v="0"/>
    <s v="PH 3 Ambientes con patio, lavadero cubierto y cuarto exterior"/>
    <s v="Realizado"/>
    <s v="AR ZonaProp"/>
    <n v="70000"/>
    <x v="85"/>
    <x v="0"/>
    <s v="Dólares"/>
    <s v="Dólares"/>
    <s v="Francisco Raffo al 3200"/>
    <s v="Argentina | G.B.A. Zona Oeste | Tres De Febrero | Villa Saenz Peña"/>
    <x v="3"/>
    <n v="2"/>
    <s v="Puerto Norte"/>
    <s v="Propia (Único Asesor)"/>
    <x v="1"/>
    <s v="Venta"/>
    <x v="6"/>
    <s v="Nordelta"/>
  </r>
  <r>
    <d v="2025-11-07T00:00:00"/>
    <x v="1"/>
    <x v="7"/>
    <s v="CAP7318531"/>
    <x v="0"/>
    <s v="Venta 2 amb Palermo gran ubicación Apto credito!!!"/>
    <s v="Realizado"/>
    <s v="AR MercadoLibre"/>
    <n v="72900"/>
    <x v="85"/>
    <x v="0"/>
    <s v="Dólares"/>
    <s v="Dólares"/>
    <s v="General Lucio Norberto Mansilla al 3600 "/>
    <s v="Argentina | Capital Federal | Palermo "/>
    <x v="0"/>
    <n v="2"/>
    <s v="Seniority"/>
    <s v="Propia (Único Asesor)"/>
    <x v="1"/>
    <s v="Venta"/>
    <x v="3"/>
    <s v="Barrio Parque"/>
  </r>
  <r>
    <d v="2026-01-09T00:00:00"/>
    <x v="0"/>
    <x v="10"/>
    <s v="CHO6873701"/>
    <x v="0"/>
    <s v="Casa en  venta"/>
    <s v="Realizado"/>
    <s v="AR ZonaProp"/>
    <n v="68000"/>
    <x v="85"/>
    <x v="0"/>
    <s v="Dólares"/>
    <s v="Dólares"/>
    <s v="Capilla del Rosario, Guaymallén"/>
    <s v="Argentina | Mendoza | Guaymallen | Capilla Del Rosario"/>
    <x v="2"/>
    <n v="2"/>
    <s v="Cuyo Real"/>
    <s v="Propia (Único Asesor)"/>
    <x v="1"/>
    <s v="Venta"/>
    <x v="2"/>
    <s v="Capital Mendoza"/>
  </r>
  <r>
    <d v="2026-01-16T00:00:00"/>
    <x v="0"/>
    <x v="10"/>
    <s v="CHO7372693"/>
    <x v="0"/>
    <s v="VENTA Casa UF1 Terreno 172,24m2 43,92m2 San Martin de los Andes"/>
    <s v="Realizado"/>
    <s v="Instagram"/>
    <n v="68000"/>
    <x v="85"/>
    <x v="0"/>
    <s v="Dólares"/>
    <s v="Dólares"/>
    <s v="Los Tobianos y LosTordillos"/>
    <s v="Argentina | Neuquen | Lacar | San Martin De Los Andes | Valle Chapelco"/>
    <x v="2"/>
    <n v="2"/>
    <s v="Patagonia Lakes SMA"/>
    <s v="Propia (Único Asesor)"/>
    <x v="1"/>
    <s v="Venta"/>
    <x v="1"/>
    <s v="San Martín de los Andes"/>
  </r>
  <r>
    <d v="2025-07-10T00:00:00"/>
    <x v="1"/>
    <x v="1"/>
    <s v="CAP6174641"/>
    <x v="0"/>
    <s v="VENTA DPTO 2 AMBIENTES EN LANUSITA"/>
    <s v="Realizado"/>
    <s v="AR ZonaProp"/>
    <n v="79000"/>
    <x v="86"/>
    <x v="0"/>
    <s v="Dólares"/>
    <s v="Dólares"/>
    <s v="2 de Mayo al 2800"/>
    <s v="Argentina | G.B.A. Zona Sur | Lanús | Lanús | Lanús Oeste"/>
    <x v="0"/>
    <n v="2"/>
    <s v="Destino"/>
    <s v="Propia (Único Asesor)"/>
    <x v="1"/>
    <s v="Venta"/>
    <x v="3"/>
    <s v="Recoleta"/>
  </r>
  <r>
    <d v="2025-07-22T00:00:00"/>
    <x v="1"/>
    <x v="1"/>
    <s v="79Agustin"/>
    <x v="0"/>
    <s v="Departamento"/>
    <s v="Realizado"/>
    <s v="AR ZonaProp"/>
    <n v="72000"/>
    <x v="87"/>
    <x v="0"/>
    <s v="Dólares"/>
    <s v="Dólares"/>
    <s v="General Lopez 2966"/>
    <s v="Argentina | Santa Fe | La Capital | Santa Fe"/>
    <x v="0"/>
    <n v="1"/>
    <s v="De la Veracruz"/>
    <s v="(Interior) Compartida Fuera de la Red Búsqueda"/>
    <x v="2"/>
    <s v="Venta"/>
    <x v="5"/>
    <s v="Capital Santa Fe"/>
  </r>
  <r>
    <d v="2025-11-14T00:00:00"/>
    <x v="1"/>
    <x v="7"/>
    <s v="96Eric"/>
    <x v="0"/>
    <s v="Departamento en Barrio Sur"/>
    <s v="Realizado"/>
    <s v="Conocido"/>
    <n v="73000"/>
    <x v="87"/>
    <x v="0"/>
    <s v="Dólares"/>
    <s v="Dólares"/>
    <s v="1 de Mayo 1045 Piso 17 Unidad D"/>
    <s v="Argentina | Santa Fe | La Capital "/>
    <x v="0"/>
    <n v="1"/>
    <s v="De la Veracruz"/>
    <s v="(Interior) Compartida Fuera de la Red Búsqueda"/>
    <x v="2"/>
    <s v="Venta"/>
    <x v="5"/>
    <s v="Capital Santa Fe"/>
  </r>
  <r>
    <d v="2026-03-12T00:00:00"/>
    <x v="0"/>
    <x v="9"/>
    <s v="CAP7529544"/>
    <x v="0"/>
    <s v="Departamento 2 ambientes en Venta en Almagro"/>
    <s v="Realizado"/>
    <s v="AR ZonaProp"/>
    <n v="69800"/>
    <x v="87"/>
    <x v="0"/>
    <s v="Dólares"/>
    <s v="Dólares"/>
    <s v="Quito al 4300"/>
    <s v="Argentina | Capital Federal | Almagro "/>
    <x v="0"/>
    <n v="2"/>
    <s v="Audacity"/>
    <s v="Compartida Fuera de la Red Captación Propia"/>
    <x v="0"/>
    <s v="Venta"/>
    <x v="9"/>
    <s v="Parque Leloir"/>
  </r>
  <r>
    <d v="2025-03-13T00:00:00"/>
    <x v="1"/>
    <x v="9"/>
    <s v="CBU59332 AP6460294"/>
    <x v="0"/>
    <s v="Departamento Monoambiente en Venta en Villa Urquiza CABA"/>
    <s v="Realizado"/>
    <s v="AR ZonaProp"/>
    <n v="69000"/>
    <x v="87"/>
    <x v="0"/>
    <s v="Dólares"/>
    <s v="Dólares"/>
    <s v="Zado  al 3500 -2°  Villa Urquiza"/>
    <s v="Argentina | Capital Federal | Villa Urquiza "/>
    <x v="0"/>
    <n v="2"/>
    <s v="Audacity"/>
    <s v="Propia (Único Asesor)"/>
    <x v="1"/>
    <s v="Venta"/>
    <x v="9"/>
    <s v="Parque Leloir"/>
  </r>
  <r>
    <d v="2025-07-04T00:00:00"/>
    <x v="1"/>
    <x v="1"/>
    <s v="CBU59332 AP6468034"/>
    <x v="0"/>
    <s v="Departamento en  venta en Villa Urquiza"/>
    <s v="Realizado"/>
    <s v="AR ZonaProp"/>
    <n v="77000"/>
    <x v="87"/>
    <x v="0"/>
    <s v="Dólares"/>
    <s v="Dólares"/>
    <s v="Zado  al 3500 1°"/>
    <s v="Argentina | Capital Federal | Villa Urquiza "/>
    <x v="0"/>
    <n v="2"/>
    <s v="Audacity"/>
    <s v="Propia (Único Asesor)"/>
    <x v="1"/>
    <s v="Venta"/>
    <x v="9"/>
    <s v="Parque Leloir"/>
  </r>
  <r>
    <d v="2025-09-15T00:00:00"/>
    <x v="1"/>
    <x v="6"/>
    <s v="CAP6897675"/>
    <x v="0"/>
    <s v="Departamento en Zona Aeropuerto "/>
    <s v="Realizado"/>
    <s v="AR ZonaProp"/>
    <n v="69000"/>
    <x v="87"/>
    <x v="0"/>
    <s v="Dólares"/>
    <s v="Dólares"/>
    <s v="Costa Rica  al 5600"/>
    <s v="Argentina | Neuquen | Capital | Área Centro Oeste"/>
    <x v="0"/>
    <n v="2"/>
    <s v="Sensus"/>
    <s v="Propia (Único Asesor)"/>
    <x v="1"/>
    <s v="Venta"/>
    <x v="1"/>
    <s v="Capital Neuquén"/>
  </r>
  <r>
    <d v="2025-12-02T00:00:00"/>
    <x v="1"/>
    <x v="8"/>
    <s v="CAP6705336"/>
    <x v="0"/>
    <s v="Venta departamento centro Mendoza"/>
    <s v="Realizado"/>
    <s v="AR ZonaProp"/>
    <n v="82000"/>
    <x v="87"/>
    <x v="0"/>
    <s v="Dólares"/>
    <s v="Dólares"/>
    <s v=" Venta departamento Centro MItre  al 1600"/>
    <s v="Argentina | Mendoza | Capital | Mendoza | Segunda Seccion"/>
    <x v="0"/>
    <n v="2"/>
    <s v="Cuyo Real"/>
    <s v="Propia (Único Asesor)"/>
    <x v="1"/>
    <s v="Venta"/>
    <x v="2"/>
    <s v="Capital Mendoza"/>
  </r>
  <r>
    <d v="2026-03-13T00:00:00"/>
    <x v="0"/>
    <x v="9"/>
    <s v="Casco Viejo Casa"/>
    <x v="0"/>
    <s v="Casa en Casco Viejo Centenario"/>
    <s v="Realizado"/>
    <s v="Conocido"/>
    <n v="70000"/>
    <x v="88"/>
    <x v="0"/>
    <s v="Dólares"/>
    <s v="Dólares"/>
    <m/>
    <s v="Argentina | Neuquen | Confluencia | Centenario"/>
    <x v="2"/>
    <n v="1"/>
    <s v="Sensus"/>
    <s v="(Interior) Compartida Fuera de la Red Búsqueda"/>
    <x v="2"/>
    <s v="Venta"/>
    <x v="1"/>
    <s v="Capital Neuquén"/>
  </r>
  <r>
    <d v="2025-11-28T00:00:00"/>
    <x v="1"/>
    <x v="7"/>
    <s v="CAP7068386"/>
    <x v="0"/>
    <s v="Departamento Monoambiente en pozo en Monserrat"/>
    <s v="Realizado"/>
    <s v="AR ZonaProp"/>
    <n v="69400"/>
    <x v="89"/>
    <x v="0"/>
    <s v="Dólares"/>
    <s v="Dólares"/>
    <s v="Salta al 1100"/>
    <s v="Argentina | Capital Federal | Monserrat "/>
    <x v="0"/>
    <n v="2"/>
    <s v="Haka"/>
    <s v="Propia (Único Asesor)"/>
    <x v="1"/>
    <s v="Venta"/>
    <x v="3"/>
    <s v="Núñez"/>
  </r>
  <r>
    <d v="2025-05-29T00:00:00"/>
    <x v="1"/>
    <x v="2"/>
    <s v="CAP6827370"/>
    <x v="0"/>
    <s v="Venta departamento monoambiente Colegiales "/>
    <s v="Realizado"/>
    <s v="AR ZonaProp"/>
    <n v="75000"/>
    <x v="90"/>
    <x v="0"/>
    <s v="Dólares"/>
    <s v="Dólares"/>
    <s v="Virrey  Arredondo  al 2500"/>
    <s v="Argentina | Capital Federal | Colegiales "/>
    <x v="0"/>
    <n v="2"/>
    <s v="Grupo Elite"/>
    <s v="Propia (Único Asesor)"/>
    <x v="1"/>
    <s v="Venta"/>
    <x v="3"/>
    <s v="Puerto Madero"/>
  </r>
  <r>
    <d v="2025-11-25T00:00:00"/>
    <x v="1"/>
    <x v="7"/>
    <n v="25112025"/>
    <x v="0"/>
    <s v="Reserva Venta Nayla Heydi Dpto Vicealmirante O'Connor 369 "/>
    <s v="Realizado"/>
    <s v="Teléfono"/>
    <n v="70000"/>
    <x v="91"/>
    <x v="1"/>
    <s v="Dólares"/>
    <s v="Dólares"/>
    <m/>
    <s v="Argentina | Rio Negro | Bariloche | San Carlos De Bariloche"/>
    <x v="0"/>
    <n v="1"/>
    <s v="Patagonia Lakes BRC"/>
    <s v="(Interior) Compartida Fuera de la Red Búsqueda"/>
    <x v="2"/>
    <s v="Venta"/>
    <x v="7"/>
    <s v="Bariloche"/>
  </r>
  <r>
    <d v="2025-12-01T00:00:00"/>
    <x v="1"/>
    <x v="8"/>
    <s v="CHO6691838"/>
    <x v="0"/>
    <s v="Dos Casas en Bloque a reciclar En Venta calle 527 3 y 4 Tolosa 6 dormitorios La Plata"/>
    <s v="Realizado"/>
    <s v="AR ZonaProp"/>
    <n v="83000"/>
    <x v="91"/>
    <x v="1"/>
    <s v="Dólares"/>
    <s v="Dólares"/>
    <s v="Dos Casas en bloque a reciclar calle 527 3 y 4 Tolosa"/>
    <s v="Argentina | G.B.A. Zona Sur | La Plata | Tolosa"/>
    <x v="2"/>
    <n v="1"/>
    <s v="Golden Team"/>
    <s v="(Interior) Compartida Fuera de la Red Captación Propia"/>
    <x v="0"/>
    <s v="Venta"/>
    <x v="0"/>
    <s v="La Plata"/>
  </r>
  <r>
    <d v="2025-12-23T00:00:00"/>
    <x v="1"/>
    <x v="8"/>
    <s v="CHO6610782"/>
    <x v="0"/>
    <s v="CASA 2 DORMITORIOS CLUB HIDRONOR MARI MENUCO VILLA DEL SOL"/>
    <s v="Realizado"/>
    <s v="Conocido"/>
    <n v="70000"/>
    <x v="91"/>
    <x v="1"/>
    <s v="Dólares"/>
    <s v="Dólares"/>
    <s v="CLUB HIDRONOR VILLA DEL SOL MARI MENUCO"/>
    <s v="Argentina | Neuquen | Confluencia | Mari Menuco"/>
    <x v="2"/>
    <n v="2"/>
    <s v="Sensus"/>
    <s v="Compartida en Oficina (Dos Asesores)"/>
    <x v="1"/>
    <s v="Venta"/>
    <x v="1"/>
    <s v="Capital Neuquén"/>
  </r>
  <r>
    <d v="2026-01-16T00:00:00"/>
    <x v="0"/>
    <x v="10"/>
    <s v="CLA7206904"/>
    <x v="0"/>
    <s v="Terreno en venta Yala los nogales"/>
    <s v="Realizado"/>
    <s v="Conocido"/>
    <n v="85000"/>
    <x v="91"/>
    <x v="1"/>
    <s v="Dólares"/>
    <s v="Dólares"/>
    <s v="pedro ortiz de zarate los nogales Yala "/>
    <s v="Argentina | Jujuy | Dr Manuel Belgrano | Yala"/>
    <x v="1"/>
    <n v="2"/>
    <s v="Plaza"/>
    <s v="Compartida en Oficina (Dos Asesores)"/>
    <x v="1"/>
    <s v="Venta"/>
    <x v="8"/>
    <s v="Capital Jujuy"/>
  </r>
  <r>
    <d v="2026-02-13T00:00:00"/>
    <x v="0"/>
    <x v="0"/>
    <s v="CHO7298562"/>
    <x v="0"/>
    <s v="Casa en La Capital"/>
    <s v="Realizado"/>
    <s v="Conocido"/>
    <n v="87000"/>
    <x v="91"/>
    <x v="1"/>
    <s v="Dólares"/>
    <s v="Dólares"/>
    <s v="Casa tipo duplex desarrollada en dos plantas"/>
    <s v="Argentina | Santa Fe | La Capital | Santa Fe | Guadalupe"/>
    <x v="2"/>
    <n v="2"/>
    <s v="De la Veracruz"/>
    <s v="Compartida en Oficina (Dos Asesores)"/>
    <x v="1"/>
    <s v="Venta"/>
    <x v="5"/>
    <s v="Capital Santa Fe"/>
  </r>
  <r>
    <d v="2026-03-13T00:00:00"/>
    <x v="0"/>
    <x v="9"/>
    <s v="CHO7609478"/>
    <x v="0"/>
    <s v="Casa con Galpón  en  Barrio Ciuadela"/>
    <s v="Realizado"/>
    <s v="Conocido"/>
    <n v="75000"/>
    <x v="91"/>
    <x v="1"/>
    <s v="Dólares"/>
    <s v="Dólares"/>
    <s v="Casa con galpòn en Barrio Ciudadela"/>
    <s v="Argentina | Santa Fe | La Capital | Santa Fe | Ciudadela"/>
    <x v="2"/>
    <n v="2"/>
    <s v="De la Veracruz"/>
    <s v="Compartida en Oficina (Dos Asesores)"/>
    <x v="1"/>
    <s v="Venta"/>
    <x v="5"/>
    <s v="Capital Santa Fe"/>
  </r>
  <r>
    <d v="2026-03-14T00:00:00"/>
    <x v="0"/>
    <x v="9"/>
    <s v="CAP7043537"/>
    <x v="0"/>
    <s v="VENTA DEPARTAMENTO - TILCARA"/>
    <s v="Realizado"/>
    <s v="Referido"/>
    <n v="70000"/>
    <x v="91"/>
    <x v="1"/>
    <s v="Dólares"/>
    <s v="Dólares"/>
    <s v="belgrano 46 Tilcara"/>
    <s v="Argentina | Jujuy | Tilcara | Tilcara"/>
    <x v="0"/>
    <n v="2"/>
    <s v="Plaza"/>
    <s v="Compartida en Oficina (Dos Asesores)"/>
    <x v="1"/>
    <s v="Venta"/>
    <x v="8"/>
    <s v="Capital Jujuy"/>
  </r>
  <r>
    <d v="2025-01-24T00:00:00"/>
    <x v="1"/>
    <x v="10"/>
    <s v="CHO4635234"/>
    <x v="2"/>
    <s v="Casa - Villa Santos Tesei"/>
    <s v="Realizado"/>
    <s v="AR ZonaProp"/>
    <n v="79900"/>
    <x v="91"/>
    <x v="1"/>
    <s v="Dólares"/>
    <s v="Dólares"/>
    <s v="Santa Monica al 4100"/>
    <s v="Argentina | G.B.A. Zona Oeste | Hurlingham | Villa Santos Tesei"/>
    <x v="2"/>
    <n v="2"/>
    <s v="Lion Team"/>
    <s v="Compartida en Red (50%)"/>
    <x v="1"/>
    <s v="Venta"/>
    <x v="3"/>
    <s v="Villa Urquiza"/>
  </r>
  <r>
    <d v="2025-09-04T00:00:00"/>
    <x v="1"/>
    <x v="6"/>
    <n v="10499"/>
    <x v="2"/>
    <s v="thamer 607"/>
    <s v="Realizado"/>
    <s v="AR ZonaProp"/>
    <n v="0"/>
    <x v="91"/>
    <x v="1"/>
    <s v="Dólares"/>
    <s v="Dólares"/>
    <m/>
    <s v="Argentina | Capital Federal | Flores "/>
    <x v="0"/>
    <n v="2"/>
    <s v="Seniority"/>
    <s v="Master"/>
    <x v="1"/>
    <s v="Venta"/>
    <x v="3"/>
    <s v="Barrio Parque"/>
  </r>
  <r>
    <d v="2025-09-23T00:00:00"/>
    <x v="1"/>
    <x v="6"/>
    <s v="CAP6957587"/>
    <x v="2"/>
    <s v="Venta de Departamento monoambiente con balcón en Villa Urquiza"/>
    <s v="Realizado"/>
    <s v="AR ZonaProp"/>
    <n v="74000"/>
    <x v="91"/>
    <x v="1"/>
    <s v="Dólares"/>
    <s v="Dólares"/>
    <s v="Holmberg  al 3400"/>
    <s v="Argentina | Capital Federal | Villa Urquiza "/>
    <x v="0"/>
    <n v="2"/>
    <s v="Acqua"/>
    <s v="Master"/>
    <x v="1"/>
    <s v="Venta"/>
    <x v="6"/>
    <s v="Pilar"/>
  </r>
  <r>
    <d v="2025-02-19T00:00:00"/>
    <x v="1"/>
    <x v="0"/>
    <s v="Local 5"/>
    <x v="0"/>
    <s v="Local 5 Saltos"/>
    <s v="Realizado"/>
    <s v="AR ZonaProp"/>
    <n v="70000"/>
    <x v="91"/>
    <x v="1"/>
    <s v="Dólares"/>
    <s v="Dólares"/>
    <s v="5 saltos"/>
    <s v="Argentina | Rio Negro | General Roca | Cinco Saltos"/>
    <x v="4"/>
    <n v="1"/>
    <s v="Sensus"/>
    <s v="Compartida Fuera de la Red Búsqueda"/>
    <x v="2"/>
    <s v="Venta"/>
    <x v="1"/>
    <s v="Capital Neuquén"/>
  </r>
  <r>
    <d v="2025-03-21T00:00:00"/>
    <x v="1"/>
    <x v="9"/>
    <s v="VAP6841457"/>
    <x v="0"/>
    <s v="APTO CREDITO! Departamento 2 AMB en Venta - Pilar"/>
    <s v="Realizado"/>
    <s v="AR ZonaProp"/>
    <n v="65000"/>
    <x v="91"/>
    <x v="1"/>
    <s v="Dólares"/>
    <s v="Dólares"/>
    <s v="APTO CREDITO! Departamento 2 AMB en Venta - Pilar"/>
    <s v="Argentina | G.B.A. Zona Norte | Pilar "/>
    <x v="0"/>
    <n v="2"/>
    <s v="Puerto Norte"/>
    <s v="Compartida Fuera de la Red Captación Propia"/>
    <x v="0"/>
    <s v="Venta"/>
    <x v="6"/>
    <s v="Nordelta"/>
  </r>
  <r>
    <d v="2025-07-24T00:00:00"/>
    <x v="1"/>
    <x v="1"/>
    <s v="CAP6471578"/>
    <x v="0"/>
    <s v="Monoambiente en Venta en Las Cañitas."/>
    <s v="Realizado"/>
    <s v="AR ZonaProp"/>
    <n v="76000"/>
    <x v="91"/>
    <x v="1"/>
    <s v="Dólares"/>
    <s v="Dólares"/>
    <s v="Chenaut al 1900"/>
    <s v="Argentina | Capital Federal | Palermo | Las Cañitas"/>
    <x v="0"/>
    <n v="2"/>
    <s v="Ser"/>
    <s v="Compartida Fuera de la Red Captación Propia"/>
    <x v="0"/>
    <s v="Venta"/>
    <x v="3"/>
    <s v="Belgrano"/>
  </r>
  <r>
    <d v="2025-03-26T00:00:00"/>
    <x v="1"/>
    <x v="9"/>
    <s v="CAP6425634"/>
    <x v="0"/>
    <s v="Departamento 4 Ambientes, en venta en San Miguel"/>
    <s v="Realizado"/>
    <s v="AR ZonaProp"/>
    <n v="72000"/>
    <x v="91"/>
    <x v="1"/>
    <s v="Dólares"/>
    <s v="Dólares"/>
    <s v="Coronel Charlone al 600"/>
    <s v="Argentina | G.B.A. Zona Norte | San Miguel | San Miguel"/>
    <x v="0"/>
    <n v="2"/>
    <s v="Quality"/>
    <s v="Propia (Único Asesor)"/>
    <x v="1"/>
    <s v="Venta"/>
    <x v="6"/>
    <s v="Escobar"/>
  </r>
  <r>
    <d v="2025-04-24T00:00:00"/>
    <x v="1"/>
    <x v="3"/>
    <s v="VAP6740813"/>
    <x v="0"/>
    <s v="Departamento en  venta monoambiente en Coghlan "/>
    <s v="Realizado"/>
    <s v="AR ZonaProp"/>
    <n v="70000"/>
    <x v="91"/>
    <x v="1"/>
    <s v="Dólares"/>
    <s v="Dólares"/>
    <s v="Roosevelt Franklin D.  al 3100"/>
    <s v="Argentina | Capital Federal | Coghlan "/>
    <x v="0"/>
    <n v="2"/>
    <s v="Space BA"/>
    <s v="Propia (Único Asesor)"/>
    <x v="1"/>
    <s v="Venta"/>
    <x v="3"/>
    <s v="Belgrano"/>
  </r>
  <r>
    <d v="2025-04-29T00:00:00"/>
    <x v="1"/>
    <x v="3"/>
    <s v="JAP6562799"/>
    <x v="0"/>
    <s v="Departamento en venta 3 ambientes en Villa Ballester con balcon"/>
    <s v="Realizado"/>
    <s v="AR ZonaProp"/>
    <n v="77900"/>
    <x v="91"/>
    <x v="1"/>
    <s v="Dólares"/>
    <s v="Dólares"/>
    <s v="Belgrano 4721"/>
    <s v="Argentina | G.B.A. Zona Norte | General San Martin | Villa Ballester"/>
    <x v="0"/>
    <n v="2"/>
    <s v="Lion Team Norte"/>
    <s v="Propia (Único Asesor)"/>
    <x v="1"/>
    <s v="Venta"/>
    <x v="6"/>
    <s v="Vicente López"/>
  </r>
  <r>
    <d v="2025-05-14T00:00:00"/>
    <x v="1"/>
    <x v="2"/>
    <s v="CHO6051302"/>
    <x v="0"/>
    <s v="CASA EN PALPALA "/>
    <s v="Realizado"/>
    <s v="Cartel"/>
    <n v="70000"/>
    <x v="91"/>
    <x v="1"/>
    <s v="Dólares"/>
    <s v="Dólares"/>
    <s v="RIO COLORADO  260"/>
    <s v="Argentina | Jujuy | Palpala | Palpala"/>
    <x v="2"/>
    <n v="2"/>
    <s v="Plaza"/>
    <s v="Propia (Único Asesor)"/>
    <x v="1"/>
    <s v="Venta"/>
    <x v="8"/>
    <s v="Capital Jujuy"/>
  </r>
  <r>
    <d v="2025-06-03T00:00:00"/>
    <x v="1"/>
    <x v="4"/>
    <s v="CHO6412163"/>
    <x v="0"/>
    <s v="Casa - Barrio Fincas de San Vicente"/>
    <s v="Realizado"/>
    <s v="AR ZonaProp"/>
    <n v="84999"/>
    <x v="91"/>
    <x v="1"/>
    <s v="Dólares"/>
    <s v="Dólares"/>
    <s v="Fincas de san Vicente Golf"/>
    <s v="Argentina | G.B.A. Zona Sur | San Vicente | Countries/B.Cerrado (San Vicente) | Barrio Fincas de San Vicente"/>
    <x v="2"/>
    <n v="2"/>
    <s v="Boutique"/>
    <s v="Propia (Único Asesor)"/>
    <x v="1"/>
    <s v="Venta"/>
    <x v="0"/>
    <s v="Canning"/>
  </r>
  <r>
    <d v="2025-06-23T00:00:00"/>
    <x v="1"/>
    <x v="4"/>
    <s v="CAP6968039"/>
    <x v="0"/>
    <s v="VENTA Departamento 2 ambientes  BELGRANO"/>
    <s v="Realizado"/>
    <s v="AR ZonaProp"/>
    <n v="75000"/>
    <x v="91"/>
    <x v="1"/>
    <s v="Dólares"/>
    <s v="Dólares"/>
    <s v="Vuelta de Obligado  al 3000"/>
    <s v="Argentina | Capital Federal | Belgrano "/>
    <x v="0"/>
    <n v="2"/>
    <s v="Quality"/>
    <s v="Propia (Único Asesor)"/>
    <x v="1"/>
    <s v="Venta"/>
    <x v="6"/>
    <s v="Escobar"/>
  </r>
  <r>
    <d v="2025-06-26T00:00:00"/>
    <x v="1"/>
    <x v="4"/>
    <s v="CHO7031625"/>
    <x v="0"/>
    <s v="Casa en  Villa California"/>
    <s v="Realizado"/>
    <s v="Referido"/>
    <n v="78000"/>
    <x v="91"/>
    <x v="1"/>
    <s v="Dólares"/>
    <s v="Dólares"/>
    <s v="Calle del Sol al 2100"/>
    <s v="Argentina | Santa Fe | La Capital | San Jose Del Rincon | Villa California"/>
    <x v="2"/>
    <n v="2"/>
    <s v="De la Veracruz"/>
    <s v="Propia (Único Asesor)"/>
    <x v="1"/>
    <s v="Venta"/>
    <x v="5"/>
    <s v="Capital Santa Fe"/>
  </r>
  <r>
    <d v="2025-08-05T00:00:00"/>
    <x v="1"/>
    <x v="5"/>
    <s v="CAP6380790"/>
    <x v="0"/>
    <s v="VENTA DEPARTAMENTO 3 AMBIENTES EN MONSERRAT CAPITAL FEDERAL"/>
    <s v="Realizado"/>
    <s v="AR ZonaProp"/>
    <n v="75000"/>
    <x v="91"/>
    <x v="1"/>
    <s v="Dólares"/>
    <s v="Dólares"/>
    <s v="Avenida Belgrano al 1600"/>
    <s v="Argentina | Capital Federal | Monserrat "/>
    <x v="0"/>
    <n v="2"/>
    <s v="Seniority Plus"/>
    <s v="Propia (Único Asesor)"/>
    <x v="1"/>
    <s v="Venta"/>
    <x v="3"/>
    <s v="Palermo"/>
  </r>
  <r>
    <d v="2025-09-04T00:00:00"/>
    <x v="1"/>
    <x v="6"/>
    <s v="CBU64422 AP7067292"/>
    <x v="0"/>
    <s v="Monoambiente, departamento, balcon, a estrenar, avenidas, flores, caballito"/>
    <s v="Realizado"/>
    <s v="AR MercadoLibre"/>
    <n v="72000"/>
    <x v="91"/>
    <x v="1"/>
    <s v="Dólares"/>
    <s v="Dólares"/>
    <s v="Bonorino 173"/>
    <s v="Argentina | Capital Federal | Flores "/>
    <x v="0"/>
    <n v="2"/>
    <s v="Lion Team"/>
    <s v="Propia (Único Asesor)"/>
    <x v="1"/>
    <s v="Venta"/>
    <x v="3"/>
    <s v="Villa Urquiza"/>
  </r>
  <r>
    <d v="2025-09-30T00:00:00"/>
    <x v="1"/>
    <x v="6"/>
    <s v="CPH6387759"/>
    <x v="0"/>
    <s v="VENTA PH 4 AMBIENTES SIN EXPENSAS C/ TERRAZA, QUINCHO Y PARRILLA. BERNAL. APTO CREDITO."/>
    <s v="Realizado"/>
    <s v="AR ZonaProp"/>
    <n v="75000"/>
    <x v="91"/>
    <x v="1"/>
    <s v="Dólares"/>
    <s v="Dólares"/>
    <s v="Dardo Rocha al 500"/>
    <s v="Argentina | G.B.A. Zona Sur | Quilmes | Bernal Oeste"/>
    <x v="3"/>
    <n v="2"/>
    <s v="Seniority"/>
    <s v="Propia (Único Asesor)"/>
    <x v="1"/>
    <s v="Venta"/>
    <x v="3"/>
    <s v="Barrio Parque"/>
  </r>
  <r>
    <d v="2025-12-16T00:00:00"/>
    <x v="1"/>
    <x v="8"/>
    <s v="CHO6457504"/>
    <x v="0"/>
    <s v="CASA EN VENTA EN LOTE DE 10 HECTAREAS EN EL DELTA DEL TIGRE EXCELENTE UBICACION EN PRIMERA SECCION"/>
    <s v="Realizado"/>
    <s v="AR MercadoLibre"/>
    <n v="65000"/>
    <x v="91"/>
    <x v="1"/>
    <s v="Dólares"/>
    <s v="Dólares"/>
    <s v="Entre Arroyo Helbes y Arroyo Antequera"/>
    <s v="Argentina | G.B.A. Zona Norte | Tigre | Zona Delta Tigre"/>
    <x v="2"/>
    <n v="2"/>
    <s v="Lion Team"/>
    <s v="Propia (Único Asesor)"/>
    <x v="1"/>
    <s v="Venta"/>
    <x v="3"/>
    <s v="Villa Urquiza"/>
  </r>
  <r>
    <d v="2025-12-20T00:00:00"/>
    <x v="1"/>
    <x v="8"/>
    <s v="CAP7393155"/>
    <x v="0"/>
    <s v="Venta Departamento en Palermo"/>
    <s v="Realizado"/>
    <s v="AR ZonaProp"/>
    <n v="75000"/>
    <x v="91"/>
    <x v="1"/>
    <s v="Dólares"/>
    <s v="Dólares"/>
    <s v="Charcas al 3700"/>
    <s v="Argentina | Capital Federal | Palermo "/>
    <x v="0"/>
    <n v="2"/>
    <s v="Seniority Plus"/>
    <s v="Propia (Único Asesor)"/>
    <x v="1"/>
    <s v="Venta"/>
    <x v="3"/>
    <s v="Palermo"/>
  </r>
  <r>
    <d v="2026-01-08T00:00:00"/>
    <x v="0"/>
    <x v="10"/>
    <s v="CCO69049 AP7644026"/>
    <x v="0"/>
    <s v="la mejor opcion en pozo en TIGRE - Remeros Brickell"/>
    <s v="Realizado"/>
    <s v="AR ZonaProp"/>
    <n v="135207"/>
    <x v="91"/>
    <x v="1"/>
    <s v="Dólares"/>
    <s v="Dólares"/>
    <s v="Esquiu  al 400"/>
    <s v="Argentina | G.B.A. Zona Norte | Tigre | Rincon de Milberg"/>
    <x v="0"/>
    <n v="2"/>
    <s v="Puerto Norte"/>
    <s v="Propia (Único Asesor)"/>
    <x v="1"/>
    <s v="Venta"/>
    <x v="6"/>
    <s v="Nordelta"/>
  </r>
  <r>
    <d v="2026-03-25T00:00:00"/>
    <x v="0"/>
    <x v="9"/>
    <s v="JAP7512061"/>
    <x v="0"/>
    <s v="Venta Departamento en Nuñez con balcon"/>
    <s v="Realizado"/>
    <s v="AR ZonaProp"/>
    <n v="75000"/>
    <x v="91"/>
    <x v="1"/>
    <s v="Dólares"/>
    <s v="Dólares"/>
    <s v="Quesada 2637"/>
    <s v="Argentina | Capital Federal | Nuñez "/>
    <x v="0"/>
    <n v="2"/>
    <s v="Lion Team Norte"/>
    <s v="Propia (Único Asesor)"/>
    <x v="1"/>
    <s v="Venta"/>
    <x v="6"/>
    <s v="Vicente López"/>
  </r>
  <r>
    <d v="2026-03-30T00:00:00"/>
    <x v="0"/>
    <x v="9"/>
    <s v="CHL7347814"/>
    <x v="0"/>
    <s v="Hotel en Once"/>
    <s v="Realizado"/>
    <s v="AR MercadoLibre"/>
    <n v="90000"/>
    <x v="91"/>
    <x v="1"/>
    <s v="Dólares"/>
    <s v="Dólares"/>
    <s v="Bartolomé Mitre al 2600"/>
    <s v="Argentina | Capital Federal | Once "/>
    <x v="10"/>
    <n v="2"/>
    <s v="Niceto"/>
    <s v="Propia (Único Asesor)"/>
    <x v="1"/>
    <s v="Venta"/>
    <x v="3"/>
    <s v="Palermo"/>
  </r>
  <r>
    <d v="2025-01-21T00:00:00"/>
    <x v="1"/>
    <x v="10"/>
    <s v="CHO5706080"/>
    <x v="0"/>
    <s v="Casa en Luis Guillon- 4 AMBIENTES - COCHERA - PARRILLA- QUINCHO-PERMUTA EN LA COSTA"/>
    <s v="Realizado"/>
    <s v="AR ZonaProp"/>
    <n v="69000"/>
    <x v="92"/>
    <x v="1"/>
    <s v="Dólares"/>
    <s v="Dólares"/>
    <s v="Bruzzone"/>
    <s v="Argentina | G.B.A. Zona Sur | Esteban Echeverria | Luis Guillon"/>
    <x v="2"/>
    <n v="2"/>
    <s v="Lion Team"/>
    <s v="Propia (Único Asesor)"/>
    <x v="1"/>
    <s v="Venta"/>
    <x v="3"/>
    <s v="Villa Urquiza"/>
  </r>
  <r>
    <d v="2025-02-12T00:00:00"/>
    <x v="1"/>
    <x v="0"/>
    <s v="CBU60233 AP6592851"/>
    <x v="0"/>
    <s v="Venta Departamento Monoambiente vista al lago a 5 minutos del centro"/>
    <s v="Realizado"/>
    <s v="Teléfono"/>
    <n v="76272"/>
    <x v="93"/>
    <x v="1"/>
    <s v="Dólares"/>
    <s v="Dólares"/>
    <s v="Avenida Pioneros, San Carlos de Bariloche"/>
    <s v="Argentina | Rio Negro | Bariloche | San Carlos De Bariloche | Centro"/>
    <x v="0"/>
    <n v="2"/>
    <s v="Patagonia Lakes BRC"/>
    <s v="Propia (Único Asesor)"/>
    <x v="1"/>
    <s v="Venta"/>
    <x v="7"/>
    <s v="Bariloche"/>
  </r>
  <r>
    <d v="2025-10-13T00:00:00"/>
    <x v="1"/>
    <x v="11"/>
    <s v="CAP6957444"/>
    <x v="0"/>
    <s v="Venta de monoambiente con balcón en Devoto"/>
    <s v="Realizado"/>
    <s v="Referido"/>
    <n v="73500"/>
    <x v="94"/>
    <x v="1"/>
    <s v="Dólares"/>
    <s v="Dólares"/>
    <s v="Mercedes  al 3200"/>
    <s v="Argentina | Capital Federal | Villa Devoto "/>
    <x v="0"/>
    <n v="1"/>
    <s v="Acqua"/>
    <s v="(Interior) Compartida Fuera de la Red Captación Propia"/>
    <x v="0"/>
    <s v="Venta"/>
    <x v="6"/>
    <s v="Pilar"/>
  </r>
  <r>
    <d v="2025-12-29T00:00:00"/>
    <x v="1"/>
    <x v="8"/>
    <s v="CAP7477747"/>
    <x v="0"/>
    <s v="VENTA Monoambiente UF 12, amoblado, céntrico,  Villa La Angostura"/>
    <s v="Realizado"/>
    <s v="Conocido"/>
    <n v="72000"/>
    <x v="94"/>
    <x v="1"/>
    <s v="Dólares"/>
    <s v="Dólares"/>
    <s v="Pichi Ruca y Av. Huemul"/>
    <s v="Argentina | Neuquen | Villa La Angostura | Las Piedritas"/>
    <x v="0"/>
    <n v="2"/>
    <s v="Patagonia Lakes VLA"/>
    <s v="Compartida en Oficina (Dos Asesores)"/>
    <x v="1"/>
    <s v="Venta"/>
    <x v="1"/>
    <s v="Villa La Angostura"/>
  </r>
  <r>
    <d v="2025-04-09T00:00:00"/>
    <x v="1"/>
    <x v="3"/>
    <m/>
    <x v="0"/>
    <s v="Búsqueda"/>
    <s v="Realizado"/>
    <s v="AR ZonaProp"/>
    <n v="71000"/>
    <x v="94"/>
    <x v="1"/>
    <s v="Dólares"/>
    <s v="Dólares"/>
    <s v="Constitución 1511 1° piso CABA"/>
    <s v="Argentina | Capital Federal | Constitución "/>
    <x v="0"/>
    <n v="1"/>
    <s v="Ser"/>
    <s v="Compartida Fuera de la Red Búsqueda"/>
    <x v="2"/>
    <s v="Venta"/>
    <x v="3"/>
    <s v="Belgrano"/>
  </r>
  <r>
    <d v="2025-04-09T00:00:00"/>
    <x v="1"/>
    <x v="3"/>
    <m/>
    <x v="0"/>
    <s v="Búsqueda"/>
    <s v="Realizado"/>
    <s v="AR ZonaProp"/>
    <n v="71000"/>
    <x v="94"/>
    <x v="1"/>
    <s v="Dólares"/>
    <s v="Dólares"/>
    <s v="Constitución 1511 CABA"/>
    <s v="Argentina | Capital Federal | Constitución "/>
    <x v="0"/>
    <n v="1"/>
    <s v="Ser"/>
    <s v="Compartida Fuera de la Red Búsqueda"/>
    <x v="2"/>
    <s v="Venta"/>
    <x v="3"/>
    <s v="Belgrano"/>
  </r>
  <r>
    <d v="2025-10-07T00:00:00"/>
    <x v="1"/>
    <x v="11"/>
    <s v="CAP7161805"/>
    <x v="0"/>
    <s v="Venta de departamento de 2 ambientes en Almagro super luminoso! - Permuta"/>
    <s v="Realizado"/>
    <s v="AR ZonaProp"/>
    <n v="75000"/>
    <x v="94"/>
    <x v="1"/>
    <s v="Dólares"/>
    <s v="Dólares"/>
    <s v=" Colombres al 400"/>
    <s v="Argentina | Capital Federal | Almagro "/>
    <x v="0"/>
    <n v="2"/>
    <s v="Lion Team"/>
    <s v="Propia (Único Asesor)"/>
    <x v="1"/>
    <s v="Venta"/>
    <x v="3"/>
    <s v="Villa Urquiza"/>
  </r>
  <r>
    <d v="2025-11-05T00:00:00"/>
    <x v="1"/>
    <x v="7"/>
    <s v="CBU64422 AP7067292"/>
    <x v="0"/>
    <s v="Monoambiente, departamento, balcon, a estrenar, avenidas, flores, caballito"/>
    <s v="Realizado"/>
    <s v="AR MercadoLibre"/>
    <n v="72000"/>
    <x v="94"/>
    <x v="1"/>
    <s v="Dólares"/>
    <s v="Dólares"/>
    <s v="Bonorino 173"/>
    <s v="Argentina | Capital Federal | Flores "/>
    <x v="0"/>
    <n v="2"/>
    <s v="Lion Team"/>
    <s v="Propia (Único Asesor)"/>
    <x v="1"/>
    <s v="Venta"/>
    <x v="3"/>
    <s v="Villa Urquiza"/>
  </r>
  <r>
    <d v="2025-12-01T00:00:00"/>
    <x v="1"/>
    <x v="8"/>
    <s v="CLO6633490"/>
    <x v="0"/>
    <s v="Local Comercial en  Venta en Estación Torreón"/>
    <s v="Realizado"/>
    <s v="AR ZonaProp"/>
    <n v="75000"/>
    <x v="94"/>
    <x v="1"/>
    <s v="Dólares"/>
    <s v="Dólares"/>
    <s v="IRIGOYEN H. al 2500"/>
    <s v="Argentina | Mendoza | Maipu | Luzuriaga"/>
    <x v="4"/>
    <n v="2"/>
    <s v="Cuyo Real"/>
    <s v="Propia (Único Asesor)"/>
    <x v="1"/>
    <s v="Venta"/>
    <x v="2"/>
    <s v="Capital Mendoza"/>
  </r>
  <r>
    <d v="2026-03-27T00:00:00"/>
    <x v="0"/>
    <x v="9"/>
    <s v="Alberdi 1125"/>
    <x v="0"/>
    <s v="Alberdi 1125"/>
    <s v="Realizado"/>
    <s v="AR ArgenProp"/>
    <n v="71000"/>
    <x v="94"/>
    <x v="1"/>
    <s v="Dólares"/>
    <s v="Dólares"/>
    <s v="Alberdi 1125"/>
    <s v="Argentina | G.B.A. Zona Oeste | Moron | Villa Sarmiento"/>
    <x v="3"/>
    <n v="2"/>
    <s v="Lion Team"/>
    <s v="Propia (Único Asesor)"/>
    <x v="1"/>
    <s v="Venta"/>
    <x v="3"/>
    <s v="Villa Urquiza"/>
  </r>
  <r>
    <d v="2026-03-26T00:00:00"/>
    <x v="0"/>
    <x v="9"/>
    <s v="CAP7320997"/>
    <x v="0"/>
    <s v="VENTA DEPARTAMENTO 2 AMBIENTES CON BALCÓN"/>
    <s v="Realizado"/>
    <s v="AR ZonaProp"/>
    <n v="75000"/>
    <x v="95"/>
    <x v="1"/>
    <s v="Dólares"/>
    <s v="Dólares"/>
    <s v="Tucuman  al 2200"/>
    <s v="Argentina | Capital Federal | Balvanera "/>
    <x v="0"/>
    <n v="2"/>
    <s v="Destino II"/>
    <s v="Compartida Fuera de la Red Captación Propia"/>
    <x v="0"/>
    <s v="Venta"/>
    <x v="3"/>
    <s v="Recoleta"/>
  </r>
  <r>
    <d v="2025-05-26T00:00:00"/>
    <x v="1"/>
    <x v="2"/>
    <s v="CAP6621655"/>
    <x v="0"/>
    <s v="Dpto. en venta  Mariano Boedo al 200 apto credito"/>
    <s v="Realizado"/>
    <s v="Facebook"/>
    <n v="71500"/>
    <x v="95"/>
    <x v="1"/>
    <s v="Dólares"/>
    <s v="Dólares"/>
    <s v="Mariano Boedo  al 200"/>
    <s v="Argentina | Salta | Capital | Salta | Zona Centro"/>
    <x v="0"/>
    <n v="2"/>
    <s v="Realty Group"/>
    <s v="Propia (Único Asesor)"/>
    <x v="1"/>
    <s v="Venta"/>
    <x v="4"/>
    <s v="San Lorenzo Chico"/>
  </r>
  <r>
    <d v="2025-09-23T00:00:00"/>
    <x v="1"/>
    <x v="6"/>
    <s v="EL cano 379"/>
    <x v="0"/>
    <s v="lote venta el cano 379"/>
    <s v="Realizado"/>
    <s v="AR MercadoLibre"/>
    <n v="71500"/>
    <x v="95"/>
    <x v="1"/>
    <s v="Dólares"/>
    <s v="Dólares"/>
    <m/>
    <s v="Argentina | G.B.A. Zona Sur | Berazategui | Guillermo E Hudson"/>
    <x v="1"/>
    <n v="2"/>
    <s v="Livello"/>
    <s v="Propia (Único Asesor)"/>
    <x v="1"/>
    <s v="Venta"/>
    <x v="3"/>
    <s v="Palermo"/>
  </r>
  <r>
    <d v="2026-02-05T00:00:00"/>
    <x v="0"/>
    <x v="0"/>
    <s v="CBU59332 AP7065680"/>
    <x v="0"/>
    <s v="Departamento en  venta de 2 ambientes en Villa Urquiza CABA"/>
    <s v="Realizado"/>
    <s v="AR ZonaProp"/>
    <n v="77000"/>
    <x v="95"/>
    <x v="1"/>
    <s v="Dólares"/>
    <s v="Dólares"/>
    <s v="Zado  al 3500 -1°  Villa Urquiza"/>
    <s v="Argentina | Capital Federal | Villa Urquiza "/>
    <x v="0"/>
    <n v="2"/>
    <s v="Audacity"/>
    <s v="Propia (Único Asesor)"/>
    <x v="1"/>
    <s v="Venta"/>
    <x v="9"/>
    <s v="Parque Leloir"/>
  </r>
  <r>
    <d v="2026-03-02T00:00:00"/>
    <x v="0"/>
    <x v="9"/>
    <s v="op 235"/>
    <x v="0"/>
    <s v="Av Mitre 962 15"/>
    <s v="Realizado"/>
    <s v="AR ZonaProp"/>
    <n v="143500"/>
    <x v="96"/>
    <x v="1"/>
    <s v="Dólares"/>
    <s v="Dólares"/>
    <s v="Av Mitre 962 15"/>
    <s v="Argentina | G.B.A. Zona Sur | Avellaneda "/>
    <x v="0"/>
    <n v="1"/>
    <s v="Seniority Plus"/>
    <s v="Compartida Fuera de la Red Búsqueda"/>
    <x v="2"/>
    <s v="Venta"/>
    <x v="3"/>
    <s v="Palermo"/>
  </r>
  <r>
    <d v="2025-01-06T00:00:00"/>
    <x v="1"/>
    <x v="10"/>
    <m/>
    <x v="0"/>
    <s v="VENTA Monoambiente 39,94m2 - UF 50, pozo, Paseo Retamas, Villa la Angostura, Villa la Angostura"/>
    <s v="Realizado"/>
    <s v="Conocido"/>
    <n v="71793"/>
    <x v="97"/>
    <x v="1"/>
    <s v="Dólares"/>
    <s v="Dólares"/>
    <s v="Retamas 200"/>
    <s v="Argentina | Neuquen | Villa La Angostura | Centro"/>
    <x v="0"/>
    <n v="2"/>
    <s v="Patagonia Lakes VLA"/>
    <s v="Propia (Único Asesor)"/>
    <x v="1"/>
    <s v="Venta"/>
    <x v="1"/>
    <s v="Villa La Angostura"/>
  </r>
  <r>
    <d v="2025-12-18T00:00:00"/>
    <x v="1"/>
    <x v="8"/>
    <s v="Italia 6202"/>
    <x v="0"/>
    <s v="Italia 6202"/>
    <s v="Realizado"/>
    <s v="AR ZonaProp"/>
    <n v="72000"/>
    <x v="98"/>
    <x v="1"/>
    <s v="Dólares"/>
    <s v="Dólares"/>
    <s v="Italia 6202"/>
    <s v="Argentina | G.B.A. Zona Norte | General San Martin | Villa Ballester"/>
    <x v="0"/>
    <n v="1"/>
    <s v="Lion Team Norte"/>
    <s v="(Interior) Compartida Fuera de la Red Búsqueda"/>
    <x v="2"/>
    <s v="Venta"/>
    <x v="6"/>
    <s v="Vicente López"/>
  </r>
  <r>
    <d v="2025-05-13T00:00:00"/>
    <x v="1"/>
    <x v="2"/>
    <s v="CGL6937031"/>
    <x v="0"/>
    <s v="Galpón en Salida de salta | Avenida Asuncion"/>
    <s v="Realizado"/>
    <s v="Facebook"/>
    <n v="2000"/>
    <x v="98"/>
    <x v="1"/>
    <s v="Dólares"/>
    <s v="Dólares"/>
    <s v="Avenida asuncion  al 1600"/>
    <s v="Argentina | Salta | Capital | Salta | Zona Este"/>
    <x v="7"/>
    <n v="1"/>
    <s v="Realty Group"/>
    <s v="(Interior) Compartida Fuera de la Red Captación Propia"/>
    <x v="0"/>
    <s v="Venta"/>
    <x v="4"/>
    <s v="San Lorenzo Chico"/>
  </r>
  <r>
    <d v="2025-06-23T00:00:00"/>
    <x v="1"/>
    <x v="4"/>
    <s v="CAP6746032"/>
    <x v="0"/>
    <s v="Departamento en  venta  salta centro. Zorrilla 100"/>
    <s v="Realizado"/>
    <s v="Facebook"/>
    <n v="72000"/>
    <x v="98"/>
    <x v="1"/>
    <s v="Dólares"/>
    <s v="Dólares"/>
    <s v="PJE ZORRILLA al 100"/>
    <s v="Argentina | Salta | Capital | Salta | Zona Centro"/>
    <x v="0"/>
    <n v="1"/>
    <s v="Realty Group"/>
    <s v="(Interior) Compartida Fuera de la Red Captación Propia"/>
    <x v="0"/>
    <s v="Venta"/>
    <x v="4"/>
    <s v="San Lorenzo Chico"/>
  </r>
  <r>
    <d v="2025-03-12T00:00:00"/>
    <x v="1"/>
    <x v="9"/>
    <s v="VAP6644888"/>
    <x v="0"/>
    <s v="Departamento en Venta - 2 amb con Jardín y Galería con parrilla - ASTON VILLAGE PILAR"/>
    <s v="Realizado"/>
    <s v="AR ZonaProp"/>
    <n v="80000"/>
    <x v="98"/>
    <x v="1"/>
    <s v="Dólares"/>
    <s v="Dólares"/>
    <s v="Departamento en Venta - 2 amb con Jardín y Galería con parrilla - ASTON VILLAGE PILAR"/>
    <s v="Argentina | G.B.A. Zona Norte | Pilar | Villa Rosa"/>
    <x v="0"/>
    <n v="2"/>
    <s v="Puerto Norte"/>
    <s v="Compartida en Oficina (Dos Asesores)"/>
    <x v="1"/>
    <s v="Venta"/>
    <x v="6"/>
    <s v="Nordelta"/>
  </r>
  <r>
    <d v="2025-08-06T00:00:00"/>
    <x v="1"/>
    <x v="5"/>
    <s v="CAP7176434"/>
    <x v="0"/>
    <s v="Venta - Departamento - 1 Amb - Floresta - Apto Credito "/>
    <s v="Realizado"/>
    <s v="AR MercadoLibre"/>
    <n v="36000"/>
    <x v="98"/>
    <x v="1"/>
    <s v="Dólares"/>
    <s v="Dólares"/>
    <s v="Juan B Justo 7200"/>
    <s v="Argentina | Capital Federal | Floresta "/>
    <x v="0"/>
    <n v="2"/>
    <s v="Lion Team"/>
    <s v="Compartida en Oficina (Dos Asesores)"/>
    <x v="1"/>
    <s v="Venta"/>
    <x v="3"/>
    <s v="Villa Urquiza"/>
  </r>
  <r>
    <d v="2025-12-11T00:00:00"/>
    <x v="1"/>
    <x v="8"/>
    <s v="CPH7096164"/>
    <x v="0"/>
    <s v="VENTA  PH en  Parque Avellaneda"/>
    <s v="Realizado"/>
    <s v="AR ArgenProp"/>
    <n v="75000"/>
    <x v="98"/>
    <x v="1"/>
    <s v="Dólares"/>
    <s v="Dólares"/>
    <s v="MOZART  al 500"/>
    <s v="Argentina | Capital Federal | Parque Avellaneda "/>
    <x v="3"/>
    <n v="2"/>
    <s v="Lion Team"/>
    <s v="Compartida en Oficina (Dos Asesores)"/>
    <x v="1"/>
    <s v="Venta"/>
    <x v="3"/>
    <s v="Villa Urquiza"/>
  </r>
  <r>
    <d v="2025-08-14T00:00:00"/>
    <x v="1"/>
    <x v="5"/>
    <s v="OP 170"/>
    <x v="2"/>
    <s v="thames 56 213"/>
    <s v="Realizado"/>
    <s v="AR ZonaProp"/>
    <n v="72000"/>
    <x v="98"/>
    <x v="1"/>
    <s v="Dólares"/>
    <s v="Dólares"/>
    <m/>
    <s v="Argentina | Capital Federal | Villa Crespo "/>
    <x v="0"/>
    <n v="2"/>
    <s v="Seniority Plus"/>
    <s v="Compartida en Red (50%)"/>
    <x v="1"/>
    <s v="Venta"/>
    <x v="3"/>
    <s v="Palermo"/>
  </r>
  <r>
    <d v="2025-08-11T00:00:00"/>
    <x v="1"/>
    <x v="5"/>
    <n v="10481"/>
    <x v="0"/>
    <s v="beiro"/>
    <s v="Realizado"/>
    <s v="AR ZonaProp"/>
    <n v="0"/>
    <x v="98"/>
    <x v="1"/>
    <s v="Dólares"/>
    <s v="Dólares"/>
    <m/>
    <s v="Argentina | Capital Federal | Villa Devoto "/>
    <x v="0"/>
    <n v="1"/>
    <s v="Seniority"/>
    <s v="Compartida Fuera de la Red Búsqueda"/>
    <x v="2"/>
    <s v="Venta"/>
    <x v="3"/>
    <s v="Barrio Parque"/>
  </r>
  <r>
    <d v="2025-09-12T00:00:00"/>
    <x v="1"/>
    <x v="6"/>
    <n v="33"/>
    <x v="0"/>
    <s v="Honduras 5111"/>
    <s v="Realizado"/>
    <s v="AR ZonaProp"/>
    <n v="72000"/>
    <x v="98"/>
    <x v="1"/>
    <s v="Dólares"/>
    <s v="Dólares"/>
    <s v="Honduras 5111"/>
    <s v="Argentina | Capital Federal | Palermo "/>
    <x v="0"/>
    <n v="1"/>
    <s v="Grupo Elite"/>
    <s v="Compartida Fuera de la Red Búsqueda"/>
    <x v="2"/>
    <s v="Venta"/>
    <x v="3"/>
    <s v="Puerto Madero"/>
  </r>
  <r>
    <d v="2025-10-17T00:00:00"/>
    <x v="1"/>
    <x v="11"/>
    <m/>
    <x v="0"/>
    <s v="Peña 2028 3A - RBA inmobiliaria - Rodriquez Mañe"/>
    <s v="Realizado"/>
    <s v="AR ZonaProp"/>
    <n v="72000"/>
    <x v="98"/>
    <x v="1"/>
    <s v="Dólares"/>
    <s v="Dólares"/>
    <s v="Peña 2028"/>
    <s v="Argentina | Capital Federal | Recoleta "/>
    <x v="0"/>
    <n v="1"/>
    <s v="Destino"/>
    <s v="Compartida Fuera de la Red Búsqueda"/>
    <x v="2"/>
    <s v="Venta"/>
    <x v="3"/>
    <s v="Recoleta"/>
  </r>
  <r>
    <d v="2026-01-29T00:00:00"/>
    <x v="0"/>
    <x v="10"/>
    <n v="20"/>
    <x v="0"/>
    <s v="Dpto Salguero"/>
    <s v="Realizado"/>
    <s v="AR MercadoLibre"/>
    <n v="0"/>
    <x v="98"/>
    <x v="1"/>
    <s v="Dólares"/>
    <s v="Dólares"/>
    <s v="Salguero"/>
    <s v="Argentina | Capital Federal | Recoleta "/>
    <x v="0"/>
    <n v="1"/>
    <s v="Desiderio"/>
    <s v="Compartida Fuera de la Red Búsqueda"/>
    <x v="2"/>
    <s v="Venta"/>
    <x v="3"/>
    <s v="Caballito"/>
  </r>
  <r>
    <d v="2026-03-16T00:00:00"/>
    <x v="0"/>
    <x v="9"/>
    <n v="10723"/>
    <x v="0"/>
    <s v="Dpto en venta Cabildo 4716"/>
    <s v="Realizado"/>
    <s v="AR ZonaProp"/>
    <n v="72000"/>
    <x v="98"/>
    <x v="1"/>
    <s v="Dólares"/>
    <s v="Dólares"/>
    <s v="Av. Cabildo 4716"/>
    <s v="Argentina | Capital Federal | Belgrano "/>
    <x v="0"/>
    <n v="1"/>
    <s v="Seniority"/>
    <s v="Compartida Fuera de la Red Búsqueda"/>
    <x v="2"/>
    <s v="Venta"/>
    <x v="3"/>
    <s v="Barrio Parque"/>
  </r>
  <r>
    <d v="2025-07-15T00:00:00"/>
    <x v="1"/>
    <x v="1"/>
    <s v="CLO6864210"/>
    <x v="0"/>
    <s v="Locales en Venta en Calle Azcuénaga - Guaymallén - Mendoza"/>
    <s v="Realizado"/>
    <s v="AR ZonaProp"/>
    <n v="83000"/>
    <x v="98"/>
    <x v="1"/>
    <s v="Dólares"/>
    <s v="Dólares"/>
    <s v="Calle Azcuénaga al 1300"/>
    <s v="Argentina | Mendoza | Guaymallen "/>
    <x v="4"/>
    <n v="2"/>
    <s v="Cuyo Real"/>
    <s v="Profesional Referido (70%)"/>
    <x v="1"/>
    <s v="Venta"/>
    <x v="2"/>
    <s v="Capital Mendoza"/>
  </r>
  <r>
    <d v="2025-02-03T00:00:00"/>
    <x v="1"/>
    <x v="0"/>
    <s v="Av. Álvarez Thomas 827"/>
    <x v="0"/>
    <s v="Av. Álvarez Thomas 827"/>
    <s v="Realizado"/>
    <s v="AR ArgenProp"/>
    <n v="72000"/>
    <x v="98"/>
    <x v="1"/>
    <s v="Dólares"/>
    <s v="Dólares"/>
    <s v="Av. Álvarez Thomas 827"/>
    <s v="Argentina | Capital Federal | Capital Federal "/>
    <x v="0"/>
    <n v="2"/>
    <s v="Lion Team"/>
    <s v="Propia (Único Asesor)"/>
    <x v="1"/>
    <s v="Venta"/>
    <x v="3"/>
    <s v="Villa Urquiza"/>
  </r>
  <r>
    <d v="2025-03-12T00:00:00"/>
    <x v="1"/>
    <x v="9"/>
    <s v="CHO6478231"/>
    <x v="0"/>
    <s v="Casa Triplex con Cochera y Patio en Venta en Muñiz"/>
    <s v="Realizado"/>
    <s v="AR ZonaProp"/>
    <n v="80000"/>
    <x v="98"/>
    <x v="1"/>
    <s v="Dólares"/>
    <s v="Dólares"/>
    <s v="Rodriguez Peña 47"/>
    <s v="Argentina | G.B.A. Zona Norte | San Miguel | Muñiz"/>
    <x v="2"/>
    <n v="2"/>
    <s v="Audacity"/>
    <s v="Propia (Único Asesor)"/>
    <x v="1"/>
    <s v="Venta"/>
    <x v="9"/>
    <s v="Parque Leloir"/>
  </r>
  <r>
    <d v="2025-04-16T00:00:00"/>
    <x v="1"/>
    <x v="3"/>
    <m/>
    <x v="0"/>
    <s v="UF 7 Postal Patagónia"/>
    <s v="Realizado"/>
    <s v="AR MercadoLibre"/>
    <n v="72000"/>
    <x v="98"/>
    <x v="1"/>
    <s v="Dólares"/>
    <s v="Dólares"/>
    <m/>
    <s v="Argentina | Neuquen | Lacar | San Martin De Los Andes"/>
    <x v="1"/>
    <n v="2"/>
    <s v="Patagonia Lakes SMA"/>
    <s v="Propia (Único Asesor)"/>
    <x v="1"/>
    <s v="Venta"/>
    <x v="1"/>
    <s v="San Martín de los Andes"/>
  </r>
  <r>
    <d v="2025-08-22T00:00:00"/>
    <x v="1"/>
    <x v="5"/>
    <s v="CAP7016044"/>
    <x v="0"/>
    <s v="MODERNO  MONOAMBIENTE CON AMENITIES EN CABALLITO "/>
    <s v="Realizado"/>
    <s v="AR ZonaProp"/>
    <n v="74900"/>
    <x v="98"/>
    <x v="1"/>
    <s v="Dólares"/>
    <s v="Dólares"/>
    <s v="Juan B. Alberdi al 1600"/>
    <s v="Argentina | Capital Federal | Caballito "/>
    <x v="0"/>
    <n v="2"/>
    <s v="Destino"/>
    <s v="Propia (Único Asesor)"/>
    <x v="1"/>
    <s v="Venta"/>
    <x v="3"/>
    <s v="Recoleta"/>
  </r>
  <r>
    <d v="2026-02-25T00:00:00"/>
    <x v="0"/>
    <x v="0"/>
    <s v="BAP5198928"/>
    <x v="0"/>
    <s v="Departamento de dos ambientes"/>
    <s v="Realizado"/>
    <s v="AR ZonaProp"/>
    <n v="74000"/>
    <x v="98"/>
    <x v="1"/>
    <s v="Dólares"/>
    <s v="Dólares"/>
    <s v="Anchorena al 1100"/>
    <s v="Argentina | Capital Federal | Recoleta "/>
    <x v="0"/>
    <n v="2"/>
    <s v="Horizon Group"/>
    <s v="Propia (Único Asesor)"/>
    <x v="1"/>
    <s v="Venta"/>
    <x v="3"/>
    <s v="Núñez"/>
  </r>
  <r>
    <d v="2025-02-26T00:00:00"/>
    <x v="1"/>
    <x v="0"/>
    <s v="Duplex Batilana"/>
    <x v="0"/>
    <s v="Duplex Batilana"/>
    <s v="Realizado"/>
    <s v="AR ZonaProp"/>
    <n v="72300"/>
    <x v="99"/>
    <x v="1"/>
    <s v="Dólares"/>
    <s v="Dólares"/>
    <m/>
    <s v="Argentina | Neuquen | Capital "/>
    <x v="3"/>
    <n v="1"/>
    <s v="Sensus"/>
    <s v="Compartida Fuera de la Red Búsqueda"/>
    <x v="2"/>
    <s v="Venta"/>
    <x v="1"/>
    <s v="Capital Neuquén"/>
  </r>
  <r>
    <d v="2025-08-20T00:00:00"/>
    <x v="1"/>
    <x v="5"/>
    <s v="CAP7232048"/>
    <x v="0"/>
    <s v="Departamento en venta - 1 dormitorio CON COCHERA en 38 e/ 15 y 16, La Plata"/>
    <s v="Realizado"/>
    <s v="AR ArgenProp"/>
    <n v="87500"/>
    <x v="100"/>
    <x v="1"/>
    <s v="Dólares"/>
    <s v="Dólares"/>
    <s v="38 e/ 15 y 16 La Plata"/>
    <s v="Argentina | G.B.A. Zona Sur | La Plata | La Plata"/>
    <x v="0"/>
    <n v="2"/>
    <s v="Golden Team"/>
    <s v="Propia (Único Asesor)"/>
    <x v="1"/>
    <s v="Venta"/>
    <x v="0"/>
    <s v="La Plata"/>
  </r>
  <r>
    <d v="2025-10-28T00:00:00"/>
    <x v="1"/>
    <x v="11"/>
    <s v="AMENABAR 2081"/>
    <x v="0"/>
    <s v="AMENABAR 2081"/>
    <s v="Realizado"/>
    <s v="AR MercadoLibre"/>
    <n v="72500"/>
    <x v="101"/>
    <x v="1"/>
    <s v="Dólares"/>
    <s v="Dólares"/>
    <s v="AMENABAR 2081"/>
    <s v="Argentina | Capital Federal | Belgrano "/>
    <x v="0"/>
    <n v="1"/>
    <s v="Lion Team Norte"/>
    <s v="(Interior) Compartida Fuera de la Red Búsqueda"/>
    <x v="2"/>
    <s v="Venta"/>
    <x v="6"/>
    <s v="Vicente López"/>
  </r>
  <r>
    <d v="2026-03-14T00:00:00"/>
    <x v="0"/>
    <x v="9"/>
    <s v="116Stella"/>
    <x v="0"/>
    <s v="Casa en Guadalupe Oeste"/>
    <s v="Realizado"/>
    <s v="Referido"/>
    <n v="80000"/>
    <x v="101"/>
    <x v="1"/>
    <s v="Dólares"/>
    <s v="Dólares"/>
    <s v="Hernandarias 1700"/>
    <s v="Argentina | Santa Fe | La Capital | Santa Fe"/>
    <x v="2"/>
    <n v="1"/>
    <s v="De la Veracruz"/>
    <s v="(Interior) Compartida Fuera de la Red Búsqueda"/>
    <x v="2"/>
    <s v="Venta"/>
    <x v="5"/>
    <s v="Capital Santa Fe"/>
  </r>
  <r>
    <d v="2026-03-26T00:00:00"/>
    <x v="0"/>
    <x v="9"/>
    <s v="DEPTO 6 E 65 Y 66 1D 48M2"/>
    <x v="0"/>
    <s v="DEPTO 6 E 65 Y 66 1D 48M2"/>
    <s v="Realizado"/>
    <s v="AR ZonaProp"/>
    <n v="72500"/>
    <x v="101"/>
    <x v="1"/>
    <s v="Dólares"/>
    <s v="Dólares"/>
    <m/>
    <s v="Argentina | G.B.A. Zona Sur | La Plata "/>
    <x v="2"/>
    <n v="1"/>
    <s v="Golden Team"/>
    <s v="(Interior) Compartida Fuera de la Red Captación Propia"/>
    <x v="0"/>
    <s v="Venta"/>
    <x v="0"/>
    <s v="La Plata"/>
  </r>
  <r>
    <d v="2026-01-16T00:00:00"/>
    <x v="0"/>
    <x v="10"/>
    <s v="CHO7374306"/>
    <x v="0"/>
    <s v="Casa 2 dormitorios con Cochera en Villa Luzuriaga APTO CRÉDITO"/>
    <s v="Realizado"/>
    <s v="Cartel"/>
    <n v="85000"/>
    <x v="101"/>
    <x v="1"/>
    <s v="Dólares"/>
    <s v="Dólares"/>
    <s v="Santander  al 2900"/>
    <s v="Argentina | G.B.A. Zona Oeste | La Matanza | Villa Luzuriaga"/>
    <x v="2"/>
    <n v="2"/>
    <s v="Audacity"/>
    <s v="Propia (Único Asesor)"/>
    <x v="1"/>
    <s v="Venta"/>
    <x v="9"/>
    <s v="Parque Leloir"/>
  </r>
  <r>
    <d v="2025-07-30T00:00:00"/>
    <x v="1"/>
    <x v="1"/>
    <s v="80Stella"/>
    <x v="0"/>
    <s v="Departamento dos dormitorios en venta"/>
    <s v="Realizado"/>
    <s v="Referido"/>
    <n v="75000"/>
    <x v="102"/>
    <x v="1"/>
    <s v="Dólares"/>
    <s v="Dólares"/>
    <s v="Saavedra 2032 "/>
    <s v="Argentina | Santa Fe | La Capital | Santa Fe | Centro"/>
    <x v="0"/>
    <n v="1"/>
    <s v="De la Veracruz"/>
    <s v="(Interior) Compartida Fuera de la Red Búsqueda"/>
    <x v="2"/>
    <s v="Venta"/>
    <x v="5"/>
    <s v="Capital Santa Fe"/>
  </r>
  <r>
    <d v="2025-10-06T00:00:00"/>
    <x v="1"/>
    <x v="11"/>
    <s v="83Stella"/>
    <x v="0"/>
    <s v="Departamento de 1 dormitorio"/>
    <s v="Realizado"/>
    <s v="Conocido"/>
    <n v="73000"/>
    <x v="102"/>
    <x v="1"/>
    <s v="Dólares"/>
    <s v="Dólares"/>
    <s v="Av. Gral Lopez 3234"/>
    <s v="Argentina | Santa Fe | La Capital | Santa Fe"/>
    <x v="0"/>
    <n v="1"/>
    <s v="De la Veracruz"/>
    <s v="(Interior) Compartida Fuera de la Red Búsqueda"/>
    <x v="2"/>
    <s v="Venta"/>
    <x v="5"/>
    <s v="Capital Santa Fe"/>
  </r>
  <r>
    <d v="2026-02-09T00:00:00"/>
    <x v="0"/>
    <x v="0"/>
    <m/>
    <x v="0"/>
    <s v="Uvemvi casa venta punta compradora"/>
    <s v="Realizado"/>
    <s v="AR ZonaProp"/>
    <n v="73000"/>
    <x v="102"/>
    <x v="1"/>
    <s v="Dólares"/>
    <s v="Dólares"/>
    <m/>
    <s v="Argentina | Mendoza | Las Heras "/>
    <x v="2"/>
    <n v="1"/>
    <s v="Cuyo Real"/>
    <s v="(Interior) Compartida Fuera de la Red Búsqueda"/>
    <x v="2"/>
    <s v="Venta"/>
    <x v="2"/>
    <s v="Capital Mendoza"/>
  </r>
  <r>
    <d v="2026-02-13T00:00:00"/>
    <x v="0"/>
    <x v="0"/>
    <s v="110AgustinS"/>
    <x v="0"/>
    <s v="Casa en Mayoraz"/>
    <s v="Realizado"/>
    <s v="AR ZonaProp"/>
    <n v="80000"/>
    <x v="102"/>
    <x v="1"/>
    <s v="Dólares"/>
    <s v="Dólares"/>
    <m/>
    <m/>
    <x v="2"/>
    <n v="1"/>
    <s v="De la Veracruz"/>
    <s v="(Interior) Compartida Fuera de la Red Búsqueda"/>
    <x v="2"/>
    <s v="Venta"/>
    <x v="5"/>
    <s v="Capital Santa Fe"/>
  </r>
  <r>
    <d v="2025-12-01T00:00:00"/>
    <x v="1"/>
    <x v="8"/>
    <s v="CHO6098947"/>
    <x v="0"/>
    <s v="Casa en  Venta en Maipú - Mendoza"/>
    <s v="Realizado"/>
    <s v="AR ZonaProp"/>
    <n v="75000"/>
    <x v="102"/>
    <x v="1"/>
    <s v="Dólares"/>
    <s v="Dólares"/>
    <s v="Calle Pablo Pescara  al 600"/>
    <s v="Argentina | Mendoza | Maipu | Maipu"/>
    <x v="2"/>
    <n v="2"/>
    <s v="Cuyo Real"/>
    <s v="Compartida en Oficina (Dos Asesores)"/>
    <x v="1"/>
    <s v="Venta"/>
    <x v="2"/>
    <s v="Capital Mendoza"/>
  </r>
  <r>
    <d v="2025-11-14T00:00:00"/>
    <x v="1"/>
    <x v="7"/>
    <n v="10597"/>
    <x v="0"/>
    <s v="Dpto en venta"/>
    <s v="Realizado"/>
    <s v="AR ZonaProp"/>
    <n v="73000"/>
    <x v="102"/>
    <x v="1"/>
    <s v="Dólares"/>
    <s v="Dólares"/>
    <s v="Congreso 3321"/>
    <s v="Argentina | Capital Federal | Coghlan "/>
    <x v="0"/>
    <n v="1"/>
    <s v="Seniority"/>
    <s v="Compartida Fuera de la Red Búsqueda"/>
    <x v="2"/>
    <s v="Venta"/>
    <x v="3"/>
    <s v="Barrio Parque"/>
  </r>
  <r>
    <d v="2025-11-18T00:00:00"/>
    <x v="1"/>
    <x v="7"/>
    <n v="2"/>
    <x v="0"/>
    <s v="CASA Almeira"/>
    <s v="Realizado"/>
    <s v="AR MercadoLibre"/>
    <n v="73000"/>
    <x v="102"/>
    <x v="1"/>
    <s v="Dólares"/>
    <s v="Dólares"/>
    <s v="Almeira"/>
    <s v="Argentina | G.B.A. Zona Sur | Lomas De Zamora (Partido) | Banfield | Banfield Este"/>
    <x v="2"/>
    <n v="1"/>
    <s v="Desiderio"/>
    <s v="Compartida Fuera de la Red Búsqueda"/>
    <x v="2"/>
    <s v="Venta"/>
    <x v="3"/>
    <s v="Caballito"/>
  </r>
  <r>
    <d v="2025-02-18T00:00:00"/>
    <x v="1"/>
    <x v="0"/>
    <s v="CHO6809753"/>
    <x v="0"/>
    <s v="Casa en Loma Verde, Barrio Mi Campo"/>
    <s v="Realizado"/>
    <s v="AR ZonaProp"/>
    <n v="73000"/>
    <x v="102"/>
    <x v="1"/>
    <s v="Dólares"/>
    <s v="Dólares"/>
    <s v="County Mi Campo"/>
    <s v="Argentina | G.B.A. Zona Norte | Escobar | Loma Verde"/>
    <x v="2"/>
    <n v="2"/>
    <s v="Haka"/>
    <s v="Compartida Fuera de la Red Captación Propia"/>
    <x v="0"/>
    <s v="Venta"/>
    <x v="3"/>
    <s v="Núñez"/>
  </r>
  <r>
    <d v="2025-10-06T00:00:00"/>
    <x v="1"/>
    <x v="11"/>
    <s v="CPH7176485"/>
    <x v="0"/>
    <s v="Venta PH 3 Amb Sin Expensas Luminoso en San Isidro"/>
    <s v="Realizado"/>
    <s v="AR ZonaProp"/>
    <n v="74900"/>
    <x v="102"/>
    <x v="1"/>
    <s v="Dólares"/>
    <s v="Dólares"/>
    <s v="Cardenal Copello  747"/>
    <s v="Argentina | G.B.A. Zona Norte | San Isidro | San Isidro"/>
    <x v="3"/>
    <n v="2"/>
    <s v="Boutique"/>
    <s v="Compartida Fuera de la Red Captación Propia"/>
    <x v="0"/>
    <s v="Venta"/>
    <x v="0"/>
    <s v="Canning"/>
  </r>
  <r>
    <d v="2025-03-25T00:00:00"/>
    <x v="1"/>
    <x v="9"/>
    <s v="CAP6234853"/>
    <x v="0"/>
    <s v="Alquiler Monoambiente Recoleta"/>
    <s v="Realizado"/>
    <s v="AR ZonaProp"/>
    <n v="73000"/>
    <x v="102"/>
    <x v="1"/>
    <s v="Dólares"/>
    <s v="Dólares"/>
    <s v="Aguero al 1600"/>
    <s v="Argentina | Capital Federal | Recoleta "/>
    <x v="0"/>
    <n v="2"/>
    <s v="Destino II"/>
    <s v="Propia (Único Asesor)"/>
    <x v="1"/>
    <s v="Venta"/>
    <x v="3"/>
    <s v="Recoleta"/>
  </r>
  <r>
    <d v="2025-04-22T00:00:00"/>
    <x v="1"/>
    <x v="3"/>
    <s v="CHO6678923"/>
    <x v="0"/>
    <s v="CASA 3 AMB, JOSE MARMOL, FONDO, JARDIN, ADROGUE"/>
    <s v="Realizado"/>
    <s v="AR MercadoLibre"/>
    <n v="76000"/>
    <x v="102"/>
    <x v="1"/>
    <s v="Dólares"/>
    <s v="Dólares"/>
    <s v="KING  al 300 JOSE MARMOL"/>
    <s v="Argentina | G.B.A. Zona Sur | Almirante Brown | Jose Marmol"/>
    <x v="2"/>
    <n v="2"/>
    <s v="Lion Team"/>
    <s v="Propia (Único Asesor)"/>
    <x v="1"/>
    <s v="Venta"/>
    <x v="3"/>
    <s v="Villa Urquiza"/>
  </r>
  <r>
    <d v="2025-04-30T00:00:00"/>
    <x v="1"/>
    <x v="3"/>
    <s v="CPH6419004"/>
    <x v="0"/>
    <s v="PH - LOMAS DEL MIRADOR- 4 AMB- 2 BAÑOS- COCHERA-TERRAZA - LAVADERO -PERMUTA-FINANCIACIÓN DIRECTA"/>
    <s v="Realizado"/>
    <s v="AR ZonaProp"/>
    <n v="79900"/>
    <x v="102"/>
    <x v="1"/>
    <s v="Dólares"/>
    <s v="Dólares"/>
    <s v="MORENO al 3000"/>
    <s v="Argentina | G.B.A. Zona Oeste | La Matanza | Lomas Del Mirador"/>
    <x v="3"/>
    <n v="2"/>
    <s v="Lion Team"/>
    <s v="Propia (Único Asesor)"/>
    <x v="1"/>
    <s v="Venta"/>
    <x v="3"/>
    <s v="Villa Urquiza"/>
  </r>
  <r>
    <d v="2025-05-19T00:00:00"/>
    <x v="1"/>
    <x v="2"/>
    <s v="CAP6711358"/>
    <x v="0"/>
    <s v="Departamento 2 amb en Monte Castro"/>
    <s v="Realizado"/>
    <s v="AR ZonaProp"/>
    <n v="79900"/>
    <x v="102"/>
    <x v="1"/>
    <s v="Dólares"/>
    <s v="Dólares"/>
    <s v="Pedro Calderón de la Barca  al 1800"/>
    <s v="Argentina | Capital Federal | Monte Castro "/>
    <x v="0"/>
    <n v="2"/>
    <s v="Lion Team"/>
    <s v="Propia (Único Asesor)"/>
    <x v="1"/>
    <s v="Venta"/>
    <x v="3"/>
    <s v="Villa Urquiza"/>
  </r>
  <r>
    <d v="2025-08-18T00:00:00"/>
    <x v="1"/>
    <x v="5"/>
    <s v="JAP7037135"/>
    <x v="0"/>
    <s v="VENTA Depto 2 amb con balcón en Villa del Parque"/>
    <s v="Realizado"/>
    <s v="AR ZonaProp"/>
    <n v="78500"/>
    <x v="102"/>
    <x v="1"/>
    <s v="Dólares"/>
    <s v="Dólares"/>
    <s v="Baigorria al 2500"/>
    <s v="Argentina | Capital Federal | Villa del Parque "/>
    <x v="0"/>
    <n v="2"/>
    <s v="Lion Team Norte"/>
    <s v="Propia (Único Asesor)"/>
    <x v="1"/>
    <s v="Venta"/>
    <x v="6"/>
    <s v="Vicente López"/>
  </r>
  <r>
    <d v="2025-09-11T00:00:00"/>
    <x v="1"/>
    <x v="6"/>
    <s v="CLA6947141"/>
    <x v="0"/>
    <s v="Terreno en Neuquen"/>
    <s v="Realizado"/>
    <s v="Cartel"/>
    <n v="80000"/>
    <x v="102"/>
    <x v="1"/>
    <s v="Dólares"/>
    <s v="Dólares"/>
    <s v="TERRENO ESQUINA 467,94 M2 CALPA"/>
    <s v="Argentina | Neuquen | Confluencia | Neuquen"/>
    <x v="1"/>
    <n v="2"/>
    <s v="Sensus"/>
    <s v="Propia (Único Asesor)"/>
    <x v="1"/>
    <s v="Venta"/>
    <x v="1"/>
    <s v="Capital Neuquén"/>
  </r>
  <r>
    <d v="2025-11-12T00:00:00"/>
    <x v="1"/>
    <x v="7"/>
    <s v="CAP6767785"/>
    <x v="0"/>
    <s v="Venta 4 ambientes en Balvanera"/>
    <s v="Realizado"/>
    <s v="AR ZonaProp"/>
    <n v="79800"/>
    <x v="102"/>
    <x v="1"/>
    <s v="Dólares"/>
    <s v="Dólares"/>
    <s v="Lavalle al 2000"/>
    <s v="Argentina | Capital Federal | Balvanera "/>
    <x v="0"/>
    <n v="2"/>
    <s v="Destino"/>
    <s v="Propia (Único Asesor)"/>
    <x v="1"/>
    <s v="Venta"/>
    <x v="3"/>
    <s v="Recoleta"/>
  </r>
  <r>
    <d v="2025-12-04T00:00:00"/>
    <x v="1"/>
    <x v="8"/>
    <s v="CAP7329108"/>
    <x v="0"/>
    <s v="Departamento en venta 3 ambientes en Villa Luro con balcon "/>
    <s v="Realizado"/>
    <s v="AR ZonaProp"/>
    <n v="75000"/>
    <x v="102"/>
    <x v="1"/>
    <s v="Dólares"/>
    <s v="Dólares"/>
    <s v="Rafaela 4957  al 4900"/>
    <s v="Argentina | Capital Federal | Villa Luro "/>
    <x v="0"/>
    <n v="2"/>
    <s v="Lion Team"/>
    <s v="Propia (Único Asesor)"/>
    <x v="1"/>
    <s v="Venta"/>
    <x v="3"/>
    <s v="Villa Urquiza"/>
  </r>
  <r>
    <d v="2026-01-12T00:00:00"/>
    <x v="0"/>
    <x v="10"/>
    <n v="10657"/>
    <x v="0"/>
    <s v="Venta dpto"/>
    <s v="Realizado"/>
    <s v="AR ZonaProp"/>
    <n v="73000"/>
    <x v="102"/>
    <x v="1"/>
    <s v="Dólares"/>
    <s v="Dólares"/>
    <s v="Gral Paz 13061"/>
    <s v="Argentina | G.B.A. Zona Oeste | La Matanza | Lomas Del Mirador"/>
    <x v="0"/>
    <n v="2"/>
    <s v="Seniority"/>
    <s v="Propia (Único Asesor)"/>
    <x v="1"/>
    <s v="Venta"/>
    <x v="3"/>
    <s v="Barrio Parque"/>
  </r>
  <r>
    <d v="2026-03-13T00:00:00"/>
    <x v="0"/>
    <x v="9"/>
    <s v="CAP6630457"/>
    <x v="0"/>
    <s v="Departamento en Venta Maipú"/>
    <s v="Realizado"/>
    <s v="AR ZonaProp"/>
    <n v="75000"/>
    <x v="102"/>
    <x v="1"/>
    <s v="Dólares"/>
    <s v="Dólares"/>
    <s v="Villavicencio y Laguna Horcones"/>
    <s v="Argentina | Mendoza | Maipu | Luzuriaga"/>
    <x v="0"/>
    <n v="2"/>
    <s v="Cuyo Real"/>
    <s v="Propia (Único Asesor)"/>
    <x v="1"/>
    <s v="Venta"/>
    <x v="2"/>
    <s v="Capital Mendoza"/>
  </r>
  <r>
    <d v="2026-03-31T00:00:00"/>
    <x v="0"/>
    <x v="9"/>
    <s v="111Nano"/>
    <x v="0"/>
    <s v="Mitre 5607"/>
    <s v="Realizado"/>
    <s v="Cartel"/>
    <n v="75000"/>
    <x v="102"/>
    <x v="1"/>
    <s v="Dólares"/>
    <s v="Dólares"/>
    <s v="Mitre 5607"/>
    <s v="Argentina | Santa Fe | La Capital | Santa Fe"/>
    <x v="2"/>
    <n v="2"/>
    <s v="De la Veracruz"/>
    <s v="Propia (Único Asesor)"/>
    <x v="1"/>
    <s v="Venta"/>
    <x v="5"/>
    <s v="Capital Santa Fe"/>
  </r>
  <r>
    <d v="2025-01-14T00:00:00"/>
    <x v="1"/>
    <x v="10"/>
    <s v="CAP6662178"/>
    <x v="0"/>
    <s v="Departamento Monoambiente en Venta de pozo en 50 entre 26 y 27"/>
    <s v="Realizado"/>
    <s v="Referido"/>
    <n v="50500"/>
    <x v="103"/>
    <x v="1"/>
    <s v="Dólares"/>
    <s v="Dólares"/>
    <s v="Departamento Monoambiente en Venta de pozo en 50 entre 26 y 27  "/>
    <s v="Argentina | G.B.A. Zona Sur | La Plata | La Plata"/>
    <x v="0"/>
    <n v="2"/>
    <s v="Golden Team"/>
    <s v="Propia (Único Asesor)"/>
    <x v="1"/>
    <s v="Venta"/>
    <x v="0"/>
    <s v="La Plata"/>
  </r>
  <r>
    <d v="2025-02-21T00:00:00"/>
    <x v="1"/>
    <x v="0"/>
    <s v="CAP6566262"/>
    <x v="0"/>
    <s v="VENTA MONOAMBIENTE RECICLADO EN PALERMO BOTÁNICO PISO 13 APTO CRÉDITO"/>
    <s v="Realizado"/>
    <s v="AR ZonaProp"/>
    <n v="75000"/>
    <x v="104"/>
    <x v="1"/>
    <s v="Dólares"/>
    <s v="Dólares"/>
    <s v="Avenida Scalabrini Ortiz  al 2500"/>
    <s v="Argentina | Capital Federal | Palermo | Botanico"/>
    <x v="0"/>
    <n v="2"/>
    <s v="Seniority"/>
    <s v="Propia (Único Asesor)"/>
    <x v="1"/>
    <s v="Venta"/>
    <x v="3"/>
    <s v="Barrio Parque"/>
  </r>
  <r>
    <d v="2025-05-21T00:00:00"/>
    <x v="1"/>
    <x v="2"/>
    <s v="Av. Corrientes 5823"/>
    <x v="0"/>
    <s v="Av. Corrientes 5823"/>
    <s v="Realizado"/>
    <s v="AR ZonaProp"/>
    <n v="73500"/>
    <x v="104"/>
    <x v="1"/>
    <s v="Dólares"/>
    <s v="Dólares"/>
    <s v="Av. Corrientes 5823"/>
    <m/>
    <x v="0"/>
    <n v="2"/>
    <s v="Lion Team"/>
    <s v="Propia (Único Asesor)"/>
    <x v="1"/>
    <s v="Venta"/>
    <x v="3"/>
    <s v="Villa Urquiza"/>
  </r>
  <r>
    <d v="2026-03-26T00:00:00"/>
    <x v="0"/>
    <x v="9"/>
    <s v="CAP7622861"/>
    <x v="0"/>
    <s v="VENTA MONO  RECICLADO PLAZA SERRANO"/>
    <s v="Realizado"/>
    <s v="AR ZonaProp"/>
    <n v="79000"/>
    <x v="104"/>
    <x v="1"/>
    <s v="Dólares"/>
    <s v="Dólares"/>
    <s v="Jorge luis Borges  al 1600"/>
    <s v="Argentina | Capital Federal | Palermo | Palermo Soho"/>
    <x v="0"/>
    <n v="2"/>
    <s v="Destino II"/>
    <s v="Propia (Único Asesor)"/>
    <x v="1"/>
    <s v="Venta"/>
    <x v="3"/>
    <s v="Recoleta"/>
  </r>
  <r>
    <d v="2025-03-14T00:00:00"/>
    <x v="1"/>
    <x v="9"/>
    <s v="CBU60233 AP6592851"/>
    <x v="0"/>
    <s v="Venta Departamento Monoambiente vista al lago a 5 minutos del centro"/>
    <s v="Realizado"/>
    <s v="Teléfono"/>
    <n v="73548"/>
    <x v="105"/>
    <x v="1"/>
    <s v="Dólares"/>
    <s v="Dólares"/>
    <s v="Avenida Pioneros, San Carlos de Bariloche"/>
    <s v="Argentina | Rio Negro | Bariloche | San Carlos De Bariloche | Centro"/>
    <x v="0"/>
    <n v="2"/>
    <s v="Patagonia Lakes BRC"/>
    <s v="Propia (Único Asesor)"/>
    <x v="1"/>
    <s v="Venta"/>
    <x v="7"/>
    <s v="Bariloche"/>
  </r>
  <r>
    <d v="2025-09-05T00:00:00"/>
    <x v="1"/>
    <x v="6"/>
    <s v="CHO6280683"/>
    <x v="0"/>
    <s v="Casa en Banfield, banfield este, jardin, fondo, cochera, qui"/>
    <s v="Realizado"/>
    <s v="AR ArgenProp"/>
    <n v="119900"/>
    <x v="106"/>
    <x v="1"/>
    <s v="Dólares"/>
    <s v="Dólares"/>
    <s v="PINTOS al 1800"/>
    <s v="Argentina | G.B.A. Zona Sur | Lomas De Zamora (Partido) | Banfield | Banfield Este"/>
    <x v="2"/>
    <n v="2"/>
    <s v="Lion Team"/>
    <s v="Propia (Único Asesor)"/>
    <x v="1"/>
    <s v="Venta"/>
    <x v="3"/>
    <s v="Villa Urquiza"/>
  </r>
  <r>
    <d v="2025-08-08T00:00:00"/>
    <x v="1"/>
    <x v="5"/>
    <n v="8082025"/>
    <x v="0"/>
    <s v="Reserva Mirko Trato Directo Dpto vicealmirante O'Conno3 651"/>
    <s v="Realizado"/>
    <s v="Teléfono"/>
    <n v="74000"/>
    <x v="107"/>
    <x v="1"/>
    <s v="Dólares"/>
    <s v="Dólares"/>
    <m/>
    <s v="Argentina | Rio Negro | Bariloche | San Carlos De Bariloche"/>
    <x v="0"/>
    <n v="1"/>
    <s v="Patagonia Lakes BRC"/>
    <s v="(Interior) Compartida Fuera de la Red Búsqueda"/>
    <x v="2"/>
    <s v="Venta"/>
    <x v="7"/>
    <s v="Bariloche"/>
  </r>
  <r>
    <d v="2025-12-02T00:00:00"/>
    <x v="1"/>
    <x v="8"/>
    <s v="102Maricel"/>
    <x v="0"/>
    <s v="Dos casa en una propiedad"/>
    <s v="Realizado"/>
    <s v="Conocido"/>
    <n v="78000"/>
    <x v="107"/>
    <x v="1"/>
    <s v="Dólares"/>
    <s v="Dólares"/>
    <s v="Avellaneda 4301"/>
    <s v="Argentina | Santa Fe | La Capital | Santa Fe | Candioti Norte"/>
    <x v="2"/>
    <n v="1"/>
    <s v="De la Veracruz"/>
    <s v="(Interior) Compartida Fuera de la Red Búsqueda"/>
    <x v="2"/>
    <s v="Venta"/>
    <x v="5"/>
    <s v="Capital Santa Fe"/>
  </r>
  <r>
    <d v="2025-09-18T00:00:00"/>
    <x v="1"/>
    <x v="6"/>
    <s v="asuncion 2800"/>
    <x v="0"/>
    <s v="depto venta asunción 2800"/>
    <s v="Realizado"/>
    <s v="AR ZonaProp"/>
    <n v="74000"/>
    <x v="107"/>
    <x v="1"/>
    <s v="Dólares"/>
    <s v="Dólares"/>
    <m/>
    <s v="Argentina | Capital Federal | Agronomia "/>
    <x v="0"/>
    <n v="1"/>
    <s v="Livello"/>
    <s v="Compartida Fuera de la Red Búsqueda"/>
    <x v="2"/>
    <s v="Venta"/>
    <x v="3"/>
    <s v="Palermo"/>
  </r>
  <r>
    <d v="2025-02-12T00:00:00"/>
    <x v="1"/>
    <x v="0"/>
    <s v="CAP6636606"/>
    <x v="0"/>
    <s v="VENTA MONOAMBIENTE CON BALCÓN EN BELGRANO R"/>
    <s v="Realizado"/>
    <s v="AR ZonaProp"/>
    <n v="79000"/>
    <x v="107"/>
    <x v="1"/>
    <s v="Dólares"/>
    <s v="Dólares"/>
    <s v="Av. Dr. Rómulo Naón al 2300"/>
    <s v="Argentina | Capital Federal | Belgrano | Belgrano R"/>
    <x v="0"/>
    <n v="2"/>
    <s v="Seniority"/>
    <s v="Compartida Fuera de la Red Captación Propia"/>
    <x v="0"/>
    <s v="Venta"/>
    <x v="3"/>
    <s v="Barrio Parque"/>
  </r>
  <r>
    <d v="2025-06-24T00:00:00"/>
    <x v="1"/>
    <x v="4"/>
    <s v="CAP6659334"/>
    <x v="0"/>
    <s v="Departamento en Zona Centro Neuquén"/>
    <s v="Realizado"/>
    <s v="AR ZonaProp"/>
    <n v="74000"/>
    <x v="107"/>
    <x v="1"/>
    <s v="Dólares"/>
    <s v="Dólares"/>
    <s v="Islas Malvinas al 100"/>
    <s v="Argentina | Neuquen | Capital "/>
    <x v="0"/>
    <n v="2"/>
    <s v="Sensus"/>
    <s v="Compartida Fuera de la Red Captación Propia"/>
    <x v="0"/>
    <s v="Venta"/>
    <x v="1"/>
    <s v="Capital Neuquén"/>
  </r>
  <r>
    <d v="2025-05-19T00:00:00"/>
    <x v="1"/>
    <x v="2"/>
    <s v="CAP6918757"/>
    <x v="0"/>
    <s v="Oportunidad Departamento en Venta"/>
    <s v="Realizado"/>
    <s v="AR ZonaProp"/>
    <n v="80000"/>
    <x v="107"/>
    <x v="1"/>
    <s v="Dólares"/>
    <s v="Dólares"/>
    <s v="Avenida Argentina y Leloir Apto crédito"/>
    <s v="Argentina | Neuquen | Confluencia | Neuquen"/>
    <x v="0"/>
    <n v="2"/>
    <s v="Sensus"/>
    <s v="Propia (Único Asesor)"/>
    <x v="1"/>
    <s v="Venta"/>
    <x v="1"/>
    <s v="Capital Neuquén"/>
  </r>
  <r>
    <d v="2025-11-19T00:00:00"/>
    <x v="1"/>
    <x v="7"/>
    <s v="CAP6904818"/>
    <x v="0"/>
    <s v="Departamento 2 amb  por escalera en venta en Villa Crespo. Muy bajas expensas!"/>
    <s v="Realizado"/>
    <s v="AR MercadoLibre"/>
    <n v="77900"/>
    <x v="107"/>
    <x v="1"/>
    <s v="Dólares"/>
    <s v="Dólares"/>
    <s v="Julian Alvarez al 800"/>
    <s v="Argentina | Capital Federal | Villa Crespo "/>
    <x v="0"/>
    <n v="2"/>
    <s v="Ser"/>
    <s v="Propia (Único Asesor)"/>
    <x v="1"/>
    <s v="Venta"/>
    <x v="3"/>
    <s v="Belgrano"/>
  </r>
  <r>
    <d v="2025-12-12T00:00:00"/>
    <x v="1"/>
    <x v="8"/>
    <s v="CAP7364105"/>
    <x v="0"/>
    <s v="Departamento a estrenar 1 dormitorio ERCON en 43 e/ 15 y 16, La Plata"/>
    <s v="Realizado"/>
    <s v="AR ZonaProp"/>
    <n v="78500"/>
    <x v="107"/>
    <x v="1"/>
    <s v="Dólares"/>
    <s v="Dólares"/>
    <s v="43 e/ 15 y 16"/>
    <s v="Argentina | G.B.A. Zona Sur | La Plata | La Plata"/>
    <x v="0"/>
    <n v="2"/>
    <s v="Golden Team"/>
    <s v="Propia (Único Asesor)"/>
    <x v="1"/>
    <s v="Venta"/>
    <x v="0"/>
    <s v="La Plata"/>
  </r>
  <r>
    <d v="2025-12-23T00:00:00"/>
    <x v="1"/>
    <x v="8"/>
    <s v="CAP7522049"/>
    <x v="0"/>
    <s v="Departamento en Recoleta"/>
    <s v="Realizado"/>
    <s v="AR ZonaProp"/>
    <n v="74000"/>
    <x v="107"/>
    <x v="1"/>
    <s v="Dólares"/>
    <s v="Dólares"/>
    <s v="juncal al 2100"/>
    <s v="Argentina | Capital Federal | Recoleta "/>
    <x v="0"/>
    <n v="2"/>
    <s v="Destino II"/>
    <s v="Propia (Único Asesor)"/>
    <x v="1"/>
    <s v="Venta"/>
    <x v="3"/>
    <s v="Recoleta"/>
  </r>
  <r>
    <d v="2026-03-02T00:00:00"/>
    <x v="0"/>
    <x v="9"/>
    <s v="JAP7568237"/>
    <x v="0"/>
    <s v="VENTA DEPARTAMENTO MONOAMBIENTE CHACARITA EDIFICIO WALDEN"/>
    <s v="Realizado"/>
    <s v="AR ZonaProp"/>
    <n v="79000"/>
    <x v="107"/>
    <x v="1"/>
    <s v="Dólares"/>
    <s v="Dólares"/>
    <s v="Corrientes  al 6300"/>
    <s v="Argentina | Capital Federal | Chacarita "/>
    <x v="0"/>
    <n v="2"/>
    <s v="Lion Team Norte"/>
    <s v="Propia (Único Asesor)"/>
    <x v="1"/>
    <s v="Venta"/>
    <x v="6"/>
    <s v="Vicente López"/>
  </r>
  <r>
    <d v="2025-01-06T00:00:00"/>
    <x v="1"/>
    <x v="10"/>
    <s v="CBU59337 AP6535062"/>
    <x v="0"/>
    <s v="VENTA Monoambiente 43,72m2 - UF 51, pozo, Paseo Retamas, Villa la Angostura, Villa la Angostura"/>
    <s v="Realizado"/>
    <s v="Conocido"/>
    <n v="74784"/>
    <x v="108"/>
    <x v="1"/>
    <s v="Dólares"/>
    <s v="Dólares"/>
    <s v="Retamas al 300"/>
    <s v="Argentina | Neuquen | Villa La Angostura | Centro"/>
    <x v="0"/>
    <n v="2"/>
    <s v="Patagonia Lakes VLA"/>
    <s v="Propia (Único Asesor)"/>
    <x v="1"/>
    <s v="Venta"/>
    <x v="1"/>
    <s v="Villa La Angostura"/>
  </r>
  <r>
    <d v="2025-10-16T00:00:00"/>
    <x v="1"/>
    <x v="11"/>
    <s v="CAP6514090"/>
    <x v="0"/>
    <s v="OPORTUNIDAD!  Apto Crédito  venta departamento 2 amb c/ patio en Palermo"/>
    <s v="Realizado"/>
    <s v="AR ZonaProp"/>
    <n v="79900"/>
    <x v="109"/>
    <x v="1"/>
    <s v="Dólares"/>
    <s v="Dólares"/>
    <s v="Avenida Santa Fe al 5200"/>
    <s v="Argentina | Capital Federal | Palermo "/>
    <x v="0"/>
    <n v="2"/>
    <s v="Lion Team Norte"/>
    <s v="Propia (Único Asesor)"/>
    <x v="1"/>
    <s v="Venta"/>
    <x v="6"/>
    <s v="Vicente López"/>
  </r>
  <r>
    <d v="2025-02-07T00:00:00"/>
    <x v="1"/>
    <x v="0"/>
    <m/>
    <x v="0"/>
    <s v="Uf 52 Paseo Retamas Monoambiente 39,95 m3"/>
    <s v="Realizado"/>
    <s v="Web Coldwell-Banker"/>
    <n v="74950"/>
    <x v="110"/>
    <x v="1"/>
    <s v="Dólares"/>
    <s v="Dólares"/>
    <s v="Retamas 200"/>
    <s v="Argentina | Neuquen | Villa La Angostura | Centro"/>
    <x v="0"/>
    <n v="2"/>
    <s v="Patagonia Lakes VLA"/>
    <s v="Compartida en Oficina (Dos Asesores)"/>
    <x v="1"/>
    <s v="Venta"/>
    <x v="1"/>
    <s v="Villa La Angostura"/>
  </r>
  <r>
    <d v="2025-12-22T00:00:00"/>
    <x v="1"/>
    <x v="8"/>
    <s v="CLA3970514"/>
    <x v="0"/>
    <s v="Venta Terreno - De Los Peinecillos 1186 - Lomas Del Cauquén - Bariloche"/>
    <s v="Realizado"/>
    <s v="Teléfono"/>
    <n v="87750"/>
    <x v="111"/>
    <x v="1"/>
    <s v="Dólares"/>
    <s v="Dólares"/>
    <s v="De Los Peinecillos"/>
    <s v="Argentina | Rio Negro | Bariloche | San Carlos De Bariloche"/>
    <x v="1"/>
    <n v="1"/>
    <s v="Patagonia Lakes BRC"/>
    <s v="(Interior) Compartida Fuera de la Red Búsqueda"/>
    <x v="2"/>
    <s v="Venta"/>
    <x v="7"/>
    <s v="Bariloche"/>
  </r>
  <r>
    <d v="2025-12-01T00:00:00"/>
    <x v="1"/>
    <x v="8"/>
    <s v="CHO7166721"/>
    <x v="0"/>
    <s v="Casa en  venta"/>
    <s v="Realizado"/>
    <s v="AR ZonaProp"/>
    <n v="75000"/>
    <x v="111"/>
    <x v="1"/>
    <s v="Dólares"/>
    <s v="Dólares"/>
    <s v="chaco al 3300"/>
    <s v="Argentina | Mendoza | Capital "/>
    <x v="2"/>
    <n v="1"/>
    <s v="Cuyo Real"/>
    <s v="(Interior) Compartida Fuera de la Red Captación Propia"/>
    <x v="0"/>
    <s v="Venta"/>
    <x v="2"/>
    <s v="Capital Mendoza"/>
  </r>
  <r>
    <d v="2026-03-17T00:00:00"/>
    <x v="0"/>
    <x v="9"/>
    <s v="CAP7043582"/>
    <x v="1"/>
    <s v="VENTA MONOAMBIENTE - TILCARA"/>
    <s v="Realizado"/>
    <s v="Referido"/>
    <n v="75000"/>
    <x v="111"/>
    <x v="1"/>
    <s v="Dólares"/>
    <s v="Dólares"/>
    <s v="belgrano 46 Tilcara"/>
    <s v="Argentina | Jujuy | Tilcara | Tilcara"/>
    <x v="0"/>
    <n v="2"/>
    <s v="Plaza"/>
    <s v="Compartida en Oficina (Dos Asesores)"/>
    <x v="1"/>
    <s v="Venta"/>
    <x v="8"/>
    <s v="Capital Jujuy"/>
  </r>
  <r>
    <d v="2025-03-18T00:00:00"/>
    <x v="1"/>
    <x v="9"/>
    <s v="LAMADRID"/>
    <x v="0"/>
    <s v="CASA EN VENTA MASCHWITZ"/>
    <s v="Realizado"/>
    <s v="AR ZonaProp"/>
    <n v="75000"/>
    <x v="111"/>
    <x v="1"/>
    <s v="Dólares"/>
    <s v="Dólares"/>
    <m/>
    <s v="Argentina | G.B.A. Zona Norte | Escobar | Ingeniero Maschwitz"/>
    <x v="2"/>
    <n v="2"/>
    <s v="Puerto Norte"/>
    <s v="Compartida en Oficina (Dos Asesores)"/>
    <x v="1"/>
    <s v="Venta"/>
    <x v="6"/>
    <s v="Nordelta"/>
  </r>
  <r>
    <d v="2025-05-12T00:00:00"/>
    <x v="1"/>
    <x v="2"/>
    <s v="CAP6983667"/>
    <x v="0"/>
    <s v="VENTA 2 AMB BCON  VISTA PANORAMICA VILLA CRESPO"/>
    <s v="Realizado"/>
    <s v="AR ZonaProp"/>
    <n v="86900"/>
    <x v="111"/>
    <x v="1"/>
    <s v="Dólares"/>
    <s v="Dólares"/>
    <s v="HONORIO PUEYRREDON 1400"/>
    <s v="Argentina | Capital Federal | Villa Crespo "/>
    <x v="0"/>
    <n v="2"/>
    <s v="Lion Team"/>
    <s v="Compartida en Oficina (Dos Asesores)"/>
    <x v="1"/>
    <s v="Venta"/>
    <x v="3"/>
    <s v="Villa Urquiza"/>
  </r>
  <r>
    <d v="2025-07-27T00:00:00"/>
    <x v="1"/>
    <x v="1"/>
    <m/>
    <x v="0"/>
    <s v="Uriburu 1284 - AYELEN COSTAS"/>
    <s v="Realizado"/>
    <s v="AR ZonaProp"/>
    <n v="75000"/>
    <x v="111"/>
    <x v="1"/>
    <s v="Dólares"/>
    <s v="Dólares"/>
    <s v="Uriburu 1284"/>
    <s v="Argentina | Capital Federal | Recoleta "/>
    <x v="0"/>
    <n v="2"/>
    <s v="Destino"/>
    <s v="Compartida en Oficina (Dos Asesores)"/>
    <x v="1"/>
    <s v="Venta"/>
    <x v="3"/>
    <s v="Recoleta"/>
  </r>
  <r>
    <d v="2026-01-22T00:00:00"/>
    <x v="0"/>
    <x v="10"/>
    <s v="CAP6649576"/>
    <x v="0"/>
    <s v="Venta - Departamento - 3 ambientes - Frente - Balcón - Balvanera - Apto Crédito - Permuta"/>
    <s v="Realizado"/>
    <s v="AR ZonaProp"/>
    <n v="79000"/>
    <x v="111"/>
    <x v="1"/>
    <s v="Dólares"/>
    <s v="Dólares"/>
    <s v="Bartolome Mitre 2400 "/>
    <s v="Argentina | Capital Federal | Balvanera "/>
    <x v="0"/>
    <n v="2"/>
    <s v="Lion Team"/>
    <s v="Compartida en Oficina (Dos Asesores)"/>
    <x v="1"/>
    <s v="Venta"/>
    <x v="3"/>
    <s v="Villa Urquiza"/>
  </r>
  <r>
    <d v="2025-02-24T00:00:00"/>
    <x v="1"/>
    <x v="0"/>
    <s v="CAP6355833"/>
    <x v="0"/>
    <s v="Departamento en Área Centro Oeste"/>
    <s v="Realizado"/>
    <s v="AR ZonaProp"/>
    <n v="77500"/>
    <x v="111"/>
    <x v="1"/>
    <s v="Dólares"/>
    <s v="Dólares"/>
    <s v="DPTO 1 DORMITORIO NEUQUEN (CERCA DE HIPER DE LA ANONIMA Y CONSEJO DE EDUCACION)"/>
    <s v="Argentina | Neuquen | Capital | Área Centro Oeste"/>
    <x v="0"/>
    <n v="1"/>
    <s v="Sensus"/>
    <s v="Compartida Fuera de la Red Búsqueda"/>
    <x v="2"/>
    <s v="Venta"/>
    <x v="1"/>
    <s v="Capital Neuquén"/>
  </r>
  <r>
    <d v="2025-08-07T00:00:00"/>
    <x v="1"/>
    <x v="5"/>
    <s v="VAP6893024"/>
    <x v="0"/>
    <s v="APTO CREDITO Departamento 2 ambientes, Pilar"/>
    <s v="Realizado"/>
    <s v="AR ZonaProp"/>
    <n v="73500"/>
    <x v="111"/>
    <x v="1"/>
    <s v="Dólares"/>
    <s v="Dólares"/>
    <s v="La Candela, Champangnat  al 1600"/>
    <s v="Argentina | G.B.A. Zona Norte | Pilar | Countries/B.Cerrado (Pilar) | La Candela"/>
    <x v="0"/>
    <n v="1"/>
    <s v="Puerto Norte"/>
    <s v="Compartida Fuera de la Red Búsqueda"/>
    <x v="2"/>
    <s v="Venta"/>
    <x v="6"/>
    <s v="Nordelta"/>
  </r>
  <r>
    <d v="2025-08-19T00:00:00"/>
    <x v="1"/>
    <x v="5"/>
    <s v="CPH6697568"/>
    <x v="0"/>
    <s v="Casa tipo PH Gonnet 505 e 19 y Cno Gral Belgrano Apto Banco"/>
    <s v="Realizado"/>
    <s v="AR MercadoLibre"/>
    <n v="80000"/>
    <x v="111"/>
    <x v="1"/>
    <s v="Dólares"/>
    <s v="Dólares"/>
    <s v="Casa tipo PH en venta dentro de barrio cerrado en Gonnet calle 505 e/ 19 y Camino General Belgrano  Apto Banco"/>
    <s v="Argentina | G.B.A. Zona Sur | La Plata | Manuel B Gonnet"/>
    <x v="2"/>
    <n v="1"/>
    <s v="Golden Team"/>
    <s v="Compartida Fuera de la Red Búsqueda"/>
    <x v="2"/>
    <s v="Venta"/>
    <x v="0"/>
    <s v="La Plata"/>
  </r>
  <r>
    <d v="2025-10-09T00:00:00"/>
    <x v="1"/>
    <x v="11"/>
    <n v="10553"/>
    <x v="0"/>
    <s v="Montiel 1300"/>
    <s v="Realizado"/>
    <s v="AR ZonaProp"/>
    <n v="75000"/>
    <x v="111"/>
    <x v="1"/>
    <s v="Dólares"/>
    <s v="Dólares"/>
    <s v="Montiel 1300"/>
    <s v="Argentina | Capital Federal | Villa Luro "/>
    <x v="0"/>
    <n v="1"/>
    <s v="Seniority"/>
    <s v="Compartida Fuera de la Red Búsqueda"/>
    <x v="2"/>
    <s v="Venta"/>
    <x v="3"/>
    <s v="Barrio Parque"/>
  </r>
  <r>
    <d v="2026-02-10T00:00:00"/>
    <x v="0"/>
    <x v="0"/>
    <n v="10609"/>
    <x v="0"/>
    <s v="Honduras 3830 5ª 22"/>
    <s v="Realizado"/>
    <s v="AR ZonaProp"/>
    <n v="75000"/>
    <x v="111"/>
    <x v="1"/>
    <s v="Dólares"/>
    <s v="Dólares"/>
    <s v="Honduras 3830 5ª 22"/>
    <s v="Argentina | Capital Federal | Palermo "/>
    <x v="0"/>
    <n v="1"/>
    <s v="Seniority"/>
    <s v="Compartida Fuera de la Red Búsqueda"/>
    <x v="2"/>
    <s v="Venta"/>
    <x v="3"/>
    <s v="Barrio Parque"/>
  </r>
  <r>
    <d v="2026-02-10T00:00:00"/>
    <x v="0"/>
    <x v="0"/>
    <n v="10695"/>
    <x v="0"/>
    <s v="Vidt 1962 "/>
    <s v="Realizado"/>
    <s v="AR ZonaProp"/>
    <n v="75000"/>
    <x v="111"/>
    <x v="1"/>
    <s v="Dólares"/>
    <s v="Dólares"/>
    <s v="Vidt 1962 "/>
    <s v="Argentina | Capital Federal | Palermo "/>
    <x v="0"/>
    <n v="1"/>
    <s v="Seniority"/>
    <s v="Compartida Fuera de la Red Búsqueda"/>
    <x v="2"/>
    <s v="Venta"/>
    <x v="3"/>
    <s v="Barrio Parque"/>
  </r>
  <r>
    <d v="2025-01-30T00:00:00"/>
    <x v="1"/>
    <x v="10"/>
    <s v="CAP6355833"/>
    <x v="0"/>
    <s v="Departamento en Área Centro Oeste"/>
    <s v="Realizado"/>
    <s v="AR ZonaProp"/>
    <n v="77500"/>
    <x v="111"/>
    <x v="1"/>
    <s v="Dólares"/>
    <s v="Dólares"/>
    <s v="DPTO 1 DORMITORIO NEUQUEN (CERCA DE HIPER DE LA ANONIMA Y CONSEJO DE EDUCACION)"/>
    <s v="Argentina | Neuquen | Capital | Área Centro Oeste"/>
    <x v="0"/>
    <n v="2"/>
    <s v="Sensus"/>
    <s v="Compartida Fuera de la Red Captación Propia"/>
    <x v="0"/>
    <s v="Venta"/>
    <x v="1"/>
    <s v="Capital Neuquén"/>
  </r>
  <r>
    <d v="2025-03-03T00:00:00"/>
    <x v="1"/>
    <x v="9"/>
    <s v="CAP6355833"/>
    <x v="0"/>
    <s v="Departamento en Área Centro Oeste"/>
    <s v="Realizado"/>
    <s v="Repetido"/>
    <n v="77500"/>
    <x v="111"/>
    <x v="1"/>
    <s v="Dólares"/>
    <s v="Dólares"/>
    <s v="DPTO 1 DORMITORIO NEUQUEN (CERCA DE HIPER DE LA ANONIMA Y CONSEJO DE EDUCACION)"/>
    <s v="Argentina | Neuquen | Capital | Área Centro Oeste"/>
    <x v="0"/>
    <n v="2"/>
    <s v="Patagonia Lakes VLA"/>
    <s v="Profesional Referenciador (30%)"/>
    <x v="1"/>
    <s v="Venta"/>
    <x v="1"/>
    <s v="Villa La Angostura"/>
  </r>
  <r>
    <d v="2025-03-28T00:00:00"/>
    <x v="1"/>
    <x v="9"/>
    <s v="CAP4838360"/>
    <x v="0"/>
    <s v="VENTA DEPARTAMENTO 2 1/2 AMBIENTES VISTA PANORAMICA C/ BAULERA. PARQUE CHACABUCO. APTO CREDITO."/>
    <s v="Realizado"/>
    <s v="AR ZonaProp"/>
    <n v="77000"/>
    <x v="111"/>
    <x v="1"/>
    <s v="Dólares"/>
    <s v="Dólares"/>
    <s v="Jose Maria Moreno  al 1300, Piso 13"/>
    <s v="Argentina | Capital Federal | Parque Chacabuco "/>
    <x v="0"/>
    <n v="2"/>
    <s v="Seniority"/>
    <s v="Propia (Único Asesor)"/>
    <x v="1"/>
    <s v="Venta"/>
    <x v="3"/>
    <s v="Barrio Parque"/>
  </r>
  <r>
    <d v="2025-05-22T00:00:00"/>
    <x v="1"/>
    <x v="2"/>
    <s v="CHO6557086"/>
    <x v="0"/>
    <s v="Casa en  B° Golfo Azul"/>
    <s v="Realizado"/>
    <s v="AR ZonaProp"/>
    <n v="80000"/>
    <x v="111"/>
    <x v="1"/>
    <s v="Dólares"/>
    <s v="Dólares"/>
    <s v="La Loberia 565 B° Golfo Azul."/>
    <s v="Argentina | Rio Negro | San Antonio | Balneario Las Grutas"/>
    <x v="2"/>
    <n v="2"/>
    <s v="Sensus"/>
    <s v="Propia (Único Asesor)"/>
    <x v="1"/>
    <s v="Venta"/>
    <x v="1"/>
    <s v="Capital Neuquén"/>
  </r>
  <r>
    <d v="2025-05-30T00:00:00"/>
    <x v="1"/>
    <x v="2"/>
    <s v="CAP5719348"/>
    <x v="0"/>
    <s v="Venta - Departamento - 3 Ambientes - Balcon - Frente - Luminoso - Flores - Apto Credito"/>
    <s v="Realizado"/>
    <s v="AR MercadoLibre"/>
    <n v="79000"/>
    <x v="111"/>
    <x v="1"/>
    <s v="Dólares"/>
    <s v="Dólares"/>
    <s v="Jose Bonifacio 2800"/>
    <s v="Argentina | Capital Federal | Flores "/>
    <x v="0"/>
    <n v="2"/>
    <s v="Lion Team"/>
    <s v="Propia (Único Asesor)"/>
    <x v="1"/>
    <s v="Venta"/>
    <x v="3"/>
    <s v="Villa Urquiza"/>
  </r>
  <r>
    <d v="2025-07-31T00:00:00"/>
    <x v="1"/>
    <x v="1"/>
    <s v="CHO6577875"/>
    <x v="0"/>
    <s v="CASA EN VENTA BARRIO PRIVADO PASEO DI FIORE"/>
    <s v="Realizado"/>
    <s v="Conocido"/>
    <n v="75000"/>
    <x v="111"/>
    <x v="1"/>
    <s v="Dólares"/>
    <s v="Dólares"/>
    <s v="ZAPIOLA ENTRE AV SAN MARTIN Y ACCESO SUR "/>
    <s v="Argentina | Mendoza | Lujan De Cuyo | Lujan De Cuyo | Mayor Drummond"/>
    <x v="2"/>
    <n v="2"/>
    <s v="Cuyo Real"/>
    <s v="Propia (Único Asesor)"/>
    <x v="1"/>
    <s v="Venta"/>
    <x v="2"/>
    <s v="Capital Mendoza"/>
  </r>
  <r>
    <d v="2025-08-06T00:00:00"/>
    <x v="1"/>
    <x v="5"/>
    <s v="CHO6867752"/>
    <x v="0"/>
    <s v="Casa en  Ciudad Del Milagro"/>
    <s v="Realizado"/>
    <s v="Facebook"/>
    <n v="75000"/>
    <x v="111"/>
    <x v="1"/>
    <s v="Dólares"/>
    <s v="Dólares"/>
    <s v="Ciudad Del Milagro"/>
    <s v="Argentina | Salta | Capital | Salta | Zona Norte"/>
    <x v="2"/>
    <n v="2"/>
    <s v="Realty Group"/>
    <s v="Propia (Único Asesor)"/>
    <x v="1"/>
    <s v="Venta"/>
    <x v="4"/>
    <s v="San Lorenzo Chico"/>
  </r>
  <r>
    <d v="2025-08-07T00:00:00"/>
    <x v="1"/>
    <x v="5"/>
    <s v="CHO6812702"/>
    <x v="0"/>
    <s v="casa, venta, temperley, lomas de zamora, patio, jardin, fondo, 3 ambientes"/>
    <s v="Realizado"/>
    <s v="AR ArgenProp"/>
    <n v="79900"/>
    <x v="111"/>
    <x v="1"/>
    <s v="Dólares"/>
    <s v="Dólares"/>
    <s v="JACINTO ROSSO al 500"/>
    <s v="Argentina | G.B.A. Zona Sur | Lomas De Zamora (Partido) | Temperley | Temperley Este"/>
    <x v="2"/>
    <n v="2"/>
    <s v="Lion Team"/>
    <s v="Propia (Único Asesor)"/>
    <x v="1"/>
    <s v="Venta"/>
    <x v="3"/>
    <s v="Villa Urquiza"/>
  </r>
  <r>
    <d v="2025-10-09T00:00:00"/>
    <x v="1"/>
    <x v="11"/>
    <s v="CAP7173966"/>
    <x v="0"/>
    <s v="Venta - Departamento - Flores - 2 Amb - Apto Credito - Balcon"/>
    <s v="Realizado"/>
    <s v="AR ZonaProp"/>
    <n v="80000"/>
    <x v="111"/>
    <x v="1"/>
    <s v="Dólares"/>
    <s v="Dólares"/>
    <s v="Directorio 3400"/>
    <s v="Argentina | Capital Federal | Flores "/>
    <x v="0"/>
    <n v="2"/>
    <s v="Lion Team"/>
    <s v="Propia (Único Asesor)"/>
    <x v="1"/>
    <s v="Venta"/>
    <x v="3"/>
    <s v="Villa Urquiza"/>
  </r>
  <r>
    <d v="2025-12-01T00:00:00"/>
    <x v="1"/>
    <x v="8"/>
    <s v="CAP6606604"/>
    <x v="0"/>
    <s v="Departamento en Venta en Ciudad de Mendoza"/>
    <s v="Realizado"/>
    <s v="AR ZonaProp"/>
    <n v="70000"/>
    <x v="111"/>
    <x v="1"/>
    <s v="Dólares"/>
    <s v="Dólares"/>
    <s v="PERU 2245 2 PISO CIUDAD MENDOZA"/>
    <s v="Argentina | Mendoza | Capital | Mendoza | S1 Parque Central"/>
    <x v="0"/>
    <n v="2"/>
    <s v="Cuyo Real"/>
    <s v="Propia (Único Asesor)"/>
    <x v="1"/>
    <s v="Venta"/>
    <x v="2"/>
    <s v="Capital Mendoza"/>
  </r>
  <r>
    <d v="2025-12-17T00:00:00"/>
    <x v="1"/>
    <x v="8"/>
    <m/>
    <x v="0"/>
    <s v="VENTA DEPARTAMENTO "/>
    <s v="Realizado"/>
    <s v="AR ZonaProp"/>
    <n v="75000"/>
    <x v="111"/>
    <x v="1"/>
    <s v="Dólares"/>
    <s v="Dólares"/>
    <s v="Perón 4171 U.F.113"/>
    <m/>
    <x v="0"/>
    <n v="2"/>
    <s v="Notable"/>
    <s v="Propia (Único Asesor)"/>
    <x v="1"/>
    <s v="Venta"/>
    <x v="3"/>
    <s v="Palermo"/>
  </r>
  <r>
    <d v="2025-12-19T00:00:00"/>
    <x v="1"/>
    <x v="8"/>
    <s v="CAP7367834"/>
    <x v="0"/>
    <s v="Venta Departamento Loria al 400 Las Lomitas"/>
    <s v="Realizado"/>
    <s v="AR ZonaProp"/>
    <n v="83000"/>
    <x v="111"/>
    <x v="1"/>
    <s v="Dólares"/>
    <s v="Dólares"/>
    <s v="Loria al 400 LOMITAS Lomas de Zamora"/>
    <s v="Argentina | G.B.A. Zona Sur | Lomas De Zamora (Partido) | Lomas De Zamora | Lomas de Zamora Oeste"/>
    <x v="0"/>
    <n v="2"/>
    <s v="Destino"/>
    <s v="Propia (Único Asesor)"/>
    <x v="1"/>
    <s v="Venta"/>
    <x v="3"/>
    <s v="Recoleta"/>
  </r>
  <r>
    <d v="2025-12-22T00:00:00"/>
    <x v="1"/>
    <x v="8"/>
    <s v="CAP7560217"/>
    <x v="0"/>
    <s v="Departamento en Venta en Martinez de Rosas - Quinta Sección"/>
    <s v="Realizado"/>
    <s v="AR ZonaProp"/>
    <n v="75000"/>
    <x v="111"/>
    <x v="1"/>
    <s v="Dólares"/>
    <s v="Dólares"/>
    <s v="Martinez de Rosas 34"/>
    <s v="Argentina | Mendoza | Capital | Mendoza | Quinta Sección"/>
    <x v="0"/>
    <n v="2"/>
    <s v="Cuyo Real"/>
    <s v="Propia (Único Asesor)"/>
    <x v="1"/>
    <s v="Venta"/>
    <x v="2"/>
    <s v="Capital Mendoza"/>
  </r>
  <r>
    <d v="2025-12-23T00:00:00"/>
    <x v="1"/>
    <x v="8"/>
    <s v="AAP7229025"/>
    <x v="0"/>
    <s v="Excelente departamento en ALQUILER TEMPORAL"/>
    <s v="Realizado"/>
    <s v="AR MercadoLibre"/>
    <n v="79000"/>
    <x v="111"/>
    <x v="1"/>
    <s v="Dólares"/>
    <s v="Dólares"/>
    <s v="Padilla 962"/>
    <s v="Argentina | Capital Federal | Villa Crespo "/>
    <x v="0"/>
    <n v="2"/>
    <s v="Desiderio"/>
    <s v="Propia (Único Asesor)"/>
    <x v="1"/>
    <s v="Venta"/>
    <x v="3"/>
    <s v="Caballito"/>
  </r>
  <r>
    <d v="2026-01-31T00:00:00"/>
    <x v="0"/>
    <x v="10"/>
    <s v="CBU65913 AP7520489"/>
    <x v="0"/>
    <s v="Venta de Departamento 2 ambientes con balcón en Agronomía"/>
    <s v="Realizado"/>
    <s v="Conocido"/>
    <n v="75000"/>
    <x v="111"/>
    <x v="1"/>
    <s v="Dólares"/>
    <s v="Dólares"/>
    <s v="Av. Chorroarin  al 500"/>
    <s v="Argentina | Capital Federal | Agronomia "/>
    <x v="0"/>
    <n v="2"/>
    <s v="Acqua"/>
    <s v="Propia (Único Asesor)"/>
    <x v="1"/>
    <s v="Venta"/>
    <x v="6"/>
    <s v="Pilar"/>
  </r>
  <r>
    <d v="2026-02-11T00:00:00"/>
    <x v="0"/>
    <x v="0"/>
    <s v="CAP6939464"/>
    <x v="0"/>
    <s v="Venta departamento 3 ambientes balcón baulera Muy Luminoso Balvanera"/>
    <s v="Realizado"/>
    <s v="AR ZonaProp"/>
    <n v="79500"/>
    <x v="111"/>
    <x v="1"/>
    <s v="Dólares"/>
    <s v="Dólares"/>
    <s v="Avenida Rivadavia al 2900"/>
    <s v="Argentina | Capital Federal | Balvanera "/>
    <x v="0"/>
    <n v="2"/>
    <s v="Grupo Elite"/>
    <s v="Propia (Único Asesor)"/>
    <x v="1"/>
    <s v="Venta"/>
    <x v="3"/>
    <s v="Puerto Madero"/>
  </r>
  <r>
    <d v="2026-02-11T00:00:00"/>
    <x v="0"/>
    <x v="0"/>
    <s v="CAP7222710"/>
    <x v="0"/>
    <s v="Venta Departamento 3 Ambientes  A Reciclar en Palermo"/>
    <s v="Realizado"/>
    <s v="AR ZonaProp"/>
    <n v="80000"/>
    <x v="111"/>
    <x v="1"/>
    <s v="Dólares"/>
    <s v="Dólares"/>
    <s v="Bulnes  al 2100"/>
    <s v="Argentina | Capital Federal | Palermo "/>
    <x v="0"/>
    <n v="2"/>
    <s v="Seniority Plus"/>
    <s v="Propia (Único Asesor)"/>
    <x v="1"/>
    <s v="Venta"/>
    <x v="3"/>
    <s v="Palermo"/>
  </r>
  <r>
    <d v="2026-02-18T00:00:00"/>
    <x v="0"/>
    <x v="0"/>
    <s v="CHO7457349"/>
    <x v="0"/>
    <s v="Casa céntrica en zona de Hospital Español"/>
    <s v="Realizado"/>
    <s v="UY MercadoLibre"/>
    <n v="74900"/>
    <x v="111"/>
    <x v="1"/>
    <s v="Dólares"/>
    <s v="Dólares"/>
    <s v="Emilio Civit al 1300"/>
    <s v="Argentina | Mendoza | San Rafael | San Rafael | San Rafel"/>
    <x v="2"/>
    <n v="2"/>
    <s v="Andes"/>
    <s v="Propia (Único Asesor)"/>
    <x v="1"/>
    <s v="Venta"/>
    <x v="2"/>
    <s v="San Rafael"/>
  </r>
  <r>
    <d v="2026-03-04T00:00:00"/>
    <x v="0"/>
    <x v="9"/>
    <s v="JAP7441606"/>
    <x v="0"/>
    <s v="Venta Departamento 2 ambientes super luminoso"/>
    <s v="Realizado"/>
    <s v="AR ZonaProp"/>
    <n v="79900"/>
    <x v="111"/>
    <x v="1"/>
    <s v="Dólares"/>
    <s v="Dólares"/>
    <s v="José M. Paiva  al 1500"/>
    <s v="Argentina | G.B.A. Zona Norte | Tigre | Tigre"/>
    <x v="0"/>
    <n v="2"/>
    <s v="Lion Team Norte"/>
    <s v="Propia (Único Asesor)"/>
    <x v="1"/>
    <s v="Venta"/>
    <x v="6"/>
    <s v="Vicente López"/>
  </r>
  <r>
    <d v="2026-03-30T00:00:00"/>
    <x v="0"/>
    <x v="9"/>
    <n v="30032026"/>
    <x v="0"/>
    <s v=" Reserva Venta Luca Lote Gómez Carrillo "/>
    <s v="Realizado"/>
    <s v="Salón"/>
    <n v="75000"/>
    <x v="111"/>
    <x v="1"/>
    <s v="Dólares"/>
    <s v="Dólares"/>
    <m/>
    <s v="Argentina | Rio Negro | Bariloche | San Carlos De Bariloche"/>
    <x v="1"/>
    <n v="2"/>
    <s v="Patagonia Lakes BRC"/>
    <s v="Propia (Único Asesor)"/>
    <x v="1"/>
    <s v="Venta"/>
    <x v="7"/>
    <s v="Bariloche"/>
  </r>
  <r>
    <d v="2026-03-31T00:00:00"/>
    <x v="0"/>
    <x v="9"/>
    <s v="CHO7272914"/>
    <x v="0"/>
    <s v="VENTA CASA 3 AMBIENTES PILAR JARDIN Y TERRAZA"/>
    <s v="Realizado"/>
    <s v="AR MercadoLibre"/>
    <n v="75000"/>
    <x v="111"/>
    <x v="1"/>
    <s v="Dólares"/>
    <s v="Dólares"/>
    <s v="Francisco Lauria  al 1600"/>
    <s v="Argentina | G.B.A. Zona Norte | Pilar | Pilar"/>
    <x v="2"/>
    <n v="2"/>
    <s v="Lion Team"/>
    <s v="Propia (Único Asesor)"/>
    <x v="1"/>
    <s v="Venta"/>
    <x v="3"/>
    <s v="Villa Urquiza"/>
  </r>
  <r>
    <d v="2025-01-16T00:00:00"/>
    <x v="1"/>
    <x v="10"/>
    <s v="CAP6454429"/>
    <x v="0"/>
    <s v="VENTA Departamento 2 ambientes A estrenar Balcón al Frente Villa Urquiza"/>
    <s v="Realizado"/>
    <s v="AR MercadoLibre"/>
    <n v="102000"/>
    <x v="112"/>
    <x v="1"/>
    <s v="Dólares"/>
    <s v="Dólares"/>
    <s v="Bauness  al 1100"/>
    <s v="Argentina | Capital Federal | Villa Urquiza "/>
    <x v="0"/>
    <n v="2"/>
    <s v="Lion Team"/>
    <s v="Propia (Único Asesor)"/>
    <x v="1"/>
    <s v="Venta"/>
    <x v="3"/>
    <s v="Villa Urquiza"/>
  </r>
  <r>
    <d v="2025-05-22T00:00:00"/>
    <x v="1"/>
    <x v="2"/>
    <s v="CAP6824387"/>
    <x v="0"/>
    <s v="Venta Departamento 3 amb en Parque Avellaneda"/>
    <s v="Realizado"/>
    <s v="AR ZonaProp"/>
    <n v="80000"/>
    <x v="112"/>
    <x v="1"/>
    <s v="Dólares"/>
    <s v="Dólares"/>
    <s v="Mozart al 1000"/>
    <s v="Argentina | Capital Federal | Parque Avellaneda "/>
    <x v="0"/>
    <n v="2"/>
    <s v="Seniority"/>
    <s v="Propia (Único Asesor)"/>
    <x v="1"/>
    <s v="Venta"/>
    <x v="3"/>
    <s v="Barrio Parque"/>
  </r>
  <r>
    <d v="2025-08-21T00:00:00"/>
    <x v="1"/>
    <x v="5"/>
    <s v="86Nestor"/>
    <x v="0"/>
    <s v="Casa en Alberti"/>
    <s v="Realizado"/>
    <s v="Conocido"/>
    <n v="78000"/>
    <x v="113"/>
    <x v="1"/>
    <s v="Dólares"/>
    <s v="Dólares"/>
    <s v="Alberti2304"/>
    <s v="Argentina | Santa Fe | La Capital | Santa Fe"/>
    <x v="2"/>
    <n v="1"/>
    <s v="De la Veracruz"/>
    <s v="(Interior) Compartida Fuera de la Red Búsqueda"/>
    <x v="2"/>
    <s v="Venta"/>
    <x v="5"/>
    <s v="Capital Santa Fe"/>
  </r>
  <r>
    <d v="2025-09-26T00:00:00"/>
    <x v="1"/>
    <x v="6"/>
    <s v="89Stella"/>
    <x v="0"/>
    <s v="Departamento en el Sur de la ciudad"/>
    <s v="Realizado"/>
    <s v="Conocido"/>
    <n v="78000"/>
    <x v="113"/>
    <x v="1"/>
    <s v="Dólares"/>
    <s v="Dólares"/>
    <s v="Av. Gral López 2500"/>
    <s v="Argentina | Santa Fe | La Capital | Santa Fe"/>
    <x v="0"/>
    <n v="1"/>
    <s v="De la Veracruz"/>
    <s v="(Interior) Compartida Fuera de la Red Búsqueda"/>
    <x v="2"/>
    <s v="Venta"/>
    <x v="5"/>
    <s v="Capital Santa Fe"/>
  </r>
  <r>
    <d v="2025-05-28T00:00:00"/>
    <x v="1"/>
    <x v="2"/>
    <m/>
    <x v="0"/>
    <s v="VENTA  - LAMADRID 325 - RE/MAX PREMIUM"/>
    <s v="Realizado"/>
    <s v="AR ZonaProp"/>
    <n v="76000"/>
    <x v="113"/>
    <x v="1"/>
    <s v="Dólares"/>
    <s v="Dólares"/>
    <s v="lamadrid 325"/>
    <s v="Argentina | G.B.A. Zona Sur | Lomas De Zamora (Partido) | Lomas De Zamora | Lomas de Zamora Oeste"/>
    <x v="0"/>
    <n v="1"/>
    <s v="Destino"/>
    <s v="Compartida Fuera de la Red Búsqueda"/>
    <x v="2"/>
    <s v="Venta"/>
    <x v="3"/>
    <s v="Recoleta"/>
  </r>
  <r>
    <d v="2025-11-10T00:00:00"/>
    <x v="1"/>
    <x v="7"/>
    <m/>
    <x v="0"/>
    <s v="Dos ambientes recoleta"/>
    <s v="Realizado"/>
    <s v="AR MercadoLibre"/>
    <n v="79500"/>
    <x v="113"/>
    <x v="1"/>
    <s v="Dólares"/>
    <s v="Dólares"/>
    <s v="Juncal 2850, UF 9 piso 2"/>
    <s v="Argentina | Capital Federal | Recoleta "/>
    <x v="0"/>
    <n v="1"/>
    <s v="Space BA"/>
    <s v="Compartida Fuera de la Red Búsqueda"/>
    <x v="2"/>
    <s v="Venta"/>
    <x v="3"/>
    <s v="Belgrano"/>
  </r>
  <r>
    <d v="2025-10-17T00:00:00"/>
    <x v="1"/>
    <x v="11"/>
    <s v="CAP5163314"/>
    <x v="0"/>
    <s v="Departamento en venta 4 ambientes en Caballito"/>
    <s v="Realizado"/>
    <s v="AR ZonaProp"/>
    <n v="223000"/>
    <x v="113"/>
    <x v="1"/>
    <s v="Dólares"/>
    <s v="Dólares"/>
    <s v="Miro al 100"/>
    <s v="Argentina | Capital Federal | Caballito "/>
    <x v="0"/>
    <n v="2"/>
    <s v="Lion Team"/>
    <s v="Propia (Único Asesor)"/>
    <x v="1"/>
    <s v="Venta"/>
    <x v="3"/>
    <s v="Villa Urquiza"/>
  </r>
  <r>
    <d v="2025-10-31T00:00:00"/>
    <x v="1"/>
    <x v="11"/>
    <s v="CAP6226154"/>
    <x v="0"/>
    <s v="Venta monoambiente semipiso al frente con balcòn a estrenar 41 m2 san cristobal almagro boedo"/>
    <s v="Realizado"/>
    <s v="AR ZonaProp"/>
    <n v="58900"/>
    <x v="113"/>
    <x v="1"/>
    <s v="Dólares"/>
    <s v="Dólares"/>
    <s v="Constitucion  al 2200"/>
    <s v="Argentina | Capital Federal | San Cristobal "/>
    <x v="0"/>
    <n v="2"/>
    <s v="Lion Team"/>
    <s v="Propia (Único Asesor)"/>
    <x v="1"/>
    <s v="Venta"/>
    <x v="3"/>
    <s v="Villa Urquiza"/>
  </r>
  <r>
    <d v="2026-01-22T00:00:00"/>
    <x v="0"/>
    <x v="10"/>
    <s v="CAP7606176"/>
    <x v="0"/>
    <s v="Venta Departamento monoambiente Villa Crespo Apto Credito Hipotecario"/>
    <s v="Realizado"/>
    <s v="Conocido"/>
    <n v="78000"/>
    <x v="113"/>
    <x v="1"/>
    <s v="Dólares"/>
    <s v="Dólares"/>
    <s v="Castillo 100"/>
    <s v="Argentina | Capital Federal | Villa Crespo "/>
    <x v="0"/>
    <n v="2"/>
    <s v="Wings"/>
    <s v="Propia (Único Asesor)"/>
    <x v="1"/>
    <s v="Venta"/>
    <x v="3"/>
    <s v="Núñez"/>
  </r>
  <r>
    <d v="2025-03-14T00:00:00"/>
    <x v="1"/>
    <x v="9"/>
    <s v="CBU60233 AP6592864"/>
    <x v="0"/>
    <s v="Venta Departamento Monoambiente vista al lago a 5 minutos del centro"/>
    <s v="Realizado"/>
    <s v="Teléfono"/>
    <n v="78505"/>
    <x v="114"/>
    <x v="1"/>
    <s v="Dólares"/>
    <s v="Dólares"/>
    <s v="Los Cipresales, San Carlos de Bariloche "/>
    <s v="Argentina | Rio Negro | Bariloche | San Carlos De Bariloche | Centro"/>
    <x v="0"/>
    <n v="2"/>
    <s v="Patagonia Lakes BRC"/>
    <s v="Compartida en Oficina (Dos Asesores)"/>
    <x v="1"/>
    <s v="Venta"/>
    <x v="7"/>
    <s v="Bariloche"/>
  </r>
  <r>
    <d v="2025-08-28T00:00:00"/>
    <x v="1"/>
    <x v="5"/>
    <s v="CAP7226328"/>
    <x v="0"/>
    <s v="Departamento en Venta Monoambiente a estrenar"/>
    <s v="Realizado"/>
    <s v="AR ZonaProp"/>
    <n v="97000"/>
    <x v="115"/>
    <x v="1"/>
    <s v="Dólares"/>
    <s v="Dólares"/>
    <s v="Av Congreso al 4300"/>
    <s v="Argentina | Capital Federal | Villa Urquiza "/>
    <x v="0"/>
    <n v="2"/>
    <s v="Destino II"/>
    <s v="Compartida Fuera de la Red Captación Propia"/>
    <x v="0"/>
    <s v="Venta"/>
    <x v="3"/>
    <s v="Recoleta"/>
  </r>
  <r>
    <d v="2025-03-31T00:00:00"/>
    <x v="1"/>
    <x v="9"/>
    <s v="GAMBOA 6935"/>
    <x v="0"/>
    <s v="GAMBOA 6935"/>
    <s v="Realizado"/>
    <s v="AR ArgenProp"/>
    <n v="76500"/>
    <x v="115"/>
    <x v="1"/>
    <s v="Dólares"/>
    <s v="Dólares"/>
    <s v="GAMBOA 6935"/>
    <s v="Argentina | Capital Federal | Capital Federal "/>
    <x v="0"/>
    <n v="2"/>
    <s v="Lion Team Norte"/>
    <s v="Propia (Único Asesor)"/>
    <x v="1"/>
    <s v="Venta"/>
    <x v="6"/>
    <s v="Vicente López"/>
  </r>
  <r>
    <d v="2026-02-27T00:00:00"/>
    <x v="0"/>
    <x v="0"/>
    <s v="CAP7285961"/>
    <x v="0"/>
    <s v="Departamento en El Palomar"/>
    <s v="Realizado"/>
    <s v="AR MercadoLibre"/>
    <n v="70000"/>
    <x v="116"/>
    <x v="1"/>
    <s v="Dólares"/>
    <s v="Dólares"/>
    <s v="Bustillo al 500"/>
    <s v="Argentina | G.B.A. Zona Oeste | Moron | El Palomar"/>
    <x v="0"/>
    <n v="2"/>
    <s v="Lion Team"/>
    <s v="Compartida en Oficina (Dos Asesores)"/>
    <x v="1"/>
    <s v="Venta"/>
    <x v="3"/>
    <s v="Villa Urquiza"/>
  </r>
  <r>
    <d v="2025-10-17T00:00:00"/>
    <x v="1"/>
    <x v="11"/>
    <s v="CHO7101420"/>
    <x v="2"/>
    <s v="Casa - Balneario Las Grutas"/>
    <s v="Realizado"/>
    <s v="Referido"/>
    <n v="78000"/>
    <x v="116"/>
    <x v="1"/>
    <s v="Dólares"/>
    <s v="Dólares"/>
    <s v="Balnerio Las Grutas , Primer  Bajada, Av San Antonio 448"/>
    <s v="Argentina | Rio Negro | San Antonio | Balneario Las Grutas"/>
    <x v="2"/>
    <n v="2"/>
    <s v="Patagonia Lakes VLA"/>
    <s v="Master"/>
    <x v="1"/>
    <s v="Venta"/>
    <x v="1"/>
    <s v="Villa La Angostura"/>
  </r>
  <r>
    <d v="2025-12-17T00:00:00"/>
    <x v="1"/>
    <x v="8"/>
    <s v="CAP7227218"/>
    <x v="0"/>
    <s v="Venta semipiso apto credito 2 ambientes 2 balcones"/>
    <s v="Realizado"/>
    <s v="AR ZonaProp"/>
    <n v="80000"/>
    <x v="116"/>
    <x v="1"/>
    <s v="Dólares"/>
    <s v="Dólares"/>
    <s v="Ministro Brin 3460"/>
    <s v="Argentina | G.B.A. Zona Sur | Lanús | Lanús | Lanús Oeste"/>
    <x v="0"/>
    <n v="2"/>
    <s v="Destino"/>
    <s v="Compartida Fuera de la Red Captación Propia"/>
    <x v="0"/>
    <s v="Venta"/>
    <x v="3"/>
    <s v="Recoleta"/>
  </r>
  <r>
    <d v="2025-05-31T00:00:00"/>
    <x v="1"/>
    <x v="2"/>
    <s v="CAP6811398"/>
    <x v="0"/>
    <s v="Venta departamento 4 ambientes con balcón Mataderos"/>
    <s v="Realizado"/>
    <s v="AR ZonaProp"/>
    <n v="79000"/>
    <x v="116"/>
    <x v="1"/>
    <s v="Dólares"/>
    <s v="Dólares"/>
    <s v="Remedios al 4900"/>
    <s v="Argentina | Capital Federal | Mataderos "/>
    <x v="0"/>
    <n v="2"/>
    <s v="Grupo Elite"/>
    <s v="Propia (Único Asesor)"/>
    <x v="1"/>
    <s v="Venta"/>
    <x v="3"/>
    <s v="Puerto Madero"/>
  </r>
  <r>
    <d v="2025-06-13T00:00:00"/>
    <x v="1"/>
    <x v="4"/>
    <s v="Vicente López 239"/>
    <x v="0"/>
    <s v="Vicente López 239"/>
    <s v="Realizado"/>
    <s v="AR MercadoLibre"/>
    <n v="77000"/>
    <x v="116"/>
    <x v="1"/>
    <s v="Dólares"/>
    <s v="Dólares"/>
    <s v="Vicente López 239"/>
    <s v="Argentina | G.B.A. Zona Norte | San Isidro | Martinez"/>
    <x v="0"/>
    <n v="2"/>
    <s v="Lion Team"/>
    <s v="Propia (Único Asesor)"/>
    <x v="1"/>
    <s v="Venta"/>
    <x v="3"/>
    <s v="Villa Urquiza"/>
  </r>
  <r>
    <d v="2025-07-24T00:00:00"/>
    <x v="1"/>
    <x v="1"/>
    <s v="AAP5079981"/>
    <x v="0"/>
    <s v="Excelente Departamento en San Nicolás"/>
    <s v="Realizado"/>
    <s v="AR ZonaProp"/>
    <n v="79000"/>
    <x v="116"/>
    <x v="1"/>
    <s v="Dólares"/>
    <s v="Dólares"/>
    <s v="Bartolome Mitre al 1676"/>
    <s v="Argentina | Capital Federal | San Nicolás "/>
    <x v="0"/>
    <n v="2"/>
    <s v="Desiderio"/>
    <s v="Propia (Único Asesor)"/>
    <x v="1"/>
    <s v="Venta"/>
    <x v="3"/>
    <s v="Caballito"/>
  </r>
  <r>
    <d v="2025-08-04T00:00:00"/>
    <x v="1"/>
    <x v="5"/>
    <n v="10448"/>
    <x v="0"/>
    <s v="leiva"/>
    <s v="Realizado"/>
    <s v="Conocido"/>
    <n v="0"/>
    <x v="116"/>
    <x v="1"/>
    <s v="Dólares"/>
    <s v="Dólares"/>
    <m/>
    <s v="Argentina | Capital Federal | Belgrano "/>
    <x v="0"/>
    <n v="2"/>
    <s v="Seniority"/>
    <s v="Propia (Único Asesor)"/>
    <x v="1"/>
    <s v="Venta"/>
    <x v="3"/>
    <s v="Barrio Parque"/>
  </r>
  <r>
    <d v="2025-10-03T00:00:00"/>
    <x v="1"/>
    <x v="11"/>
    <s v="CAP7280709"/>
    <x v="0"/>
    <s v="VENTA DEPARTAMENTO 2 AMBIENTES con Jardín - Apto crédito - Floresta"/>
    <s v="Realizado"/>
    <s v="AR ZonaProp"/>
    <n v="83000"/>
    <x v="116"/>
    <x v="1"/>
    <s v="Dólares"/>
    <s v="Dólares"/>
    <s v="Coronel Ramón Lorenzo Falcón 3300"/>
    <s v="Argentina | Capital Federal | Floresta "/>
    <x v="0"/>
    <n v="2"/>
    <s v="Seniority"/>
    <s v="Propia (Único Asesor)"/>
    <x v="1"/>
    <s v="Venta"/>
    <x v="3"/>
    <s v="Barrio Parque"/>
  </r>
  <r>
    <d v="2025-11-17T00:00:00"/>
    <x v="1"/>
    <x v="7"/>
    <s v="CAP7251663"/>
    <x v="0"/>
    <s v="Departamento en Floresta Norte"/>
    <s v="Realizado"/>
    <s v="AR ZonaProp"/>
    <n v="82000"/>
    <x v="116"/>
    <x v="1"/>
    <s v="Dólares"/>
    <s v="Dólares"/>
    <s v="Aranguren  al 3700"/>
    <s v="Argentina | Capital Federal | Floresta | Floresta Norte"/>
    <x v="0"/>
    <n v="2"/>
    <s v="Grupo Elite"/>
    <s v="Propia (Único Asesor)"/>
    <x v="1"/>
    <s v="Venta"/>
    <x v="3"/>
    <s v="Puerto Madero"/>
  </r>
  <r>
    <d v="2026-03-30T00:00:00"/>
    <x v="0"/>
    <x v="9"/>
    <s v="CHO7345690"/>
    <x v="0"/>
    <s v="Casa en Flores"/>
    <s v="Realizado"/>
    <s v="AR ZonaProp"/>
    <n v="100000"/>
    <x v="116"/>
    <x v="1"/>
    <s v="Dólares"/>
    <s v="Dólares"/>
    <s v="Manco Capac al 1200"/>
    <s v="Argentina | Capital Federal | Flores "/>
    <x v="2"/>
    <n v="2"/>
    <s v="Niceto"/>
    <s v="Propia (Único Asesor)"/>
    <x v="1"/>
    <s v="Venta"/>
    <x v="3"/>
    <s v="Palermo"/>
  </r>
  <r>
    <d v="2025-07-28T00:00:00"/>
    <x v="1"/>
    <x v="1"/>
    <s v="CLA6876247"/>
    <x v="0"/>
    <s v="Terreno en  Venta 400m2 en Nahuel Malal,  Bariloche"/>
    <s v="Realizado"/>
    <s v="Teléfono"/>
    <n v="79500"/>
    <x v="117"/>
    <x v="1"/>
    <s v="Dólares"/>
    <s v="Dólares"/>
    <s v="Nahuel Malal, San Carlos de Bariloche"/>
    <s v="Argentina | Rio Negro | Bariloche | San Carlos De Bariloche | Nahuel Malal"/>
    <x v="1"/>
    <n v="2"/>
    <s v="Patagonia Lakes BRC"/>
    <s v="Propia (Único Asesor)"/>
    <x v="1"/>
    <s v="Venta"/>
    <x v="7"/>
    <s v="Bariloche"/>
  </r>
  <r>
    <d v="2026-02-11T00:00:00"/>
    <x v="0"/>
    <x v="0"/>
    <s v="JAP7352680"/>
    <x v="0"/>
    <s v="VENTA DEPARTAMENTO MONOAMBIENTE CON BALCÓN - PILETA - VILLA PUEYRREDON  APTO CREDITO"/>
    <s v="Realizado"/>
    <s v="AR ZonaProp"/>
    <n v="79000"/>
    <x v="118"/>
    <x v="1"/>
    <s v="Dólares"/>
    <s v="Dólares"/>
    <s v="Nazca al 4500"/>
    <s v="Argentina | Capital Federal | Villa Pueyrredon "/>
    <x v="0"/>
    <n v="2"/>
    <s v="Lion Team Norte"/>
    <s v="Propia (Único Asesor)"/>
    <x v="1"/>
    <s v="Venta"/>
    <x v="6"/>
    <s v="Vicente López"/>
  </r>
  <r>
    <d v="2025-12-01T00:00:00"/>
    <x v="1"/>
    <x v="8"/>
    <s v="España"/>
    <x v="0"/>
    <s v="España"/>
    <s v="Realizado"/>
    <s v="Facebook"/>
    <n v="0"/>
    <x v="119"/>
    <x v="1"/>
    <s v="Dólares"/>
    <s v="Dólares"/>
    <m/>
    <s v="Argentina | Mendoza | Capital | Mendoza"/>
    <x v="0"/>
    <n v="1"/>
    <s v="Cuyo Real"/>
    <s v="(Interior) Compartida Fuera de la Red Búsqueda"/>
    <x v="2"/>
    <s v="Venta"/>
    <x v="2"/>
    <s v="Capital Mendoza"/>
  </r>
  <r>
    <d v="2025-01-15T00:00:00"/>
    <x v="1"/>
    <x v="10"/>
    <n v="10159"/>
    <x v="2"/>
    <s v="la perdiz"/>
    <s v="Realizado"/>
    <s v="Web Coldwell-Banker"/>
    <n v="0"/>
    <x v="119"/>
    <x v="1"/>
    <s v="Dólares"/>
    <s v="Dólares"/>
    <m/>
    <s v="Argentina | G.B.A. Zona Norte | Pilar "/>
    <x v="2"/>
    <n v="2"/>
    <s v="Seniority"/>
    <s v="Compartida en Red (50%)"/>
    <x v="1"/>
    <s v="Venta"/>
    <x v="3"/>
    <s v="Barrio Parque"/>
  </r>
  <r>
    <d v="2025-04-24T00:00:00"/>
    <x v="1"/>
    <x v="3"/>
    <s v="CBU49671 AP6414022"/>
    <x v="0"/>
    <s v="Departamento Monoambiente dividido A Estrenar Balcon frente  Villa Urquiza VENTA"/>
    <s v="Realizado"/>
    <s v="AR ZonaProp"/>
    <n v="79000"/>
    <x v="119"/>
    <x v="1"/>
    <s v="Dólares"/>
    <s v="Dólares"/>
    <s v="Bauness  al 1100"/>
    <s v="Argentina | Capital Federal | Villa Urquiza "/>
    <x v="0"/>
    <n v="2"/>
    <s v="Lion Team"/>
    <s v="Propia (Único Asesor)"/>
    <x v="1"/>
    <s v="Venta"/>
    <x v="3"/>
    <s v="Villa Urquiza"/>
  </r>
  <r>
    <d v="2025-06-05T00:00:00"/>
    <x v="1"/>
    <x v="4"/>
    <s v="CAP6909212"/>
    <x v="0"/>
    <s v="Departamento en calle San Lorenzo esq. Av. España"/>
    <s v="Realizado"/>
    <s v="AR ZonaProp"/>
    <n v="80000"/>
    <x v="119"/>
    <x v="1"/>
    <s v="Dólares"/>
    <s v="Dólares"/>
    <s v="San Lorenzo esq Av. España  al 700"/>
    <s v="Argentina | Mendoza | Capital | Mendoza"/>
    <x v="0"/>
    <n v="2"/>
    <s v="Cuyo Real"/>
    <s v="Propia (Único Asesor)"/>
    <x v="1"/>
    <s v="Venta"/>
    <x v="2"/>
    <s v="Capital Mendoza"/>
  </r>
  <r>
    <d v="2025-10-02T00:00:00"/>
    <x v="1"/>
    <x v="11"/>
    <s v="General José Gervasio Artigas 3850"/>
    <x v="0"/>
    <s v="General José Gervasio Artigas 3850"/>
    <s v="Realizado"/>
    <s v="AR ArgenProp"/>
    <n v="155000"/>
    <x v="119"/>
    <x v="1"/>
    <s v="Dólares"/>
    <s v="Dólares"/>
    <s v="General José Gervasio Artigas 3850"/>
    <s v="Argentina | Capital Federal | Capital Federal "/>
    <x v="0"/>
    <n v="2"/>
    <s v="Lion Team"/>
    <s v="Propia (Único Asesor)"/>
    <x v="1"/>
    <s v="Venta"/>
    <x v="3"/>
    <s v="Villa Urquiza"/>
  </r>
  <r>
    <d v="2025-07-30T00:00:00"/>
    <x v="1"/>
    <x v="1"/>
    <s v="CAP6939570"/>
    <x v="0"/>
    <s v="Venta monoambiente ideal Apto Profesional"/>
    <s v="Realizado"/>
    <s v="AR ZonaProp"/>
    <n v="89000"/>
    <x v="120"/>
    <x v="1"/>
    <s v="Dólares"/>
    <s v="Dólares"/>
    <s v="Zapata  al 200"/>
    <s v="Argentina | Capital Federal | Palermo "/>
    <x v="0"/>
    <n v="2"/>
    <s v="Seniority"/>
    <s v="Compartida en Oficina (Dos Asesores)"/>
    <x v="1"/>
    <s v="Venta"/>
    <x v="3"/>
    <s v="Barrio Parque"/>
  </r>
  <r>
    <d v="2025-11-25T00:00:00"/>
    <x v="1"/>
    <x v="7"/>
    <m/>
    <x v="2"/>
    <s v="DEPARTAMENTO EN BALVANERA"/>
    <s v="Realizado"/>
    <s v="Conocido"/>
    <n v="78000"/>
    <x v="121"/>
    <x v="1"/>
    <s v="Dólares"/>
    <s v="Dólares"/>
    <s v="Pasco 79"/>
    <s v="Argentina | Capital Federal | Balvanera "/>
    <x v="0"/>
    <n v="2"/>
    <s v="Beyker"/>
    <s v="Compartida en Red (50%)"/>
    <x v="1"/>
    <s v="Venta"/>
    <x v="3"/>
    <s v="Retiro"/>
  </r>
  <r>
    <d v="2025-02-12T00:00:00"/>
    <x v="1"/>
    <x v="0"/>
    <s v="CAP6805955"/>
    <x v="0"/>
    <s v="Departamento en La Plata"/>
    <s v="Realizado"/>
    <s v="Referido"/>
    <n v="78000"/>
    <x v="121"/>
    <x v="1"/>
    <s v="Dólares"/>
    <s v="Dólares"/>
    <s v="DIAG 79 Y 55"/>
    <s v="Argentina | G.B.A. Zona Sur | La Plata | La Plata"/>
    <x v="0"/>
    <n v="1"/>
    <s v="Golden Team"/>
    <s v="Compartida Fuera de la Red Búsqueda"/>
    <x v="2"/>
    <s v="Venta"/>
    <x v="0"/>
    <s v="La Plata"/>
  </r>
  <r>
    <d v="2025-03-17T00:00:00"/>
    <x v="1"/>
    <x v="9"/>
    <s v="ALTOS DE LA CAÑADA"/>
    <x v="0"/>
    <s v="CASA EN VENTA ALTOS DE LA CAÑADA"/>
    <s v="Realizado"/>
    <s v="AR ZonaProp"/>
    <n v="78000"/>
    <x v="121"/>
    <x v="1"/>
    <s v="Dólares"/>
    <s v="Dólares"/>
    <m/>
    <s v="Argentina | G.B.A. Zona Norte | Pilar | Countries/B.Cerrado (Pilar) | La cañada de Pilar"/>
    <x v="2"/>
    <n v="2"/>
    <s v="Puerto Norte"/>
    <s v="Compartida Fuera de la Red Captación Propia"/>
    <x v="0"/>
    <s v="Venta"/>
    <x v="6"/>
    <s v="Nordelta"/>
  </r>
  <r>
    <d v="2025-05-21T00:00:00"/>
    <x v="1"/>
    <x v="2"/>
    <s v="CPH6351076"/>
    <x v="0"/>
    <s v="PH en  venta en La Plata"/>
    <s v="Realizado"/>
    <s v="AR ZonaProp"/>
    <n v="85000"/>
    <x v="121"/>
    <x v="1"/>
    <s v="Dólares"/>
    <s v="Dólares"/>
    <s v="Casa en venta en 37 entre 19 y 20"/>
    <s v="Argentina | G.B.A. Zona Sur | La Plata | La Plata"/>
    <x v="3"/>
    <n v="2"/>
    <s v="Golden Team"/>
    <s v="Compartida Fuera de la Red Captación Propia"/>
    <x v="0"/>
    <s v="Venta"/>
    <x v="0"/>
    <s v="La Plata"/>
  </r>
  <r>
    <d v="2025-08-27T00:00:00"/>
    <x v="1"/>
    <x v="5"/>
    <s v="CAP6587404"/>
    <x v="0"/>
    <s v="Departamento en San Nicolás"/>
    <s v="Realizado"/>
    <s v="AR ZonaProp"/>
    <n v="83000"/>
    <x v="121"/>
    <x v="1"/>
    <s v="Dólares"/>
    <s v="Dólares"/>
    <s v="Parana al 800"/>
    <s v="Argentina | Capital Federal | Barrio Norte "/>
    <x v="0"/>
    <n v="2"/>
    <s v="Horizon Group"/>
    <s v="Compartida Fuera de la Red Captación Propia"/>
    <x v="0"/>
    <s v="Venta"/>
    <x v="3"/>
    <s v="Núñez"/>
  </r>
  <r>
    <d v="2025-10-24T00:00:00"/>
    <x v="1"/>
    <x v="11"/>
    <s v="CAP6883338"/>
    <x v="0"/>
    <s v="Oportunidad! 2 ambientes super luminoso en zona estratégica! Ideal inversión!"/>
    <s v="Realizado"/>
    <s v="AR ZonaProp"/>
    <n v="79000"/>
    <x v="121"/>
    <x v="1"/>
    <s v="Dólares"/>
    <s v="Dólares"/>
    <s v="Salguero al 1800"/>
    <s v="Argentina | Capital Federal | Recoleta "/>
    <x v="0"/>
    <n v="2"/>
    <s v="Destino"/>
    <s v="Compartida Fuera de la Red Captación Propia"/>
    <x v="0"/>
    <s v="Venta"/>
    <x v="3"/>
    <s v="Recoleta"/>
  </r>
  <r>
    <d v="2025-09-05T00:00:00"/>
    <x v="1"/>
    <x v="6"/>
    <s v="AAP7121236"/>
    <x v="0"/>
    <s v="Departamento dos ambientes en Balvanera"/>
    <s v="Realizado"/>
    <s v="AR ZonaProp"/>
    <n v="82000"/>
    <x v="121"/>
    <x v="1"/>
    <s v="Dólares"/>
    <s v="Dólares"/>
    <s v="Riobamba al 100"/>
    <s v="Argentina | Capital Federal | Balvanera "/>
    <x v="0"/>
    <n v="2"/>
    <s v="Desiderio"/>
    <s v="Profesional Referido (70%)"/>
    <x v="1"/>
    <s v="Venta"/>
    <x v="3"/>
    <s v="Caballito"/>
  </r>
  <r>
    <d v="2025-05-13T00:00:00"/>
    <x v="1"/>
    <x v="2"/>
    <s v="CLA6621791"/>
    <x v="0"/>
    <s v="VENTA Lote/Terreno  excelente  5.615 m2 Barrio Vallescondido San Martin de los Andes"/>
    <s v="Realizado"/>
    <s v="Conocido"/>
    <n v="85000"/>
    <x v="121"/>
    <x v="1"/>
    <s v="Dólares"/>
    <s v="Dólares"/>
    <s v="Barrio vallescondido "/>
    <s v="Argentina | Neuquen | Lacar | San Martin De Los Andes | Valle escondido – Club de campo"/>
    <x v="1"/>
    <n v="2"/>
    <s v="Patagonia Lakes SMA"/>
    <s v="Propia (Único Asesor)"/>
    <x v="1"/>
    <s v="Venta"/>
    <x v="1"/>
    <s v="San Martín de los Andes"/>
  </r>
  <r>
    <d v="2025-09-26T00:00:00"/>
    <x v="1"/>
    <x v="6"/>
    <s v="CHO7101420"/>
    <x v="0"/>
    <s v="Casa - Balneario Las Grutas"/>
    <s v="Realizado"/>
    <s v="Web Coldwell-Banker"/>
    <n v="78000"/>
    <x v="121"/>
    <x v="1"/>
    <s v="Dólares"/>
    <s v="Dólares"/>
    <s v="Balnerio Las Grutas , Primer  Bajada, Av San Antonio 448"/>
    <s v="Argentina | Rio Negro | San Antonio | Balneario Las Grutas"/>
    <x v="2"/>
    <n v="2"/>
    <s v="Sensus"/>
    <s v="Propia (Único Asesor)"/>
    <x v="1"/>
    <s v="Venta"/>
    <x v="1"/>
    <s v="Capital Neuquén"/>
  </r>
  <r>
    <d v="2025-10-17T00:00:00"/>
    <x v="1"/>
    <x v="11"/>
    <s v="CAP7020572"/>
    <x v="0"/>
    <s v="Venta Departamento en Villa Urquiza Apto Crédito Apto Profesional"/>
    <s v="Realizado"/>
    <s v="AR ArgenProp"/>
    <n v="89900"/>
    <x v="121"/>
    <x v="1"/>
    <s v="Dólares"/>
    <s v="Dólares"/>
    <s v="Olazabal al 5400"/>
    <s v="Argentina | Capital Federal | Villa Urquiza "/>
    <x v="0"/>
    <n v="2"/>
    <s v="Lion Team"/>
    <s v="Propia (Único Asesor)"/>
    <x v="1"/>
    <s v="Venta"/>
    <x v="3"/>
    <s v="Villa Urquiza"/>
  </r>
  <r>
    <d v="2026-01-13T00:00:00"/>
    <x v="0"/>
    <x v="10"/>
    <s v="AAP4683438"/>
    <x v="0"/>
    <s v="Venta, monoambiente con Balcón en Palermo"/>
    <s v="Realizado"/>
    <s v="Conocido"/>
    <n v="80000"/>
    <x v="121"/>
    <x v="1"/>
    <s v="Dólares"/>
    <s v="Dólares"/>
    <s v="Angel Justiniano Carranza al 1300, esquina Av. Córdoba."/>
    <s v="Argentina | Capital Federal | Palermo "/>
    <x v="0"/>
    <n v="2"/>
    <s v="Wings"/>
    <s v="Propia (Único Asesor)"/>
    <x v="1"/>
    <s v="Venta"/>
    <x v="3"/>
    <s v="Núñez"/>
  </r>
  <r>
    <d v="2026-01-13T00:00:00"/>
    <x v="0"/>
    <x v="10"/>
    <s v="AAP4683443"/>
    <x v="0"/>
    <s v="Venta Departamento de 1 ambiente con balcón en PALERMO"/>
    <s v="Realizado"/>
    <s v="Referido"/>
    <n v="80000"/>
    <x v="121"/>
    <x v="1"/>
    <s v="Dólares"/>
    <s v="Dólares"/>
    <s v="Angel Justiniano Carranza al 1300, esquina Av. Córdoba"/>
    <s v="Argentina | Capital Federal | Palermo "/>
    <x v="0"/>
    <n v="2"/>
    <s v="Wings"/>
    <s v="Propia (Único Asesor)"/>
    <x v="1"/>
    <s v="Venta"/>
    <x v="3"/>
    <s v="Núñez"/>
  </r>
  <r>
    <d v="2026-01-21T00:00:00"/>
    <x v="0"/>
    <x v="10"/>
    <s v="CAP7396095"/>
    <x v="0"/>
    <s v="Departamento 2 ambientes en oportunidad apto turismo Bariloche"/>
    <s v="Realizado"/>
    <s v="Teléfono"/>
    <n v="78000"/>
    <x v="121"/>
    <x v="1"/>
    <s v="Dólares"/>
    <s v="Dólares"/>
    <s v="Las Victorias, San Carlos de Bariloche"/>
    <s v="Argentina | Rio Negro | Bariloche | San Carlos De Bariloche | Las Victorias"/>
    <x v="0"/>
    <n v="2"/>
    <s v="Patagonia Lakes BRC"/>
    <s v="Propia (Único Asesor)"/>
    <x v="1"/>
    <s v="Venta"/>
    <x v="7"/>
    <s v="Bariloche"/>
  </r>
  <r>
    <d v="2026-03-09T00:00:00"/>
    <x v="0"/>
    <x v="9"/>
    <s v="AZ001"/>
    <x v="0"/>
    <s v="Venta de departamento dos ambientes con terraza propia en Chacarita"/>
    <s v="Realizado"/>
    <s v="AR ZonaProp"/>
    <n v="79000"/>
    <x v="121"/>
    <x v="1"/>
    <s v="Dólares"/>
    <s v="Dólares"/>
    <s v="Charlone al 385"/>
    <s v="Argentina | Capital Federal | Chacarita "/>
    <x v="0"/>
    <n v="2"/>
    <s v="Notable"/>
    <s v="Propia (Único Asesor)"/>
    <x v="1"/>
    <s v="Venta"/>
    <x v="3"/>
    <s v="Palermo"/>
  </r>
  <r>
    <d v="2025-11-11T00:00:00"/>
    <x v="1"/>
    <x v="7"/>
    <s v="VPN49872 LA5937407"/>
    <x v="0"/>
    <s v="LOTES FINANCIADOS en Del Viso - Pilar - El Paso"/>
    <s v="Realizado"/>
    <s v="AR ZonaProp"/>
    <n v="85478"/>
    <x v="122"/>
    <x v="1"/>
    <s v="Dólares"/>
    <s v="Dólares"/>
    <s v="BARRIO EL PASO"/>
    <s v="Argentina | G.B.A. Zona Norte | Pilar | Del Viso"/>
    <x v="1"/>
    <n v="2"/>
    <s v="Puerto Norte"/>
    <s v="Compartida en Oficina (Dos Asesores)"/>
    <x v="1"/>
    <s v="Venta"/>
    <x v="6"/>
    <s v="Nordelta"/>
  </r>
  <r>
    <d v="2025-03-12T00:00:00"/>
    <x v="1"/>
    <x v="9"/>
    <s v="JAP6708331"/>
    <x v="0"/>
    <s v="DEPARTAMENTO MONOAMBIENTE EN VENTA "/>
    <s v="Realizado"/>
    <s v="AR ZonaProp"/>
    <n v="74200"/>
    <x v="123"/>
    <x v="1"/>
    <s v="Dólares"/>
    <s v="Dólares"/>
    <s v="CAMPANA  al 4800"/>
    <s v="Argentina | Capital Federal | Villa Pueyrredon "/>
    <x v="0"/>
    <n v="2"/>
    <s v="Lion Team Norte"/>
    <s v="Propia (Único Asesor)"/>
    <x v="1"/>
    <s v="Venta"/>
    <x v="6"/>
    <s v="Vicente López"/>
  </r>
  <r>
    <d v="2025-05-23T00:00:00"/>
    <x v="1"/>
    <x v="2"/>
    <n v="13"/>
    <x v="0"/>
    <s v="Quinquela Martin 5 C"/>
    <s v="Realizado"/>
    <s v="Conocido"/>
    <n v="78970"/>
    <x v="124"/>
    <x v="1"/>
    <s v="Dólares"/>
    <s v="Dólares"/>
    <s v="Quinquela Martin 1294"/>
    <s v="Argentina | Capital Federal | Barracas "/>
    <x v="0"/>
    <n v="2"/>
    <s v="Grupo Elite"/>
    <s v="Propia (Único Asesor)"/>
    <x v="1"/>
    <s v="Venta"/>
    <x v="3"/>
    <s v="Puerto Madero"/>
  </r>
  <r>
    <d v="2025-03-11T00:00:00"/>
    <x v="1"/>
    <x v="9"/>
    <s v="CAP6693552"/>
    <x v="0"/>
    <s v="Venta Departamento Centro Bariloche Oportunidad"/>
    <s v="Realizado"/>
    <s v="Teléfono"/>
    <n v="85000"/>
    <x v="125"/>
    <x v="1"/>
    <s v="Dólares"/>
    <s v="Dólares"/>
    <s v="Centro, San Carlos de Bariloche"/>
    <s v="Argentina | Rio Negro | Bariloche | San Carlos De Bariloche | Centro"/>
    <x v="0"/>
    <n v="1"/>
    <s v="Patagonia Lakes BRC"/>
    <s v="(Interior) Compartida Fuera de la Red Búsqueda"/>
    <x v="2"/>
    <s v="Venta"/>
    <x v="7"/>
    <s v="Bariloche"/>
  </r>
  <r>
    <d v="2025-08-26T00:00:00"/>
    <x v="1"/>
    <x v="5"/>
    <s v="Avellaneda 30 "/>
    <x v="0"/>
    <s v="Avellaneda 30 "/>
    <s v="Realizado"/>
    <s v="AR ZonaProp"/>
    <n v="79000"/>
    <x v="125"/>
    <x v="1"/>
    <s v="Dólares"/>
    <s v="Dólares"/>
    <s v="Avellaneda 30 "/>
    <s v="Argentina | G.B.A. Zona Oeste | La Matanza | San Justo"/>
    <x v="0"/>
    <n v="2"/>
    <s v="Lion Team"/>
    <s v="Compartida en Oficina (Dos Asesores)"/>
    <x v="1"/>
    <s v="Venta"/>
    <x v="3"/>
    <s v="Villa Urquiza"/>
  </r>
  <r>
    <d v="2026-02-21T00:00:00"/>
    <x v="0"/>
    <x v="0"/>
    <m/>
    <x v="0"/>
    <s v="lote de aproximadamente 900 m2 ubicado en Barria 757, nomenclatura catastral 16-20-061-8448-0000"/>
    <s v="Realizado"/>
    <s v="Conocido"/>
    <n v="80000"/>
    <x v="125"/>
    <x v="1"/>
    <s v="Dólares"/>
    <s v="Dólares"/>
    <s v="Barria 700"/>
    <s v="Argentina | Neuquen | Villa La Angostura | Peumayen"/>
    <x v="1"/>
    <n v="2"/>
    <s v="Patagonia Lakes VLA"/>
    <s v="Compartida en Oficina (Dos Asesores)"/>
    <x v="1"/>
    <s v="Venta"/>
    <x v="1"/>
    <s v="Villa La Angostura"/>
  </r>
  <r>
    <d v="2025-04-14T00:00:00"/>
    <x v="1"/>
    <x v="3"/>
    <n v="7"/>
    <x v="0"/>
    <s v="Venta departamento Asamblea "/>
    <s v="Realizado"/>
    <s v="AR ZonaProp"/>
    <n v="78000"/>
    <x v="125"/>
    <x v="1"/>
    <s v="Dólares"/>
    <s v="Dólares"/>
    <s v="Av Asamblea 1512"/>
    <s v="Argentina | Capital Federal | Parque Chacabuco "/>
    <x v="0"/>
    <n v="1"/>
    <s v="Grupo Elite"/>
    <s v="Compartida Fuera de la Red Búsqueda"/>
    <x v="2"/>
    <s v="Venta"/>
    <x v="3"/>
    <s v="Puerto Madero"/>
  </r>
  <r>
    <d v="2026-03-25T00:00:00"/>
    <x v="0"/>
    <x v="9"/>
    <s v="Búsqueda Zohay"/>
    <x v="0"/>
    <s v="Departamento en Flores"/>
    <s v="Realizado"/>
    <s v="Referido"/>
    <n v="79000"/>
    <x v="125"/>
    <x v="1"/>
    <s v="Dólares"/>
    <s v="Dólares"/>
    <s v="Dr. Juan Felipe Aranguren 2893 "/>
    <s v="Argentina | Capital Federal | Flores "/>
    <x v="0"/>
    <n v="1"/>
    <s v="Wings"/>
    <s v="Compartida Fuera de la Red Búsqueda"/>
    <x v="2"/>
    <s v="Venta"/>
    <x v="3"/>
    <s v="Núñez"/>
  </r>
  <r>
    <d v="2025-03-20T00:00:00"/>
    <x v="1"/>
    <x v="9"/>
    <s v="CAP6656315"/>
    <x v="0"/>
    <s v="Venta Departamento 2 Ambientes con Balcón en Agronomia"/>
    <s v="Realizado"/>
    <s v="AR ZonaProp"/>
    <n v="81000"/>
    <x v="125"/>
    <x v="1"/>
    <s v="Dólares"/>
    <s v="Dólares"/>
    <s v="Avenida Salvador María del Carril al 3100"/>
    <s v="Argentina | Capital Federal | Villa Pueyrredon "/>
    <x v="0"/>
    <n v="2"/>
    <s v="Seniority Plus"/>
    <s v="Compartida Fuera de la Red Captación Propia"/>
    <x v="0"/>
    <s v="Venta"/>
    <x v="3"/>
    <s v="Palermo"/>
  </r>
  <r>
    <d v="2026-02-23T00:00:00"/>
    <x v="0"/>
    <x v="0"/>
    <s v="CAP7381916"/>
    <x v="0"/>
    <s v="Venta Departamento 2 Ambientes con Balcon en San Nicolás"/>
    <s v="Realizado"/>
    <s v="AR ZonaProp"/>
    <n v="98000"/>
    <x v="125"/>
    <x v="1"/>
    <s v="Dólares"/>
    <s v="Dólares"/>
    <s v="Libertad al 400"/>
    <s v="Argentina | Capital Federal | San Nicolás "/>
    <x v="0"/>
    <n v="2"/>
    <s v="Seniority"/>
    <s v="Compartida Fuera de la Red Captación Propia"/>
    <x v="0"/>
    <s v="Venta"/>
    <x v="3"/>
    <s v="Barrio Parque"/>
  </r>
  <r>
    <d v="2025-02-20T00:00:00"/>
    <x v="1"/>
    <x v="0"/>
    <s v="Av. Maipú 2515"/>
    <x v="0"/>
    <s v="Av. Maipú 2515"/>
    <s v="Realizado"/>
    <s v="AR ZonaProp"/>
    <n v="84000"/>
    <x v="125"/>
    <x v="1"/>
    <s v="Dólares"/>
    <s v="Dólares"/>
    <s v="Av. Maipú 2515"/>
    <s v="Argentina | G.B.A. Zona Norte | Vicente López "/>
    <x v="0"/>
    <n v="2"/>
    <s v="Lion Team Norte"/>
    <s v="Propia (Único Asesor)"/>
    <x v="1"/>
    <s v="Venta"/>
    <x v="6"/>
    <s v="Vicente López"/>
  </r>
  <r>
    <d v="2025-06-26T00:00:00"/>
    <x v="1"/>
    <x v="4"/>
    <s v="CHO4484609"/>
    <x v="0"/>
    <s v="Venta Casa en esquina const. sobre 2 lotes amplio fondo libre - Llavallol"/>
    <s v="Realizado"/>
    <s v="AR ZonaProp"/>
    <n v="79000"/>
    <x v="125"/>
    <x v="1"/>
    <s v="Dólares"/>
    <s v="Dólares"/>
    <s v="Aragón 198"/>
    <s v="Argentina | G.B.A. Zona Sur | Lomas De Zamora (Partido) | Llavallol"/>
    <x v="2"/>
    <n v="2"/>
    <s v="Desiderio"/>
    <s v="Propia (Único Asesor)"/>
    <x v="1"/>
    <s v="Venta"/>
    <x v="3"/>
    <s v="Caballito"/>
  </r>
  <r>
    <d v="2025-06-27T00:00:00"/>
    <x v="1"/>
    <x v="4"/>
    <s v="CPH4756207"/>
    <x v="0"/>
    <s v="VENTA 3 AMBIENTES TERRAZA PROPIA APTO CREDITO POMPEYA"/>
    <s v="Realizado"/>
    <s v="AR ZonaProp"/>
    <n v="79000"/>
    <x v="125"/>
    <x v="1"/>
    <s v="Dólares"/>
    <s v="Dólares"/>
    <s v="Grito de Asencio al 3800"/>
    <s v="Argentina | Capital Federal | Pompeya "/>
    <x v="3"/>
    <n v="2"/>
    <s v="Seniority"/>
    <s v="Propia (Único Asesor)"/>
    <x v="1"/>
    <s v="Venta"/>
    <x v="3"/>
    <s v="Barrio Parque"/>
  </r>
  <r>
    <d v="2025-08-11T00:00:00"/>
    <x v="1"/>
    <x v="5"/>
    <s v="CAP7060605"/>
    <x v="0"/>
    <s v="Departamento de dos dormitorios y balcón al frente en Av. Vicente López | QUILMES"/>
    <s v="Realizado"/>
    <s v="AR ZonaProp"/>
    <n v="79000"/>
    <x v="125"/>
    <x v="1"/>
    <s v="Dólares"/>
    <s v="Dólares"/>
    <s v="Av. Vicente López E/ Tucumán y José María Sánchez"/>
    <s v="Argentina | G.B.A. Zona Sur | Quilmes | Quilmes Oeste"/>
    <x v="0"/>
    <n v="2"/>
    <s v="Golden Team"/>
    <s v="Propia (Único Asesor)"/>
    <x v="1"/>
    <s v="Venta"/>
    <x v="0"/>
    <s v="La Plata"/>
  </r>
  <r>
    <d v="2026-03-12T00:00:00"/>
    <x v="0"/>
    <x v="9"/>
    <s v="CAP6168566"/>
    <x v="0"/>
    <s v="Venta departamento 3 ambientes con 2 patios planta baja en Villa Crespo"/>
    <s v="Realizado"/>
    <s v="AR ArgenProp"/>
    <n v="84900"/>
    <x v="125"/>
    <x v="1"/>
    <s v="Dólares"/>
    <s v="Dólares"/>
    <s v="Juan b justo  al 2700"/>
    <s v="Argentina | Capital Federal | Villa Crespo "/>
    <x v="0"/>
    <n v="2"/>
    <s v="Lion Team"/>
    <s v="Propia (Único Asesor)"/>
    <x v="1"/>
    <s v="Venta"/>
    <x v="3"/>
    <s v="Villa Urquiza"/>
  </r>
  <r>
    <d v="2026-03-16T00:00:00"/>
    <x v="0"/>
    <x v="9"/>
    <s v="CAP7605873"/>
    <x v="0"/>
    <s v="Venta Departamento 2 ambientes Balcón Amoblado y Equipado Congreso"/>
    <s v="Realizado"/>
    <s v="AR ZonaProp"/>
    <n v="79000"/>
    <x v="125"/>
    <x v="1"/>
    <s v="Dólares"/>
    <s v="Dólares"/>
    <s v="Combate de los Pozos al 100"/>
    <s v="Argentina | Capital Federal | Balvanera "/>
    <x v="0"/>
    <n v="2"/>
    <s v="Wings"/>
    <s v="Propia (Único Asesor)"/>
    <x v="1"/>
    <s v="Venta"/>
    <x v="3"/>
    <s v="Núñez"/>
  </r>
  <r>
    <d v="2025-03-27T00:00:00"/>
    <x v="1"/>
    <x v="9"/>
    <s v="CAP6515908"/>
    <x v="0"/>
    <s v="VENTA DEPARTAMENTO 2 AMBIENTES EN  PALERMO"/>
    <s v="Realizado"/>
    <s v="AR MercadoLibre"/>
    <n v="79800"/>
    <x v="126"/>
    <x v="1"/>
    <s v="Dólares"/>
    <s v="Dólares"/>
    <s v="Fitz Roy al 1600"/>
    <s v="Argentina | Capital Federal | Palermo | Palermo Hollywood"/>
    <x v="0"/>
    <n v="2"/>
    <s v="Lion Team"/>
    <s v="Compartida en Oficina (Dos Asesores)"/>
    <x v="1"/>
    <s v="Venta"/>
    <x v="3"/>
    <s v="Villa Urquiza"/>
  </r>
  <r>
    <d v="2025-11-18T00:00:00"/>
    <x v="1"/>
    <x v="7"/>
    <s v="VAP6613517"/>
    <x v="0"/>
    <s v="Departamento APTO CREDITO 2 amb C/Coch en Club Bamboo Pilar"/>
    <s v="Realizado"/>
    <s v="AR ZonaProp"/>
    <n v="85000"/>
    <x v="126"/>
    <x v="1"/>
    <s v="Dólares"/>
    <s v="Dólares"/>
    <s v="Caamaño al 1000"/>
    <s v="Argentina | G.B.A. Zona Norte | Pilar | Villa Rosa | Club Bamboo"/>
    <x v="0"/>
    <n v="1"/>
    <s v="Puerto Norte"/>
    <s v="Compartida Fuera de la Red Búsqueda"/>
    <x v="2"/>
    <s v="Venta"/>
    <x v="6"/>
    <s v="Nordelta"/>
  </r>
  <r>
    <d v="2025-11-17T00:00:00"/>
    <x v="1"/>
    <x v="7"/>
    <s v="CAP6787791"/>
    <x v="0"/>
    <s v="Venta Departamento Monoambiente en Palermo Hollywood"/>
    <s v="Realizado"/>
    <s v="AR ZonaProp"/>
    <n v="81000"/>
    <x v="126"/>
    <x v="1"/>
    <s v="Dólares"/>
    <s v="Dólares"/>
    <s v="José A. Cabrera  al 4100"/>
    <s v="Argentina | Capital Federal | Palermo | Palermo Soho"/>
    <x v="0"/>
    <n v="2"/>
    <s v="Seniority Plus"/>
    <s v="Propia (Único Asesor)"/>
    <x v="1"/>
    <s v="Venta"/>
    <x v="3"/>
    <s v="Palermo"/>
  </r>
  <r>
    <d v="2025-10-20T00:00:00"/>
    <x v="1"/>
    <x v="11"/>
    <s v="Depto Vale-Evelyn"/>
    <x v="0"/>
    <s v="Depto Vale-Evelyn"/>
    <s v="Realizado"/>
    <s v="AR ZonaProp"/>
    <n v="80000"/>
    <x v="127"/>
    <x v="1"/>
    <s v="Dólares"/>
    <s v="Dólares"/>
    <m/>
    <s v="Argentina | Rio Negro | General Roca | Cipolletti"/>
    <x v="0"/>
    <n v="1"/>
    <s v="Sensus"/>
    <s v="(Interior) Compartida Fuera de la Red Búsqueda"/>
    <x v="2"/>
    <s v="Venta"/>
    <x v="1"/>
    <s v="Capital Neuquén"/>
  </r>
  <r>
    <d v="2025-03-19T00:00:00"/>
    <x v="1"/>
    <x v="9"/>
    <s v="CAP6452000"/>
    <x v="0"/>
    <s v="Departamento en Ramos Mejia - Centro - Cocina Separada - Al frente - Bajas Expensas"/>
    <s v="Realizado"/>
    <s v="AR ZonaProp"/>
    <n v="85000"/>
    <x v="127"/>
    <x v="1"/>
    <s v="Dólares"/>
    <s v="Dólares"/>
    <s v="Rosales al 100"/>
    <s v="Argentina | G.B.A. Zona Oeste | La Matanza | Ramos Mejia"/>
    <x v="0"/>
    <n v="2"/>
    <s v="Lion Team"/>
    <s v="Compartida en Oficina (Dos Asesores)"/>
    <x v="1"/>
    <s v="Venta"/>
    <x v="3"/>
    <s v="Villa Urquiza"/>
  </r>
  <r>
    <d v="2025-03-28T00:00:00"/>
    <x v="1"/>
    <x v="9"/>
    <s v="CBU60233 AP6878133"/>
    <x v="0"/>
    <s v="Venta Departamento Monoambiente Apto turismo a 5 minutos del centro"/>
    <s v="Realizado"/>
    <s v="Referido"/>
    <n v="80000"/>
    <x v="127"/>
    <x v="1"/>
    <s v="Dólares"/>
    <s v="Dólares"/>
    <s v="Avenida Pioneros, San Carlos de Bariloche"/>
    <s v="Argentina | Rio Negro | Bariloche | San Carlos De Bariloche | Los Cipresales"/>
    <x v="0"/>
    <n v="2"/>
    <s v="Patagonia Lakes BRC"/>
    <s v="Compartida en Oficina (Dos Asesores)"/>
    <x v="1"/>
    <s v="Venta"/>
    <x v="7"/>
    <s v="Bariloche"/>
  </r>
  <r>
    <d v="2025-08-26T00:00:00"/>
    <x v="1"/>
    <x v="5"/>
    <s v="CAP4196765"/>
    <x v="0"/>
    <s v="Monoambiente en Barrio La Plaza con Jardín - en pozo - financiados - Bariloche - Patagonia"/>
    <s v="Realizado"/>
    <s v="Teléfono"/>
    <n v="85000"/>
    <x v="127"/>
    <x v="1"/>
    <s v="Dólares"/>
    <s v="Dólares"/>
    <s v="Rolando y 258"/>
    <s v="Argentina | Rio Negro | Bariloche | San Carlos De Bariloche"/>
    <x v="0"/>
    <n v="2"/>
    <s v="Patagonia Lakes BRC"/>
    <s v="Compartida en Oficina (Dos Asesores)"/>
    <x v="1"/>
    <s v="Venta"/>
    <x v="7"/>
    <s v="Bariloche"/>
  </r>
  <r>
    <d v="2025-10-02T00:00:00"/>
    <x v="1"/>
    <x v="11"/>
    <s v="CAP6852994"/>
    <x v="2"/>
    <s v="Departamento en venta - 2 ambientes -Palermo "/>
    <s v="Realizado"/>
    <s v="AR ZonaProp"/>
    <n v="80000"/>
    <x v="127"/>
    <x v="1"/>
    <s v="Dólares"/>
    <s v="Dólares"/>
    <s v="Departamento - 2 Ambientes  - Palermo"/>
    <s v="Argentina | Capital Federal | Palermo | Palermo Viejo"/>
    <x v="0"/>
    <n v="2"/>
    <s v="North Team"/>
    <s v="Master"/>
    <x v="1"/>
    <s v="Venta"/>
    <x v="6"/>
    <s v="Pilar"/>
  </r>
  <r>
    <d v="2025-12-10T00:00:00"/>
    <x v="1"/>
    <x v="8"/>
    <s v="CBU59833 AP6532354"/>
    <x v="2"/>
    <s v="VENTA DEPARTAMENTO 2 AMBIENTES EN POZO SAAVEDRA"/>
    <s v="Realizado"/>
    <s v="AR ZonaProp"/>
    <n v="185000"/>
    <x v="127"/>
    <x v="1"/>
    <s v="Dólares"/>
    <s v="Dólares"/>
    <s v="Pinto  al 4200"/>
    <s v="Argentina | Capital Federal | Saavedra "/>
    <x v="0"/>
    <n v="2"/>
    <s v="Seniority"/>
    <s v="Master"/>
    <x v="1"/>
    <s v="Venta"/>
    <x v="3"/>
    <s v="Barrio Parque"/>
  </r>
  <r>
    <d v="2025-08-06T00:00:00"/>
    <x v="1"/>
    <x v="5"/>
    <s v="N/C - PERON 1671"/>
    <x v="0"/>
    <s v="VENTA DPTO 3 AMB SAN NICOLAS"/>
    <s v="Realizado"/>
    <s v="AR MercadoLibre"/>
    <n v="80000"/>
    <x v="127"/>
    <x v="1"/>
    <s v="Dólares"/>
    <s v="Dólares"/>
    <s v="Tte. Gral. Juan Domingo Perón 1671"/>
    <s v="Argentina | Capital Federal | San Nicolás "/>
    <x v="0"/>
    <n v="1"/>
    <s v="Destino II"/>
    <s v="Compartida Fuera de la Red Búsqueda"/>
    <x v="2"/>
    <s v="Venta"/>
    <x v="3"/>
    <s v="Recoleta"/>
  </r>
  <r>
    <d v="2025-08-05T00:00:00"/>
    <x v="1"/>
    <x v="5"/>
    <s v="VAP6158713"/>
    <x v="0"/>
    <s v="Departamento venta 1 dormitorio - Nuñez - bajas expensas"/>
    <s v="Realizado"/>
    <s v="AR ZonaProp"/>
    <n v="84000"/>
    <x v="127"/>
    <x v="1"/>
    <s v="Dólares"/>
    <s v="Dólares"/>
    <s v="Vuelta de Obligado al 4000"/>
    <s v="Argentina | Capital Federal | Nuñez "/>
    <x v="0"/>
    <n v="2"/>
    <s v="Space BA"/>
    <s v="Compartida Fuera de la Red Captación Propia"/>
    <x v="0"/>
    <s v="Venta"/>
    <x v="3"/>
    <s v="Belgrano"/>
  </r>
  <r>
    <d v="2025-09-12T00:00:00"/>
    <x v="1"/>
    <x v="6"/>
    <s v="CHO6856766"/>
    <x v="0"/>
    <s v="Casa esquina Av Granadeos y Buenos Aires"/>
    <s v="Realizado"/>
    <s v="Referido"/>
    <n v="105000"/>
    <x v="127"/>
    <x v="1"/>
    <s v="Dólares"/>
    <s v="Dólares"/>
    <s v="Av Granaderos  al 300"/>
    <s v="Argentina | Mendoza | San Rafael "/>
    <x v="2"/>
    <n v="2"/>
    <s v="Sensus"/>
    <s v="Profesional Referenciador (30%)"/>
    <x v="1"/>
    <s v="Venta"/>
    <x v="1"/>
    <s v="Capital Neuquén"/>
  </r>
  <r>
    <d v="2025-05-15T00:00:00"/>
    <x v="1"/>
    <x v="2"/>
    <s v="CAP6864182"/>
    <x v="0"/>
    <s v="Departamento en  Venta - Guaymallén - Mendoza"/>
    <s v="Realizado"/>
    <s v="AR ZonaProp"/>
    <n v="83000"/>
    <x v="127"/>
    <x v="1"/>
    <s v="Dólares"/>
    <s v="Dólares"/>
    <s v="Suriani al 800"/>
    <s v="Argentina | Mendoza | Guaymallen "/>
    <x v="0"/>
    <n v="2"/>
    <s v="Cuyo Real"/>
    <s v="Profesional Referido (70%)"/>
    <x v="1"/>
    <s v="Venta"/>
    <x v="2"/>
    <s v="Capital Mendoza"/>
  </r>
  <r>
    <d v="2025-01-09T00:00:00"/>
    <x v="1"/>
    <x v="10"/>
    <s v="CBU49671 AP6414022"/>
    <x v="0"/>
    <s v="Departamento Monoambiente dividido A Estrenar Balcon frente  Villa Urquiza VENTA"/>
    <s v="Realizado"/>
    <s v="AR MercadoLibre"/>
    <n v="79000"/>
    <x v="127"/>
    <x v="1"/>
    <s v="Dólares"/>
    <s v="Dólares"/>
    <s v="Bauness  al 1100"/>
    <s v="Argentina | Capital Federal | Villa Urquiza "/>
    <x v="0"/>
    <n v="2"/>
    <s v="Lion Team"/>
    <s v="Propia (Único Asesor)"/>
    <x v="1"/>
    <s v="Venta"/>
    <x v="3"/>
    <s v="Villa Urquiza"/>
  </r>
  <r>
    <d v="2025-01-20T00:00:00"/>
    <x v="1"/>
    <x v="10"/>
    <s v="CLA5945502"/>
    <x v="0"/>
    <s v="Terreno Lote en  Venta El Canton Golf"/>
    <s v="Realizado"/>
    <s v="AR ZonaProp"/>
    <n v="95000"/>
    <x v="127"/>
    <x v="1"/>
    <s v="Dólares"/>
    <s v="Dólares"/>
    <s v="El Canton Golf 20"/>
    <s v="Argentina | G.B.A. Zona Norte | Escobar | Countries/B.Cerrado (Escobar) | El Canton - Golf"/>
    <x v="1"/>
    <n v="2"/>
    <s v="Haka"/>
    <s v="Propia (Único Asesor)"/>
    <x v="1"/>
    <s v="Venta"/>
    <x v="3"/>
    <s v="Núñez"/>
  </r>
  <r>
    <d v="2025-01-22T00:00:00"/>
    <x v="1"/>
    <x v="10"/>
    <s v="CAP6382284"/>
    <x v="0"/>
    <s v="MONOAMBIENTE PREMIUM"/>
    <s v="Realizado"/>
    <s v="AR ZonaProp"/>
    <n v="82000"/>
    <x v="127"/>
    <x v="1"/>
    <s v="Dólares"/>
    <s v="Dólares"/>
    <s v="San Martin   al 425"/>
    <s v="Argentina | Neuquen | Confluencia | Neuquen"/>
    <x v="0"/>
    <n v="2"/>
    <s v="Sensus"/>
    <s v="Propia (Único Asesor)"/>
    <x v="1"/>
    <s v="Venta"/>
    <x v="1"/>
    <s v="Capital Neuquén"/>
  </r>
  <r>
    <d v="2025-02-10T00:00:00"/>
    <x v="1"/>
    <x v="0"/>
    <s v="CHO5742397"/>
    <x v="0"/>
    <s v="Casa en  Venta Libertad 500 Nqn Capital"/>
    <s v="Realizado"/>
    <s v="AR ZonaProp"/>
    <n v="80000"/>
    <x v="127"/>
    <x v="1"/>
    <s v="Dólares"/>
    <s v="Dólares"/>
    <s v="Libertad 500"/>
    <s v="Argentina | Neuquen | Capital | Área Centro Sur"/>
    <x v="2"/>
    <n v="2"/>
    <s v="Sensus"/>
    <s v="Propia (Único Asesor)"/>
    <x v="1"/>
    <s v="Venta"/>
    <x v="1"/>
    <s v="Capital Neuquén"/>
  </r>
  <r>
    <d v="2025-02-20T00:00:00"/>
    <x v="1"/>
    <x v="0"/>
    <s v="CAP6515981"/>
    <x v="0"/>
    <s v="VENTA DEPARTAMENTO 2 AMBIENTES CON PATIO  EN FLORES"/>
    <s v="Realizado"/>
    <s v="AR ZonaProp"/>
    <n v="82000"/>
    <x v="127"/>
    <x v="1"/>
    <s v="Dólares"/>
    <s v="Dólares"/>
    <s v="Neuquen  al 2300"/>
    <s v="Argentina | Capital Federal | Flores | Flores Norte"/>
    <x v="0"/>
    <n v="2"/>
    <s v="Seniority"/>
    <s v="Propia (Único Asesor)"/>
    <x v="1"/>
    <s v="Venta"/>
    <x v="3"/>
    <s v="Barrio Parque"/>
  </r>
  <r>
    <d v="2025-04-01T00:00:00"/>
    <x v="1"/>
    <x v="3"/>
    <s v="CAP6636759"/>
    <x v="0"/>
    <s v="Increible 3 ambientes con Patio Balcón y Cochera APTO CREDITO"/>
    <s v="Realizado"/>
    <s v="AR ZonaProp"/>
    <n v="83000"/>
    <x v="127"/>
    <x v="1"/>
    <s v="Dólares"/>
    <s v="Dólares"/>
    <s v="Catamarca  al 500"/>
    <s v="Argentina | Capital Federal | Balvanera "/>
    <x v="0"/>
    <n v="2"/>
    <s v="Puerto Norte"/>
    <s v="Propia (Único Asesor)"/>
    <x v="1"/>
    <s v="Venta"/>
    <x v="6"/>
    <s v="Nordelta"/>
  </r>
  <r>
    <d v="2025-04-22T00:00:00"/>
    <x v="1"/>
    <x v="3"/>
    <s v="CPH6613449"/>
    <x v="0"/>
    <s v="PH, lomas de zamora, patio, jardin, cochera, 3 ambientes, excelente estado, entrada independiente"/>
    <s v="Realizado"/>
    <s v="AR ArgenProp"/>
    <n v="84900"/>
    <x v="127"/>
    <x v="1"/>
    <s v="Dólares"/>
    <s v="Dólares"/>
    <s v="Mentruyt 85"/>
    <s v="Argentina | G.B.A. Zona Sur | Lomas De Zamora (Partido) | Lomas De Zamora"/>
    <x v="3"/>
    <n v="2"/>
    <s v="Lion Team"/>
    <s v="Propia (Único Asesor)"/>
    <x v="1"/>
    <s v="Venta"/>
    <x v="3"/>
    <s v="Villa Urquiza"/>
  </r>
  <r>
    <d v="2025-05-08T00:00:00"/>
    <x v="1"/>
    <x v="2"/>
    <s v="CAP6968948"/>
    <x v="0"/>
    <s v="Venta, Departamento, 3 ambientes, balcon, terraza, Parrilla, Saenz Peña"/>
    <s v="Realizado"/>
    <s v="AR ZonaProp"/>
    <n v="85000"/>
    <x v="127"/>
    <x v="1"/>
    <s v="Dólares"/>
    <s v="Dólares"/>
    <s v="Giorello al 1100"/>
    <s v="Argentina | G.B.A. Zona Oeste | Tres De Febrero | Villa Saenz Peña"/>
    <x v="0"/>
    <n v="2"/>
    <s v="Lion Team"/>
    <s v="Propia (Único Asesor)"/>
    <x v="1"/>
    <s v="Venta"/>
    <x v="3"/>
    <s v="Villa Urquiza"/>
  </r>
  <r>
    <d v="2025-05-21T00:00:00"/>
    <x v="1"/>
    <x v="2"/>
    <s v="CHO6593513"/>
    <x v="0"/>
    <s v="Casa en Venta calle 68 entre 117 y 118 4 dormitorios lote propio, patio, parrilla, galeria y pileta"/>
    <s v="Realizado"/>
    <s v="AR ZonaProp"/>
    <n v="85000"/>
    <x v="127"/>
    <x v="1"/>
    <s v="Dólares"/>
    <s v="Dólares"/>
    <s v="Casa en Venta calle 68 entre 117 y 118, Galeria, Patio y Pileta"/>
    <s v="Argentina | G.B.A. Zona Sur | La Plata | La Plata"/>
    <x v="2"/>
    <n v="2"/>
    <s v="Golden Team"/>
    <s v="Propia (Único Asesor)"/>
    <x v="1"/>
    <s v="Venta"/>
    <x v="0"/>
    <s v="La Plata"/>
  </r>
  <r>
    <d v="2025-06-06T00:00:00"/>
    <x v="1"/>
    <x v="4"/>
    <s v="CHO6606969"/>
    <x v="0"/>
    <s v="Casa en  Oportunidad Centro de Castelar sur"/>
    <s v="Realizado"/>
    <s v="AR MercadoLibre"/>
    <n v="80000"/>
    <x v="127"/>
    <x v="1"/>
    <s v="Dólares"/>
    <s v="Dólares"/>
    <s v="Luis Maria Drago al 2800"/>
    <s v="Argentina | G.B.A. Zona Oeste | Moron | Castelar | Castelar Sur"/>
    <x v="2"/>
    <n v="2"/>
    <s v="Lion Team"/>
    <s v="Propia (Único Asesor)"/>
    <x v="1"/>
    <s v="Venta"/>
    <x v="3"/>
    <s v="Villa Urquiza"/>
  </r>
  <r>
    <d v="2025-07-02T00:00:00"/>
    <x v="1"/>
    <x v="1"/>
    <s v="CAP3927524"/>
    <x v="0"/>
    <s v="Departamento  de 3 dormitorios con ascensor piso alto Barrio  7 jefes"/>
    <s v="Realizado"/>
    <s v="Referido"/>
    <n v="82000"/>
    <x v="127"/>
    <x v="1"/>
    <s v="Dólares"/>
    <s v="Dólares"/>
    <s v="DEPARTAMENTO DE 3 DORMITORIOS  PISO 11 EXCELENTE VISTA A LA COSTANERA!!!Laprida al 5000"/>
    <s v="Argentina | Santa Fe | La Capital | Santa Fe | 7 jefes"/>
    <x v="0"/>
    <n v="2"/>
    <s v="De la Veracruz"/>
    <s v="Propia (Único Asesor)"/>
    <x v="1"/>
    <s v="Venta"/>
    <x v="5"/>
    <s v="Capital Santa Fe"/>
  </r>
  <r>
    <d v="2025-08-04T00:00:00"/>
    <x v="1"/>
    <x v="5"/>
    <s v="CPH6307049"/>
    <x v="0"/>
    <s v="Venta Casa 3 ambientes 48m2 amoblada Cordones de Chapelco, San Martin de Los andes"/>
    <s v="Realizado"/>
    <s v="Referido"/>
    <n v="80000"/>
    <x v="127"/>
    <x v="1"/>
    <s v="Dólares"/>
    <s v="Dólares"/>
    <s v="Cerro de la Virgen al 1600"/>
    <s v="Argentina | Neuquen | Lacar | San Martin De Los Andes"/>
    <x v="3"/>
    <n v="2"/>
    <s v="Patagonia Lakes SMA"/>
    <s v="Propia (Único Asesor)"/>
    <x v="1"/>
    <s v="Venta"/>
    <x v="1"/>
    <s v="San Martín de los Andes"/>
  </r>
  <r>
    <d v="2025-08-28T00:00:00"/>
    <x v="1"/>
    <x v="5"/>
    <s v="CHO6655282"/>
    <x v="0"/>
    <s v="Venta Casa 3 Ambientes en esquina de San Andres"/>
    <s v="Realizado"/>
    <s v="AR ZonaProp"/>
    <n v="98000"/>
    <x v="127"/>
    <x v="1"/>
    <s v="Dólares"/>
    <s v="Dólares"/>
    <s v="Corrientes al 3400"/>
    <s v="Argentina | G.B.A. Zona Norte | General San Martin | San Andrés"/>
    <x v="2"/>
    <n v="2"/>
    <s v="Seniority Plus"/>
    <s v="Propia (Único Asesor)"/>
    <x v="1"/>
    <s v="Venta"/>
    <x v="3"/>
    <s v="Palermo"/>
  </r>
  <r>
    <d v="2025-10-01T00:00:00"/>
    <x v="1"/>
    <x v="11"/>
    <s v="CAP7098192"/>
    <x v="0"/>
    <s v="VENTA Departamento 2 ambientes "/>
    <s v="Realizado"/>
    <s v="AR ZonaProp"/>
    <n v="85000"/>
    <x v="127"/>
    <x v="1"/>
    <s v="Dólares"/>
    <s v="Dólares"/>
    <s v="Avenida Lacroze al 3000"/>
    <s v="Argentina | Capital Federal | Colegiales "/>
    <x v="0"/>
    <n v="2"/>
    <s v="Quality"/>
    <s v="Propia (Único Asesor)"/>
    <x v="1"/>
    <s v="Venta"/>
    <x v="6"/>
    <s v="Escobar"/>
  </r>
  <r>
    <d v="2025-12-01T00:00:00"/>
    <x v="1"/>
    <x v="8"/>
    <s v="CAP6857476"/>
    <x v="0"/>
    <s v="Departamento en venta Ciudad Mendoza"/>
    <s v="Realizado"/>
    <s v="AR ZonaProp"/>
    <n v="85000"/>
    <x v="127"/>
    <x v="1"/>
    <s v="Dólares"/>
    <s v="Dólares"/>
    <s v="9 de Julio al 1200"/>
    <s v="Argentina | Mendoza | Capital | Mendoza | S2 Barrio Civico"/>
    <x v="0"/>
    <n v="2"/>
    <s v="Cuyo Real"/>
    <s v="Propia (Único Asesor)"/>
    <x v="1"/>
    <s v="Venta"/>
    <x v="2"/>
    <s v="Capital Mendoza"/>
  </r>
  <r>
    <d v="2025-12-01T00:00:00"/>
    <x v="1"/>
    <x v="8"/>
    <s v="CLA7087254"/>
    <x v="0"/>
    <s v="VENTA PH 3 AMBIENTES A REFACCIONAR PATIO FONDO VILLA GENERAL MITRE CABALLITO FLORES - PERMUTA"/>
    <s v="Realizado"/>
    <s v="AR ArgenProp"/>
    <n v="109900"/>
    <x v="127"/>
    <x v="1"/>
    <s v="Dólares"/>
    <s v="Dólares"/>
    <s v="Galicia al 2000"/>
    <s v="Argentina | Capital Federal | Villa Gral. Mitre "/>
    <x v="3"/>
    <n v="2"/>
    <s v="Lion Team"/>
    <s v="Propia (Único Asesor)"/>
    <x v="1"/>
    <s v="Venta"/>
    <x v="3"/>
    <s v="Villa Urquiza"/>
  </r>
  <r>
    <d v="2025-12-17T00:00:00"/>
    <x v="1"/>
    <x v="8"/>
    <s v="JAP7112576"/>
    <x v="0"/>
    <s v="VENTA Departamento 3 ambientes PB al frente en Villa Urquiza"/>
    <s v="Realizado"/>
    <s v="AR ZonaProp"/>
    <n v="99900"/>
    <x v="127"/>
    <x v="1"/>
    <s v="Dólares"/>
    <s v="Dólares"/>
    <s v="Pacheco  al 2100"/>
    <s v="Argentina | Capital Federal | Villa Urquiza "/>
    <x v="0"/>
    <n v="2"/>
    <s v="Lion Team Norte"/>
    <s v="Propia (Único Asesor)"/>
    <x v="1"/>
    <s v="Venta"/>
    <x v="6"/>
    <s v="Vicente López"/>
  </r>
  <r>
    <d v="2026-01-20T00:00:00"/>
    <x v="0"/>
    <x v="10"/>
    <s v="CLA7693021"/>
    <x v="0"/>
    <s v="Terreno interno en Azzurra Tortugas"/>
    <s v="Realizado"/>
    <s v="AR ZonaProp"/>
    <n v="105000"/>
    <x v="127"/>
    <x v="1"/>
    <s v="Dólares"/>
    <s v="Dólares"/>
    <s v="Sector 4, Azzurra Tortugas 44"/>
    <s v="Argentina | G.B.A. Zona Norte | Pilar | Manuel Alberti | Azzurra Tortugas"/>
    <x v="1"/>
    <n v="2"/>
    <s v="Puerto Norte"/>
    <s v="Propia (Único Asesor)"/>
    <x v="1"/>
    <s v="Venta"/>
    <x v="6"/>
    <s v="Nordelta"/>
  </r>
  <r>
    <d v="2026-01-28T00:00:00"/>
    <x v="0"/>
    <x v="10"/>
    <s v="CHO7452542"/>
    <x v="0"/>
    <s v="Casa centrica San Rafael "/>
    <s v="Realizado"/>
    <s v="UY ZonaProp"/>
    <n v="120000"/>
    <x v="127"/>
    <x v="1"/>
    <s v="Dólares"/>
    <s v="Dólares"/>
    <s v="MAIPU  al 800"/>
    <s v="Argentina | Mendoza | San Rafael | San Rafael | San Rafel"/>
    <x v="2"/>
    <n v="2"/>
    <s v="Andes"/>
    <s v="Propia (Único Asesor)"/>
    <x v="1"/>
    <s v="Venta"/>
    <x v="2"/>
    <s v="San Rafael"/>
  </r>
  <r>
    <d v="2026-03-06T00:00:00"/>
    <x v="0"/>
    <x v="9"/>
    <s v="CAP7084743"/>
    <x v="0"/>
    <s v="IMPECABLE!!! Departamento Larrea al 1300 entre Juncal y French. APTO PROFESIONAL Y APTO CREDITO."/>
    <s v="Realizado"/>
    <s v="AR ZonaProp"/>
    <n v="98000"/>
    <x v="127"/>
    <x v="1"/>
    <s v="Dólares"/>
    <s v="Dólares"/>
    <s v="Larrea al 1300, entre Juncal y French - RECOLETA."/>
    <s v="Argentina | Capital Federal | Recoleta "/>
    <x v="0"/>
    <n v="2"/>
    <s v="Destino"/>
    <s v="Propia (Único Asesor)"/>
    <x v="1"/>
    <s v="Venta"/>
    <x v="3"/>
    <s v="Recoleta"/>
  </r>
  <r>
    <d v="2026-03-18T00:00:00"/>
    <x v="0"/>
    <x v="9"/>
    <s v="CLA7090378"/>
    <x v="0"/>
    <s v="Terreno en  Los Canales de Plottier Patagonia Golf &amp; Resort."/>
    <s v="Realizado"/>
    <s v="AR ZonaProp"/>
    <n v="80000"/>
    <x v="127"/>
    <x v="1"/>
    <s v="Dólares"/>
    <s v="Dólares"/>
    <s v="Avenida Plottier al 1000"/>
    <s v="Argentina | Neuquen | Confluencia | Plottier | Los Canales"/>
    <x v="1"/>
    <n v="2"/>
    <s v="Sensus"/>
    <s v="Propia (Único Asesor)"/>
    <x v="1"/>
    <s v="Venta"/>
    <x v="1"/>
    <s v="Capital Neuquén"/>
  </r>
  <r>
    <d v="2026-03-19T00:00:00"/>
    <x v="0"/>
    <x v="9"/>
    <s v="CAP7479982"/>
    <x v="0"/>
    <s v="Venta Monoambiente amoblado IDEAL AIRBNB"/>
    <s v="Realizado"/>
    <s v="AR ZonaProp"/>
    <n v="83500"/>
    <x v="127"/>
    <x v="1"/>
    <s v="Dólares"/>
    <s v="Dólares"/>
    <s v="Soler 5800"/>
    <s v="Argentina | Capital Federal | Palermo | Palermo Hollywood"/>
    <x v="0"/>
    <n v="2"/>
    <s v="Seniority"/>
    <s v="Propia (Único Asesor)"/>
    <x v="1"/>
    <s v="Venta"/>
    <x v="3"/>
    <s v="Barrio Parque"/>
  </r>
  <r>
    <d v="2025-03-31T00:00:00"/>
    <x v="1"/>
    <x v="9"/>
    <s v="CBU49671 AP6414030"/>
    <x v="0"/>
    <s v="Departamento 1 ambiente A Estrenar Balcon terraza Piso alto Villa Urquiza VENTA"/>
    <s v="Realizado"/>
    <s v="AR ZonaProp"/>
    <n v="82000"/>
    <x v="128"/>
    <x v="1"/>
    <s v="Dólares"/>
    <s v="Dólares"/>
    <s v="Bauness  al 1100"/>
    <s v="Argentina | Capital Federal | Villa Urquiza "/>
    <x v="0"/>
    <n v="2"/>
    <s v="Lion Team"/>
    <s v="Propia (Único Asesor)"/>
    <x v="1"/>
    <s v="Venta"/>
    <x v="3"/>
    <s v="Villa Urquiza"/>
  </r>
  <r>
    <d v="2025-11-12T00:00:00"/>
    <x v="1"/>
    <x v="7"/>
    <s v="CHO7276413"/>
    <x v="0"/>
    <s v="Casa centro San Rafael "/>
    <s v="Realizado"/>
    <s v="AR ZonaProp"/>
    <n v="90000"/>
    <x v="129"/>
    <x v="1"/>
    <s v="Dólares"/>
    <s v="Dólares"/>
    <s v="MONTECASEROS  84 SAN RAFAEL MENDOZA"/>
    <s v="Argentina | Mendoza | San Rafael | San Rafael"/>
    <x v="2"/>
    <n v="2"/>
    <s v="Andes"/>
    <s v="Compartida en Oficina (Dos Asesores)"/>
    <x v="1"/>
    <s v="Venta"/>
    <x v="2"/>
    <s v="San Rafael"/>
  </r>
  <r>
    <d v="2026-03-17T00:00:00"/>
    <x v="0"/>
    <x v="9"/>
    <s v="Oficina en venta edificio Agora"/>
    <x v="2"/>
    <s v="Oficina monoambiente en venta en edificio Agora "/>
    <s v="Realizado"/>
    <s v="Referido"/>
    <n v="82000"/>
    <x v="129"/>
    <x v="1"/>
    <s v="Dólares"/>
    <s v="Dólares"/>
    <s v="Caamaño 1090"/>
    <s v="Argentina | G.B.A. Zona Norte | Pilar "/>
    <x v="6"/>
    <n v="2"/>
    <s v="North Team"/>
    <s v="Master"/>
    <x v="1"/>
    <s v="Venta"/>
    <x v="6"/>
    <s v="Pilar"/>
  </r>
  <r>
    <d v="2026-01-27T00:00:00"/>
    <x v="0"/>
    <x v="10"/>
    <s v="CAP7259417"/>
    <x v="0"/>
    <s v="Venta Palermo - Monoambiente con Balcon y Pileta"/>
    <s v="Realizado"/>
    <s v="AR ZonaProp"/>
    <n v="85000"/>
    <x v="129"/>
    <x v="1"/>
    <s v="Dólares"/>
    <s v="Dólares"/>
    <s v="Julian Alvarez  al 900"/>
    <s v="Argentina | Capital Federal | Palermo "/>
    <x v="0"/>
    <n v="2"/>
    <s v="Destino II"/>
    <s v="Compartida Fuera de la Red Captación Propia"/>
    <x v="0"/>
    <s v="Venta"/>
    <x v="3"/>
    <s v="Recoleta"/>
  </r>
  <r>
    <d v="2026-02-11T00:00:00"/>
    <x v="0"/>
    <x v="0"/>
    <s v="CAP7556650"/>
    <x v="0"/>
    <s v="Imperdible 2 ambientes con balcón en zona premium de Caballito"/>
    <s v="Realizado"/>
    <s v="AR ZonaProp"/>
    <n v="84000"/>
    <x v="129"/>
    <x v="1"/>
    <s v="Dólares"/>
    <s v="Dólares"/>
    <s v="Ambrosetti al 400"/>
    <s v="Argentina | Capital Federal | Caballito "/>
    <x v="0"/>
    <n v="2"/>
    <s v="Destino"/>
    <s v="Compartida Fuera de la Red Captación Propia"/>
    <x v="0"/>
    <s v="Venta"/>
    <x v="3"/>
    <s v="Recoleta"/>
  </r>
  <r>
    <d v="2026-01-08T00:00:00"/>
    <x v="0"/>
    <x v="10"/>
    <s v="CAP7224119"/>
    <x v="0"/>
    <s v="VENTA 3 AMBIENTES RECICLADO A NUEVO.  LISTO PARA ENTRAR EN SAN TELMO"/>
    <s v="Realizado"/>
    <s v="AR ZonaProp"/>
    <n v="83000"/>
    <x v="129"/>
    <x v="1"/>
    <s v="Dólares"/>
    <s v="Dólares"/>
    <s v="Carlos Calvo al 600"/>
    <s v="Argentina | Capital Federal | San Telmo "/>
    <x v="0"/>
    <n v="2"/>
    <s v="Seniority"/>
    <s v="Propia (Único Asesor)"/>
    <x v="1"/>
    <s v="Venta"/>
    <x v="3"/>
    <s v="Barrio Parque"/>
  </r>
  <r>
    <d v="2026-03-16T00:00:00"/>
    <x v="0"/>
    <x v="9"/>
    <s v="CAP7325823"/>
    <x v="0"/>
    <s v="Venta Departamento en Almagro"/>
    <s v="Realizado"/>
    <s v="AR ZonaProp"/>
    <n v="84000"/>
    <x v="129"/>
    <x v="1"/>
    <s v="Dólares"/>
    <s v="Dólares"/>
    <s v="Guardia Vieja al 4000"/>
    <s v="Argentina | Capital Federal | Almagro "/>
    <x v="0"/>
    <n v="2"/>
    <s v="Seniority"/>
    <s v="Propia (Único Asesor)"/>
    <x v="1"/>
    <s v="Venta"/>
    <x v="3"/>
    <s v="Barrio Parque"/>
  </r>
  <r>
    <d v="2025-07-22T00:00:00"/>
    <x v="1"/>
    <x v="1"/>
    <s v="VPN49872 LA5038767"/>
    <x v="0"/>
    <s v="PREVENTA, Barrio El Paso  Del Viso"/>
    <s v="Realizado"/>
    <s v="AR ZonaProp"/>
    <n v="63663"/>
    <x v="130"/>
    <x v="1"/>
    <s v="Dólares"/>
    <s v="Dólares"/>
    <s v="BARRIO EL PASO, LOTE"/>
    <s v="Argentina | G.B.A. Zona Norte | Pilar | Del Viso"/>
    <x v="1"/>
    <n v="2"/>
    <s v="Puerto Norte"/>
    <s v="Compartida Fuera de la Red Captación Propia"/>
    <x v="0"/>
    <s v="Venta"/>
    <x v="6"/>
    <s v="Nordelta"/>
  </r>
  <r>
    <d v="2025-03-06T00:00:00"/>
    <x v="1"/>
    <x v="9"/>
    <s v="CHO6369698"/>
    <x v="0"/>
    <s v="CASA A REFACCIONAR O DEMOLER EN MACROCENTRO SALTA! VENTA OPORTUNIDAD"/>
    <s v="Realizado"/>
    <s v="Web Coldwell-Banker"/>
    <n v="95000"/>
    <x v="131"/>
    <x v="1"/>
    <s v="Dólares"/>
    <s v="Dólares"/>
    <s v="25 MAYO al 800"/>
    <s v="Argentina | Salta | Capital | Salta | Zona Centro"/>
    <x v="2"/>
    <n v="2"/>
    <s v="Realty Group"/>
    <s v="Propia (Único Asesor)"/>
    <x v="1"/>
    <s v="Venta"/>
    <x v="4"/>
    <s v="San Lorenzo Chico"/>
  </r>
  <r>
    <d v="2026-01-20T00:00:00"/>
    <x v="0"/>
    <x v="10"/>
    <s v="AAP5803086"/>
    <x v="0"/>
    <s v="Departamento en venta. 1 ambiente. Parque chacabuco.  AMENITIES PREMIUM"/>
    <s v="Realizado"/>
    <s v="Referido"/>
    <n v="60000"/>
    <x v="131"/>
    <x v="1"/>
    <s v="Dólares"/>
    <s v="Dólares"/>
    <s v="Zelarrayan  al 1600"/>
    <s v="Argentina | Capital Federal | Parque Chacabuco "/>
    <x v="0"/>
    <n v="2"/>
    <s v="Wings"/>
    <s v="Propia (Único Asesor)"/>
    <x v="1"/>
    <s v="Venta"/>
    <x v="3"/>
    <s v="Núñez"/>
  </r>
  <r>
    <d v="2025-07-10T00:00:00"/>
    <x v="1"/>
    <x v="1"/>
    <s v="77Stella"/>
    <x v="0"/>
    <s v="Casa en Venta"/>
    <s v="Realizado"/>
    <s v="Cartel"/>
    <n v="87000"/>
    <x v="132"/>
    <x v="1"/>
    <s v="Dólares"/>
    <s v="Dólares"/>
    <s v="San Lorenzo 2200"/>
    <s v="Argentina | Santa Fe | La Capital | Santa Fe"/>
    <x v="1"/>
    <n v="1"/>
    <s v="De la Veracruz"/>
    <s v="(Interior) Compartida Fuera de la Red Búsqueda"/>
    <x v="2"/>
    <s v="Venta"/>
    <x v="5"/>
    <s v="Capital Santa Fe"/>
  </r>
  <r>
    <d v="2025-12-01T00:00:00"/>
    <x v="1"/>
    <x v="8"/>
    <s v="CHO7260376"/>
    <x v="0"/>
    <s v="Casa en venta barrio privado en Maipu"/>
    <s v="Realizado"/>
    <s v="AR ZonaProp"/>
    <n v="75000"/>
    <x v="132"/>
    <x v="1"/>
    <s v="Dólares"/>
    <s v="Dólares"/>
    <s v="Casa en venta en Barrio Privado Vista Oliva Maipu Mendoza"/>
    <s v="Argentina | Mendoza | Maipu "/>
    <x v="2"/>
    <n v="1"/>
    <s v="Cuyo Real"/>
    <s v="(Interior) Compartida Fuera de la Red Captación Propia"/>
    <x v="0"/>
    <s v="Venta"/>
    <x v="2"/>
    <s v="Capital Mendoza"/>
  </r>
  <r>
    <d v="2025-12-11T00:00:00"/>
    <x v="1"/>
    <x v="8"/>
    <s v="107Stella"/>
    <x v="0"/>
    <s v="Departamento en Barrio Sur"/>
    <s v="Realizado"/>
    <s v="Conocido"/>
    <n v="85000"/>
    <x v="133"/>
    <x v="1"/>
    <s v="Dólares"/>
    <s v="Dólares"/>
    <s v="1 de Mayo 1600 1 C"/>
    <s v="Argentina | Santa Fe | La Capital | Santa Fe"/>
    <x v="0"/>
    <n v="1"/>
    <s v="De la Veracruz"/>
    <s v="(Interior) Compartida Fuera de la Red Búsqueda"/>
    <x v="2"/>
    <s v="Venta"/>
    <x v="5"/>
    <s v="Capital Santa Fe"/>
  </r>
  <r>
    <d v="2025-02-17T00:00:00"/>
    <x v="1"/>
    <x v="0"/>
    <s v="CAP6317207"/>
    <x v="0"/>
    <s v="VENTA Monoambiente 37m2 c/cochera cubierta y baulera, céntrico Apto Turístico, Villa La Angostura"/>
    <s v="Realizado"/>
    <s v="Conocido"/>
    <n v="86000"/>
    <x v="133"/>
    <x v="1"/>
    <s v="Dólares"/>
    <s v="Dólares"/>
    <s v="Complejo Patagonia Etapa II"/>
    <s v="Argentina | Neuquen | Villa La Angostura | Centro"/>
    <x v="0"/>
    <n v="2"/>
    <s v="Patagonia Lakes VLA"/>
    <s v="Compartida en Oficina (Dos Asesores)"/>
    <x v="1"/>
    <s v="Venta"/>
    <x v="1"/>
    <s v="Villa La Angostura"/>
  </r>
  <r>
    <d v="2025-10-02T00:00:00"/>
    <x v="1"/>
    <x v="11"/>
    <s v="CAP6148132"/>
    <x v="2"/>
    <s v="Venta Departamento Apto Crédito con Cochera - Concord Pilar"/>
    <s v="Realizado"/>
    <s v="AR ZonaProp"/>
    <n v="500"/>
    <x v="133"/>
    <x v="1"/>
    <s v="Dólares"/>
    <s v="Dólares"/>
    <s v="Venta Departamento Apto Crédito con Cochera - Concord Pilar"/>
    <s v="Argentina | G.B.A. Zona Norte | Pilar | Countries/B.Cerrado (Pilar) | Concord Pilar"/>
    <x v="0"/>
    <n v="2"/>
    <s v="North Team"/>
    <s v="Master"/>
    <x v="1"/>
    <s v="Venta"/>
    <x v="6"/>
    <s v="Pilar"/>
  </r>
  <r>
    <d v="2025-02-12T00:00:00"/>
    <x v="1"/>
    <x v="0"/>
    <s v="CAP6805445"/>
    <x v="0"/>
    <s v="Departamento en La Plata"/>
    <s v="Realizado"/>
    <s v="Referido"/>
    <n v="82000"/>
    <x v="133"/>
    <x v="1"/>
    <s v="Dólares"/>
    <s v="Dólares"/>
    <s v="DEPTO 13 58 Y 59"/>
    <s v="Argentina | G.B.A. Zona Sur | La Plata | La Plata"/>
    <x v="0"/>
    <n v="1"/>
    <s v="Golden Team"/>
    <s v="Compartida Fuera de la Red Búsqueda"/>
    <x v="2"/>
    <s v="Venta"/>
    <x v="0"/>
    <s v="La Plata"/>
  </r>
  <r>
    <d v="2025-07-07T00:00:00"/>
    <x v="1"/>
    <x v="1"/>
    <s v="Casa Nati Valerio"/>
    <x v="0"/>
    <s v="Casa Nati Valerio"/>
    <s v="Realizado"/>
    <s v="AR ZonaProp"/>
    <n v="82000"/>
    <x v="133"/>
    <x v="1"/>
    <s v="Dólares"/>
    <s v="Dólares"/>
    <m/>
    <s v="Argentina | Neuquen | Capital "/>
    <x v="2"/>
    <n v="1"/>
    <s v="Sensus"/>
    <s v="Compartida Fuera de la Red Búsqueda"/>
    <x v="2"/>
    <s v="Venta"/>
    <x v="1"/>
    <s v="Capital Neuquén"/>
  </r>
  <r>
    <d v="2025-11-28T00:00:00"/>
    <x v="1"/>
    <x v="7"/>
    <s v="N/C - CASTILLO 22"/>
    <x v="0"/>
    <s v="VENTA DPTO MONOAMBIENTE VILLA CRESPO"/>
    <s v="Realizado"/>
    <s v="AR ZonaProp"/>
    <n v="82000"/>
    <x v="133"/>
    <x v="1"/>
    <s v="Dólares"/>
    <s v="Dólares"/>
    <s v="CASTILLO 22"/>
    <s v="Argentina | Capital Federal | Villa Crespo "/>
    <x v="0"/>
    <n v="1"/>
    <s v="Destino II"/>
    <s v="Compartida Fuera de la Red Búsqueda"/>
    <x v="2"/>
    <s v="Venta"/>
    <x v="3"/>
    <s v="Recoleta"/>
  </r>
  <r>
    <d v="2026-03-16T00:00:00"/>
    <x v="0"/>
    <x v="9"/>
    <s v="CAP7870535"/>
    <x v="0"/>
    <s v="Arenales 2500  Recoleta - A estrenar IDEAL Inversor"/>
    <s v="Realizado"/>
    <s v="AR ZonaProp"/>
    <n v="110000"/>
    <x v="133"/>
    <x v="1"/>
    <s v="Dólares"/>
    <s v="Dólares"/>
    <s v="Arenales 2500  Recoleta - A estrenar - IDEAL Inversor"/>
    <s v="Argentina | Capital Federal | Recoleta "/>
    <x v="0"/>
    <n v="1"/>
    <s v="Puerto Norte"/>
    <s v="Compartida Fuera de la Red Búsqueda"/>
    <x v="2"/>
    <s v="Venta"/>
    <x v="6"/>
    <s v="Nordelta"/>
  </r>
  <r>
    <d v="2025-07-31T00:00:00"/>
    <x v="1"/>
    <x v="1"/>
    <s v="CAP6910971"/>
    <x v="0"/>
    <s v="Departamento en venta 2 ambientes en Almagro Balcón"/>
    <s v="Realizado"/>
    <s v="AR ZonaProp"/>
    <n v="85000"/>
    <x v="133"/>
    <x v="1"/>
    <s v="Dólares"/>
    <s v="Dólares"/>
    <s v="Humahuaca al 4200"/>
    <s v="Argentina | Capital Federal | Almagro "/>
    <x v="0"/>
    <n v="2"/>
    <s v="Grupo Elite"/>
    <s v="Compartida Fuera de la Red Captación Propia"/>
    <x v="0"/>
    <s v="Venta"/>
    <x v="3"/>
    <s v="Puerto Madero"/>
  </r>
  <r>
    <d v="2025-04-29T00:00:00"/>
    <x v="1"/>
    <x v="3"/>
    <s v="AgustinReferido"/>
    <x v="0"/>
    <s v="Referido 2 amb Villa Crespo "/>
    <s v="Realizado"/>
    <s v="Teléfono"/>
    <n v="0"/>
    <x v="133"/>
    <x v="1"/>
    <s v="Dólares"/>
    <s v="Dólares"/>
    <m/>
    <s v="Argentina | Capital Federal | Villa Crespo "/>
    <x v="0"/>
    <n v="2"/>
    <s v="Patagonia Lakes BRC"/>
    <s v="Profesional Referenciador (30%)"/>
    <x v="1"/>
    <s v="Venta"/>
    <x v="7"/>
    <s v="Bariloche"/>
  </r>
  <r>
    <d v="2025-01-16T00:00:00"/>
    <x v="1"/>
    <x v="10"/>
    <s v="CAP6625851"/>
    <x v="0"/>
    <s v="Venta Departamento 2 ambientes en  Belgrano muy luminoso y silencioso excelente ubicación."/>
    <s v="Realizado"/>
    <s v="AR ZonaProp"/>
    <n v="85000"/>
    <x v="133"/>
    <x v="1"/>
    <s v="Dólares"/>
    <s v="Dólares"/>
    <s v="OLAZÁBAL al 2000"/>
    <s v="Argentina | Capital Federal | Belgrano | Belgrano Barrancas"/>
    <x v="0"/>
    <n v="2"/>
    <s v="Seniority"/>
    <s v="Propia (Único Asesor)"/>
    <x v="1"/>
    <s v="Venta"/>
    <x v="3"/>
    <s v="Barrio Parque"/>
  </r>
  <r>
    <d v="2025-04-23T00:00:00"/>
    <x v="1"/>
    <x v="3"/>
    <s v="CAP6620313"/>
    <x v="0"/>
    <s v="Venta Departamento 2 ambientes con Balcon buena altura en Villa Crespo"/>
    <s v="Realizado"/>
    <s v="AR ZonaProp"/>
    <n v="89000"/>
    <x v="133"/>
    <x v="1"/>
    <s v="Dólares"/>
    <s v="Dólares"/>
    <s v="Belaustegui al 900"/>
    <s v="Argentina | Capital Federal | Villa Crespo "/>
    <x v="0"/>
    <n v="2"/>
    <s v="Lion Team"/>
    <s v="Propia (Único Asesor)"/>
    <x v="1"/>
    <s v="Venta"/>
    <x v="3"/>
    <s v="Villa Urquiza"/>
  </r>
  <r>
    <d v="2025-07-01T00:00:00"/>
    <x v="1"/>
    <x v="1"/>
    <s v="CPH5052489"/>
    <x v="0"/>
    <s v="Departamento  en Venta         Rivadavia y Alvear Quilmes NUEVO VALOR"/>
    <s v="Realizado"/>
    <s v="Teléfono"/>
    <n v="85000"/>
    <x v="133"/>
    <x v="1"/>
    <s v="Dólares"/>
    <s v="Dólares"/>
    <s v="Departamento en venta  Rivadavia y Alvear Quilmes"/>
    <s v="Argentina | G.B.A. Zona Sur | Quilmes | Quilmes"/>
    <x v="0"/>
    <n v="2"/>
    <s v="Golden Team"/>
    <s v="Propia (Único Asesor)"/>
    <x v="1"/>
    <s v="Venta"/>
    <x v="0"/>
    <s v="La Plata"/>
  </r>
  <r>
    <d v="2025-07-16T00:00:00"/>
    <x v="1"/>
    <x v="1"/>
    <s v="CAP6946438"/>
    <x v="0"/>
    <s v="VENTA Departamento en  RETIRO, PB con patio y piletita,"/>
    <s v="Realizado"/>
    <s v="AR ZonaProp"/>
    <n v="84500"/>
    <x v="133"/>
    <x v="1"/>
    <s v="Dólares"/>
    <s v="Dólares"/>
    <s v="Maipú  al 800"/>
    <s v="Argentina | Capital Federal | Retiro "/>
    <x v="0"/>
    <n v="2"/>
    <s v="Ser"/>
    <s v="Propia (Único Asesor)"/>
    <x v="1"/>
    <s v="Venta"/>
    <x v="3"/>
    <s v="Belgrano"/>
  </r>
  <r>
    <d v="2026-01-08T00:00:00"/>
    <x v="0"/>
    <x v="10"/>
    <s v="CAP7554058"/>
    <x v="0"/>
    <s v="VENTA DEPARTAMENTO 2 AMBIENTES EN RECOLETA"/>
    <s v="Realizado"/>
    <s v="AR ZonaProp"/>
    <n v="89000"/>
    <x v="133"/>
    <x v="1"/>
    <s v="Dólares"/>
    <s v="Dólares"/>
    <s v="Arenales al 1500"/>
    <s v="Argentina | Capital Federal | Recoleta "/>
    <x v="0"/>
    <n v="2"/>
    <s v="Seniority Plus"/>
    <s v="Propia (Único Asesor)"/>
    <x v="1"/>
    <s v="Venta"/>
    <x v="3"/>
    <s v="Palermo"/>
  </r>
  <r>
    <d v="2025-10-15T00:00:00"/>
    <x v="1"/>
    <x v="11"/>
    <s v="VPN49872 LA5037497"/>
    <x v="0"/>
    <s v="PREVENTA, Barrio El Paso  Del Viso"/>
    <s v="Realizado"/>
    <s v="AR ZonaProp"/>
    <n v="110192"/>
    <x v="134"/>
    <x v="1"/>
    <s v="Dólares"/>
    <s v="Dólares"/>
    <s v="BARRIO EL PASO, LOTE"/>
    <s v="Argentina | G.B.A. Zona Norte | Pilar | Del Viso"/>
    <x v="1"/>
    <n v="2"/>
    <s v="Puerto Norte"/>
    <s v="Propia (Único Asesor)"/>
    <x v="1"/>
    <s v="Venta"/>
    <x v="6"/>
    <s v="Nordelta"/>
  </r>
  <r>
    <d v="2025-09-15T00:00:00"/>
    <x v="1"/>
    <x v="6"/>
    <s v="VAP6914454"/>
    <x v="2"/>
    <s v="VENTA APTO CREDITO- DPTO 2 AMB KM 42 PILAR."/>
    <s v="Realizado"/>
    <s v="AR ZonaProp"/>
    <n v="95000"/>
    <x v="135"/>
    <x v="1"/>
    <s v="Dólares"/>
    <s v="Dólares"/>
    <s v="Departamento en Venta 2 amb en planta baja APTO CREDITO, Las Campanillas al 1500"/>
    <s v="Argentina | G.B.A. Zona Norte | Pilar | HI 42.5"/>
    <x v="0"/>
    <n v="2"/>
    <s v="Puerto Norte"/>
    <s v="Compartida en Red (50%)"/>
    <x v="1"/>
    <s v="Venta"/>
    <x v="6"/>
    <s v="Nordelta"/>
  </r>
  <r>
    <d v="2025-08-08T00:00:00"/>
    <x v="1"/>
    <x v="5"/>
    <s v="JAP5069265"/>
    <x v="0"/>
    <s v="Venta Departamento  3 ambientes Saavedra Vista Panorámica"/>
    <s v="Realizado"/>
    <s v="AR ZonaProp"/>
    <n v="97000"/>
    <x v="135"/>
    <x v="1"/>
    <s v="Dólares"/>
    <s v="Dólares"/>
    <s v="Av. Ricardo Balbin  al 4500"/>
    <s v="Argentina | Capital Federal | Saavedra "/>
    <x v="0"/>
    <n v="2"/>
    <s v="Lion Team Norte"/>
    <s v="Propia (Único Asesor)"/>
    <x v="1"/>
    <s v="Venta"/>
    <x v="6"/>
    <s v="Vicente López"/>
  </r>
  <r>
    <d v="2025-08-28T00:00:00"/>
    <x v="1"/>
    <x v="5"/>
    <s v="CAP6944513"/>
    <x v="0"/>
    <s v="VENTA DEPARTAMENTO 3  AMBIENTES - CABALLITO"/>
    <s v="Realizado"/>
    <s v="AR ZonaProp"/>
    <n v="85000"/>
    <x v="135"/>
    <x v="1"/>
    <s v="Dólares"/>
    <s v="Dólares"/>
    <s v="Diaz Velez al 5500"/>
    <s v="Argentina | Capital Federal | Caballito "/>
    <x v="0"/>
    <n v="2"/>
    <s v="Seniority"/>
    <s v="Propia (Único Asesor)"/>
    <x v="1"/>
    <s v="Venta"/>
    <x v="3"/>
    <s v="Barrio Parque"/>
  </r>
  <r>
    <d v="2026-01-30T00:00:00"/>
    <x v="0"/>
    <x v="10"/>
    <s v="CAP7511974"/>
    <x v="0"/>
    <s v="Departamento 2 amb. en venta en Saavedra."/>
    <s v="Realizado"/>
    <s v="AR ZonaProp"/>
    <n v="83000"/>
    <x v="135"/>
    <x v="1"/>
    <s v="Dólares"/>
    <s v="Dólares"/>
    <s v="Superi al 3500"/>
    <s v="Argentina | Capital Federal | Saavedra "/>
    <x v="0"/>
    <n v="2"/>
    <s v="Ser"/>
    <s v="Propia (Único Asesor)"/>
    <x v="1"/>
    <s v="Venta"/>
    <x v="3"/>
    <s v="Belgrano"/>
  </r>
  <r>
    <d v="2025-11-28T00:00:00"/>
    <x v="1"/>
    <x v="7"/>
    <m/>
    <x v="0"/>
    <s v="DEPARTAMENTO 2 AMBIENTES EN BELGRANO"/>
    <s v="Realizado"/>
    <s v="AR ZonaProp"/>
    <n v="86000"/>
    <x v="136"/>
    <x v="1"/>
    <s v="Dólares"/>
    <s v="Dólares"/>
    <s v="Vidal 2138"/>
    <s v="Argentina | Capital Federal | Belgrano "/>
    <x v="0"/>
    <n v="1"/>
    <s v="Beyker"/>
    <s v="(Interior) Compartida Fuera de la Red Búsqueda"/>
    <x v="2"/>
    <s v="Venta"/>
    <x v="3"/>
    <s v="Retiro"/>
  </r>
  <r>
    <d v="2025-04-23T00:00:00"/>
    <x v="1"/>
    <x v="3"/>
    <s v="CAP6792648"/>
    <x v="0"/>
    <s v="VENTA Departamento San Martin de los Andes 52,61M2 B° La Cascada"/>
    <s v="Realizado"/>
    <s v="Conocido"/>
    <n v="85000"/>
    <x v="136"/>
    <x v="1"/>
    <s v="Dólares"/>
    <s v="Dólares"/>
    <s v="Quinquela Martín y Ruta 40"/>
    <s v="Argentina | Neuquen | Lacar | San Martin De Los Andes | La Cascada"/>
    <x v="0"/>
    <n v="1"/>
    <s v="Patagonia Lakes SMA"/>
    <s v="(Interior) Compartida Fuera de la Red Captación Propia"/>
    <x v="0"/>
    <s v="Venta"/>
    <x v="1"/>
    <s v="San Martín de los Andes"/>
  </r>
  <r>
    <d v="2025-09-25T00:00:00"/>
    <x v="1"/>
    <x v="6"/>
    <s v="CAP7165924"/>
    <x v="0"/>
    <s v="Departamento 3 ambientes en edificio Mirasol I."/>
    <s v="Realizado"/>
    <s v="Conocido"/>
    <n v="83000"/>
    <x v="136"/>
    <x v="1"/>
    <s v="Dólares"/>
    <s v="Dólares"/>
    <s v="Santiago del Estero  98"/>
    <s v="Argentina | Neuquen | Confluencia | Neuquen"/>
    <x v="0"/>
    <n v="1"/>
    <s v="Sensus"/>
    <s v="(Interior) Compartida Fuera de la Red Captación Propia"/>
    <x v="0"/>
    <s v="Venta"/>
    <x v="1"/>
    <s v="Capital Neuquén"/>
  </r>
  <r>
    <d v="2026-01-07T00:00:00"/>
    <x v="0"/>
    <x v="10"/>
    <s v="CAP4031677"/>
    <x v="0"/>
    <s v="Venta - Departamento - Mitre 139 2do E - APTO TURISMO -  Centro - Bariloche"/>
    <s v="Realizado"/>
    <s v="Teléfono"/>
    <n v="78000"/>
    <x v="136"/>
    <x v="1"/>
    <s v="Dólares"/>
    <s v="Dólares"/>
    <s v="Mitre al 100"/>
    <s v="Argentina | Rio Negro | Bariloche | San Carlos De Bariloche | Centro"/>
    <x v="0"/>
    <n v="2"/>
    <s v="Patagonia Lakes BRC"/>
    <s v="Compartida en Oficina (Dos Asesores)"/>
    <x v="1"/>
    <s v="Venta"/>
    <x v="7"/>
    <s v="Bariloche"/>
  </r>
  <r>
    <d v="2025-12-15T00:00:00"/>
    <x v="1"/>
    <x v="8"/>
    <s v="VOT61512 AP6733374"/>
    <x v="0"/>
    <s v="Departamento 2 ambientes en Pilar"/>
    <s v="Realizado"/>
    <s v="AR ZonaProp"/>
    <n v="84000"/>
    <x v="136"/>
    <x v="1"/>
    <s v="Dólares"/>
    <s v="Dólares"/>
    <s v="Joaquin Victor Gonzalez  al 1800"/>
    <s v="Argentina | G.B.A. Zona Norte | Pilar | La Lonja | Chic Village"/>
    <x v="0"/>
    <n v="1"/>
    <s v="Puerto Norte"/>
    <s v="Compartida Fuera de la Red Búsqueda"/>
    <x v="2"/>
    <s v="Venta"/>
    <x v="6"/>
    <s v="Nordelta"/>
  </r>
  <r>
    <d v="2025-03-13T00:00:00"/>
    <x v="1"/>
    <x v="9"/>
    <s v="CAP5158309"/>
    <x v="0"/>
    <s v="VENTA DEPARTAMENTO MONOAMBIENTE EN FLORIDA"/>
    <s v="Realizado"/>
    <s v="AR ZonaProp"/>
    <n v="85000"/>
    <x v="136"/>
    <x v="1"/>
    <s v="Dólares"/>
    <s v="Dólares"/>
    <s v="Adolfo Alsina al 1500"/>
    <s v="Argentina | G.B.A. Zona Norte | Vicente López | Florida"/>
    <x v="0"/>
    <n v="2"/>
    <s v="Seniority Plus"/>
    <s v="Compartida Fuera de la Red Captación Propia"/>
    <x v="0"/>
    <s v="Venta"/>
    <x v="3"/>
    <s v="Palermo"/>
  </r>
  <r>
    <d v="2025-09-05T00:00:00"/>
    <x v="1"/>
    <x v="6"/>
    <s v="18EM-28-06-25"/>
    <x v="0"/>
    <s v="Venta PH 2 ambientes | escritorio | sin expensas| terraza | Caballito"/>
    <s v="Realizado"/>
    <s v="AR MercadoLibre"/>
    <n v="85000"/>
    <x v="136"/>
    <x v="1"/>
    <s v="Dólares"/>
    <s v="Dólares"/>
    <s v="Querandies al 4400"/>
    <s v="Argentina | Capital Federal | Caballito "/>
    <x v="3"/>
    <n v="2"/>
    <s v="Ser"/>
    <s v="Compartida Fuera de la Red Captación Propia"/>
    <x v="0"/>
    <s v="Venta"/>
    <x v="3"/>
    <s v="Belgrano"/>
  </r>
  <r>
    <d v="2025-09-25T00:00:00"/>
    <x v="1"/>
    <x v="6"/>
    <s v="CAP7165924"/>
    <x v="2"/>
    <s v="Departamento 3 ambientes en edificio Mirasol I."/>
    <s v="Realizado"/>
    <s v="Referido"/>
    <n v="83000"/>
    <x v="136"/>
    <x v="1"/>
    <s v="Dólares"/>
    <s v="Dólares"/>
    <s v="Santiago del Estero  98"/>
    <s v="Argentina | Neuquen | Confluencia | Neuquen"/>
    <x v="0"/>
    <n v="2"/>
    <s v="Patagonia Lakes SMA"/>
    <s v="Master"/>
    <x v="1"/>
    <s v="Venta"/>
    <x v="1"/>
    <s v="San Martín de los Andes"/>
  </r>
  <r>
    <d v="2025-01-20T00:00:00"/>
    <x v="1"/>
    <x v="10"/>
    <s v="CLO6479075"/>
    <x v="0"/>
    <s v="Local en  venta en Barrio Norte"/>
    <s v="Realizado"/>
    <s v="AR ArgenProp"/>
    <n v="89000"/>
    <x v="136"/>
    <x v="1"/>
    <s v="Dólares"/>
    <s v="Dólares"/>
    <s v="Charcas  al 2500"/>
    <s v="Argentina | Capital Federal | Barrio Norte "/>
    <x v="4"/>
    <n v="2"/>
    <s v="Lion Team"/>
    <s v="Propia (Único Asesor)"/>
    <x v="1"/>
    <s v="Venta"/>
    <x v="3"/>
    <s v="Villa Urquiza"/>
  </r>
  <r>
    <d v="2025-05-14T00:00:00"/>
    <x v="1"/>
    <x v="2"/>
    <s v="VAP6607332"/>
    <x v="0"/>
    <s v="Departamento en Venta Y ALQUILER AMOBLADO 2 AMB en Harmony Pilar APTO CREDITO"/>
    <s v="Realizado"/>
    <s v="AR ZonaProp"/>
    <n v="550000"/>
    <x v="136"/>
    <x v="1"/>
    <s v="Dólares"/>
    <s v="Local"/>
    <s v="OPORTUNIDAD! Departamento en VENTA  y/o ALQUILER 2 AMB en Harmony Pilar"/>
    <s v="Argentina | G.B.A. Zona Norte | Pilar | Manuel Alberti | Harmony Pilar"/>
    <x v="0"/>
    <n v="2"/>
    <s v="Puerto Norte"/>
    <s v="Propia (Único Asesor)"/>
    <x v="1"/>
    <s v="Venta"/>
    <x v="6"/>
    <s v="Nordelta"/>
  </r>
  <r>
    <d v="2025-08-25T00:00:00"/>
    <x v="1"/>
    <x v="5"/>
    <s v="CAP6585185"/>
    <x v="0"/>
    <s v="VENTA DEPARTAMENTO 2 AMBIENTES - PALERMO HOLLYWOOD"/>
    <s v="Realizado"/>
    <s v="AR ZonaProp"/>
    <n v="84000"/>
    <x v="136"/>
    <x v="1"/>
    <s v="Dólares"/>
    <s v="Dólares"/>
    <s v="Paraguay 5200 "/>
    <s v="Argentina | Capital Federal | Palermo | Palermo Hollywood"/>
    <x v="0"/>
    <n v="2"/>
    <s v="Destino II"/>
    <s v="Propia (Único Asesor)"/>
    <x v="1"/>
    <s v="Venta"/>
    <x v="3"/>
    <s v="Recoleta"/>
  </r>
  <r>
    <d v="2025-08-29T00:00:00"/>
    <x v="1"/>
    <x v="5"/>
    <s v="CPH7061640"/>
    <x v="0"/>
    <s v="Venta PH 4 Ambientes con terraza en Villa Santa Rita No Apto Credito"/>
    <s v="Realizado"/>
    <s v="AR ZonaProp"/>
    <n v="88000"/>
    <x v="136"/>
    <x v="1"/>
    <s v="Dólares"/>
    <s v="Dólares"/>
    <s v="Alejandro Magariños Cervantes al 3500"/>
    <s v="Argentina | Capital Federal | Villa Santa Rita "/>
    <x v="3"/>
    <n v="2"/>
    <s v="Seniority Plus"/>
    <s v="Propia (Único Asesor)"/>
    <x v="1"/>
    <s v="Venta"/>
    <x v="3"/>
    <s v="Palermo"/>
  </r>
  <r>
    <d v="2025-09-15T00:00:00"/>
    <x v="1"/>
    <x v="6"/>
    <s v="CAP7128477"/>
    <x v="0"/>
    <s v="Departamento en  venta 1amb con balcón en Recoleta"/>
    <s v="Realizado"/>
    <s v="AR ZonaProp"/>
    <n v="85000"/>
    <x v="136"/>
    <x v="1"/>
    <s v="Dólares"/>
    <s v="Dólares"/>
    <s v="Pasaje Bollini  al 2200"/>
    <s v="Argentina | Capital Federal | Recoleta "/>
    <x v="0"/>
    <n v="2"/>
    <s v="Lion Team"/>
    <s v="Propia (Único Asesor)"/>
    <x v="1"/>
    <s v="Venta"/>
    <x v="3"/>
    <s v="Villa Urquiza"/>
  </r>
  <r>
    <d v="2025-09-15T00:00:00"/>
    <x v="1"/>
    <x v="6"/>
    <s v="CAP7203266"/>
    <x v="0"/>
    <s v="Departamento en  venta - Dos ambientes más Escritorio - Recoleta"/>
    <s v="Realizado"/>
    <s v="AR ZonaProp"/>
    <n v="89000"/>
    <x v="136"/>
    <x v="1"/>
    <s v="Dólares"/>
    <s v="Dólares"/>
    <s v="Departamento en  venta - Dos ambientes más Escritorio - Recoleta"/>
    <s v="Argentina | Capital Federal | Recoleta "/>
    <x v="0"/>
    <n v="2"/>
    <s v="North Team"/>
    <s v="Propia (Único Asesor)"/>
    <x v="1"/>
    <s v="Venta"/>
    <x v="6"/>
    <s v="Pilar"/>
  </r>
  <r>
    <d v="2025-12-29T00:00:00"/>
    <x v="1"/>
    <x v="8"/>
    <s v="CAP7402230"/>
    <x v="0"/>
    <s v="Venta departamento 4 ambientes Barrio General Paz Villa Celina con cochera"/>
    <s v="Realizado"/>
    <s v="Conocido"/>
    <n v="85000"/>
    <x v="136"/>
    <x v="1"/>
    <s v="Dólares"/>
    <s v="Dólares"/>
    <s v="Av.. General Paz 16500"/>
    <s v="Argentina | G.B.A. Zona Oeste | La Matanza | Ciudad Madero | Villa Celina"/>
    <x v="0"/>
    <n v="2"/>
    <s v="Goyena"/>
    <s v="Propia (Único Asesor)"/>
    <x v="1"/>
    <s v="Venta"/>
    <x v="3"/>
    <s v="Caballito"/>
  </r>
  <r>
    <d v="2026-01-14T00:00:00"/>
    <x v="0"/>
    <x v="10"/>
    <s v="CAP7574052"/>
    <x v="0"/>
    <s v="Venta Monoambiente Villa Devoto con cochera"/>
    <s v="Realizado"/>
    <s v="AR ZonaProp"/>
    <n v="89000"/>
    <x v="136"/>
    <x v="1"/>
    <s v="Dólares"/>
    <s v="Dólares"/>
    <s v="Carlos Antonio López al 3300"/>
    <s v="Argentina | Capital Federal | Villa Devoto "/>
    <x v="0"/>
    <n v="2"/>
    <s v="Horizon Group"/>
    <s v="Propia (Único Asesor)"/>
    <x v="1"/>
    <s v="Venta"/>
    <x v="3"/>
    <s v="Núñez"/>
  </r>
  <r>
    <d v="2026-01-28T00:00:00"/>
    <x v="0"/>
    <x v="10"/>
    <s v="CAP7325942"/>
    <x v="0"/>
    <s v="Venta Departamento 2 Ambientes a Estrenar en Barrancas de Paso del Rey"/>
    <s v="Realizado"/>
    <s v="AR ZonaProp"/>
    <n v="31000"/>
    <x v="136"/>
    <x v="1"/>
    <s v="Dólares"/>
    <s v="Dólares"/>
    <s v="lujan 400"/>
    <s v="Argentina | G.B.A. Zona Oeste | Moreno | Paso Del Rey"/>
    <x v="0"/>
    <n v="2"/>
    <s v="Seniority"/>
    <s v="Propia (Único Asesor)"/>
    <x v="1"/>
    <s v="Venta"/>
    <x v="3"/>
    <s v="Barrio Parque"/>
  </r>
  <r>
    <d v="2026-03-06T00:00:00"/>
    <x v="0"/>
    <x v="9"/>
    <s v="CAP7064550"/>
    <x v="0"/>
    <s v="Departamento 2 ambientes a estrenar con pileta San Antonio de Padua - financiación propia"/>
    <s v="Realizado"/>
    <s v="AR MercadoLibre"/>
    <n v="69900"/>
    <x v="136"/>
    <x v="1"/>
    <s v="Dólares"/>
    <s v="Dólares"/>
    <s v="Curie  80"/>
    <s v="Argentina | G.B.A. Zona Oeste | Merlo | San Antonio De Padua"/>
    <x v="0"/>
    <n v="2"/>
    <s v="Beyker"/>
    <s v="Propia (Único Asesor)"/>
    <x v="1"/>
    <s v="Venta"/>
    <x v="3"/>
    <s v="Retiro"/>
  </r>
  <r>
    <d v="2026-03-09T00:00:00"/>
    <x v="0"/>
    <x v="9"/>
    <s v="CAP7409069"/>
    <x v="0"/>
    <s v="VENTA DEPTO MONOAMBIENTE EN LA MEJOR ZONA DE RECOLETA"/>
    <s v="Realizado"/>
    <s v="AR ZonaProp"/>
    <n v="90000"/>
    <x v="136"/>
    <x v="1"/>
    <s v="Dólares"/>
    <s v="Dólares"/>
    <s v="Guido al 2400"/>
    <s v="Argentina | Capital Federal | Recoleta "/>
    <x v="0"/>
    <n v="2"/>
    <s v="Destino II"/>
    <s v="Propia (Único Asesor)"/>
    <x v="1"/>
    <s v="Venta"/>
    <x v="3"/>
    <s v="Recoleta"/>
  </r>
  <r>
    <d v="2026-03-09T00:00:00"/>
    <x v="0"/>
    <x v="9"/>
    <s v="CASA VILLA ELISA 11 Y 420"/>
    <x v="0"/>
    <s v="CASA VILLA ELISA 11 Y 420"/>
    <s v="Realizado"/>
    <s v="AR ArgenProp"/>
    <n v="83400"/>
    <x v="137"/>
    <x v="1"/>
    <s v="Dólares"/>
    <s v="Dólares"/>
    <m/>
    <s v="Argentina | G.B.A. Zona Sur | La Plata | La Plata"/>
    <x v="2"/>
    <n v="1"/>
    <s v="Golden Team"/>
    <s v="(Interior) Compartida Fuera de la Red Captación Propia"/>
    <x v="0"/>
    <s v="Venta"/>
    <x v="0"/>
    <s v="La Plata"/>
  </r>
  <r>
    <d v="2025-12-02T00:00:00"/>
    <x v="1"/>
    <x v="8"/>
    <s v="CPH7321625"/>
    <x v="0"/>
    <s v="VENTA permuta ph tres ambientes sin expensas refaccionado terraza propia"/>
    <s v="Realizado"/>
    <s v="AR ZonaProp"/>
    <n v="105000"/>
    <x v="137"/>
    <x v="1"/>
    <s v="Dólares"/>
    <s v="Dólares"/>
    <s v="Doctor david peña  al 4117"/>
    <s v="Argentina | Capital Federal | Monte Castro "/>
    <x v="3"/>
    <n v="2"/>
    <s v="Lion Team"/>
    <s v="Propia (Único Asesor)"/>
    <x v="1"/>
    <s v="Venta"/>
    <x v="3"/>
    <s v="Villa Urquiza"/>
  </r>
  <r>
    <d v="2025-05-23T00:00:00"/>
    <x v="1"/>
    <x v="2"/>
    <s v="CPH7015250"/>
    <x v="0"/>
    <s v="PH en VENTA AVENIDA 25 1567 (ENTRE 64 Y 65) 1567"/>
    <s v="Realizado"/>
    <s v="Conocido"/>
    <n v="88000"/>
    <x v="138"/>
    <x v="1"/>
    <s v="Dólares"/>
    <s v="Dólares"/>
    <s v="PH AVENIDA 25 1567 (ENTRE 64 Y 65) al 1500"/>
    <s v="Argentina | G.B.A. Zona Sur | La Plata | La Plata"/>
    <x v="3"/>
    <n v="1"/>
    <s v="Golden Team"/>
    <s v="Compartida Fuera de la Red Búsqueda"/>
    <x v="2"/>
    <s v="Venta"/>
    <x v="0"/>
    <s v="La Plata"/>
  </r>
  <r>
    <d v="2025-09-05T00:00:00"/>
    <x v="1"/>
    <x v="6"/>
    <s v="CAP7061693"/>
    <x v="2"/>
    <s v="Departamento 2 amb en venta apto credito- Campanillas Park- Pilar"/>
    <s v="Realizado"/>
    <s v="Referido"/>
    <n v="85000"/>
    <x v="138"/>
    <x v="1"/>
    <s v="Dólares"/>
    <s v="Dólares"/>
    <s v="Departamento 2 amb en venta apto credito- Campanillas Park- Pilar"/>
    <s v="Argentina | G.B.A. Zona Norte | Pilar | Las Campanillas"/>
    <x v="0"/>
    <n v="2"/>
    <s v="North Team"/>
    <s v="Master"/>
    <x v="1"/>
    <s v="Venta"/>
    <x v="6"/>
    <s v="Pilar"/>
  </r>
  <r>
    <d v="2025-08-05T00:00:00"/>
    <x v="1"/>
    <x v="5"/>
    <s v="CAP6612463"/>
    <x v="0"/>
    <s v="Departamento 3 Ambientes Muy luminoso  en Paternal"/>
    <s v="Realizado"/>
    <s v="AR ZonaProp"/>
    <n v="90000"/>
    <x v="138"/>
    <x v="1"/>
    <s v="Dólares"/>
    <s v="Dólares"/>
    <s v="Magariños Cervantes  al 1800"/>
    <s v="Argentina | Capital Federal | Paternal "/>
    <x v="0"/>
    <n v="2"/>
    <s v="Destino"/>
    <s v="Propia (Único Asesor)"/>
    <x v="1"/>
    <s v="Venta"/>
    <x v="3"/>
    <s v="Recoleta"/>
  </r>
  <r>
    <d v="2025-05-30T00:00:00"/>
    <x v="1"/>
    <x v="2"/>
    <s v="CBU49671 AP6414027"/>
    <x v="0"/>
    <s v="Venta Departamento dividido en 2 ambientes A Estrenar Apto profesional Villa Urquiza"/>
    <s v="Realizado"/>
    <s v="AR ZonaProp"/>
    <n v="83000"/>
    <x v="139"/>
    <x v="1"/>
    <s v="Dólares"/>
    <s v="Dólares"/>
    <s v="Bauness  al 1100"/>
    <s v="Argentina | Capital Federal | Villa Urquiza "/>
    <x v="0"/>
    <n v="2"/>
    <s v="Lion Team"/>
    <s v="Propia (Único Asesor)"/>
    <x v="1"/>
    <s v="Venta"/>
    <x v="3"/>
    <s v="Villa Urquiza"/>
  </r>
  <r>
    <d v="2025-03-25T00:00:00"/>
    <x v="1"/>
    <x v="9"/>
    <m/>
    <x v="0"/>
    <s v="Venta UF 19 Girasoles 5"/>
    <s v="Realizado"/>
    <s v="Repetido"/>
    <n v="84000"/>
    <x v="140"/>
    <x v="1"/>
    <s v="Dólares"/>
    <s v="Dólares"/>
    <s v="Fucsias y Huemul"/>
    <s v="Argentina | Neuquen | Villa La Angostura | Las Piedritas"/>
    <x v="0"/>
    <n v="1"/>
    <s v="Patagonia Lakes VLA"/>
    <s v="(Interior) Compartida Fuera de la Red Búsqueda"/>
    <x v="2"/>
    <s v="Venta"/>
    <x v="1"/>
    <s v="Villa La Angostura"/>
  </r>
  <r>
    <d v="2025-05-13T00:00:00"/>
    <x v="1"/>
    <x v="2"/>
    <m/>
    <x v="0"/>
    <s v="Op. con Tizado. Lote 26, Alihuen Alto Nueva Etapa, 1771m2, NC: 15-21-044-2018-0026"/>
    <s v="Realizado"/>
    <s v="Conocido"/>
    <n v="84000"/>
    <x v="140"/>
    <x v="1"/>
    <s v="Dólares"/>
    <s v="Dólares"/>
    <m/>
    <s v="Argentina | Neuquen | Lacar | San Martin De Los Andes | Alihuen Alto y Bajo"/>
    <x v="1"/>
    <n v="1"/>
    <s v="Patagonia Lakes SMA"/>
    <s v="(Interior) Compartida Fuera de la Red Búsqueda"/>
    <x v="2"/>
    <s v="Venta"/>
    <x v="1"/>
    <s v="San Martín de los Andes"/>
  </r>
  <r>
    <d v="2025-10-22T00:00:00"/>
    <x v="1"/>
    <x v="11"/>
    <s v="Caracas Nº 1.525"/>
    <x v="0"/>
    <s v="Caracas Nº 1.525"/>
    <s v="Realizado"/>
    <s v="AR ZonaProp"/>
    <n v="85000"/>
    <x v="140"/>
    <x v="1"/>
    <s v="Dólares"/>
    <s v="Dólares"/>
    <s v="Caracas Nº 1.525"/>
    <s v="Argentina | Capital Federal | Villa Devoto "/>
    <x v="0"/>
    <n v="1"/>
    <s v="Quality"/>
    <s v="(Interior) Compartida Fuera de la Red Búsqueda"/>
    <x v="2"/>
    <s v="Venta"/>
    <x v="6"/>
    <s v="Escobar"/>
  </r>
  <r>
    <d v="2026-01-20T00:00:00"/>
    <x v="0"/>
    <x v="10"/>
    <s v="CAP7044601"/>
    <x v="0"/>
    <s v="Departamento 2 dormitorios a estrenar  5 cuadras de la costanera Santafesina."/>
    <s v="Realizado"/>
    <s v="Cartel"/>
    <n v="86900"/>
    <x v="140"/>
    <x v="1"/>
    <s v="Dólares"/>
    <s v="Dólares"/>
    <s v="DEPARTAMENTO A ESTRENAR 2 DORMITORIOS  - AVELLANEDA 5300"/>
    <s v="Argentina | Santa Fe | La Capital | Santa Fe | Candioti Norte"/>
    <x v="0"/>
    <n v="1"/>
    <s v="De la Veracruz"/>
    <s v="(Interior) Compartida Fuera de la Red Captación Propia"/>
    <x v="0"/>
    <s v="Venta"/>
    <x v="5"/>
    <s v="Capital Santa Fe"/>
  </r>
  <r>
    <d v="2025-07-25T00:00:00"/>
    <x v="1"/>
    <x v="1"/>
    <s v="JPH6798523"/>
    <x v="0"/>
    <s v="PH APTO CREDITO VILLA URQUIZA IMPECABLE ESTADO SIN EXPENSAS  LUMINOSO Y SILENCIOSO"/>
    <s v="Realizado"/>
    <s v="AR ZonaProp"/>
    <n v="90000"/>
    <x v="140"/>
    <x v="1"/>
    <s v="Dólares"/>
    <s v="Dólares"/>
    <s v="TALAVERA  al 5800"/>
    <s v="Argentina | Capital Federal | Villa Urquiza "/>
    <x v="3"/>
    <n v="2"/>
    <s v="Lion Team Norte"/>
    <s v="Compartida en Oficina (Dos Asesores)"/>
    <x v="1"/>
    <s v="Venta"/>
    <x v="6"/>
    <s v="Vicente López"/>
  </r>
  <r>
    <d v="2025-01-30T00:00:00"/>
    <x v="1"/>
    <x v="10"/>
    <s v="CAP6598331"/>
    <x v="0"/>
    <s v="Departamento 3 ambientes con balcon y baño completo "/>
    <s v="Realizado"/>
    <s v="AR ZonaProp"/>
    <n v="92000"/>
    <x v="140"/>
    <x v="1"/>
    <s v="Dólares"/>
    <s v="Dólares"/>
    <s v="san luis al 3100"/>
    <s v="Argentina | Capital Federal | Balvanera "/>
    <x v="0"/>
    <n v="2"/>
    <s v="Seniority"/>
    <s v="Compartida Fuera de la Red Captación Propia"/>
    <x v="0"/>
    <s v="Venta"/>
    <x v="3"/>
    <s v="Barrio Parque"/>
  </r>
  <r>
    <d v="2025-06-12T00:00:00"/>
    <x v="1"/>
    <x v="4"/>
    <s v="CAP6846665"/>
    <x v="0"/>
    <s v="Excelente Depto . en venta "/>
    <s v="Realizado"/>
    <s v="AR ZonaProp"/>
    <n v="85000"/>
    <x v="140"/>
    <x v="1"/>
    <s v="Dólares"/>
    <s v="Dólares"/>
    <s v="Gabriela Mistral al  al 800"/>
    <s v="Argentina | Rio Negro | General Roca | Cipolletti"/>
    <x v="0"/>
    <n v="2"/>
    <s v="Sensus"/>
    <s v="Compartida Fuera de la Red Captación Propia"/>
    <x v="0"/>
    <s v="Venta"/>
    <x v="1"/>
    <s v="Capital Neuquén"/>
  </r>
  <r>
    <d v="2025-03-12T00:00:00"/>
    <x v="1"/>
    <x v="9"/>
    <s v="benavides 774"/>
    <x v="0"/>
    <s v="lote venta Benavides"/>
    <s v="Realizado"/>
    <s v="AR MercadoLibre"/>
    <n v="84000"/>
    <x v="140"/>
    <x v="1"/>
    <s v="Dólares"/>
    <s v="Dólares"/>
    <m/>
    <s v="Argentina | G.B.A. Zona Norte | Tigre | Benavidez"/>
    <x v="1"/>
    <n v="2"/>
    <s v="Livello"/>
    <s v="Propia (Único Asesor)"/>
    <x v="1"/>
    <s v="Venta"/>
    <x v="3"/>
    <s v="Palermo"/>
  </r>
  <r>
    <d v="2025-06-11T00:00:00"/>
    <x v="1"/>
    <x v="4"/>
    <s v="CAP6780588"/>
    <x v="0"/>
    <s v="Departamento  2 ambientes balcón, patio cubierto y descubierto"/>
    <s v="Realizado"/>
    <s v="AR ZonaProp"/>
    <n v="89000"/>
    <x v="140"/>
    <x v="1"/>
    <s v="Dólares"/>
    <s v="Dólares"/>
    <s v="Mexico al 2700"/>
    <s v="Argentina | Capital Federal | Balvanera "/>
    <x v="0"/>
    <n v="2"/>
    <s v="Grupo Elite"/>
    <s v="Propia (Único Asesor)"/>
    <x v="1"/>
    <s v="Venta"/>
    <x v="3"/>
    <s v="Puerto Madero"/>
  </r>
  <r>
    <d v="2025-07-16T00:00:00"/>
    <x v="1"/>
    <x v="1"/>
    <s v="CAP6817503"/>
    <x v="0"/>
    <s v="Venta Departamento 2 ambientes en Villa Urquiza"/>
    <s v="Realizado"/>
    <s v="AR MercadoLibre"/>
    <n v="88900"/>
    <x v="140"/>
    <x v="1"/>
    <s v="Dólares"/>
    <s v="Dólares"/>
    <s v="Alvarez Thomas  al 3200"/>
    <s v="Argentina | Capital Federal | Villa Urquiza "/>
    <x v="0"/>
    <n v="2"/>
    <s v="Lion Team"/>
    <s v="Propia (Único Asesor)"/>
    <x v="1"/>
    <s v="Venta"/>
    <x v="3"/>
    <s v="Villa Urquiza"/>
  </r>
  <r>
    <d v="2025-08-18T00:00:00"/>
    <x v="1"/>
    <x v="5"/>
    <s v="CAP6827748"/>
    <x v="0"/>
    <s v="Venta departamento 2 ambientes balcón aterrazado Almagro"/>
    <s v="Realizado"/>
    <s v="AR ZonaProp"/>
    <n v="87000"/>
    <x v="140"/>
    <x v="1"/>
    <s v="Dólares"/>
    <s v="Dólares"/>
    <s v="Avenida Independencia  al 3700"/>
    <s v="Argentina | Capital Federal | Almagro | Almagro Sur"/>
    <x v="0"/>
    <n v="2"/>
    <s v="Grupo Elite"/>
    <s v="Propia (Único Asesor)"/>
    <x v="1"/>
    <s v="Venta"/>
    <x v="3"/>
    <s v="Puerto Madero"/>
  </r>
  <r>
    <d v="2025-10-15T00:00:00"/>
    <x v="1"/>
    <x v="11"/>
    <s v="CAP6867038"/>
    <x v="0"/>
    <s v="VENTA DEPARTAMENTO 3 AMBIENTES BALCON COCHERA SAN JUSTO CTRO"/>
    <s v="Realizado"/>
    <s v="AR ZonaProp"/>
    <n v="90000"/>
    <x v="140"/>
    <x v="1"/>
    <s v="Dólares"/>
    <s v="Dólares"/>
    <s v="Juan Domingo Perón al 3100"/>
    <s v="Argentina | G.B.A. Zona Oeste | La Matanza | San Justo | S.Justo (Ctro)"/>
    <x v="0"/>
    <n v="2"/>
    <s v="Lion Team"/>
    <s v="Propia (Único Asesor)"/>
    <x v="1"/>
    <s v="Venta"/>
    <x v="3"/>
    <s v="Villa Urquiza"/>
  </r>
  <r>
    <d v="2025-10-22T00:00:00"/>
    <x v="1"/>
    <x v="11"/>
    <n v="10573"/>
    <x v="0"/>
    <s v="Arias 3183"/>
    <s v="Realizado"/>
    <s v="AR ZonaProp"/>
    <n v="84000"/>
    <x v="140"/>
    <x v="1"/>
    <s v="Dólares"/>
    <s v="Dólares"/>
    <s v="Arias 3183"/>
    <s v="Argentina | G.B.A. Zona Norte | San Isidro "/>
    <x v="0"/>
    <n v="2"/>
    <s v="Seniority"/>
    <s v="Propia (Único Asesor)"/>
    <x v="1"/>
    <s v="Venta"/>
    <x v="3"/>
    <s v="Barrio Parque"/>
  </r>
  <r>
    <d v="2025-10-31T00:00:00"/>
    <x v="1"/>
    <x v="11"/>
    <s v="CAP6671466"/>
    <x v="0"/>
    <s v="Venta Monoambiente divisible a estrenar con amenities en Palermo, Palermo Hollywood"/>
    <s v="Realizado"/>
    <s v="AR ZonaProp"/>
    <n v="89900"/>
    <x v="140"/>
    <x v="1"/>
    <s v="Dólares"/>
    <s v="Dólares"/>
    <s v="Coronel Niceto Vega al 5700"/>
    <s v="Argentina | Capital Federal | Palermo | Palermo Hollywood"/>
    <x v="0"/>
    <n v="2"/>
    <s v="Seniority Plus"/>
    <s v="Propia (Único Asesor)"/>
    <x v="1"/>
    <s v="Venta"/>
    <x v="3"/>
    <s v="Palermo"/>
  </r>
  <r>
    <d v="2025-11-27T00:00:00"/>
    <x v="1"/>
    <x v="7"/>
    <s v="CAP6991794"/>
    <x v="0"/>
    <s v="Hermoso Departamento en Palermo"/>
    <s v="Realizado"/>
    <s v="AR ZonaProp"/>
    <n v="89000"/>
    <x v="140"/>
    <x v="1"/>
    <s v="Dólares"/>
    <s v="Dólares"/>
    <s v="Mansilla al 4000, Palermo"/>
    <s v="Argentina | Capital Federal | Palermo "/>
    <x v="0"/>
    <n v="2"/>
    <s v="Haka"/>
    <s v="Propia (Único Asesor)"/>
    <x v="1"/>
    <s v="Venta"/>
    <x v="3"/>
    <s v="Núñez"/>
  </r>
  <r>
    <d v="2025-12-03T00:00:00"/>
    <x v="1"/>
    <x v="8"/>
    <s v="CPH6952960"/>
    <x v="0"/>
    <s v="PH en  WILDE sobre Av. Mitre "/>
    <s v="Realizado"/>
    <s v="AR ZonaProp"/>
    <n v="85000"/>
    <x v="140"/>
    <x v="1"/>
    <s v="Dólares"/>
    <s v="Dólares"/>
    <s v="Av Mitre al 6500"/>
    <s v="Argentina | G.B.A. Zona Sur | Avellaneda | Wilde"/>
    <x v="3"/>
    <n v="2"/>
    <s v="Destino"/>
    <s v="Propia (Único Asesor)"/>
    <x v="1"/>
    <s v="Venta"/>
    <x v="3"/>
    <s v="Recoleta"/>
  </r>
  <r>
    <d v="2025-12-18T00:00:00"/>
    <x v="1"/>
    <x v="8"/>
    <s v="CHO7477551"/>
    <x v="0"/>
    <s v="Casa en Zona Sur"/>
    <s v="Realizado"/>
    <s v="Conocido"/>
    <n v="85000"/>
    <x v="140"/>
    <x v="1"/>
    <s v="Dólares"/>
    <s v="Local"/>
    <s v="Zona Sur"/>
    <s v="Argentina | Salta | Capital | Salta | Zona Sur"/>
    <x v="2"/>
    <n v="2"/>
    <s v="Realty Group"/>
    <s v="Propia (Único Asesor)"/>
    <x v="1"/>
    <s v="Venta"/>
    <x v="4"/>
    <s v="San Lorenzo Chico"/>
  </r>
  <r>
    <d v="2025-12-22T00:00:00"/>
    <x v="1"/>
    <x v="8"/>
    <s v="CHO7366856"/>
    <x v="0"/>
    <s v="Casa en venta Barrio Estacion Alvarado "/>
    <s v="Realizado"/>
    <s v="Facebook"/>
    <n v="84000"/>
    <x v="140"/>
    <x v="1"/>
    <s v="Dólares"/>
    <s v="Dólares"/>
    <s v="Estacion Alvarado "/>
    <s v="Argentina | Salta | Capital | Salta | Zona Sur"/>
    <x v="2"/>
    <n v="2"/>
    <s v="Realty Group"/>
    <s v="Propia (Único Asesor)"/>
    <x v="1"/>
    <s v="Venta"/>
    <x v="4"/>
    <s v="San Lorenzo Chico"/>
  </r>
  <r>
    <d v="2026-03-30T00:00:00"/>
    <x v="0"/>
    <x v="9"/>
    <s v="CHO7388057"/>
    <x v="0"/>
    <s v="Casa en Venta - APTA CRÉDITO - Perdriel - Lujan de Cuyo"/>
    <s v="Realizado"/>
    <s v="AR ZonaProp"/>
    <n v="89900"/>
    <x v="140"/>
    <x v="1"/>
    <s v="Dólares"/>
    <s v="Dólares"/>
    <s v="Olavarria al 4700"/>
    <s v="Argentina | Mendoza | Lujan De Cuyo | Lujan De Cuyo | Perdriel"/>
    <x v="2"/>
    <n v="2"/>
    <s v="Cuyo Real"/>
    <s v="Propia (Único Asesor)"/>
    <x v="1"/>
    <s v="Venta"/>
    <x v="2"/>
    <s v="Capital Mendoza"/>
  </r>
  <r>
    <d v="2026-03-31T00:00:00"/>
    <x v="0"/>
    <x v="9"/>
    <s v="CAP7393052"/>
    <x v="0"/>
    <s v="Departamento  de 2 dormitorios en planta baja a 50m de Bv!"/>
    <s v="Realizado"/>
    <s v="Referido"/>
    <n v="87000"/>
    <x v="140"/>
    <x v="1"/>
    <s v="Dólares"/>
    <s v="Dólares"/>
    <s v="Departamento a metros de Boulevard sobre calle Mitre 3562 D2"/>
    <s v="Argentina | Santa Fe | La Capital | Santa Fe | Candioti Norte"/>
    <x v="0"/>
    <n v="2"/>
    <s v="De la Veracruz"/>
    <s v="Propia (Único Asesor)"/>
    <x v="1"/>
    <s v="Venta"/>
    <x v="5"/>
    <s v="Capital Santa Fe"/>
  </r>
  <r>
    <d v="2025-05-08T00:00:00"/>
    <x v="1"/>
    <x v="2"/>
    <s v="CAP6582362"/>
    <x v="0"/>
    <s v="Venta Departamento Monoambiente Apto turismo a 5 minutos del centro"/>
    <s v="Realizado"/>
    <s v="Teléfono"/>
    <n v="89856"/>
    <x v="141"/>
    <x v="1"/>
    <s v="Dólares"/>
    <s v="Dólares"/>
    <s v="Avenida Pioneros, San Carlos de Bariloche"/>
    <s v="Argentina | Rio Negro | Bariloche | San Carlos De Bariloche | Los Cipresales"/>
    <x v="0"/>
    <n v="2"/>
    <s v="Patagonia Lakes BRC"/>
    <s v="Propia (Único Asesor)"/>
    <x v="1"/>
    <s v="Venta"/>
    <x v="7"/>
    <s v="Bariloche"/>
  </r>
  <r>
    <d v="2025-10-29T00:00:00"/>
    <x v="1"/>
    <x v="11"/>
    <s v="CPH7233668"/>
    <x v="0"/>
    <s v="Venta PH 2 Ambientes en Villa Adelina"/>
    <s v="Realizado"/>
    <s v="AR ZonaProp"/>
    <n v="89000"/>
    <x v="142"/>
    <x v="1"/>
    <s v="Dólares"/>
    <s v="Dólares"/>
    <s v="Lamadrid al 1400"/>
    <s v="Argentina | G.B.A. Zona Norte | San Isidro | Villa Adelina"/>
    <x v="3"/>
    <n v="2"/>
    <s v="Seniority Plus"/>
    <s v="Propia (Único Asesor)"/>
    <x v="1"/>
    <s v="Venta"/>
    <x v="3"/>
    <s v="Palermo"/>
  </r>
  <r>
    <d v="2025-12-26T00:00:00"/>
    <x v="1"/>
    <x v="8"/>
    <s v="CAP7260400"/>
    <x v="0"/>
    <s v="Venta departamento 2 ambientes Villa Crespo"/>
    <s v="Realizado"/>
    <s v="Instagram"/>
    <n v="88000"/>
    <x v="142"/>
    <x v="1"/>
    <s v="Dólares"/>
    <s v="Dólares"/>
    <s v="THAMES al 500"/>
    <s v="Argentina | Capital Federal | Villa Crespo "/>
    <x v="0"/>
    <n v="2"/>
    <s v="Grupo Elite"/>
    <s v="Propia (Único Asesor)"/>
    <x v="1"/>
    <s v="Venta"/>
    <x v="3"/>
    <s v="Puerto Madero"/>
  </r>
  <r>
    <d v="2025-04-29T00:00:00"/>
    <x v="1"/>
    <x v="3"/>
    <s v="CBU42019 AP5804372"/>
    <x v="0"/>
    <s v="Departamento 1 Ambiente vista al lago 2E en pozo- Jardín Botánico - Bariloche - Patagonia"/>
    <s v="Realizado"/>
    <s v="Teléfono"/>
    <n v="82000"/>
    <x v="143"/>
    <x v="1"/>
    <s v="Dólares"/>
    <s v="Dólares"/>
    <s v="Tronador al 1700"/>
    <s v="Argentina | Rio Negro | Bariloche | San Carlos De Bariloche"/>
    <x v="0"/>
    <n v="1"/>
    <s v="Patagonia Lakes BRC"/>
    <s v="(Interior) Compartida Fuera de la Red Búsqueda"/>
    <x v="2"/>
    <s v="Venta"/>
    <x v="7"/>
    <s v="Bariloche"/>
  </r>
  <r>
    <d v="2025-02-17T00:00:00"/>
    <x v="1"/>
    <x v="0"/>
    <s v="CAP6601171"/>
    <x v="0"/>
    <s v="Departamento en  Santa Genoveva"/>
    <s v="Realizado"/>
    <s v="AR ZonaProp"/>
    <n v="85000"/>
    <x v="143"/>
    <x v="1"/>
    <s v="Dólares"/>
    <s v="Dólares"/>
    <s v="Entre Rios al 900"/>
    <s v="Argentina | Neuquen | Capital | Santa Genoveva"/>
    <x v="0"/>
    <n v="2"/>
    <s v="Sensus"/>
    <s v="Compartida en Oficina (Dos Asesores)"/>
    <x v="1"/>
    <s v="Venta"/>
    <x v="1"/>
    <s v="Capital Neuquén"/>
  </r>
  <r>
    <d v="2025-03-03T00:00:00"/>
    <x v="1"/>
    <x v="9"/>
    <s v="354 Magallanes"/>
    <x v="0"/>
    <s v="Lote venta Magallanes 354"/>
    <s v="Realizado"/>
    <s v="AR MercadoLibre"/>
    <n v="85000"/>
    <x v="143"/>
    <x v="1"/>
    <s v="Dólares"/>
    <s v="Dólares"/>
    <m/>
    <s v="Argentina | G.B.A. Zona Sur | Berazategui | Guillermo E Hudson"/>
    <x v="1"/>
    <n v="2"/>
    <s v="Livello"/>
    <s v="Compartida en Oficina (Dos Asesores)"/>
    <x v="1"/>
    <s v="Venta"/>
    <x v="3"/>
    <s v="Palermo"/>
  </r>
  <r>
    <d v="2025-06-25T00:00:00"/>
    <x v="1"/>
    <x v="4"/>
    <s v="VAP6700248"/>
    <x v="0"/>
    <s v="Departamento en Jardines de Saravi 2 Ambientes APTO CREDITO"/>
    <s v="Realizado"/>
    <s v="AR ZonaProp"/>
    <n v="85000"/>
    <x v="143"/>
    <x v="1"/>
    <s v="Dólares"/>
    <s v="Dólares"/>
    <s v="saravi  al 1400"/>
    <s v="Argentina | G.B.A. Zona Norte | Pilar | Jardines de Saravi"/>
    <x v="0"/>
    <n v="2"/>
    <s v="Puerto Norte"/>
    <s v="Compartida en Oficina (Dos Asesores)"/>
    <x v="1"/>
    <s v="Venta"/>
    <x v="6"/>
    <s v="Nordelta"/>
  </r>
  <r>
    <d v="2025-12-19T00:00:00"/>
    <x v="1"/>
    <x v="8"/>
    <s v="CHO7333224"/>
    <x v="0"/>
    <s v="Casa en San Salvador De Jujuy"/>
    <s v="Realizado"/>
    <s v="Conocido"/>
    <n v="98000"/>
    <x v="143"/>
    <x v="1"/>
    <s v="Dólares"/>
    <s v="Dólares"/>
    <s v="Higuerillas"/>
    <s v="Argentina | Jujuy | Dr Manuel Belgrano | San Salvador De Jujuy"/>
    <x v="2"/>
    <n v="2"/>
    <s v="Plaza"/>
    <s v="Compartida en Oficina (Dos Asesores)"/>
    <x v="1"/>
    <s v="Venta"/>
    <x v="8"/>
    <s v="Capital Jujuy"/>
  </r>
  <r>
    <d v="2025-03-18T00:00:00"/>
    <x v="1"/>
    <x v="9"/>
    <s v="N/C - VIRREY LINIERS 71"/>
    <x v="0"/>
    <s v="VENTA DPTO 2 AMBIENTES ALMAGRO"/>
    <s v="Realizado"/>
    <s v="AR MercadoLibre"/>
    <n v="85000"/>
    <x v="143"/>
    <x v="1"/>
    <s v="Dólares"/>
    <s v="Dólares"/>
    <s v="VIRREY LINIERS 71"/>
    <s v="Argentina | Capital Federal | Almagro "/>
    <x v="0"/>
    <n v="1"/>
    <s v="Destino II"/>
    <s v="Compartida Fuera de la Red Búsqueda"/>
    <x v="2"/>
    <s v="Venta"/>
    <x v="3"/>
    <s v="Recoleta"/>
  </r>
  <r>
    <d v="2025-07-24T00:00:00"/>
    <x v="1"/>
    <x v="1"/>
    <m/>
    <x v="0"/>
    <s v="Martina Cespedes 1620 - Caro Valls - Barrozo y Villa Prop"/>
    <s v="Realizado"/>
    <s v="AR ZonaProp"/>
    <n v="85000"/>
    <x v="143"/>
    <x v="1"/>
    <s v="Dólares"/>
    <s v="Dólares"/>
    <s v="Martina Cespedes 1620"/>
    <s v="Argentina | G.B.A. Zona Sur | Lomas De Zamora (Partido) | Banfield"/>
    <x v="0"/>
    <n v="1"/>
    <s v="Destino"/>
    <s v="Compartida Fuera de la Red Búsqueda"/>
    <x v="2"/>
    <s v="Venta"/>
    <x v="3"/>
    <s v="Recoleta"/>
  </r>
  <r>
    <d v="2025-10-20T00:00:00"/>
    <x v="1"/>
    <x v="11"/>
    <m/>
    <x v="0"/>
    <s v="Monroe 4046 - Remax - Agustin Gaviña"/>
    <s v="Realizado"/>
    <s v="AR ZonaProp"/>
    <n v="85000"/>
    <x v="143"/>
    <x v="1"/>
    <s v="Dólares"/>
    <s v="Dólares"/>
    <s v="Monroe 4046"/>
    <s v="Argentina | Capital Federal | Belgrano "/>
    <x v="0"/>
    <n v="1"/>
    <s v="Destino"/>
    <s v="Compartida Fuera de la Red Búsqueda"/>
    <x v="2"/>
    <s v="Venta"/>
    <x v="3"/>
    <s v="Recoleta"/>
  </r>
  <r>
    <d v="2025-10-24T00:00:00"/>
    <x v="1"/>
    <x v="11"/>
    <n v="10572"/>
    <x v="0"/>
    <s v="Cuba 2400"/>
    <s v="Realizado"/>
    <s v="AR ZonaProp"/>
    <n v="85000"/>
    <x v="143"/>
    <x v="1"/>
    <s v="Dólares"/>
    <s v="Dólares"/>
    <s v="Cuba 2400"/>
    <s v="Argentina | Capital Federal | Belgrano "/>
    <x v="0"/>
    <n v="1"/>
    <s v="Seniority"/>
    <s v="Compartida Fuera de la Red Búsqueda"/>
    <x v="2"/>
    <s v="Venta"/>
    <x v="3"/>
    <s v="Barrio Parque"/>
  </r>
  <r>
    <d v="2025-12-12T00:00:00"/>
    <x v="1"/>
    <x v="8"/>
    <s v="VAP7449626"/>
    <x v="0"/>
    <s v="Venta departamento Monoambiente en  Belgrano. Full amenities"/>
    <s v="Realizado"/>
    <s v="AR ZonaProp"/>
    <n v="89000"/>
    <x v="143"/>
    <x v="1"/>
    <s v="Dólares"/>
    <s v="Dólares"/>
    <s v="Aguilar 2200"/>
    <s v="Argentina | Capital Federal | Palermo "/>
    <x v="0"/>
    <n v="2"/>
    <s v="Space BA"/>
    <s v="Compartida Fuera de la Red Captación Propia"/>
    <x v="0"/>
    <s v="Venta"/>
    <x v="3"/>
    <s v="Belgrano"/>
  </r>
  <r>
    <d v="2025-12-19T00:00:00"/>
    <x v="1"/>
    <x v="8"/>
    <s v="CPH7212582"/>
    <x v="0"/>
    <s v="Ph tipo duplex 2 ambientes límite Villa Pueyrredón Agronomía"/>
    <s v="Realizado"/>
    <s v="AR ZonaProp"/>
    <n v="90000"/>
    <x v="143"/>
    <x v="1"/>
    <s v="Dólares"/>
    <s v="Dólares"/>
    <s v="Vicente Perez Rosales 4096"/>
    <s v="Argentina | Capital Federal | Villa Pueyrredon "/>
    <x v="3"/>
    <n v="2"/>
    <s v="Destino"/>
    <s v="Compartida Fuera de la Red Captación Propia"/>
    <x v="0"/>
    <s v="Venta"/>
    <x v="3"/>
    <s v="Recoleta"/>
  </r>
  <r>
    <d v="2025-05-01T00:00:00"/>
    <x v="1"/>
    <x v="2"/>
    <n v="7"/>
    <x v="2"/>
    <s v="Venta Soler"/>
    <s v="Realizado"/>
    <s v="Conocido"/>
    <n v="83000"/>
    <x v="143"/>
    <x v="1"/>
    <s v="Dólares"/>
    <s v="Dólares"/>
    <s v="Soler 5738"/>
    <s v="Argentina | Capital Federal | Palermo | Las Cañitas"/>
    <x v="0"/>
    <n v="2"/>
    <s v="Grupo Elite"/>
    <s v="Compartida en Red (50%)"/>
    <x v="1"/>
    <s v="Venta"/>
    <x v="3"/>
    <s v="Puerto Madero"/>
  </r>
  <r>
    <d v="2025-06-10T00:00:00"/>
    <x v="1"/>
    <x v="4"/>
    <s v="CAP6667678"/>
    <x v="2"/>
    <s v="Venta Departamento Monoambiente en Palermo, Palermo Hollywood"/>
    <s v="Realizado"/>
    <s v="AR ZonaProp"/>
    <n v="85000"/>
    <x v="143"/>
    <x v="1"/>
    <s v="Dólares"/>
    <s v="Dólares"/>
    <s v="Soler al 5700"/>
    <s v="Argentina | Capital Federal | Palermo | Palermo Hollywood"/>
    <x v="0"/>
    <n v="2"/>
    <s v="Seniority Plus"/>
    <s v="Compartida en Red (50%)"/>
    <x v="1"/>
    <s v="Venta"/>
    <x v="3"/>
    <s v="Palermo"/>
  </r>
  <r>
    <d v="2025-11-12T00:00:00"/>
    <x v="1"/>
    <x v="7"/>
    <s v="CAP7340998"/>
    <x v="2"/>
    <s v="Venta departamento 2 amb Recoleta"/>
    <s v="Realizado"/>
    <s v="AR ZonaProp"/>
    <n v="89000"/>
    <x v="143"/>
    <x v="1"/>
    <s v="Dólares"/>
    <s v="Dólares"/>
    <s v="Anchorena al 1600"/>
    <s v="Argentina | Capital Federal | Recoleta "/>
    <x v="0"/>
    <n v="2"/>
    <s v="Destino II"/>
    <s v="Compartida en Red (50%)"/>
    <x v="1"/>
    <s v="Venta"/>
    <x v="3"/>
    <s v="Recoleta"/>
  </r>
  <r>
    <d v="2025-05-29T00:00:00"/>
    <x v="1"/>
    <x v="2"/>
    <s v="COF6452656"/>
    <x v="0"/>
    <s v="venta Oficina al frente, en Retiro, con baño y cocina"/>
    <s v="Realizado"/>
    <s v="AR ArgenProp"/>
    <n v="89900"/>
    <x v="143"/>
    <x v="1"/>
    <s v="Dólares"/>
    <s v="Dólares"/>
    <s v="Libertad al 800"/>
    <s v="Argentina | Capital Federal | Retiro "/>
    <x v="6"/>
    <n v="2"/>
    <s v="Lion Team"/>
    <s v="Profesional Referido (70%)"/>
    <x v="1"/>
    <s v="Venta"/>
    <x v="3"/>
    <s v="Villa Urquiza"/>
  </r>
  <r>
    <d v="2025-01-07T00:00:00"/>
    <x v="1"/>
    <x v="10"/>
    <s v="VCO60746 AP6653300"/>
    <x v="0"/>
    <s v="Departamento 2 ambientes a estrenar con amenities"/>
    <s v="Realizado"/>
    <s v="AR ZonaProp"/>
    <n v="99900"/>
    <x v="143"/>
    <x v="1"/>
    <s v="Dólares"/>
    <s v="Dólares"/>
    <s v="Guiraldes  400"/>
    <s v="Argentina | G.B.A. Zona Norte | Tigre | Don Torcuato | Ibanez"/>
    <x v="0"/>
    <n v="2"/>
    <s v="Puerto Norte"/>
    <s v="Propia (Único Asesor)"/>
    <x v="1"/>
    <s v="Venta"/>
    <x v="6"/>
    <s v="Nordelta"/>
  </r>
  <r>
    <d v="2025-05-09T00:00:00"/>
    <x v="1"/>
    <x v="2"/>
    <s v="CAP6401011"/>
    <x v="0"/>
    <s v="Venta Departamento 2 Dormitorios Reciclado Balvanera"/>
    <s v="Realizado"/>
    <s v="AR ZonaProp"/>
    <n v="88900"/>
    <x v="143"/>
    <x v="1"/>
    <s v="Dólares"/>
    <s v="Dólares"/>
    <s v="AGUERO  al 700"/>
    <s v="Argentina | Capital Federal | Balvanera "/>
    <x v="0"/>
    <n v="2"/>
    <s v="Seniority"/>
    <s v="Propia (Único Asesor)"/>
    <x v="1"/>
    <s v="Venta"/>
    <x v="3"/>
    <s v="Barrio Parque"/>
  </r>
  <r>
    <d v="2025-06-05T00:00:00"/>
    <x v="1"/>
    <x v="4"/>
    <s v="CLO6809312"/>
    <x v="0"/>
    <s v="Venta Local centro de Mendoza . Excelente inversión "/>
    <s v="Realizado"/>
    <s v="AR ZonaProp"/>
    <n v="100000"/>
    <x v="143"/>
    <x v="1"/>
    <s v="Dólares"/>
    <s v="Dólares"/>
    <s v="Alem 17"/>
    <s v="Argentina | Mendoza | Capital | Mendoza"/>
    <x v="4"/>
    <n v="2"/>
    <s v="Cuyo Real"/>
    <s v="Propia (Único Asesor)"/>
    <x v="1"/>
    <s v="Venta"/>
    <x v="2"/>
    <s v="Capital Mendoza"/>
  </r>
  <r>
    <d v="2025-08-06T00:00:00"/>
    <x v="1"/>
    <x v="5"/>
    <s v="CAP6799833"/>
    <x v="0"/>
    <s v="VENTA Muy luminoso departamento de 3 ambientes en Monserrat"/>
    <s v="Realizado"/>
    <s v="AR ZonaProp"/>
    <n v="89500"/>
    <x v="143"/>
    <x v="1"/>
    <s v="Dólares"/>
    <s v="Dólares"/>
    <s v="Virrey Cevallos  al 400"/>
    <s v="Argentina | Capital Federal | Monserrat "/>
    <x v="0"/>
    <n v="2"/>
    <s v="Seniority"/>
    <s v="Propia (Único Asesor)"/>
    <x v="1"/>
    <s v="Venta"/>
    <x v="3"/>
    <s v="Barrio Parque"/>
  </r>
  <r>
    <d v="2025-08-14T00:00:00"/>
    <x v="1"/>
    <x v="5"/>
    <s v="CHO6893769"/>
    <x v="0"/>
    <s v="Casa en venta España Al 2300"/>
    <s v="Realizado"/>
    <s v="Facebook"/>
    <n v="90000"/>
    <x v="143"/>
    <x v="1"/>
    <s v="Dólares"/>
    <s v="Dólares"/>
    <s v="España al 2300"/>
    <s v="Argentina | Salta | Capital | Salta | Zona Oeste"/>
    <x v="2"/>
    <n v="2"/>
    <s v="Realty Group"/>
    <s v="Propia (Único Asesor)"/>
    <x v="1"/>
    <s v="Venta"/>
    <x v="4"/>
    <s v="San Lorenzo Chico"/>
  </r>
  <r>
    <d v="2025-09-30T00:00:00"/>
    <x v="1"/>
    <x v="6"/>
    <s v="CAP7278456"/>
    <x v="0"/>
    <s v="Venta Monoambiente Divisible A ESTRENAR - Caballito"/>
    <s v="Realizado"/>
    <s v="AR ZonaProp"/>
    <n v="87000"/>
    <x v="143"/>
    <x v="1"/>
    <s v="Dólares"/>
    <s v="Dólares"/>
    <s v="Mahatma Gandhi 790"/>
    <s v="Argentina | Capital Federal | Caballito "/>
    <x v="0"/>
    <n v="2"/>
    <s v="Seniority"/>
    <s v="Propia (Único Asesor)"/>
    <x v="1"/>
    <s v="Venta"/>
    <x v="3"/>
    <s v="Barrio Parque"/>
  </r>
  <r>
    <d v="2025-12-17T00:00:00"/>
    <x v="1"/>
    <x v="8"/>
    <s v="CLA6734084"/>
    <x v="0"/>
    <s v="Terreno en  Centro Bariloche Permuta"/>
    <s v="Realizado"/>
    <s v="Teléfono"/>
    <n v="99000"/>
    <x v="143"/>
    <x v="1"/>
    <s v="Dólares"/>
    <s v="Dólares"/>
    <s v="Centro, San Carlos de Bariloche"/>
    <s v="Argentina | Rio Negro | Bariloche | San Carlos De Bariloche | Centro"/>
    <x v="1"/>
    <n v="2"/>
    <s v="Patagonia Lakes BRC"/>
    <s v="Propia (Único Asesor)"/>
    <x v="1"/>
    <s v="Venta"/>
    <x v="7"/>
    <s v="Bariloche"/>
  </r>
  <r>
    <d v="2025-12-20T00:00:00"/>
    <x v="1"/>
    <x v="8"/>
    <s v="CAP7065190"/>
    <x v="0"/>
    <s v="Departamento   Barrio Norte"/>
    <s v="Realizado"/>
    <s v="AR ZonaProp"/>
    <n v="89000"/>
    <x v="143"/>
    <x v="1"/>
    <s v="Dólares"/>
    <s v="Dólares"/>
    <s v="Av. Pueyrredón  al 900"/>
    <s v="Argentina | Capital Federal | Barrio Norte "/>
    <x v="0"/>
    <n v="2"/>
    <s v="Destino"/>
    <s v="Propia (Único Asesor)"/>
    <x v="1"/>
    <s v="Venta"/>
    <x v="3"/>
    <s v="Recoleta"/>
  </r>
  <r>
    <d v="2026-01-30T00:00:00"/>
    <x v="0"/>
    <x v="10"/>
    <s v="CLA7308252"/>
    <x v="0"/>
    <s v="VENTA Lote/Terreno  UF5 756 m2 Faldeo del Bayo Villa La Angostura"/>
    <s v="Realizado"/>
    <s v="AR ZonaProp"/>
    <n v="100000"/>
    <x v="143"/>
    <x v="1"/>
    <s v="Dólares"/>
    <s v="Dólares"/>
    <s v="Calle 25, Villa La Angostura, Neuquén, Argentina al 900"/>
    <s v="Argentina | Neuquen | Villa La Angostura | Faldeo Del Bayo"/>
    <x v="1"/>
    <n v="2"/>
    <s v="Patagonia Lakes VLA"/>
    <s v="Propia (Único Asesor)"/>
    <x v="1"/>
    <s v="Venta"/>
    <x v="1"/>
    <s v="Villa La Angostura"/>
  </r>
  <r>
    <d v="2026-02-03T00:00:00"/>
    <x v="0"/>
    <x v="0"/>
    <s v="AAP7313768"/>
    <x v="0"/>
    <s v="Departamento en Palermo"/>
    <s v="Realizado"/>
    <s v="AR ArgenProp"/>
    <n v="89900"/>
    <x v="143"/>
    <x v="1"/>
    <s v="Dólares"/>
    <s v="Dólares"/>
    <s v="Juncal al 4500"/>
    <s v="Argentina | Capital Federal | Palermo "/>
    <x v="0"/>
    <n v="2"/>
    <s v="Desiderio"/>
    <s v="Propia (Único Asesor)"/>
    <x v="1"/>
    <s v="Venta"/>
    <x v="3"/>
    <s v="Caballito"/>
  </r>
  <r>
    <d v="2026-02-23T00:00:00"/>
    <x v="0"/>
    <x v="0"/>
    <s v="CLA7376533"/>
    <x v="0"/>
    <s v="VENDO LOTE EN CHAPADMALAL"/>
    <s v="Realizado"/>
    <s v="AR ZonaProp"/>
    <n v="85000"/>
    <x v="143"/>
    <x v="1"/>
    <s v="Dólares"/>
    <s v="Dólares"/>
    <s v="Chapadmalal al 60 general pueyrredon partido de la costa"/>
    <s v="Argentina | Costa Atlantica | Barrio Chapadmalal "/>
    <x v="1"/>
    <n v="2"/>
    <s v="Niceto"/>
    <s v="Propia (Único Asesor)"/>
    <x v="1"/>
    <s v="Venta"/>
    <x v="3"/>
    <s v="Palermo"/>
  </r>
  <r>
    <d v="2026-03-12T00:00:00"/>
    <x v="0"/>
    <x v="9"/>
    <s v="CLA7376533"/>
    <x v="0"/>
    <s v="VENDO LOTE EN CHAPADMALAL"/>
    <s v="Realizado"/>
    <s v="AR MercadoLibre"/>
    <n v="85000"/>
    <x v="143"/>
    <x v="1"/>
    <s v="Dólares"/>
    <s v="Dólares"/>
    <s v="Chapadmalal al 60 general pueyrredon partido de la costa"/>
    <s v="Argentina | Costa Atlantica | Barrio Chapadmalal "/>
    <x v="1"/>
    <n v="2"/>
    <s v="Niceto"/>
    <s v="Propia (Único Asesor)"/>
    <x v="1"/>
    <s v="Venta"/>
    <x v="3"/>
    <s v="Palermo"/>
  </r>
  <r>
    <d v="2026-03-16T00:00:00"/>
    <x v="0"/>
    <x v="9"/>
    <s v="VAP6842642"/>
    <x v="0"/>
    <s v="Venta CON RENTA Depto Monoambiente c/balcon y cochera en Pilar (Renta Feb 27)"/>
    <s v="Realizado"/>
    <s v="AR MercadoLibre"/>
    <n v="72000"/>
    <x v="143"/>
    <x v="1"/>
    <s v="Dólares"/>
    <s v="Dólares"/>
    <s v="Le Petit Champagnat Pilar. Calle La Perdiz al 100"/>
    <s v="Argentina | G.B.A. Zona Norte | Pilar "/>
    <x v="0"/>
    <n v="2"/>
    <s v="Puerto Norte"/>
    <s v="Propia (Único Asesor)"/>
    <x v="1"/>
    <s v="Venta"/>
    <x v="6"/>
    <s v="Nordelta"/>
  </r>
  <r>
    <d v="2026-03-25T00:00:00"/>
    <x v="0"/>
    <x v="9"/>
    <s v="CLA7666000"/>
    <x v="0"/>
    <s v="Terreno en Venta en Las Chuñas, San Lorenzo Chico, Salta "/>
    <s v="Realizado"/>
    <s v="Cartel"/>
    <n v="85000"/>
    <x v="143"/>
    <x v="1"/>
    <s v="Dólares"/>
    <s v="Dólares"/>
    <s v="Las Chuñas, San Lorenzo Chico, Salta"/>
    <s v="Argentina | Salta | Capital | San Lorenzo Chico"/>
    <x v="1"/>
    <n v="2"/>
    <s v="Realty Group"/>
    <s v="Propia (Único Asesor)"/>
    <x v="1"/>
    <s v="Venta"/>
    <x v="4"/>
    <s v="San Lorenzo Chico"/>
  </r>
  <r>
    <d v="2026-03-31T00:00:00"/>
    <x v="0"/>
    <x v="9"/>
    <s v="CLA7331200"/>
    <x v="0"/>
    <s v="VENTA Lote de 1495m2 para construir hasta 448m2 EN BARRIO EXCLUSIVO CALFUCO - Villa la Angostura"/>
    <s v="Realizado"/>
    <s v="AR MercadoLibre"/>
    <n v="85000"/>
    <x v="143"/>
    <x v="1"/>
    <s v="Dólares"/>
    <s v="Dólares"/>
    <s v="Agua Azul al 100"/>
    <s v="Argentina | Neuquen | Villa La Angostura | Calfuco"/>
    <x v="1"/>
    <n v="2"/>
    <s v="Patagonia Lakes VLA"/>
    <s v="Propia (Único Asesor)"/>
    <x v="1"/>
    <s v="Venta"/>
    <x v="1"/>
    <s v="Villa La Angostura"/>
  </r>
  <r>
    <d v="2025-03-28T00:00:00"/>
    <x v="1"/>
    <x v="9"/>
    <s v="CBU60233 AP6878131"/>
    <x v="0"/>
    <s v="Venta Departamento Monoambiente vista al lago a 5 minutos del centro"/>
    <s v="Realizado"/>
    <s v="Teléfono"/>
    <n v="81750"/>
    <x v="144"/>
    <x v="1"/>
    <s v="Dólares"/>
    <s v="Dólares"/>
    <s v="Avenida Pioneros  al 2000"/>
    <s v="Argentina | Rio Negro | Bariloche | San Carlos De Bariloche | Centro"/>
    <x v="0"/>
    <n v="2"/>
    <s v="Patagonia Lakes BRC"/>
    <s v="Propia (Único Asesor)"/>
    <x v="1"/>
    <s v="Venta"/>
    <x v="7"/>
    <s v="Bariloche"/>
  </r>
  <r>
    <d v="2025-07-18T00:00:00"/>
    <x v="1"/>
    <x v="1"/>
    <s v="VBU61369 AP7141315"/>
    <x v="0"/>
    <s v="Venta Departamento en la mejor zona de Chacarita en Pozo Piso 3"/>
    <s v="Realizado"/>
    <s v="Referido"/>
    <n v="85500"/>
    <x v="145"/>
    <x v="1"/>
    <s v="Dólares"/>
    <s v="Dólares"/>
    <s v="Charlone  409"/>
    <s v="Argentina | Capital Federal | Chacarita "/>
    <x v="0"/>
    <n v="2"/>
    <s v="Space BA"/>
    <s v="Propia (Único Asesor)"/>
    <x v="1"/>
    <s v="Venta"/>
    <x v="3"/>
    <s v="Belgrano"/>
  </r>
  <r>
    <d v="2025-06-04T00:00:00"/>
    <x v="1"/>
    <x v="4"/>
    <s v="CAP7016675"/>
    <x v="0"/>
    <s v="Venta de departamento en Flores"/>
    <s v="Realizado"/>
    <s v="Salón"/>
    <n v="89000"/>
    <x v="146"/>
    <x v="1"/>
    <s v="Dólares"/>
    <s v="Local"/>
    <s v="CARABOBO 345"/>
    <s v="Argentina | Capital Federal | Flores | Flores Norte"/>
    <x v="0"/>
    <n v="2"/>
    <s v="Grupo Elite"/>
    <s v="Compartida en Oficina (Dos Asesores)"/>
    <x v="1"/>
    <s v="Venta"/>
    <x v="3"/>
    <s v="Puerto Madero"/>
  </r>
  <r>
    <d v="2025-07-23T00:00:00"/>
    <x v="1"/>
    <x v="1"/>
    <s v="LAPRIDA 1920"/>
    <x v="0"/>
    <s v="LAPRIDA 1920 PISO 8 "/>
    <s v="Realizado"/>
    <s v="AR ZonaProp"/>
    <n v="86000"/>
    <x v="146"/>
    <x v="1"/>
    <s v="Dólares"/>
    <s v="Dólares"/>
    <s v="LAPRIDA 1920, BUENOS AIRES "/>
    <s v="Argentina | G.B.A. Zona Norte | Vicente López | Olivos"/>
    <x v="2"/>
    <n v="1"/>
    <s v="Puerto Norte"/>
    <s v="Compartida Fuera de la Red Búsqueda"/>
    <x v="2"/>
    <s v="Venta"/>
    <x v="6"/>
    <s v="Nordelta"/>
  </r>
  <r>
    <d v="2025-02-10T00:00:00"/>
    <x v="1"/>
    <x v="0"/>
    <s v="CAP6393722"/>
    <x v="0"/>
    <s v="Departamento en  Villa Santa Rita"/>
    <s v="Realizado"/>
    <s v="AR ZonaProp"/>
    <n v="90000"/>
    <x v="146"/>
    <x v="1"/>
    <s v="Dólares"/>
    <s v="Dólares"/>
    <s v="Remedios Escalada de San Martín 2700 Villa Santa Rita Complejo Los Naranjos"/>
    <s v="Argentina | Capital Federal | Villa Santa Rita "/>
    <x v="0"/>
    <n v="2"/>
    <s v="Haka"/>
    <s v="Compartida Fuera de la Red Captación Propia"/>
    <x v="0"/>
    <s v="Venta"/>
    <x v="3"/>
    <s v="Núñez"/>
  </r>
  <r>
    <d v="2025-08-26T00:00:00"/>
    <x v="1"/>
    <x v="5"/>
    <s v="CBU59833 AP7179989"/>
    <x v="2"/>
    <s v="VENTA DEPARTAMENTO MONOAMBIENTE EN POZO SAAVEDRA"/>
    <s v="Realizado"/>
    <s v="AR ZonaProp"/>
    <n v="86000"/>
    <x v="146"/>
    <x v="1"/>
    <s v="Dólares"/>
    <s v="Dólares"/>
    <s v="Pinto  al 4200"/>
    <s v="Argentina | Capital Federal | Saavedra "/>
    <x v="0"/>
    <n v="2"/>
    <s v="Seniority"/>
    <s v="Master"/>
    <x v="1"/>
    <s v="Venta"/>
    <x v="3"/>
    <s v="Barrio Parque"/>
  </r>
  <r>
    <d v="2025-03-26T00:00:00"/>
    <x v="1"/>
    <x v="9"/>
    <s v="CAP6479440"/>
    <x v="0"/>
    <s v="VENTA DEPTO IDEAL TEMPORARIO - PALERMO HOLLYWOOD"/>
    <s v="Realizado"/>
    <s v="AR ZonaProp"/>
    <n v="88500"/>
    <x v="146"/>
    <x v="1"/>
    <s v="Dólares"/>
    <s v="Dólares"/>
    <s v="Nicaragua 5800 "/>
    <s v="Argentina | Capital Federal | Palermo | Palermo Hollywood"/>
    <x v="0"/>
    <n v="2"/>
    <s v="Seniority"/>
    <s v="Propia (Único Asesor)"/>
    <x v="1"/>
    <s v="Venta"/>
    <x v="3"/>
    <s v="Barrio Parque"/>
  </r>
  <r>
    <d v="2025-08-06T00:00:00"/>
    <x v="1"/>
    <x v="5"/>
    <s v="CAP6653096"/>
    <x v="0"/>
    <s v="Departamento 4 amb en Venta en Villa Adelina"/>
    <s v="Realizado"/>
    <s v="AR ZonaProp"/>
    <n v="94000"/>
    <x v="146"/>
    <x v="1"/>
    <s v="Dólares"/>
    <s v="Dólares"/>
    <s v="Venezuela  al 3100"/>
    <s v="Argentina | G.B.A. Zona Norte | Vicente López | Villa Martelli"/>
    <x v="0"/>
    <n v="2"/>
    <s v="Horizon Group"/>
    <s v="Propia (Único Asesor)"/>
    <x v="1"/>
    <s v="Venta"/>
    <x v="3"/>
    <s v="Núñez"/>
  </r>
  <r>
    <d v="2025-08-29T00:00:00"/>
    <x v="1"/>
    <x v="5"/>
    <s v="CAP7064229"/>
    <x v="0"/>
    <s v="Venta Departamento 2 ambientes en Villa Crespo"/>
    <s v="Realizado"/>
    <s v="AR ZonaProp"/>
    <n v="87000"/>
    <x v="146"/>
    <x v="1"/>
    <s v="Dólares"/>
    <s v="Dólares"/>
    <s v="Gurruchaga  al 600"/>
    <s v="Argentina | Capital Federal | Villa Crespo "/>
    <x v="0"/>
    <n v="2"/>
    <s v="Seniority Plus"/>
    <s v="Propia (Único Asesor)"/>
    <x v="1"/>
    <s v="Venta"/>
    <x v="3"/>
    <s v="Palermo"/>
  </r>
  <r>
    <d v="2026-03-27T00:00:00"/>
    <x v="0"/>
    <x v="9"/>
    <s v="CAP7658550"/>
    <x v="0"/>
    <s v="VENTA 3 AMB - VISTA ABIERTA - "/>
    <s v="Realizado"/>
    <s v="AR ZonaProp"/>
    <n v="89000"/>
    <x v="146"/>
    <x v="1"/>
    <s v="Dólares"/>
    <s v="Dólares"/>
    <s v="Presidente Peron  al 1600"/>
    <s v="Argentina | Capital Federal | San Nicolás "/>
    <x v="0"/>
    <n v="2"/>
    <s v="Destino II"/>
    <s v="Propia (Único Asesor)"/>
    <x v="1"/>
    <s v="Venta"/>
    <x v="3"/>
    <s v="Recoleta"/>
  </r>
  <r>
    <d v="2025-04-16T00:00:00"/>
    <x v="1"/>
    <x v="3"/>
    <s v="CAP6582362"/>
    <x v="0"/>
    <s v="Venta Departamento Monoambiente Apto turismo a 5 minutos del centro"/>
    <s v="Realizado"/>
    <s v="Salón"/>
    <n v="89856"/>
    <x v="147"/>
    <x v="1"/>
    <s v="Dólares"/>
    <s v="Dólares"/>
    <s v="Avenida Pioneros, San Carlos de Bariloche"/>
    <s v="Argentina | Rio Negro | Bariloche | San Carlos De Bariloche | Los Cipresales"/>
    <x v="0"/>
    <n v="2"/>
    <s v="Patagonia Lakes BRC"/>
    <s v="Compartida en Oficina (Dos Asesores)"/>
    <x v="1"/>
    <s v="Venta"/>
    <x v="7"/>
    <s v="Bariloche"/>
  </r>
  <r>
    <d v="2025-01-17T00:00:00"/>
    <x v="1"/>
    <x v="10"/>
    <s v="CAP6639397"/>
    <x v="0"/>
    <s v="VENTA monoambiente apto turismo, San Carlos de Bariloche"/>
    <s v="Realizado"/>
    <s v="Referido"/>
    <n v="88000"/>
    <x v="148"/>
    <x v="1"/>
    <s v="Dólares"/>
    <s v="Dólares"/>
    <s v="Centro, San Carlos de Bariloche"/>
    <s v="Argentina | Rio Negro | Bariloche | San Carlos De Bariloche | Centro"/>
    <x v="0"/>
    <n v="2"/>
    <s v="Patagonia Lakes BRC"/>
    <s v="Propia (Único Asesor)"/>
    <x v="1"/>
    <s v="Venta"/>
    <x v="7"/>
    <s v="Bariloche"/>
  </r>
  <r>
    <d v="2025-05-22T00:00:00"/>
    <x v="1"/>
    <x v="2"/>
    <n v="10364"/>
    <x v="0"/>
    <s v="thames 56 - 211"/>
    <s v="Realizado"/>
    <s v="AR ZonaProp"/>
    <n v="0"/>
    <x v="148"/>
    <x v="1"/>
    <s v="Dólares"/>
    <s v="Dólares"/>
    <m/>
    <s v="Argentina | Capital Federal | Flores "/>
    <x v="0"/>
    <n v="2"/>
    <s v="Seniority"/>
    <s v="Propia (Único Asesor)"/>
    <x v="1"/>
    <s v="Venta"/>
    <x v="3"/>
    <s v="Barrio Parque"/>
  </r>
  <r>
    <d v="2025-09-24T00:00:00"/>
    <x v="1"/>
    <x v="6"/>
    <s v="AAP7087411"/>
    <x v="0"/>
    <s v="Departamento en  Espacioso 3 Ambientes MUY FUNCIONAL Con generoso jardín AIRE SOL  PLANTAS"/>
    <s v="Realizado"/>
    <s v="AR ZonaProp"/>
    <n v="90000"/>
    <x v="148"/>
    <x v="1"/>
    <s v="Dólares"/>
    <s v="Dólares"/>
    <s v="Candelaria al 50"/>
    <s v="Argentina | Capital Federal | Floresta "/>
    <x v="0"/>
    <n v="2"/>
    <s v="Desiderio"/>
    <s v="Propia (Único Asesor)"/>
    <x v="1"/>
    <s v="Venta"/>
    <x v="3"/>
    <s v="Caballito"/>
  </r>
  <r>
    <d v="2025-07-17T00:00:00"/>
    <x v="1"/>
    <x v="1"/>
    <s v="520 HORIZONTES AL SUR"/>
    <x v="0"/>
    <s v="520 HORIZONTES AL SUR"/>
    <s v="Realizado"/>
    <s v="AR ZonaProp"/>
    <n v="86800"/>
    <x v="149"/>
    <x v="1"/>
    <s v="Dólares"/>
    <s v="Dólares"/>
    <m/>
    <s v="Argentina | G.B.A. Zona Sur | Presidente Peron | Guernica"/>
    <x v="1"/>
    <n v="2"/>
    <s v="Livello"/>
    <s v="Propia (Único Asesor)"/>
    <x v="1"/>
    <s v="Venta"/>
    <x v="3"/>
    <s v="Palermo"/>
  </r>
  <r>
    <d v="2025-02-12T00:00:00"/>
    <x v="1"/>
    <x v="0"/>
    <s v="Sebastian Gaboto 197"/>
    <x v="0"/>
    <s v="sebastian gaboto 197"/>
    <s v="Realizado"/>
    <s v="AR MercadoLibre"/>
    <n v="87000"/>
    <x v="150"/>
    <x v="1"/>
    <s v="Dólares"/>
    <s v="Dólares"/>
    <m/>
    <s v="Argentina | G.B.A. Zona Sur | Berazategui | Guillermo E Hudson"/>
    <x v="1"/>
    <n v="2"/>
    <s v="Livello"/>
    <s v="Compartida en Oficina (Dos Asesores)"/>
    <x v="1"/>
    <s v="Venta"/>
    <x v="3"/>
    <s v="Palermo"/>
  </r>
  <r>
    <d v="2025-06-25T00:00:00"/>
    <x v="1"/>
    <x v="4"/>
    <s v="CAP6910102"/>
    <x v="0"/>
    <s v="Departamento 2 ambientes en venta – Palermo Soho"/>
    <s v="Realizado"/>
    <s v="AR ZonaProp"/>
    <n v="90000"/>
    <x v="150"/>
    <x v="1"/>
    <s v="Dólares"/>
    <s v="Dólares"/>
    <s v="Malabia  al 2100"/>
    <s v="Argentina | Capital Federal | Palermo | Palermo Soho"/>
    <x v="0"/>
    <n v="2"/>
    <s v="Puerto Norte"/>
    <s v="Compartida en Oficina (Dos Asesores)"/>
    <x v="1"/>
    <s v="Venta"/>
    <x v="6"/>
    <s v="Nordelta"/>
  </r>
  <r>
    <d v="2025-04-22T00:00:00"/>
    <x v="1"/>
    <x v="3"/>
    <m/>
    <x v="0"/>
    <s v="Venta Departamento en Villa Urquiza"/>
    <s v="Realizado"/>
    <s v="AR EnBuenosAires"/>
    <n v="87000"/>
    <x v="150"/>
    <x v="1"/>
    <s v="Dólares"/>
    <s v="Dólares"/>
    <s v="Pedro Ignacio Rivera 3028 2D"/>
    <s v="Argentina | Capital Federal | Villa Urquiza "/>
    <x v="0"/>
    <n v="1"/>
    <s v="Space BA"/>
    <s v="Compartida Fuera de la Red Búsqueda"/>
    <x v="2"/>
    <s v="Venta"/>
    <x v="3"/>
    <s v="Belgrano"/>
  </r>
  <r>
    <d v="2025-10-08T00:00:00"/>
    <x v="1"/>
    <x v="11"/>
    <s v="N/C - JUNCAL 2151"/>
    <x v="0"/>
    <s v="VENTA DPTO MONO IMPECABLE"/>
    <s v="Realizado"/>
    <s v="AR ZonaProp"/>
    <n v="87000"/>
    <x v="150"/>
    <x v="1"/>
    <s v="Dólares"/>
    <s v="Dólares"/>
    <s v="JUNCAL 2151"/>
    <s v="Argentina | Capital Federal | Recoleta "/>
    <x v="0"/>
    <n v="1"/>
    <s v="Destino II"/>
    <s v="Compartida Fuera de la Red Búsqueda"/>
    <x v="2"/>
    <s v="Venta"/>
    <x v="3"/>
    <s v="Recoleta"/>
  </r>
  <r>
    <d v="2025-07-07T00:00:00"/>
    <x v="1"/>
    <x v="1"/>
    <s v="VAP6932663"/>
    <x v="0"/>
    <s v="Departamento Luminoso en Venta 2 Ambientes - Saavedra"/>
    <s v="Realizado"/>
    <s v="AR ZonaProp"/>
    <n v="89000"/>
    <x v="150"/>
    <x v="1"/>
    <s v="Dólares"/>
    <s v="Dólares"/>
    <s v="Crisologo Larralde  al 4300"/>
    <s v="Argentina | Capital Federal | Saavedra "/>
    <x v="0"/>
    <n v="2"/>
    <s v="Space BA"/>
    <s v="Compartida Fuera de la Red Captación Propia"/>
    <x v="0"/>
    <s v="Venta"/>
    <x v="3"/>
    <s v="Belgrano"/>
  </r>
  <r>
    <d v="2025-09-11T00:00:00"/>
    <x v="1"/>
    <x v="6"/>
    <s v="CAP6935848"/>
    <x v="0"/>
    <s v="Venta Departamento 3 ambientes con 2 Patios en Flores"/>
    <s v="Realizado"/>
    <s v="AR ZonaProp"/>
    <n v="94900"/>
    <x v="150"/>
    <x v="1"/>
    <s v="Dólares"/>
    <s v="Dólares"/>
    <s v="Av. Rivadavia 7100"/>
    <s v="Argentina | Capital Federal | Flores "/>
    <x v="0"/>
    <n v="2"/>
    <s v="Haka"/>
    <s v="Compartida Fuera de la Red Captación Propia"/>
    <x v="0"/>
    <s v="Venta"/>
    <x v="3"/>
    <s v="Núñez"/>
  </r>
  <r>
    <d v="2025-10-07T00:00:00"/>
    <x v="1"/>
    <x v="11"/>
    <s v="CPH7297272"/>
    <x v="0"/>
    <s v="Venta PH2 ambientes en Agronomía- Patio- Sin expensas- Apto crédito"/>
    <s v="Realizado"/>
    <s v="AR ZonaProp"/>
    <n v="92000"/>
    <x v="150"/>
    <x v="1"/>
    <s v="Dólares"/>
    <s v="Dólares"/>
    <s v="Asunción al 2200"/>
    <s v="Argentina | Capital Federal | Agronomia "/>
    <x v="3"/>
    <n v="2"/>
    <s v="Seniority"/>
    <s v="Compartida Fuera de la Red Captación Propia"/>
    <x v="0"/>
    <s v="Venta"/>
    <x v="3"/>
    <s v="Barrio Parque"/>
  </r>
  <r>
    <d v="2026-02-11T00:00:00"/>
    <x v="0"/>
    <x v="0"/>
    <s v="JAP7193820"/>
    <x v="0"/>
    <s v="Venta Departamento dos ambientes con cochera "/>
    <s v="Realizado"/>
    <s v="AR ZonaProp"/>
    <n v="87000"/>
    <x v="150"/>
    <x v="1"/>
    <s v="Dólares"/>
    <s v="Dólares"/>
    <s v="Av. Brasil al 2300"/>
    <s v="Argentina | Capital Federal | Parque Patricios "/>
    <x v="0"/>
    <n v="2"/>
    <s v="Lion Team Norte"/>
    <s v="Propia (Único Asesor)"/>
    <x v="1"/>
    <s v="Venta"/>
    <x v="6"/>
    <s v="Vicente López"/>
  </r>
  <r>
    <d v="2026-02-27T00:00:00"/>
    <x v="0"/>
    <x v="0"/>
    <s v="CAP7557789"/>
    <x v="0"/>
    <s v="AV. CORRIENTES Y MONTEVIDEO. TODO SOL!!! EXCELENTE UBICACIÓN!!!"/>
    <s v="Realizado"/>
    <s v="AR ZonaProp"/>
    <n v="93000"/>
    <x v="150"/>
    <x v="1"/>
    <s v="Dólares"/>
    <s v="Dólares"/>
    <s v="Av. Corrientes  al 1500"/>
    <s v="Argentina | Capital Federal | San Nicolás "/>
    <x v="0"/>
    <n v="2"/>
    <s v="Destino"/>
    <s v="Propia (Único Asesor)"/>
    <x v="1"/>
    <s v="Venta"/>
    <x v="3"/>
    <s v="Recoleta"/>
  </r>
  <r>
    <d v="2025-11-18T00:00:00"/>
    <x v="1"/>
    <x v="7"/>
    <s v="VAP6914454"/>
    <x v="0"/>
    <s v="VENTA APTO CREDITO- DPTO 2 AMB KM 42 PILAR."/>
    <s v="Realizado"/>
    <s v="AR ZonaProp"/>
    <n v="95000"/>
    <x v="151"/>
    <x v="1"/>
    <s v="Dólares"/>
    <s v="Dólares"/>
    <s v="Departamento en Venta 2 amb en planta baja APTO CREDITO, Las Campanillas al 1500"/>
    <s v="Argentina | G.B.A. Zona Norte | Pilar | HI 42.5"/>
    <x v="0"/>
    <n v="2"/>
    <s v="Puerto Norte"/>
    <s v="Compartida en Oficina (Dos Asesores)"/>
    <x v="1"/>
    <s v="Venta"/>
    <x v="6"/>
    <s v="Nordelta"/>
  </r>
  <r>
    <d v="2025-09-03T00:00:00"/>
    <x v="1"/>
    <x v="6"/>
    <s v="CAP7232048"/>
    <x v="0"/>
    <s v="Departamento en venta - 1 dormitorio CON COCHERA en 38 e/ 15 y 16, La Plata"/>
    <s v="Realizado"/>
    <s v="AR ZonaProp"/>
    <n v="87500"/>
    <x v="151"/>
    <x v="1"/>
    <s v="Dólares"/>
    <s v="Dólares"/>
    <s v="38 e/ 15 y 16 La Plata"/>
    <s v="Argentina | G.B.A. Zona Sur | La Plata | La Plata"/>
    <x v="0"/>
    <n v="2"/>
    <s v="Golden Team"/>
    <s v="Propia (Único Asesor)"/>
    <x v="1"/>
    <s v="Venta"/>
    <x v="0"/>
    <s v="La Plata"/>
  </r>
  <r>
    <d v="2026-02-12T00:00:00"/>
    <x v="0"/>
    <x v="0"/>
    <s v="Nazarre 2524"/>
    <x v="0"/>
    <s v="Nazarre 2524"/>
    <s v="Realizado"/>
    <s v="AR MercadoLibre"/>
    <n v="175000"/>
    <x v="151"/>
    <x v="1"/>
    <s v="Dólares"/>
    <s v="Dólares"/>
    <s v="Nazarre 2524"/>
    <s v="Argentina | Capital Federal | Capital Federal "/>
    <x v="0"/>
    <n v="2"/>
    <s v="Lion Team"/>
    <s v="Propia (Único Asesor)"/>
    <x v="1"/>
    <s v="Venta"/>
    <x v="3"/>
    <s v="Villa Urquiza"/>
  </r>
  <r>
    <d v="2025-05-13T00:00:00"/>
    <x v="1"/>
    <x v="2"/>
    <s v="DeLosCerastios891"/>
    <x v="0"/>
    <s v="De Los Cerastios 891"/>
    <s v="Realizado"/>
    <s v="Teléfono"/>
    <n v="88000"/>
    <x v="152"/>
    <x v="1"/>
    <s v="Dólares"/>
    <s v="Dólares"/>
    <s v="De Los Cerastios 891"/>
    <s v="Argentina | Rio Negro | Bariloche | San Carlos De Bariloche"/>
    <x v="1"/>
    <n v="1"/>
    <s v="Patagonia Lakes BRC"/>
    <s v="(Interior) Compartida Fuera de la Red Búsqueda"/>
    <x v="2"/>
    <s v="Venta"/>
    <x v="7"/>
    <s v="Bariloche"/>
  </r>
  <r>
    <d v="2025-08-22T00:00:00"/>
    <x v="1"/>
    <x v="5"/>
    <s v="CHO7033975"/>
    <x v="0"/>
    <s v="Casa en Guadalupe oeste con gran terreno"/>
    <s v="Realizado"/>
    <s v="Conocido"/>
    <n v="89000"/>
    <x v="152"/>
    <x v="1"/>
    <s v="Dólares"/>
    <s v="Dólares"/>
    <s v="Propiedad con doble vivienda, terreno de grandes dimensiones y todos los servicios, en Guadalupe"/>
    <s v="Argentina | Santa Fe | La Capital | Santa Fe | Guadalupe"/>
    <x v="2"/>
    <n v="1"/>
    <s v="De la Veracruz"/>
    <s v="(Interior) Compartida Fuera de la Red Captación Propia"/>
    <x v="0"/>
    <s v="Venta"/>
    <x v="5"/>
    <s v="Capital Santa Fe"/>
  </r>
  <r>
    <d v="2025-09-22T00:00:00"/>
    <x v="1"/>
    <x v="6"/>
    <s v="CAP6976542"/>
    <x v="0"/>
    <s v="VENTA DEPARTAMENTO ZONA CENTRO NQN"/>
    <s v="Realizado"/>
    <s v="AR ZonaProp"/>
    <n v="93000"/>
    <x v="152"/>
    <x v="1"/>
    <s v="Dólares"/>
    <s v="Dólares"/>
    <s v="Salta  al 400"/>
    <s v="Argentina | Neuquen | Capital | Área Centro Oeste"/>
    <x v="0"/>
    <n v="1"/>
    <s v="Sensus"/>
    <s v="(Interior) Compartida Fuera de la Red Captación Propia"/>
    <x v="0"/>
    <s v="Venta"/>
    <x v="1"/>
    <s v="Capital Neuquén"/>
  </r>
  <r>
    <d v="2026-02-06T00:00:00"/>
    <x v="0"/>
    <x v="0"/>
    <s v="CAP7128899"/>
    <x v="0"/>
    <s v="Venta departamento mendoza"/>
    <s v="Realizado"/>
    <s v="AR ZonaProp"/>
    <n v="90000"/>
    <x v="152"/>
    <x v="1"/>
    <s v="Dólares"/>
    <s v="Dólares"/>
    <s v="San Martin al 100"/>
    <s v="Argentina | Mendoza | Godoy Cruz "/>
    <x v="0"/>
    <n v="1"/>
    <s v="Cuyo Real"/>
    <s v="(Interior) Compartida Fuera de la Red Captación Propia"/>
    <x v="0"/>
    <s v="Venta"/>
    <x v="2"/>
    <s v="Capital Mendoza"/>
  </r>
  <r>
    <d v="2025-10-15T00:00:00"/>
    <x v="1"/>
    <x v="11"/>
    <s v="CAP6172214"/>
    <x v="0"/>
    <s v="Venta - Departamento - 2 Ambientes - Reciclado - Belgrano - Permuta - Apto Credito"/>
    <s v="Realizado"/>
    <s v="AR ArgenProp"/>
    <n v="92000"/>
    <x v="152"/>
    <x v="1"/>
    <s v="Dólares"/>
    <s v="Dólares"/>
    <s v="Cramer 2000"/>
    <s v="Argentina | Capital Federal | Belgrano "/>
    <x v="0"/>
    <n v="2"/>
    <s v="Lion Team"/>
    <s v="Compartida en Oficina (Dos Asesores)"/>
    <x v="1"/>
    <s v="Venta"/>
    <x v="3"/>
    <s v="Villa Urquiza"/>
  </r>
  <r>
    <d v="2026-02-27T00:00:00"/>
    <x v="0"/>
    <x v="0"/>
    <s v="Neuquén 871"/>
    <x v="0"/>
    <s v="Neuquén 871"/>
    <s v="Realizado"/>
    <s v="AR ZonaProp"/>
    <n v="88000"/>
    <x v="152"/>
    <x v="1"/>
    <s v="Dólares"/>
    <s v="Dólares"/>
    <s v="Neuquén 871"/>
    <s v="Argentina | G.B.A. Zona Norte | Vicente López | La Lucila"/>
    <x v="2"/>
    <n v="2"/>
    <s v="Lion Team"/>
    <s v="Compartida en Oficina (Dos Asesores)"/>
    <x v="1"/>
    <s v="Venta"/>
    <x v="3"/>
    <s v="Villa Urquiza"/>
  </r>
  <r>
    <d v="2025-07-04T00:00:00"/>
    <x v="1"/>
    <x v="1"/>
    <s v="NC - AUSTRIA 2272"/>
    <x v="0"/>
    <s v="VENTA MONOAMBIENTE RECOLETA"/>
    <s v="Realizado"/>
    <s v="AR ZonaProp"/>
    <n v="88000"/>
    <x v="152"/>
    <x v="1"/>
    <s v="Dólares"/>
    <s v="Dólares"/>
    <s v="AUSTRIA 2272"/>
    <s v="Argentina | Capital Federal | Recoleta "/>
    <x v="0"/>
    <n v="1"/>
    <s v="Destino II"/>
    <s v="Compartida Fuera de la Red Búsqueda"/>
    <x v="2"/>
    <s v="Venta"/>
    <x v="3"/>
    <s v="Recoleta"/>
  </r>
  <r>
    <d v="2025-08-21T00:00:00"/>
    <x v="1"/>
    <x v="5"/>
    <s v="VAP6047632"/>
    <x v="0"/>
    <s v="Venta Monoambiente con Balcón en Palermo Soho, Amenities. A estrenar"/>
    <s v="Realizado"/>
    <s v="AR ZonaProp"/>
    <n v="95000"/>
    <x v="152"/>
    <x v="1"/>
    <s v="Dólares"/>
    <s v="Dólares"/>
    <s v="Fray Justo SM de Oro al 2300"/>
    <s v="Argentina | Capital Federal | Palermo | Palermo Soho"/>
    <x v="0"/>
    <n v="1"/>
    <s v="Space BA"/>
    <s v="Compartida Fuera de la Red Búsqueda"/>
    <x v="2"/>
    <s v="Venta"/>
    <x v="3"/>
    <s v="Belgrano"/>
  </r>
  <r>
    <d v="2025-11-05T00:00:00"/>
    <x v="1"/>
    <x v="7"/>
    <s v="N/C - AV SANTA FE 2630"/>
    <x v="0"/>
    <s v="VENTA MONOAMBIENTE EN RECOLETA C BALCON"/>
    <s v="Realizado"/>
    <s v="AR ZonaProp"/>
    <n v="88000"/>
    <x v="152"/>
    <x v="1"/>
    <s v="Dólares"/>
    <s v="Dólares"/>
    <s v="AV SANTA FE 2630"/>
    <s v="Argentina | Capital Federal | Recoleta "/>
    <x v="0"/>
    <n v="1"/>
    <s v="Destino II"/>
    <s v="Compartida Fuera de la Red Búsqueda"/>
    <x v="2"/>
    <s v="Venta"/>
    <x v="3"/>
    <s v="Recoleta"/>
  </r>
  <r>
    <d v="2025-06-03T00:00:00"/>
    <x v="1"/>
    <x v="4"/>
    <s v="CAP6937227"/>
    <x v="0"/>
    <s v="Departamento en  HERMOSO DEPARTAMENTO EN MAR DEL PLATA"/>
    <s v="Realizado"/>
    <s v="AR ZonaProp"/>
    <n v="95000"/>
    <x v="152"/>
    <x v="1"/>
    <s v="Dólares"/>
    <s v="Dólares"/>
    <s v="CARLOS ALVEAR  al 4700"/>
    <s v="Argentina | Costa Atlantica | Mar Del Plata "/>
    <x v="0"/>
    <n v="2"/>
    <s v="Boutique"/>
    <s v="Compartida Fuera de la Red Captación Propia"/>
    <x v="0"/>
    <s v="Venta"/>
    <x v="0"/>
    <s v="Canning"/>
  </r>
  <r>
    <d v="2026-03-19T00:00:00"/>
    <x v="0"/>
    <x v="9"/>
    <s v="CAP7560010"/>
    <x v="0"/>
    <s v="Departamento Venta en Villa Urquiza"/>
    <s v="Realizado"/>
    <s v="AR ZonaProp"/>
    <n v="92000"/>
    <x v="152"/>
    <x v="1"/>
    <s v="Dólares"/>
    <s v="Dólares"/>
    <s v="Gamarra  al 1800"/>
    <s v="Argentina | Capital Federal | Villa Urquiza "/>
    <x v="0"/>
    <n v="2"/>
    <s v="Ser"/>
    <s v="Compartida Fuera de la Red Captación Propia"/>
    <x v="0"/>
    <s v="Venta"/>
    <x v="3"/>
    <s v="Belgrano"/>
  </r>
  <r>
    <d v="2025-01-10T00:00:00"/>
    <x v="1"/>
    <x v="10"/>
    <m/>
    <x v="0"/>
    <s v="PARANA 3296"/>
    <s v="Realizado"/>
    <s v="AR ZonaProp"/>
    <n v="88000"/>
    <x v="152"/>
    <x v="1"/>
    <s v="Dólares"/>
    <s v="Dólares"/>
    <s v="PARANA 3296"/>
    <s v="Argentina | G.B.A. Zona Norte | Vicente López | Olivos"/>
    <x v="2"/>
    <n v="2"/>
    <s v="Lion Team Norte"/>
    <s v="Propia (Único Asesor)"/>
    <x v="1"/>
    <s v="Venta"/>
    <x v="6"/>
    <s v="Vicente López"/>
  </r>
  <r>
    <d v="2025-01-30T00:00:00"/>
    <x v="1"/>
    <x v="10"/>
    <s v="Altos de Podesta - Manzana 25 Casa 16"/>
    <x v="0"/>
    <s v="Altos de Podesta - Manzana 25 Casa 16"/>
    <s v="Realizado"/>
    <s v="AR MercadoLibre"/>
    <n v="88000"/>
    <x v="152"/>
    <x v="1"/>
    <s v="Dólares"/>
    <s v="Dólares"/>
    <s v="Altos de Podesta - Manzana 25 Casa 16"/>
    <s v="Argentina | Capital Federal | Capital Federal "/>
    <x v="2"/>
    <n v="2"/>
    <s v="Lion Team"/>
    <s v="Propia (Único Asesor)"/>
    <x v="1"/>
    <s v="Venta"/>
    <x v="3"/>
    <s v="Villa Urquiza"/>
  </r>
  <r>
    <d v="2025-02-28T00:00:00"/>
    <x v="1"/>
    <x v="0"/>
    <s v="Riobamba 128"/>
    <x v="0"/>
    <s v="Riobamba 128"/>
    <s v="Realizado"/>
    <s v="AR ArgenProp"/>
    <n v="88000"/>
    <x v="152"/>
    <x v="1"/>
    <s v="Dólares"/>
    <s v="Dólares"/>
    <s v="Riobamba 128"/>
    <s v="Argentina | G.B.A. Zona Sur | Lanús "/>
    <x v="0"/>
    <n v="2"/>
    <s v="Lion Team"/>
    <s v="Propia (Único Asesor)"/>
    <x v="1"/>
    <s v="Venta"/>
    <x v="3"/>
    <s v="Villa Urquiza"/>
  </r>
  <r>
    <d v="2025-04-11T00:00:00"/>
    <x v="1"/>
    <x v="3"/>
    <s v="CAP6757274"/>
    <x v="0"/>
    <s v=" DEPARTAMENTO 2 AMBIENTES DEPENDENCIA BALCON FRENTE"/>
    <s v="Realizado"/>
    <s v="AR ZonaProp"/>
    <n v="92000"/>
    <x v="152"/>
    <x v="1"/>
    <s v="Dólares"/>
    <s v="Dólares"/>
    <s v="Larrea 1026"/>
    <s v="Argentina | Capital Federal | Recoleta "/>
    <x v="0"/>
    <n v="2"/>
    <s v="Destino"/>
    <s v="Propia (Único Asesor)"/>
    <x v="1"/>
    <s v="Venta"/>
    <x v="3"/>
    <s v="Recoleta"/>
  </r>
  <r>
    <d v="2025-10-02T00:00:00"/>
    <x v="1"/>
    <x v="11"/>
    <s v="CAP7025344"/>
    <x v="0"/>
    <s v="VENTA MONOAMBIENTES EN VILLA URQUIZA BALCON AL FRENTE AMENITIES"/>
    <s v="Realizado"/>
    <s v="AR MercadoLibre"/>
    <n v="105000"/>
    <x v="152"/>
    <x v="1"/>
    <s v="Dólares"/>
    <s v="Dólares"/>
    <s v="Av Olazabal  al 5400"/>
    <s v="Argentina | Capital Federal | Villa Urquiza "/>
    <x v="0"/>
    <n v="2"/>
    <s v="Lion Team"/>
    <s v="Propia (Único Asesor)"/>
    <x v="1"/>
    <s v="Venta"/>
    <x v="3"/>
    <s v="Villa Urquiza"/>
  </r>
  <r>
    <d v="2025-10-21T00:00:00"/>
    <x v="1"/>
    <x v="11"/>
    <s v="JAP6999267"/>
    <x v="0"/>
    <s v="Departamento en  venta"/>
    <s v="Realizado"/>
    <s v="AR ZonaProp"/>
    <n v="89900"/>
    <x v="152"/>
    <x v="1"/>
    <s v="Dólares"/>
    <s v="Dólares"/>
    <s v="av. juan bautista alberdi 3292 "/>
    <s v="Argentina | Capital Federal | Floresta "/>
    <x v="0"/>
    <n v="2"/>
    <s v="Lion Team Norte"/>
    <s v="Propia (Único Asesor)"/>
    <x v="1"/>
    <s v="Venta"/>
    <x v="6"/>
    <s v="Vicente López"/>
  </r>
  <r>
    <d v="2025-12-01T00:00:00"/>
    <x v="1"/>
    <x v="8"/>
    <s v="CAP7128899"/>
    <x v="0"/>
    <s v="Venta departamento mendoza"/>
    <s v="Realizado"/>
    <s v="AR ZonaProp"/>
    <n v="90000"/>
    <x v="152"/>
    <x v="1"/>
    <s v="Dólares"/>
    <s v="Dólares"/>
    <s v="San Martin al 100"/>
    <s v="Argentina | Mendoza | Godoy Cruz "/>
    <x v="0"/>
    <n v="2"/>
    <s v="Cuyo Real"/>
    <s v="Propia (Único Asesor)"/>
    <x v="1"/>
    <s v="Venta"/>
    <x v="2"/>
    <s v="Capital Mendoza"/>
  </r>
  <r>
    <d v="2025-12-19T00:00:00"/>
    <x v="1"/>
    <x v="8"/>
    <s v="CHO6746457"/>
    <x v="0"/>
    <s v="Casa en  VENTA MATUS HOYOS BERMEJO"/>
    <s v="Realizado"/>
    <s v="AR ZonaProp"/>
    <n v="90000"/>
    <x v="152"/>
    <x v="1"/>
    <s v="Dólares"/>
    <s v="Dólares"/>
    <s v="MATUS HOYOS al 3800"/>
    <s v="Argentina | Mendoza | Guaymallen | Bermejo"/>
    <x v="2"/>
    <n v="2"/>
    <s v="Cuyo Real"/>
    <s v="Propia (Único Asesor)"/>
    <x v="1"/>
    <s v="Venta"/>
    <x v="2"/>
    <s v="Capital Mendoza"/>
  </r>
  <r>
    <d v="2025-05-08T00:00:00"/>
    <x v="1"/>
    <x v="2"/>
    <s v="CAP6582362"/>
    <x v="0"/>
    <s v="Venta Departamento Monoambiente Apto turismo a 5 minutos del centro"/>
    <s v="Realizado"/>
    <s v="Teléfono"/>
    <n v="89856"/>
    <x v="153"/>
    <x v="1"/>
    <s v="Dólares"/>
    <s v="Dólares"/>
    <s v="Avenida Pioneros, San Carlos de Bariloche"/>
    <s v="Argentina | Rio Negro | Bariloche | San Carlos De Bariloche | Los Cipresales"/>
    <x v="0"/>
    <n v="2"/>
    <s v="Patagonia Lakes BRC"/>
    <s v="Propia (Único Asesor)"/>
    <x v="1"/>
    <s v="Venta"/>
    <x v="7"/>
    <s v="Bariloche"/>
  </r>
  <r>
    <d v="2025-12-01T00:00:00"/>
    <x v="1"/>
    <x v="8"/>
    <s v="CLA7045623"/>
    <x v="0"/>
    <s v="Terreno en  venta en CHACRAS DE CORIA "/>
    <s v="Realizado"/>
    <s v="AR ZonaProp"/>
    <n v="90000"/>
    <x v="154"/>
    <x v="1"/>
    <s v="Dólares"/>
    <s v="Dólares"/>
    <s v="Pueyrredon  al 2700"/>
    <s v="Argentina | Mendoza | Lujan De Cuyo | Chacras De Coria"/>
    <x v="1"/>
    <n v="2"/>
    <s v="Cuyo Real"/>
    <s v="Propia (Único Asesor)"/>
    <x v="1"/>
    <s v="Venta"/>
    <x v="2"/>
    <s v="Capital Mendoza"/>
  </r>
  <r>
    <d v="2025-02-14T00:00:00"/>
    <x v="1"/>
    <x v="0"/>
    <s v="VCO59064 AP6619545"/>
    <x v="0"/>
    <s v="Departamento Financiado 3 AMB en Altos de Maschwitz"/>
    <s v="Realizado"/>
    <s v="AR ZonaProp"/>
    <n v="81645"/>
    <x v="155"/>
    <x v="1"/>
    <s v="Dólares"/>
    <s v="Dólares"/>
    <s v="Departamento Financiado 3 AMB en Altos de Maschwitz"/>
    <s v="Argentina | G.B.A. Zona Norte | Escobar | Ingeniero Maschwitz | Altos de Maschwitz"/>
    <x v="0"/>
    <n v="2"/>
    <s v="Puerto Norte"/>
    <s v="Compartida en Oficina (Dos Asesores)"/>
    <x v="1"/>
    <s v="Venta"/>
    <x v="6"/>
    <s v="Nordelta"/>
  </r>
  <r>
    <d v="2025-02-28T00:00:00"/>
    <x v="1"/>
    <x v="0"/>
    <s v="VCO59064 AP6431032"/>
    <x v="0"/>
    <s v="Departamento en Venta de Pozo - Altos de Maschwitz"/>
    <s v="Realizado"/>
    <s v="AR ZonaProp"/>
    <n v="85250"/>
    <x v="155"/>
    <x v="1"/>
    <s v="Dólares"/>
    <s v="Dólares"/>
    <s v="Altos de Maschwitz"/>
    <s v="Argentina | G.B.A. Zona Norte | Escobar | Ingeniero Maschwitz | Altos de Maschwitz"/>
    <x v="0"/>
    <n v="2"/>
    <s v="Puerto Norte"/>
    <s v="Compartida en Oficina (Dos Asesores)"/>
    <x v="1"/>
    <s v="Venta"/>
    <x v="6"/>
    <s v="Nordelta"/>
  </r>
  <r>
    <d v="2025-08-12T00:00:00"/>
    <x v="1"/>
    <x v="5"/>
    <s v="COB62330 OF7095791"/>
    <x v="0"/>
    <s v="Oficina en  Meet Pilar"/>
    <s v="Realizado"/>
    <s v="AR ZonaProp"/>
    <n v="76000"/>
    <x v="156"/>
    <x v="1"/>
    <s v="Dólares"/>
    <s v="Dólares"/>
    <s v="Oficina en Meet Pilar"/>
    <s v="Argentina | G.B.A. Zona Norte | Pilar | Pilar"/>
    <x v="6"/>
    <n v="2"/>
    <s v="Puerto Norte"/>
    <s v="Propia (Único Asesor)"/>
    <x v="1"/>
    <s v="Venta"/>
    <x v="6"/>
    <s v="Nordelta"/>
  </r>
  <r>
    <d v="2026-03-20T00:00:00"/>
    <x v="0"/>
    <x v="9"/>
    <s v="CHO7605356"/>
    <x v="0"/>
    <s v="Casa en venta ubicada en Barrio Mirasoles - Zona Norte - Salta"/>
    <s v="Realizado"/>
    <s v="Facebook"/>
    <n v="92500"/>
    <x v="157"/>
    <x v="1"/>
    <s v="Dólares"/>
    <s v="Dólares"/>
    <s v="Barrio Mirasoles "/>
    <s v="Argentina | Salta | Capital | Salta | Zona Norte"/>
    <x v="2"/>
    <n v="1"/>
    <s v="Realty Group"/>
    <s v="(Interior) Compartida Fuera de la Red Captación Propia"/>
    <x v="0"/>
    <s v="Venta"/>
    <x v="4"/>
    <s v="San Lorenzo Chico"/>
  </r>
  <r>
    <d v="2025-02-14T00:00:00"/>
    <x v="1"/>
    <x v="0"/>
    <s v="CAP6450767"/>
    <x v="0"/>
    <s v="Departamento en  VENTA 2 ambientes  VILLA URQUIZA  BALCON VISTA ABIERTA"/>
    <s v="Realizado"/>
    <s v="AR ZonaProp"/>
    <n v="95000"/>
    <x v="157"/>
    <x v="1"/>
    <s v="Dólares"/>
    <s v="Dólares"/>
    <s v="Av. Triunvirato al 3900"/>
    <s v="Argentina | Capital Federal | Villa Urquiza | Urquiza R"/>
    <x v="0"/>
    <n v="2"/>
    <s v="Lion Team"/>
    <s v="Compartida en Oficina (Dos Asesores)"/>
    <x v="1"/>
    <s v="Venta"/>
    <x v="3"/>
    <s v="Villa Urquiza"/>
  </r>
  <r>
    <d v="2025-03-06T00:00:00"/>
    <x v="1"/>
    <x v="9"/>
    <s v="CAP6695277"/>
    <x v="0"/>
    <s v="VENTA Depto 44m2 en P.Baja B Modulo 2, Pozo Amenities, Vista al Lago y cordillera, B° Las Balsas, Villa La Angostura"/>
    <s v="Realizado"/>
    <s v="Web Coldwell-Banker"/>
    <n v="92000"/>
    <x v="157"/>
    <x v="1"/>
    <s v="Dólares"/>
    <s v="Dólares"/>
    <s v="Calle Interna Feicuram"/>
    <s v="Argentina | Neuquen | Villa La Angostura | Las Balsas"/>
    <x v="0"/>
    <n v="2"/>
    <s v="Patagonia Lakes VLA"/>
    <s v="Compartida en Oficina (Dos Asesores)"/>
    <x v="1"/>
    <s v="Venta"/>
    <x v="1"/>
    <s v="Villa La Angostura"/>
  </r>
  <r>
    <d v="2026-01-14T00:00:00"/>
    <x v="0"/>
    <x v="10"/>
    <s v="IAP1229983"/>
    <x v="0"/>
    <s v="Oficina en amplio monoambiente luminoso - Estudio de la Bahia, Nordelta"/>
    <s v="Realizado"/>
    <s v="AR ZonaProp"/>
    <n v="155000"/>
    <x v="157"/>
    <x v="1"/>
    <s v="Dólares"/>
    <s v="Dólares"/>
    <s v="Nordelta"/>
    <s v="Argentina | G.B.A. Zona Norte | Tigre | Countries/B.Cerrado (Tigre) | Nordelta | Bahia Grande | Estudio de la Bahia"/>
    <x v="6"/>
    <n v="2"/>
    <s v="Puerto Norte"/>
    <s v="Compartida en Oficina (Dos Asesores)"/>
    <x v="1"/>
    <s v="Venta"/>
    <x v="6"/>
    <s v="Nordelta"/>
  </r>
  <r>
    <d v="2025-04-30T00:00:00"/>
    <x v="1"/>
    <x v="3"/>
    <s v="CAP2991515"/>
    <x v="0"/>
    <s v="Venta Departamento 2 ambientes en Tigre con cochera. Hermoso complejo! Oportunidad!!!"/>
    <s v="Realizado"/>
    <s v="AR ZonaProp"/>
    <n v="89000"/>
    <x v="157"/>
    <x v="1"/>
    <s v="Dólares"/>
    <s v="Dólares"/>
    <s v="montevideo al 1300"/>
    <s v="Argentina | G.B.A. Zona Norte | Tigre "/>
    <x v="0"/>
    <n v="2"/>
    <s v="Seniority"/>
    <s v="Propia (Único Asesor)"/>
    <x v="1"/>
    <s v="Venta"/>
    <x v="3"/>
    <s v="Barrio Parque"/>
  </r>
  <r>
    <d v="2025-05-23T00:00:00"/>
    <x v="1"/>
    <x v="2"/>
    <s v="CPH6150401"/>
    <x v="0"/>
    <s v="VENTA PH 3 AMBIENTES PATIO JARDIN TERRAZA PB VILLA BALLESTER"/>
    <s v="Realizado"/>
    <s v="AR ArgenProp"/>
    <n v="71900"/>
    <x v="157"/>
    <x v="1"/>
    <s v="Dólares"/>
    <s v="Dólares"/>
    <s v="Junin al 3900"/>
    <s v="Argentina | G.B.A. Zona Norte | General San Martin | Villa Ballester"/>
    <x v="3"/>
    <n v="2"/>
    <s v="Lion Team"/>
    <s v="Propia (Único Asesor)"/>
    <x v="1"/>
    <s v="Venta"/>
    <x v="3"/>
    <s v="Villa Urquiza"/>
  </r>
  <r>
    <d v="2025-08-05T00:00:00"/>
    <x v="1"/>
    <x v="5"/>
    <s v="CHO6956087"/>
    <x v="0"/>
    <s v="Casa en  Via Aurelia"/>
    <s v="Realizado"/>
    <s v="Referido"/>
    <n v="95000"/>
    <x v="157"/>
    <x v="1"/>
    <s v="Dólares"/>
    <s v="Dólares"/>
    <s v="mza 16  18"/>
    <s v="Argentina | Salta | Capital | Salta"/>
    <x v="2"/>
    <n v="2"/>
    <s v="Realty Group"/>
    <s v="Propia (Único Asesor)"/>
    <x v="1"/>
    <s v="Venta"/>
    <x v="4"/>
    <s v="San Lorenzo Chico"/>
  </r>
  <r>
    <d v="2025-09-22T00:00:00"/>
    <x v="1"/>
    <x v="6"/>
    <s v="ARISTOBULO DEL VALLE"/>
    <x v="0"/>
    <s v="ARISTOBULO DEL VALLE"/>
    <s v="Realizado"/>
    <s v="AR MercadoLibre"/>
    <n v="89000"/>
    <x v="157"/>
    <x v="1"/>
    <s v="Dólares"/>
    <s v="Dólares"/>
    <s v="ARISTOBULO DEL VALLE 2642"/>
    <s v="Argentina | G.B.A. Zona Norte | Vicente López | Barrio Vicente López"/>
    <x v="0"/>
    <n v="2"/>
    <s v="Puerto Norte"/>
    <s v="Propia (Único Asesor)"/>
    <x v="1"/>
    <s v="Venta"/>
    <x v="6"/>
    <s v="Nordelta"/>
  </r>
  <r>
    <d v="2026-02-26T00:00:00"/>
    <x v="0"/>
    <x v="0"/>
    <s v="CHO6966114"/>
    <x v="0"/>
    <s v="Casa 4 Ambientes en Venta en  Castelar"/>
    <s v="Realizado"/>
    <s v="AR ZonaProp"/>
    <n v="92000"/>
    <x v="157"/>
    <x v="1"/>
    <s v="Dólares"/>
    <s v="Dólares"/>
    <s v="Wenceslao Paunero  248"/>
    <s v="Argentina | G.B.A. Zona Oeste | Moron | Castelar"/>
    <x v="2"/>
    <n v="2"/>
    <s v="Audacity"/>
    <s v="Propia (Único Asesor)"/>
    <x v="1"/>
    <s v="Venta"/>
    <x v="9"/>
    <s v="Parque Leloir"/>
  </r>
  <r>
    <d v="2026-03-12T00:00:00"/>
    <x v="0"/>
    <x v="9"/>
    <s v="CAP7716553"/>
    <x v="0"/>
    <s v="Venta, Departamento, 2 ambientes, Balcón, a refaccionar, flipping, Recoleta, Palermo"/>
    <s v="Realizado"/>
    <s v="AR MercadoLibre"/>
    <n v="95000"/>
    <x v="157"/>
    <x v="1"/>
    <s v="Dólares"/>
    <s v="Dólares"/>
    <s v="Charcas al 3100"/>
    <s v="Argentina | Capital Federal | Recoleta "/>
    <x v="0"/>
    <n v="2"/>
    <s v="Lion Team"/>
    <s v="Propia (Único Asesor)"/>
    <x v="1"/>
    <s v="Venta"/>
    <x v="3"/>
    <s v="Villa Urquiza"/>
  </r>
  <r>
    <d v="2025-01-17T00:00:00"/>
    <x v="1"/>
    <x v="10"/>
    <s v="CBU60233 AP6592855"/>
    <x v="0"/>
    <s v="Venta Departamento Monoambiente Apto turismo a 5 minutos del centro"/>
    <s v="Realizado"/>
    <s v="Teléfono"/>
    <n v="84502"/>
    <x v="158"/>
    <x v="1"/>
    <s v="Dólares"/>
    <s v="Dólares"/>
    <s v="Avenida Pioneros, San Carlos de Bariloche"/>
    <s v="Argentina | Rio Negro | Bariloche | San Carlos De Bariloche | Centro"/>
    <x v="0"/>
    <n v="2"/>
    <s v="Patagonia Lakes BRC"/>
    <s v="Propia (Único Asesor)"/>
    <x v="1"/>
    <s v="Venta"/>
    <x v="7"/>
    <s v="Bariloche"/>
  </r>
  <r>
    <d v="2025-04-16T00:00:00"/>
    <x v="1"/>
    <x v="3"/>
    <s v="Ecuador 4770"/>
    <x v="0"/>
    <s v="Ecuador 4770"/>
    <s v="Realizado"/>
    <s v="AR ZonaProp"/>
    <n v="89900"/>
    <x v="159"/>
    <x v="1"/>
    <s v="Dólares"/>
    <s v="Dólares"/>
    <s v="Ecuador 4770"/>
    <s v="Argentina | G.B.A. Zona Norte | Pilar "/>
    <x v="2"/>
    <n v="2"/>
    <s v="Lion Team Norte"/>
    <s v="Propia (Único Asesor)"/>
    <x v="1"/>
    <s v="Venta"/>
    <x v="6"/>
    <s v="Vicente López"/>
  </r>
  <r>
    <d v="2025-02-03T00:00:00"/>
    <x v="1"/>
    <x v="0"/>
    <m/>
    <x v="0"/>
    <s v="Lote 1N de 950.12 M2 ubicado en loteo “jarama”, nomenclatura catastral (lote madre) 16-20-062-9693-0000, de la ciudad de Villa la Angostura,"/>
    <s v="Realizado"/>
    <s v="Conocido"/>
    <n v="90000"/>
    <x v="160"/>
    <x v="1"/>
    <s v="Dólares"/>
    <s v="Dólares"/>
    <s v="Libertad 200"/>
    <s v="Argentina | Neuquen | Villa La Angostura | Centro"/>
    <x v="1"/>
    <n v="1"/>
    <s v="Patagonia Lakes VLA"/>
    <s v="(Interior) Compartida Fuera de la Red Búsqueda"/>
    <x v="2"/>
    <s v="Venta"/>
    <x v="1"/>
    <s v="Villa La Angostura"/>
  </r>
  <r>
    <d v="2026-01-28T00:00:00"/>
    <x v="0"/>
    <x v="10"/>
    <m/>
    <x v="0"/>
    <s v="10-F/UF13 ubicado en Callejón de Bello al 300 SMA"/>
    <s v="Realizado"/>
    <s v="AR ArgenProp"/>
    <n v="90000"/>
    <x v="160"/>
    <x v="1"/>
    <s v="Dólares"/>
    <s v="Dólares"/>
    <m/>
    <s v="Argentina | Neuquen | Lacar | San Martin De Los Andes | Villa Vega San Martin"/>
    <x v="1"/>
    <n v="1"/>
    <s v="Patagonia Lakes SMA"/>
    <s v="(Interior) Compartida Fuera de la Red Búsqueda"/>
    <x v="2"/>
    <s v="Venta"/>
    <x v="1"/>
    <s v="San Martín de los Andes"/>
  </r>
  <r>
    <d v="2026-02-09T00:00:00"/>
    <x v="0"/>
    <x v="0"/>
    <s v="Colonia N-E"/>
    <x v="0"/>
    <s v="Terreno Colonia N-E"/>
    <s v="Realizado"/>
    <s v="Conocido"/>
    <n v="90000"/>
    <x v="160"/>
    <x v="1"/>
    <s v="Dólares"/>
    <s v="Dólares"/>
    <s v="Colonia Nueva Esperanza"/>
    <s v="Argentina | Neuquen | Confluencia | Neuquen"/>
    <x v="1"/>
    <n v="1"/>
    <s v="Sensus"/>
    <s v="(Interior) Compartida Fuera de la Red Búsqueda"/>
    <x v="2"/>
    <s v="Venta"/>
    <x v="1"/>
    <s v="Capital Neuquén"/>
  </r>
  <r>
    <d v="2025-06-03T00:00:00"/>
    <x v="1"/>
    <x v="4"/>
    <s v="CHO6928789"/>
    <x v="0"/>
    <s v="Casa con cochera y patio verde"/>
    <s v="Realizado"/>
    <s v="AR ZonaProp"/>
    <n v="120000"/>
    <x v="160"/>
    <x v="1"/>
    <s v="Dólares"/>
    <s v="Dólares"/>
    <s v="Llerena al 2900"/>
    <s v="Argentina | Santa Fe | La Capital | Santa Fe | Los Hornos"/>
    <x v="2"/>
    <n v="1"/>
    <s v="De la Veracruz"/>
    <s v="(Interior) Compartida Fuera de la Red Captación Propia"/>
    <x v="0"/>
    <s v="Venta"/>
    <x v="5"/>
    <s v="Capital Santa Fe"/>
  </r>
  <r>
    <d v="2025-07-11T00:00:00"/>
    <x v="1"/>
    <x v="1"/>
    <s v="CPN61101 LA6673384"/>
    <x v="0"/>
    <s v=" Lotes en Venta en Chacras De Coria"/>
    <s v="Realizado"/>
    <s v="Conocido"/>
    <n v="91000"/>
    <x v="160"/>
    <x v="1"/>
    <s v="Dólares"/>
    <s v="Dólares"/>
    <s v="Viamonte al 1000"/>
    <s v="Argentina | Mendoza | Lujan De Cuyo | Chacras De Coria"/>
    <x v="1"/>
    <n v="1"/>
    <s v="Cuyo Real"/>
    <s v="(Interior) Compartida Fuera de la Red Captación Propia"/>
    <x v="0"/>
    <s v="Venta"/>
    <x v="2"/>
    <s v="Capital Mendoza"/>
  </r>
  <r>
    <d v="2025-09-19T00:00:00"/>
    <x v="1"/>
    <x v="6"/>
    <s v="JAP6739888"/>
    <x v="0"/>
    <s v="Departamento - Venta - 3 ambientes - Balcon - Sum - Parrilla - Martin Coronado"/>
    <s v="Realizado"/>
    <s v="AR ZonaProp"/>
    <n v="90000"/>
    <x v="160"/>
    <x v="1"/>
    <s v="Dólares"/>
    <s v="Dólares"/>
    <s v="17 DE AGOSTO al 1600"/>
    <s v="Argentina | G.B.A. Zona Oeste | Tres De Febrero | Martin Coronado"/>
    <x v="0"/>
    <n v="1"/>
    <s v="Lion Team Norte"/>
    <s v="(Interior) Compartida Fuera de la Red Captación Propia"/>
    <x v="0"/>
    <s v="Venta"/>
    <x v="6"/>
    <s v="Vicente López"/>
  </r>
  <r>
    <d v="2025-01-24T00:00:00"/>
    <x v="1"/>
    <x v="10"/>
    <s v="CHO5741428"/>
    <x v="0"/>
    <s v="Casa en Barrio Sargento Cabral"/>
    <s v="Realizado"/>
    <s v="Conocido"/>
    <n v="99000"/>
    <x v="160"/>
    <x v="1"/>
    <s v="Dólares"/>
    <s v="Dólares"/>
    <s v="Sarmiento al 5300"/>
    <s v="Argentina | Santa Fe | La Capital | Santa Fe | Sargento Cabral"/>
    <x v="2"/>
    <n v="2"/>
    <s v="De la Veracruz"/>
    <s v="Compartida en Oficina (Dos Asesores)"/>
    <x v="1"/>
    <s v="Venta"/>
    <x v="5"/>
    <s v="Capital Santa Fe"/>
  </r>
  <r>
    <d v="2025-03-14T00:00:00"/>
    <x v="1"/>
    <x v="9"/>
    <s v="CAP6645198"/>
    <x v="0"/>
    <s v="Departamento Dos Dormitorios Neuquen Capital"/>
    <s v="Realizado"/>
    <s v="AR ZonaProp"/>
    <n v="90000"/>
    <x v="160"/>
    <x v="1"/>
    <s v="Dólares"/>
    <s v="Dólares"/>
    <s v="Rivadavia al 324"/>
    <s v="Argentina | Neuquen | Capital "/>
    <x v="0"/>
    <n v="2"/>
    <s v="Sensus"/>
    <s v="Compartida en Oficina (Dos Asesores)"/>
    <x v="1"/>
    <s v="Venta"/>
    <x v="1"/>
    <s v="Capital Neuquén"/>
  </r>
  <r>
    <d v="2025-06-19T00:00:00"/>
    <x v="1"/>
    <x v="4"/>
    <s v="CAP6080321"/>
    <x v="0"/>
    <s v="Departamento en venta, 2 ambientes, San Carlos de Bariloche"/>
    <s v="Realizado"/>
    <s v="Teléfono"/>
    <n v="97000"/>
    <x v="160"/>
    <x v="1"/>
    <s v="Dólares"/>
    <s v="Dólares"/>
    <s v="Centro, San Carlos de Bariloche"/>
    <s v="Argentina | Rio Negro | Bariloche | San Carlos De Bariloche | Centro"/>
    <x v="0"/>
    <n v="2"/>
    <s v="Patagonia Lakes BRC"/>
    <s v="Compartida en Oficina (Dos Asesores)"/>
    <x v="1"/>
    <s v="Venta"/>
    <x v="7"/>
    <s v="Bariloche"/>
  </r>
  <r>
    <d v="2025-06-24T00:00:00"/>
    <x v="1"/>
    <x v="4"/>
    <s v="CHO6247466"/>
    <x v="0"/>
    <s v="Casa en Tablada - 4 AMBIENTES - PARRILLA- GALERIA- COCHERA - LIVING COMEDOR- COCINA - PARQUE"/>
    <s v="Realizado"/>
    <s v="AR ZonaProp"/>
    <n v="110000"/>
    <x v="160"/>
    <x v="1"/>
    <s v="Dólares"/>
    <s v="Dólares"/>
    <s v="LIMAY al 200"/>
    <s v="Argentina | G.B.A. Zona Oeste | La Matanza | Tablada"/>
    <x v="2"/>
    <n v="2"/>
    <s v="Lion Team"/>
    <s v="Compartida en Oficina (Dos Asesores)"/>
    <x v="1"/>
    <s v="Venta"/>
    <x v="3"/>
    <s v="Villa Urquiza"/>
  </r>
  <r>
    <d v="2025-08-29T00:00:00"/>
    <x v="1"/>
    <x v="5"/>
    <s v="CHO6642413"/>
    <x v="0"/>
    <s v="Casa en  CABO DE HORNOS 2065 VILLA FARRELL"/>
    <s v="Realizado"/>
    <s v="Conocido"/>
    <n v="92000"/>
    <x v="160"/>
    <x v="1"/>
    <s v="Dólares"/>
    <s v="Dólares"/>
    <s v="CABO DE HORNOS al 2065 VILLA FARRELL"/>
    <s v="Argentina | Neuquen | Confluencia | Neuquen"/>
    <x v="2"/>
    <n v="2"/>
    <s v="Sensus"/>
    <s v="Compartida en Oficina (Dos Asesores)"/>
    <x v="1"/>
    <s v="Venta"/>
    <x v="1"/>
    <s v="Capital Neuquén"/>
  </r>
  <r>
    <d v="2025-09-18T00:00:00"/>
    <x v="1"/>
    <x v="6"/>
    <s v="CPH7173875"/>
    <x v="0"/>
    <s v="PH 3 AMBIENTES EN ALQUILER MUY LUMINOSO"/>
    <s v="Realizado"/>
    <s v="AR MercadoLibre"/>
    <n v="95000"/>
    <x v="160"/>
    <x v="1"/>
    <s v="Dólares"/>
    <s v="Dólares"/>
    <s v="Nuñez al 2100 "/>
    <s v="Argentina | Capital Federal | Nuñez "/>
    <x v="3"/>
    <n v="2"/>
    <s v="Lion Team"/>
    <s v="Compartida en Oficina (Dos Asesores)"/>
    <x v="1"/>
    <s v="Venta"/>
    <x v="3"/>
    <s v="Villa Urquiza"/>
  </r>
  <r>
    <d v="2026-02-24T00:00:00"/>
    <x v="0"/>
    <x v="0"/>
    <s v="CFA7300444"/>
    <x v="0"/>
    <s v="Finca en Andrade"/>
    <s v="Realizado"/>
    <s v="AR ZonaProp"/>
    <n v="95000"/>
    <x v="160"/>
    <x v="1"/>
    <s v="Dólares"/>
    <s v="Dólares"/>
    <s v="FRENTE A CALLE CHILECITO S/N"/>
    <s v="Argentina | Mendoza | Rivadavia | Andrade"/>
    <x v="5"/>
    <n v="2"/>
    <s v="Cuyo Real"/>
    <s v="Compartida en Oficina (Dos Asesores)"/>
    <x v="1"/>
    <s v="Venta"/>
    <x v="2"/>
    <s v="Capital Mendoza"/>
  </r>
  <r>
    <d v="2025-08-05T00:00:00"/>
    <x v="1"/>
    <x v="5"/>
    <s v="CAP7089014"/>
    <x v="0"/>
    <s v="Departamento en  VENTA 2 AMB en Barrancas Belgrano"/>
    <s v="Realizado"/>
    <s v="AR ZonaProp"/>
    <n v="95000"/>
    <x v="160"/>
    <x v="1"/>
    <s v="Dólares"/>
    <s v="Dólares"/>
    <s v="3 de Febrero Belgrano"/>
    <s v="Argentina | Capital Federal | Belgrano | Belgrano Barrancas"/>
    <x v="0"/>
    <n v="2"/>
    <s v="Puerto Norte"/>
    <s v="Compartida en Red (50%)"/>
    <x v="1"/>
    <s v="Venta"/>
    <x v="6"/>
    <s v="Nordelta"/>
  </r>
  <r>
    <d v="2025-08-26T00:00:00"/>
    <x v="1"/>
    <x v="5"/>
    <n v="10486"/>
    <x v="1"/>
    <s v="3 de febrero"/>
    <s v="Realizado"/>
    <s v="Web Coldwell-Banker"/>
    <n v="0"/>
    <x v="160"/>
    <x v="1"/>
    <s v="Dólares"/>
    <s v="Dólares"/>
    <m/>
    <s v="Argentina | Capital Federal | Belgrano "/>
    <x v="0"/>
    <n v="2"/>
    <s v="Seniority"/>
    <s v="Compartida en Red (50%)"/>
    <x v="1"/>
    <s v="Venta"/>
    <x v="3"/>
    <s v="Barrio Parque"/>
  </r>
  <r>
    <d v="2025-01-30T00:00:00"/>
    <x v="1"/>
    <x v="10"/>
    <s v="CHO6642786"/>
    <x v="0"/>
    <s v="Casa en venta en neuquen capital"/>
    <s v="Realizado"/>
    <s v="AR ZonaProp"/>
    <n v="100000"/>
    <x v="160"/>
    <x v="1"/>
    <s v="Dólares"/>
    <s v="Dólares"/>
    <s v="chocon  al 2000"/>
    <s v="Argentina | Neuquen | Confluencia | Neuquen"/>
    <x v="2"/>
    <n v="2"/>
    <s v="Sensus"/>
    <s v="Compartida Fuera de la Red Captación Propia"/>
    <x v="0"/>
    <s v="Venta"/>
    <x v="1"/>
    <s v="Capital Neuquén"/>
  </r>
  <r>
    <d v="2025-03-25T00:00:00"/>
    <x v="1"/>
    <x v="9"/>
    <s v="LARREA"/>
    <x v="0"/>
    <s v="LARREA 1021, CABA "/>
    <s v="Realizado"/>
    <s v="AR ZonaProp"/>
    <n v="90000"/>
    <x v="160"/>
    <x v="1"/>
    <s v="Dólares"/>
    <s v="Dólares"/>
    <s v="LARREA 1021"/>
    <s v="Argentina | Capital Federal | Recoleta "/>
    <x v="0"/>
    <n v="2"/>
    <s v="Puerto Norte"/>
    <s v="Compartida Fuera de la Red Captación Propia"/>
    <x v="0"/>
    <s v="Venta"/>
    <x v="6"/>
    <s v="Nordelta"/>
  </r>
  <r>
    <d v="2025-05-23T00:00:00"/>
    <x v="1"/>
    <x v="2"/>
    <s v="CLA6943463"/>
    <x v="0"/>
    <s v="TERRENO EN ZONA BUTACO"/>
    <s v="Realizado"/>
    <s v="AR ZonaProp"/>
    <n v="90000"/>
    <x v="160"/>
    <x v="1"/>
    <s v="Dólares"/>
    <s v="Dólares"/>
    <s v="SIN NOMBRE"/>
    <s v="Argentina | Neuquen | Capital | Confluencia Urbana"/>
    <x v="1"/>
    <n v="2"/>
    <s v="Sensus"/>
    <s v="Compartida Fuera de la Red Captación Propia"/>
    <x v="0"/>
    <s v="Venta"/>
    <x v="1"/>
    <s v="Capital Neuquén"/>
  </r>
  <r>
    <d v="2025-06-24T00:00:00"/>
    <x v="1"/>
    <x v="4"/>
    <n v="10420"/>
    <x v="0"/>
    <s v="thames 56 - dto 204"/>
    <s v="Realizado"/>
    <s v="AR ZonaProp"/>
    <n v="0"/>
    <x v="160"/>
    <x v="1"/>
    <s v="Dólares"/>
    <s v="Dólares"/>
    <m/>
    <s v="Argentina | Capital Federal | Flores | Flores Norte"/>
    <x v="0"/>
    <n v="2"/>
    <s v="Seniority"/>
    <s v="Compartida Fuera de la Red Captación Propia"/>
    <x v="0"/>
    <s v="Venta"/>
    <x v="3"/>
    <s v="Barrio Parque"/>
  </r>
  <r>
    <d v="2025-07-02T00:00:00"/>
    <x v="1"/>
    <x v="1"/>
    <s v="CAP6848011"/>
    <x v="0"/>
    <s v="DEPARTAMENTO MONOAMBIENTE EN VENTA EN LIBERTADOR 5700, BELGRNO. APTO CREDITO"/>
    <s v="Realizado"/>
    <s v="AR ZonaProp"/>
    <n v="94000"/>
    <x v="160"/>
    <x v="1"/>
    <s v="Dólares"/>
    <s v="Dólares"/>
    <s v="Av.Libertador 5700 RESERVADO"/>
    <s v="Argentina | Capital Federal | Belgrano | Belgrano Barrancas"/>
    <x v="0"/>
    <n v="2"/>
    <s v="Destino"/>
    <s v="Compartida Fuera de la Red Captación Propia"/>
    <x v="0"/>
    <s v="Venta"/>
    <x v="3"/>
    <s v="Recoleta"/>
  </r>
  <r>
    <d v="2025-11-25T00:00:00"/>
    <x v="1"/>
    <x v="7"/>
    <s v="CAP7321468"/>
    <x v="0"/>
    <s v="Venta monoambiente Belgrano a estrenar gran balcón"/>
    <s v="Realizado"/>
    <s v="AR ZonaProp"/>
    <n v="93900"/>
    <x v="160"/>
    <x v="1"/>
    <s v="Dólares"/>
    <s v="Dólares"/>
    <s v="Cespedes al 2200"/>
    <s v="Argentina | Capital Federal | Belgrano | Belgrano C"/>
    <x v="0"/>
    <n v="2"/>
    <s v="Seniority"/>
    <s v="Compartida Fuera de la Red Captación Propia"/>
    <x v="0"/>
    <s v="Venta"/>
    <x v="3"/>
    <s v="Barrio Parque"/>
  </r>
  <r>
    <d v="2025-12-19T00:00:00"/>
    <x v="1"/>
    <x v="8"/>
    <n v="10584"/>
    <x v="0"/>
    <s v="Aizpurúa 2661"/>
    <s v="Realizado"/>
    <s v="AR ZonaProp"/>
    <n v="90000"/>
    <x v="160"/>
    <x v="1"/>
    <s v="Dólares"/>
    <s v="Dólares"/>
    <s v="Aizpurúa 2661"/>
    <s v="Argentina | Capital Federal | Villa Urquiza "/>
    <x v="0"/>
    <n v="2"/>
    <s v="Seniority"/>
    <s v="Compartida Fuera de la Red Captación Propia"/>
    <x v="0"/>
    <s v="Venta"/>
    <x v="3"/>
    <s v="Barrio Parque"/>
  </r>
  <r>
    <d v="2025-01-13T00:00:00"/>
    <x v="1"/>
    <x v="10"/>
    <s v="CAP6681895"/>
    <x v="0"/>
    <s v="Venta Departamento en Pozo, 39m2, Barrio Belgrano"/>
    <s v="Realizado"/>
    <s v="Teléfono"/>
    <n v="90000"/>
    <x v="160"/>
    <x v="1"/>
    <s v="Dólares"/>
    <s v="Dólares"/>
    <s v="salta  al 300"/>
    <s v="Argentina | Rio Negro | Bariloche | San Carlos De Bariloche | Centro"/>
    <x v="0"/>
    <n v="2"/>
    <s v="Patagonia Lakes BRC"/>
    <s v="Propia (Único Asesor)"/>
    <x v="1"/>
    <s v="Venta"/>
    <x v="7"/>
    <s v="Bariloche"/>
  </r>
  <r>
    <d v="2025-04-25T00:00:00"/>
    <x v="1"/>
    <x v="3"/>
    <s v="CGA6794347"/>
    <x v="0"/>
    <s v="Cocheras Premium con Renta! Ideal Inversión."/>
    <s v="Realizado"/>
    <s v="AR ZonaProp"/>
    <n v="22000"/>
    <x v="160"/>
    <x v="1"/>
    <s v="Dólares"/>
    <s v="Dólares"/>
    <s v="Arenales al 3300"/>
    <s v="Argentina | Capital Federal | Palermo "/>
    <x v="8"/>
    <n v="2"/>
    <s v="Destino"/>
    <s v="Propia (Único Asesor)"/>
    <x v="1"/>
    <s v="Venta"/>
    <x v="3"/>
    <s v="Recoleta"/>
  </r>
  <r>
    <d v="2025-04-28T00:00:00"/>
    <x v="1"/>
    <x v="3"/>
    <s v="CHO6640419"/>
    <x v="0"/>
    <s v="Casa en  venta ubicada en Barrio San Carlos"/>
    <s v="Realizado"/>
    <s v="Conocido"/>
    <n v="95000"/>
    <x v="160"/>
    <x v="1"/>
    <s v="Dólares"/>
    <s v="Dólares"/>
    <s v="Barrio San Carlos"/>
    <s v="Argentina | Salta | Capital | Salta | Zona Sur"/>
    <x v="2"/>
    <n v="2"/>
    <s v="Realty Group"/>
    <s v="Propia (Único Asesor)"/>
    <x v="1"/>
    <s v="Venta"/>
    <x v="4"/>
    <s v="San Lorenzo Chico"/>
  </r>
  <r>
    <d v="2025-05-07T00:00:00"/>
    <x v="1"/>
    <x v="2"/>
    <s v="Av. Rivadavia 3521"/>
    <x v="0"/>
    <s v="Av. Rivadavia 3521"/>
    <s v="Realizado"/>
    <s v="AR ZonaProp"/>
    <n v="90000"/>
    <x v="160"/>
    <x v="1"/>
    <s v="Dólares"/>
    <s v="Dólares"/>
    <s v="Av. Rivadavia 3521"/>
    <s v="Argentina | Capital Federal | Capital Federal "/>
    <x v="0"/>
    <n v="2"/>
    <s v="Lion Team"/>
    <s v="Propia (Único Asesor)"/>
    <x v="1"/>
    <s v="Venta"/>
    <x v="3"/>
    <s v="Villa Urquiza"/>
  </r>
  <r>
    <d v="2025-05-30T00:00:00"/>
    <x v="1"/>
    <x v="2"/>
    <s v="CAP6673002"/>
    <x v="0"/>
    <s v="VENTA DEPARTAMENTO 2 AMBIENTES EN BELGRANO"/>
    <s v="Realizado"/>
    <s v="AR ZonaProp"/>
    <n v="95000"/>
    <x v="160"/>
    <x v="1"/>
    <s v="Dólares"/>
    <s v="Dólares"/>
    <s v="Av Cabildo  al 500"/>
    <s v="Argentina | Capital Federal | Belgrano "/>
    <x v="0"/>
    <n v="2"/>
    <s v="Seniority"/>
    <s v="Propia (Único Asesor)"/>
    <x v="1"/>
    <s v="Venta"/>
    <x v="3"/>
    <s v="Barrio Parque"/>
  </r>
  <r>
    <d v="2025-06-06T00:00:00"/>
    <x v="1"/>
    <x v="4"/>
    <s v="CAP6606963"/>
    <x v="0"/>
    <s v="Departamento en  Oportunidad Moron centro"/>
    <s v="Realizado"/>
    <s v="AR ZonaProp"/>
    <n v="89900"/>
    <x v="160"/>
    <x v="1"/>
    <s v="Dólares"/>
    <s v="Dólares"/>
    <s v="Boatti al 200"/>
    <s v="Argentina | G.B.A. Zona Oeste | Moron | Moron | Moron Sur"/>
    <x v="0"/>
    <n v="2"/>
    <s v="Lion Team"/>
    <s v="Propia (Único Asesor)"/>
    <x v="1"/>
    <s v="Venta"/>
    <x v="3"/>
    <s v="Villa Urquiza"/>
  </r>
  <r>
    <d v="2025-06-30T00:00:00"/>
    <x v="1"/>
    <x v="4"/>
    <s v="CHO6726295"/>
    <x v="0"/>
    <s v="Venta de Casa 4 ambientes en Country Club Medal, Pilar"/>
    <s v="Realizado"/>
    <s v="AR ZonaProp"/>
    <n v="134000"/>
    <x v="160"/>
    <x v="1"/>
    <s v="Dólares"/>
    <s v="Dólares"/>
    <s v="Country Club Medal al 200"/>
    <s v="Argentina | G.B.A. Zona Norte | Pilar | Countries/B.Cerrado (Pilar) | Medal Country club"/>
    <x v="2"/>
    <n v="2"/>
    <s v="Acqua"/>
    <s v="Propia (Único Asesor)"/>
    <x v="1"/>
    <s v="Venta"/>
    <x v="6"/>
    <s v="Pilar"/>
  </r>
  <r>
    <d v="2025-07-18T00:00:00"/>
    <x v="1"/>
    <x v="1"/>
    <s v="CAP6923268"/>
    <x v="0"/>
    <s v="VENTA DPTO. 2 AMBIENTES EN RECOLETA"/>
    <s v="Realizado"/>
    <s v="AR ZonaProp"/>
    <n v="95000"/>
    <x v="160"/>
    <x v="1"/>
    <s v="Dólares"/>
    <s v="Dólares"/>
    <s v="Av. Santa Fe  al 2000"/>
    <s v="Argentina | Capital Federal | Recoleta "/>
    <x v="0"/>
    <n v="2"/>
    <s v="Seniority"/>
    <s v="Propia (Único Asesor)"/>
    <x v="1"/>
    <s v="Venta"/>
    <x v="3"/>
    <s v="Barrio Parque"/>
  </r>
  <r>
    <d v="2025-09-16T00:00:00"/>
    <x v="1"/>
    <x v="6"/>
    <s v="CHO7269718"/>
    <x v="0"/>
    <s v="Casa en venta ubicada en Av. Delgadillo 918"/>
    <s v="Realizado"/>
    <s v="Cartel"/>
    <n v="100000"/>
    <x v="160"/>
    <x v="1"/>
    <s v="Dólares"/>
    <s v="Dólares"/>
    <s v="Av. Delgadillo 918"/>
    <s v="Argentina | Salta | Capital | Salta | Va.Constitución"/>
    <x v="2"/>
    <n v="2"/>
    <s v="Realty Group"/>
    <s v="Propia (Único Asesor)"/>
    <x v="1"/>
    <s v="Venta"/>
    <x v="4"/>
    <s v="San Lorenzo Chico"/>
  </r>
  <r>
    <d v="2025-09-17T00:00:00"/>
    <x v="1"/>
    <x v="6"/>
    <s v="CAP7165354"/>
    <x v="0"/>
    <s v="VENTA DEPARTAMENTO 2 AMBIENTES CON BALCÓN EN TRIBUNALES - EXCELENTE UBICACIÓN- APTO PROFESIONAL"/>
    <s v="Realizado"/>
    <s v="AR ZonaProp"/>
    <n v="92500"/>
    <x v="160"/>
    <x v="1"/>
    <s v="Dólares"/>
    <s v="Dólares"/>
    <s v="Talcahuano  al 800"/>
    <s v="Argentina | Capital Federal | Centro (Capital Federal) | Tribunales"/>
    <x v="0"/>
    <n v="2"/>
    <s v="Seniority"/>
    <s v="Propia (Único Asesor)"/>
    <x v="1"/>
    <s v="Venta"/>
    <x v="3"/>
    <s v="Barrio Parque"/>
  </r>
  <r>
    <d v="2025-10-22T00:00:00"/>
    <x v="1"/>
    <x v="11"/>
    <s v="CAP7225197"/>
    <x v="0"/>
    <s v="Venta departamento 2 habitaciones mendoza"/>
    <s v="Realizado"/>
    <s v="AR ZonaProp"/>
    <n v="90000"/>
    <x v="160"/>
    <x v="1"/>
    <s v="Dólares"/>
    <s v="Dólares"/>
    <s v="La plata  41"/>
    <s v="Argentina | Mendoza | Capital | Mendoza | Cuarta Sección"/>
    <x v="0"/>
    <n v="2"/>
    <s v="Cuyo Real"/>
    <s v="Propia (Único Asesor)"/>
    <x v="1"/>
    <s v="Venta"/>
    <x v="2"/>
    <s v="Capital Mendoza"/>
  </r>
  <r>
    <d v="2025-10-29T00:00:00"/>
    <x v="1"/>
    <x v="11"/>
    <s v="Lote comercial Lucas"/>
    <x v="0"/>
    <s v="Lote Comercial Lucas"/>
    <s v="Realizado"/>
    <s v="AR ZonaProp"/>
    <n v="92000"/>
    <x v="160"/>
    <x v="1"/>
    <s v="Dólares"/>
    <s v="Dólares"/>
    <m/>
    <s v="Argentina | Neuquen | Capital "/>
    <x v="1"/>
    <n v="2"/>
    <s v="Sensus"/>
    <s v="Propia (Único Asesor)"/>
    <x v="1"/>
    <s v="Venta"/>
    <x v="1"/>
    <s v="Capital Neuquén"/>
  </r>
  <r>
    <d v="2025-11-12T00:00:00"/>
    <x v="1"/>
    <x v="7"/>
    <s v="CHO6606669"/>
    <x v="0"/>
    <s v="Venta Casa 5 Ambientes en San Justo – Lote Propio – Apto Crédito"/>
    <s v="Realizado"/>
    <s v="AR ArgenProp"/>
    <n v="109900"/>
    <x v="160"/>
    <x v="1"/>
    <s v="Dólares"/>
    <s v="Dólares"/>
    <s v="Ambrosetti al 3200"/>
    <s v="Argentina | G.B.A. Zona Oeste | La Matanza | San Justo"/>
    <x v="2"/>
    <n v="2"/>
    <s v="Lion Team"/>
    <s v="Propia (Único Asesor)"/>
    <x v="1"/>
    <s v="Venta"/>
    <x v="3"/>
    <s v="Villa Urquiza"/>
  </r>
  <r>
    <d v="2025-12-01T00:00:00"/>
    <x v="1"/>
    <x v="8"/>
    <s v="CHO6731981"/>
    <x v="0"/>
    <s v="Casa esquina en Cuarta Sección"/>
    <s v="Realizado"/>
    <s v="AR ZonaProp"/>
    <n v="99000"/>
    <x v="160"/>
    <x v="1"/>
    <s v="Dólares"/>
    <s v="Dólares"/>
    <s v="SOLER al 600"/>
    <s v="Argentina | Mendoza | Capital | Mendoza | Cuarta Sección"/>
    <x v="2"/>
    <n v="2"/>
    <s v="Cuyo Real"/>
    <s v="Propia (Único Asesor)"/>
    <x v="1"/>
    <s v="Venta"/>
    <x v="2"/>
    <s v="Capital Mendoza"/>
  </r>
  <r>
    <d v="2025-12-09T00:00:00"/>
    <x v="1"/>
    <x v="8"/>
    <s v="CAP7407326"/>
    <x v="0"/>
    <s v="Venta de Ph en Boedo 3 Ambientes con terraza propia"/>
    <s v="Realizado"/>
    <s v="AR ZonaProp"/>
    <n v="98000"/>
    <x v="160"/>
    <x v="1"/>
    <s v="Dólares"/>
    <s v="Dólares"/>
    <s v="33 Orientales 1800"/>
    <s v="Argentina | Capital Federal | Boedo "/>
    <x v="0"/>
    <n v="2"/>
    <s v="Grupo Elite"/>
    <s v="Propia (Único Asesor)"/>
    <x v="1"/>
    <s v="Venta"/>
    <x v="3"/>
    <s v="Puerto Madero"/>
  </r>
  <r>
    <d v="2026-01-19T00:00:00"/>
    <x v="0"/>
    <x v="10"/>
    <s v="CLA7228259"/>
    <x v="0"/>
    <s v="Venta Terreno 177 M2 Oportunidad en Villa Martelli"/>
    <s v="Realizado"/>
    <s v="AR ZonaProp"/>
    <n v="99000"/>
    <x v="160"/>
    <x v="1"/>
    <s v="Dólares"/>
    <s v="Dólares"/>
    <s v="General Juan Lavalle  al 4500"/>
    <s v="Argentina | G.B.A. Zona Norte | Vicente López | Villa Martelli"/>
    <x v="1"/>
    <n v="2"/>
    <s v="Seniority Plus"/>
    <s v="Propia (Único Asesor)"/>
    <x v="1"/>
    <s v="Venta"/>
    <x v="3"/>
    <s v="Palermo"/>
  </r>
  <r>
    <d v="2026-03-11T00:00:00"/>
    <x v="0"/>
    <x v="9"/>
    <s v="CAP7409871"/>
    <x v="0"/>
    <s v="Departamento en Venta 3 ambientes en San Telmo"/>
    <s v="Realizado"/>
    <s v="AR MercadoLibre"/>
    <n v="90000"/>
    <x v="160"/>
    <x v="1"/>
    <s v="Dólares"/>
    <s v="Dólares"/>
    <s v="Peru al 1000"/>
    <s v="Argentina | Capital Federal | San Telmo "/>
    <x v="0"/>
    <n v="2"/>
    <s v="Wings"/>
    <s v="Propia (Único Asesor)"/>
    <x v="1"/>
    <s v="Venta"/>
    <x v="3"/>
    <s v="Núñez"/>
  </r>
  <r>
    <d v="2026-03-20T00:00:00"/>
    <x v="0"/>
    <x v="9"/>
    <s v="CAP7235748"/>
    <x v="0"/>
    <s v="Venta departamento dos ambientes en Caballito planta baja y patio"/>
    <s v="Realizado"/>
    <s v="AR MercadoLibre"/>
    <n v="94500"/>
    <x v="160"/>
    <x v="1"/>
    <s v="Dólares"/>
    <s v="Dólares"/>
    <s v="Av Angel Gallardo al 800"/>
    <s v="Argentina | Capital Federal | Caballito "/>
    <x v="0"/>
    <n v="2"/>
    <s v="Lion Team"/>
    <s v="Propia (Único Asesor)"/>
    <x v="1"/>
    <s v="Venta"/>
    <x v="3"/>
    <s v="Villa Urquiza"/>
  </r>
  <r>
    <d v="2026-03-25T00:00:00"/>
    <x v="0"/>
    <x v="9"/>
    <s v="VAP7779926"/>
    <x v="0"/>
    <s v="Departamento en venta de 3 ambientes con terraza propia en Villa Devoto"/>
    <s v="Realizado"/>
    <s v="AR ZonaProp"/>
    <n v="93000"/>
    <x v="160"/>
    <x v="1"/>
    <s v="Dólares"/>
    <s v="Dólares"/>
    <s v="Simbron  al 4300"/>
    <s v="Argentina | Capital Federal | Villa Devoto "/>
    <x v="0"/>
    <n v="2"/>
    <s v="Space BA"/>
    <s v="Propia (Único Asesor)"/>
    <x v="1"/>
    <s v="Venta"/>
    <x v="3"/>
    <s v="Belgrano"/>
  </r>
  <r>
    <d v="2026-03-30T00:00:00"/>
    <x v="0"/>
    <x v="9"/>
    <s v="CAP6681895"/>
    <x v="0"/>
    <s v="Venta Departamento en Pozo, 39m2, Barrio Belgrano"/>
    <s v="Realizado"/>
    <s v="Teléfono"/>
    <n v="90000"/>
    <x v="160"/>
    <x v="1"/>
    <s v="Dólares"/>
    <s v="Dólares"/>
    <s v="salta  al 300"/>
    <s v="Argentina | Rio Negro | Bariloche | San Carlos De Bariloche | Centro"/>
    <x v="0"/>
    <n v="2"/>
    <s v="Patagonia Lakes BRC"/>
    <s v="Propia (Único Asesor)"/>
    <x v="1"/>
    <s v="Venta"/>
    <x v="7"/>
    <s v="Bariloche"/>
  </r>
  <r>
    <d v="2025-05-28T00:00:00"/>
    <x v="1"/>
    <x v="2"/>
    <s v="CAP6607954"/>
    <x v="0"/>
    <s v="OPORTUNIDAD UNICA! Departamento apto vivienda para reciclar SUPER LUMINOSO!!!! "/>
    <s v="Realizado"/>
    <s v="AR ZonaProp"/>
    <n v="99000"/>
    <x v="161"/>
    <x v="1"/>
    <s v="Dólares"/>
    <s v="Dólares"/>
    <s v="Juan Domingo Peron  al 1100"/>
    <s v="Argentina | Capital Federal | Barrio Norte "/>
    <x v="0"/>
    <n v="2"/>
    <s v="Destino"/>
    <s v="Compartida Fuera de la Red Captación Propia"/>
    <x v="0"/>
    <s v="Venta"/>
    <x v="3"/>
    <s v="Recoleta"/>
  </r>
  <r>
    <d v="2025-01-30T00:00:00"/>
    <x v="1"/>
    <x v="10"/>
    <s v="CAP6446046"/>
    <x v="0"/>
    <s v="VENTA DEPARTAMENTO 2 AMBIENTES CON BALCÓN Y GARAGE -  LOMAS DE ZAMORA"/>
    <s v="Realizado"/>
    <s v="AR ZonaProp"/>
    <n v="99990"/>
    <x v="161"/>
    <x v="1"/>
    <s v="Dólares"/>
    <s v="Dólares"/>
    <s v="AVENIDA ALMIRANTE BROWN al 2200"/>
    <s v="Argentina | G.B.A. Zona Sur | Lomas De Zamora (Partido) | Lomas De Zamora | Lomas de Zamora Este"/>
    <x v="0"/>
    <n v="2"/>
    <s v="Seniority Plus"/>
    <s v="Propia (Único Asesor)"/>
    <x v="1"/>
    <s v="Venta"/>
    <x v="3"/>
    <s v="Palermo"/>
  </r>
  <r>
    <d v="2025-02-25T00:00:00"/>
    <x v="1"/>
    <x v="0"/>
    <s v="CAP6393286"/>
    <x v="0"/>
    <s v="VENTA 3 AMB A ESTRENAR PISCINA Y VISTA ABIERTA"/>
    <s v="Realizado"/>
    <s v="AR ZonaProp"/>
    <n v="108000"/>
    <x v="161"/>
    <x v="1"/>
    <s v="Dólares"/>
    <s v="Dólares"/>
    <s v="Av. Mitre al 4900"/>
    <s v="Argentina | G.B.A. Zona Sur | Avellaneda | Villa Dominico"/>
    <x v="0"/>
    <n v="2"/>
    <s v="Destino II"/>
    <s v="Propia (Único Asesor)"/>
    <x v="1"/>
    <s v="Venta"/>
    <x v="3"/>
    <s v="Recoleta"/>
  </r>
  <r>
    <d v="2025-06-04T00:00:00"/>
    <x v="1"/>
    <x v="4"/>
    <s v="CHO6717019"/>
    <x v="0"/>
    <s v="DUPLEX EN VENTA EN LOS PERALES"/>
    <s v="Realizado"/>
    <s v="Conocido"/>
    <n v="105000"/>
    <x v="161"/>
    <x v="1"/>
    <s v="Dólares"/>
    <s v="Dólares"/>
    <s v="Mza Pa8 L1 Uf2"/>
    <s v="Argentina | Jujuy | Dr Manuel Belgrano | San Salvador De Jujuy | Los Perales"/>
    <x v="2"/>
    <n v="2"/>
    <s v="Plaza"/>
    <s v="Propia (Único Asesor)"/>
    <x v="1"/>
    <s v="Venta"/>
    <x v="8"/>
    <s v="Capital Jujuy"/>
  </r>
  <r>
    <d v="2025-02-20T00:00:00"/>
    <x v="1"/>
    <x v="0"/>
    <s v="CAP6079787"/>
    <x v="0"/>
    <s v="VENTA monoambiente 33m2, vista al lago, Departamento centro Bariloche"/>
    <s v="Realizado"/>
    <s v="Teléfono"/>
    <n v="105000"/>
    <x v="162"/>
    <x v="1"/>
    <s v="Dólares"/>
    <s v="Dólares"/>
    <s v="Centro, San Carlos de Bariloche"/>
    <s v="Argentina | Rio Negro | Bariloche | San Carlos De Bariloche | Centro"/>
    <x v="0"/>
    <n v="2"/>
    <s v="Patagonia Lakes BRC"/>
    <s v="Compartida en Oficina (Dos Asesores)"/>
    <x v="1"/>
    <s v="Venta"/>
    <x v="7"/>
    <s v="Bariloche"/>
  </r>
  <r>
    <d v="2025-06-30T00:00:00"/>
    <x v="1"/>
    <x v="4"/>
    <s v="Mirko30062025"/>
    <x v="2"/>
    <s v="Balvanera Mirko Referido"/>
    <s v="Realizado"/>
    <s v="Referido"/>
    <n v="91500"/>
    <x v="162"/>
    <x v="1"/>
    <s v="Dólares"/>
    <s v="Dólares"/>
    <m/>
    <s v="Argentina | Capital Federal | Balvanera "/>
    <x v="0"/>
    <n v="2"/>
    <s v="Patagonia Lakes BRC"/>
    <s v="Master"/>
    <x v="1"/>
    <s v="Venta"/>
    <x v="7"/>
    <s v="Bariloche"/>
  </r>
  <r>
    <d v="2025-06-30T00:00:00"/>
    <x v="1"/>
    <x v="4"/>
    <s v="CAP6892421"/>
    <x v="0"/>
    <s v="VENTA Departamento 3 ambientes luminoso piso alto BALVANERA"/>
    <s v="Realizado"/>
    <s v="AR ArgenProp"/>
    <n v="93000"/>
    <x v="162"/>
    <x v="1"/>
    <s v="Dólares"/>
    <s v="Dólares"/>
    <s v="Matheu 100"/>
    <s v="Argentina | Capital Federal | Balvanera "/>
    <x v="0"/>
    <n v="2"/>
    <s v="Lion Team"/>
    <s v="Propia (Único Asesor)"/>
    <x v="1"/>
    <s v="Venta"/>
    <x v="3"/>
    <s v="Villa Urquiza"/>
  </r>
  <r>
    <d v="2025-10-22T00:00:00"/>
    <x v="1"/>
    <x v="11"/>
    <m/>
    <x v="0"/>
    <s v="DUPLEX 46 11 Y 12"/>
    <s v="Realizado"/>
    <s v="AR ZonaProp"/>
    <n v="92000"/>
    <x v="163"/>
    <x v="1"/>
    <s v="Dólares"/>
    <s v="Dólares"/>
    <m/>
    <m/>
    <x v="0"/>
    <n v="1"/>
    <s v="Golden Team"/>
    <s v="(Interior) Compartida Fuera de la Red Captación Propia"/>
    <x v="0"/>
    <s v="Venta"/>
    <x v="0"/>
    <s v="La Plata"/>
  </r>
  <r>
    <d v="2025-05-19T00:00:00"/>
    <x v="1"/>
    <x v="2"/>
    <s v="CAP6447747"/>
    <x v="0"/>
    <s v="Departamento en Venta en Caballito-2 Amb. Balcon todo al Frente -Excelente estado y ubicación !"/>
    <s v="Realizado"/>
    <s v="AR ZonaProp"/>
    <n v="99000"/>
    <x v="163"/>
    <x v="1"/>
    <s v="Dólares"/>
    <s v="Dólares"/>
    <s v="Av. Jose M. Moreno  al 500"/>
    <s v="Argentina | Capital Federal | Caballito | Caballito Norte"/>
    <x v="0"/>
    <n v="2"/>
    <s v="Lion Team"/>
    <s v="Compartida en Oficina (Dos Asesores)"/>
    <x v="1"/>
    <s v="Venta"/>
    <x v="3"/>
    <s v="Villa Urquiza"/>
  </r>
  <r>
    <d v="2025-07-24T00:00:00"/>
    <x v="1"/>
    <x v="1"/>
    <m/>
    <x v="0"/>
    <s v="Lote identificado como UF 4 – LOTE 9 – Manzana L Lote Pastoril 15 ubicado en Península Manzano, Villa La Angostura, Neuquén, nomenclatura catastral: 16-21-065-4914-0004, con superficie aproximada de 894,65"/>
    <s v="Realizado"/>
    <s v="AR MercadoLibre"/>
    <n v="92000"/>
    <x v="163"/>
    <x v="1"/>
    <s v="Dólares"/>
    <s v="Dólares"/>
    <s v="Los Robles"/>
    <s v="Argentina | Neuquen | Villa La Angostura | Peninsulas Del Pto.Manzano"/>
    <x v="1"/>
    <n v="2"/>
    <s v="Patagonia Lakes VLA"/>
    <s v="Compartida en Oficina (Dos Asesores)"/>
    <x v="1"/>
    <s v="Venta"/>
    <x v="1"/>
    <s v="Villa La Angostura"/>
  </r>
  <r>
    <d v="2025-07-18T00:00:00"/>
    <x v="1"/>
    <x v="1"/>
    <s v="CHO5643267"/>
    <x v="0"/>
    <s v="Venta de casaquinta en Barrio Los Viejos Ombues  Florencio Varela. OPORTUNIDAD"/>
    <s v="Realizado"/>
    <s v="AR ZonaProp"/>
    <n v="99000"/>
    <x v="163"/>
    <x v="1"/>
    <s v="Dólares"/>
    <s v="Dólares"/>
    <s v="CASA QUINTA EN VENTA EN FLORENCIO VARELA Bº CERRADO LOS VIEJOS OMBUES 1455"/>
    <s v="Argentina | G.B.A. Zona Sur | Florencio Varela | Villa Brown"/>
    <x v="2"/>
    <n v="1"/>
    <s v="Golden Team"/>
    <s v="Compartida Fuera de la Red Búsqueda"/>
    <x v="2"/>
    <s v="Venta"/>
    <x v="0"/>
    <s v="La Plata"/>
  </r>
  <r>
    <d v="2025-12-22T00:00:00"/>
    <x v="1"/>
    <x v="8"/>
    <n v="49"/>
    <x v="0"/>
    <s v="Venta Portela"/>
    <s v="Realizado"/>
    <s v="AR ZonaProp"/>
    <n v="92000"/>
    <x v="163"/>
    <x v="1"/>
    <s v="Dólares"/>
    <s v="Dólares"/>
    <s v="Portela 383"/>
    <m/>
    <x v="0"/>
    <n v="1"/>
    <s v="Grupo Elite"/>
    <s v="Compartida Fuera de la Red Búsqueda"/>
    <x v="2"/>
    <s v="Venta"/>
    <x v="3"/>
    <s v="Puerto Madero"/>
  </r>
  <r>
    <d v="2026-03-02T00:00:00"/>
    <x v="0"/>
    <x v="9"/>
    <s v="CAP7794650"/>
    <x v="0"/>
    <s v="Alquiler departamento en Villa Crespo"/>
    <s v="Realizado"/>
    <s v="AR ZonaProp"/>
    <n v="700000"/>
    <x v="163"/>
    <x v="1"/>
    <s v="Dólares"/>
    <s v="Local"/>
    <s v="Cucha cucha  al 1700"/>
    <s v="Argentina | Capital Federal | Villa Crespo "/>
    <x v="0"/>
    <n v="1"/>
    <s v="Notable"/>
    <s v="Compartida Fuera de la Red Búsqueda"/>
    <x v="2"/>
    <s v="Venta"/>
    <x v="3"/>
    <s v="Palermo"/>
  </r>
  <r>
    <d v="2025-06-30T00:00:00"/>
    <x v="1"/>
    <x v="4"/>
    <s v="CLA6947748"/>
    <x v="0"/>
    <s v="TERRENO APTO 4 UF ZONA CONFLUENCIA - BUTACO"/>
    <s v="Realizado"/>
    <s v="AR ZonaProp"/>
    <n v="95000"/>
    <x v="163"/>
    <x v="1"/>
    <s v="Dólares"/>
    <s v="Dólares"/>
    <s v="Lamarque y S/N"/>
    <s v="Argentina | Neuquen | Capital | Confluencia Rural"/>
    <x v="1"/>
    <n v="2"/>
    <s v="Sensus"/>
    <s v="Compartida Fuera de la Red Captación Propia"/>
    <x v="0"/>
    <s v="Venta"/>
    <x v="1"/>
    <s v="Capital Neuquén"/>
  </r>
  <r>
    <d v="2025-10-07T00:00:00"/>
    <x v="1"/>
    <x v="11"/>
    <s v="VAP6922986"/>
    <x v="0"/>
    <s v="Venta Departamento en  Retiro. Estilo racionalista Dos ambientes"/>
    <s v="Realizado"/>
    <s v="AR ZonaProp"/>
    <n v="95000"/>
    <x v="163"/>
    <x v="1"/>
    <s v="Dólares"/>
    <s v="Dólares"/>
    <s v="Avenida Libertador al 100"/>
    <s v="Argentina | Capital Federal | Retiro "/>
    <x v="0"/>
    <n v="2"/>
    <s v="Space BA"/>
    <s v="Compartida Fuera de la Red Captación Propia"/>
    <x v="0"/>
    <s v="Venta"/>
    <x v="3"/>
    <s v="Belgrano"/>
  </r>
  <r>
    <d v="2025-01-23T00:00:00"/>
    <x v="1"/>
    <x v="10"/>
    <s v="CAP5978284"/>
    <x v="0"/>
    <s v="Venta - Departamento - 4 Ambientes - Luminoso - Parque Avellaneda"/>
    <s v="Realizado"/>
    <s v="AR ArgenProp"/>
    <n v="98000"/>
    <x v="163"/>
    <x v="1"/>
    <s v="Dólares"/>
    <s v="Dólares"/>
    <s v="Directorio  al 4000"/>
    <s v="Argentina | Capital Federal | Parque Avellaneda "/>
    <x v="0"/>
    <n v="2"/>
    <s v="Lion Team"/>
    <s v="Propia (Único Asesor)"/>
    <x v="1"/>
    <s v="Venta"/>
    <x v="3"/>
    <s v="Villa Urquiza"/>
  </r>
  <r>
    <d v="2025-01-23T00:00:00"/>
    <x v="1"/>
    <x v="10"/>
    <s v="Lautaro 46"/>
    <x v="0"/>
    <s v="Lautaro 46"/>
    <s v="Realizado"/>
    <s v="AR MercadoLibre"/>
    <n v="92000"/>
    <x v="163"/>
    <x v="1"/>
    <s v="Dólares"/>
    <s v="Dólares"/>
    <s v="Lautaro 46"/>
    <s v="Argentina | Capital Federal | Capital Federal "/>
    <x v="0"/>
    <n v="2"/>
    <s v="Lion Team"/>
    <s v="Propia (Único Asesor)"/>
    <x v="1"/>
    <s v="Venta"/>
    <x v="3"/>
    <s v="Villa Urquiza"/>
  </r>
  <r>
    <d v="2025-06-27T00:00:00"/>
    <x v="1"/>
    <x v="4"/>
    <s v="CLA6381182"/>
    <x v="0"/>
    <s v="Terreno en Alihuen Alto y Bajo"/>
    <s v="Realizado"/>
    <s v="Conocido"/>
    <n v="110000"/>
    <x v="163"/>
    <x v="1"/>
    <s v="Dólares"/>
    <s v="Dólares"/>
    <s v="Alihuen Alto "/>
    <s v="Argentina | Neuquen | Lacar | San Martin De Los Andes | Alihuen Alto y Bajo"/>
    <x v="1"/>
    <n v="2"/>
    <s v="Patagonia Lakes SMA"/>
    <s v="Propia (Único Asesor)"/>
    <x v="1"/>
    <s v="Venta"/>
    <x v="1"/>
    <s v="San Martín de los Andes"/>
  </r>
  <r>
    <d v="2025-09-15T00:00:00"/>
    <x v="1"/>
    <x v="6"/>
    <s v="CHO7108747"/>
    <x v="0"/>
    <s v="Casa en Venta - Excelente Ubicación Frente a Dalvian"/>
    <s v="Realizado"/>
    <s v="Teléfono"/>
    <n v="105000"/>
    <x v="163"/>
    <x v="1"/>
    <s v="Dólares"/>
    <s v="Dólares"/>
    <s v="Dr. Ramon Carrillo"/>
    <s v="Argentina | Mendoza | Capital "/>
    <x v="2"/>
    <n v="2"/>
    <s v="Cuyo Real"/>
    <s v="Propia (Único Asesor)"/>
    <x v="1"/>
    <s v="Venta"/>
    <x v="2"/>
    <s v="Capital Mendoza"/>
  </r>
  <r>
    <d v="2025-09-25T00:00:00"/>
    <x v="1"/>
    <x v="6"/>
    <s v="CPH6915253"/>
    <x v="0"/>
    <s v="Venta, PH, 2 ambientes, Escritorio, Terraza, Villa Ortuzar"/>
    <s v="Realizado"/>
    <s v="AR ArgenProp"/>
    <n v="99900"/>
    <x v="163"/>
    <x v="1"/>
    <s v="Dólares"/>
    <s v="Dólares"/>
    <s v="Roseti  al 1500"/>
    <s v="Argentina | Capital Federal | Villa Ortuzar "/>
    <x v="3"/>
    <n v="2"/>
    <s v="Lion Team"/>
    <s v="Propia (Único Asesor)"/>
    <x v="1"/>
    <s v="Venta"/>
    <x v="3"/>
    <s v="Villa Urquiza"/>
  </r>
  <r>
    <d v="2025-09-30T00:00:00"/>
    <x v="1"/>
    <x v="6"/>
    <s v="JPH6837867"/>
    <x v="0"/>
    <s v="PH - VENTA - 3 AMB - PATIO - VILLA GRAL MITRE - APTO CREDITO"/>
    <s v="Realizado"/>
    <s v="AR ZonaProp"/>
    <n v="98000"/>
    <x v="163"/>
    <x v="1"/>
    <s v="Dólares"/>
    <s v="Dólares"/>
    <s v="Alejandro Magariños Cervantes al 2200"/>
    <s v="Argentina | Capital Federal | Villa Gral. Mitre "/>
    <x v="3"/>
    <n v="2"/>
    <s v="Lion Team Norte"/>
    <s v="Propia (Único Asesor)"/>
    <x v="1"/>
    <s v="Venta"/>
    <x v="6"/>
    <s v="Vicente López"/>
  </r>
  <r>
    <d v="2025-12-22T00:00:00"/>
    <x v="1"/>
    <x v="8"/>
    <s v="JLO7507570"/>
    <x v="0"/>
    <s v="Venta Local al frente Oportunidad Martinez 100m2"/>
    <s v="Realizado"/>
    <s v="AR ZonaProp"/>
    <n v="115000"/>
    <x v="163"/>
    <x v="1"/>
    <s v="Dólares"/>
    <s v="Dólares"/>
    <s v="Hipolito Yrigoyen  al 1100"/>
    <s v="Argentina | G.B.A. Zona Norte | San Isidro | Martinez"/>
    <x v="4"/>
    <n v="2"/>
    <s v="Lion Team Norte"/>
    <s v="Propia (Único Asesor)"/>
    <x v="1"/>
    <s v="Venta"/>
    <x v="6"/>
    <s v="Vicente López"/>
  </r>
  <r>
    <d v="2026-02-06T00:00:00"/>
    <x v="0"/>
    <x v="0"/>
    <s v="CBU60233 AP6592806"/>
    <x v="0"/>
    <s v="Venta Departamento Monoambiente vista al lago a 5 minutos del centro"/>
    <s v="Realizado"/>
    <s v="Teléfono"/>
    <n v="92000"/>
    <x v="163"/>
    <x v="1"/>
    <s v="Dólares"/>
    <s v="Dólares"/>
    <s v="Avenida Pioneros, San Carlos de Bariloche"/>
    <s v="Argentina | Rio Negro | Bariloche | San Carlos De Bariloche | Centro"/>
    <x v="0"/>
    <n v="2"/>
    <s v="Patagonia Lakes BRC"/>
    <s v="Propia (Único Asesor)"/>
    <x v="1"/>
    <s v="Venta"/>
    <x v="7"/>
    <s v="Bariloche"/>
  </r>
  <r>
    <d v="2025-08-27T00:00:00"/>
    <x v="1"/>
    <x v="5"/>
    <s v="VAP6995840"/>
    <x v="0"/>
    <s v="Venta Departamento Mono ambiente amplio con Jardín en Caballito"/>
    <s v="Realizado"/>
    <s v="AR ZonaProp"/>
    <n v="95000"/>
    <x v="164"/>
    <x v="1"/>
    <s v="Dólares"/>
    <s v="Dólares"/>
    <s v="Belaustegui al 900"/>
    <s v="Argentina | Capital Federal | Caballito | Caballito Norte"/>
    <x v="0"/>
    <n v="2"/>
    <s v="Space BA"/>
    <s v="Compartida Fuera de la Red Captación Propia"/>
    <x v="0"/>
    <s v="Venta"/>
    <x v="3"/>
    <s v="Belgrano"/>
  </r>
  <r>
    <d v="2025-04-23T00:00:00"/>
    <x v="1"/>
    <x v="3"/>
    <s v="CAP6072374"/>
    <x v="0"/>
    <s v="VENTA DEPARTAMENTO 4 AMBIENTES EN ALMAGRO C/LAVADERO INDEPENDIENTE X ESCALERA"/>
    <s v="Realizado"/>
    <s v="AR ZonaProp"/>
    <n v="95000"/>
    <x v="164"/>
    <x v="1"/>
    <s v="Dólares"/>
    <s v="Dólares"/>
    <s v="Rawson al 200"/>
    <s v="Argentina | Capital Federal | Almagro "/>
    <x v="0"/>
    <n v="2"/>
    <s v="Seniority"/>
    <s v="Propia (Único Asesor)"/>
    <x v="1"/>
    <s v="Venta"/>
    <x v="3"/>
    <s v="Barrio Parque"/>
  </r>
  <r>
    <d v="2026-03-27T00:00:00"/>
    <x v="0"/>
    <x v="9"/>
    <s v="Propiedad Isabel Palma"/>
    <x v="0"/>
    <s v="VENTA CASA 4 AMBIENTES LUMINOSA COCHERA PATIO EN CAMPANA"/>
    <s v="Realizado"/>
    <s v="Referido"/>
    <n v="95000"/>
    <x v="164"/>
    <x v="1"/>
    <s v="Dólares"/>
    <s v="Dólares"/>
    <s v="Moreno 471"/>
    <s v="Argentina | G.B.A. Zona Norte | Campana | Campana"/>
    <x v="2"/>
    <n v="2"/>
    <s v="Wings"/>
    <s v="Propia (Único Asesor)"/>
    <x v="1"/>
    <s v="Venta"/>
    <x v="3"/>
    <s v="Núñez"/>
  </r>
  <r>
    <d v="2025-08-25T00:00:00"/>
    <x v="1"/>
    <x v="5"/>
    <s v="82Maricel"/>
    <x v="0"/>
    <s v="Casa en colastine Norte"/>
    <s v="Realizado"/>
    <s v="Conocido"/>
    <n v="100000"/>
    <x v="165"/>
    <x v="1"/>
    <s v="Dólares"/>
    <s v="Dólares"/>
    <s v="Ruta 1 km 4"/>
    <s v="Argentina | Santa Fe | La Capital | Santa Fe"/>
    <x v="2"/>
    <n v="1"/>
    <s v="De la Veracruz"/>
    <s v="(Interior) Compartida Fuera de la Red Búsqueda"/>
    <x v="2"/>
    <s v="Venta"/>
    <x v="5"/>
    <s v="Capital Santa Fe"/>
  </r>
  <r>
    <d v="2025-08-27T00:00:00"/>
    <x v="1"/>
    <x v="5"/>
    <s v="Terreno Confluencia Manu- Monica"/>
    <x v="0"/>
    <s v="Terreno Confluencia Manu - Monica"/>
    <s v="Realizado"/>
    <s v="AR ZonaProp"/>
    <n v="93000"/>
    <x v="165"/>
    <x v="1"/>
    <s v="Dólares"/>
    <s v="Dólares"/>
    <m/>
    <s v="Argentina | Neuquen | Confluencia | Neuquen"/>
    <x v="1"/>
    <n v="1"/>
    <s v="Sensus"/>
    <s v="(Interior) Compartida Fuera de la Red Búsqueda"/>
    <x v="2"/>
    <s v="Venta"/>
    <x v="1"/>
    <s v="Capital Neuquén"/>
  </r>
  <r>
    <d v="2026-03-30T00:00:00"/>
    <x v="0"/>
    <x v="9"/>
    <s v="CAP7379471"/>
    <x v="0"/>
    <s v="Ph "/>
    <s v="Realizado"/>
    <s v="Instagram"/>
    <n v="890000"/>
    <x v="165"/>
    <x v="1"/>
    <s v="Dólares"/>
    <s v="Local"/>
    <s v="Gustavo Ceratti al 200"/>
    <s v="Argentina | Rio Negro | Bariloche | San Carlos De Bariloche"/>
    <x v="0"/>
    <n v="1"/>
    <s v="Patagonia Lakes BRC"/>
    <s v="(Interior) Compartida Fuera de la Red Búsqueda"/>
    <x v="2"/>
    <s v="Venta"/>
    <x v="7"/>
    <s v="Bariloche"/>
  </r>
  <r>
    <d v="2026-02-10T00:00:00"/>
    <x v="0"/>
    <x v="0"/>
    <s v="CHO7181022"/>
    <x v="0"/>
    <s v="Casa en  barrio Roma "/>
    <s v="Realizado"/>
    <s v="Conocido"/>
    <n v="115000"/>
    <x v="165"/>
    <x v="1"/>
    <s v="Dólares"/>
    <s v="Dólares"/>
    <s v="Casa de  3 dormitorios en Barrio Roma"/>
    <s v="Argentina | Santa Fe | La Capital | Santa Fe"/>
    <x v="2"/>
    <n v="1"/>
    <s v="De la Veracruz"/>
    <s v="(Interior) Compartida Fuera de la Red Captación Propia"/>
    <x v="0"/>
    <s v="Venta"/>
    <x v="5"/>
    <s v="Capital Santa Fe"/>
  </r>
  <r>
    <d v="2026-03-19T00:00:00"/>
    <x v="0"/>
    <x v="9"/>
    <s v="CAP6791347"/>
    <x v="0"/>
    <s v="VENTA Departamento Monoambiente en Aguila Mora Bariloche"/>
    <s v="Realizado"/>
    <s v="Teléfono"/>
    <n v="99000"/>
    <x v="165"/>
    <x v="1"/>
    <s v="Dólares"/>
    <s v="Dólares"/>
    <s v="Melipal, San Carlos De Bariloche"/>
    <s v="Argentina | Rio Negro | Bariloche | San Carlos De Bariloche"/>
    <x v="0"/>
    <n v="1"/>
    <s v="Patagonia Lakes BRC"/>
    <s v="(Interior) Compartida Fuera de la Red Captación Propia"/>
    <x v="0"/>
    <s v="Venta"/>
    <x v="7"/>
    <s v="Bariloche"/>
  </r>
  <r>
    <d v="2025-05-16T00:00:00"/>
    <x v="1"/>
    <x v="2"/>
    <s v="CAP6835777"/>
    <x v="0"/>
    <s v="Venta Departamento San Martin de los Andes 32m2 Lote 65m2 Centro"/>
    <s v="Realizado"/>
    <s v="Conocido"/>
    <n v="95000"/>
    <x v="165"/>
    <x v="1"/>
    <s v="Dólares"/>
    <s v="Dólares"/>
    <s v="Av San Martin  al 1300"/>
    <s v="Argentina | Neuquen | Lacar | San Martin De Los Andes | Centro"/>
    <x v="0"/>
    <n v="2"/>
    <s v="Patagonia Lakes SMA"/>
    <s v="Compartida en Oficina (Dos Asesores)"/>
    <x v="1"/>
    <s v="Venta"/>
    <x v="1"/>
    <s v="San Martín de los Andes"/>
  </r>
  <r>
    <d v="2025-10-15T00:00:00"/>
    <x v="1"/>
    <x v="11"/>
    <s v="CAP4420882"/>
    <x v="0"/>
    <s v="Venta - Departamento - Colegiales - 2 Ambientes - Luminoso - Oportunidad - Permuta"/>
    <s v="Realizado"/>
    <s v="AR MercadoLibre"/>
    <n v="60000"/>
    <x v="165"/>
    <x v="1"/>
    <s v="Dólares"/>
    <s v="Dólares"/>
    <s v="Cramer al 300"/>
    <s v="Argentina | Capital Federal | Colegiales "/>
    <x v="0"/>
    <n v="2"/>
    <s v="Lion Team"/>
    <s v="Compartida en Oficina (Dos Asesores)"/>
    <x v="1"/>
    <s v="Venta"/>
    <x v="3"/>
    <s v="Villa Urquiza"/>
  </r>
  <r>
    <d v="2026-03-20T00:00:00"/>
    <x v="0"/>
    <x v="9"/>
    <s v="Búsqueda"/>
    <x v="0"/>
    <s v="Depto 2 ambientes en Venta en Palermo"/>
    <s v="Realizado"/>
    <s v="AR ZonaProp"/>
    <n v="93000"/>
    <x v="165"/>
    <x v="1"/>
    <s v="Dólares"/>
    <s v="Dólares"/>
    <s v="Gurruchaga 1974 1° &quot;8&quot; CABA"/>
    <s v="Argentina | Capital Federal | Palermo | Palermo Soho"/>
    <x v="0"/>
    <n v="1"/>
    <s v="Ser"/>
    <s v="Compartida Fuera de la Red Búsqueda"/>
    <x v="2"/>
    <s v="Venta"/>
    <x v="3"/>
    <s v="Belgrano"/>
  </r>
  <r>
    <d v="2026-03-30T00:00:00"/>
    <x v="0"/>
    <x v="9"/>
    <s v="TIERRA DEL FUEGO "/>
    <x v="0"/>
    <s v="LOTE EN VENTA, LA BOTA, BENAVIDEZ"/>
    <s v="Realizado"/>
    <s v="AR MercadoLibre"/>
    <n v="93000"/>
    <x v="165"/>
    <x v="1"/>
    <s v="Dólares"/>
    <s v="Dólares"/>
    <m/>
    <s v="Argentina | G.B.A. Zona Norte | Escobar | Ingeniero Maschwitz | La Bota"/>
    <x v="1"/>
    <n v="1"/>
    <s v="Puerto Norte"/>
    <s v="Compartida Fuera de la Red Búsqueda"/>
    <x v="2"/>
    <s v="Venta"/>
    <x v="6"/>
    <s v="Nordelta"/>
  </r>
  <r>
    <d v="2025-09-26T00:00:00"/>
    <x v="1"/>
    <x v="6"/>
    <s v="CAP7109812"/>
    <x v="0"/>
    <s v="VENTA MONOAMBIENTE EN COLEGIALES "/>
    <s v="Realizado"/>
    <s v="AR ZonaProp"/>
    <n v="103000"/>
    <x v="165"/>
    <x v="1"/>
    <s v="Dólares"/>
    <s v="Dólares"/>
    <s v="MOLDES 850 "/>
    <s v="Argentina | Capital Federal | Colegiales "/>
    <x v="0"/>
    <n v="2"/>
    <s v="Seniority"/>
    <s v="Compartida Fuera de la Red Captación Propia"/>
    <x v="0"/>
    <s v="Venta"/>
    <x v="3"/>
    <s v="Barrio Parque"/>
  </r>
  <r>
    <d v="2025-05-19T00:00:00"/>
    <x v="1"/>
    <x v="2"/>
    <s v="CAP6982577"/>
    <x v="0"/>
    <s v="Departamento en Parque Chacabuco, dos ambientes y balcón corrido"/>
    <s v="Realizado"/>
    <s v="AR ZonaProp"/>
    <n v="95000"/>
    <x v="165"/>
    <x v="1"/>
    <s v="Dólares"/>
    <s v="Dólares"/>
    <s v="Achaval  al 700"/>
    <s v="Argentina | Capital Federal | Parque Chacabuco "/>
    <x v="0"/>
    <n v="2"/>
    <s v="Grupo Elite"/>
    <s v="Propia (Único Asesor)"/>
    <x v="1"/>
    <s v="Venta"/>
    <x v="3"/>
    <s v="Puerto Madero"/>
  </r>
  <r>
    <d v="2026-02-23T00:00:00"/>
    <x v="0"/>
    <x v="0"/>
    <s v="CPH7429543"/>
    <x v="0"/>
    <s v="VENTA PH 3 AMB C/TERRAZA COLEGIALES"/>
    <s v="Realizado"/>
    <s v="AR ZonaProp"/>
    <n v="109000"/>
    <x v="165"/>
    <x v="1"/>
    <s v="Dólares"/>
    <s v="Dólares"/>
    <s v="Fraga  al 600"/>
    <s v="Argentina | Capital Federal | Colegiales "/>
    <x v="3"/>
    <n v="2"/>
    <s v="Niceto"/>
    <s v="Propia (Único Asesor)"/>
    <x v="1"/>
    <s v="Venta"/>
    <x v="3"/>
    <s v="Palermo"/>
  </r>
  <r>
    <d v="2026-03-06T00:00:00"/>
    <x v="0"/>
    <x v="9"/>
    <s v="CAP7462579"/>
    <x v="0"/>
    <s v="VENTA DEPTO 3 AMB RETIRO"/>
    <s v="Realizado"/>
    <s v="AR ZonaProp"/>
    <n v="114000"/>
    <x v="165"/>
    <x v="1"/>
    <s v="Dólares"/>
    <s v="Dólares"/>
    <s v="Av. Córdoba al 400"/>
    <s v="Argentina | Capital Federal | Retiro "/>
    <x v="0"/>
    <n v="2"/>
    <s v="Destino"/>
    <s v="Propia (Único Asesor)"/>
    <x v="1"/>
    <s v="Venta"/>
    <x v="3"/>
    <s v="Recoleta"/>
  </r>
  <r>
    <d v="2026-03-12T00:00:00"/>
    <x v="0"/>
    <x v="9"/>
    <s v="CPH7429543"/>
    <x v="0"/>
    <s v="VENTA PH 3 AMB C/TERRAZA COLEGIALES"/>
    <s v="Realizado"/>
    <s v="AR ZonaProp"/>
    <n v="109000"/>
    <x v="165"/>
    <x v="1"/>
    <s v="Dólares"/>
    <s v="Dólares"/>
    <s v="Fraga  al 600"/>
    <s v="Argentina | Capital Federal | Colegiales "/>
    <x v="3"/>
    <n v="2"/>
    <s v="Niceto"/>
    <s v="Propia (Único Asesor)"/>
    <x v="1"/>
    <s v="Venta"/>
    <x v="3"/>
    <s v="Palermo"/>
  </r>
  <r>
    <d v="2026-02-02T00:00:00"/>
    <x v="0"/>
    <x v="0"/>
    <m/>
    <x v="0"/>
    <s v="inmueble ubicada en Calle Las Palomas 355 de la ciudad de San Martin de los Andes Pcia. De Neuquén, nomenclatura catastral 15-20-052-1475-0000, Propiedad que posee en venta la profesional Laura C. Pargade, Corredora Inmobiliaria, Mat. 801 del CMyCPN,"/>
    <s v="Realizado"/>
    <s v="Referido"/>
    <n v="94000"/>
    <x v="166"/>
    <x v="1"/>
    <s v="Dólares"/>
    <s v="Dólares"/>
    <s v="Las Palomas 355"/>
    <s v="Argentina | Neuquen | Lacar | San Martin De Los Andes | Villa Vega Maipú"/>
    <x v="2"/>
    <n v="1"/>
    <s v="Patagonia Lakes SMA"/>
    <s v="(Interior) Compartida Fuera de la Red Búsqueda"/>
    <x v="2"/>
    <s v="Venta"/>
    <x v="1"/>
    <s v="San Martín de los Andes"/>
  </r>
  <r>
    <d v="2025-03-17T00:00:00"/>
    <x v="1"/>
    <x v="9"/>
    <s v="Av. Olivera 281"/>
    <x v="0"/>
    <s v="Av. Olivera 281"/>
    <s v="Realizado"/>
    <s v="AR ZonaProp"/>
    <n v="94000"/>
    <x v="166"/>
    <x v="1"/>
    <s v="Dólares"/>
    <s v="Dólares"/>
    <s v="Av. Olivera 281"/>
    <s v="Argentina | Capital Federal | Capital Federal "/>
    <x v="0"/>
    <n v="2"/>
    <s v="Lion Team"/>
    <s v="Compartida en Oficina (Dos Asesores)"/>
    <x v="1"/>
    <s v="Venta"/>
    <x v="3"/>
    <s v="Villa Urquiza"/>
  </r>
  <r>
    <d v="2025-07-29T00:00:00"/>
    <x v="1"/>
    <x v="1"/>
    <s v="Madero 571"/>
    <x v="0"/>
    <s v="Madero 571"/>
    <s v="Realizado"/>
    <s v="AR ArgenProp"/>
    <n v="94000"/>
    <x v="166"/>
    <x v="1"/>
    <s v="Dólares"/>
    <s v="Dólares"/>
    <s v="Madero 571"/>
    <s v="Argentina | Capital Federal | Capital Federal "/>
    <x v="3"/>
    <n v="2"/>
    <s v="Lion Team"/>
    <s v="Compartida en Oficina (Dos Asesores)"/>
    <x v="1"/>
    <s v="Venta"/>
    <x v="3"/>
    <s v="Villa Urquiza"/>
  </r>
  <r>
    <d v="2025-07-18T00:00:00"/>
    <x v="1"/>
    <x v="1"/>
    <n v="23"/>
    <x v="0"/>
    <s v="Av San Juan 4250"/>
    <s v="Realizado"/>
    <s v="AR ZonaProp"/>
    <n v="94000"/>
    <x v="166"/>
    <x v="1"/>
    <s v="Dólares"/>
    <s v="Dólares"/>
    <s v="Av San Juan 4250"/>
    <s v="Argentina | Capital Federal | Palermo | Las Cañitas"/>
    <x v="0"/>
    <n v="1"/>
    <s v="Grupo Elite"/>
    <s v="Compartida Fuera de la Red Búsqueda"/>
    <x v="2"/>
    <s v="Venta"/>
    <x v="3"/>
    <s v="Puerto Madero"/>
  </r>
  <r>
    <d v="2025-10-06T00:00:00"/>
    <x v="1"/>
    <x v="11"/>
    <s v="CAP7288637"/>
    <x v="0"/>
    <s v="Venta Departamento con patio en centro de Palermo"/>
    <s v="Realizado"/>
    <s v="AR ZonaProp"/>
    <n v="98500"/>
    <x v="166"/>
    <x v="1"/>
    <s v="Dólares"/>
    <s v="Dólares"/>
    <s v="Thames al 1700"/>
    <s v="Argentina | Capital Federal | Palermo "/>
    <x v="0"/>
    <n v="2"/>
    <s v="Seniority"/>
    <s v="Compartida Fuera de la Red Captación Propia"/>
    <x v="0"/>
    <s v="Venta"/>
    <x v="3"/>
    <s v="Barrio Parque"/>
  </r>
  <r>
    <d v="2025-11-13T00:00:00"/>
    <x v="1"/>
    <x v="7"/>
    <s v="CHO7407691"/>
    <x v="0"/>
    <s v="Casa en San Rafael"/>
    <s v="Realizado"/>
    <s v="Cartel"/>
    <n v="97000"/>
    <x v="166"/>
    <x v="1"/>
    <s v="Dólares"/>
    <s v="Dólares"/>
    <s v="Agustin Alvarez al 100"/>
    <s v="Argentina | Mendoza | San Rafael "/>
    <x v="2"/>
    <n v="2"/>
    <s v="Andes"/>
    <s v="Profesional Referido (70%)"/>
    <x v="1"/>
    <s v="Venta"/>
    <x v="2"/>
    <s v="San Rafael"/>
  </r>
  <r>
    <d v="2025-03-25T00:00:00"/>
    <x v="1"/>
    <x v="9"/>
    <s v="CAP5782480"/>
    <x v="0"/>
    <s v="Venta departamento 3 ambientes muy luminoso en la mejor zona de Barracas!"/>
    <s v="Realizado"/>
    <s v="AR ZonaProp"/>
    <n v="100000"/>
    <x v="166"/>
    <x v="1"/>
    <s v="Dólares"/>
    <s v="Dólares"/>
    <s v="Av. Suarez al 1200"/>
    <s v="Argentina | Capital Federal | Barracas "/>
    <x v="0"/>
    <n v="2"/>
    <s v="Seniority"/>
    <s v="Propia (Único Asesor)"/>
    <x v="1"/>
    <s v="Venta"/>
    <x v="3"/>
    <s v="Barrio Parque"/>
  </r>
  <r>
    <d v="2026-03-20T00:00:00"/>
    <x v="0"/>
    <x v="9"/>
    <s v="CHO7755959"/>
    <x v="0"/>
    <s v="VENTA - Casa 3 ambientes - Apta Crédito Hipotecaria - Barrio Las Nalcas - S. M. de los Andes"/>
    <s v="Realizado"/>
    <s v="AR ZonaProp"/>
    <n v="98000"/>
    <x v="166"/>
    <x v="1"/>
    <s v="Dólares"/>
    <s v="Dólares"/>
    <s v="Huemul las Nalcas"/>
    <s v="Argentina | Neuquen | Lacar | San Martin De Los Andes"/>
    <x v="2"/>
    <n v="2"/>
    <s v="Patagonia Lakes SMA"/>
    <s v="Propia (Único Asesor)"/>
    <x v="1"/>
    <s v="Venta"/>
    <x v="1"/>
    <s v="San Martín de los Andes"/>
  </r>
  <r>
    <d v="2025-10-22T00:00:00"/>
    <x v="1"/>
    <x v="11"/>
    <s v="activa"/>
    <x v="0"/>
    <s v="tigre park torre tierra 4to h"/>
    <s v="Realizado"/>
    <s v="Conocido"/>
    <n v="94000"/>
    <x v="167"/>
    <x v="1"/>
    <s v="Dólares"/>
    <s v="Dólares"/>
    <m/>
    <m/>
    <x v="0"/>
    <n v="1"/>
    <s v="Concept"/>
    <s v="Compartida Fuera de la Red Búsqueda"/>
    <x v="2"/>
    <s v="Venta"/>
    <x v="6"/>
    <s v="Tigre"/>
  </r>
  <r>
    <d v="2025-05-08T00:00:00"/>
    <x v="1"/>
    <x v="2"/>
    <s v="CBU60233 AP6592853"/>
    <x v="0"/>
    <s v="Venta Departamento Monoambiente vista al lago a 5 minutos del centro"/>
    <s v="Realizado"/>
    <s v="Salón"/>
    <n v="92800"/>
    <x v="168"/>
    <x v="1"/>
    <s v="Dólares"/>
    <s v="Dólares"/>
    <s v="Avenida Pioneros, San Carlos de Bariloche"/>
    <s v="Argentina | Rio Negro | Bariloche | San Carlos De Bariloche | Centro"/>
    <x v="0"/>
    <n v="2"/>
    <s v="Patagonia Lakes BRC"/>
    <s v="Propia (Único Asesor)"/>
    <x v="1"/>
    <s v="Venta"/>
    <x v="7"/>
    <s v="Bariloche"/>
  </r>
  <r>
    <d v="2025-07-29T00:00:00"/>
    <x v="1"/>
    <x v="1"/>
    <n v="28072025"/>
    <x v="0"/>
    <s v="Dpto Belgrano 97 2I + Refuerzo"/>
    <s v="Realizado"/>
    <s v="Teléfono"/>
    <n v="94500"/>
    <x v="169"/>
    <x v="1"/>
    <s v="Dólares"/>
    <s v="Dólares"/>
    <m/>
    <s v="Argentina | Rio Negro | Bariloche | San Carlos De Bariloche"/>
    <x v="0"/>
    <n v="1"/>
    <s v="Patagonia Lakes BRC"/>
    <s v="(Interior) Compartida Fuera de la Red Búsqueda"/>
    <x v="2"/>
    <s v="Venta"/>
    <x v="7"/>
    <s v="Bariloche"/>
  </r>
  <r>
    <d v="2025-06-26T00:00:00"/>
    <x v="1"/>
    <x v="4"/>
    <s v="CAP6868486"/>
    <x v="0"/>
    <s v="Departamento en VENTA, dos ambiente con vista al lago, APTO TURISMO"/>
    <s v="Realizado"/>
    <s v="Teléfono"/>
    <n v="95000"/>
    <x v="169"/>
    <x v="1"/>
    <s v="Dólares"/>
    <s v="Dólares"/>
    <s v="Barrio Las Victorias, San Carlos de Bariloche"/>
    <s v="Argentina | Rio Negro | Bariloche "/>
    <x v="0"/>
    <n v="2"/>
    <s v="Patagonia Lakes BRC"/>
    <s v="Propia (Único Asesor)"/>
    <x v="1"/>
    <s v="Venta"/>
    <x v="7"/>
    <s v="Bariloche"/>
  </r>
  <r>
    <d v="2025-08-28T00:00:00"/>
    <x v="1"/>
    <x v="5"/>
    <s v="CAP6947930"/>
    <x v="0"/>
    <s v="Departamento en  Venta "/>
    <s v="Realizado"/>
    <s v="AR ZonaProp"/>
    <n v="100000"/>
    <x v="170"/>
    <x v="1"/>
    <s v="Dólares"/>
    <s v="Dólares"/>
    <s v="ENTRE RIOS  DPTO 26 al 1000"/>
    <s v="Argentina | Neuquen | Confluencia | Neuquen"/>
    <x v="0"/>
    <n v="1"/>
    <s v="Sensus"/>
    <s v="(Interior) Compartida Fuera de la Red Captación Propia"/>
    <x v="0"/>
    <s v="Venta"/>
    <x v="1"/>
    <s v="Capital Neuquén"/>
  </r>
  <r>
    <d v="2026-03-30T00:00:00"/>
    <x v="0"/>
    <x v="9"/>
    <s v="CAP7153326"/>
    <x v="0"/>
    <s v="Departamento en VENTA en calle Mitre Ciudad Mendoza"/>
    <s v="Realizado"/>
    <s v="AR ZonaProp"/>
    <n v="105000"/>
    <x v="170"/>
    <x v="1"/>
    <s v="Dólares"/>
    <s v="Dólares"/>
    <s v="General Paz y Mitre"/>
    <s v="Argentina | Mendoza | Capital "/>
    <x v="0"/>
    <n v="1"/>
    <s v="Cuyo Real"/>
    <s v="(Interior) Compartida Fuera de la Red Captación Propia"/>
    <x v="0"/>
    <s v="Venta"/>
    <x v="2"/>
    <s v="Capital Mendoza"/>
  </r>
  <r>
    <d v="2025-06-18T00:00:00"/>
    <x v="1"/>
    <x v="4"/>
    <s v="CAP6635826"/>
    <x v="0"/>
    <s v="Venta - Departamento - 3 Ambientes - Balcon - Frente - San Telmo - Apto Credito - Permuta"/>
    <s v="Realizado"/>
    <s v="AR ZonaProp"/>
    <n v="99900"/>
    <x v="170"/>
    <x v="1"/>
    <s v="Dólares"/>
    <s v="Dólares"/>
    <s v="Peru 600"/>
    <s v="Argentina | Capital Federal | San Telmo "/>
    <x v="0"/>
    <n v="2"/>
    <s v="Lion Team"/>
    <s v="Compartida en Oficina (Dos Asesores)"/>
    <x v="1"/>
    <s v="Venta"/>
    <x v="3"/>
    <s v="Villa Urquiza"/>
  </r>
  <r>
    <d v="2025-06-30T00:00:00"/>
    <x v="1"/>
    <x v="4"/>
    <s v="CLA6681287"/>
    <x v="0"/>
    <s v="VENTA  Lote/Terreno 4918 M2 Barrio Vallescondido San Martín de los Andes"/>
    <s v="Realizado"/>
    <s v="Conocido"/>
    <n v="120000"/>
    <x v="170"/>
    <x v="1"/>
    <s v="Dólares"/>
    <s v="Dólares"/>
    <s v="Barrio Vallescondido al 100"/>
    <s v="Argentina | Neuquen | Lacar | San Martin De Los Andes | Valle escondido – Club de campo"/>
    <x v="1"/>
    <n v="2"/>
    <s v="Patagonia Lakes SMA"/>
    <s v="Compartida en Oficina (Dos Asesores)"/>
    <x v="1"/>
    <s v="Venta"/>
    <x v="1"/>
    <s v="San Martín de los Andes"/>
  </r>
  <r>
    <d v="2025-10-18T00:00:00"/>
    <x v="1"/>
    <x v="11"/>
    <s v="CAP7126766"/>
    <x v="0"/>
    <s v="Monoambiente Luminoso con Balcón y Vista Abierta. Pileta - Palermo Hollywood - Opción Amoblado"/>
    <s v="Realizado"/>
    <s v="AR MercadoLibre"/>
    <n v="105000"/>
    <x v="170"/>
    <x v="1"/>
    <s v="Dólares"/>
    <s v="Dólares"/>
    <s v="Soler al 5900"/>
    <s v="Argentina | Capital Federal | Palermo | Palermo Hollywood"/>
    <x v="0"/>
    <n v="2"/>
    <s v="Puerto Norte"/>
    <s v="Compartida en Oficina (Dos Asesores)"/>
    <x v="1"/>
    <s v="Venta"/>
    <x v="6"/>
    <s v="Nordelta"/>
  </r>
  <r>
    <d v="2025-12-01T00:00:00"/>
    <x v="1"/>
    <x v="8"/>
    <s v="CAP7144179"/>
    <x v="0"/>
    <s v="Departamento en Venta Quinta Sección"/>
    <s v="Realizado"/>
    <s v="Conocido"/>
    <n v="99000"/>
    <x v="170"/>
    <x v="1"/>
    <s v="Dólares"/>
    <s v="Dólares"/>
    <s v="martinez de rosas"/>
    <s v="Argentina | Mendoza | Capital | Mendoza | Quinta Sección"/>
    <x v="0"/>
    <n v="2"/>
    <s v="Cuyo Real"/>
    <s v="Compartida en Oficina (Dos Asesores)"/>
    <x v="1"/>
    <s v="Venta"/>
    <x v="2"/>
    <s v="Capital Mendoza"/>
  </r>
  <r>
    <d v="2026-01-26T00:00:00"/>
    <x v="0"/>
    <x v="10"/>
    <s v="CAP7678551"/>
    <x v="0"/>
    <s v="Departamento DOS DORMITORIOS - Pozo Entrega 08-2026"/>
    <s v="Realizado"/>
    <s v="Conocido"/>
    <n v="100000"/>
    <x v="170"/>
    <x v="1"/>
    <s v="Dólares"/>
    <s v="Dólares"/>
    <s v="JUJUY 3100"/>
    <s v="Argentina | Santa Fe | La Capital | Santa Fe | Sur"/>
    <x v="0"/>
    <n v="2"/>
    <s v="De la Veracruz"/>
    <s v="Compartida en Oficina (Dos Asesores)"/>
    <x v="1"/>
    <s v="Venta"/>
    <x v="5"/>
    <s v="Capital Santa Fe"/>
  </r>
  <r>
    <d v="2025-11-26T00:00:00"/>
    <x v="1"/>
    <x v="7"/>
    <s v="N/C - BAEZ 583"/>
    <x v="1"/>
    <s v="VENTA DPTO MONOAMBIENTE LAS CAÑITAS"/>
    <s v="Realizado"/>
    <s v="AR ZonaProp"/>
    <n v="95000"/>
    <x v="170"/>
    <x v="1"/>
    <s v="Dólares"/>
    <s v="Dólares"/>
    <s v="BAEZ 583"/>
    <s v="Argentina | Capital Federal | Palermo | Las Cañitas"/>
    <x v="0"/>
    <n v="2"/>
    <s v="Destino II"/>
    <s v="Compartida en Red (50%)"/>
    <x v="1"/>
    <s v="Venta"/>
    <x v="3"/>
    <s v="Recoleta"/>
  </r>
  <r>
    <d v="2025-11-26T00:00:00"/>
    <x v="1"/>
    <x v="7"/>
    <s v="CAP6709750"/>
    <x v="0"/>
    <s v="Venta Monoambiente  con cochera en Las Cañitas Apto Credito"/>
    <s v="Realizado"/>
    <s v="AR ZonaProp"/>
    <n v="109000"/>
    <x v="170"/>
    <x v="1"/>
    <s v="Dólares"/>
    <s v="Dólares"/>
    <s v="Baez  al 500"/>
    <s v="Argentina | Capital Federal | Palermo | Las Cañitas"/>
    <x v="0"/>
    <n v="2"/>
    <s v="Seniority"/>
    <s v="Compartida en Red (50%)"/>
    <x v="1"/>
    <s v="Venta"/>
    <x v="3"/>
    <s v="Barrio Parque"/>
  </r>
  <r>
    <d v="2025-10-23T00:00:00"/>
    <x v="1"/>
    <x v="11"/>
    <m/>
    <x v="0"/>
    <s v="Marraspin 3442 - Gomez Lama - Leo Maroni"/>
    <s v="Realizado"/>
    <s v="AR ZonaProp"/>
    <n v="95000"/>
    <x v="170"/>
    <x v="1"/>
    <s v="Dólares"/>
    <s v="Dólares"/>
    <s v="Marraspin 3442 "/>
    <s v="Argentina | G.B.A. Zona Sur | Lanús "/>
    <x v="0"/>
    <n v="1"/>
    <s v="Destino"/>
    <s v="Compartida Fuera de la Red Búsqueda"/>
    <x v="2"/>
    <s v="Venta"/>
    <x v="3"/>
    <s v="Recoleta"/>
  </r>
  <r>
    <d v="2025-11-04T00:00:00"/>
    <x v="1"/>
    <x v="7"/>
    <m/>
    <x v="0"/>
    <s v="departamento en venta en tigre"/>
    <s v="Realizado"/>
    <s v="AR ZonaProp"/>
    <n v="95000"/>
    <x v="170"/>
    <x v="1"/>
    <s v="Dólares"/>
    <s v="Dólares"/>
    <s v="Avenida Italia 1107"/>
    <s v="Argentina | G.B.A. Zona Norte | Tigre "/>
    <x v="0"/>
    <n v="1"/>
    <s v="Titanio"/>
    <s v="Compartida Fuera de la Red Búsqueda"/>
    <x v="2"/>
    <s v="Venta"/>
    <x v="6"/>
    <s v="San Isidro"/>
  </r>
  <r>
    <d v="2026-03-24T00:00:00"/>
    <x v="0"/>
    <x v="9"/>
    <s v="CHO7870467"/>
    <x v="0"/>
    <s v="Casa en Esc.-Centro"/>
    <s v="Realizado"/>
    <s v="AR MercadoLibre"/>
    <n v="250000"/>
    <x v="170"/>
    <x v="1"/>
    <s v="Dólares"/>
    <s v="Dólares"/>
    <s v="Belen de Escobar - Centro"/>
    <s v="Argentina | G.B.A. Zona Norte | Escobar | Belen De Escobar | Esc.-Centro"/>
    <x v="2"/>
    <n v="1"/>
    <s v="Puerto Norte"/>
    <s v="Compartida Fuera de la Red Búsqueda"/>
    <x v="2"/>
    <s v="Venta"/>
    <x v="6"/>
    <s v="Nordelta"/>
  </r>
  <r>
    <d v="2025-08-04T00:00:00"/>
    <x v="1"/>
    <x v="5"/>
    <s v="CAP7031056"/>
    <x v="2"/>
    <s v="VENTA Monoambiente 22m2 Baulera y Amenities, Álamos del Río Centro San Martin de los Andes"/>
    <s v="Realizado"/>
    <s v="Referido"/>
    <n v="95000"/>
    <x v="170"/>
    <x v="1"/>
    <s v="Dólares"/>
    <s v="Dólares"/>
    <s v="Sarmiento al 300"/>
    <s v="Argentina | Neuquen | Lacar | San Martin De Los Andes"/>
    <x v="0"/>
    <n v="2"/>
    <s v="Patagonia Lakes SMA"/>
    <s v="Master"/>
    <x v="1"/>
    <s v="Venta"/>
    <x v="1"/>
    <s v="San Martín de los Andes"/>
  </r>
  <r>
    <d v="2025-12-19T00:00:00"/>
    <x v="1"/>
    <x v="8"/>
    <s v="CAP7117251"/>
    <x v="2"/>
    <s v="VENTA DEPARAMENTO MONOAMBIENTE A ESTRENAR"/>
    <s v="Realizado"/>
    <s v="AR ZonaProp"/>
    <n v="99500"/>
    <x v="170"/>
    <x v="1"/>
    <s v="Dólares"/>
    <s v="Dólares"/>
    <s v="Av Congreso al 2300"/>
    <s v="Argentina | Capital Federal | Belgrano "/>
    <x v="0"/>
    <n v="2"/>
    <s v="Seniority"/>
    <s v="Master"/>
    <x v="1"/>
    <s v="Venta"/>
    <x v="3"/>
    <s v="Barrio Parque"/>
  </r>
  <r>
    <d v="2026-03-20T00:00:00"/>
    <x v="0"/>
    <x v="9"/>
    <s v="Lagoon"/>
    <x v="2"/>
    <s v="Casa en venta Lagoon Pilar"/>
    <s v="Realizado"/>
    <s v="AR ZonaProp"/>
    <n v="95000"/>
    <x v="170"/>
    <x v="1"/>
    <s v="Dólares"/>
    <s v="Dólares"/>
    <s v="Caamaño 1106 Pilar"/>
    <s v="Argentina | G.B.A. Zona Norte | Pilar | Countries/B.Cerrado (Pilar) | Lagoon Pilar"/>
    <x v="2"/>
    <n v="2"/>
    <s v="North Team"/>
    <s v="Master"/>
    <x v="1"/>
    <s v="Venta"/>
    <x v="6"/>
    <s v="Pilar"/>
  </r>
  <r>
    <d v="2025-01-07T00:00:00"/>
    <x v="1"/>
    <x v="10"/>
    <s v="GRANADEROS CABA "/>
    <x v="0"/>
    <s v="DPTO GRANADEROS "/>
    <s v="Realizado"/>
    <s v="AR ZonaProp"/>
    <n v="95000"/>
    <x v="170"/>
    <x v="1"/>
    <s v="Dólares"/>
    <s v="Dólares"/>
    <s v="GRANADERO 467"/>
    <s v="Argentina | Capital Federal | Flores "/>
    <x v="0"/>
    <n v="2"/>
    <s v="Puerto Norte"/>
    <s v="Propia (Único Asesor)"/>
    <x v="1"/>
    <s v="Venta"/>
    <x v="6"/>
    <s v="Nordelta"/>
  </r>
  <r>
    <d v="2025-01-15T00:00:00"/>
    <x v="1"/>
    <x v="10"/>
    <s v="CBU39556 AP3990515"/>
    <x v="0"/>
    <s v="VENTA Departamento 2 Ambientes - Monserrat"/>
    <s v="Realizado"/>
    <s v="AR ZonaProp"/>
    <n v="96000"/>
    <x v="170"/>
    <x v="1"/>
    <s v="Dólares"/>
    <s v="Dólares"/>
    <s v="Sáenz Peña al 1000"/>
    <s v="Argentina | Capital Federal | Monserrat "/>
    <x v="0"/>
    <n v="2"/>
    <s v="Seniority"/>
    <s v="Propia (Único Asesor)"/>
    <x v="1"/>
    <s v="Venta"/>
    <x v="3"/>
    <s v="Barrio Parque"/>
  </r>
  <r>
    <d v="2025-01-27T00:00:00"/>
    <x v="1"/>
    <x v="10"/>
    <s v="AHO6355214"/>
    <x v="0"/>
    <s v="Casa de 3 amb en Lomas de Zamora"/>
    <s v="Realizado"/>
    <s v="AR ZonaProp"/>
    <n v="99000"/>
    <x v="170"/>
    <x v="1"/>
    <s v="Dólares"/>
    <s v="Dólares"/>
    <s v="Segunda Andes al 1100"/>
    <s v="Argentina | G.B.A. Zona Sur | Lomas De Zamora (Partido) | Lomas De Zamora | Lomas de Zamora Oeste"/>
    <x v="2"/>
    <n v="2"/>
    <s v="Desiderio"/>
    <s v="Propia (Único Asesor)"/>
    <x v="1"/>
    <s v="Venta"/>
    <x v="3"/>
    <s v="Caballito"/>
  </r>
  <r>
    <d v="2025-04-04T00:00:00"/>
    <x v="1"/>
    <x v="3"/>
    <s v="CAP6675379"/>
    <x v="0"/>
    <s v="VENTA DEPARTAMENTO DE 3 AMBIENTES EN COLEGIALES."/>
    <s v="Realizado"/>
    <s v="AR ZonaProp"/>
    <n v="99000"/>
    <x v="170"/>
    <x v="1"/>
    <s v="Dólares"/>
    <s v="Dólares"/>
    <s v="Santos Dumont al 2700"/>
    <s v="Argentina | Capital Federal | Colegiales "/>
    <x v="0"/>
    <n v="2"/>
    <s v="Seniority"/>
    <s v="Propia (Único Asesor)"/>
    <x v="1"/>
    <s v="Venta"/>
    <x v="3"/>
    <s v="Barrio Parque"/>
  </r>
  <r>
    <d v="2025-04-21T00:00:00"/>
    <x v="1"/>
    <x v="3"/>
    <s v="CAP6790237"/>
    <x v="0"/>
    <s v="Venta Departamento Monoambiente con Balcón y amenities en Palermo, Palermo Hollywood"/>
    <s v="Realizado"/>
    <s v="AR ZonaProp"/>
    <n v="97500"/>
    <x v="170"/>
    <x v="1"/>
    <s v="Dólares"/>
    <s v="Dólares"/>
    <s v="AV CORDOBA al 5800"/>
    <s v="Argentina | Capital Federal | Palermo | Palermo Hollywood"/>
    <x v="0"/>
    <n v="2"/>
    <s v="Seniority Plus"/>
    <s v="Propia (Único Asesor)"/>
    <x v="1"/>
    <s v="Venta"/>
    <x v="3"/>
    <s v="Palermo"/>
  </r>
  <r>
    <d v="2025-05-22T00:00:00"/>
    <x v="1"/>
    <x v="2"/>
    <s v="AAP6707610"/>
    <x v="0"/>
    <s v="Departamento de tres ambientes en  Villa del Parque"/>
    <s v="Realizado"/>
    <s v="AR ZonaProp"/>
    <n v="96000"/>
    <x v="170"/>
    <x v="1"/>
    <s v="Dólares"/>
    <s v="Dólares"/>
    <s v="Llavallol al 3400"/>
    <s v="Argentina | Capital Federal | Villa del Parque "/>
    <x v="0"/>
    <n v="2"/>
    <s v="Desiderio"/>
    <s v="Propia (Único Asesor)"/>
    <x v="1"/>
    <s v="Venta"/>
    <x v="3"/>
    <s v="Caballito"/>
  </r>
  <r>
    <d v="2025-05-23T00:00:00"/>
    <x v="1"/>
    <x v="2"/>
    <s v="CHO6795817"/>
    <x v="0"/>
    <s v="Venta casa 3 ambientes con patio y cochera en Escobar"/>
    <s v="Realizado"/>
    <s v="AR ZonaProp"/>
    <n v="98000"/>
    <x v="170"/>
    <x v="1"/>
    <s v="Dólares"/>
    <s v="Dólares"/>
    <s v="Lamadrid al 500"/>
    <s v="Argentina | G.B.A. Zona Norte | Escobar "/>
    <x v="2"/>
    <n v="2"/>
    <s v="Grupo Elite"/>
    <s v="Propia (Único Asesor)"/>
    <x v="1"/>
    <s v="Venta"/>
    <x v="3"/>
    <s v="Puerto Madero"/>
  </r>
  <r>
    <d v="2025-09-17T00:00:00"/>
    <x v="1"/>
    <x v="6"/>
    <s v="CAP7047523"/>
    <x v="0"/>
    <s v="Departamento - Colegiales"/>
    <s v="Realizado"/>
    <s v="AR ZonaProp"/>
    <n v="110000"/>
    <x v="170"/>
    <x v="1"/>
    <s v="Dólares"/>
    <s v="Dólares"/>
    <s v="Cramer al 300"/>
    <s v="Argentina | Capital Federal | Colegiales "/>
    <x v="0"/>
    <n v="2"/>
    <s v="Ser"/>
    <s v="Propia (Único Asesor)"/>
    <x v="1"/>
    <s v="Venta"/>
    <x v="3"/>
    <s v="Belgrano"/>
  </r>
  <r>
    <d v="2025-12-01T00:00:00"/>
    <x v="1"/>
    <x v="8"/>
    <s v="CHO7370784"/>
    <x v="0"/>
    <s v="Casa en venta de 3 dormitorios y dpto de 2 dormis en P.A. en Ringuelet"/>
    <s v="Realizado"/>
    <s v="AR ZonaProp"/>
    <n v="95000"/>
    <x v="170"/>
    <x v="1"/>
    <s v="Dólares"/>
    <s v="Dólares"/>
    <s v="Casa en venta de 3 dormitorios y dpto en P.A de 2 dormitorios en Ringuelet 519bis y 3"/>
    <s v="Argentina | G.B.A. Zona Sur | La Plata | La Plata | Ringuelet"/>
    <x v="2"/>
    <n v="2"/>
    <s v="Golden Team"/>
    <s v="Propia (Único Asesor)"/>
    <x v="1"/>
    <s v="Venta"/>
    <x v="0"/>
    <s v="La Plata"/>
  </r>
  <r>
    <d v="2025-12-09T00:00:00"/>
    <x v="1"/>
    <x v="8"/>
    <s v="CPH7554404"/>
    <x v="0"/>
    <s v="Venta PH 4 ambientes terraza Parque Patricios"/>
    <s v="Realizado"/>
    <s v="AR MercadoLibre"/>
    <n v="95000"/>
    <x v="170"/>
    <x v="1"/>
    <s v="Dólares"/>
    <s v="Dólares"/>
    <s v="Dr Enrique Finochietto al 2100"/>
    <s v="Argentina | Capital Federal | Parque Patricios "/>
    <x v="3"/>
    <n v="2"/>
    <s v="Grupo Elite"/>
    <s v="Propia (Único Asesor)"/>
    <x v="1"/>
    <s v="Venta"/>
    <x v="3"/>
    <s v="Puerto Madero"/>
  </r>
  <r>
    <d v="2026-01-29T00:00:00"/>
    <x v="0"/>
    <x v="10"/>
    <s v="CAP7447284"/>
    <x v="0"/>
    <s v="Venta de departamento en San Martin de los andes"/>
    <s v="Realizado"/>
    <s v="AR ZonaProp"/>
    <n v="98000"/>
    <x v="170"/>
    <x v="1"/>
    <s v="Dólares"/>
    <s v="Dólares"/>
    <s v="Belgrano 19"/>
    <s v="Argentina | Neuquen | Lacar | San Martin De Los Andes | Centro"/>
    <x v="0"/>
    <n v="2"/>
    <s v="Sensus"/>
    <s v="Propia (Único Asesor)"/>
    <x v="1"/>
    <s v="Venta"/>
    <x v="1"/>
    <s v="Capital Neuquén"/>
  </r>
  <r>
    <d v="2026-02-09T00:00:00"/>
    <x v="0"/>
    <x v="0"/>
    <s v="CAP7353470"/>
    <x v="0"/>
    <s v="VENTA DEPARTAMENTO 3 AMBIENTES CON PATIO - PALERMO BOTÁNICO"/>
    <s v="Realizado"/>
    <s v="AR ZonaProp"/>
    <n v="115000"/>
    <x v="170"/>
    <x v="1"/>
    <s v="Dólares"/>
    <s v="Dólares"/>
    <s v="Araoz  al 2600"/>
    <s v="Argentina | Capital Federal | Palermo | Botanico"/>
    <x v="0"/>
    <n v="2"/>
    <s v="Destino II"/>
    <s v="Propia (Único Asesor)"/>
    <x v="1"/>
    <s v="Venta"/>
    <x v="3"/>
    <s v="Recoleta"/>
  </r>
  <r>
    <d v="2026-02-27T00:00:00"/>
    <x v="0"/>
    <x v="0"/>
    <s v="CAP7458160"/>
    <x v="0"/>
    <s v="Venta departamento 3 amb Nuñez "/>
    <s v="Realizado"/>
    <s v="AR ZonaProp"/>
    <n v="105000"/>
    <x v="170"/>
    <x v="1"/>
    <s v="Dólares"/>
    <s v="Dólares"/>
    <s v="Departamento venta 3 ambientes Nuñez"/>
    <s v="Argentina | Capital Federal | Nuñez "/>
    <x v="0"/>
    <n v="2"/>
    <s v="Grupo Elite"/>
    <s v="Propia (Único Asesor)"/>
    <x v="1"/>
    <s v="Venta"/>
    <x v="3"/>
    <s v="Puerto Madero"/>
  </r>
  <r>
    <d v="2026-03-12T00:00:00"/>
    <x v="0"/>
    <x v="9"/>
    <s v="CAP7381775"/>
    <x v="0"/>
    <s v="Venta Departamento 2 ambientes balcon terraza y cochera  en Villa Santa RitaV"/>
    <s v="Realizado"/>
    <s v="AR ZonaProp"/>
    <n v="99900"/>
    <x v="170"/>
    <x v="1"/>
    <s v="Dólares"/>
    <s v="Dólares"/>
    <s v="Belaustegui  al 3000"/>
    <s v="Argentina | Capital Federal | Villa Santa Rita "/>
    <x v="0"/>
    <n v="2"/>
    <s v="Seniority"/>
    <s v="Propia (Único Asesor)"/>
    <x v="1"/>
    <s v="Venta"/>
    <x v="3"/>
    <s v="Barrio Parque"/>
  </r>
  <r>
    <d v="2026-03-16T00:00:00"/>
    <x v="0"/>
    <x v="9"/>
    <s v="CHO7648356"/>
    <x v="0"/>
    <s v="VENTA CASA - ALTO GORRITI"/>
    <s v="Realizado"/>
    <s v="Conocido"/>
    <n v="109000"/>
    <x v="170"/>
    <x v="1"/>
    <s v="Dólares"/>
    <s v="Dólares"/>
    <s v="VENTA CASA GORRITI"/>
    <s v="Argentina | Jujuy | Dr Manuel Belgrano | San Salvador De Jujuy"/>
    <x v="2"/>
    <n v="2"/>
    <s v="Plaza"/>
    <s v="Propia (Único Asesor)"/>
    <x v="1"/>
    <s v="Venta"/>
    <x v="8"/>
    <s v="Capital Jujuy"/>
  </r>
  <r>
    <d v="2025-05-21T00:00:00"/>
    <x v="1"/>
    <x v="2"/>
    <m/>
    <x v="0"/>
    <s v="UF 22 Paseo Retamas"/>
    <s v="Realizado"/>
    <s v="AR ZonaProp"/>
    <n v="96000"/>
    <x v="171"/>
    <x v="1"/>
    <s v="Dólares"/>
    <s v="Dólares"/>
    <s v="Retamas 300"/>
    <s v="Argentina | Neuquen | Villa La Angostura | Centro"/>
    <x v="6"/>
    <n v="2"/>
    <s v="Patagonia Lakes VLA"/>
    <s v="Compartida en Oficina (Dos Asesores)"/>
    <x v="1"/>
    <s v="Venta"/>
    <x v="1"/>
    <s v="Villa La Angostura"/>
  </r>
  <r>
    <d v="2025-07-23T00:00:00"/>
    <x v="1"/>
    <x v="1"/>
    <s v="CPH6338130"/>
    <x v="0"/>
    <s v="VENTA de PH de 2 dormitorios - Dina Huapi"/>
    <s v="Realizado"/>
    <s v="Teléfono"/>
    <n v="115000"/>
    <x v="171"/>
    <x v="1"/>
    <s v="Dólares"/>
    <s v="Dólares"/>
    <s v="Dina Huapi, Pilcaniyeu"/>
    <s v="Argentina | Rio Negro | Pilcaniyeu | Dina Huapi"/>
    <x v="3"/>
    <n v="2"/>
    <s v="Patagonia Lakes BRC"/>
    <s v="Compartida en Oficina (Dos Asesores)"/>
    <x v="1"/>
    <s v="Venta"/>
    <x v="7"/>
    <s v="Bariloche"/>
  </r>
  <r>
    <d v="2025-07-15T00:00:00"/>
    <x v="1"/>
    <x v="1"/>
    <s v="CHO6391546"/>
    <x v="0"/>
    <s v="Venta Casa 4 Ambientes con Cochera, Patio con Parrilla en Lomas del Mirador"/>
    <s v="Realizado"/>
    <s v="AR ArgenProp"/>
    <n v="106000"/>
    <x v="171"/>
    <x v="1"/>
    <s v="Dólares"/>
    <s v="Dólares"/>
    <s v="ROQUE SAENZ PEÑA al 3000"/>
    <s v="Argentina | G.B.A. Zona Oeste | La Matanza | Lomas Del Mirador"/>
    <x v="2"/>
    <n v="2"/>
    <s v="Seniority"/>
    <s v="Propia (Único Asesor)"/>
    <x v="1"/>
    <s v="Venta"/>
    <x v="3"/>
    <s v="Barrio Parque"/>
  </r>
  <r>
    <d v="2025-12-09T00:00:00"/>
    <x v="1"/>
    <x v="8"/>
    <s v="CAP6979654"/>
    <x v="0"/>
    <s v="Departamento en  CABALLITO NORTE"/>
    <s v="Realizado"/>
    <s v="AR ZonaProp"/>
    <n v="101000"/>
    <x v="171"/>
    <x v="1"/>
    <s v="Dólares"/>
    <s v="Dólares"/>
    <s v="JUAN BAUSTISTA ALBERDI al 800"/>
    <s v="Argentina | Capital Federal | Caballito | Caballito Norte"/>
    <x v="0"/>
    <n v="2"/>
    <s v="Haka"/>
    <s v="Propia (Único Asesor)"/>
    <x v="1"/>
    <s v="Venta"/>
    <x v="3"/>
    <s v="Núñez"/>
  </r>
  <r>
    <d v="2026-02-11T00:00:00"/>
    <x v="0"/>
    <x v="0"/>
    <m/>
    <x v="1"/>
    <s v="Libertad 420 - 2 / CB Seniority - Guadalupe y Claudio "/>
    <s v="Realizado"/>
    <s v="AR ZonaProp"/>
    <n v="0"/>
    <x v="172"/>
    <x v="1"/>
    <s v="Dólares"/>
    <s v="Dólares"/>
    <s v="Libertad 420"/>
    <s v="Argentina | Capital Federal | Recoleta "/>
    <x v="0"/>
    <n v="2"/>
    <s v="Destino"/>
    <s v="Compartida en Red (50%)"/>
    <x v="1"/>
    <s v="Venta"/>
    <x v="3"/>
    <s v="Recoleta"/>
  </r>
  <r>
    <d v="2026-02-22T00:00:00"/>
    <x v="0"/>
    <x v="0"/>
    <s v="CAP7381916"/>
    <x v="0"/>
    <s v="Venta Departamento 2 Ambientes con Balcon en San Nicolás"/>
    <s v="Realizado"/>
    <s v="AR ZonaProp"/>
    <n v="98000"/>
    <x v="172"/>
    <x v="1"/>
    <s v="Dólares"/>
    <s v="Dólares"/>
    <s v="Libertad al 400"/>
    <s v="Argentina | Capital Federal | San Nicolás "/>
    <x v="0"/>
    <n v="2"/>
    <s v="Seniority"/>
    <s v="Compartida en Red (50%)"/>
    <x v="1"/>
    <s v="Venta"/>
    <x v="3"/>
    <s v="Barrio Parque"/>
  </r>
  <r>
    <d v="2026-03-02T00:00:00"/>
    <x v="0"/>
    <x v="9"/>
    <s v="PIERES 679"/>
    <x v="0"/>
    <s v="PIERES 679"/>
    <s v="Realizado"/>
    <s v="AR ZonaProp"/>
    <n v="97000"/>
    <x v="173"/>
    <x v="1"/>
    <s v="Dólares"/>
    <s v="Dólares"/>
    <s v="PIERES 679"/>
    <s v="Argentina | Capital Federal | Liniers "/>
    <x v="3"/>
    <n v="1"/>
    <s v="Lion Team Norte"/>
    <s v="(Interior) Compartida Fuera de la Red Captación Propia"/>
    <x v="0"/>
    <s v="Venta"/>
    <x v="6"/>
    <s v="Vicente López"/>
  </r>
  <r>
    <d v="2025-02-17T00:00:00"/>
    <x v="1"/>
    <x v="0"/>
    <s v="APH6681646"/>
    <x v="0"/>
    <s v="PH 2 ambientes con patio en Monte Castro  "/>
    <s v="Realizado"/>
    <s v="AR ZonaProp"/>
    <n v="99000"/>
    <x v="173"/>
    <x v="1"/>
    <s v="Dólares"/>
    <s v="Dólares"/>
    <s v="Pasaje Jose Verdi 1860"/>
    <s v="Argentina | Capital Federal | Monte Castro "/>
    <x v="0"/>
    <n v="2"/>
    <s v="Desiderio"/>
    <s v="Propia (Único Asesor)"/>
    <x v="1"/>
    <s v="Venta"/>
    <x v="3"/>
    <s v="Caballito"/>
  </r>
  <r>
    <d v="2025-06-23T00:00:00"/>
    <x v="1"/>
    <x v="4"/>
    <s v="CAP6760869"/>
    <x v="0"/>
    <s v="Venta departamento 3 ambientes con balcón Parque Avellaneda"/>
    <s v="Realizado"/>
    <s v="AR ZonaProp"/>
    <n v="100000"/>
    <x v="173"/>
    <x v="1"/>
    <s v="Dólares"/>
    <s v="Dólares"/>
    <s v="Av. Directorio  al 3900"/>
    <s v="Argentina | Capital Federal | Parque Avellaneda "/>
    <x v="0"/>
    <n v="2"/>
    <s v="Grupo Elite"/>
    <s v="Propia (Único Asesor)"/>
    <x v="1"/>
    <s v="Venta"/>
    <x v="3"/>
    <s v="Puerto Madero"/>
  </r>
  <r>
    <d v="2025-06-27T00:00:00"/>
    <x v="1"/>
    <x v="4"/>
    <s v="CAP6735937"/>
    <x v="0"/>
    <s v="VENTA DEPARTAMENTO 3 AMBIENTES CON BALCÓN Y COCHERA - SAN NICOLÁS"/>
    <s v="Realizado"/>
    <s v="AR ZonaProp"/>
    <n v="99800"/>
    <x v="173"/>
    <x v="1"/>
    <s v="Dólares"/>
    <s v="Dólares"/>
    <s v="Uruguay al 700"/>
    <s v="Argentina | Capital Federal | San Nicolás "/>
    <x v="0"/>
    <n v="2"/>
    <s v="Seniority Plus"/>
    <s v="Propia (Único Asesor)"/>
    <x v="1"/>
    <s v="Venta"/>
    <x v="3"/>
    <s v="Palermo"/>
  </r>
  <r>
    <d v="2025-07-23T00:00:00"/>
    <x v="1"/>
    <x v="1"/>
    <s v="CBU64387 AP7063868"/>
    <x v="0"/>
    <s v="Departamento - Caballito"/>
    <s v="Realizado"/>
    <s v="AR ArgenProp"/>
    <n v="190000"/>
    <x v="174"/>
    <x v="1"/>
    <s v="Dólares"/>
    <s v="Dólares"/>
    <s v="José Bonifacio 1919"/>
    <s v="Argentina | Capital Federal | Caballito "/>
    <x v="0"/>
    <n v="2"/>
    <s v="Lion Team"/>
    <s v="Propia (Único Asesor)"/>
    <x v="1"/>
    <s v="Venta"/>
    <x v="3"/>
    <s v="Villa Urquiza"/>
  </r>
  <r>
    <d v="2025-10-22T00:00:00"/>
    <x v="1"/>
    <x v="11"/>
    <s v="CAP6830451"/>
    <x v="0"/>
    <s v="Venta Departamento 2 ambientes en Caballito  CON PATIO Y BALCON PISO 3"/>
    <s v="Realizado"/>
    <s v="AR ZonaProp"/>
    <n v="100000"/>
    <x v="174"/>
    <x v="1"/>
    <s v="Dólares"/>
    <s v="Dólares"/>
    <s v="Yerbal  1000        PISO 3"/>
    <s v="Argentina | Capital Federal | Caballito "/>
    <x v="0"/>
    <n v="2"/>
    <s v="Seniority"/>
    <s v="Propia (Único Asesor)"/>
    <x v="1"/>
    <s v="Venta"/>
    <x v="3"/>
    <s v="Barrio Parque"/>
  </r>
  <r>
    <d v="2026-03-02T00:00:00"/>
    <x v="0"/>
    <x v="9"/>
    <s v="CAP7675852"/>
    <x v="0"/>
    <s v="Departamento en Palermo"/>
    <s v="Realizado"/>
    <s v="AR ZonaProp"/>
    <n v="105000"/>
    <x v="174"/>
    <x v="1"/>
    <s v="Dólares"/>
    <s v="Dólares"/>
    <s v="Av..Coronel Diaz  al 1700"/>
    <s v="Argentina | Capital Federal | Palermo "/>
    <x v="0"/>
    <n v="2"/>
    <s v="Destino II"/>
    <s v="Propia (Único Asesor)"/>
    <x v="1"/>
    <s v="Venta"/>
    <x v="3"/>
    <s v="Recoleta"/>
  </r>
  <r>
    <d v="2026-03-11T00:00:00"/>
    <x v="0"/>
    <x v="9"/>
    <s v="ARAOZ 958"/>
    <x v="0"/>
    <s v="ARAOZ 958"/>
    <s v="Realizado"/>
    <s v="AR ZonaProp"/>
    <n v="198000"/>
    <x v="175"/>
    <x v="1"/>
    <s v="Dólares"/>
    <s v="Dólares"/>
    <s v="ARAOZ 958"/>
    <s v="Argentina | Capital Federal | Villa Crespo "/>
    <x v="0"/>
    <n v="1"/>
    <s v="Lion Team Norte"/>
    <s v="(Interior) Compartida Fuera de la Red Búsqueda"/>
    <x v="2"/>
    <s v="Venta"/>
    <x v="6"/>
    <s v="Vicente López"/>
  </r>
  <r>
    <d v="2025-07-31T00:00:00"/>
    <x v="1"/>
    <x v="1"/>
    <s v="CAP6694024"/>
    <x v="0"/>
    <s v="Venta Departamento en Las Victorias Bariloche"/>
    <s v="Realizado"/>
    <s v="Teléfono"/>
    <n v="99000"/>
    <x v="175"/>
    <x v="1"/>
    <s v="Dólares"/>
    <s v="Dólares"/>
    <s v="Las Victorias, San Carlos de Bariloche"/>
    <s v="Argentina | Rio Negro | Bariloche | San Carlos De Bariloche | Las Victorias"/>
    <x v="0"/>
    <n v="1"/>
    <s v="Patagonia Lakes BRC"/>
    <s v="(Interior) Compartida Fuera de la Red Captación Propia"/>
    <x v="0"/>
    <s v="Venta"/>
    <x v="7"/>
    <s v="Bariloche"/>
  </r>
  <r>
    <d v="2025-10-15T00:00:00"/>
    <x v="1"/>
    <x v="11"/>
    <s v="CAP7174444"/>
    <x v="0"/>
    <s v="OPORTUNIDAD! APTO CREDITO - Departamento 2 AMB a Nuevo en Almagro"/>
    <s v="Realizado"/>
    <s v="AR ZonaProp"/>
    <n v="99000"/>
    <x v="175"/>
    <x v="1"/>
    <s v="Dólares"/>
    <s v="Dólares"/>
    <s v="Yatay al 700"/>
    <s v="Argentina | Capital Federal | Almagro "/>
    <x v="0"/>
    <n v="2"/>
    <s v="Puerto Norte"/>
    <s v="Compartida en Oficina (Dos Asesores)"/>
    <x v="1"/>
    <s v="Venta"/>
    <x v="6"/>
    <s v="Nordelta"/>
  </r>
  <r>
    <d v="2025-07-24T00:00:00"/>
    <x v="1"/>
    <x v="1"/>
    <m/>
    <x v="1"/>
    <s v="Av. Callao 715 - Guillermina - CB Señority"/>
    <s v="Realizado"/>
    <s v="AR ZonaProp"/>
    <n v="98000"/>
    <x v="175"/>
    <x v="1"/>
    <s v="Dólares"/>
    <s v="Dólares"/>
    <s v="Av. Callao 715 - Guillermina - CB Señority"/>
    <s v="Argentina | Capital Federal | Recoleta "/>
    <x v="0"/>
    <n v="2"/>
    <s v="Destino"/>
    <s v="Compartida en Red (50%)"/>
    <x v="1"/>
    <s v="Venta"/>
    <x v="3"/>
    <s v="Recoleta"/>
  </r>
  <r>
    <d v="2025-07-24T00:00:00"/>
    <x v="1"/>
    <x v="1"/>
    <s v="CAP7002770"/>
    <x v="0"/>
    <s v="Venta Departamento 2 Ambientes Balcón Terraza, Barrio Norte"/>
    <s v="Realizado"/>
    <s v="AR ZonaProp"/>
    <n v="98000"/>
    <x v="175"/>
    <x v="1"/>
    <s v="Dólares"/>
    <s v="Dólares"/>
    <s v="Callao al 700"/>
    <s v="Argentina | Capital Federal | Barrio Norte "/>
    <x v="0"/>
    <n v="2"/>
    <s v="Seniority Plus"/>
    <s v="Compartida en Red (50%)"/>
    <x v="1"/>
    <s v="Venta"/>
    <x v="3"/>
    <s v="Palermo"/>
  </r>
  <r>
    <d v="2025-07-18T00:00:00"/>
    <x v="1"/>
    <x v="1"/>
    <n v="24"/>
    <x v="0"/>
    <s v="Varela 682"/>
    <s v="Realizado"/>
    <s v="AR ZonaProp"/>
    <n v="98000"/>
    <x v="175"/>
    <x v="1"/>
    <s v="Dólares"/>
    <s v="Dólares"/>
    <s v="Varela 682"/>
    <s v="Argentina | Capital Federal | Flores "/>
    <x v="0"/>
    <n v="1"/>
    <s v="Grupo Elite"/>
    <s v="Compartida Fuera de la Red Búsqueda"/>
    <x v="2"/>
    <s v="Venta"/>
    <x v="3"/>
    <s v="Puerto Madero"/>
  </r>
  <r>
    <d v="2025-12-05T00:00:00"/>
    <x v="1"/>
    <x v="8"/>
    <s v="italia 1179"/>
    <x v="0"/>
    <s v="italia 1179 1ro c tigre (remax)"/>
    <s v="Realizado"/>
    <s v="Repetido"/>
    <n v="98000"/>
    <x v="175"/>
    <x v="1"/>
    <s v="Dólares"/>
    <s v="Dólares"/>
    <s v=" italia 1179 1ro c tigre (remax)"/>
    <s v="Argentina | G.B.A. Zona Norte | Tigre | Tigre"/>
    <x v="0"/>
    <n v="1"/>
    <s v="Concept"/>
    <s v="Compartida Fuera de la Red Búsqueda"/>
    <x v="2"/>
    <s v="Venta"/>
    <x v="6"/>
    <s v="Tigre"/>
  </r>
  <r>
    <d v="2025-10-26T00:00:00"/>
    <x v="1"/>
    <x v="11"/>
    <s v="CAP6771879"/>
    <x v="0"/>
    <s v="Departamento venta 4 amb"/>
    <s v="Realizado"/>
    <s v="AR ZonaProp"/>
    <n v="110000"/>
    <x v="175"/>
    <x v="1"/>
    <s v="Dólares"/>
    <s v="Dólares"/>
    <s v="Rincón al 100"/>
    <s v="Argentina | Capital Federal | Congreso "/>
    <x v="0"/>
    <n v="2"/>
    <s v="Horizon Group"/>
    <s v="Compartida Fuera de la Red Captación Propia"/>
    <x v="0"/>
    <s v="Venta"/>
    <x v="3"/>
    <s v="Núñez"/>
  </r>
  <r>
    <d v="2025-07-28T00:00:00"/>
    <x v="1"/>
    <x v="1"/>
    <s v="CBU42019 AP6893978"/>
    <x v="0"/>
    <s v="Departamento 1 ambiente vista al lago - Bariloche"/>
    <s v="Realizado"/>
    <s v="Teléfono"/>
    <n v="104000"/>
    <x v="175"/>
    <x v="1"/>
    <s v="Dólares"/>
    <s v="Dólares"/>
    <s v="Jardin Botanico, San Carlos de Bariloche"/>
    <s v="Argentina | Rio Negro | Bariloche | San Carlos De Bariloche"/>
    <x v="0"/>
    <n v="2"/>
    <s v="Patagonia Lakes BRC"/>
    <s v="Propia (Único Asesor)"/>
    <x v="1"/>
    <s v="Venta"/>
    <x v="7"/>
    <s v="Bariloche"/>
  </r>
  <r>
    <d v="2026-01-13T00:00:00"/>
    <x v="0"/>
    <x v="10"/>
    <s v="CAP7273230"/>
    <x v="0"/>
    <s v="VENTA DEPARTAMENTO 2 AMBIENTES BALCON PALERMO"/>
    <s v="Realizado"/>
    <s v="AR MercadoLibre"/>
    <n v="109900"/>
    <x v="175"/>
    <x v="1"/>
    <s v="Dólares"/>
    <s v="Dólares"/>
    <s v="Serrano al 1400"/>
    <s v="Argentina | Capital Federal | Palermo "/>
    <x v="0"/>
    <n v="2"/>
    <s v="Lion Team"/>
    <s v="Propia (Único Asesor)"/>
    <x v="1"/>
    <s v="Venta"/>
    <x v="3"/>
    <s v="Villa Urquiza"/>
  </r>
  <r>
    <d v="2025-10-01T00:00:00"/>
    <x v="1"/>
    <x v="11"/>
    <m/>
    <x v="0"/>
    <s v="UF 57, parte del Edificio Nº 2, conforme croquis adjunto en el ANEXO III, ubicado en calle Las Retamas y Las Mutisias, que será parte del Fideicomiso Retamas, emprendimiento a construir sobre la nomenclatura catastral: 16-20-070-8351-0000"/>
    <s v="Realizado"/>
    <s v="Web Coldwell-Banker"/>
    <n v="98400"/>
    <x v="176"/>
    <x v="1"/>
    <s v="Dólares"/>
    <s v="Dólares"/>
    <s v="Las Retamas y Las Mutisias"/>
    <s v="Argentina | Neuquen | Villa La Angostura | Centro"/>
    <x v="0"/>
    <n v="2"/>
    <s v="Patagonia Lakes VLA"/>
    <s v="Propia (Único Asesor)"/>
    <x v="1"/>
    <s v="Venta"/>
    <x v="1"/>
    <s v="Villa La Angostura"/>
  </r>
  <r>
    <d v="2026-03-26T00:00:00"/>
    <x v="0"/>
    <x v="9"/>
    <s v="CBU60233 AP6592841"/>
    <x v="0"/>
    <s v="VENTA Depto Monoambiente KM2"/>
    <s v="Realizado"/>
    <s v="Teléfono"/>
    <n v="99094"/>
    <x v="177"/>
    <x v="1"/>
    <s v="Dólares"/>
    <s v="Dólares"/>
    <s v="Avenida Pioneros  al 2000"/>
    <s v="Argentina | Rio Negro | Bariloche | San Carlos De Bariloche | Centro"/>
    <x v="0"/>
    <n v="2"/>
    <s v="Patagonia Lakes BRC"/>
    <s v="Propia (Único Asesor)"/>
    <x v="1"/>
    <s v="Venta"/>
    <x v="7"/>
    <s v="Bariloche"/>
  </r>
  <r>
    <d v="2025-07-10T00:00:00"/>
    <x v="1"/>
    <x v="1"/>
    <m/>
    <x v="2"/>
    <s v="Altos Radal 2 “UF Nº 6, planta baja, vivienda familiar, de dos ambientes de 48 m2 aproximadamente, con parque privado de aproximadamente 25 m2 y espacio guardacoche descubierto a designar"/>
    <s v="Realizado"/>
    <s v="AR ZonaProp"/>
    <n v="99000"/>
    <x v="178"/>
    <x v="1"/>
    <s v="Dólares"/>
    <s v="Dólares"/>
    <s v="Michay  y Millaqueo"/>
    <s v="Argentina | Neuquen | Villa La Angostura | El Once"/>
    <x v="0"/>
    <n v="2"/>
    <s v="Patagonia Lakes VLA"/>
    <s v="Master"/>
    <x v="1"/>
    <s v="Venta"/>
    <x v="1"/>
    <s v="Villa La Angostura"/>
  </r>
  <r>
    <d v="2025-09-24T00:00:00"/>
    <x v="1"/>
    <x v="6"/>
    <s v="AHO6988368"/>
    <x v="0"/>
    <s v="Casa 4 ambientes en Burzaco"/>
    <s v="Realizado"/>
    <s v="AR ZonaProp"/>
    <n v="99000"/>
    <x v="178"/>
    <x v="1"/>
    <s v="Dólares"/>
    <s v="Dólares"/>
    <s v="Melian al 900"/>
    <s v="Argentina | G.B.A. Zona Sur | Almirante Brown | Burzaco"/>
    <x v="2"/>
    <n v="2"/>
    <s v="Desiderio"/>
    <s v="Profesional Referido (70%)"/>
    <x v="1"/>
    <s v="Venta"/>
    <x v="3"/>
    <s v="Caballito"/>
  </r>
  <r>
    <d v="2025-03-20T00:00:00"/>
    <x v="1"/>
    <x v="9"/>
    <m/>
    <x v="0"/>
    <s v="Altos Radal 2 “UF Nº 6, planta baja, vivienda familiar, de dos ambientes de 48 m2 aproximadamente, con parque privado de aproximadamente 25 m2 y espacio guardacoche descubierto a designar"/>
    <s v="Realizado"/>
    <s v="Repetido"/>
    <n v="99000"/>
    <x v="178"/>
    <x v="1"/>
    <s v="Dólares"/>
    <s v="Dólares"/>
    <s v="Michay  y Millaqueo"/>
    <s v="Argentina | Neuquen | Villa La Angostura | El Once"/>
    <x v="0"/>
    <n v="2"/>
    <s v="Patagonia Lakes VLA"/>
    <s v="Propia (Único Asesor)"/>
    <x v="1"/>
    <s v="Venta"/>
    <x v="1"/>
    <s v="Villa La Angostura"/>
  </r>
  <r>
    <d v="2025-06-04T00:00:00"/>
    <x v="1"/>
    <x v="4"/>
    <s v="CAP6634195"/>
    <x v="0"/>
    <s v="Venta Departamento 3 ambientes en Almagro"/>
    <s v="Realizado"/>
    <s v="AR ZonaProp"/>
    <n v="100000"/>
    <x v="178"/>
    <x v="1"/>
    <s v="Dólares"/>
    <s v="Dólares"/>
    <s v="Sanchez de Bustamante 24"/>
    <s v="Argentina | Capital Federal | Almagro "/>
    <x v="0"/>
    <n v="2"/>
    <s v="Seniority"/>
    <s v="Propia (Único Asesor)"/>
    <x v="1"/>
    <s v="Venta"/>
    <x v="3"/>
    <s v="Barrio Parque"/>
  </r>
  <r>
    <d v="2025-06-23T00:00:00"/>
    <x v="1"/>
    <x v="4"/>
    <s v="CLO6046500"/>
    <x v="0"/>
    <s v="GALPON SIN EXPENSAS EN VENTA DE 180 M2 LIBRES EN BARRACAS"/>
    <s v="Realizado"/>
    <s v="AR ZonaProp"/>
    <n v="110000"/>
    <x v="178"/>
    <x v="1"/>
    <s v="Dólares"/>
    <s v="Dólares"/>
    <s v="LOS PATOS al 1800"/>
    <s v="Argentina | Capital Federal | Barracas "/>
    <x v="7"/>
    <n v="2"/>
    <s v="Lion Team Norte"/>
    <s v="Propia (Único Asesor)"/>
    <x v="1"/>
    <s v="Venta"/>
    <x v="6"/>
    <s v="Vicente López"/>
  </r>
  <r>
    <d v="2025-10-01T00:00:00"/>
    <x v="1"/>
    <x v="11"/>
    <s v="CAP5136458"/>
    <x v="0"/>
    <s v="VENTA Departamento a estrenar, 2 amb 50 m2, Apto ATT m2 céntrico UF 25 centro de Villa la Angostura"/>
    <s v="Realizado"/>
    <s v="Repetido"/>
    <n v="108200"/>
    <x v="178"/>
    <x v="1"/>
    <s v="Dólares"/>
    <s v="Dólares"/>
    <s v="Millaqueo Y Michay, Villa la Angostura"/>
    <s v="Argentina | Neuquen | Villa La Angostura | El Once"/>
    <x v="0"/>
    <n v="2"/>
    <s v="Patagonia Lakes VLA"/>
    <s v="Propia (Único Asesor)"/>
    <x v="1"/>
    <s v="Venta"/>
    <x v="1"/>
    <s v="Villa La Angostura"/>
  </r>
  <r>
    <d v="2025-08-11T00:00:00"/>
    <x v="1"/>
    <x v="5"/>
    <s v="CAP7025603"/>
    <x v="0"/>
    <s v="Venta monoambiente a estrenar amenities de categoria (Belgrano)"/>
    <s v="Realizado"/>
    <s v="AR ZonaProp"/>
    <n v="120000"/>
    <x v="179"/>
    <x v="1"/>
    <s v="Dólares"/>
    <s v="Dólares"/>
    <s v="Cramer  al 2500 9°"/>
    <s v="Argentina | Capital Federal | Belgrano "/>
    <x v="0"/>
    <n v="2"/>
    <s v="Seniority"/>
    <s v="Propia (Único Asesor)"/>
    <x v="1"/>
    <s v="Venta"/>
    <x v="3"/>
    <s v="Barrio Parque"/>
  </r>
  <r>
    <d v="2025-06-01T00:00:00"/>
    <x v="1"/>
    <x v="4"/>
    <s v="CBU59337 AP6466923"/>
    <x v="0"/>
    <s v="VENTA Monoambiente 39,74m2 UF 55- en pozo, Paseo Retamas,El Cruce, Villa la Angostura"/>
    <s v="Realizado"/>
    <s v="AR ZonaProp"/>
    <n v="82214"/>
    <x v="180"/>
    <x v="1"/>
    <s v="Dólares"/>
    <s v="Dólares"/>
    <s v="Retamas al 300"/>
    <s v="Argentina | Neuquen | Villa La Angostura | Centro"/>
    <x v="0"/>
    <n v="2"/>
    <s v="Patagonia Lakes VLA"/>
    <s v="Compartida en Oficina (Dos Asesores)"/>
    <x v="1"/>
    <s v="Venta"/>
    <x v="1"/>
    <s v="Villa La Angostura"/>
  </r>
  <r>
    <d v="2025-10-17T00:00:00"/>
    <x v="1"/>
    <x v="11"/>
    <m/>
    <x v="0"/>
    <s v="Dpto en venta"/>
    <s v="Realizado"/>
    <s v="AR ZonaProp"/>
    <n v="0"/>
    <x v="181"/>
    <x v="1"/>
    <s v="Dólares"/>
    <s v="Dólares"/>
    <s v="Nuñez 3661 piso 19 dto D "/>
    <s v="Argentina | Capital Federal | Belgrano "/>
    <x v="1"/>
    <n v="1"/>
    <s v="Seniority"/>
    <s v="Compartida Fuera de la Red Búsqueda"/>
    <x v="2"/>
    <s v="Venta"/>
    <x v="3"/>
    <s v="Barrio Parque"/>
  </r>
  <r>
    <d v="2025-04-14T00:00:00"/>
    <x v="1"/>
    <x v="3"/>
    <s v="69Tato"/>
    <x v="0"/>
    <s v="Casa Arroyo Leyes"/>
    <s v="Realizado"/>
    <s v="Conocido"/>
    <n v="115000"/>
    <x v="182"/>
    <x v="1"/>
    <s v="Dólares"/>
    <s v="Dólares"/>
    <m/>
    <s v="Argentina | Santa Fe | La Capital | Arroyo Leyes"/>
    <x v="2"/>
    <n v="1"/>
    <s v="De la Veracruz"/>
    <s v="(Interior) Compartida Fuera de la Red Búsqueda"/>
    <x v="2"/>
    <s v="Venta"/>
    <x v="5"/>
    <s v="Capital Santa Fe"/>
  </r>
  <r>
    <d v="2025-12-01T00:00:00"/>
    <x v="1"/>
    <x v="8"/>
    <m/>
    <x v="0"/>
    <s v="Op. con Century. UF 1, Superficie total: 43,75m2, Superficie cubierta: 35m2, Superficie. semicubierta 5,5m2, Superficie Descubierta: 24m2 ubicado en calle Libertad s/n en emprendimiento “Rumbo 1” nomenclatura catastral 16-20-062-8266"/>
    <s v="Realizado"/>
    <s v="AR ZonaProp"/>
    <n v="100000"/>
    <x v="182"/>
    <x v="1"/>
    <s v="Dólares"/>
    <s v="Dólares"/>
    <s v="Libertad S/N"/>
    <s v="Argentina | Neuquen | Villa La Angostura | Centro"/>
    <x v="0"/>
    <n v="1"/>
    <s v="Patagonia Lakes VLA"/>
    <s v="(Interior) Compartida Fuera de la Red Búsqueda"/>
    <x v="2"/>
    <s v="Venta"/>
    <x v="1"/>
    <s v="Villa La Angostura"/>
  </r>
  <r>
    <d v="2026-01-28T00:00:00"/>
    <x v="0"/>
    <x v="10"/>
    <s v="CAP6486354"/>
    <x v="0"/>
    <s v="Departamento en venta ubicado en calle Gorriti 80 - Salta"/>
    <s v="Realizado"/>
    <s v="Referido"/>
    <n v="110000"/>
    <x v="182"/>
    <x v="1"/>
    <s v="Dólares"/>
    <s v="Dólares"/>
    <s v="Gorriti 80 "/>
    <s v="Argentina | Salta | Capital | Salta | Zona Centro"/>
    <x v="0"/>
    <n v="1"/>
    <s v="Realty Group"/>
    <s v="(Interior) Compartida Fuera de la Red Captación Propia"/>
    <x v="0"/>
    <s v="Venta"/>
    <x v="4"/>
    <s v="San Lorenzo Chico"/>
  </r>
  <r>
    <d v="2026-03-05T00:00:00"/>
    <x v="0"/>
    <x v="9"/>
    <s v="CHO7075779"/>
    <x v="0"/>
    <s v="Casa en Venta 2 dormitorios calle 7 entre 419 y 420 Villa Elisa"/>
    <s v="Realizado"/>
    <s v="AR MercadoLibre"/>
    <n v="109000"/>
    <x v="182"/>
    <x v="1"/>
    <s v="Dólares"/>
    <s v="Dólares"/>
    <s v="Casa en Venta 2 Dormitorios, Cocina, Patio Calle 7 820 entre 419 y 420, Villa Elisa"/>
    <s v="Argentina | G.B.A. Zona Sur | La Plata | Villa Elisa"/>
    <x v="2"/>
    <n v="1"/>
    <s v="Golden Team"/>
    <s v="(Interior) Compartida Fuera de la Red Captación Propia"/>
    <x v="0"/>
    <s v="Venta"/>
    <x v="0"/>
    <s v="La Plata"/>
  </r>
  <r>
    <d v="2025-08-14T00:00:00"/>
    <x v="1"/>
    <x v="5"/>
    <m/>
    <x v="0"/>
    <s v="UF 76 y UC 57  asignada como cochera y baulera + inventario Av. 7 Lagos 95 en el COMPLEJO PATAGONIA, nomenclatura catastral lote madre: 16-20-0624-969-0000"/>
    <s v="Realizado"/>
    <s v="Conocido"/>
    <n v="105000"/>
    <x v="182"/>
    <x v="1"/>
    <s v="Dólares"/>
    <s v="Dólares"/>
    <s v="Av. 7 lagos 95"/>
    <s v="Argentina | Neuquen | Villa La Angostura | Centro"/>
    <x v="0"/>
    <n v="2"/>
    <s v="Patagonia Lakes VLA"/>
    <s v="Compartida en Oficina (Dos Asesores)"/>
    <x v="1"/>
    <s v="Venta"/>
    <x v="1"/>
    <s v="Villa La Angostura"/>
  </r>
  <r>
    <d v="2025-08-29T00:00:00"/>
    <x v="1"/>
    <x v="5"/>
    <s v="CHO6650693"/>
    <x v="0"/>
    <s v="VENTA Casa UF4 Planta Alta 60 m² Lote 200m²  B° Cordones de Chapelco San Martín de los Andes"/>
    <s v="Realizado"/>
    <s v="Referido"/>
    <n v="75000"/>
    <x v="182"/>
    <x v="1"/>
    <s v="Dólares"/>
    <s v="Dólares"/>
    <s v="Cerro de la Virgen"/>
    <s v="Argentina | Neuquen | Lacar | San Martin De Los Andes | Chacra 28"/>
    <x v="2"/>
    <n v="2"/>
    <s v="Patagonia Lakes SMA"/>
    <s v="Compartida en Oficina (Dos Asesores)"/>
    <x v="1"/>
    <s v="Venta"/>
    <x v="1"/>
    <s v="San Martín de los Andes"/>
  </r>
  <r>
    <d v="2025-09-25T00:00:00"/>
    <x v="1"/>
    <x v="6"/>
    <s v="VAP5776863"/>
    <x v="0"/>
    <s v="Duplex en Venta de 3 ambientes en el Barrio Altos del Encuentro en Pacheco / Benavidez"/>
    <s v="Realizado"/>
    <s v="AR ZonaProp"/>
    <n v="115000"/>
    <x v="182"/>
    <x v="1"/>
    <s v="Dólares"/>
    <s v="Dólares"/>
    <s v="Departamento 2 dormitorios con parrilla en Barrio Altos del Encuentro en Pacheco / Benavidez"/>
    <s v="Argentina | G.B.A. Zona Norte | Tigre | Countries/B.Cerrado (Tigre) | Altos del Encuentro"/>
    <x v="0"/>
    <n v="2"/>
    <s v="Puerto Norte"/>
    <s v="Compartida en Oficina (Dos Asesores)"/>
    <x v="1"/>
    <s v="Venta"/>
    <x v="6"/>
    <s v="Nordelta"/>
  </r>
  <r>
    <d v="2026-01-14T00:00:00"/>
    <x v="0"/>
    <x v="10"/>
    <s v="CAP4631415"/>
    <x v="0"/>
    <s v="VENTA Oportunidad! Depto 2amb 43m2 céntrico a estrenar, con gas Villa la Angostura"/>
    <s v="Realizado"/>
    <s v="Salón"/>
    <n v="100000"/>
    <x v="182"/>
    <x v="1"/>
    <s v="Dólares"/>
    <s v="Dólares"/>
    <s v="Millaqueo Y Michay, Villa la Angostura"/>
    <s v="Argentina | Neuquen | Villa La Angostura | El Once"/>
    <x v="0"/>
    <n v="2"/>
    <s v="Patagonia Lakes VLA"/>
    <s v="Compartida en Oficina (Dos Asesores)"/>
    <x v="1"/>
    <s v="Venta"/>
    <x v="1"/>
    <s v="Villa La Angostura"/>
  </r>
  <r>
    <d v="2025-07-07T00:00:00"/>
    <x v="1"/>
    <x v="1"/>
    <s v="Casa Romina Blanquez"/>
    <x v="0"/>
    <s v="Casa Romina Blanquez"/>
    <s v="Realizado"/>
    <s v="AR ZonaProp"/>
    <n v="100000"/>
    <x v="182"/>
    <x v="1"/>
    <s v="Dólares"/>
    <s v="Dólares"/>
    <m/>
    <s v="Argentina | Neuquen | Capital "/>
    <x v="2"/>
    <n v="1"/>
    <s v="Sensus"/>
    <s v="Compartida Fuera de la Red Búsqueda"/>
    <x v="2"/>
    <s v="Venta"/>
    <x v="1"/>
    <s v="Capital Neuquén"/>
  </r>
  <r>
    <d v="2025-10-17T00:00:00"/>
    <x v="1"/>
    <x v="11"/>
    <m/>
    <x v="0"/>
    <s v="Ayacucho 1375 - RBA Inmo - Rodriguez Mañe"/>
    <s v="Realizado"/>
    <s v="AR ZonaProp"/>
    <n v="100000"/>
    <x v="182"/>
    <x v="1"/>
    <s v="Dólares"/>
    <s v="Dólares"/>
    <s v="Ayacucho 1375"/>
    <s v="Argentina | Capital Federal | Recoleta "/>
    <x v="0"/>
    <n v="1"/>
    <s v="Destino"/>
    <s v="Compartida Fuera de la Red Búsqueda"/>
    <x v="2"/>
    <s v="Venta"/>
    <x v="3"/>
    <s v="Recoleta"/>
  </r>
  <r>
    <d v="2025-11-05T00:00:00"/>
    <x v="1"/>
    <x v="7"/>
    <s v="N/C - LUIS MARIA CAMPOS 369"/>
    <x v="0"/>
    <s v="VENTA DPTO MONOAMBIENTE EN CAÑITAS"/>
    <s v="Realizado"/>
    <s v="AR ZonaProp"/>
    <n v="100000"/>
    <x v="182"/>
    <x v="1"/>
    <s v="Dólares"/>
    <s v="Dólares"/>
    <s v="LUIS MARIA CAMPOS 369"/>
    <s v="Argentina | Capital Federal | Palermo | Las Cañitas"/>
    <x v="0"/>
    <n v="1"/>
    <s v="Destino II"/>
    <s v="Compartida Fuera de la Red Búsqueda"/>
    <x v="2"/>
    <s v="Venta"/>
    <x v="3"/>
    <s v="Recoleta"/>
  </r>
  <r>
    <d v="2025-12-10T00:00:00"/>
    <x v="1"/>
    <x v="8"/>
    <s v="VAP5776863"/>
    <x v="0"/>
    <s v="Duplex en Venta de 3 ambientes en el Barrio Altos del Encuentro en Pacheco / Benavidez"/>
    <s v="Realizado"/>
    <s v="AR MercadoLibre"/>
    <n v="115000"/>
    <x v="182"/>
    <x v="1"/>
    <s v="Dólares"/>
    <s v="Dólares"/>
    <s v="Departamento 2 dormitorios con parrilla en Barrio Altos del Encuentro en Pacheco / Benavidez"/>
    <s v="Argentina | G.B.A. Zona Norte | Tigre | Countries/B.Cerrado (Tigre) | Altos del Encuentro"/>
    <x v="0"/>
    <n v="1"/>
    <s v="Puerto Norte"/>
    <s v="Compartida Fuera de la Red Búsqueda"/>
    <x v="2"/>
    <s v="Venta"/>
    <x v="6"/>
    <s v="Nordelta"/>
  </r>
  <r>
    <d v="2025-03-28T00:00:00"/>
    <x v="1"/>
    <x v="9"/>
    <s v="VAP4487867"/>
    <x v="0"/>
    <s v="Departamento en venta 2 Amb Cochera  Tigre Centro - 2 cuadras del Puerto de Frutos"/>
    <s v="Realizado"/>
    <s v="AR ZonaProp"/>
    <n v="105000"/>
    <x v="182"/>
    <x v="1"/>
    <s v="Dólares"/>
    <s v="Dólares"/>
    <s v="Saenz Peña al 1200"/>
    <s v="Argentina | G.B.A. Zona Norte | Tigre | Tigre | Ciudad De Tigre"/>
    <x v="0"/>
    <n v="2"/>
    <s v="Puerto Norte"/>
    <s v="Compartida Fuera de la Red Captación Propia"/>
    <x v="0"/>
    <s v="Venta"/>
    <x v="6"/>
    <s v="Nordelta"/>
  </r>
  <r>
    <d v="2025-06-13T00:00:00"/>
    <x v="1"/>
    <x v="4"/>
    <s v="CAP6320407"/>
    <x v="0"/>
    <s v="Venta Departamento 2 ambientes con cochera, baulera y Seg 24hs en Recoleta"/>
    <s v="Realizado"/>
    <s v="AR ZonaProp"/>
    <n v="125000"/>
    <x v="182"/>
    <x v="1"/>
    <s v="Dólares"/>
    <s v="Dólares"/>
    <s v="Av Libertador  al 1000"/>
    <s v="Argentina | Capital Federal | Recoleta "/>
    <x v="0"/>
    <n v="2"/>
    <s v="Seniority Plus"/>
    <s v="Compartida Fuera de la Red Captación Propia"/>
    <x v="0"/>
    <s v="Venta"/>
    <x v="3"/>
    <s v="Palermo"/>
  </r>
  <r>
    <d v="2026-03-26T00:00:00"/>
    <x v="0"/>
    <x v="9"/>
    <s v="CAP7286357"/>
    <x v="0"/>
    <s v="Departamento de  tres amb"/>
    <s v="Realizado"/>
    <s v="AR ZonaProp"/>
    <n v="104000"/>
    <x v="182"/>
    <x v="1"/>
    <s v="Dólares"/>
    <s v="Dólares"/>
    <s v="Colodrero al 2300"/>
    <s v="Argentina | Capital Federal | Villa Urquiza "/>
    <x v="0"/>
    <n v="2"/>
    <s v="Seniority"/>
    <s v="Compartida Fuera de la Red Captación Propia"/>
    <x v="0"/>
    <s v="Venta"/>
    <x v="3"/>
    <s v="Barrio Parque"/>
  </r>
  <r>
    <d v="2025-01-16T00:00:00"/>
    <x v="1"/>
    <x v="10"/>
    <s v="CAP6566341"/>
    <x v="0"/>
    <s v="Depto 2 amb con Jardin Venta- Lagoon Pilar"/>
    <s v="Realizado"/>
    <s v="Referido"/>
    <n v="750"/>
    <x v="182"/>
    <x v="1"/>
    <s v="Dólares"/>
    <s v="Dólares"/>
    <s v="Depto 2 amb con Jardin Venta- Lagoon Pilar"/>
    <s v="Argentina | G.B.A. Zona Norte | Pilar | Countries/B.Cerrado (Pilar) | Lagoon Pilar"/>
    <x v="0"/>
    <n v="2"/>
    <s v="North Team"/>
    <s v="Propia (Único Asesor)"/>
    <x v="1"/>
    <s v="Venta"/>
    <x v="6"/>
    <s v="Pilar"/>
  </r>
  <r>
    <d v="2025-02-17T00:00:00"/>
    <x v="1"/>
    <x v="0"/>
    <s v="CLA6382117"/>
    <x v="0"/>
    <s v="Terreno en Ituzaingó"/>
    <s v="Realizado"/>
    <s v="AR MercadoLibre"/>
    <n v="116000"/>
    <x v="182"/>
    <x v="1"/>
    <s v="Dólares"/>
    <s v="Dólares"/>
    <s v="Atacama  al 900"/>
    <s v="Argentina | Corrientes | Ituzaingó | Ituzaingó | Ituzaingó"/>
    <x v="1"/>
    <n v="2"/>
    <s v="Lion Team"/>
    <s v="Propia (Único Asesor)"/>
    <x v="1"/>
    <s v="Venta"/>
    <x v="3"/>
    <s v="Villa Urquiza"/>
  </r>
  <r>
    <d v="2025-02-28T00:00:00"/>
    <x v="1"/>
    <x v="0"/>
    <s v="CHO6128413"/>
    <x v="0"/>
    <s v="Casa en Venta esquina -Jardin -Terraza - Cochera - Lanús Oeste"/>
    <s v="Realizado"/>
    <s v="AR ArgenProp"/>
    <n v="119000"/>
    <x v="182"/>
    <x v="1"/>
    <s v="Dólares"/>
    <s v="Dólares"/>
    <s v="AYACUCHO al 100"/>
    <s v="Argentina | G.B.A. Zona Sur | Lanús | Lanús | Lanús Oeste"/>
    <x v="2"/>
    <n v="2"/>
    <s v="Lion Team"/>
    <s v="Propia (Único Asesor)"/>
    <x v="1"/>
    <s v="Venta"/>
    <x v="3"/>
    <s v="Villa Urquiza"/>
  </r>
  <r>
    <d v="2025-04-02T00:00:00"/>
    <x v="1"/>
    <x v="3"/>
    <s v="CHO6693692"/>
    <x v="0"/>
    <s v="Casa en venta ubicado en Vaqueros "/>
    <s v="Realizado"/>
    <s v="Facebook"/>
    <n v="100000"/>
    <x v="182"/>
    <x v="1"/>
    <s v="Dólares"/>
    <s v="Dólares"/>
    <s v="Vaqueros calle Los Aromos "/>
    <s v="Argentina | Salta | Capital | Salta | Zona Norte"/>
    <x v="2"/>
    <n v="2"/>
    <s v="Realty Group"/>
    <s v="Propia (Único Asesor)"/>
    <x v="1"/>
    <s v="Venta"/>
    <x v="4"/>
    <s v="San Lorenzo Chico"/>
  </r>
  <r>
    <d v="2025-04-22T00:00:00"/>
    <x v="1"/>
    <x v="3"/>
    <s v="CHO6711959"/>
    <x v="0"/>
    <s v="Casa en Barrio Universitario"/>
    <s v="Realizado"/>
    <s v="Facebook"/>
    <n v="105000"/>
    <x v="182"/>
    <x v="1"/>
    <s v="Dólares"/>
    <s v="Dólares"/>
    <s v="Salvador Mazza  al 300"/>
    <s v="Argentina | Salta | Capital "/>
    <x v="2"/>
    <n v="2"/>
    <s v="Realty Group"/>
    <s v="Propia (Único Asesor)"/>
    <x v="1"/>
    <s v="Venta"/>
    <x v="4"/>
    <s v="San Lorenzo Chico"/>
  </r>
  <r>
    <d v="2025-04-22T00:00:00"/>
    <x v="1"/>
    <x v="3"/>
    <s v="CLA6311493"/>
    <x v="0"/>
    <s v="Venta, Terreno, Lote, Saenz Peña, Santos Lugares."/>
    <s v="Realizado"/>
    <s v="AR ZonaProp"/>
    <n v="180000"/>
    <x v="182"/>
    <x v="1"/>
    <s v="Dólares"/>
    <s v="Dólares"/>
    <s v="Ameghino  al 3200"/>
    <s v="Argentina | G.B.A. Zona Oeste | Tres De Febrero | Villa Saenz Peña"/>
    <x v="1"/>
    <n v="2"/>
    <s v="Lion Team"/>
    <s v="Propia (Único Asesor)"/>
    <x v="1"/>
    <s v="Venta"/>
    <x v="3"/>
    <s v="Villa Urquiza"/>
  </r>
  <r>
    <d v="2025-04-25T00:00:00"/>
    <x v="1"/>
    <x v="3"/>
    <s v="CHO6477632"/>
    <x v="0"/>
    <s v="Casa en  12 de Octubre"/>
    <s v="Realizado"/>
    <s v="AR ArgenProp"/>
    <n v="105000"/>
    <x v="182"/>
    <x v="1"/>
    <s v="Dólares"/>
    <s v="Dólares"/>
    <s v="Isabel la catolica al 100"/>
    <s v="Argentina | Jujuy | Dr Manuel Belgrano | San Salvador De Jujuy"/>
    <x v="2"/>
    <n v="2"/>
    <s v="Plaza"/>
    <s v="Propia (Único Asesor)"/>
    <x v="1"/>
    <s v="Venta"/>
    <x v="8"/>
    <s v="Capital Jujuy"/>
  </r>
  <r>
    <d v="2025-04-30T00:00:00"/>
    <x v="1"/>
    <x v="3"/>
    <s v="JPH6640188"/>
    <x v="0"/>
    <s v="PH en VENTA EN PLANTA BAJA IMPECABLE ESTADO A METROS DEL PARQUE CHACABUCO "/>
    <s v="Realizado"/>
    <s v="AR ZonaProp"/>
    <n v="105000"/>
    <x v="182"/>
    <x v="1"/>
    <s v="Dólares"/>
    <s v="Dólares"/>
    <s v="EMILIO MITRE al 1400"/>
    <s v="Argentina | Capital Federal | Parque Chacabuco "/>
    <x v="3"/>
    <n v="2"/>
    <s v="Lion Team Norte"/>
    <s v="Propia (Único Asesor)"/>
    <x v="1"/>
    <s v="Venta"/>
    <x v="6"/>
    <s v="Vicente López"/>
  </r>
  <r>
    <d v="2025-06-09T00:00:00"/>
    <x v="1"/>
    <x v="4"/>
    <s v="CHO6772220"/>
    <x v="0"/>
    <s v="Casa en Cinco Saltos"/>
    <s v="Realizado"/>
    <s v="AR ZonaProp"/>
    <n v="99000"/>
    <x v="182"/>
    <x v="1"/>
    <s v="Dólares"/>
    <s v="Dólares"/>
    <s v="j.m.barry y tehuelches"/>
    <s v="Argentina | Rio Negro | General Roca | Cinco Saltos"/>
    <x v="2"/>
    <n v="2"/>
    <s v="Sensus"/>
    <s v="Propia (Único Asesor)"/>
    <x v="1"/>
    <s v="Venta"/>
    <x v="1"/>
    <s v="Capital Neuquén"/>
  </r>
  <r>
    <d v="2025-06-25T00:00:00"/>
    <x v="1"/>
    <x v="4"/>
    <s v="CAP6963153"/>
    <x v="0"/>
    <s v="Departamento 3 ambientes - Bolivar al 400, Monserrat. TODO SOL, VISTA ABIERTA!!!"/>
    <s v="Realizado"/>
    <s v="AR ZonaProp"/>
    <n v="112000"/>
    <x v="182"/>
    <x v="1"/>
    <s v="Dólares"/>
    <s v="Dólares"/>
    <s v="Bolivar al 400, esquina Venezuela"/>
    <s v="Argentina | Capital Federal | Monserrat "/>
    <x v="0"/>
    <n v="2"/>
    <s v="Destino"/>
    <s v="Propia (Único Asesor)"/>
    <x v="1"/>
    <s v="Venta"/>
    <x v="3"/>
    <s v="Recoleta"/>
  </r>
  <r>
    <d v="2025-08-07T00:00:00"/>
    <x v="1"/>
    <x v="5"/>
    <s v="CHO6734847"/>
    <x v="0"/>
    <s v="Casa en  Zabala 342"/>
    <s v="Realizado"/>
    <s v="Facebook"/>
    <n v="100000"/>
    <x v="182"/>
    <x v="1"/>
    <s v="Dólares"/>
    <s v="Dólares"/>
    <s v="Zabala al 300"/>
    <s v="Argentina | Salta | Capital | Salta | Zona Centro"/>
    <x v="2"/>
    <n v="2"/>
    <s v="Realty Group"/>
    <s v="Propia (Único Asesor)"/>
    <x v="1"/>
    <s v="Venta"/>
    <x v="4"/>
    <s v="San Lorenzo Chico"/>
  </r>
  <r>
    <d v="2025-09-30T00:00:00"/>
    <x v="1"/>
    <x v="6"/>
    <s v="CAP6692850"/>
    <x v="0"/>
    <s v="VENTA DEPARTAMENTO MONOAMBIENTE CON BALCON Y COCHERA, PALERMO, PALERMO HOLLYWOOD"/>
    <s v="Realizado"/>
    <s v="AR ZonaProp"/>
    <n v="105000"/>
    <x v="182"/>
    <x v="1"/>
    <s v="Dólares"/>
    <s v="Dólares"/>
    <s v="Zapata  100"/>
    <s v="Argentina | Capital Federal | Palermo | Palermo Hollywood"/>
    <x v="0"/>
    <n v="2"/>
    <s v="Seniority Plus"/>
    <s v="Propia (Único Asesor)"/>
    <x v="1"/>
    <s v="Venta"/>
    <x v="3"/>
    <s v="Palermo"/>
  </r>
  <r>
    <d v="2025-10-09T00:00:00"/>
    <x v="1"/>
    <x v="11"/>
    <s v="CAP6738957"/>
    <x v="0"/>
    <s v="Venta Monoambiente Divisible a 2 Ambientes con Balcón en Palermo Hollywood"/>
    <s v="Realizado"/>
    <s v="AR ZonaProp"/>
    <n v="102000"/>
    <x v="182"/>
    <x v="1"/>
    <s v="Dólares"/>
    <s v="Dólares"/>
    <s v="Fitz Roy al 2100"/>
    <s v="Argentina | Capital Federal | Palermo | Palermo Hollywood"/>
    <x v="0"/>
    <n v="2"/>
    <s v="Seniority Plus"/>
    <s v="Propia (Único Asesor)"/>
    <x v="1"/>
    <s v="Venta"/>
    <x v="3"/>
    <s v="Palermo"/>
  </r>
  <r>
    <d v="2025-10-21T00:00:00"/>
    <x v="1"/>
    <x v="11"/>
    <s v="CAP7349766"/>
    <x v="0"/>
    <s v="Venta Departamento 2 ambientes en Paternal"/>
    <s v="Realizado"/>
    <s v="AR ZonaProp"/>
    <n v="100000"/>
    <x v="182"/>
    <x v="1"/>
    <s v="Dólares"/>
    <s v="Dólares"/>
    <s v="Avda San Martin  al 2900"/>
    <s v="Argentina | Capital Federal | Paternal "/>
    <x v="0"/>
    <n v="2"/>
    <s v="Seniority"/>
    <s v="Propia (Único Asesor)"/>
    <x v="1"/>
    <s v="Venta"/>
    <x v="3"/>
    <s v="Barrio Parque"/>
  </r>
  <r>
    <d v="2025-10-25T00:00:00"/>
    <x v="1"/>
    <x v="11"/>
    <s v="CHO6525232"/>
    <x v="0"/>
    <s v="Venta Casa  4 ambientes en Club Jardín Náutico Escobar c/amarra Río Paraná"/>
    <s v="Realizado"/>
    <s v="AR ZonaProp"/>
    <n v="119000"/>
    <x v="182"/>
    <x v="1"/>
    <s v="Dólares"/>
    <s v="Dólares"/>
    <s v="Club Jardín Nautico "/>
    <s v="Argentina | G.B.A. Zona Norte | Escobar | Countries/B.Cerrado (Escobar) | Jardin Nautico De Escobar"/>
    <x v="2"/>
    <n v="2"/>
    <s v="Seniority"/>
    <s v="Propia (Único Asesor)"/>
    <x v="1"/>
    <s v="Venta"/>
    <x v="3"/>
    <s v="Barrio Parque"/>
  </r>
  <r>
    <d v="2025-10-30T00:00:00"/>
    <x v="1"/>
    <x v="11"/>
    <s v="CPH7338721"/>
    <x v="0"/>
    <s v="PH en Cipolletti"/>
    <s v="Realizado"/>
    <s v="AR ZonaProp"/>
    <n v="110000"/>
    <x v="182"/>
    <x v="1"/>
    <s v="Dólares"/>
    <s v="Dólares"/>
    <s v="bernardino rivadavia al 300, cipolleti"/>
    <s v="Argentina | Rio Negro | Cipolletti "/>
    <x v="3"/>
    <n v="2"/>
    <s v="Sensus"/>
    <s v="Propia (Único Asesor)"/>
    <x v="1"/>
    <s v="Venta"/>
    <x v="1"/>
    <s v="Capital Neuquén"/>
  </r>
  <r>
    <d v="2025-11-20T00:00:00"/>
    <x v="1"/>
    <x v="7"/>
    <s v="CAP7249136"/>
    <x v="0"/>
    <s v="Departamento de 2 Ambientes en Palermo Hollywood - RESERVADO"/>
    <s v="Realizado"/>
    <s v="AR ZonaProp"/>
    <n v="149500"/>
    <x v="182"/>
    <x v="1"/>
    <s v="Dólares"/>
    <s v="Dólares"/>
    <s v="Angel Justiniano Carranza 2100"/>
    <s v="Argentina | Capital Federal | Palermo | Palermo Hollywood"/>
    <x v="0"/>
    <n v="2"/>
    <s v="Livello"/>
    <s v="Propia (Único Asesor)"/>
    <x v="1"/>
    <s v="Venta"/>
    <x v="3"/>
    <s v="Palermo"/>
  </r>
  <r>
    <d v="2026-01-14T00:00:00"/>
    <x v="0"/>
    <x v="10"/>
    <s v="CCO69115 AP7662412"/>
    <x v="0"/>
    <s v="VENTA Monoambiente 39m2 Parque y Cochera Altos de Radal centro Villa La Angostura"/>
    <s v="Realizado"/>
    <s v="Repetido"/>
    <n v="94000"/>
    <x v="182"/>
    <x v="1"/>
    <s v="Dólares"/>
    <s v="Dólares"/>
    <s v="Millaqueo y michay"/>
    <s v="Argentina | Neuquen | Villa La Angostura "/>
    <x v="0"/>
    <n v="2"/>
    <s v="Patagonia Lakes VLA"/>
    <s v="Propia (Único Asesor)"/>
    <x v="1"/>
    <s v="Venta"/>
    <x v="1"/>
    <s v="Villa La Angostura"/>
  </r>
  <r>
    <d v="2026-02-03T00:00:00"/>
    <x v="0"/>
    <x v="0"/>
    <s v="CAP6745128"/>
    <x v="0"/>
    <s v="Venta Departamento 2 ambientes en Paternal"/>
    <s v="Realizado"/>
    <s v="AR ZonaProp"/>
    <n v="100000"/>
    <x v="182"/>
    <x v="1"/>
    <s v="Dólares"/>
    <s v="Dólares"/>
    <s v="Avda San Martin  al 2900"/>
    <s v="Argentina | Capital Federal | Paternal "/>
    <x v="0"/>
    <n v="2"/>
    <s v="Seniority"/>
    <s v="Propia (Único Asesor)"/>
    <x v="1"/>
    <s v="Venta"/>
    <x v="3"/>
    <s v="Barrio Parque"/>
  </r>
  <r>
    <d v="2025-01-06T00:00:00"/>
    <x v="1"/>
    <x v="10"/>
    <s v="CAP6454429"/>
    <x v="0"/>
    <s v="VENTA Departamento 2 ambientes A estrenar Balcón al Frente Villa Urquiza"/>
    <s v="Realizado"/>
    <s v="AR ArgenProp"/>
    <n v="102000"/>
    <x v="183"/>
    <x v="1"/>
    <s v="Dólares"/>
    <s v="Dólares"/>
    <s v="Bauness  al 1100"/>
    <s v="Argentina | Capital Federal | Villa Urquiza "/>
    <x v="0"/>
    <n v="2"/>
    <s v="Lion Team"/>
    <s v="Propia (Único Asesor)"/>
    <x v="1"/>
    <s v="Venta"/>
    <x v="3"/>
    <s v="Villa Urquiza"/>
  </r>
  <r>
    <d v="2025-01-06T00:00:00"/>
    <x v="1"/>
    <x v="10"/>
    <s v="CBU49671 AP6414032"/>
    <x v="0"/>
    <s v="Departamento Monoambiente divisible A Estrenar con Balcon Piso 1 - Villa Urquiza VENTA"/>
    <s v="Realizado"/>
    <s v="AR ArgenProp"/>
    <n v="90000"/>
    <x v="183"/>
    <x v="1"/>
    <s v="Dólares"/>
    <s v="Dólares"/>
    <s v="Bauness  al 1100"/>
    <s v="Argentina | Capital Federal | Villa Urquiza "/>
    <x v="0"/>
    <n v="2"/>
    <s v="Lion Team"/>
    <s v="Propia (Único Asesor)"/>
    <x v="1"/>
    <s v="Venta"/>
    <x v="3"/>
    <s v="Villa Urquiza"/>
  </r>
  <r>
    <d v="2025-01-27T00:00:00"/>
    <x v="1"/>
    <x v="10"/>
    <s v="VLA5679751"/>
    <x v="0"/>
    <s v="Terreno en  Pilar Barrio Privado Verona"/>
    <s v="Realizado"/>
    <s v="Instagram"/>
    <n v="107200"/>
    <x v="184"/>
    <x v="1"/>
    <s v="Dólares"/>
    <s v="Dólares"/>
    <s v="Lote Perimetral Verona Pilar"/>
    <s v="Argentina | G.B.A. Zona Norte | Pilar | Countries/B.Cerrado (Pilar) | Verona Pilar"/>
    <x v="1"/>
    <n v="2"/>
    <s v="Puerto Norte"/>
    <s v="Compartida en Oficina (Dos Asesores)"/>
    <x v="1"/>
    <s v="Venta"/>
    <x v="6"/>
    <s v="Nordelta"/>
  </r>
  <r>
    <d v="2025-09-12T00:00:00"/>
    <x v="1"/>
    <x v="6"/>
    <s v="N/C - MARCELO T DE ALVEAR 1270"/>
    <x v="0"/>
    <s v="VENTA 2 AMB RECOLETA"/>
    <s v="Realizado"/>
    <s v="AR MercadoLibre"/>
    <n v="101000"/>
    <x v="185"/>
    <x v="1"/>
    <s v="Dólares"/>
    <s v="Dólares"/>
    <s v="MARCELO T DE ALVEAR 1270, CABA"/>
    <s v="Argentina | Capital Federal | Recoleta "/>
    <x v="1"/>
    <n v="1"/>
    <s v="Destino II"/>
    <s v="Compartida Fuera de la Red Búsqueda"/>
    <x v="2"/>
    <s v="Venta"/>
    <x v="3"/>
    <s v="Recoleta"/>
  </r>
  <r>
    <d v="2025-06-05T00:00:00"/>
    <x v="1"/>
    <x v="4"/>
    <s v="CAP6535494"/>
    <x v="0"/>
    <s v="VENTA Departamento 3 ambientes 78m2 Centrico Villa La Angostura"/>
    <s v="Realizado"/>
    <s v="AR ZonaProp"/>
    <n v="106000"/>
    <x v="185"/>
    <x v="1"/>
    <s v="Dólares"/>
    <s v="Dólares"/>
    <s v="Retamas 315"/>
    <s v="Argentina | Neuquen | Villa La Angostura | Centro"/>
    <x v="0"/>
    <n v="2"/>
    <s v="Patagonia Lakes VLA"/>
    <s v="Propia (Único Asesor)"/>
    <x v="1"/>
    <s v="Venta"/>
    <x v="1"/>
    <s v="Villa La Angostura"/>
  </r>
  <r>
    <d v="2025-05-09T00:00:00"/>
    <x v="1"/>
    <x v="2"/>
    <s v="CBU60233 AP6592809"/>
    <x v="0"/>
    <s v="Venta Departamento Monoambiente vista al lago a 5 minutos del centro"/>
    <s v="Realizado"/>
    <s v="Teléfono"/>
    <n v="104544"/>
    <x v="186"/>
    <x v="1"/>
    <s v="Dólares"/>
    <s v="Dólares"/>
    <s v="Avenida Pioneros, San Carlos de Bariloche"/>
    <s v="Argentina | Rio Negro | Bariloche | San Carlos De Bariloche | Centro"/>
    <x v="0"/>
    <n v="2"/>
    <s v="Patagonia Lakes BRC"/>
    <s v="Compartida en Oficina (Dos Asesores)"/>
    <x v="1"/>
    <s v="Venta"/>
    <x v="7"/>
    <s v="Bariloche"/>
  </r>
  <r>
    <d v="2025-05-21T00:00:00"/>
    <x v="1"/>
    <x v="2"/>
    <s v="CBU60233 AP6592853"/>
    <x v="0"/>
    <s v="Venta Departamento Monoambiente vista al lago a 5 minutos del centro"/>
    <s v="Realizado"/>
    <s v="Teléfono"/>
    <n v="92800"/>
    <x v="186"/>
    <x v="1"/>
    <s v="Dólares"/>
    <s v="Dólares"/>
    <s v="Avenida Pioneros, San Carlos de Bariloche"/>
    <s v="Argentina | Rio Negro | Bariloche | San Carlos De Bariloche | Centro"/>
    <x v="0"/>
    <n v="2"/>
    <s v="Patagonia Lakes BRC"/>
    <s v="Compartida en Oficina (Dos Asesores)"/>
    <x v="1"/>
    <s v="Venta"/>
    <x v="7"/>
    <s v="Bariloche"/>
  </r>
  <r>
    <d v="2025-06-23T00:00:00"/>
    <x v="1"/>
    <x v="4"/>
    <s v="VCO59064 AP6619653"/>
    <x v="0"/>
    <s v="Departamento en Altos de Maschwitz - 2 AMB con Jardín"/>
    <s v="Realizado"/>
    <s v="AR MercadoLibre"/>
    <n v="102194"/>
    <x v="187"/>
    <x v="1"/>
    <s v="Dólares"/>
    <s v="Dólares"/>
    <s v="Departamento en Altos de Maschwitz - 2 AMB con Jardín"/>
    <s v="Argentina | G.B.A. Zona Norte | Escobar | Ingeniero Maschwitz | Altos de Maschwitz"/>
    <x v="0"/>
    <n v="2"/>
    <s v="Puerto Norte"/>
    <s v="Compartida en Oficina (Dos Asesores)"/>
    <x v="1"/>
    <s v="Venta"/>
    <x v="6"/>
    <s v="Nordelta"/>
  </r>
  <r>
    <d v="2025-03-28T00:00:00"/>
    <x v="1"/>
    <x v="9"/>
    <s v="CBU60233 AP6592822"/>
    <x v="0"/>
    <s v="Venta Departamento Monoambiente vista al lago a 5 minutos del centro"/>
    <s v="Realizado"/>
    <s v="Teléfono"/>
    <n v="101370"/>
    <x v="188"/>
    <x v="1"/>
    <s v="Dólares"/>
    <s v="Dólares"/>
    <s v="Avenida Pioneros  al 2000"/>
    <s v="Argentina | Rio Negro | Bariloche | San Carlos De Bariloche | Centro"/>
    <x v="0"/>
    <n v="2"/>
    <s v="Patagonia Lakes BRC"/>
    <s v="Compartida en Oficina (Dos Asesores)"/>
    <x v="1"/>
    <s v="Venta"/>
    <x v="7"/>
    <s v="Bariloche"/>
  </r>
  <r>
    <d v="2025-02-11T00:00:00"/>
    <x v="1"/>
    <x v="0"/>
    <s v="CBU60233 AP6592853"/>
    <x v="0"/>
    <s v="Venta Departamento Monoambiente vista al lago a 5 minutos del centro"/>
    <s v="Realizado"/>
    <s v="Teléfono"/>
    <n v="92800"/>
    <x v="188"/>
    <x v="1"/>
    <s v="Dólares"/>
    <s v="Dólares"/>
    <s v="Avenida Pioneros, San Carlos de Bariloche"/>
    <s v="Argentina | Rio Negro | Bariloche | San Carlos De Bariloche | Centro"/>
    <x v="0"/>
    <n v="2"/>
    <s v="Patagonia Lakes BRC"/>
    <s v="Propia (Único Asesor)"/>
    <x v="1"/>
    <s v="Venta"/>
    <x v="7"/>
    <s v="Bariloche"/>
  </r>
  <r>
    <d v="2026-02-05T00:00:00"/>
    <x v="0"/>
    <x v="0"/>
    <s v="CAP7575735"/>
    <x v="0"/>
    <s v="Departamento dos ambientes Centro de Bariloche "/>
    <s v="Realizado"/>
    <s v="Teléfono"/>
    <n v="90000"/>
    <x v="189"/>
    <x v="1"/>
    <s v="Dólares"/>
    <s v="Dólares"/>
    <s v="Departamento dos ambientes en Vicealmirante o´connor  al 600"/>
    <s v="Argentina | Rio Negro | Bariloche "/>
    <x v="0"/>
    <n v="2"/>
    <s v="Patagonia Lakes BRC"/>
    <s v="Propia (Único Asesor)"/>
    <x v="1"/>
    <s v="Venta"/>
    <x v="7"/>
    <s v="Bariloche"/>
  </r>
  <r>
    <d v="2026-01-14T00:00:00"/>
    <x v="0"/>
    <x v="10"/>
    <s v="CAP6582362"/>
    <x v="0"/>
    <s v="Venta Departamento Monoambiente Apto turismo a 5 minutos del centro"/>
    <s v="Realizado"/>
    <s v="Salón"/>
    <n v="106830"/>
    <x v="190"/>
    <x v="1"/>
    <s v="Dólares"/>
    <s v="Dólares"/>
    <s v="Avenida Pioneros, San Carlos de Bariloche"/>
    <s v="Argentina | Rio Negro | Bariloche | San Carlos De Bariloche | Los Cipresales"/>
    <x v="0"/>
    <n v="2"/>
    <s v="Patagonia Lakes BRC"/>
    <s v="Propia (Único Asesor)"/>
    <x v="1"/>
    <s v="Venta"/>
    <x v="7"/>
    <s v="Bariloche"/>
  </r>
  <r>
    <d v="2025-01-28T00:00:00"/>
    <x v="1"/>
    <x v="10"/>
    <s v="CAP6563369"/>
    <x v="0"/>
    <s v="Venta Departamento 3 ambientes con dependencia y balcon Piso alto en Recoleta - Barrio Norte"/>
    <s v="Realizado"/>
    <s v="AR ZonaProp"/>
    <n v="109990"/>
    <x v="191"/>
    <x v="1"/>
    <s v="Dólares"/>
    <s v="Dólares"/>
    <s v="Junin  al 400"/>
    <s v="Argentina | Capital Federal | Recoleta "/>
    <x v="0"/>
    <n v="2"/>
    <s v="Lion Team"/>
    <s v="Compartida en Oficina (Dos Asesores)"/>
    <x v="1"/>
    <s v="Venta"/>
    <x v="3"/>
    <s v="Villa Urquiza"/>
  </r>
  <r>
    <d v="2025-11-13T00:00:00"/>
    <x v="1"/>
    <x v="7"/>
    <s v="CAP6872663"/>
    <x v="0"/>
    <s v="Departamento en Villa del Parque"/>
    <s v="Realizado"/>
    <s v="AR ZonaProp"/>
    <n v="106000"/>
    <x v="191"/>
    <x v="1"/>
    <s v="Dólares"/>
    <s v="Dólares"/>
    <s v="Avenida Nazca al 2300"/>
    <s v="Argentina | Capital Federal | Villa del Parque "/>
    <x v="0"/>
    <n v="2"/>
    <s v="Horizon Group"/>
    <s v="Compartida Fuera de la Red Captación Propia"/>
    <x v="0"/>
    <s v="Venta"/>
    <x v="3"/>
    <s v="Núñez"/>
  </r>
  <r>
    <d v="2026-03-31T00:00:00"/>
    <x v="0"/>
    <x v="9"/>
    <s v="JAP6933589"/>
    <x v="2"/>
    <s v="venta de departamento en pilar "/>
    <s v="Realizado"/>
    <s v="AR ZonaProp"/>
    <n v="120000"/>
    <x v="191"/>
    <x v="1"/>
    <s v="Dólares"/>
    <s v="Dólares"/>
    <s v="lagoon pilar sucre 1100"/>
    <s v="Argentina | G.B.A. Zona Norte | Pilar | Countries/B.Cerrado (Pilar) | Lagoon Pilar"/>
    <x v="0"/>
    <n v="2"/>
    <s v="Lion Team Norte"/>
    <s v="Compartida en Red (50%)"/>
    <x v="1"/>
    <s v="Venta"/>
    <x v="6"/>
    <s v="Vicente López"/>
  </r>
  <r>
    <d v="2026-03-31T00:00:00"/>
    <x v="0"/>
    <x v="9"/>
    <s v="Lagoon"/>
    <x v="2"/>
    <s v="Departamanto en venta en Lagoon Pilar 2 ambientes"/>
    <s v="Realizado"/>
    <s v="Referido"/>
    <n v="95000"/>
    <x v="191"/>
    <x v="1"/>
    <s v="Dólares"/>
    <s v="Dólares"/>
    <m/>
    <s v="Argentina | G.B.A. Zona Norte | Pilar | Countries/B.Cerrado (Pilar) | Lagoon Pilar"/>
    <x v="0"/>
    <n v="2"/>
    <s v="North Team"/>
    <s v="Master"/>
    <x v="1"/>
    <s v="Venta"/>
    <x v="6"/>
    <s v="Pilar"/>
  </r>
  <r>
    <d v="2025-05-27T00:00:00"/>
    <x v="1"/>
    <x v="2"/>
    <s v="CAP6800884"/>
    <x v="0"/>
    <s v="Venta departamento 3 ambientes Flores"/>
    <s v="Realizado"/>
    <s v="AR ZonaProp"/>
    <n v="108000"/>
    <x v="191"/>
    <x v="1"/>
    <s v="Dólares"/>
    <s v="Dólares"/>
    <s v="Ramon L. Falcon  al 2300"/>
    <s v="Argentina | Capital Federal | Flores | Flores Sur"/>
    <x v="0"/>
    <n v="2"/>
    <s v="Grupo Elite"/>
    <s v="Propia (Único Asesor)"/>
    <x v="1"/>
    <s v="Venta"/>
    <x v="3"/>
    <s v="Puerto Madero"/>
  </r>
  <r>
    <d v="2025-09-10T00:00:00"/>
    <x v="1"/>
    <x v="6"/>
    <s v="CAP6740648"/>
    <x v="0"/>
    <s v="Venta Monoambiente con Balcon tipo Terraza - Recoleta"/>
    <s v="Realizado"/>
    <s v="AR MercadoLibre"/>
    <n v="108000"/>
    <x v="191"/>
    <x v="1"/>
    <s v="Dólares"/>
    <s v="Dólares"/>
    <s v="Uriburu 1500"/>
    <s v="Argentina | Capital Federal | Recoleta "/>
    <x v="0"/>
    <n v="2"/>
    <s v="Lion Team"/>
    <s v="Propia (Único Asesor)"/>
    <x v="1"/>
    <s v="Venta"/>
    <x v="3"/>
    <s v="Villa Urquiza"/>
  </r>
  <r>
    <d v="2026-03-03T00:00:00"/>
    <x v="0"/>
    <x v="9"/>
    <s v="CAP7290006"/>
    <x v="0"/>
    <s v="Departamento 3 ambientes con dependencia en Venta"/>
    <s v="Realizado"/>
    <s v="AR ZonaProp"/>
    <n v="110000"/>
    <x v="191"/>
    <x v="1"/>
    <s v="Dólares"/>
    <s v="Dólares"/>
    <s v="Av. Montes de Oca al 500"/>
    <s v="Argentina | Capital Federal | Barracas "/>
    <x v="0"/>
    <n v="2"/>
    <s v="Audacity"/>
    <s v="Propia (Único Asesor)"/>
    <x v="1"/>
    <s v="Venta"/>
    <x v="9"/>
    <s v="Parque Leloir"/>
  </r>
  <r>
    <d v="2026-03-17T00:00:00"/>
    <x v="0"/>
    <x v="9"/>
    <s v="CPH6800717"/>
    <x v="0"/>
    <s v="Hermoso PH 2 ambientes con terraza propia - Apto Crédito"/>
    <s v="Realizado"/>
    <s v="AR MercadoLibre"/>
    <n v="110000"/>
    <x v="192"/>
    <x v="1"/>
    <s v="Dólares"/>
    <s v="Dólares"/>
    <s v="Zelarrayan  al 700"/>
    <s v="Argentina | Capital Federal | Parque Chacabuco "/>
    <x v="3"/>
    <n v="2"/>
    <s v="Puerto Norte"/>
    <s v="Compartida en Oficina (Dos Asesores)"/>
    <x v="1"/>
    <s v="Venta"/>
    <x v="6"/>
    <s v="Nordelta"/>
  </r>
  <r>
    <d v="2025-05-30T00:00:00"/>
    <x v="1"/>
    <x v="2"/>
    <s v="CAP6827766"/>
    <x v="0"/>
    <s v="VENTA DEPARTAMENTO 4 AMBIENTES EN SAN NICOLÁS - OPORTUNIDAD"/>
    <s v="Realizado"/>
    <s v="AR ZonaProp"/>
    <n v="109000"/>
    <x v="192"/>
    <x v="1"/>
    <s v="Dólares"/>
    <s v="Dólares"/>
    <s v="Av. Rivadavia al 1200"/>
    <s v="Argentina | Capital Federal | San Nicolás "/>
    <x v="0"/>
    <n v="2"/>
    <s v="Seniority"/>
    <s v="Propia (Único Asesor)"/>
    <x v="1"/>
    <s v="Venta"/>
    <x v="3"/>
    <s v="Barrio Parque"/>
  </r>
  <r>
    <d v="2025-10-24T00:00:00"/>
    <x v="1"/>
    <x v="11"/>
    <s v="CAP6813344"/>
    <x v="0"/>
    <s v="MONOAMBIENTE CON JARDIN - A ESTRENAR - "/>
    <s v="Realizado"/>
    <s v="AR ZonaProp"/>
    <n v="105000"/>
    <x v="192"/>
    <x v="1"/>
    <s v="Dólares"/>
    <s v="Dólares"/>
    <s v="VOLTA al 1800"/>
    <s v="Argentina | Capital Federal | Palermo | Las Cañitas"/>
    <x v="0"/>
    <n v="2"/>
    <s v="Destino II"/>
    <s v="Propia (Único Asesor)"/>
    <x v="1"/>
    <s v="Venta"/>
    <x v="3"/>
    <s v="Recoleta"/>
  </r>
  <r>
    <d v="2025-10-29T00:00:00"/>
    <x v="1"/>
    <x v="11"/>
    <s v="CAP2287495"/>
    <x v="0"/>
    <s v="Venta depto. de 2 amb. en Saavedra a estrenar. Amenities"/>
    <s v="Realizado"/>
    <s v="AR ZonaProp"/>
    <n v="108000"/>
    <x v="192"/>
    <x v="1"/>
    <s v="Dólares"/>
    <s v="Dólares"/>
    <s v="Ramallo al 3100"/>
    <s v="Argentina | Capital Federal | Saavedra "/>
    <x v="0"/>
    <n v="2"/>
    <s v="Seniority"/>
    <s v="Propia (Único Asesor)"/>
    <x v="1"/>
    <s v="Venta"/>
    <x v="3"/>
    <s v="Barrio Parque"/>
  </r>
  <r>
    <d v="2026-03-27T00:00:00"/>
    <x v="0"/>
    <x v="9"/>
    <s v="CAP4383483"/>
    <x v="0"/>
    <s v="Departamento - Villa Crespo"/>
    <s v="Realizado"/>
    <s v="AR ZonaProp"/>
    <n v="107000"/>
    <x v="192"/>
    <x v="1"/>
    <s v="Dólares"/>
    <s v="Dólares"/>
    <s v="Vera al 100"/>
    <s v="Argentina | Capital Federal | Villa Crespo "/>
    <x v="0"/>
    <n v="2"/>
    <s v="Haka"/>
    <s v="Propia (Único Asesor)"/>
    <x v="1"/>
    <s v="Venta"/>
    <x v="3"/>
    <s v="Núñez"/>
  </r>
  <r>
    <d v="2025-09-23T00:00:00"/>
    <x v="1"/>
    <x v="6"/>
    <s v="Av 60 e 2 y 3"/>
    <x v="0"/>
    <s v="Departamento avenida 60 e 2 y 3"/>
    <s v="Realizado"/>
    <s v="AR ZonaProp"/>
    <n v="103500"/>
    <x v="193"/>
    <x v="1"/>
    <s v="Dólares"/>
    <s v="Dólares"/>
    <s v="60 e 2 y 3"/>
    <m/>
    <x v="0"/>
    <n v="1"/>
    <s v="Golden Team"/>
    <s v="Compartida Fuera de la Red Búsqueda"/>
    <x v="2"/>
    <s v="Venta"/>
    <x v="0"/>
    <s v="La Plata"/>
  </r>
  <r>
    <d v="2025-12-01T00:00:00"/>
    <x v="1"/>
    <x v="8"/>
    <s v="yrigollen"/>
    <x v="0"/>
    <s v="casa yrigollen"/>
    <s v="Realizado"/>
    <s v="AR ZonaProp"/>
    <n v="0"/>
    <x v="194"/>
    <x v="1"/>
    <s v="Dólares"/>
    <s v="Dólares"/>
    <m/>
    <s v="Argentina | Mendoza | Guaymallen "/>
    <x v="2"/>
    <n v="1"/>
    <s v="Cuyo Real"/>
    <s v="(Interior) Compartida Fuera de la Red Captación Propia"/>
    <x v="0"/>
    <s v="Venta"/>
    <x v="2"/>
    <s v="Capital Mendoza"/>
  </r>
  <r>
    <d v="2025-01-06T00:00:00"/>
    <x v="1"/>
    <x v="10"/>
    <s v="CBU59337 AP6535088"/>
    <x v="0"/>
    <s v="VENTA Departamento céntrico 2 amb 59,64m2 UF 73 - en pozo, Paseo Retamas, El Cruce,  Las Retamas 300, Villa la Angostura"/>
    <s v="Realizado"/>
    <s v="Repetido"/>
    <n v="104158"/>
    <x v="194"/>
    <x v="1"/>
    <s v="Dólares"/>
    <s v="Dólares"/>
    <s v="Retamas al 300"/>
    <s v="Argentina | Neuquen | Villa La Angostura | Centro"/>
    <x v="0"/>
    <n v="2"/>
    <s v="Patagonia Lakes VLA"/>
    <s v="Compartida en Oficina (Dos Asesores)"/>
    <x v="1"/>
    <s v="Venta"/>
    <x v="1"/>
    <s v="Villa La Angostura"/>
  </r>
  <r>
    <d v="2025-04-21T00:00:00"/>
    <x v="1"/>
    <x v="3"/>
    <m/>
    <x v="0"/>
    <s v="UF 70 Paseo Retamas"/>
    <s v="Realizado"/>
    <s v="Conocido"/>
    <n v="104000"/>
    <x v="194"/>
    <x v="1"/>
    <s v="Dólares"/>
    <s v="Dólares"/>
    <s v="Las Retamas 200"/>
    <s v="Argentina | Neuquen | Villa La Angostura "/>
    <x v="0"/>
    <n v="2"/>
    <s v="Patagonia Lakes VLA"/>
    <s v="Compartida en Oficina (Dos Asesores)"/>
    <x v="1"/>
    <s v="Venta"/>
    <x v="1"/>
    <s v="Villa La Angostura"/>
  </r>
  <r>
    <d v="2026-01-16T00:00:00"/>
    <x v="0"/>
    <x v="10"/>
    <s v="CAP7446187"/>
    <x v="0"/>
    <s v="Departamento Semi Piso de 4 Ambientes al frente "/>
    <s v="Realizado"/>
    <s v="AR ZonaProp"/>
    <n v="116000"/>
    <x v="194"/>
    <x v="1"/>
    <s v="Dólares"/>
    <s v="Dólares"/>
    <s v="Av Libertad  al 3500"/>
    <s v="Argentina | Costa Atlantica | Mar Del Plata | La Perla Norte"/>
    <x v="0"/>
    <n v="2"/>
    <s v="Grupo Elite"/>
    <s v="Compartida en Oficina (Dos Asesores)"/>
    <x v="1"/>
    <s v="Venta"/>
    <x v="3"/>
    <s v="Puerto Madero"/>
  </r>
  <r>
    <d v="2025-03-20T00:00:00"/>
    <x v="1"/>
    <x v="9"/>
    <s v="CAP6762005"/>
    <x v="0"/>
    <s v="Venta departamento 2 ambientes con Patio Villa Urquiza"/>
    <s v="Realizado"/>
    <s v="Teléfono"/>
    <n v="109000"/>
    <x v="194"/>
    <x v="1"/>
    <s v="Dólares"/>
    <s v="Dólares"/>
    <s v="Altolaguirre  al 1800"/>
    <s v="Argentina | Capital Federal | Villa Urquiza "/>
    <x v="0"/>
    <n v="2"/>
    <s v="Grupo Elite"/>
    <s v="Compartida Fuera de la Red Captación Propia"/>
    <x v="0"/>
    <s v="Venta"/>
    <x v="3"/>
    <s v="Puerto Madero"/>
  </r>
  <r>
    <d v="2025-09-01T00:00:00"/>
    <x v="1"/>
    <x v="6"/>
    <s v="APH6868343"/>
    <x v="0"/>
    <s v="PH 5 ambientes en Flores"/>
    <s v="Realizado"/>
    <s v="AR ArgenProp"/>
    <n v="104500"/>
    <x v="194"/>
    <x v="1"/>
    <s v="Dólares"/>
    <s v="Dólares"/>
    <s v="Varela al 600"/>
    <s v="Argentina | Capital Federal | Flores | Flores Sur"/>
    <x v="3"/>
    <n v="2"/>
    <s v="Desiderio"/>
    <s v="Compartida Fuera de la Red Captación Propia"/>
    <x v="0"/>
    <s v="Venta"/>
    <x v="3"/>
    <s v="Caballito"/>
  </r>
  <r>
    <d v="2026-02-23T00:00:00"/>
    <x v="0"/>
    <x v="0"/>
    <s v="CAP7631275"/>
    <x v="0"/>
    <s v="Departamento en Recoleta"/>
    <s v="Realizado"/>
    <s v="AR ZonaProp"/>
    <n v="108000"/>
    <x v="194"/>
    <x v="1"/>
    <s v="Dólares"/>
    <s v="Dólares"/>
    <s v="Marcelo T.  de Alvear al 2100"/>
    <s v="Argentina | Capital Federal | Recoleta "/>
    <x v="0"/>
    <n v="2"/>
    <s v="Destino"/>
    <s v="Compartida Fuera de la Red Captación Propia"/>
    <x v="0"/>
    <s v="Venta"/>
    <x v="3"/>
    <s v="Recoleta"/>
  </r>
  <r>
    <d v="2025-04-29T00:00:00"/>
    <x v="1"/>
    <x v="3"/>
    <s v="CBU59337 AP6533756"/>
    <x v="0"/>
    <s v="VENTA Departamento 2 ambientes 62,10 m2 UF 71 Pozo, Paseo Retamas, Villa la Angostura"/>
    <s v="Realizado"/>
    <s v="Salón"/>
    <n v="123310"/>
    <x v="194"/>
    <x v="1"/>
    <s v="Dólares"/>
    <s v="Dólares"/>
    <s v="Retamas al 300"/>
    <s v="Argentina | Neuquen | Villa La Angostura | Centro"/>
    <x v="0"/>
    <n v="2"/>
    <s v="Patagonia Lakes VLA"/>
    <s v="Propia (Único Asesor)"/>
    <x v="1"/>
    <s v="Venta"/>
    <x v="1"/>
    <s v="Villa La Angostura"/>
  </r>
  <r>
    <d v="2025-11-28T00:00:00"/>
    <x v="1"/>
    <x v="7"/>
    <s v="CPH6822298"/>
    <x v="0"/>
    <s v="PH CON 2 DORMITORIOS, RECICLADO A NUEVO - VILLA CRESPO"/>
    <s v="Realizado"/>
    <s v="AR ZonaProp"/>
    <n v="108000"/>
    <x v="194"/>
    <x v="1"/>
    <s v="Dólares"/>
    <s v="Dólares"/>
    <s v="MAHATMA GANDHI 734"/>
    <s v="Argentina | Capital Federal | Villa Crespo "/>
    <x v="3"/>
    <n v="2"/>
    <s v="Seniority"/>
    <s v="Propia (Único Asesor)"/>
    <x v="1"/>
    <s v="Venta"/>
    <x v="3"/>
    <s v="Barrio Parque"/>
  </r>
  <r>
    <d v="2026-03-27T00:00:00"/>
    <x v="0"/>
    <x v="9"/>
    <s v="CPH6928655"/>
    <x v="0"/>
    <s v="PH 5 amb.  sin expensas en venta con Garage para 2 autos en Haedo."/>
    <s v="Realizado"/>
    <s v="AR MercadoLibre"/>
    <n v="107000"/>
    <x v="194"/>
    <x v="1"/>
    <s v="Dólares"/>
    <s v="Dólares"/>
    <s v="Manuel Lainez al 1800"/>
    <s v="Argentina | G.B.A. Zona Oeste | Moron | Haedo | Haedo Norte"/>
    <x v="3"/>
    <n v="2"/>
    <s v="Ser"/>
    <s v="Propia (Único Asesor)"/>
    <x v="1"/>
    <s v="Venta"/>
    <x v="3"/>
    <s v="Belgrano"/>
  </r>
  <r>
    <d v="2025-07-03T00:00:00"/>
    <x v="1"/>
    <x v="1"/>
    <s v="CAP6702977"/>
    <x v="0"/>
    <s v="VENTA - DPTO - 3 AMB - PERMUTA - V. PUEYRREDON"/>
    <s v="Realizado"/>
    <s v="AR MercadoLibre"/>
    <n v="110000"/>
    <x v="195"/>
    <x v="1"/>
    <s v="Dólares"/>
    <s v="Dólares"/>
    <s v="Carlos Antonio Lopez  al 2400"/>
    <s v="Argentina | Capital Federal | Villa Pueyrredon "/>
    <x v="0"/>
    <n v="2"/>
    <s v="Lion Team"/>
    <s v="Propia (Único Asesor)"/>
    <x v="1"/>
    <s v="Venta"/>
    <x v="3"/>
    <s v="Villa Urquiza"/>
  </r>
  <r>
    <d v="2026-01-06T00:00:00"/>
    <x v="0"/>
    <x v="10"/>
    <s v="CAP6872663"/>
    <x v="0"/>
    <s v="Departamento en Villa del Parque"/>
    <s v="Realizado"/>
    <s v="AR ZonaProp"/>
    <n v="106000"/>
    <x v="196"/>
    <x v="1"/>
    <s v="Dólares"/>
    <s v="Dólares"/>
    <s v="Avenida Nazca al 2300"/>
    <s v="Argentina | Capital Federal | Villa del Parque "/>
    <x v="0"/>
    <n v="2"/>
    <s v="Horizon Group"/>
    <s v="Compartida Fuera de la Red Captación Propia"/>
    <x v="0"/>
    <s v="Venta"/>
    <x v="3"/>
    <s v="Núñez"/>
  </r>
  <r>
    <d v="2025-08-21T00:00:00"/>
    <x v="1"/>
    <x v="5"/>
    <s v="JPH6712888"/>
    <x v="0"/>
    <s v="PH - 3 AMBIENTES - TERRAZA - PATERNAL - PATIO"/>
    <s v="Realizado"/>
    <s v="AR ZonaProp"/>
    <n v="112900"/>
    <x v="196"/>
    <x v="1"/>
    <s v="Dólares"/>
    <s v="Dólares"/>
    <s v="Alvarez Jonte  al 2400"/>
    <s v="Argentina | Capital Federal | Paternal "/>
    <x v="3"/>
    <n v="2"/>
    <s v="Lion Team Norte"/>
    <s v="Propia (Único Asesor)"/>
    <x v="1"/>
    <s v="Venta"/>
    <x v="6"/>
    <s v="Vicente López"/>
  </r>
  <r>
    <d v="2025-05-09T00:00:00"/>
    <x v="1"/>
    <x v="2"/>
    <s v="CBU60233 AP6592809"/>
    <x v="1"/>
    <s v="Venta Departamento Monoambiente vista al lago a 5 minutos del centro"/>
    <s v="Realizado"/>
    <s v="Teléfono"/>
    <n v="104544"/>
    <x v="197"/>
    <x v="1"/>
    <s v="Dólares"/>
    <s v="Dólares"/>
    <s v="Avenida Pioneros, San Carlos de Bariloche"/>
    <s v="Argentina | Rio Negro | Bariloche | San Carlos De Bariloche | Centro"/>
    <x v="0"/>
    <n v="2"/>
    <s v="Patagonia Lakes BRC"/>
    <s v="Compartida en Oficina (Dos Asesores)"/>
    <x v="1"/>
    <s v="Venta"/>
    <x v="7"/>
    <s v="Bariloche"/>
  </r>
  <r>
    <d v="2025-05-21T00:00:00"/>
    <x v="1"/>
    <x v="2"/>
    <s v="CBU60233 AP6592853"/>
    <x v="1"/>
    <s v="Venta Departamento Monoambiente vista al lago a 5 minutos del centro"/>
    <s v="Realizado"/>
    <s v="Teléfono"/>
    <n v="92800"/>
    <x v="198"/>
    <x v="1"/>
    <s v="Dólares"/>
    <s v="Dólares"/>
    <s v="Avenida Pioneros, San Carlos de Bariloche"/>
    <s v="Argentina | Rio Negro | Bariloche | San Carlos De Bariloche | Centro"/>
    <x v="0"/>
    <n v="2"/>
    <s v="Patagonia Lakes BRC"/>
    <s v="Compartida en Oficina (Dos Asesores)"/>
    <x v="1"/>
    <s v="Venta"/>
    <x v="7"/>
    <s v="Bariloche"/>
  </r>
  <r>
    <d v="2025-06-19T00:00:00"/>
    <x v="1"/>
    <x v="4"/>
    <s v="LETIOCONNOR"/>
    <x v="0"/>
    <s v="DEPARTAMENTO con una superficie aproximada de 32,65m2., piso 6 UF NRO 3"/>
    <s v="Realizado"/>
    <s v="Teléfono"/>
    <n v="105000"/>
    <x v="199"/>
    <x v="1"/>
    <s v="Dólares"/>
    <s v="Dólares"/>
    <m/>
    <s v="Argentina | Rio Negro | Bariloche | San Carlos De Bariloche"/>
    <x v="0"/>
    <n v="1"/>
    <s v="Patagonia Lakes BRC"/>
    <s v="(Interior) Compartida Fuera de la Red Búsqueda"/>
    <x v="2"/>
    <s v="Venta"/>
    <x v="7"/>
    <s v="Bariloche"/>
  </r>
  <r>
    <d v="2025-08-05T00:00:00"/>
    <x v="1"/>
    <x v="5"/>
    <n v="5082025"/>
    <x v="0"/>
    <s v="Reserva Marianela Dpto Campichuelo 690 Abres"/>
    <s v="Realizado"/>
    <s v="Teléfono"/>
    <n v="105000"/>
    <x v="199"/>
    <x v="1"/>
    <s v="Dólares"/>
    <s v="Dólares"/>
    <m/>
    <s v="Argentina | Rio Negro | Bariloche | San Carlos De Bariloche"/>
    <x v="0"/>
    <n v="1"/>
    <s v="Patagonia Lakes BRC"/>
    <s v="(Interior) Compartida Fuera de la Red Búsqueda"/>
    <x v="2"/>
    <s v="Venta"/>
    <x v="7"/>
    <s v="Bariloche"/>
  </r>
  <r>
    <d v="2026-03-25T00:00:00"/>
    <x v="0"/>
    <x v="9"/>
    <s v="112Eric"/>
    <x v="0"/>
    <s v="Casa en Arroyo leyes"/>
    <s v="Realizado"/>
    <s v="AR ZonaProp"/>
    <n v="110000"/>
    <x v="199"/>
    <x v="1"/>
    <s v="Dólares"/>
    <s v="Dólares"/>
    <s v="Arroyo Leyes KM 13"/>
    <s v="Argentina | Santa Fe | La Capital | Arroyo Leyes"/>
    <x v="2"/>
    <n v="1"/>
    <s v="De la Veracruz"/>
    <s v="(Interior) Compartida Fuera de la Red Búsqueda"/>
    <x v="2"/>
    <s v="Venta"/>
    <x v="5"/>
    <s v="Capital Santa Fe"/>
  </r>
  <r>
    <d v="2025-01-10T00:00:00"/>
    <x v="1"/>
    <x v="10"/>
    <s v="CHO6571935"/>
    <x v="0"/>
    <s v="Casa en  barrio Sto. Cabral- Santa Fe"/>
    <s v="Realizado"/>
    <s v="AR ZonaProp"/>
    <n v="115000"/>
    <x v="199"/>
    <x v="1"/>
    <s v="Dólares"/>
    <s v="Dólares"/>
    <s v="Pje Madeo  al 4400"/>
    <s v="Argentina | Santa Fe | La Capital | Santa Fe | Sargento Cabral"/>
    <x v="2"/>
    <n v="1"/>
    <s v="De la Veracruz"/>
    <s v="(Interior) Compartida Fuera de la Red Captación Propia"/>
    <x v="0"/>
    <s v="Venta"/>
    <x v="5"/>
    <s v="Capital Santa Fe"/>
  </r>
  <r>
    <d v="2025-06-18T00:00:00"/>
    <x v="1"/>
    <x v="4"/>
    <s v="CAP6626222"/>
    <x v="0"/>
    <s v="Departamento en  venta Dean Funes al 1300"/>
    <s v="Realizado"/>
    <s v="Facebook"/>
    <n v="105000"/>
    <x v="199"/>
    <x v="1"/>
    <s v="Dólares"/>
    <s v="Dólares"/>
    <s v="Dean Funes  al 1300"/>
    <s v="Argentina | Salta | Capital | Salta | Zona Norte"/>
    <x v="0"/>
    <n v="1"/>
    <s v="Realty Group"/>
    <s v="(Interior) Compartida Fuera de la Red Captación Propia"/>
    <x v="0"/>
    <s v="Venta"/>
    <x v="4"/>
    <s v="San Lorenzo Chico"/>
  </r>
  <r>
    <d v="2025-10-17T00:00:00"/>
    <x v="1"/>
    <x v="11"/>
    <s v="CPH7360102"/>
    <x v="0"/>
    <s v="PH en venta Calle 58 entre 12 y Av. 13, con gran potencial a reciclar. Ubicación estratégica"/>
    <s v="Realizado"/>
    <s v="AR ZonaProp"/>
    <n v="113000"/>
    <x v="199"/>
    <x v="1"/>
    <s v="Dólares"/>
    <s v="Dólares"/>
    <s v="PH en venta Calle 58 entre 12 y Av. 13, con gran potencial a reciclar. Ubicación estratégica"/>
    <s v="Argentina | G.B.A. Zona Sur | La Plata | La Plata"/>
    <x v="3"/>
    <n v="1"/>
    <s v="Golden Team"/>
    <s v="(Interior) Compartida Fuera de la Red Captación Propia"/>
    <x v="0"/>
    <s v="Venta"/>
    <x v="0"/>
    <s v="La Plata"/>
  </r>
  <r>
    <d v="2025-01-12T00:00:00"/>
    <x v="1"/>
    <x v="10"/>
    <s v="VAP6500846"/>
    <x v="0"/>
    <s v="Departamento en  venta !! OPORTUNIDAD"/>
    <s v="Realizado"/>
    <s v="AR ZonaProp"/>
    <n v="105000"/>
    <x v="199"/>
    <x v="1"/>
    <s v="Dólares"/>
    <s v="Dólares"/>
    <s v="Cramer 1660 al 1600"/>
    <s v="Argentina | Capital Federal | Belgrano "/>
    <x v="0"/>
    <n v="2"/>
    <s v="Puerto Norte"/>
    <s v="Compartida en Oficina (Dos Asesores)"/>
    <x v="1"/>
    <s v="Venta"/>
    <x v="6"/>
    <s v="Nordelta"/>
  </r>
  <r>
    <d v="2025-10-23T00:00:00"/>
    <x v="1"/>
    <x v="11"/>
    <m/>
    <x v="0"/>
    <s v="UF 12 Altos Radal II"/>
    <s v="Realizado"/>
    <s v="Conocido"/>
    <n v="105000"/>
    <x v="199"/>
    <x v="1"/>
    <s v="Dólares"/>
    <s v="Dólares"/>
    <s v="Michay 100"/>
    <s v="Argentina | Neuquen | Villa La Angostura | El Once"/>
    <x v="0"/>
    <n v="2"/>
    <s v="Patagonia Lakes VLA"/>
    <s v="Compartida en Oficina (Dos Asesores)"/>
    <x v="1"/>
    <s v="Venta"/>
    <x v="1"/>
    <s v="Villa La Angostura"/>
  </r>
  <r>
    <d v="2026-02-12T00:00:00"/>
    <x v="0"/>
    <x v="0"/>
    <s v="CAP7621023"/>
    <x v="0"/>
    <s v="VENTA/PERMUTA departamento de 3 dormitorios  "/>
    <s v="Realizado"/>
    <s v="AR ZonaProp"/>
    <n v="105000"/>
    <x v="199"/>
    <x v="1"/>
    <s v="Dólares"/>
    <s v="Dólares"/>
    <s v="Matheu  89"/>
    <s v="Argentina | Neuquen | Capital | Área Centro Oeste"/>
    <x v="0"/>
    <n v="2"/>
    <s v="Sensus"/>
    <s v="Compartida en Oficina (Dos Asesores)"/>
    <x v="1"/>
    <s v="Venta"/>
    <x v="1"/>
    <s v="Capital Neuquén"/>
  </r>
  <r>
    <d v="2025-05-09T00:00:00"/>
    <x v="1"/>
    <x v="2"/>
    <n v="10359"/>
    <x v="0"/>
    <s v="Arregui 5418  PB 2"/>
    <s v="Realizado"/>
    <s v="AR ZonaProp"/>
    <n v="0"/>
    <x v="199"/>
    <x v="1"/>
    <s v="Dólares"/>
    <s v="Dólares"/>
    <m/>
    <s v="Argentina | Capital Federal | Belgrano "/>
    <x v="0"/>
    <n v="1"/>
    <s v="Seniority"/>
    <s v="Compartida Fuera de la Red Búsqueda"/>
    <x v="2"/>
    <s v="Venta"/>
    <x v="3"/>
    <s v="Barrio Parque"/>
  </r>
  <r>
    <d v="2025-09-24T00:00:00"/>
    <x v="1"/>
    <x v="6"/>
    <m/>
    <x v="0"/>
    <s v="Vergara 1523 - Busqueda Susan - Banfield"/>
    <s v="Realizado"/>
    <s v="AR ZonaProp"/>
    <n v="105000"/>
    <x v="199"/>
    <x v="1"/>
    <s v="Dólares"/>
    <s v="Dólares"/>
    <s v="Vergara 1523"/>
    <s v="Argentina | G.B.A. Zona Sur | Lomas De Zamora (Partido) | Banfield | Banfield Este"/>
    <x v="0"/>
    <n v="1"/>
    <s v="Destino"/>
    <s v="Compartida Fuera de la Red Búsqueda"/>
    <x v="2"/>
    <s v="Venta"/>
    <x v="3"/>
    <s v="Recoleta"/>
  </r>
  <r>
    <d v="2025-12-09T00:00:00"/>
    <x v="1"/>
    <x v="8"/>
    <m/>
    <x v="0"/>
    <s v="Departamento de 3 ambientes"/>
    <s v="Realizado"/>
    <s v="AR ZonaProp"/>
    <n v="115000"/>
    <x v="199"/>
    <x v="1"/>
    <s v="Dólares"/>
    <s v="Dólares"/>
    <s v="Lavalle 45"/>
    <s v="Argentina | G.B.A. Zona Norte | Tigre | Tigre"/>
    <x v="0"/>
    <n v="1"/>
    <s v="Titanio"/>
    <s v="Compartida Fuera de la Red Búsqueda"/>
    <x v="2"/>
    <s v="Venta"/>
    <x v="6"/>
    <s v="San Isidro"/>
  </r>
  <r>
    <d v="2025-12-10T00:00:00"/>
    <x v="1"/>
    <x v="8"/>
    <s v="Depto Calle Grecia 3394, Nuñez"/>
    <x v="0"/>
    <s v="Depto Calle Grecia 3394, Nuñez"/>
    <s v="Realizado"/>
    <s v="AR MercadoLibre"/>
    <n v="43200"/>
    <x v="199"/>
    <x v="1"/>
    <s v="Dólares"/>
    <s v="Dólares"/>
    <s v="Calle Grecia 3394, Nuñez"/>
    <s v="Argentina | Capital Federal | Nuñez "/>
    <x v="1"/>
    <n v="1"/>
    <s v="Puerto Norte"/>
    <s v="Compartida Fuera de la Red Búsqueda"/>
    <x v="2"/>
    <s v="Venta"/>
    <x v="6"/>
    <s v="Nordelta"/>
  </r>
  <r>
    <d v="2026-02-23T00:00:00"/>
    <x v="0"/>
    <x v="0"/>
    <s v="op 233"/>
    <x v="0"/>
    <s v="Santos Dumont 2355 1 D"/>
    <s v="Realizado"/>
    <s v="AR ZonaProp"/>
    <n v="105000"/>
    <x v="199"/>
    <x v="1"/>
    <s v="Dólares"/>
    <s v="Dólares"/>
    <s v="Santos Dumont 2355 1 D"/>
    <s v="Argentina | Capital Federal | Palermo "/>
    <x v="0"/>
    <n v="1"/>
    <s v="Seniority Plus"/>
    <s v="Compartida Fuera de la Red Búsqueda"/>
    <x v="2"/>
    <s v="Venta"/>
    <x v="3"/>
    <s v="Palermo"/>
  </r>
  <r>
    <d v="2026-03-02T00:00:00"/>
    <x v="0"/>
    <x v="9"/>
    <n v="51"/>
    <x v="0"/>
    <s v="Venta departamento Humberto Primo"/>
    <s v="Realizado"/>
    <s v="AR ZonaProp"/>
    <n v="105000"/>
    <x v="199"/>
    <x v="1"/>
    <s v="Dólares"/>
    <s v="Dólares"/>
    <s v="Humberto Primo 2823"/>
    <s v="Argentina | Capital Federal | San Cristobal "/>
    <x v="0"/>
    <n v="1"/>
    <s v="Grupo Elite"/>
    <s v="Compartida Fuera de la Red Búsqueda"/>
    <x v="2"/>
    <s v="Venta"/>
    <x v="3"/>
    <s v="Puerto Madero"/>
  </r>
  <r>
    <d v="2025-04-22T00:00:00"/>
    <x v="1"/>
    <x v="3"/>
    <s v="CAP5246442"/>
    <x v="0"/>
    <s v="Departamento 2 amb a estrenar en  Villa Devoto"/>
    <s v="Realizado"/>
    <s v="AR ZonaProp"/>
    <n v="110000"/>
    <x v="199"/>
    <x v="1"/>
    <s v="Dólares"/>
    <s v="Dólares"/>
    <s v="Jose Cubas al 3300"/>
    <s v="Argentina | Capital Federal | Villa Devoto "/>
    <x v="0"/>
    <n v="2"/>
    <s v="Haka"/>
    <s v="Compartida Fuera de la Red Captación Propia"/>
    <x v="0"/>
    <s v="Venta"/>
    <x v="3"/>
    <s v="Núñez"/>
  </r>
  <r>
    <d v="2025-05-23T00:00:00"/>
    <x v="1"/>
    <x v="2"/>
    <s v="CAP6739163"/>
    <x v="0"/>
    <s v="VENTA Departamento 2 Ambientes  Equipado - Monserrat"/>
    <s v="Realizado"/>
    <s v="Conocido"/>
    <n v="110000"/>
    <x v="199"/>
    <x v="1"/>
    <s v="Dólares"/>
    <s v="Dólares"/>
    <s v="Sáenz Peña al 1000"/>
    <s v="Argentina | Capital Federal | Monserrat "/>
    <x v="0"/>
    <n v="2"/>
    <s v="Seniority"/>
    <s v="Compartida Fuera de la Red Captación Propia"/>
    <x v="0"/>
    <s v="Venta"/>
    <x v="3"/>
    <s v="Barrio Parque"/>
  </r>
  <r>
    <d v="2025-06-24T00:00:00"/>
    <x v="1"/>
    <x v="4"/>
    <s v="CHO6739247"/>
    <x v="0"/>
    <s v="Casa en Venta de 3 dormitorios con garage en 51 e/ 30 y 31"/>
    <s v="Realizado"/>
    <s v="AR ZonaProp"/>
    <n v="105000"/>
    <x v="199"/>
    <x v="1"/>
    <s v="Dólares"/>
    <s v="Dólares"/>
    <s v="Casa en Venta de 3 dormitorios con garage en 51 entre 30 y 31"/>
    <s v="Argentina | G.B.A. Zona Sur | La Plata | La Plata | Barrio Norte"/>
    <x v="2"/>
    <n v="2"/>
    <s v="Golden Team"/>
    <s v="Compartida Fuera de la Red Captación Propia"/>
    <x v="0"/>
    <s v="Venta"/>
    <x v="0"/>
    <s v="La Plata"/>
  </r>
  <r>
    <d v="2025-09-26T00:00:00"/>
    <x v="1"/>
    <x v="6"/>
    <s v="CAP6964465"/>
    <x v="0"/>
    <s v="Venta Departamento 3 ambientes en Villa del Parque Apto crédito Bajas expensas"/>
    <s v="Realizado"/>
    <s v="AR ZonaProp"/>
    <n v="110000"/>
    <x v="199"/>
    <x v="1"/>
    <s v="Dólares"/>
    <s v="Dólares"/>
    <s v="Pasaje Pernambuco al 2400"/>
    <s v="Argentina | Capital Federal | Villa del Parque "/>
    <x v="0"/>
    <n v="2"/>
    <s v="Seniority"/>
    <s v="Compartida Fuera de la Red Captación Propia"/>
    <x v="0"/>
    <s v="Venta"/>
    <x v="3"/>
    <s v="Barrio Parque"/>
  </r>
  <r>
    <d v="2026-02-23T00:00:00"/>
    <x v="0"/>
    <x v="0"/>
    <s v="CAP7529902"/>
    <x v="0"/>
    <s v="Venta departamento AMUEBLADO dos ambientes en Recoleta. IDEAL INVERSION O VIVIENDA"/>
    <s v="Realizado"/>
    <s v="AR ZonaProp"/>
    <n v="110000"/>
    <x v="199"/>
    <x v="1"/>
    <s v="Dólares"/>
    <s v="Dólares"/>
    <s v="Arenales al 1100"/>
    <s v="Argentina | Capital Federal | Retiro "/>
    <x v="0"/>
    <n v="2"/>
    <s v="Seniority"/>
    <s v="Compartida Fuera de la Red Captación Propia"/>
    <x v="0"/>
    <s v="Venta"/>
    <x v="3"/>
    <s v="Barrio Parque"/>
  </r>
  <r>
    <d v="2025-09-03T00:00:00"/>
    <x v="1"/>
    <x v="6"/>
    <n v="10509"/>
    <x v="2"/>
    <s v="thames 305"/>
    <s v="Realizado"/>
    <s v="AR ZonaProp"/>
    <n v="0"/>
    <x v="199"/>
    <x v="1"/>
    <s v="Dólares"/>
    <s v="Dólares"/>
    <m/>
    <s v="Argentina | Capital Federal | Flores "/>
    <x v="0"/>
    <n v="2"/>
    <s v="Seniority"/>
    <s v="Master"/>
    <x v="1"/>
    <s v="Venta"/>
    <x v="3"/>
    <s v="Barrio Parque"/>
  </r>
  <r>
    <d v="2025-01-16T00:00:00"/>
    <x v="1"/>
    <x v="10"/>
    <s v="CAP6440015"/>
    <x v="0"/>
    <s v="VENTA DEPARTAMENTO 3 AMBIENTES BALCON CORRIDO COGHLAN"/>
    <s v="Realizado"/>
    <s v="AR ArgenProp"/>
    <n v="114999"/>
    <x v="199"/>
    <x v="1"/>
    <s v="Dólares"/>
    <s v="Dólares"/>
    <s v="Manuela Pedraza al 3600"/>
    <s v="Argentina | Capital Federal | Coghlan "/>
    <x v="0"/>
    <n v="2"/>
    <s v="Lion Team"/>
    <s v="Propia (Único Asesor)"/>
    <x v="1"/>
    <s v="Venta"/>
    <x v="3"/>
    <s v="Villa Urquiza"/>
  </r>
  <r>
    <d v="2025-05-20T00:00:00"/>
    <x v="1"/>
    <x v="2"/>
    <s v="CAP6757889"/>
    <x v="0"/>
    <s v="venta Departamento dos ambientes nuñez Permuta"/>
    <s v="Realizado"/>
    <s v="AR ArgenProp"/>
    <n v="119900"/>
    <x v="199"/>
    <x v="1"/>
    <s v="Dólares"/>
    <s v="Dólares"/>
    <s v="Av libertador  al 6700"/>
    <s v="Argentina | Capital Federal | Nuñez "/>
    <x v="0"/>
    <n v="2"/>
    <s v="Lion Team"/>
    <s v="Propia (Único Asesor)"/>
    <x v="1"/>
    <s v="Venta"/>
    <x v="3"/>
    <s v="Villa Urquiza"/>
  </r>
  <r>
    <d v="2025-06-03T00:00:00"/>
    <x v="1"/>
    <x v="4"/>
    <s v="CAP6393286"/>
    <x v="0"/>
    <s v="VENTA 3 AMB A ESTRENAR PISCINA Y VISTA ABIERTA"/>
    <s v="Realizado"/>
    <s v="AR MercadoLibre"/>
    <n v="108000"/>
    <x v="199"/>
    <x v="1"/>
    <s v="Dólares"/>
    <s v="Dólares"/>
    <s v="Av. Mitre al 4900"/>
    <s v="Argentina | G.B.A. Zona Sur | Avellaneda | Villa Dominico"/>
    <x v="0"/>
    <n v="2"/>
    <s v="Destino II"/>
    <s v="Propia (Único Asesor)"/>
    <x v="1"/>
    <s v="Venta"/>
    <x v="3"/>
    <s v="Recoleta"/>
  </r>
  <r>
    <d v="2025-06-12T00:00:00"/>
    <x v="1"/>
    <x v="4"/>
    <s v="APH6941282"/>
    <x v="0"/>
    <s v="PH en Boedo"/>
    <s v="Realizado"/>
    <s v="AR ZonaProp"/>
    <n v="105000"/>
    <x v="199"/>
    <x v="1"/>
    <s v="Dólares"/>
    <s v="Dólares"/>
    <s v="VIRREY LINIERS al 1800"/>
    <s v="Argentina | Capital Federal | Boedo "/>
    <x v="3"/>
    <n v="2"/>
    <s v="Desiderio"/>
    <s v="Propia (Único Asesor)"/>
    <x v="1"/>
    <s v="Venta"/>
    <x v="3"/>
    <s v="Caballito"/>
  </r>
  <r>
    <d v="2025-07-16T00:00:00"/>
    <x v="1"/>
    <x v="1"/>
    <s v="CAP6279410"/>
    <x v="0"/>
    <s v="Venta Departamento monoambiente con cochera y amenities en Las Cañitas ideal inversión"/>
    <s v="Realizado"/>
    <s v="AR ZonaProp"/>
    <n v="119000"/>
    <x v="199"/>
    <x v="1"/>
    <s v="Dólares"/>
    <s v="Dólares"/>
    <s v="ARCE al 500"/>
    <s v="Argentina | Capital Federal | Palermo | Las Cañitas"/>
    <x v="0"/>
    <n v="2"/>
    <s v="Seniority Plus"/>
    <s v="Propia (Único Asesor)"/>
    <x v="1"/>
    <s v="Venta"/>
    <x v="3"/>
    <s v="Palermo"/>
  </r>
  <r>
    <d v="2025-07-25T00:00:00"/>
    <x v="1"/>
    <x v="1"/>
    <s v="COF6984206"/>
    <x v="0"/>
    <s v="Oficina en  venta san isidro sobre Av. Marquez"/>
    <s v="Realizado"/>
    <s v="AR ZonaProp"/>
    <n v="105000"/>
    <x v="199"/>
    <x v="1"/>
    <s v="Dólares"/>
    <s v="Dólares"/>
    <s v="Oportunidad! oficina san isidro, Av.Marquez 3000"/>
    <s v="Argentina | G.B.A. Zona Norte | San Isidro | San Isidro"/>
    <x v="6"/>
    <n v="2"/>
    <s v="Notable"/>
    <s v="Propia (Único Asesor)"/>
    <x v="1"/>
    <s v="Venta"/>
    <x v="3"/>
    <s v="Palermo"/>
  </r>
  <r>
    <d v="2025-08-11T00:00:00"/>
    <x v="1"/>
    <x v="5"/>
    <s v="Azcuenaga 1064 7A"/>
    <x v="0"/>
    <s v="Azcuenaga 1064 7A"/>
    <s v="Realizado"/>
    <s v="AR MercadoLibre"/>
    <n v="210000"/>
    <x v="199"/>
    <x v="1"/>
    <s v="Dólares"/>
    <s v="Dólares"/>
    <s v="Azcuenaga 1064 7A"/>
    <s v="Argentina | Capital Federal | Capital Federal "/>
    <x v="0"/>
    <n v="2"/>
    <s v="Lion Team"/>
    <s v="Propia (Único Asesor)"/>
    <x v="1"/>
    <s v="Venta"/>
    <x v="3"/>
    <s v="Villa Urquiza"/>
  </r>
  <r>
    <d v="2025-08-19T00:00:00"/>
    <x v="1"/>
    <x v="5"/>
    <s v="CAP6617842"/>
    <x v="0"/>
    <s v="Venta Departamento 2 Ambientes con seguridad 24hs en Palermo"/>
    <s v="Realizado"/>
    <s v="AR ZonaProp"/>
    <n v="110000"/>
    <x v="199"/>
    <x v="1"/>
    <s v="Dólares"/>
    <s v="Dólares"/>
    <s v="Mansilla al 2500"/>
    <s v="Argentina | Capital Federal | Palermo "/>
    <x v="0"/>
    <n v="2"/>
    <s v="Seniority Plus"/>
    <s v="Propia (Único Asesor)"/>
    <x v="1"/>
    <s v="Venta"/>
    <x v="3"/>
    <s v="Palermo"/>
  </r>
  <r>
    <d v="2025-09-12T00:00:00"/>
    <x v="1"/>
    <x v="6"/>
    <s v="CAP7125539"/>
    <x v="0"/>
    <s v="LUMINOSO LOFT DE 2 AMBIENTES"/>
    <s v="Realizado"/>
    <s v="AR ZonaProp"/>
    <n v="105000"/>
    <x v="199"/>
    <x v="1"/>
    <s v="Dólares"/>
    <s v="Dólares"/>
    <s v="Charcas al 3100"/>
    <s v="Argentina | Capital Federal | Palermo "/>
    <x v="0"/>
    <n v="2"/>
    <s v="Destino II"/>
    <s v="Propia (Único Asesor)"/>
    <x v="1"/>
    <s v="Venta"/>
    <x v="3"/>
    <s v="Recoleta"/>
  </r>
  <r>
    <d v="2025-11-14T00:00:00"/>
    <x v="1"/>
    <x v="7"/>
    <s v="VAP6808008"/>
    <x v="0"/>
    <s v="Venta monoambiente en Palermo Hollywood con amenities"/>
    <s v="Realizado"/>
    <s v="AR ZonaProp"/>
    <n v="110000"/>
    <x v="199"/>
    <x v="1"/>
    <s v="Dólares"/>
    <s v="Dólares"/>
    <s v="Dorrego  al 1800"/>
    <s v="Argentina | Capital Federal | Palermo | Palermo Hollywood"/>
    <x v="0"/>
    <n v="2"/>
    <s v="Space BA"/>
    <s v="Propia (Único Asesor)"/>
    <x v="1"/>
    <s v="Venta"/>
    <x v="3"/>
    <s v="Belgrano"/>
  </r>
  <r>
    <d v="2025-11-17T00:00:00"/>
    <x v="1"/>
    <x v="7"/>
    <s v="CAP6534688"/>
    <x v="0"/>
    <s v="Venta Departamento Monoambiente en Las Cañitas"/>
    <s v="Realizado"/>
    <s v="AR ZonaProp"/>
    <n v="115000"/>
    <x v="199"/>
    <x v="1"/>
    <s v="Dólares"/>
    <s v="Dólares"/>
    <s v="Jorge Newbery  al 1800"/>
    <s v="Argentina | Capital Federal | Palermo | Las Cañitas"/>
    <x v="0"/>
    <n v="2"/>
    <s v="Seniority Plus"/>
    <s v="Propia (Único Asesor)"/>
    <x v="1"/>
    <s v="Venta"/>
    <x v="3"/>
    <s v="Palermo"/>
  </r>
  <r>
    <d v="2026-02-16T00:00:00"/>
    <x v="0"/>
    <x v="0"/>
    <s v="CWE6718102"/>
    <x v="0"/>
    <s v="Casa quinta en Villa California"/>
    <s v="Realizado"/>
    <s v="Cartel"/>
    <n v="130000"/>
    <x v="199"/>
    <x v="1"/>
    <s v="Dólares"/>
    <s v="Dólares"/>
    <s v="Calle de Los Duendes 2763"/>
    <s v="Argentina | Santa Fe | La Capital | San Jose Del Rincon | Villa California"/>
    <x v="2"/>
    <n v="2"/>
    <s v="De la Veracruz"/>
    <s v="Propia (Único Asesor)"/>
    <x v="1"/>
    <s v="Venta"/>
    <x v="5"/>
    <s v="Capital Santa Fe"/>
  </r>
  <r>
    <d v="2026-03-11T00:00:00"/>
    <x v="0"/>
    <x v="9"/>
    <s v="CAP7419789"/>
    <x v="0"/>
    <s v="Departamento en Palermo"/>
    <s v="Realizado"/>
    <s v="AR MercadoLibre"/>
    <n v="105000"/>
    <x v="199"/>
    <x v="1"/>
    <s v="Dólares"/>
    <s v="Dólares"/>
    <s v="Bonpland al 1300"/>
    <s v="Argentina | Capital Federal | Palermo "/>
    <x v="0"/>
    <n v="2"/>
    <s v="Puerto Norte"/>
    <s v="Propia (Único Asesor)"/>
    <x v="1"/>
    <s v="Venta"/>
    <x v="6"/>
    <s v="Nordelta"/>
  </r>
  <r>
    <d v="2026-03-16T00:00:00"/>
    <x v="0"/>
    <x v="9"/>
    <s v="CHO7774952"/>
    <x v="0"/>
    <s v="Casa en San Rafael"/>
    <s v="Realizado"/>
    <s v="UY ZonaProp"/>
    <n v="115000"/>
    <x v="199"/>
    <x v="1"/>
    <s v="Dólares"/>
    <s v="Dólares"/>
    <s v="Av Cabildo y Agustin Alvarez"/>
    <s v="Argentina | Mendoza | San Rafael | San Rafael"/>
    <x v="2"/>
    <n v="2"/>
    <s v="Andes"/>
    <s v="Propia (Único Asesor)"/>
    <x v="1"/>
    <s v="Venta"/>
    <x v="2"/>
    <s v="San Rafael"/>
  </r>
  <r>
    <d v="2026-03-19T00:00:00"/>
    <x v="0"/>
    <x v="9"/>
    <s v="CAP7371296"/>
    <x v="0"/>
    <s v="VENTA 4 AMB - VISTA ABIERTA - CONSTITUCIÓN"/>
    <s v="Realizado"/>
    <s v="AR ZonaProp"/>
    <n v="110000"/>
    <x v="199"/>
    <x v="1"/>
    <s v="Dólares"/>
    <s v="Dólares"/>
    <s v="Bernardo de Irigoyen al 1300"/>
    <s v="Argentina | Capital Federal | Constitución "/>
    <x v="0"/>
    <n v="2"/>
    <s v="Destino"/>
    <s v="Propia (Único Asesor)"/>
    <x v="1"/>
    <s v="Venta"/>
    <x v="3"/>
    <s v="Recoleta"/>
  </r>
  <r>
    <d v="2026-03-31T00:00:00"/>
    <x v="0"/>
    <x v="9"/>
    <s v="CHO7361585"/>
    <x v="0"/>
    <s v="Excelente Casa en San Jerónimo Norte de dos dormitorios, patio y cocheras. Posibilidad de Permuta"/>
    <s v="Realizado"/>
    <s v="Cartel"/>
    <n v="115000"/>
    <x v="199"/>
    <x v="1"/>
    <s v="Dólares"/>
    <s v="Dólares"/>
    <s v="Excelente Casa en San Jerónimo Norte de dos dormitorios, patio y cocheras."/>
    <s v="Argentina | Santa Fe | Las Colonias | San Jeronimo Norte"/>
    <x v="2"/>
    <n v="2"/>
    <s v="De la Veracruz"/>
    <s v="Propia (Único Asesor)"/>
    <x v="1"/>
    <s v="Venta"/>
    <x v="5"/>
    <s v="Capital Santa Fe"/>
  </r>
  <r>
    <d v="2025-09-30T00:00:00"/>
    <x v="1"/>
    <x v="6"/>
    <s v="CAP4427118"/>
    <x v="0"/>
    <s v="Departamento en venta Bariloche"/>
    <s v="Realizado"/>
    <s v="Instagram"/>
    <n v="99000"/>
    <x v="200"/>
    <x v="1"/>
    <s v="Dólares"/>
    <s v="Dólares"/>
    <s v="Centro, Bariloche"/>
    <s v="Argentina | Rio Negro | Bariloche | San Carlos De Bariloche | Centro"/>
    <x v="0"/>
    <n v="1"/>
    <s v="Patagonia Lakes BRC"/>
    <s v="(Interior) Compartida Fuera de la Red Captación Propia"/>
    <x v="0"/>
    <s v="Venta"/>
    <x v="7"/>
    <s v="Bariloche"/>
  </r>
  <r>
    <d v="2025-03-28T00:00:00"/>
    <x v="1"/>
    <x v="9"/>
    <n v="10246"/>
    <x v="2"/>
    <s v="Rivadavia 6003 5to "/>
    <s v="Realizado"/>
    <s v="AR ZonaProp"/>
    <n v="0"/>
    <x v="200"/>
    <x v="1"/>
    <s v="Dólares"/>
    <s v="Dólares"/>
    <m/>
    <s v="Argentina | Capital Federal | Caballito "/>
    <x v="0"/>
    <n v="2"/>
    <s v="Seniority"/>
    <s v="Compartida en Red (50%)"/>
    <x v="1"/>
    <s v="Venta"/>
    <x v="3"/>
    <s v="Barrio Parque"/>
  </r>
  <r>
    <d v="2026-01-14T00:00:00"/>
    <x v="0"/>
    <x v="10"/>
    <s v="MONROE 4352"/>
    <x v="2"/>
    <s v="Monroe 4352"/>
    <s v="Realizado"/>
    <s v="AR ZonaProp"/>
    <n v="106000"/>
    <x v="200"/>
    <x v="1"/>
    <s v="Dólares"/>
    <s v="Dólares"/>
    <s v="MONROE 4352"/>
    <s v="Argentina | Capital Federal | Villa Urquiza "/>
    <x v="0"/>
    <n v="2"/>
    <s v="Lion Team Norte"/>
    <s v="Compartida en Red (50%)"/>
    <x v="1"/>
    <s v="Venta"/>
    <x v="6"/>
    <s v="Vicente López"/>
  </r>
  <r>
    <d v="2025-05-09T00:00:00"/>
    <x v="1"/>
    <x v="2"/>
    <s v="CPH6702114"/>
    <x v="0"/>
    <s v="PH - 3 AMB - TERRAZA - VILLA PUEYRREDON - PERMUTA"/>
    <s v="Realizado"/>
    <s v="AR ZonaProp"/>
    <n v="115000"/>
    <x v="200"/>
    <x v="1"/>
    <s v="Dólares"/>
    <s v="Dólares"/>
    <s v="Ladines al 2200"/>
    <s v="Argentina | Capital Federal | Villa Pueyrredon "/>
    <x v="3"/>
    <n v="2"/>
    <s v="Lion Team"/>
    <s v="Propia (Único Asesor)"/>
    <x v="1"/>
    <s v="Venta"/>
    <x v="3"/>
    <s v="Villa Urquiza"/>
  </r>
  <r>
    <d v="2025-05-09T00:00:00"/>
    <x v="1"/>
    <x v="2"/>
    <s v="JAP6257911"/>
    <x v="0"/>
    <s v="Venta 2 ambientes luminoso remodelado con cochera Oportunidad"/>
    <s v="Realizado"/>
    <s v="AR ZonaProp"/>
    <n v="109000"/>
    <x v="200"/>
    <x v="1"/>
    <s v="Dólares"/>
    <s v="Dólares"/>
    <s v="Azcuenaga | al 1400"/>
    <s v="Argentina | G.B.A. Zona Norte | Vicente López | Barrio Vicente López | V.Lopez-Vias/Rio"/>
    <x v="0"/>
    <n v="2"/>
    <s v="Lion Team Norte"/>
    <s v="Propia (Único Asesor)"/>
    <x v="1"/>
    <s v="Venta"/>
    <x v="6"/>
    <s v="Vicente López"/>
  </r>
  <r>
    <d v="2026-03-19T00:00:00"/>
    <x v="0"/>
    <x v="9"/>
    <s v="CAP7688231"/>
    <x v="0"/>
    <s v="Departamento en VENTA C/TERRAZA   COCHERA   PARRILLA"/>
    <s v="Realizado"/>
    <s v="AR ZonaProp"/>
    <n v="112000"/>
    <x v="200"/>
    <x v="1"/>
    <s v="Dólares"/>
    <s v="Dólares"/>
    <s v="Aguilar  al 2500"/>
    <s v="Argentina | Capital Federal | Colegiales "/>
    <x v="0"/>
    <n v="2"/>
    <s v="Destino"/>
    <s v="Propia (Único Asesor)"/>
    <x v="1"/>
    <s v="Venta"/>
    <x v="3"/>
    <s v="Recoleta"/>
  </r>
  <r>
    <d v="2025-11-30T00:00:00"/>
    <x v="1"/>
    <x v="7"/>
    <s v="Don joaquin"/>
    <x v="0"/>
    <s v="DON JOAQUIN"/>
    <s v="Realizado"/>
    <s v="AR ZonaProp"/>
    <n v="106730"/>
    <x v="201"/>
    <x v="1"/>
    <s v="Dólares"/>
    <s v="Dólares"/>
    <s v="DON JOAQUIN "/>
    <s v="Argentina | G.B.A. Zona Sur | Ezeiza | Countries/B.Cerrado (Ezeiza) | Barrio Don Joaquin"/>
    <x v="0"/>
    <n v="1"/>
    <s v="Puerto Norte"/>
    <s v="Compartida Fuera de la Red Búsqueda"/>
    <x v="2"/>
    <s v="Venta"/>
    <x v="6"/>
    <s v="Nordelta"/>
  </r>
  <r>
    <d v="2025-11-28T00:00:00"/>
    <x v="1"/>
    <x v="7"/>
    <s v="VHO6073953"/>
    <x v="2"/>
    <s v="Venta casa 3 dormitorios c/ dependencia APTO CREDITO - San Andrés - Villanueva"/>
    <s v="Realizado"/>
    <s v="AR MercadoLibre"/>
    <n v="270000"/>
    <x v="201"/>
    <x v="1"/>
    <s v="Dólares"/>
    <s v="Dólares"/>
    <s v="Av. Italia  al 5200"/>
    <s v="Argentina | G.B.A. Zona Norte | Tigre | Countries/B.Cerrado (Tigre) | Villanueva | San Andres"/>
    <x v="2"/>
    <n v="2"/>
    <s v="Lion Team"/>
    <s v="Compartida en Red (50%)"/>
    <x v="1"/>
    <s v="Venta"/>
    <x v="3"/>
    <s v="Villa Urquiza"/>
  </r>
  <r>
    <d v="2025-12-18T00:00:00"/>
    <x v="1"/>
    <x v="8"/>
    <s v="108Emilia"/>
    <x v="0"/>
    <s v="Gran Local comercia"/>
    <s v="Realizado"/>
    <s v="Conocido"/>
    <n v="130000"/>
    <x v="202"/>
    <x v="1"/>
    <s v="Dólares"/>
    <s v="Dólares"/>
    <s v="Rivadavia 2844"/>
    <s v="Argentina | Santa Fe | La Capital | Santa Fe"/>
    <x v="4"/>
    <n v="1"/>
    <s v="De la Veracruz"/>
    <s v="(Interior) Compartida Fuera de la Red Búsqueda"/>
    <x v="2"/>
    <s v="Venta"/>
    <x v="5"/>
    <s v="Capital Santa Fe"/>
  </r>
  <r>
    <d v="2025-03-14T00:00:00"/>
    <x v="1"/>
    <x v="9"/>
    <s v="CAP6633827"/>
    <x v="0"/>
    <s v="Venta - Departamento - 3 Ambientes - Balcon - Boedo - Vista Abierta - Permuta - Apto Credito"/>
    <s v="Realizado"/>
    <s v="AR MercadoLibre"/>
    <n v="110000"/>
    <x v="202"/>
    <x v="1"/>
    <s v="Dólares"/>
    <s v="Dólares"/>
    <s v="33 Orientales 800"/>
    <s v="Argentina | Capital Federal | Boedo "/>
    <x v="0"/>
    <n v="2"/>
    <s v="Lion Team"/>
    <s v="Compartida en Oficina (Dos Asesores)"/>
    <x v="1"/>
    <s v="Venta"/>
    <x v="3"/>
    <s v="Villa Urquiza"/>
  </r>
  <r>
    <d v="2025-11-26T00:00:00"/>
    <x v="1"/>
    <x v="7"/>
    <s v="CLA7109553"/>
    <x v="0"/>
    <s v="VENTA Lote Terreno 986m2 B° Náutico  acceso al lago Nahuel Huapi Villa la Angostura"/>
    <s v="Realizado"/>
    <s v="Referido"/>
    <n v="110000"/>
    <x v="202"/>
    <x v="1"/>
    <s v="Dólares"/>
    <s v="Dólares"/>
    <s v="Bv. Quetrihue al 300"/>
    <s v="Argentina | Neuquen | Villa La Angostura | Tres Cerros"/>
    <x v="1"/>
    <n v="2"/>
    <s v="Patagonia Lakes VLA"/>
    <s v="Compartida en Oficina (Dos Asesores)"/>
    <x v="1"/>
    <s v="Venta"/>
    <x v="1"/>
    <s v="Villa La Angostura"/>
  </r>
  <r>
    <d v="2025-07-01T00:00:00"/>
    <x v="1"/>
    <x v="1"/>
    <s v="CAP6283381"/>
    <x v="0"/>
    <s v="Departamento en  dúplex de 2 amb"/>
    <s v="Realizado"/>
    <s v="AR ZonaProp"/>
    <n v="119000"/>
    <x v="202"/>
    <x v="1"/>
    <s v="Dólares"/>
    <s v="Dólares"/>
    <s v="Cordoba al 6000"/>
    <s v="Argentina | Capital Federal | Colegiales "/>
    <x v="6"/>
    <n v="2"/>
    <s v="Horizon Group"/>
    <s v="Compartida Fuera de la Red Captación Propia"/>
    <x v="0"/>
    <s v="Venta"/>
    <x v="3"/>
    <s v="Núñez"/>
  </r>
  <r>
    <d v="2025-12-05T00:00:00"/>
    <x v="1"/>
    <x v="8"/>
    <s v="CAP7341637"/>
    <x v="0"/>
    <s v="Venta Departamento 3 Ambientes en Colegiales"/>
    <s v="Realizado"/>
    <s v="AR ZonaProp"/>
    <n v="110000"/>
    <x v="202"/>
    <x v="1"/>
    <s v="Dólares"/>
    <s v="Dólares"/>
    <s v="Ciudad de la Paz  al 1300"/>
    <s v="Argentina | Capital Federal | Colegiales "/>
    <x v="0"/>
    <n v="2"/>
    <s v="Seniority"/>
    <s v="Compartida Fuera de la Red Captación Propia"/>
    <x v="0"/>
    <s v="Venta"/>
    <x v="3"/>
    <s v="Barrio Parque"/>
  </r>
  <r>
    <d v="2026-01-23T00:00:00"/>
    <x v="0"/>
    <x v="10"/>
    <s v="CPH7298803"/>
    <x v="0"/>
    <s v="Venta PH 3 ambientes en Paternal"/>
    <s v="Realizado"/>
    <s v="AR ZonaProp"/>
    <n v="115000"/>
    <x v="202"/>
    <x v="1"/>
    <s v="Dólares"/>
    <s v="Dólares"/>
    <s v="Espinosa al 2200"/>
    <s v="Argentina | Capital Federal | Paternal "/>
    <x v="3"/>
    <n v="2"/>
    <s v="Seniority"/>
    <s v="Propia (Único Asesor)"/>
    <x v="1"/>
    <s v="Venta"/>
    <x v="3"/>
    <s v="Barrio Parque"/>
  </r>
  <r>
    <d v="2026-01-27T00:00:00"/>
    <x v="0"/>
    <x v="10"/>
    <s v="CPN67252 AP7421127"/>
    <x v="0"/>
    <s v="En Venta Departamento en pozo con amenities Barrio Privado Águila Mora Melipal Bariloche"/>
    <s v="Realizado"/>
    <s v="Salón"/>
    <n v="106500"/>
    <x v="203"/>
    <x v="1"/>
    <s v="Dólares"/>
    <s v="Dólares"/>
    <s v="Barrio Melipal, San Carlos de Bariloche"/>
    <s v="Argentina | Rio Negro | Bariloche | San Carlos De Bariloche | Melipal"/>
    <x v="0"/>
    <n v="2"/>
    <s v="Patagonia Lakes BRC"/>
    <s v="Propia (Único Asesor)"/>
    <x v="1"/>
    <s v="Venta"/>
    <x v="7"/>
    <s v="Bariloche"/>
  </r>
  <r>
    <d v="2025-05-12T00:00:00"/>
    <x v="1"/>
    <x v="2"/>
    <m/>
    <x v="0"/>
    <s v="Local UF 5 Paseo Retamas Edificio 1"/>
    <s v="Realizado"/>
    <s v="Conocido"/>
    <n v="107480"/>
    <x v="204"/>
    <x v="1"/>
    <s v="Dólares"/>
    <s v="Dólares"/>
    <s v="Retamas 300"/>
    <s v="Argentina | Neuquen | Villa La Angostura | Centro"/>
    <x v="4"/>
    <n v="2"/>
    <s v="Patagonia Lakes VLA"/>
    <s v="Compartida en Oficina (Dos Asesores)"/>
    <x v="1"/>
    <s v="Venta"/>
    <x v="1"/>
    <s v="Villa La Angostura"/>
  </r>
  <r>
    <d v="2025-06-09T00:00:00"/>
    <x v="1"/>
    <x v="4"/>
    <s v="CAP6682303"/>
    <x v="0"/>
    <s v="Departamento en venta  DUPLEX EN VENTA  3 AMBIENTES EN NUÑEZ - PERMUTA"/>
    <s v="Realizado"/>
    <s v="AR ZonaProp"/>
    <n v="112800"/>
    <x v="205"/>
    <x v="1"/>
    <s v="Dólares"/>
    <s v="Dólares"/>
    <s v="Nicolas de Vedia 1650 5"/>
    <s v="Argentina | Capital Federal | Nuñez "/>
    <x v="0"/>
    <n v="2"/>
    <s v="Lion Team"/>
    <s v="Compartida en Oficina (Dos Asesores)"/>
    <x v="1"/>
    <s v="Venta"/>
    <x v="3"/>
    <s v="Villa Urquiza"/>
  </r>
  <r>
    <d v="2025-10-24T00:00:00"/>
    <x v="1"/>
    <x v="11"/>
    <s v="CAP6886368"/>
    <x v="0"/>
    <s v="Departamento en Recoleta"/>
    <s v="Realizado"/>
    <s v="AR ZonaProp"/>
    <n v="119000"/>
    <x v="205"/>
    <x v="1"/>
    <s v="Dólares"/>
    <s v="Dólares"/>
    <s v="Austria 2400"/>
    <s v="Argentina | Capital Federal | Recoleta "/>
    <x v="0"/>
    <n v="2"/>
    <s v="Destino"/>
    <s v="Compartida en Oficina (Dos Asesores)"/>
    <x v="1"/>
    <s v="Venta"/>
    <x v="3"/>
    <s v="Recoleta"/>
  </r>
  <r>
    <d v="2025-10-23T00:00:00"/>
    <x v="1"/>
    <x v="11"/>
    <m/>
    <x v="0"/>
    <s v="Gral Carlos de Alvear 2740 - Leonardo Fodor - Leo Maroni"/>
    <s v="Realizado"/>
    <s v="AR ZonaProp"/>
    <n v="108000"/>
    <x v="205"/>
    <x v="1"/>
    <s v="Dólares"/>
    <s v="Dólares"/>
    <s v="Gral Carlos de Alvear 2740"/>
    <s v="Argentina | Capital Federal | Recoleta "/>
    <x v="0"/>
    <n v="1"/>
    <s v="Destino"/>
    <s v="Compartida Fuera de la Red Búsqueda"/>
    <x v="2"/>
    <s v="Venta"/>
    <x v="3"/>
    <s v="Recoleta"/>
  </r>
  <r>
    <d v="2025-06-13T00:00:00"/>
    <x v="1"/>
    <x v="4"/>
    <s v="VAP5776863"/>
    <x v="0"/>
    <s v="Duplex en Venta de 3 ambientes en el Barrio Altos del Encuentro en Pacheco / Benavidez"/>
    <s v="Realizado"/>
    <s v="AR ZonaProp"/>
    <n v="115000"/>
    <x v="205"/>
    <x v="1"/>
    <s v="Dólares"/>
    <s v="Dólares"/>
    <s v="Departamento 2 dormitorios con parrilla en Barrio Altos del Encuentro en Pacheco / Benavidez"/>
    <s v="Argentina | G.B.A. Zona Norte | Tigre | Countries/B.Cerrado (Tigre) | Altos del Encuentro"/>
    <x v="0"/>
    <n v="2"/>
    <s v="Puerto Norte"/>
    <s v="Compartida Fuera de la Red Captación Propia"/>
    <x v="0"/>
    <s v="Venta"/>
    <x v="6"/>
    <s v="Nordelta"/>
  </r>
  <r>
    <d v="2025-06-26T00:00:00"/>
    <x v="1"/>
    <x v="4"/>
    <s v="VAP5776863"/>
    <x v="0"/>
    <s v="Duplex en Venta de 3 ambientes en el Barrio Altos del Encuentro en Pacheco / Benavidez"/>
    <s v="Realizado"/>
    <s v="AR ZonaProp"/>
    <n v="115000"/>
    <x v="205"/>
    <x v="1"/>
    <s v="Dólares"/>
    <s v="Dólares"/>
    <s v="Departamento 2 dormitorios con parrilla en Barrio Altos del Encuentro en Pacheco / Benavidez"/>
    <s v="Argentina | G.B.A. Zona Norte | Tigre | Countries/B.Cerrado (Tigre) | Altos del Encuentro"/>
    <x v="0"/>
    <n v="2"/>
    <s v="Puerto Norte"/>
    <s v="Compartida Fuera de la Red Captación Propia"/>
    <x v="0"/>
    <s v="Venta"/>
    <x v="6"/>
    <s v="Nordelta"/>
  </r>
  <r>
    <d v="2025-08-29T00:00:00"/>
    <x v="1"/>
    <x v="5"/>
    <s v="CAP6105958"/>
    <x v="0"/>
    <s v="Depto. 2 amb. con cochera en venta en Villa Santa Rita. Apto Credito!"/>
    <s v="Realizado"/>
    <s v="AR ZonaProp"/>
    <n v="112000"/>
    <x v="205"/>
    <x v="1"/>
    <s v="Dólares"/>
    <s v="Dólares"/>
    <s v="Juan Agustin Garcia al 2700"/>
    <s v="Argentina | Capital Federal | Villa Santa Rita "/>
    <x v="0"/>
    <n v="2"/>
    <s v="Ser"/>
    <s v="Compartida Fuera de la Red Captación Propia"/>
    <x v="0"/>
    <s v="Venta"/>
    <x v="3"/>
    <s v="Belgrano"/>
  </r>
  <r>
    <d v="2025-10-14T00:00:00"/>
    <x v="1"/>
    <x v="11"/>
    <s v="CAP6982816"/>
    <x v="0"/>
    <s v="Departamento en Caballito 3 ambientes con parque"/>
    <s v="Realizado"/>
    <s v="AR ZonaProp"/>
    <n v="126000"/>
    <x v="205"/>
    <x v="1"/>
    <s v="Dólares"/>
    <s v="Dólares"/>
    <s v="Avellaneda  al 100"/>
    <s v="Argentina | Capital Federal | Caballito "/>
    <x v="0"/>
    <n v="2"/>
    <s v="Grupo Elite"/>
    <s v="Compartida Fuera de la Red Captación Propia"/>
    <x v="0"/>
    <s v="Venta"/>
    <x v="3"/>
    <s v="Puerto Madero"/>
  </r>
  <r>
    <d v="2026-02-18T00:00:00"/>
    <x v="0"/>
    <x v="0"/>
    <s v="APH4540502"/>
    <x v="0"/>
    <s v="Versalles - PH 3 ambientes con terraza propia - SIN EXPENSAS"/>
    <s v="Realizado"/>
    <s v="AR MercadoLibre"/>
    <n v="115000"/>
    <x v="205"/>
    <x v="1"/>
    <s v="Dólares"/>
    <s v="Dólares"/>
    <s v="Tinogasta al 6000"/>
    <s v="Argentina | Capital Federal | Versalles "/>
    <x v="3"/>
    <n v="2"/>
    <s v="Wings"/>
    <s v="Compartida Fuera de la Red Captación Propia"/>
    <x v="0"/>
    <s v="Venta"/>
    <x v="3"/>
    <s v="Núñez"/>
  </r>
  <r>
    <d v="2025-02-11T00:00:00"/>
    <x v="1"/>
    <x v="0"/>
    <s v="Av independencia 3270"/>
    <x v="0"/>
    <s v="Av independencia 3270"/>
    <s v="Realizado"/>
    <s v="AR ZonaProp"/>
    <n v="108000"/>
    <x v="205"/>
    <x v="1"/>
    <s v="Dólares"/>
    <s v="Dólares"/>
    <m/>
    <s v="Argentina | Capital Federal | San Cristobal "/>
    <x v="0"/>
    <n v="2"/>
    <s v="Livello"/>
    <s v="Propia (Único Asesor)"/>
    <x v="1"/>
    <s v="Venta"/>
    <x v="3"/>
    <s v="Palermo"/>
  </r>
  <r>
    <d v="2025-03-12T00:00:00"/>
    <x v="1"/>
    <x v="9"/>
    <s v="CAP6393286"/>
    <x v="0"/>
    <s v="VENTA 3 AMB A ESTRENAR PISCINA Y VISTA ABIERTA"/>
    <s v="Realizado"/>
    <s v="AR ZonaProp"/>
    <n v="108000"/>
    <x v="205"/>
    <x v="1"/>
    <s v="Dólares"/>
    <s v="Dólares"/>
    <s v="Av. Mitre al 4900"/>
    <s v="Argentina | G.B.A. Zona Sur | Avellaneda | Villa Dominico"/>
    <x v="0"/>
    <n v="2"/>
    <s v="Destino II"/>
    <s v="Propia (Único Asesor)"/>
    <x v="1"/>
    <s v="Venta"/>
    <x v="3"/>
    <s v="Recoleta"/>
  </r>
  <r>
    <d v="2025-12-23T00:00:00"/>
    <x v="1"/>
    <x v="8"/>
    <s v="CAP5110830"/>
    <x v="0"/>
    <s v="VENTA Monoambiente amoblado excelente renta temporario"/>
    <s v="Realizado"/>
    <s v="AR ZonaProp"/>
    <n v="115000"/>
    <x v="205"/>
    <x v="1"/>
    <s v="Dólares"/>
    <s v="Dólares"/>
    <s v="Charcas al 4900"/>
    <s v="Argentina | Capital Federal | Palermo | Palermo Hollywood"/>
    <x v="0"/>
    <n v="2"/>
    <s v="Seniority"/>
    <s v="Propia (Único Asesor)"/>
    <x v="1"/>
    <s v="Venta"/>
    <x v="3"/>
    <s v="Barrio Parque"/>
  </r>
  <r>
    <d v="2026-02-23T00:00:00"/>
    <x v="0"/>
    <x v="0"/>
    <s v="CAP7269965"/>
    <x v="0"/>
    <s v="Venta Departamento de 2 ambientes con cochera en Lanusita"/>
    <s v="Realizado"/>
    <s v="AR ZonaProp"/>
    <n v="113000"/>
    <x v="205"/>
    <x v="1"/>
    <s v="Dólares"/>
    <s v="Dólares"/>
    <s v="Dr. Arturo Melo al 2800"/>
    <s v="Argentina | G.B.A. Zona Sur | Lanús | Lanús | Lanús Oeste"/>
    <x v="0"/>
    <n v="2"/>
    <s v="Seniority"/>
    <s v="Propia (Único Asesor)"/>
    <x v="1"/>
    <s v="Venta"/>
    <x v="3"/>
    <s v="Barrio Parque"/>
  </r>
  <r>
    <d v="2025-07-15T00:00:00"/>
    <x v="1"/>
    <x v="1"/>
    <s v="CAP6386116"/>
    <x v="0"/>
    <s v="DEPTO DOS AMB LUMINOSO DESTACABLE ZONA BELGRANO"/>
    <s v="Realizado"/>
    <s v="AR ZonaProp"/>
    <n v="112000"/>
    <x v="206"/>
    <x v="1"/>
    <s v="Dólares"/>
    <s v="Dólares"/>
    <s v="Moldes al 2030"/>
    <s v="Argentina | Capital Federal | Belgrano "/>
    <x v="0"/>
    <n v="2"/>
    <s v="Destino"/>
    <s v="Propia (Único Asesor)"/>
    <x v="1"/>
    <s v="Venta"/>
    <x v="3"/>
    <s v="Recoleta"/>
  </r>
  <r>
    <d v="2025-12-17T00:00:00"/>
    <x v="1"/>
    <x v="8"/>
    <s v="CLO6731818"/>
    <x v="0"/>
    <s v="VENTA Local en el centro, 45m2 Bariloche"/>
    <s v="Realizado"/>
    <s v="Teléfono"/>
    <n v="109000"/>
    <x v="207"/>
    <x v="1"/>
    <s v="Dólares"/>
    <s v="Dólares"/>
    <s v="Centro, San Carlos de Bariloche"/>
    <s v="Argentina | Rio Negro | Bariloche | San Carlos De Bariloche | Centro"/>
    <x v="4"/>
    <n v="1"/>
    <s v="Patagonia Lakes BRC"/>
    <s v="(Interior) Compartida Fuera de la Red Captación Propia"/>
    <x v="0"/>
    <s v="Venta"/>
    <x v="7"/>
    <s v="Bariloche"/>
  </r>
  <r>
    <d v="2025-02-13T00:00:00"/>
    <x v="1"/>
    <x v="0"/>
    <s v="CHO6728128"/>
    <x v="0"/>
    <s v="Venta casa 3 habitaciones barrio privado maipu "/>
    <s v="Realizado"/>
    <s v="Teléfono"/>
    <n v="129500"/>
    <x v="207"/>
    <x v="1"/>
    <s v="Dólares"/>
    <s v="Dólares"/>
    <s v="Videla Castillo"/>
    <s v="Argentina | Mendoza | Maipu "/>
    <x v="2"/>
    <n v="2"/>
    <s v="Cuyo Real"/>
    <s v="Propia (Único Asesor)"/>
    <x v="1"/>
    <s v="Venta"/>
    <x v="2"/>
    <s v="Capital Mendoza"/>
  </r>
  <r>
    <d v="2025-11-12T00:00:00"/>
    <x v="1"/>
    <x v="7"/>
    <s v="CAP7182909"/>
    <x v="0"/>
    <s v="Departamento en venta 2 amb  VILLA CRESPO Balcón luminoso prox subte"/>
    <s v="Realizado"/>
    <s v="AR MercadoLibre"/>
    <n v="115000"/>
    <x v="207"/>
    <x v="1"/>
    <s v="Dólares"/>
    <s v="Dólares"/>
    <s v="lavalleja 700"/>
    <s v="Argentina | Capital Federal | Villa Crespo "/>
    <x v="0"/>
    <n v="2"/>
    <s v="Puerto Norte"/>
    <s v="Propia (Único Asesor)"/>
    <x v="1"/>
    <s v="Venta"/>
    <x v="6"/>
    <s v="Nordelta"/>
  </r>
  <r>
    <d v="2025-05-26T00:00:00"/>
    <x v="1"/>
    <x v="2"/>
    <s v="CAP6406136"/>
    <x v="0"/>
    <s v="VENTA MONOAMBIENTE CON COCHERA EN VILLA CRESPO"/>
    <s v="Realizado"/>
    <s v="AR ZonaProp"/>
    <n v="109900"/>
    <x v="208"/>
    <x v="1"/>
    <s v="Dólares"/>
    <s v="Dólares"/>
    <s v="Julian Alvarez 700"/>
    <s v="Argentina | Capital Federal | Villa Crespo "/>
    <x v="0"/>
    <n v="2"/>
    <s v="Seniority"/>
    <s v="Propia (Único Asesor)"/>
    <x v="1"/>
    <s v="Venta"/>
    <x v="3"/>
    <s v="Barrio Parque"/>
  </r>
  <r>
    <d v="2025-09-02T00:00:00"/>
    <x v="1"/>
    <x v="6"/>
    <n v="2092025"/>
    <x v="0"/>
    <s v="Reserva Tomy Remax Gangi Damiglia + Ref "/>
    <s v="Realizado"/>
    <s v="Teléfono"/>
    <n v="110000"/>
    <x v="209"/>
    <x v="1"/>
    <s v="Dólares"/>
    <s v="Dólares"/>
    <m/>
    <s v="Argentina | Rio Negro | Bariloche | San Carlos De Bariloche"/>
    <x v="0"/>
    <n v="1"/>
    <s v="Patagonia Lakes BRC"/>
    <s v="(Interior) Compartida Fuera de la Red Búsqueda"/>
    <x v="2"/>
    <s v="Venta"/>
    <x v="7"/>
    <s v="Bariloche"/>
  </r>
  <r>
    <d v="2025-09-23T00:00:00"/>
    <x v="1"/>
    <x v="6"/>
    <s v="Ruiz Huidobro 4400, Piso 4 "/>
    <x v="0"/>
    <s v="Venta de departamento 2 ambientes en Saavedra"/>
    <s v="Realizado"/>
    <s v="AR ZonaProp"/>
    <n v="110000"/>
    <x v="209"/>
    <x v="1"/>
    <s v="Dólares"/>
    <s v="Dólares"/>
    <s v="Ruiz Huidobro 4400, Piso 4"/>
    <s v="Argentina | Capital Federal | Saavedra "/>
    <x v="0"/>
    <n v="1"/>
    <s v="Acqua"/>
    <s v="(Interior) Compartida Fuera de la Red Búsqueda"/>
    <x v="2"/>
    <s v="Venta"/>
    <x v="6"/>
    <s v="Pilar"/>
  </r>
  <r>
    <d v="2025-09-30T00:00:00"/>
    <x v="1"/>
    <x v="6"/>
    <s v="CPH6293931"/>
    <x v="0"/>
    <s v="VENTA PH 2 amb UF5A en Villa Verde Bariloche"/>
    <s v="Realizado"/>
    <s v="Teléfono"/>
    <n v="117000"/>
    <x v="209"/>
    <x v="1"/>
    <s v="Dólares"/>
    <s v="Dólares"/>
    <s v="Villa Verde, San Carlos de Bariloche"/>
    <s v="Argentina | Rio Negro | Bariloche | San Carlos De Bariloche | Villa Verde"/>
    <x v="3"/>
    <n v="1"/>
    <s v="Patagonia Lakes BRC"/>
    <s v="(Interior) Compartida Fuera de la Red Búsqueda"/>
    <x v="2"/>
    <s v="Venta"/>
    <x v="7"/>
    <s v="Bariloche"/>
  </r>
  <r>
    <d v="2025-11-04T00:00:00"/>
    <x v="1"/>
    <x v="7"/>
    <n v="4112025"/>
    <x v="0"/>
    <s v="Reserva Venta Dani Toro depto. Albarracín 1461 con salo "/>
    <s v="Realizado"/>
    <s v="Teléfono"/>
    <n v="110000"/>
    <x v="209"/>
    <x v="1"/>
    <s v="Dólares"/>
    <s v="Dólares"/>
    <s v="Reserva Venta Dani Toro depto. Albarracín 1461 con salo "/>
    <s v="Argentina | Rio Negro | Bariloche | San Carlos De Bariloche"/>
    <x v="0"/>
    <n v="1"/>
    <s v="Patagonia Lakes BRC"/>
    <s v="(Interior) Compartida Fuera de la Red Búsqueda"/>
    <x v="2"/>
    <s v="Venta"/>
    <x v="7"/>
    <s v="Bariloche"/>
  </r>
  <r>
    <d v="2025-06-09T00:00:00"/>
    <x v="1"/>
    <x v="4"/>
    <s v="CPH6421863"/>
    <x v="0"/>
    <s v="PH 3 AMBIENTES EN VENTA/ FLORIDA CON PATIO, TERRAZA/ PERMUTA"/>
    <s v="Realizado"/>
    <s v="AR ZonaProp"/>
    <n v="120000"/>
    <x v="209"/>
    <x v="1"/>
    <s v="Dólares"/>
    <s v="Dólares"/>
    <s v="Francia  al 4300"/>
    <s v="Argentina | G.B.A. Zona Norte | Vicente López | Florida | Florida Oeste"/>
    <x v="3"/>
    <n v="2"/>
    <s v="Lion Team"/>
    <s v="Compartida en Oficina (Dos Asesores)"/>
    <x v="1"/>
    <s v="Venta"/>
    <x v="3"/>
    <s v="Villa Urquiza"/>
  </r>
  <r>
    <d v="2025-07-28T00:00:00"/>
    <x v="1"/>
    <x v="1"/>
    <m/>
    <x v="0"/>
    <s v="UF 10, de 78 m2, Las Retamas  315  NC: 16-20-70-7868-0000"/>
    <s v="Realizado"/>
    <s v="Cartel"/>
    <n v="110000"/>
    <x v="209"/>
    <x v="1"/>
    <s v="Dólares"/>
    <s v="Dólares"/>
    <s v="Las Retamas 315"/>
    <s v="Argentina | Neuquen | Villa La Angostura | Centro"/>
    <x v="0"/>
    <n v="2"/>
    <s v="Patagonia Lakes VLA"/>
    <s v="Compartida en Oficina (Dos Asesores)"/>
    <x v="1"/>
    <s v="Venta"/>
    <x v="1"/>
    <s v="Villa La Angostura"/>
  </r>
  <r>
    <d v="2026-01-16T00:00:00"/>
    <x v="0"/>
    <x v="10"/>
    <s v="CHO7109657"/>
    <x v="0"/>
    <s v="APTO CREDITO - Casa en Venta 3 AMB"/>
    <s v="Realizado"/>
    <s v="AR ZonaProp"/>
    <n v="115000"/>
    <x v="209"/>
    <x v="1"/>
    <s v="Dólares"/>
    <s v="Dólares"/>
    <s v="Las Margaritas  al 1000"/>
    <s v="Argentina | G.B.A. Zona Norte | Pilar | Countries/B.Cerrado (Pilar) | Las Margaritas"/>
    <x v="2"/>
    <n v="2"/>
    <s v="Puerto Norte"/>
    <s v="Compartida en Oficina (Dos Asesores)"/>
    <x v="1"/>
    <s v="Venta"/>
    <x v="6"/>
    <s v="Nordelta"/>
  </r>
  <r>
    <d v="2026-03-14T00:00:00"/>
    <x v="0"/>
    <x v="9"/>
    <s v="CHO7043287"/>
    <x v="0"/>
    <s v="VENTA CABAÑA - TILCARA"/>
    <s v="Realizado"/>
    <s v="Referido"/>
    <n v="110000"/>
    <x v="209"/>
    <x v="1"/>
    <s v="Dólares"/>
    <s v="Dólares"/>
    <s v="Tilcara calle Belgrano"/>
    <s v="Argentina | Jujuy | Tilcara | Tilcara"/>
    <x v="2"/>
    <n v="2"/>
    <s v="Plaza"/>
    <s v="Compartida en Oficina (Dos Asesores)"/>
    <x v="1"/>
    <s v="Venta"/>
    <x v="8"/>
    <s v="Capital Jujuy"/>
  </r>
  <r>
    <d v="2025-01-09T00:00:00"/>
    <x v="1"/>
    <x v="10"/>
    <s v="CAP6674303"/>
    <x v="0"/>
    <s v="pujol 1095 7A"/>
    <s v="Realizado"/>
    <s v="AR ZonaProp"/>
    <n v="110000"/>
    <x v="209"/>
    <x v="1"/>
    <s v="Dólares"/>
    <s v="Dólares"/>
    <s v="Pujol 1095 7A"/>
    <s v="Argentina | Capital Federal | Caballito "/>
    <x v="0"/>
    <n v="1"/>
    <s v="Notable"/>
    <s v="Compartida Fuera de la Red Búsqueda"/>
    <x v="2"/>
    <s v="Venta"/>
    <x v="3"/>
    <s v="Palermo"/>
  </r>
  <r>
    <d v="2025-09-18T00:00:00"/>
    <x v="1"/>
    <x v="6"/>
    <s v="Búsqueda"/>
    <x v="0"/>
    <s v="Búsqueda"/>
    <s v="Realizado"/>
    <s v="AR ZonaProp"/>
    <n v="110000"/>
    <x v="209"/>
    <x v="1"/>
    <s v="Dólares"/>
    <s v="Dólares"/>
    <s v="José Cubas 3346 1° &quot;C&quot;"/>
    <s v="Argentina | Capital Federal | Villa Devoto "/>
    <x v="0"/>
    <n v="1"/>
    <s v="Ser"/>
    <s v="Compartida Fuera de la Red Búsqueda"/>
    <x v="2"/>
    <s v="Venta"/>
    <x v="3"/>
    <s v="Belgrano"/>
  </r>
  <r>
    <d v="2025-04-22T00:00:00"/>
    <x v="1"/>
    <x v="3"/>
    <s v="CAP6727112"/>
    <x v="0"/>
    <s v="Excelente Departamento (38 m2) AMUEBLADO a la Venta en VILLA URQUIZA "/>
    <s v="Realizado"/>
    <s v="AR ZonaProp"/>
    <n v="115000"/>
    <x v="209"/>
    <x v="1"/>
    <s v="Dólares"/>
    <s v="Dólares"/>
    <s v="Quesada al 5100 - Villa Urquiza - CABA"/>
    <s v="Argentina | Capital Federal | Villa Urquiza "/>
    <x v="0"/>
    <n v="2"/>
    <s v="Haka"/>
    <s v="Compartida Fuera de la Red Captación Propia"/>
    <x v="0"/>
    <s v="Venta"/>
    <x v="3"/>
    <s v="Núñez"/>
  </r>
  <r>
    <d v="2025-06-11T00:00:00"/>
    <x v="1"/>
    <x v="4"/>
    <s v="CAP6645964"/>
    <x v="0"/>
    <s v="Venta Departamento 2 ambientes en Recoleta"/>
    <s v="Realizado"/>
    <s v="AR ZonaProp"/>
    <n v="120000"/>
    <x v="209"/>
    <x v="1"/>
    <s v="Dólares"/>
    <s v="Dólares"/>
    <s v="Arenales al 1100"/>
    <s v="Argentina | Capital Federal | Recoleta "/>
    <x v="0"/>
    <n v="2"/>
    <s v="Seniority"/>
    <s v="Compartida Fuera de la Red Captación Propia"/>
    <x v="0"/>
    <s v="Venta"/>
    <x v="3"/>
    <s v="Barrio Parque"/>
  </r>
  <r>
    <d v="2025-11-19T00:00:00"/>
    <x v="1"/>
    <x v="7"/>
    <s v="AAP7313574"/>
    <x v="0"/>
    <s v="Departamento en Boedo"/>
    <s v="Realizado"/>
    <s v="AR MercadoLibre"/>
    <n v="119000"/>
    <x v="209"/>
    <x v="1"/>
    <s v="Dólares"/>
    <s v="Dólares"/>
    <s v="colombres al 800"/>
    <s v="Argentina | Capital Federal | Boedo "/>
    <x v="0"/>
    <n v="2"/>
    <s v="Desiderio"/>
    <s v="Compartida Fuera de la Red Captación Propia"/>
    <x v="0"/>
    <s v="Venta"/>
    <x v="3"/>
    <s v="Caballito"/>
  </r>
  <r>
    <d v="2025-12-20T00:00:00"/>
    <x v="1"/>
    <x v="8"/>
    <m/>
    <x v="0"/>
    <s v="Venta Dpto en Palermo"/>
    <s v="Realizado"/>
    <s v="AR ZonaProp"/>
    <n v="110000"/>
    <x v="209"/>
    <x v="1"/>
    <s v="Dólares"/>
    <s v="Dólares"/>
    <s v="Gorriti 3851"/>
    <s v="Argentina | Capital Federal | Palermo "/>
    <x v="0"/>
    <n v="2"/>
    <s v="Seniority Plus"/>
    <s v="Compartida Fuera de la Red Captación Propia"/>
    <x v="0"/>
    <s v="Venta"/>
    <x v="3"/>
    <s v="Palermo"/>
  </r>
  <r>
    <d v="2025-12-22T00:00:00"/>
    <x v="1"/>
    <x v="8"/>
    <s v="CAP7562911"/>
    <x v="0"/>
    <s v="VENTA DEPARTAMENTO 3 AMBIENTES PB CAÑITAS"/>
    <s v="Realizado"/>
    <s v="AR ZonaProp"/>
    <n v="119000"/>
    <x v="209"/>
    <x v="1"/>
    <s v="Dólares"/>
    <s v="Dólares"/>
    <s v="Buolevard Chenaut al 1900"/>
    <s v="Argentina | Capital Federal | Palermo | Las Cañitas"/>
    <x v="0"/>
    <n v="2"/>
    <s v="Seniority Plus"/>
    <s v="Compartida Fuera de la Red Captación Propia"/>
    <x v="0"/>
    <s v="Venta"/>
    <x v="3"/>
    <s v="Palermo"/>
  </r>
  <r>
    <d v="2025-01-03T00:00:00"/>
    <x v="1"/>
    <x v="10"/>
    <s v="CPH5611863"/>
    <x v="0"/>
    <s v="PH reciclado Parque Chacabuco"/>
    <s v="Realizado"/>
    <s v="AR ZonaProp"/>
    <n v="120000"/>
    <x v="209"/>
    <x v="1"/>
    <s v="Dólares"/>
    <s v="Dólares"/>
    <s v="Av Cobo  al 700"/>
    <s v="Argentina | Capital Federal | Parque Chacabuco "/>
    <x v="3"/>
    <n v="2"/>
    <s v="Lion Team"/>
    <s v="Propia (Único Asesor)"/>
    <x v="1"/>
    <s v="Venta"/>
    <x v="3"/>
    <s v="Villa Urquiza"/>
  </r>
  <r>
    <d v="2025-03-05T00:00:00"/>
    <x v="1"/>
    <x v="9"/>
    <s v="VBU55574 AP6216666"/>
    <x v="0"/>
    <s v="Venta Departamento Dos Amb en Construcción piso 9 al frente en Palermo- &quot; 9A&quot;"/>
    <s v="Realizado"/>
    <s v="AR ZonaProp"/>
    <n v="115540"/>
    <x v="209"/>
    <x v="1"/>
    <s v="Dólares"/>
    <s v="Dólares"/>
    <s v="Cabrera  al 4000"/>
    <s v="Argentina | Capital Federal | Palermo "/>
    <x v="0"/>
    <n v="2"/>
    <s v="Space BA"/>
    <s v="Propia (Único Asesor)"/>
    <x v="1"/>
    <s v="Venta"/>
    <x v="3"/>
    <s v="Belgrano"/>
  </r>
  <r>
    <d v="2025-03-12T00:00:00"/>
    <x v="1"/>
    <x v="9"/>
    <s v="CAP6365112"/>
    <x v="0"/>
    <s v="Hermoso Departamento 2 ambientes con Gran Balcón y vista abierta.  APTO CREDITO"/>
    <s v="Realizado"/>
    <s v="AR ZonaProp"/>
    <n v="115000"/>
    <x v="209"/>
    <x v="1"/>
    <s v="Dólares"/>
    <s v="Dólares"/>
    <s v="Monroe  al 4500"/>
    <s v="Argentina | Capital Federal | Villa Urquiza "/>
    <x v="0"/>
    <n v="2"/>
    <s v="Puerto Norte"/>
    <s v="Propia (Único Asesor)"/>
    <x v="1"/>
    <s v="Venta"/>
    <x v="6"/>
    <s v="Nordelta"/>
  </r>
  <r>
    <d v="2025-03-31T00:00:00"/>
    <x v="1"/>
    <x v="9"/>
    <s v="CHO6819801"/>
    <x v="0"/>
    <s v="Casa en  Venta , Barrio Piedras Blancas "/>
    <s v="Realizado"/>
    <s v="AR ZonaProp"/>
    <n v="110000"/>
    <x v="209"/>
    <x v="1"/>
    <s v="Dólares"/>
    <s v="Dólares"/>
    <s v="Valenzuela  al 500"/>
    <s v="Argentina | Rio Negro | General Fernandez Oro "/>
    <x v="2"/>
    <n v="2"/>
    <s v="Sensus"/>
    <s v="Propia (Único Asesor)"/>
    <x v="1"/>
    <s v="Venta"/>
    <x v="1"/>
    <s v="Capital Neuquén"/>
  </r>
  <r>
    <d v="2025-04-24T00:00:00"/>
    <x v="1"/>
    <x v="3"/>
    <s v="CAP6809352"/>
    <x v="0"/>
    <s v="Departamento en  venta 2 ambientes Full amenities"/>
    <s v="Realizado"/>
    <s v="AR ZonaProp"/>
    <n v="115000"/>
    <x v="209"/>
    <x v="1"/>
    <s v="Dólares"/>
    <s v="Dólares"/>
    <s v="Malabia al 2300"/>
    <s v="Argentina | Capital Federal | Palermo | Botanico"/>
    <x v="0"/>
    <n v="2"/>
    <s v="Horizon Group"/>
    <s v="Propia (Único Asesor)"/>
    <x v="1"/>
    <s v="Venta"/>
    <x v="3"/>
    <s v="Núñez"/>
  </r>
  <r>
    <d v="2025-05-19T00:00:00"/>
    <x v="1"/>
    <x v="2"/>
    <s v="VAP6812830"/>
    <x v="0"/>
    <s v="Departamento en  venta en Colegiales. Dos ambientes. Balcon terraza"/>
    <s v="Realizado"/>
    <s v="AR BuscaInmueble.com"/>
    <n v="115000"/>
    <x v="209"/>
    <x v="1"/>
    <s v="Dólares"/>
    <s v="Dólares"/>
    <s v="Amenabar al 900"/>
    <s v="Argentina | Capital Federal | Colegiales "/>
    <x v="0"/>
    <n v="2"/>
    <s v="Space BA"/>
    <s v="Propia (Único Asesor)"/>
    <x v="1"/>
    <s v="Venta"/>
    <x v="3"/>
    <s v="Belgrano"/>
  </r>
  <r>
    <d v="2025-05-21T00:00:00"/>
    <x v="1"/>
    <x v="2"/>
    <s v="CAP6619241"/>
    <x v="0"/>
    <s v="Departamento en Caballito"/>
    <s v="Realizado"/>
    <s v="AR ZonaProp"/>
    <n v="112000"/>
    <x v="209"/>
    <x v="1"/>
    <s v="Dólares"/>
    <s v="Dólares"/>
    <s v="José Juan Biedma al 900"/>
    <s v="Argentina | Capital Federal | Caballito "/>
    <x v="0"/>
    <n v="2"/>
    <s v="Ser"/>
    <s v="Propia (Único Asesor)"/>
    <x v="1"/>
    <s v="Venta"/>
    <x v="3"/>
    <s v="Belgrano"/>
  </r>
  <r>
    <d v="2025-07-25T00:00:00"/>
    <x v="1"/>
    <x v="1"/>
    <s v="CHO7039343"/>
    <x v="0"/>
    <s v="Casa en venta ubicada en calle España 1893 - Salta"/>
    <s v="Realizado"/>
    <s v="Facebook"/>
    <n v="120000"/>
    <x v="209"/>
    <x v="1"/>
    <s v="Dólares"/>
    <s v="Dólares"/>
    <s v="España 1893"/>
    <s v="Argentina | Salta | Capital | Salta | Zona Centro"/>
    <x v="2"/>
    <n v="2"/>
    <s v="Realty Group"/>
    <s v="Propia (Único Asesor)"/>
    <x v="1"/>
    <s v="Venta"/>
    <x v="4"/>
    <s v="San Lorenzo Chico"/>
  </r>
  <r>
    <d v="2025-07-29T00:00:00"/>
    <x v="1"/>
    <x v="1"/>
    <s v="CLA6840569"/>
    <x v="0"/>
    <s v="Terreno en  Lomas del Cauquén Bariloche"/>
    <s v="Realizado"/>
    <s v="Teléfono"/>
    <n v="120000"/>
    <x v="209"/>
    <x v="1"/>
    <s v="Dólares"/>
    <s v="Dólares"/>
    <s v="Lomas del Cauquen, San Carlos de Bariloche"/>
    <s v="Argentina | Rio Negro | Bariloche | Lomas del Cauquen"/>
    <x v="1"/>
    <n v="2"/>
    <s v="Patagonia Lakes BRC"/>
    <s v="Propia (Único Asesor)"/>
    <x v="1"/>
    <s v="Venta"/>
    <x v="7"/>
    <s v="Bariloche"/>
  </r>
  <r>
    <d v="2025-08-19T00:00:00"/>
    <x v="1"/>
    <x v="5"/>
    <s v="CHO4004184"/>
    <x v="0"/>
    <s v="Casa - La Capital"/>
    <s v="Realizado"/>
    <s v="Cartel"/>
    <n v="130000"/>
    <x v="209"/>
    <x v="1"/>
    <s v="Dólares"/>
    <s v="Dólares"/>
    <s v="Goyena al 3300"/>
    <s v="Argentina | Santa Fe | La Capital | Santa Fe | Ciudadela"/>
    <x v="2"/>
    <n v="2"/>
    <s v="De la Veracruz"/>
    <s v="Propia (Único Asesor)"/>
    <x v="1"/>
    <s v="Venta"/>
    <x v="5"/>
    <s v="Capital Santa Fe"/>
  </r>
  <r>
    <d v="2025-08-19T00:00:00"/>
    <x v="1"/>
    <x v="5"/>
    <s v="CPH7102365"/>
    <x v="0"/>
    <s v="PH en  Urquiza con patio."/>
    <s v="Realizado"/>
    <s v="AR ZonaProp"/>
    <n v="115000"/>
    <x v="209"/>
    <x v="1"/>
    <s v="Dólares"/>
    <s v="Dólares"/>
    <s v="Lugones  al 3200"/>
    <s v="Argentina | Capital Federal | Villa Urquiza "/>
    <x v="3"/>
    <n v="2"/>
    <s v="Puerto Norte"/>
    <s v="Propia (Único Asesor)"/>
    <x v="1"/>
    <s v="Venta"/>
    <x v="6"/>
    <s v="Nordelta"/>
  </r>
  <r>
    <d v="2025-08-20T00:00:00"/>
    <x v="1"/>
    <x v="5"/>
    <s v="CAP6849243"/>
    <x v="0"/>
    <s v="Venta Departamento 3 ambientes totalmente reciclado en Recoleta"/>
    <s v="Realizado"/>
    <s v="AR ZonaProp"/>
    <n v="119900"/>
    <x v="209"/>
    <x v="1"/>
    <s v="Dólares"/>
    <s v="Dólares"/>
    <s v="Agüero  al 1400"/>
    <s v="Argentina | Capital Federal | Recoleta "/>
    <x v="0"/>
    <n v="2"/>
    <s v="Seniority"/>
    <s v="Propia (Único Asesor)"/>
    <x v="1"/>
    <s v="Venta"/>
    <x v="3"/>
    <s v="Barrio Parque"/>
  </r>
  <r>
    <d v="2025-08-25T00:00:00"/>
    <x v="1"/>
    <x v="5"/>
    <s v="CAP6745526"/>
    <x v="0"/>
    <s v="Venta Departamento 2 amb. C/ Patio 52m2 Recoleta Airbnb"/>
    <s v="Realizado"/>
    <s v="AR MercadoLibre"/>
    <n v="119900"/>
    <x v="209"/>
    <x v="1"/>
    <s v="Dólares"/>
    <s v="Dólares"/>
    <s v="Las Heras al 2000"/>
    <s v="Argentina | Capital Federal | Recoleta "/>
    <x v="0"/>
    <n v="2"/>
    <s v="Puerto Norte"/>
    <s v="Propia (Único Asesor)"/>
    <x v="1"/>
    <s v="Venta"/>
    <x v="6"/>
    <s v="Nordelta"/>
  </r>
  <r>
    <d v="2025-09-05T00:00:00"/>
    <x v="1"/>
    <x v="6"/>
    <s v="CAP6934402"/>
    <x v="0"/>
    <s v="Venta 2 amb. amplios, contrafrente silencioso, luminoso. "/>
    <s v="Realizado"/>
    <s v="AR ZonaProp"/>
    <n v="115000"/>
    <x v="209"/>
    <x v="1"/>
    <s v="Dólares"/>
    <s v="Dólares"/>
    <s v="Av. Santa Fe  al 2700"/>
    <s v="Argentina | Capital Federal | Recoleta "/>
    <x v="0"/>
    <n v="2"/>
    <s v="Ser"/>
    <s v="Propia (Único Asesor)"/>
    <x v="1"/>
    <s v="Venta"/>
    <x v="3"/>
    <s v="Belgrano"/>
  </r>
  <r>
    <d v="2025-09-15T00:00:00"/>
    <x v="1"/>
    <x v="6"/>
    <s v="CHO6746465"/>
    <x v="0"/>
    <s v="Casa en  VENTA"/>
    <s v="Realizado"/>
    <s v="AR ZonaProp"/>
    <n v="110000"/>
    <x v="209"/>
    <x v="1"/>
    <s v="Dólares"/>
    <s v="Dólares"/>
    <s v="ITALIA al 700"/>
    <s v="Argentina | Mendoza | Capital | Mendoza | Sexta Sección"/>
    <x v="2"/>
    <n v="2"/>
    <s v="Cuyo Real"/>
    <s v="Propia (Único Asesor)"/>
    <x v="1"/>
    <s v="Venta"/>
    <x v="2"/>
    <s v="Capital Mendoza"/>
  </r>
  <r>
    <d v="2025-10-15T00:00:00"/>
    <x v="1"/>
    <x v="11"/>
    <s v="CAP6979030"/>
    <x v="0"/>
    <s v="Departamento en  Caballito"/>
    <s v="Realizado"/>
    <s v="AR ZonaProp"/>
    <n v="119000"/>
    <x v="209"/>
    <x v="1"/>
    <s v="Dólares"/>
    <s v="Dólares"/>
    <s v="Luis Viale  al 1700"/>
    <s v="Argentina | Capital Federal | Caballito | Caballito Norte"/>
    <x v="0"/>
    <n v="2"/>
    <s v="Destino"/>
    <s v="Propia (Único Asesor)"/>
    <x v="1"/>
    <s v="Venta"/>
    <x v="3"/>
    <s v="Recoleta"/>
  </r>
  <r>
    <d v="2025-11-08T00:00:00"/>
    <x v="1"/>
    <x v="7"/>
    <s v="AHO6750090"/>
    <x v="0"/>
    <s v="Casa de tres ambientes mas departamento monoambiente en Banfield Oeste"/>
    <s v="Realizado"/>
    <s v="AR ZonaProp"/>
    <n v="119900"/>
    <x v="209"/>
    <x v="1"/>
    <s v="Dólares"/>
    <s v="Dólares"/>
    <s v="Almafuerte  al 1100"/>
    <s v="Argentina | G.B.A. Zona Sur | Lomas De Zamora (Partido) | Banfield | Banfield Oeste"/>
    <x v="2"/>
    <n v="2"/>
    <s v="Desiderio"/>
    <s v="Propia (Único Asesor)"/>
    <x v="1"/>
    <s v="Venta"/>
    <x v="3"/>
    <s v="Caballito"/>
  </r>
  <r>
    <d v="2025-11-18T00:00:00"/>
    <x v="1"/>
    <x v="7"/>
    <s v="AAA6818675"/>
    <x v="0"/>
    <s v="Depto 2 amb en duplex a la VENTA, Lago del Sendero, Nordelta"/>
    <s v="Realizado"/>
    <s v="AR MercadoLibre"/>
    <n v="130000"/>
    <x v="209"/>
    <x v="1"/>
    <s v="Dólares"/>
    <s v="Dólares"/>
    <s v="Departamento de 2 ambientes en duplex a la VENTA | Lago del Sendero, Nordelta"/>
    <s v="Argentina | G.B.A. Zona Norte | Tigre | Countries/B.Cerrado (Tigre) | Nordelta | Sendero"/>
    <x v="0"/>
    <n v="2"/>
    <s v="Puerto Norte"/>
    <s v="Propia (Único Asesor)"/>
    <x v="1"/>
    <s v="Venta"/>
    <x v="6"/>
    <s v="Nordelta"/>
  </r>
  <r>
    <d v="2025-11-18T00:00:00"/>
    <x v="1"/>
    <x v="7"/>
    <s v="CPH7139877"/>
    <x v="0"/>
    <s v="VENTA PH EN VILLA DEL PARQUE PATIO TERRAZA QUINCHO"/>
    <s v="Realizado"/>
    <s v="AR ZonaProp"/>
    <n v="125000"/>
    <x v="209"/>
    <x v="1"/>
    <s v="Dólares"/>
    <s v="Dólares"/>
    <s v="Juan Agustín García al 2300"/>
    <s v="Argentina | Capital Federal | Villa Gral. Mitre "/>
    <x v="3"/>
    <n v="2"/>
    <s v="Titanio"/>
    <s v="Propia (Único Asesor)"/>
    <x v="1"/>
    <s v="Venta"/>
    <x v="6"/>
    <s v="San Isidro"/>
  </r>
  <r>
    <d v="2025-12-01T00:00:00"/>
    <x v="1"/>
    <x v="8"/>
    <s v="CHO6163176"/>
    <x v="0"/>
    <s v="Casa Barrio Lar de Drummond"/>
    <s v="Realizado"/>
    <s v="AR ZonaProp"/>
    <n v="120000"/>
    <x v="209"/>
    <x v="1"/>
    <s v="Dólares"/>
    <s v="Dólares"/>
    <s v="Barrio Lar de Drummond, Lote 1, Mza B, Lujan de Cuyo Mendoza"/>
    <s v="Argentina | Mendoza | Lujan De Cuyo | Lujan De Cuyo | Mayor Drummond"/>
    <x v="2"/>
    <n v="2"/>
    <s v="Cuyo Real"/>
    <s v="Propia (Único Asesor)"/>
    <x v="1"/>
    <s v="Venta"/>
    <x v="2"/>
    <s v="Capital Mendoza"/>
  </r>
  <r>
    <d v="2025-12-18T00:00:00"/>
    <x v="1"/>
    <x v="8"/>
    <s v="CHO6810897"/>
    <x v="0"/>
    <s v="Casa en venta en fernandez oro"/>
    <s v="Realizado"/>
    <s v="AR ZonaProp"/>
    <n v="110000"/>
    <x v="209"/>
    <x v="1"/>
    <s v="Dólares"/>
    <s v="Dólares"/>
    <s v="joaquina bruno  y los chañares"/>
    <s v="Argentina | Rio Negro | General Fernandez Oro "/>
    <x v="2"/>
    <n v="2"/>
    <s v="Sensus"/>
    <s v="Propia (Único Asesor)"/>
    <x v="1"/>
    <s v="Venta"/>
    <x v="1"/>
    <s v="Capital Neuquén"/>
  </r>
  <r>
    <d v="2026-01-12T00:00:00"/>
    <x v="0"/>
    <x v="10"/>
    <s v="CPH7513451"/>
    <x v="0"/>
    <s v="venta Ph  2 amb con patio apto credito Villa ortuzar"/>
    <s v="Realizado"/>
    <s v="AR ZonaProp"/>
    <n v="115000"/>
    <x v="209"/>
    <x v="1"/>
    <s v="Dólares"/>
    <s v="Dólares"/>
    <s v="Giribone al 1300"/>
    <s v="Argentina | Capital Federal | Villa Ortuzar "/>
    <x v="3"/>
    <n v="2"/>
    <s v="Destino II"/>
    <s v="Propia (Único Asesor)"/>
    <x v="1"/>
    <s v="Venta"/>
    <x v="3"/>
    <s v="Recoleta"/>
  </r>
  <r>
    <d v="2026-02-04T00:00:00"/>
    <x v="0"/>
    <x v="0"/>
    <s v="CAP6982259"/>
    <x v="0"/>
    <s v="Departamento en  Venta en Saavedra a  2 ambientes"/>
    <s v="Realizado"/>
    <s v="AR ZonaProp"/>
    <n v="130000"/>
    <x v="209"/>
    <x v="1"/>
    <s v="Dólares"/>
    <s v="Dólares"/>
    <s v="Manzanares al 3100"/>
    <s v="Argentina | Capital Federal | Saavedra "/>
    <x v="0"/>
    <n v="2"/>
    <s v="Horizon Group"/>
    <s v="Propia (Único Asesor)"/>
    <x v="1"/>
    <s v="Venta"/>
    <x v="3"/>
    <s v="Núñez"/>
  </r>
  <r>
    <d v="2026-03-10T00:00:00"/>
    <x v="0"/>
    <x v="9"/>
    <s v="VAP7262670"/>
    <x v="0"/>
    <s v="Av Cordoba al 3500 - Piso Alto - Vista Abierta - Mono divisible 45m2"/>
    <s v="Realizado"/>
    <s v="AR ZonaProp"/>
    <n v="120000"/>
    <x v="209"/>
    <x v="1"/>
    <s v="Dólares"/>
    <s v="Dólares"/>
    <s v="Av Cordoba al 3500 - Piso Alto"/>
    <s v="Argentina | Capital Federal | Almagro | Almagro Norte"/>
    <x v="0"/>
    <n v="2"/>
    <s v="Space BA"/>
    <s v="Propia (Único Asesor)"/>
    <x v="1"/>
    <s v="Venta"/>
    <x v="3"/>
    <s v="Belgrano"/>
  </r>
  <r>
    <d v="2026-03-14T00:00:00"/>
    <x v="0"/>
    <x v="9"/>
    <s v="CHO7866802"/>
    <x v="0"/>
    <s v="VENTA CABAÑA - TILCARA"/>
    <s v="Realizado"/>
    <s v="Referido"/>
    <n v="110000"/>
    <x v="209"/>
    <x v="1"/>
    <s v="Dólares"/>
    <s v="Dólares"/>
    <s v="Tilcara calle Belgrano"/>
    <s v="Argentina | Jujuy | Tilcara | Tilcara"/>
    <x v="2"/>
    <n v="2"/>
    <s v="Plaza"/>
    <s v="Propia (Único Asesor)"/>
    <x v="1"/>
    <s v="Venta"/>
    <x v="8"/>
    <s v="Capital Jujuy"/>
  </r>
  <r>
    <d v="2026-03-18T00:00:00"/>
    <x v="0"/>
    <x v="9"/>
    <s v="CAP7534861"/>
    <x v="0"/>
    <s v="Venta departamentos 3 ambientes dependencia balcón patio Balvanera"/>
    <s v="Realizado"/>
    <s v="Conocido"/>
    <n v="110000"/>
    <x v="209"/>
    <x v="1"/>
    <s v="Dólares"/>
    <s v="Dólares"/>
    <s v="Uriburu 23"/>
    <s v="Argentina | Capital Federal | Balvanera "/>
    <x v="0"/>
    <n v="2"/>
    <s v="Grupo Elite"/>
    <s v="Propia (Único Asesor)"/>
    <x v="1"/>
    <s v="Venta"/>
    <x v="3"/>
    <s v="Puerto Madero"/>
  </r>
  <r>
    <d v="2026-03-20T00:00:00"/>
    <x v="0"/>
    <x v="9"/>
    <s v="JAP7527379"/>
    <x v="0"/>
    <s v="Departamento en Vicente López"/>
    <s v="Realizado"/>
    <s v="AR ZonaProp"/>
    <n v="110000"/>
    <x v="209"/>
    <x v="1"/>
    <s v="Dólares"/>
    <s v="Dólares"/>
    <s v="VERNET al 500"/>
    <s v="Argentina | G.B.A. Zona Norte | Vicente López "/>
    <x v="0"/>
    <n v="2"/>
    <s v="Lion Team Norte"/>
    <s v="Propia (Único Asesor)"/>
    <x v="1"/>
    <s v="Venta"/>
    <x v="6"/>
    <s v="Vicente López"/>
  </r>
  <r>
    <d v="2026-02-27T00:00:00"/>
    <x v="0"/>
    <x v="0"/>
    <s v="CAP6738365"/>
    <x v="0"/>
    <s v="Venta Monoambiente en Palermo. Ideal Inversión"/>
    <s v="Realizado"/>
    <s v="AR ZonaProp"/>
    <n v="115000"/>
    <x v="210"/>
    <x v="1"/>
    <s v="Dólares"/>
    <s v="Dólares"/>
    <s v="Mansilla al 3300"/>
    <s v="Argentina | Capital Federal | Palermo "/>
    <x v="0"/>
    <n v="2"/>
    <s v="Seniority"/>
    <s v="Compartida Fuera de la Red Captación Propia"/>
    <x v="0"/>
    <s v="Venta"/>
    <x v="3"/>
    <s v="Barrio Parque"/>
  </r>
  <r>
    <d v="2025-06-30T00:00:00"/>
    <x v="1"/>
    <x v="4"/>
    <n v="10408"/>
    <x v="0"/>
    <s v="moldes 850 "/>
    <s v="Realizado"/>
    <s v="AR ZonaProp"/>
    <n v="0"/>
    <x v="211"/>
    <x v="1"/>
    <s v="Dólares"/>
    <s v="Dólares"/>
    <m/>
    <s v="Argentina | Capital Federal | Belgrano "/>
    <x v="0"/>
    <n v="2"/>
    <s v="Seniority"/>
    <s v="Propia (Único Asesor)"/>
    <x v="1"/>
    <s v="Venta"/>
    <x v="3"/>
    <s v="Barrio Parque"/>
  </r>
  <r>
    <d v="2025-07-04T00:00:00"/>
    <x v="1"/>
    <x v="1"/>
    <s v="CAP6865014"/>
    <x v="0"/>
    <s v="VENTA DEPARTAMENTO 3 AMBIENTES EN VICENTE LOPEZ LUMINOSO"/>
    <s v="Realizado"/>
    <s v="AR ZonaProp"/>
    <n v="120000"/>
    <x v="211"/>
    <x v="1"/>
    <s v="Dólares"/>
    <s v="Dólares"/>
    <s v="Av Maipu  al 800"/>
    <s v="Argentina | G.B.A. Zona Norte | Vicente López | Barrio Vicente López"/>
    <x v="0"/>
    <n v="2"/>
    <s v="Seniority"/>
    <s v="Propia (Único Asesor)"/>
    <x v="1"/>
    <s v="Venta"/>
    <x v="3"/>
    <s v="Barrio Parque"/>
  </r>
  <r>
    <d v="2026-03-26T00:00:00"/>
    <x v="0"/>
    <x v="9"/>
    <s v="CPH6294679"/>
    <x v="0"/>
    <s v="VENTA PH  2 amb en Villa Verde UF 5B Bariloche"/>
    <s v="Realizado"/>
    <s v="Teléfono"/>
    <n v="117000"/>
    <x v="211"/>
    <x v="1"/>
    <s v="Dólares"/>
    <s v="Dólares"/>
    <s v="Villa Verde, San Carlos de Bariloche"/>
    <s v="Argentina | Rio Negro | Bariloche | San Carlos De Bariloche | Villa Verde"/>
    <x v="3"/>
    <n v="2"/>
    <s v="Patagonia Lakes BRC"/>
    <s v="Propia (Único Asesor)"/>
    <x v="1"/>
    <s v="Venta"/>
    <x v="7"/>
    <s v="Bariloche"/>
  </r>
  <r>
    <d v="2025-09-02T00:00:00"/>
    <x v="1"/>
    <x v="6"/>
    <m/>
    <x v="0"/>
    <s v="Op. con inmo colega Tierras del Sur. Departamento Mariano Moreno 250 UF 1 SMA NC: 15-20-045-5363-0001"/>
    <s v="Realizado"/>
    <s v="Referido"/>
    <n v="112000"/>
    <x v="212"/>
    <x v="1"/>
    <s v="Dólares"/>
    <s v="Dólares"/>
    <s v="Mariano Moreno 250"/>
    <s v="Argentina | Neuquen | Lacar | San Martin De Los Andes | Centro"/>
    <x v="0"/>
    <n v="1"/>
    <s v="Patagonia Lakes SMA"/>
    <s v="(Interior) Compartida Fuera de la Red Búsqueda"/>
    <x v="2"/>
    <s v="Venta"/>
    <x v="1"/>
    <s v="San Martín de los Andes"/>
  </r>
  <r>
    <d v="2025-02-17T00:00:00"/>
    <x v="1"/>
    <x v="0"/>
    <s v="VAP5776863"/>
    <x v="0"/>
    <s v="Duplex en Venta de 3 ambientes en el Barrio Altos del Encuentro en Pacheco / Benavidez"/>
    <s v="Realizado"/>
    <s v="AR ZonaProp"/>
    <n v="115000"/>
    <x v="212"/>
    <x v="1"/>
    <s v="Dólares"/>
    <s v="Dólares"/>
    <s v="Departamento 2 dormitorios con parrilla en Barrio Altos del Encuentro en Pacheco / Benavidez"/>
    <s v="Argentina | G.B.A. Zona Norte | Tigre | Countries/B.Cerrado (Tigre) | Altos del Encuentro"/>
    <x v="0"/>
    <n v="2"/>
    <s v="Puerto Norte"/>
    <s v="Compartida en Oficina (Dos Asesores)"/>
    <x v="1"/>
    <s v="Venta"/>
    <x v="6"/>
    <s v="Nordelta"/>
  </r>
  <r>
    <d v="2025-10-09T00:00:00"/>
    <x v="1"/>
    <x v="11"/>
    <s v="CHO7042005"/>
    <x v="0"/>
    <s v="Julián Aguirre al 1600 | CASA EN VENTA | HURLINGHAM | UNA PLANTA | 3 DORMITORIOS | JARDIN"/>
    <s v="Realizado"/>
    <s v="AR ZonaProp"/>
    <n v="112000"/>
    <x v="212"/>
    <x v="1"/>
    <s v="Dólares"/>
    <s v="Dólares"/>
    <s v="Julián Aguirre al 1600 | CASA EN VENTA | HURLINGHAM | UNA PLANTA | 3 DORMITORIOS | JARDIN"/>
    <s v="Argentina | G.B.A. Zona Oeste | Hurlingham | Hurlingham | William Morris"/>
    <x v="2"/>
    <n v="2"/>
    <s v="Puerto Norte"/>
    <s v="Compartida en Oficina (Dos Asesores)"/>
    <x v="1"/>
    <s v="Venta"/>
    <x v="6"/>
    <s v="Nordelta"/>
  </r>
  <r>
    <d v="2025-02-07T00:00:00"/>
    <x v="1"/>
    <x v="0"/>
    <s v="CHO1168737"/>
    <x v="0"/>
    <s v="VENTA - Casa - Loma Hermosa - permuta - villa bosch - coronado -"/>
    <s v="Realizado"/>
    <s v="AR ZonaProp"/>
    <n v="100000"/>
    <x v="212"/>
    <x v="1"/>
    <s v="Dólares"/>
    <s v="Dólares"/>
    <s v="RIO ATUEL al 9800"/>
    <s v="Argentina | G.B.A. Zona Oeste | Tres De Febrero | Loma Hermosa"/>
    <x v="2"/>
    <n v="2"/>
    <s v="Boutique"/>
    <s v="Propia (Único Asesor)"/>
    <x v="1"/>
    <s v="Venta"/>
    <x v="0"/>
    <s v="Canning"/>
  </r>
  <r>
    <d v="2025-04-24T00:00:00"/>
    <x v="1"/>
    <x v="3"/>
    <s v="CHO6307252"/>
    <x v="0"/>
    <s v="Casa en Venta 4 amb - Barrio San Ramón - Pilar del Este"/>
    <s v="Realizado"/>
    <s v="AR ZonaProp"/>
    <n v="116800"/>
    <x v="212"/>
    <x v="1"/>
    <s v="Dólares"/>
    <s v="Dólares"/>
    <s v="Pilar del Este - San Ramon"/>
    <s v="Argentina | G.B.A. Zona Norte | Pilar | Countries/B.Cerrado (Pilar) | Pilar Del Este | San Ramon"/>
    <x v="2"/>
    <n v="2"/>
    <s v="Quality"/>
    <s v="Propia (Único Asesor)"/>
    <x v="1"/>
    <s v="Venta"/>
    <x v="6"/>
    <s v="Escobar"/>
  </r>
  <r>
    <d v="2025-08-13T00:00:00"/>
    <x v="1"/>
    <x v="5"/>
    <s v="CAP6906335"/>
    <x v="0"/>
    <s v="Venta departamento 2 amb, cochera y amenities CABALLITO"/>
    <s v="Realizado"/>
    <s v="AR ZonaProp"/>
    <n v="112000"/>
    <x v="212"/>
    <x v="1"/>
    <s v="Dólares"/>
    <s v="Dólares"/>
    <s v="Juan Bautista Alberdi  al 1500"/>
    <s v="Argentina | Capital Federal | Caballito "/>
    <x v="0"/>
    <n v="2"/>
    <s v="Seniority"/>
    <s v="Propia (Único Asesor)"/>
    <x v="1"/>
    <s v="Venta"/>
    <x v="3"/>
    <s v="Barrio Parque"/>
  </r>
  <r>
    <d v="2025-10-25T00:00:00"/>
    <x v="1"/>
    <x v="11"/>
    <s v="CHO6527642"/>
    <x v="0"/>
    <s v="Duplex Pilar"/>
    <s v="Realizado"/>
    <s v="AR ZonaProp"/>
    <n v="119000"/>
    <x v="212"/>
    <x v="1"/>
    <s v="Dólares"/>
    <s v="Dólares"/>
    <s v="Tacuari al 300"/>
    <s v="Argentina | G.B.A. Zona Norte | Pilar | Villa Rosa"/>
    <x v="2"/>
    <n v="2"/>
    <s v="Haka"/>
    <s v="Propia (Único Asesor)"/>
    <x v="1"/>
    <s v="Venta"/>
    <x v="3"/>
    <s v="Núñez"/>
  </r>
  <r>
    <d v="2026-03-25T00:00:00"/>
    <x v="0"/>
    <x v="9"/>
    <s v="CAP7649955"/>
    <x v="0"/>
    <s v="VENTA DEPARTAMENTO 2 AMBIENTES RECICLADO APTO CREDITO BARRIO NORTE"/>
    <s v="Realizado"/>
    <s v="AR ZonaProp"/>
    <n v="114900"/>
    <x v="213"/>
    <x v="1"/>
    <s v="Dólares"/>
    <s v="Dólares"/>
    <s v="Billingursth al 1400"/>
    <s v="Argentina | Capital Federal | Barrio Norte "/>
    <x v="0"/>
    <n v="2"/>
    <s v="Seniority Plus"/>
    <s v="Compartida Fuera de la Red Captación Propia"/>
    <x v="0"/>
    <s v="Venta"/>
    <x v="3"/>
    <s v="Palermo"/>
  </r>
  <r>
    <d v="2025-07-24T00:00:00"/>
    <x v="1"/>
    <x v="1"/>
    <s v="CPN60269 AP7194829"/>
    <x v="2"/>
    <s v="Alquiler Departamento 3 ambientes a estrenar - Lagoon Pilar"/>
    <s v="Realizado"/>
    <s v="Referido"/>
    <n v="128000"/>
    <x v="213"/>
    <x v="1"/>
    <s v="Dólares"/>
    <s v="Dólares"/>
    <s v="Alquiler Departamento 3 ambientes a estrenar - Lagoon Pilar"/>
    <s v="Argentina | G.B.A. Zona Norte | Pilar | Countries/B.Cerrado (Pilar) | Lagoon Pilar"/>
    <x v="0"/>
    <n v="2"/>
    <s v="North Team"/>
    <s v="Master"/>
    <x v="1"/>
    <s v="Venta"/>
    <x v="6"/>
    <s v="Pilar"/>
  </r>
  <r>
    <d v="2025-08-30T00:00:00"/>
    <x v="1"/>
    <x v="5"/>
    <s v="CLA6523424"/>
    <x v="0"/>
    <s v="LOTE ADROGUE, DOBLE LOTE, CASA A DEMOLER, TERRENO, INVERSION, CONSTRUCCION"/>
    <s v="Realizado"/>
    <s v="AR ZonaProp"/>
    <n v="126900"/>
    <x v="213"/>
    <x v="1"/>
    <s v="Dólares"/>
    <s v="Dólares"/>
    <s v="JORGE al 1300"/>
    <s v="Argentina | G.B.A. Zona Sur | Almirante Brown | Adrogue"/>
    <x v="2"/>
    <n v="2"/>
    <s v="Lion Team"/>
    <s v="Propia (Único Asesor)"/>
    <x v="1"/>
    <s v="Venta"/>
    <x v="3"/>
    <s v="Villa Urquiza"/>
  </r>
  <r>
    <d v="2025-12-09T00:00:00"/>
    <x v="1"/>
    <x v="8"/>
    <s v="CAP7012811"/>
    <x v="0"/>
    <s v="Departamento de 2 ambientes con cochera en Venta, Victoria, San Fernando"/>
    <s v="Realizado"/>
    <s v="AR ZonaProp"/>
    <n v="119000"/>
    <x v="213"/>
    <x v="1"/>
    <s v="Dólares"/>
    <s v="Dólares"/>
    <s v="Dorrego al 1300, Victoria, San Fernando"/>
    <s v="Argentina | G.B.A. Zona Norte | San Fernando | Victoria"/>
    <x v="0"/>
    <n v="2"/>
    <s v="Audacity"/>
    <s v="Propia (Único Asesor)"/>
    <x v="1"/>
    <s v="Venta"/>
    <x v="9"/>
    <s v="Parque Leloir"/>
  </r>
  <r>
    <d v="2026-01-15T00:00:00"/>
    <x v="0"/>
    <x v="10"/>
    <s v="AV. SAN MARTIN 749 "/>
    <x v="0"/>
    <s v="AV. SAN MARTIN 749 "/>
    <s v="Realizado"/>
    <s v="AR ZonaProp"/>
    <n v="113000"/>
    <x v="214"/>
    <x v="1"/>
    <s v="Dólares"/>
    <s v="Dólares"/>
    <s v="AV. SAN MARTIN 749 "/>
    <s v="Argentina | G.B.A. Zona Norte | Vicente López | Olivos"/>
    <x v="0"/>
    <n v="1"/>
    <s v="Lion Team Norte"/>
    <s v="(Interior) Compartida Fuera de la Red Captación Propia"/>
    <x v="0"/>
    <s v="Venta"/>
    <x v="6"/>
    <s v="Vicente López"/>
  </r>
  <r>
    <d v="2026-03-06T00:00:00"/>
    <x v="0"/>
    <x v="9"/>
    <s v="CAP6982365"/>
    <x v="0"/>
    <s v="Departamento en  Venta en Saavedra a estrenar 2 ambientes"/>
    <s v="Realizado"/>
    <s v="AR ZonaProp"/>
    <n v="115000"/>
    <x v="214"/>
    <x v="1"/>
    <s v="Dólares"/>
    <s v="Dólares"/>
    <s v="Manzanares al 3100"/>
    <s v="Argentina | Capital Federal | Saavedra "/>
    <x v="0"/>
    <n v="2"/>
    <s v="Horizon Group"/>
    <s v="Compartida Fuera de la Red Captación Propia"/>
    <x v="0"/>
    <s v="Venta"/>
    <x v="3"/>
    <s v="Núñez"/>
  </r>
  <r>
    <d v="2025-08-28T00:00:00"/>
    <x v="1"/>
    <x v="5"/>
    <s v="CHO6044495"/>
    <x v="0"/>
    <s v="Casa 4amb quincho, parrilla, parque y doble cochera.  Actualizamos el Valor!  Apto Crédito."/>
    <s v="Realizado"/>
    <s v="AR MercadoLibre"/>
    <n v="125000"/>
    <x v="214"/>
    <x v="1"/>
    <s v="Dólares"/>
    <s v="Dólares"/>
    <s v="Acevedo 36"/>
    <s v="Argentina | G.B.A. Zona Oeste | Merlo | San Antonio De Padua"/>
    <x v="2"/>
    <n v="2"/>
    <s v="Ser"/>
    <s v="Propia (Único Asesor)"/>
    <x v="1"/>
    <s v="Venta"/>
    <x v="3"/>
    <s v="Belgrano"/>
  </r>
  <r>
    <d v="2026-01-27T00:00:00"/>
    <x v="0"/>
    <x v="10"/>
    <s v="CAP7438857"/>
    <x v="0"/>
    <s v="Propiedad de 2 dptos  de 2 dormitorios en Alvear 3976"/>
    <s v="Realizado"/>
    <s v="Conocido"/>
    <n v="130000"/>
    <x v="215"/>
    <x v="1"/>
    <s v="Dólares"/>
    <s v="Dólares"/>
    <s v="Oportunidad en Barrio Candioti: dos departamentos en una sola propiedad."/>
    <s v="Argentina | Santa Fe | La Capital | Candioti"/>
    <x v="0"/>
    <n v="1"/>
    <s v="De la Veracruz"/>
    <s v="(Interior) Compartida Fuera de la Red Captación Propia"/>
    <x v="0"/>
    <s v="Venta"/>
    <x v="5"/>
    <s v="Capital Santa Fe"/>
  </r>
  <r>
    <d v="2025-09-08T00:00:00"/>
    <x v="1"/>
    <x v="6"/>
    <s v="CHO6974621"/>
    <x v="0"/>
    <s v="Venta Casa céntrica en Bariloche"/>
    <s v="Realizado"/>
    <s v="Teléfono"/>
    <n v="123000"/>
    <x v="215"/>
    <x v="1"/>
    <s v="Dólares"/>
    <s v="Dólares"/>
    <s v="Centro, San Carlos de Bariloche"/>
    <s v="Argentina | Rio Negro | Bariloche | San Carlos De Bariloche"/>
    <x v="2"/>
    <n v="2"/>
    <s v="Patagonia Lakes BRC"/>
    <s v="Compartida en Oficina (Dos Asesores)"/>
    <x v="1"/>
    <s v="Venta"/>
    <x v="7"/>
    <s v="Bariloche"/>
  </r>
  <r>
    <d v="2025-01-06T00:00:00"/>
    <x v="1"/>
    <x v="10"/>
    <s v="CPH6635419"/>
    <x v="0"/>
    <s v="PH duplex "/>
    <s v="Realizado"/>
    <s v="Teléfono"/>
    <n v="114000"/>
    <x v="215"/>
    <x v="1"/>
    <s v="Dólares"/>
    <s v="Dólares"/>
    <s v="ph duplex 139 50 y139 50 y 52 52"/>
    <s v="Argentina | G.B.A. Zona Sur | La Plata | La Plata"/>
    <x v="3"/>
    <n v="1"/>
    <s v="Golden Team"/>
    <s v="Compartida Fuera de la Red Búsqueda"/>
    <x v="2"/>
    <s v="Venta"/>
    <x v="0"/>
    <s v="La Plata"/>
  </r>
  <r>
    <d v="2026-03-30T00:00:00"/>
    <x v="0"/>
    <x v="9"/>
    <s v="CAP7375579"/>
    <x v="0"/>
    <s v="Venta Departamento 3 Ambientes c/ Balcon al Fte. en San Telmo. Apto Credito. Amoblado."/>
    <s v="Realizado"/>
    <s v="AR ZonaProp"/>
    <n v="129000"/>
    <x v="215"/>
    <x v="1"/>
    <s v="Dólares"/>
    <s v="Dólares"/>
    <s v="Carlos Calvo al 400"/>
    <s v="Argentina | Capital Federal | San Telmo "/>
    <x v="0"/>
    <n v="2"/>
    <s v="Seniority Plus"/>
    <s v="Propia (Único Asesor)"/>
    <x v="1"/>
    <s v="Venta"/>
    <x v="3"/>
    <s v="Palermo"/>
  </r>
  <r>
    <d v="2025-12-01T00:00:00"/>
    <x v="1"/>
    <x v="8"/>
    <s v="Casa Duplex"/>
    <x v="0"/>
    <s v="Duplex"/>
    <s v="Realizado"/>
    <s v="Conocido"/>
    <n v="0"/>
    <x v="216"/>
    <x v="1"/>
    <s v="Dólares"/>
    <s v="Dólares"/>
    <m/>
    <s v="Argentina | Mendoza | Capital | Mendoza"/>
    <x v="1"/>
    <n v="1"/>
    <s v="Cuyo Real"/>
    <s v="(Interior) Compartida Fuera de la Red Búsqueda"/>
    <x v="2"/>
    <s v="Venta"/>
    <x v="2"/>
    <s v="Capital Mendoza"/>
  </r>
  <r>
    <d v="2025-07-11T00:00:00"/>
    <x v="1"/>
    <x v="1"/>
    <s v="AAP6732195"/>
    <x v="0"/>
    <s v="Departamento dos ambientes en Recoleta  "/>
    <s v="Realizado"/>
    <s v="AR ZonaProp"/>
    <n v="118000"/>
    <x v="216"/>
    <x v="1"/>
    <s v="Dólares"/>
    <s v="Dólares"/>
    <s v="Juncal 2900"/>
    <s v="Argentina | Capital Federal | Recoleta "/>
    <x v="0"/>
    <n v="1"/>
    <s v="Desiderio"/>
    <s v="(Interior) Compartida Fuera de la Red Captación Propia"/>
    <x v="0"/>
    <s v="Venta"/>
    <x v="3"/>
    <s v="Caballito"/>
  </r>
  <r>
    <d v="2025-11-13T00:00:00"/>
    <x v="1"/>
    <x v="7"/>
    <s v="CAP7217106"/>
    <x v="0"/>
    <s v="Departamento en venta Salta centro"/>
    <s v="Realizado"/>
    <s v="Web Coldwell-Banker"/>
    <n v="115000"/>
    <x v="216"/>
    <x v="1"/>
    <s v="Dólares"/>
    <s v="Dólares"/>
    <s v="Av Belgrano al 900"/>
    <s v="Argentina | Salta | Capital | Salta | Zona Centro"/>
    <x v="0"/>
    <n v="1"/>
    <s v="Realty Group"/>
    <s v="(Interior) Compartida Fuera de la Red Captación Propia"/>
    <x v="0"/>
    <s v="Venta"/>
    <x v="4"/>
    <s v="San Lorenzo Chico"/>
  </r>
  <r>
    <d v="2025-01-16T00:00:00"/>
    <x v="1"/>
    <x v="10"/>
    <s v="CAP6420218"/>
    <x v="0"/>
    <s v="Venta Departamento Monoambiente con Balcón y Cochera en Las Cañitas"/>
    <s v="Realizado"/>
    <s v="AR ZonaProp"/>
    <n v="115000"/>
    <x v="216"/>
    <x v="1"/>
    <s v="Dólares"/>
    <s v="Dólares"/>
    <s v="Eslovenia 1900"/>
    <s v="Argentina | Capital Federal | Palermo | Las Cañitas"/>
    <x v="0"/>
    <n v="2"/>
    <s v="Seniority Plus"/>
    <s v="Compartida en Oficina (Dos Asesores)"/>
    <x v="1"/>
    <s v="Venta"/>
    <x v="3"/>
    <s v="Palermo"/>
  </r>
  <r>
    <d v="2025-07-03T00:00:00"/>
    <x v="1"/>
    <x v="1"/>
    <s v="CAP6984267"/>
    <x v="0"/>
    <s v="Departamento en  Villa Urquiza"/>
    <s v="Realizado"/>
    <s v="AR ZonaProp"/>
    <n v="120000"/>
    <x v="216"/>
    <x v="1"/>
    <s v="Dólares"/>
    <s v="Dólares"/>
    <s v="Mendoza al 5300"/>
    <s v="Argentina | Capital Federal | Villa Urquiza "/>
    <x v="0"/>
    <n v="2"/>
    <s v="Destino II"/>
    <s v="Compartida en Oficina (Dos Asesores)"/>
    <x v="1"/>
    <s v="Venta"/>
    <x v="3"/>
    <s v="Recoleta"/>
  </r>
  <r>
    <d v="2025-07-10T00:00:00"/>
    <x v="1"/>
    <x v="1"/>
    <s v="CHO4524845"/>
    <x v="0"/>
    <s v="Casa en venta Barrio Cielos del Valle"/>
    <s v="Realizado"/>
    <s v="Facebook"/>
    <n v="115000"/>
    <x v="216"/>
    <x v="1"/>
    <s v="Dólares"/>
    <s v="Dólares"/>
    <s v="Barrio Cielos del Valle  "/>
    <s v="Argentina | Salta | Capital | Salta | Zona Sur"/>
    <x v="2"/>
    <n v="2"/>
    <s v="Realty Group"/>
    <s v="Compartida en Oficina (Dos Asesores)"/>
    <x v="1"/>
    <s v="Venta"/>
    <x v="4"/>
    <s v="San Lorenzo Chico"/>
  </r>
  <r>
    <d v="2025-08-13T00:00:00"/>
    <x v="1"/>
    <x v="5"/>
    <s v="VPN53619 HO5687882"/>
    <x v="0"/>
    <s v="Casa Estilo Dúplex - 3 AMB - Las Margaritas, Pilar - Ultimas unidades!!!!"/>
    <s v="Realizado"/>
    <s v="AR ZonaProp"/>
    <n v="122000"/>
    <x v="216"/>
    <x v="1"/>
    <s v="Dólares"/>
    <s v="Dólares"/>
    <s v="Casa tipo Dúplex - 3 AMB - Las Margaritas, Pilar "/>
    <s v="Argentina | G.B.A. Zona Norte | Pilar | Countries/B.Cerrado (Pilar) | Las Margaritas"/>
    <x v="2"/>
    <n v="2"/>
    <s v="Puerto Norte"/>
    <s v="Compartida en Oficina (Dos Asesores)"/>
    <x v="1"/>
    <s v="Venta"/>
    <x v="6"/>
    <s v="Nordelta"/>
  </r>
  <r>
    <d v="2025-11-05T00:00:00"/>
    <x v="1"/>
    <x v="7"/>
    <n v="10592"/>
    <x v="0"/>
    <s v="Av Corrientes 914 "/>
    <s v="Realizado"/>
    <s v="AR ZonaProp"/>
    <n v="115000"/>
    <x v="216"/>
    <x v="1"/>
    <s v="Dólares"/>
    <s v="Dólares"/>
    <s v="Av Corrientes 914 "/>
    <s v="Argentina | Capital Federal | San Nicolás "/>
    <x v="0"/>
    <n v="1"/>
    <s v="Seniority"/>
    <s v="Compartida Fuera de la Red Búsqueda"/>
    <x v="2"/>
    <s v="Venta"/>
    <x v="3"/>
    <s v="Barrio Parque"/>
  </r>
  <r>
    <d v="2025-12-12T00:00:00"/>
    <x v="1"/>
    <x v="8"/>
    <n v="10638"/>
    <x v="0"/>
    <s v="Arevalo 1564 "/>
    <s v="Realizado"/>
    <s v="AR ZonaProp"/>
    <n v="115000"/>
    <x v="216"/>
    <x v="1"/>
    <s v="Dólares"/>
    <s v="Dólares"/>
    <s v="Arevalo 1564 "/>
    <s v="Argentina | Capital Federal | Palermo "/>
    <x v="0"/>
    <n v="1"/>
    <s v="Seniority"/>
    <s v="Compartida Fuera de la Red Búsqueda"/>
    <x v="2"/>
    <s v="Venta"/>
    <x v="3"/>
    <s v="Barrio Parque"/>
  </r>
  <r>
    <d v="2025-04-07T00:00:00"/>
    <x v="1"/>
    <x v="3"/>
    <s v="CHO5979194"/>
    <x v="0"/>
    <s v="Casa 3 dormitorios al golf en Los Horneros"/>
    <s v="Realizado"/>
    <s v="AR ZonaProp"/>
    <n v="130000"/>
    <x v="216"/>
    <x v="1"/>
    <s v="Dólares"/>
    <s v="Dólares"/>
    <s v="Sucre 1023"/>
    <s v="Argentina | G.B.A. Zona Norte | Escobar | Countries/B.Cerrado (Escobar) | Los Horneros"/>
    <x v="2"/>
    <n v="2"/>
    <s v="Haka"/>
    <s v="Compartida Fuera de la Red Captación Propia"/>
    <x v="0"/>
    <s v="Venta"/>
    <x v="3"/>
    <s v="Núñez"/>
  </r>
  <r>
    <d v="2026-02-27T00:00:00"/>
    <x v="0"/>
    <x v="0"/>
    <s v="CBTCO26001"/>
    <x v="0"/>
    <s v="Departamento 2 Ambientes Exclusivo "/>
    <s v="Realizado"/>
    <s v="AR ZonaProp"/>
    <n v="116000"/>
    <x v="216"/>
    <x v="1"/>
    <s v="Dólares"/>
    <s v="Dólares"/>
    <s v="AZUENAGA  al 900"/>
    <s v="Argentina | Capital Federal | Recoleta "/>
    <x v="0"/>
    <n v="2"/>
    <s v="Titanio"/>
    <s v="Compartida Fuera de la Red Captación Propia"/>
    <x v="0"/>
    <s v="Venta"/>
    <x v="6"/>
    <s v="San Isidro"/>
  </r>
  <r>
    <d v="2026-03-20T00:00:00"/>
    <x v="0"/>
    <x v="9"/>
    <s v="CCO55414 AP7005691"/>
    <x v="2"/>
    <s v="Venta de departamento en Ayres loft en PB a la pileta"/>
    <s v="Realizado"/>
    <s v="Referido"/>
    <n v="165000"/>
    <x v="216"/>
    <x v="1"/>
    <s v="Dólares"/>
    <s v="Dólares"/>
    <s v="Venta de departamento en Ayres loft con vista a la pileta"/>
    <s v="Argentina | G.B.A. Zona Norte | Pilar | Manuel Alberti | Loft en Ayres Vila"/>
    <x v="0"/>
    <n v="2"/>
    <s v="North Team"/>
    <s v="Master"/>
    <x v="1"/>
    <s v="Venta"/>
    <x v="6"/>
    <s v="Pilar"/>
  </r>
  <r>
    <d v="2025-01-02T00:00:00"/>
    <x v="1"/>
    <x v="10"/>
    <s v="CHO5264010"/>
    <x v="0"/>
    <s v="CASA EN VENTA, 3 AMBIENTES, SAN SEBASTIAN, AREA 12"/>
    <s v="Realizado"/>
    <s v="AR ZonaProp"/>
    <n v="125000"/>
    <x v="216"/>
    <x v="1"/>
    <s v="Dólares"/>
    <s v="Dólares"/>
    <s v="Hermosa Casa en San Sebastián, área 12"/>
    <s v="Argentina | G.B.A. Zona Norte | Pilar | Countries/B.Cerrado (Pilar) | San Sebastian"/>
    <x v="2"/>
    <n v="2"/>
    <s v="Haka"/>
    <s v="Propia (Único Asesor)"/>
    <x v="1"/>
    <s v="Venta"/>
    <x v="3"/>
    <s v="Núñez"/>
  </r>
  <r>
    <d v="2025-01-03T00:00:00"/>
    <x v="1"/>
    <x v="10"/>
    <s v="CAP6333484"/>
    <x v="0"/>
    <s v="VENTA DEPARTAMENTO 3 AMBIENTES con gran patio EN PALERMO"/>
    <s v="Realizado"/>
    <s v="AR ZonaProp"/>
    <n v="139000"/>
    <x v="216"/>
    <x v="1"/>
    <s v="Dólares"/>
    <s v="Dólares"/>
    <s v="ARAOZ  2400"/>
    <s v="Argentina | Capital Federal | Palermo "/>
    <x v="0"/>
    <n v="2"/>
    <s v="Seniority"/>
    <s v="Propia (Único Asesor)"/>
    <x v="1"/>
    <s v="Venta"/>
    <x v="3"/>
    <s v="Barrio Parque"/>
  </r>
  <r>
    <d v="2025-04-11T00:00:00"/>
    <x v="1"/>
    <x v="3"/>
    <s v="Angel Gallardo 579"/>
    <x v="0"/>
    <s v="Angel Gallardo 579"/>
    <s v="Realizado"/>
    <s v="AR ArgenProp"/>
    <n v="115000"/>
    <x v="216"/>
    <x v="1"/>
    <s v="Dólares"/>
    <s v="Dólares"/>
    <s v="Angel Gallardo 579"/>
    <s v="Argentina | Capital Federal | Capital Federal "/>
    <x v="1"/>
    <n v="2"/>
    <s v="Lion Team"/>
    <s v="Propia (Único Asesor)"/>
    <x v="1"/>
    <s v="Venta"/>
    <x v="3"/>
    <s v="Villa Urquiza"/>
  </r>
  <r>
    <d v="2025-06-13T00:00:00"/>
    <x v="1"/>
    <x v="4"/>
    <s v="CHO6877990"/>
    <x v="0"/>
    <s v="VENTA DE CASA LOTE 520 E/9 Y 10 TOLOSA LA PLATA"/>
    <s v="Realizado"/>
    <s v="Conocido"/>
    <n v="129000"/>
    <x v="216"/>
    <x v="1"/>
    <s v="Dólares"/>
    <s v="Dólares"/>
    <s v="CASA EN VENTA TOLOSA AV. 520"/>
    <s v="Argentina | G.B.A. Zona Sur | La Plata | La Plata | Ringuelet"/>
    <x v="2"/>
    <n v="2"/>
    <s v="Golden Team"/>
    <s v="Propia (Único Asesor)"/>
    <x v="1"/>
    <s v="Venta"/>
    <x v="0"/>
    <s v="La Plata"/>
  </r>
  <r>
    <d v="2025-06-27T00:00:00"/>
    <x v="1"/>
    <x v="4"/>
    <s v="CHO6954088"/>
    <x v="0"/>
    <s v="VENTA Casa 4 ambientes 135m2 Villa La Angostura B° Norte"/>
    <s v="Realizado"/>
    <s v="AR MercadoLibre"/>
    <n v="140000"/>
    <x v="216"/>
    <x v="1"/>
    <s v="Dólares"/>
    <s v="Dólares"/>
    <s v="Mudon "/>
    <s v="Argentina | Neuquen | Villa La Angostura | Barrio Norte"/>
    <x v="2"/>
    <n v="2"/>
    <s v="Patagonia Lakes VLA"/>
    <s v="Propia (Único Asesor)"/>
    <x v="1"/>
    <s v="Venta"/>
    <x v="1"/>
    <s v="Villa La Angostura"/>
  </r>
  <r>
    <d v="2025-07-18T00:00:00"/>
    <x v="1"/>
    <x v="1"/>
    <s v="CAP6648100"/>
    <x v="0"/>
    <s v="VENTA 3 AMBIENTES BALCON APTO CREDITO"/>
    <s v="Realizado"/>
    <s v="AR ZonaProp"/>
    <n v="109000"/>
    <x v="216"/>
    <x v="1"/>
    <s v="Dólares"/>
    <s v="Dólares"/>
    <s v="Margarita Weild al 1400"/>
    <s v="Argentina | G.B.A. Zona Sur | Lanús | Lanús | Lanús Este"/>
    <x v="0"/>
    <n v="2"/>
    <s v="Destino"/>
    <s v="Propia (Único Asesor)"/>
    <x v="1"/>
    <s v="Venta"/>
    <x v="3"/>
    <s v="Recoleta"/>
  </r>
  <r>
    <d v="2025-08-08T00:00:00"/>
    <x v="1"/>
    <x v="5"/>
    <s v="CAP6708757"/>
    <x v="0"/>
    <s v="Venta Departamento 3 Ambientes con Terraza y Balcón en Caballito"/>
    <s v="Realizado"/>
    <s v="AR ZonaProp"/>
    <n v="125000"/>
    <x v="216"/>
    <x v="1"/>
    <s v="Dólares"/>
    <s v="Dólares"/>
    <s v="Nicasio Oroño al 50"/>
    <s v="Argentina | Capital Federal | Caballito "/>
    <x v="0"/>
    <n v="2"/>
    <s v="Seniority Plus"/>
    <s v="Propia (Único Asesor)"/>
    <x v="1"/>
    <s v="Venta"/>
    <x v="3"/>
    <s v="Palermo"/>
  </r>
  <r>
    <d v="2025-08-28T00:00:00"/>
    <x v="1"/>
    <x v="5"/>
    <m/>
    <x v="0"/>
    <s v="PH en venta en Núñez"/>
    <s v="Realizado"/>
    <s v="Conocido"/>
    <n v="115000"/>
    <x v="216"/>
    <x v="1"/>
    <s v="Dólares"/>
    <s v="Dólares"/>
    <s v="Nuñez 4067 &quot;9&quot; CABA"/>
    <s v="Argentina | Capital Federal | Nuñez "/>
    <x v="0"/>
    <n v="2"/>
    <s v="Ser"/>
    <s v="Propia (Único Asesor)"/>
    <x v="1"/>
    <s v="Venta"/>
    <x v="3"/>
    <s v="Belgrano"/>
  </r>
  <r>
    <d v="2025-08-29T00:00:00"/>
    <x v="1"/>
    <x v="5"/>
    <s v="CAP7179988"/>
    <x v="0"/>
    <s v="VENTA MONOAMBIENTE EN COLEGIALES "/>
    <s v="Realizado"/>
    <s v="AR ZonaProp"/>
    <n v="126000"/>
    <x v="216"/>
    <x v="1"/>
    <s v="Dólares"/>
    <s v="Dólares"/>
    <s v="MOLDES 850 "/>
    <s v="Argentina | Capital Federal | Colegiales "/>
    <x v="0"/>
    <n v="2"/>
    <s v="Seniority"/>
    <s v="Propia (Único Asesor)"/>
    <x v="1"/>
    <s v="Venta"/>
    <x v="3"/>
    <s v="Barrio Parque"/>
  </r>
  <r>
    <d v="2025-09-01T00:00:00"/>
    <x v="1"/>
    <x v="6"/>
    <s v="CHO6331795"/>
    <x v="0"/>
    <s v="Casa 3 Amb con Pileta   Departamento 2 Amb en Venta en Ramos"/>
    <s v="Realizado"/>
    <s v="AR ZonaProp"/>
    <n v="134900"/>
    <x v="216"/>
    <x v="1"/>
    <s v="Dólares"/>
    <s v="Dólares"/>
    <s v="General Rodriguez al 300"/>
    <s v="Argentina | G.B.A. Zona Oeste | La Matanza | Ramos Mejia | Ramos Mejia Sur"/>
    <x v="2"/>
    <n v="2"/>
    <s v="Audacity"/>
    <s v="Propia (Único Asesor)"/>
    <x v="1"/>
    <s v="Venta"/>
    <x v="9"/>
    <s v="Parque Leloir"/>
  </r>
  <r>
    <d v="2025-10-14T00:00:00"/>
    <x v="1"/>
    <x v="11"/>
    <s v="CGA7070559"/>
    <x v="0"/>
    <s v="Cochera en   pleno candioti"/>
    <s v="Realizado"/>
    <s v="Conocido"/>
    <n v="120000"/>
    <x v="216"/>
    <x v="1"/>
    <s v="Dólares"/>
    <s v="Dólares"/>
    <s v="Cocheras con local comercial para inversión en pleno candioti"/>
    <s v="Argentina | Santa Fe | La Capital | Santa Fe"/>
    <x v="8"/>
    <n v="2"/>
    <s v="De la Veracruz"/>
    <s v="Propia (Único Asesor)"/>
    <x v="1"/>
    <s v="Venta"/>
    <x v="5"/>
    <s v="Capital Santa Fe"/>
  </r>
  <r>
    <d v="2025-10-29T00:00:00"/>
    <x v="1"/>
    <x v="11"/>
    <s v="CAP6990788"/>
    <x v="0"/>
    <s v="Venta Departamento 2 ambientes en Las Cañitas - Apto Crédito"/>
    <s v="Realizado"/>
    <s v="AR ZonaProp"/>
    <n v="133000"/>
    <x v="216"/>
    <x v="1"/>
    <s v="Dólares"/>
    <s v="Dólares"/>
    <s v="Arce al 300"/>
    <s v="Argentina | Capital Federal | Palermo | Las Cañitas"/>
    <x v="0"/>
    <n v="2"/>
    <s v="Seniority"/>
    <s v="Propia (Único Asesor)"/>
    <x v="1"/>
    <s v="Venta"/>
    <x v="3"/>
    <s v="Barrio Parque"/>
  </r>
  <r>
    <d v="2025-12-23T00:00:00"/>
    <x v="1"/>
    <x v="8"/>
    <s v="CAP7396838"/>
    <x v="0"/>
    <s v="Departamento 2 AMBIENTES BELGRANO"/>
    <s v="Realizado"/>
    <s v="AR ZonaProp"/>
    <n v="120000"/>
    <x v="216"/>
    <x v="1"/>
    <s v="Dólares"/>
    <s v="Dólares"/>
    <s v="LA PAMPA  al 2800"/>
    <s v="Argentina | Capital Federal | Belgrano "/>
    <x v="0"/>
    <n v="2"/>
    <s v="Puerto Norte"/>
    <s v="Propia (Único Asesor)"/>
    <x v="1"/>
    <s v="Venta"/>
    <x v="6"/>
    <s v="Nordelta"/>
  </r>
  <r>
    <d v="2025-12-29T00:00:00"/>
    <x v="1"/>
    <x v="8"/>
    <s v="JAP7561322"/>
    <x v="0"/>
    <s v="Departamento 3 ambientes. Balcón Corrido frente. Belgrano/Palermo. Zona Embajadas."/>
    <s v="Realizado"/>
    <s v="AR ZonaProp"/>
    <n v="120000"/>
    <x v="216"/>
    <x v="1"/>
    <s v="Dólares"/>
    <s v="Dólares"/>
    <s v="Maure  al 2200"/>
    <s v="Argentina | Capital Federal | Belgrano "/>
    <x v="0"/>
    <n v="2"/>
    <s v="Lion Team Norte"/>
    <s v="Propia (Único Asesor)"/>
    <x v="1"/>
    <s v="Venta"/>
    <x v="6"/>
    <s v="Vicente López"/>
  </r>
  <r>
    <d v="2025-08-08T00:00:00"/>
    <x v="1"/>
    <x v="5"/>
    <s v="CHO6780971"/>
    <x v="0"/>
    <s v="Casa en San Sebastian"/>
    <s v="Realizado"/>
    <s v="AR ZonaProp"/>
    <n v="127000"/>
    <x v="217"/>
    <x v="1"/>
    <s v="Dólares"/>
    <s v="Dólares"/>
    <s v="Oportunidad! Casa San Sebastian Área 13"/>
    <s v="Argentina | G.B.A. Zona Norte | Pilar | Countries/B.Cerrado (Pilar) | San Sebastian"/>
    <x v="2"/>
    <n v="2"/>
    <s v="Haka"/>
    <s v="Propia (Único Asesor)"/>
    <x v="1"/>
    <s v="Venta"/>
    <x v="3"/>
    <s v="Núñez"/>
  </r>
  <r>
    <d v="2025-09-23T00:00:00"/>
    <x v="1"/>
    <x v="6"/>
    <s v="JAP7131392"/>
    <x v="0"/>
    <s v="Oportunidad Venta Apto credito 2 amb con cochera"/>
    <s v="Realizado"/>
    <s v="AR ZonaProp"/>
    <n v="123000"/>
    <x v="217"/>
    <x v="1"/>
    <s v="Dólares"/>
    <s v="Dólares"/>
    <s v="Ricardo Gutiérrez 3300"/>
    <s v="Argentina | Capital Federal | Villa del Parque "/>
    <x v="0"/>
    <n v="2"/>
    <s v="Lion Team Norte"/>
    <s v="Propia (Único Asesor)"/>
    <x v="1"/>
    <s v="Venta"/>
    <x v="6"/>
    <s v="Vicente López"/>
  </r>
  <r>
    <d v="2025-09-24T00:00:00"/>
    <x v="1"/>
    <x v="6"/>
    <s v="CHO6988570"/>
    <x v="0"/>
    <s v="Casa tipo Chalet  en  BANFIELD ESTE  ( Barrio Nuevo) con Jardín y Quincho"/>
    <s v="Realizado"/>
    <s v="AR ZonaProp"/>
    <n v="120000"/>
    <x v="217"/>
    <x v="1"/>
    <s v="Dólares"/>
    <s v="Dólares"/>
    <s v="Boulogne Sur Mer  al 2200"/>
    <s v="Argentina | G.B.A. Zona Sur | Lomas De Zamora (Partido) | Banfield | Banfield Este"/>
    <x v="2"/>
    <n v="2"/>
    <s v="Destino"/>
    <s v="Propia (Único Asesor)"/>
    <x v="1"/>
    <s v="Venta"/>
    <x v="3"/>
    <s v="Recoleta"/>
  </r>
  <r>
    <d v="2025-10-08T00:00:00"/>
    <x v="1"/>
    <x v="11"/>
    <s v="CPH7031115"/>
    <x v="0"/>
    <s v="Venta/PH/3 Amb/Patio/Apto Credito/Devoto/Permuta"/>
    <s v="Realizado"/>
    <s v="AR MercadoLibre"/>
    <n v="135000"/>
    <x v="218"/>
    <x v="1"/>
    <s v="Dólares"/>
    <s v="Dólares"/>
    <s v="Bermudez 3200"/>
    <s v="Argentina | Capital Federal | Villa Devoto "/>
    <x v="3"/>
    <n v="2"/>
    <s v="Lion Team"/>
    <s v="Compartida en Oficina (Dos Asesores)"/>
    <x v="1"/>
    <s v="Venta"/>
    <x v="3"/>
    <s v="Villa Urquiza"/>
  </r>
  <r>
    <d v="2025-05-21T00:00:00"/>
    <x v="1"/>
    <x v="2"/>
    <s v="CAP6740786"/>
    <x v="0"/>
    <s v="Venta Departamento tipo PH 3 Ambientes con dos Patios en Belgrano"/>
    <s v="Realizado"/>
    <s v="AR ZonaProp"/>
    <n v="125000"/>
    <x v="219"/>
    <x v="1"/>
    <s v="Dólares"/>
    <s v="Dólares"/>
    <s v="Maure  al 2300"/>
    <s v="Argentina | Capital Federal | Belgrano "/>
    <x v="3"/>
    <n v="2"/>
    <s v="Seniority Plus"/>
    <s v="Compartida Fuera de la Red Captación Propia"/>
    <x v="0"/>
    <s v="Venta"/>
    <x v="3"/>
    <s v="Palermo"/>
  </r>
  <r>
    <d v="2025-11-30T00:00:00"/>
    <x v="1"/>
    <x v="7"/>
    <s v="AP6347436"/>
    <x v="0"/>
    <s v="Departamento Monoambiente Luminoso- Villa Ortuzar"/>
    <s v="Realizado"/>
    <s v="AR ZonaProp"/>
    <n v="105700"/>
    <x v="220"/>
    <x v="1"/>
    <s v="Dólares"/>
    <s v="Dólares"/>
    <s v="Los Incas 4536 5 (501)"/>
    <s v="Argentina | Capital Federal | Villa Ortuzar "/>
    <x v="0"/>
    <n v="2"/>
    <s v="Puerto Norte"/>
    <s v="Compartida en Oficina (Dos Asesores)"/>
    <x v="1"/>
    <s v="Venta"/>
    <x v="6"/>
    <s v="Nordelta"/>
  </r>
  <r>
    <d v="2025-04-21T00:00:00"/>
    <x v="1"/>
    <x v="3"/>
    <s v="VPN53619 HO5687882"/>
    <x v="0"/>
    <s v="Casa Estilo Dúplex - 3 AMB - Las Margaritas, Pilar - Ultimas unidades!!!!"/>
    <s v="Realizado"/>
    <s v="AR ZonaProp"/>
    <n v="122000"/>
    <x v="221"/>
    <x v="1"/>
    <s v="Dólares"/>
    <s v="Dólares"/>
    <s v="Casa tipo Dúplex - 3 AMB - Las Margaritas, Pilar "/>
    <s v="Argentina | G.B.A. Zona Norte | Pilar | Countries/B.Cerrado (Pilar) | Las Margaritas"/>
    <x v="2"/>
    <n v="2"/>
    <s v="Puerto Norte"/>
    <s v="Compartida en Oficina (Dos Asesores)"/>
    <x v="1"/>
    <s v="Venta"/>
    <x v="6"/>
    <s v="Nordelta"/>
  </r>
  <r>
    <d v="2025-09-19T00:00:00"/>
    <x v="1"/>
    <x v="6"/>
    <s v="CHO6808167"/>
    <x v="0"/>
    <s v="Venta casa Villa la Angostura 60 m2 Barrio Norte"/>
    <s v="Realizado"/>
    <s v="Referido"/>
    <n v="122000"/>
    <x v="221"/>
    <x v="1"/>
    <s v="Dólares"/>
    <s v="Dólares"/>
    <s v="Cacique Antriao al 100"/>
    <s v="Argentina | Neuquen | Villa La Angostura | Barrio Norte"/>
    <x v="2"/>
    <n v="2"/>
    <s v="Patagonia Lakes VLA"/>
    <s v="Compartida en Oficina (Dos Asesores)"/>
    <x v="1"/>
    <s v="Venta"/>
    <x v="1"/>
    <s v="Villa La Angostura"/>
  </r>
  <r>
    <d v="2025-10-15T00:00:00"/>
    <x v="1"/>
    <x v="11"/>
    <m/>
    <x v="0"/>
    <s v="ECUADOR 8vo UF 13 - Tomas Yanigro"/>
    <s v="Realizado"/>
    <s v="AR ZonaProp"/>
    <n v="117000"/>
    <x v="221"/>
    <x v="1"/>
    <s v="Dólares"/>
    <s v="Dólares"/>
    <s v="Ecuardor 8vo"/>
    <s v="Argentina | Capital Federal | Recoleta "/>
    <x v="0"/>
    <n v="1"/>
    <s v="Destino"/>
    <s v="Compartida Fuera de la Red Búsqueda"/>
    <x v="2"/>
    <s v="Venta"/>
    <x v="3"/>
    <s v="Recoleta"/>
  </r>
  <r>
    <d v="2025-02-28T00:00:00"/>
    <x v="1"/>
    <x v="0"/>
    <s v="CAP6476181"/>
    <x v="0"/>
    <s v="Luminoso Departamento 3 ambientes en Caballito - VENTA"/>
    <s v="Realizado"/>
    <s v="AR ZonaProp"/>
    <n v="123000"/>
    <x v="221"/>
    <x v="1"/>
    <s v="Dólares"/>
    <s v="Dólares"/>
    <s v="Formosa  al 500"/>
    <s v="Argentina | Capital Federal | Caballito "/>
    <x v="0"/>
    <n v="2"/>
    <s v="Lion Team"/>
    <s v="Propia (Único Asesor)"/>
    <x v="1"/>
    <s v="Venta"/>
    <x v="3"/>
    <s v="Villa Urquiza"/>
  </r>
  <r>
    <d v="2025-06-24T00:00:00"/>
    <x v="1"/>
    <x v="4"/>
    <n v="10422"/>
    <x v="0"/>
    <s v="thames 56 - dto 209 "/>
    <s v="Realizado"/>
    <s v="AR ZonaProp"/>
    <n v="0"/>
    <x v="221"/>
    <x v="1"/>
    <s v="Dólares"/>
    <s v="Dólares"/>
    <m/>
    <s v="Argentina | Capital Federal | Flores | Flores Norte"/>
    <x v="0"/>
    <n v="2"/>
    <s v="Seniority"/>
    <s v="Propia (Único Asesor)"/>
    <x v="1"/>
    <s v="Venta"/>
    <x v="3"/>
    <s v="Barrio Parque"/>
  </r>
  <r>
    <d v="2025-11-10T00:00:00"/>
    <x v="1"/>
    <x v="7"/>
    <s v="CAP7191658"/>
    <x v="0"/>
    <s v="VENTA DEPARTAMENTO 3 AMBIENTES CON DEPENDENCIA Y 2 BALCONES"/>
    <s v="Realizado"/>
    <s v="AR ZonaProp"/>
    <n v="120000"/>
    <x v="221"/>
    <x v="1"/>
    <s v="Dólares"/>
    <s v="Dólares"/>
    <s v="Ayacucho al 100"/>
    <s v="Argentina | Capital Federal | Balvanera "/>
    <x v="0"/>
    <n v="2"/>
    <s v="Destino"/>
    <s v="Propia (Único Asesor)"/>
    <x v="1"/>
    <s v="Venta"/>
    <x v="3"/>
    <s v="Recoleta"/>
  </r>
  <r>
    <d v="2025-03-17T00:00:00"/>
    <x v="1"/>
    <x v="9"/>
    <s v="VPN6239 AP4052986"/>
    <x v="0"/>
    <s v="EXCELENTE PRECIO!!!!DEPARTAMENTOS A ESTRENAR!!CON AMARRA. TERRAZAS AL RÍO - VILLANUEVA - TIGRE"/>
    <s v="Realizado"/>
    <s v="AR ZonaProp"/>
    <n v="167250"/>
    <x v="222"/>
    <x v="1"/>
    <s v="Dólares"/>
    <s v="Dólares"/>
    <s v="TERRAZAS AL RIO - CANAL BARRIO NÁUTICO - VILLANUEVA - TIGRE "/>
    <s v="Argentina | G.B.A. Zona Norte | Tigre | Countries/B.Cerrado (Tigre) | Villanueva | Canal Barrio Nautico"/>
    <x v="0"/>
    <n v="2"/>
    <s v="Puerto Norte"/>
    <s v="Compartida en Oficina (Dos Asesores)"/>
    <x v="1"/>
    <s v="Venta"/>
    <x v="6"/>
    <s v="Nordelta"/>
  </r>
  <r>
    <d v="2026-02-04T00:00:00"/>
    <x v="0"/>
    <x v="0"/>
    <s v="Murature 5125"/>
    <x v="0"/>
    <s v="Murature 5125"/>
    <s v="Realizado"/>
    <s v="AR MercadoLibre"/>
    <n v="235000"/>
    <x v="222"/>
    <x v="1"/>
    <s v="Dólares"/>
    <s v="Dólares"/>
    <s v="Murature 5125"/>
    <s v="Argentina | Capital Federal | Capital Federal "/>
    <x v="0"/>
    <n v="2"/>
    <s v="Lion Team"/>
    <s v="Propia (Único Asesor)"/>
    <x v="1"/>
    <s v="Venta"/>
    <x v="3"/>
    <s v="Villa Urquiza"/>
  </r>
  <r>
    <d v="2026-03-03T00:00:00"/>
    <x v="0"/>
    <x v="9"/>
    <s v="CHO7049417"/>
    <x v="0"/>
    <s v="Casa en  venta en country La Tatenguita"/>
    <s v="Realizado"/>
    <s v="AR ZonaProp"/>
    <n v="118000"/>
    <x v="223"/>
    <x v="1"/>
    <s v="Dólares"/>
    <s v="Dólares"/>
    <s v="Casa en Country La Tatenguita "/>
    <s v="Argentina | Santa Fe | La Capital | Santo Tome"/>
    <x v="2"/>
    <n v="2"/>
    <s v="De la Veracruz"/>
    <s v="Compartida en Oficina (Dos Asesores)"/>
    <x v="1"/>
    <s v="Venta"/>
    <x v="5"/>
    <s v="Capital Santa Fe"/>
  </r>
  <r>
    <d v="2025-02-05T00:00:00"/>
    <x v="1"/>
    <x v="0"/>
    <s v="CAP6674356"/>
    <x v="0"/>
    <s v="EN NEGOCIACION Venta Departamento Monoambiente con Balcón al frente y amenities en Palermo Hollywood"/>
    <s v="Realizado"/>
    <s v="AR ZonaProp"/>
    <n v="120000"/>
    <x v="223"/>
    <x v="1"/>
    <s v="Dólares"/>
    <s v="Dólares"/>
    <s v="AV CORDOBA al 5800"/>
    <s v="Argentina | Capital Federal | Palermo | Palermo Hollywood"/>
    <x v="0"/>
    <n v="2"/>
    <s v="Seniority Plus"/>
    <s v="Compartida Fuera de la Red Captación Propia"/>
    <x v="0"/>
    <s v="Venta"/>
    <x v="3"/>
    <s v="Palermo"/>
  </r>
  <r>
    <d v="2025-12-01T00:00:00"/>
    <x v="1"/>
    <x v="8"/>
    <s v="CAP6393286"/>
    <x v="0"/>
    <s v="VENTA 3 AMB A ESTRENAR PISCINA Y VISTA ABIERTA"/>
    <s v="Realizado"/>
    <s v="AR ZonaProp"/>
    <n v="110000"/>
    <x v="223"/>
    <x v="1"/>
    <s v="Dólares"/>
    <s v="Dólares"/>
    <s v="Av. Mitre al 4900"/>
    <s v="Argentina | G.B.A. Zona Sur | Avellaneda | Villa Dominico"/>
    <x v="0"/>
    <n v="2"/>
    <s v="Destino II"/>
    <s v="Compartida Fuera de la Red Captación Propia"/>
    <x v="0"/>
    <s v="Venta"/>
    <x v="3"/>
    <s v="Recoleta"/>
  </r>
  <r>
    <d v="2025-02-24T00:00:00"/>
    <x v="1"/>
    <x v="0"/>
    <s v="CHO6419915"/>
    <x v="0"/>
    <s v="Venta Casa Reciclada 4 Ambientes con 2 Cocheras, 2 Patios y Terraza en Villa Domínico"/>
    <s v="Realizado"/>
    <s v="AR ZonaProp"/>
    <n v="120000"/>
    <x v="223"/>
    <x v="1"/>
    <s v="Dólares"/>
    <s v="Dólares"/>
    <s v="Pasaje Beazley 61"/>
    <s v="Argentina | G.B.A. Zona Sur | Avellaneda | Villa Dominico"/>
    <x v="2"/>
    <n v="2"/>
    <s v="Seniority Plus"/>
    <s v="Propia (Único Asesor)"/>
    <x v="1"/>
    <s v="Venta"/>
    <x v="3"/>
    <s v="Palermo"/>
  </r>
  <r>
    <d v="2025-10-14T00:00:00"/>
    <x v="1"/>
    <x v="11"/>
    <s v="CLO7129795"/>
    <x v="0"/>
    <s v="Local en VENTA- Montevideo al 700 "/>
    <s v="Realizado"/>
    <s v="AR ZonaProp"/>
    <n v="130000"/>
    <x v="223"/>
    <x v="1"/>
    <s v="Dólares"/>
    <s v="Dólares"/>
    <s v="Montevideo  al 700"/>
    <s v="Argentina | Capital Federal | Recoleta "/>
    <x v="4"/>
    <n v="2"/>
    <s v="Destino"/>
    <s v="Propia (Único Asesor)"/>
    <x v="1"/>
    <s v="Venta"/>
    <x v="3"/>
    <s v="Recoleta"/>
  </r>
  <r>
    <d v="2025-10-31T00:00:00"/>
    <x v="1"/>
    <x v="11"/>
    <s v="CHO7305343"/>
    <x v="0"/>
    <s v="Duplex Via Aurelia"/>
    <s v="Realizado"/>
    <s v="Facebook"/>
    <n v="118000"/>
    <x v="223"/>
    <x v="1"/>
    <s v="Dólares"/>
    <s v="Local"/>
    <s v="Via Aurelia"/>
    <s v="Argentina | Salta | Capital | El Aybal"/>
    <x v="2"/>
    <n v="2"/>
    <s v="Realty Group"/>
    <s v="Propia (Único Asesor)"/>
    <x v="1"/>
    <s v="Venta"/>
    <x v="4"/>
    <s v="San Lorenzo Chico"/>
  </r>
  <r>
    <d v="2026-02-09T00:00:00"/>
    <x v="0"/>
    <x v="0"/>
    <s v="JPH7233485"/>
    <x v="0"/>
    <s v="Venta PH Villa Urquiza patios y terraza"/>
    <s v="Realizado"/>
    <s v="AR ZonaProp"/>
    <n v="125000"/>
    <x v="223"/>
    <x v="1"/>
    <s v="Dólares"/>
    <s v="Dólares"/>
    <s v="Av de los Constituyentes al 4100"/>
    <s v="Argentina | Capital Federal | Villa Urquiza "/>
    <x v="3"/>
    <n v="2"/>
    <s v="Lion Team Norte"/>
    <s v="Propia (Único Asesor)"/>
    <x v="1"/>
    <s v="Venta"/>
    <x v="6"/>
    <s v="Vicente López"/>
  </r>
  <r>
    <d v="2025-01-09T00:00:00"/>
    <x v="1"/>
    <x v="10"/>
    <m/>
    <x v="0"/>
    <s v="Departamento 2 ambientes de 58,97 m2? -  UF 58, parte del Edificio Nº 2 más su unidad complementaria (cochera) N° 2, conforme croquis adjunto en el ANEXO III, ubicado en calle Las Retamas y Las Mutisias, que será parte del Fideicomiso Retamas, emprendimie"/>
    <s v="Realizado"/>
    <s v="Teléfono"/>
    <n v="118402"/>
    <x v="224"/>
    <x v="1"/>
    <s v="Dólares"/>
    <s v="Dólares"/>
    <s v="Retamas 200"/>
    <s v="Argentina | Neuquen | Villa La Angostura | Centro"/>
    <x v="0"/>
    <n v="2"/>
    <s v="Patagonia Lakes VLA"/>
    <s v="Compartida en Oficina (Dos Asesores)"/>
    <x v="1"/>
    <s v="Venta"/>
    <x v="1"/>
    <s v="Villa La Angostura"/>
  </r>
  <r>
    <d v="2025-09-25T00:00:00"/>
    <x v="1"/>
    <x v="6"/>
    <s v="CBU59869 AP6871858"/>
    <x v="0"/>
    <s v="Departamento en  venta en Villa Urquiza CABA"/>
    <s v="Realizado"/>
    <s v="AR ZonaProp"/>
    <n v="121500"/>
    <x v="225"/>
    <x v="1"/>
    <s v="Dólares"/>
    <s v="Dólares"/>
    <s v="Quesada al 5900 1* B"/>
    <s v="Argentina | Capital Federal | Villa Urquiza "/>
    <x v="0"/>
    <n v="2"/>
    <s v="Audacity"/>
    <s v="Propia (Único Asesor)"/>
    <x v="1"/>
    <s v="Venta"/>
    <x v="9"/>
    <s v="Parque Leloir"/>
  </r>
  <r>
    <d v="2026-01-15T00:00:00"/>
    <x v="0"/>
    <x v="10"/>
    <s v="IAP2037434"/>
    <x v="0"/>
    <s v="Departamento 3 ambientes con entrepiso - San Isidro"/>
    <s v="Realizado"/>
    <s v="AR ZonaProp"/>
    <n v="170000"/>
    <x v="225"/>
    <x v="1"/>
    <s v="Dólares"/>
    <s v="Dólares"/>
    <s v="Diego Palma al 100"/>
    <s v="Argentina | G.B.A. Zona Norte | San Isidro "/>
    <x v="0"/>
    <n v="2"/>
    <s v="Puerto Norte"/>
    <s v="Propia (Único Asesor)"/>
    <x v="1"/>
    <s v="Venta"/>
    <x v="6"/>
    <s v="Nordelta"/>
  </r>
  <r>
    <d v="2025-11-18T00:00:00"/>
    <x v="1"/>
    <x v="7"/>
    <s v="OP 191"/>
    <x v="0"/>
    <s v="Loyola 461"/>
    <s v="Realizado"/>
    <s v="AR ZonaProp"/>
    <n v="119000"/>
    <x v="226"/>
    <x v="1"/>
    <s v="Dólares"/>
    <s v="Dólares"/>
    <s v="loyola 461"/>
    <s v="Argentina | Capital Federal | Villa Crespo "/>
    <x v="0"/>
    <n v="1"/>
    <s v="Seniority Plus"/>
    <s v="Compartida Fuera de la Red Búsqueda"/>
    <x v="2"/>
    <s v="Venta"/>
    <x v="3"/>
    <s v="Palermo"/>
  </r>
  <r>
    <d v="2025-11-19T00:00:00"/>
    <x v="1"/>
    <x v="7"/>
    <s v="N/C - TAMBORINI 5041"/>
    <x v="0"/>
    <s v="VENTA DPTO 2 AMBIENTES VILLA URQUIZA"/>
    <s v="Realizado"/>
    <s v="AR ZonaProp"/>
    <n v="119000"/>
    <x v="226"/>
    <x v="1"/>
    <s v="Dólares"/>
    <s v="Dólares"/>
    <s v="TAMBORINI 5041"/>
    <s v="Argentina | Capital Federal | Villa Urquiza "/>
    <x v="0"/>
    <n v="1"/>
    <s v="Destino II"/>
    <s v="Compartida Fuera de la Red Búsqueda"/>
    <x v="2"/>
    <s v="Venta"/>
    <x v="3"/>
    <s v="Recoleta"/>
  </r>
  <r>
    <d v="2025-12-09T00:00:00"/>
    <x v="1"/>
    <x v="8"/>
    <s v="DAP3511633"/>
    <x v="0"/>
    <s v="Departamento 3 Ambientes - Ciudad De Tigre - Sobre Av. Cazon - Excelente Ubicación"/>
    <s v="Realizado"/>
    <s v="AR ZonaProp"/>
    <n v="140000"/>
    <x v="226"/>
    <x v="1"/>
    <s v="Dólares"/>
    <s v="Dólares"/>
    <s v="Av Cazon al 900"/>
    <s v="Argentina | G.B.A. Zona Norte | Tigre | Tigre | Ciudad De Tigre"/>
    <x v="0"/>
    <n v="1"/>
    <s v="Puerto Norte"/>
    <s v="Compartida Fuera de la Red Búsqueda"/>
    <x v="2"/>
    <s v="Venta"/>
    <x v="6"/>
    <s v="Nordelta"/>
  </r>
  <r>
    <d v="2025-04-11T00:00:00"/>
    <x v="1"/>
    <x v="3"/>
    <s v="CHO4576637"/>
    <x v="0"/>
    <s v="venta - Casa - 3 ambientes - Adrogue - a reciclar - patio - jardin"/>
    <s v="Realizado"/>
    <s v="AR ArgenProp"/>
    <n v="119900"/>
    <x v="226"/>
    <x v="1"/>
    <s v="Dólares"/>
    <s v="Dólares"/>
    <s v="MARTIN RODRIGUEZ al 400"/>
    <s v="Argentina | G.B.A. Zona Sur | Almirante Brown | Adrogue"/>
    <x v="2"/>
    <n v="2"/>
    <s v="Lion Team"/>
    <s v="Propia (Único Asesor)"/>
    <x v="1"/>
    <s v="Venta"/>
    <x v="3"/>
    <s v="Villa Urquiza"/>
  </r>
  <r>
    <d v="2025-05-23T00:00:00"/>
    <x v="1"/>
    <x v="2"/>
    <s v="CLA6860789"/>
    <x v="0"/>
    <s v="Terreno en  Costa Nogal de 1800 mts2"/>
    <s v="Realizado"/>
    <s v="AR ZonaProp"/>
    <n v="125000"/>
    <x v="226"/>
    <x v="1"/>
    <s v="Dólares"/>
    <s v="Dólares"/>
    <s v="costa nogal"/>
    <s v="Argentina | Neuquen | Capital | Valentina Sur Rural"/>
    <x v="1"/>
    <n v="2"/>
    <s v="Sensus"/>
    <s v="Propia (Único Asesor)"/>
    <x v="1"/>
    <s v="Venta"/>
    <x v="1"/>
    <s v="Capital Neuquén"/>
  </r>
  <r>
    <d v="2025-07-04T00:00:00"/>
    <x v="1"/>
    <x v="1"/>
    <s v="JAP6843394"/>
    <x v="0"/>
    <s v="VENTA DEPARTAMENTO 3 AMBIENTES C/BALCON LUMINOSO RECICLADO"/>
    <s v="Realizado"/>
    <s v="AR ZonaProp"/>
    <n v="120000"/>
    <x v="226"/>
    <x v="1"/>
    <s v="Dólares"/>
    <s v="Dólares"/>
    <s v="Manzanares al 2900"/>
    <s v="Argentina | Capital Federal | Saavedra "/>
    <x v="0"/>
    <n v="2"/>
    <s v="Lion Team Norte"/>
    <s v="Propia (Único Asesor)"/>
    <x v="1"/>
    <s v="Venta"/>
    <x v="6"/>
    <s v="Vicente López"/>
  </r>
  <r>
    <d v="2025-07-11T00:00:00"/>
    <x v="1"/>
    <x v="1"/>
    <s v="CHO6582161"/>
    <x v="0"/>
    <s v="Casa en  Venta en Guaymallén"/>
    <s v="Realizado"/>
    <s v="AR ZonaProp"/>
    <n v="119000"/>
    <x v="226"/>
    <x v="1"/>
    <s v="Dólares"/>
    <s v="Dólares"/>
    <s v="Blas Parera al 135"/>
    <s v="Argentina | Mendoza | Guaymallen | Guaymallén"/>
    <x v="2"/>
    <n v="2"/>
    <s v="Cuyo Real"/>
    <s v="Propia (Único Asesor)"/>
    <x v="1"/>
    <s v="Venta"/>
    <x v="2"/>
    <s v="Capital Mendoza"/>
  </r>
  <r>
    <d v="2025-09-27T00:00:00"/>
    <x v="1"/>
    <x v="6"/>
    <m/>
    <x v="0"/>
    <s v="Op. con century. Depto UF 8 lote 7 Quinta Urbana 7."/>
    <s v="Realizado"/>
    <s v="Repetido"/>
    <n v="120000"/>
    <x v="227"/>
    <x v="1"/>
    <s v="Dólares"/>
    <s v="Dólares"/>
    <s v="Tres de Caballería 1034"/>
    <s v="Argentina | Neuquen | Lacar | San Martin De Los Andes | Centro"/>
    <x v="0"/>
    <n v="1"/>
    <s v="Patagonia Lakes SMA"/>
    <s v="(Interior) Compartida Fuera de la Red Búsqueda"/>
    <x v="2"/>
    <s v="Venta"/>
    <x v="1"/>
    <s v="San Martín de los Andes"/>
  </r>
  <r>
    <d v="2025-10-24T00:00:00"/>
    <x v="1"/>
    <x v="11"/>
    <m/>
    <x v="0"/>
    <s v="Op. con century. Lote Comahue 948,67 m2, loteo jarama- 162006296860000"/>
    <s v="Realizado"/>
    <s v="AR ZonaProp"/>
    <n v="120000"/>
    <x v="227"/>
    <x v="1"/>
    <s v="Dólares"/>
    <s v="Dólares"/>
    <s v="Av. 7 Lagos 500"/>
    <s v="Argentina | Neuquen | Villa La Angostura "/>
    <x v="1"/>
    <n v="1"/>
    <s v="Patagonia Lakes VLA"/>
    <s v="(Interior) Compartida Fuera de la Red Búsqueda"/>
    <x v="2"/>
    <s v="Venta"/>
    <x v="1"/>
    <s v="Villa La Angostura"/>
  </r>
  <r>
    <d v="2025-01-08T00:00:00"/>
    <x v="1"/>
    <x v="10"/>
    <s v="CAP6492529"/>
    <x v="0"/>
    <s v="venta - Departamento dos ambientes - villa urquiza - balcon - amenities"/>
    <s v="Realizado"/>
    <s v="AR ZonaProp"/>
    <n v="125000"/>
    <x v="227"/>
    <x v="1"/>
    <s v="Dólares"/>
    <s v="Dólares"/>
    <s v="Pedro Ignacio Rivera  al 4700"/>
    <s v="Argentina | Capital Federal | Villa Urquiza "/>
    <x v="0"/>
    <n v="2"/>
    <s v="Lion Team"/>
    <s v="Compartida en Oficina (Dos Asesores)"/>
    <x v="1"/>
    <s v="Venta"/>
    <x v="3"/>
    <s v="Villa Urquiza"/>
  </r>
  <r>
    <d v="2025-02-21T00:00:00"/>
    <x v="1"/>
    <x v="0"/>
    <s v="CHO5962170"/>
    <x v="0"/>
    <s v="Casa | Alquiler | Cerrillos Santa Polonia"/>
    <s v="Realizado"/>
    <s v="Facebook"/>
    <n v="140000"/>
    <x v="227"/>
    <x v="1"/>
    <s v="Dólares"/>
    <s v="Dólares"/>
    <s v="CLUB DE CAMPO SANTA APOLONIA"/>
    <s v="Argentina | Salta | Cerrillos | Cerrillos"/>
    <x v="2"/>
    <n v="2"/>
    <s v="Realty Group"/>
    <s v="Compartida en Oficina (Dos Asesores)"/>
    <x v="1"/>
    <s v="Venta"/>
    <x v="4"/>
    <s v="San Lorenzo Chico"/>
  </r>
  <r>
    <d v="2025-03-01T00:00:00"/>
    <x v="1"/>
    <x v="9"/>
    <s v="VAP5129884"/>
    <x v="0"/>
    <s v="Departamento en Altos del Encuentro PB con jardín"/>
    <s v="Realizado"/>
    <s v="AR ZonaProp"/>
    <n v="119000"/>
    <x v="227"/>
    <x v="1"/>
    <s v="Dólares"/>
    <s v="Dólares"/>
    <s v="Departamento en venta de 3 ambientes en Benavidez/Pacheco"/>
    <s v="Argentina | G.B.A. Zona Norte | Tigre | Countries/B.Cerrado (Tigre) | Altos del Encuentro"/>
    <x v="0"/>
    <n v="2"/>
    <s v="Puerto Norte"/>
    <s v="Compartida en Oficina (Dos Asesores)"/>
    <x v="1"/>
    <s v="Venta"/>
    <x v="6"/>
    <s v="Nordelta"/>
  </r>
  <r>
    <d v="2025-03-31T00:00:00"/>
    <x v="1"/>
    <x v="9"/>
    <s v="CAP6411243"/>
    <x v="0"/>
    <s v="Complejo Habitacional ideal renta en Centenario, Neuquen"/>
    <s v="Realizado"/>
    <s v="AR ZonaProp"/>
    <n v="150000"/>
    <x v="227"/>
    <x v="1"/>
    <s v="Dólares"/>
    <s v="Dólares"/>
    <s v="Primera Junta y Godoy Díaz"/>
    <s v="Argentina | Neuquen | Confluencia | Centenario"/>
    <x v="0"/>
    <n v="2"/>
    <s v="Sensus"/>
    <s v="Compartida en Oficina (Dos Asesores)"/>
    <x v="1"/>
    <s v="Venta"/>
    <x v="1"/>
    <s v="Capital Neuquén"/>
  </r>
  <r>
    <d v="2025-04-07T00:00:00"/>
    <x v="1"/>
    <x v="3"/>
    <s v="CHO6684797"/>
    <x v="0"/>
    <s v="VENTA Casa San Martin de los Andes 139m²  terreno 800m² Nuevo Kaleuche Lolog"/>
    <s v="Realizado"/>
    <s v="Teléfono"/>
    <n v="130000"/>
    <x v="227"/>
    <x v="1"/>
    <s v="Dólares"/>
    <s v="Dólares"/>
    <s v="Nuevo Kaleuche ruta 62"/>
    <s v="Argentina | Neuquen | Lacar | San Martin De Los Andes"/>
    <x v="2"/>
    <n v="2"/>
    <s v="Patagonia Lakes SMA"/>
    <s v="Compartida en Oficina (Dos Asesores)"/>
    <x v="1"/>
    <s v="Venta"/>
    <x v="1"/>
    <s v="San Martín de los Andes"/>
  </r>
  <r>
    <d v="2025-04-29T00:00:00"/>
    <x v="1"/>
    <x v="3"/>
    <s v="CAP6214158"/>
    <x v="0"/>
    <s v="Departamento en Pozo Edificio Neu, Barrio Belgrano, San Carlos de Bariloche"/>
    <s v="Realizado"/>
    <s v="Teléfono"/>
    <n v="120000"/>
    <x v="227"/>
    <x v="1"/>
    <s v="Dólares"/>
    <s v="Dólares"/>
    <s v="Belgrano, San Carlos de Bariloche"/>
    <s v="Argentina | Rio Negro | Bariloche | San Carlos De Bariloche | Belgrano"/>
    <x v="0"/>
    <n v="2"/>
    <s v="Patagonia Lakes BRC"/>
    <s v="Compartida en Oficina (Dos Asesores)"/>
    <x v="1"/>
    <s v="Venta"/>
    <x v="7"/>
    <s v="Bariloche"/>
  </r>
  <r>
    <d v="2025-06-24T00:00:00"/>
    <x v="1"/>
    <x v="4"/>
    <m/>
    <x v="0"/>
    <s v="UF 49, parte del Edificio Nº 1, conforme croquis adjunto en el ANEXO III, ubicado en calle Las Retamas y Las Mutisias, que será parte del Fideicomiso Retamas, emprendimiento a construir sobre la nomenclatura catastral: 16-20-070-8351-0000, matrícula 4766,"/>
    <s v="Realizado"/>
    <s v="AR MercadoLibre"/>
    <n v="120000"/>
    <x v="227"/>
    <x v="1"/>
    <s v="Dólares"/>
    <s v="Dólares"/>
    <s v="Las Retamas 50"/>
    <s v="Argentina | Neuquen | Villa La Angostura | Centro"/>
    <x v="0"/>
    <n v="2"/>
    <s v="Patagonia Lakes VLA"/>
    <s v="Compartida en Oficina (Dos Asesores)"/>
    <x v="1"/>
    <s v="Venta"/>
    <x v="1"/>
    <s v="Villa La Angostura"/>
  </r>
  <r>
    <d v="2025-09-15T00:00:00"/>
    <x v="1"/>
    <x v="6"/>
    <s v="9 de julio"/>
    <x v="0"/>
    <s v="DEPARTAMENTO EN VENTA 9 DE JULIO "/>
    <s v="Realizado"/>
    <s v="AR ZonaProp"/>
    <n v="120000"/>
    <x v="227"/>
    <x v="1"/>
    <s v="Dólares"/>
    <s v="Dólares"/>
    <s v="9 DE JULIO "/>
    <s v="Argentina | Capital Federal | Recoleta "/>
    <x v="0"/>
    <n v="2"/>
    <s v="Puerto Norte"/>
    <s v="Compartida en Oficina (Dos Asesores)"/>
    <x v="1"/>
    <s v="Venta"/>
    <x v="6"/>
    <s v="Nordelta"/>
  </r>
  <r>
    <d v="2026-01-22T00:00:00"/>
    <x v="0"/>
    <x v="10"/>
    <s v="JAP7124267"/>
    <x v="0"/>
    <s v="DUPLEX APTO CREDITO CON COCHERA FIJA CUBIERTA Y BAULERAS  BALCON ATERRAZADO CON PARRILLA PROPIA"/>
    <s v="Realizado"/>
    <s v="AR ZonaProp"/>
    <n v="129999"/>
    <x v="227"/>
    <x v="1"/>
    <s v="Dólares"/>
    <s v="Dólares"/>
    <s v="AV BALBIN al 2300"/>
    <s v="Argentina | Capital Federal | Belgrano "/>
    <x v="0"/>
    <n v="2"/>
    <s v="Lion Team Norte"/>
    <s v="Compartida en Oficina (Dos Asesores)"/>
    <x v="1"/>
    <s v="Venta"/>
    <x v="6"/>
    <s v="Vicente López"/>
  </r>
  <r>
    <d v="2025-05-20T00:00:00"/>
    <x v="1"/>
    <x v="2"/>
    <n v="10397"/>
    <x v="0"/>
    <s v="Eleodoro lobos 284 "/>
    <s v="Realizado"/>
    <s v="AR ZonaProp"/>
    <n v="0"/>
    <x v="227"/>
    <x v="1"/>
    <s v="Dólares"/>
    <s v="Dólares"/>
    <m/>
    <s v="Argentina | Capital Federal | Caballito "/>
    <x v="0"/>
    <n v="1"/>
    <s v="Seniority"/>
    <s v="Compartida Fuera de la Red Búsqueda"/>
    <x v="2"/>
    <s v="Venta"/>
    <x v="3"/>
    <s v="Barrio Parque"/>
  </r>
  <r>
    <d v="2025-06-23T00:00:00"/>
    <x v="1"/>
    <x v="4"/>
    <m/>
    <x v="0"/>
    <s v="O'higgins 1622 - Leo Maroni - Bilcic Propiedades"/>
    <s v="Realizado"/>
    <s v="AR ZonaProp"/>
    <n v="120000"/>
    <x v="227"/>
    <x v="1"/>
    <s v="Dólares"/>
    <s v="Dólares"/>
    <s v="O'higgins 1622 "/>
    <s v="Argentina | G.B.A. Zona Sur | Lanús "/>
    <x v="0"/>
    <n v="1"/>
    <s v="Destino"/>
    <s v="Compartida Fuera de la Red Búsqueda"/>
    <x v="2"/>
    <s v="Venta"/>
    <x v="3"/>
    <s v="Recoleta"/>
  </r>
  <r>
    <d v="2025-08-07T00:00:00"/>
    <x v="1"/>
    <x v="5"/>
    <m/>
    <x v="0"/>
    <s v="Sitio de Montevideo 1742 - Leo Maroni - Remax Power"/>
    <s v="Realizado"/>
    <s v="AR ZonaProp"/>
    <n v="12000"/>
    <x v="227"/>
    <x v="1"/>
    <s v="Dólares"/>
    <s v="Dólares"/>
    <s v="Sitio de Montevideo 1742"/>
    <s v="Argentina | G.B.A. Zona Sur | Lanús | Lanús | Lanús Este"/>
    <x v="0"/>
    <n v="1"/>
    <s v="Destino"/>
    <s v="Compartida Fuera de la Red Búsqueda"/>
    <x v="2"/>
    <s v="Venta"/>
    <x v="3"/>
    <s v="Recoleta"/>
  </r>
  <r>
    <d v="2025-08-18T00:00:00"/>
    <x v="1"/>
    <x v="5"/>
    <n v="10495"/>
    <x v="0"/>
    <s v="alcaraz"/>
    <s v="Realizado"/>
    <s v="AR ZonaProp"/>
    <n v="0"/>
    <x v="227"/>
    <x v="1"/>
    <s v="Dólares"/>
    <s v="Dólares"/>
    <m/>
    <s v="Argentina | Capital Federal | Monte Castro "/>
    <x v="0"/>
    <n v="1"/>
    <s v="Seniority"/>
    <s v="Compartida Fuera de la Red Búsqueda"/>
    <x v="2"/>
    <s v="Venta"/>
    <x v="3"/>
    <s v="Barrio Parque"/>
  </r>
  <r>
    <d v="2025-08-28T00:00:00"/>
    <x v="1"/>
    <x v="5"/>
    <s v="Fournier 3629 1 E"/>
    <x v="0"/>
    <s v="Fournier 3629 1 E"/>
    <s v="Realizado"/>
    <s v="AR ZonaProp"/>
    <n v="120000"/>
    <x v="227"/>
    <x v="1"/>
    <s v="Dólares"/>
    <s v="Dólares"/>
    <s v="Fournier 3629 1 E"/>
    <s v="Argentina | G.B.A. Zona Norte | Vicente López | Munro"/>
    <x v="0"/>
    <n v="1"/>
    <s v="Seniority Plus"/>
    <s v="Compartida Fuera de la Red Búsqueda"/>
    <x v="2"/>
    <s v="Venta"/>
    <x v="3"/>
    <s v="Palermo"/>
  </r>
  <r>
    <d v="2025-03-28T00:00:00"/>
    <x v="1"/>
    <x v="9"/>
    <s v="VAP6495040"/>
    <x v="0"/>
    <s v="Venta de Duplex de 3 ambientes en Pacheco / Benavidez"/>
    <s v="Realizado"/>
    <s v="AR ZonaProp"/>
    <n v="130000"/>
    <x v="227"/>
    <x v="1"/>
    <s v="Dólares"/>
    <s v="Dólares"/>
    <s v="Altos del Encuentro"/>
    <s v="Argentina | G.B.A. Zona Norte | Tigre | Countries/B.Cerrado (Tigre) | Altos del Encuentro"/>
    <x v="0"/>
    <n v="2"/>
    <s v="Puerto Norte"/>
    <s v="Compartida Fuera de la Red Captación Propia"/>
    <x v="0"/>
    <s v="Venta"/>
    <x v="6"/>
    <s v="Nordelta"/>
  </r>
  <r>
    <d v="2025-06-18T00:00:00"/>
    <x v="1"/>
    <x v="4"/>
    <s v="COF3541818"/>
    <x v="0"/>
    <s v="Venta y/o alquiler de oficina en el centro/retiro."/>
    <s v="Realizado"/>
    <s v="AR ZonaProp"/>
    <n v="45000"/>
    <x v="227"/>
    <x v="1"/>
    <s v="Dólares"/>
    <s v="Local"/>
    <s v="AV CORDOBA al 600"/>
    <s v="Argentina | Capital Federal | Retiro "/>
    <x v="6"/>
    <n v="2"/>
    <s v="Puerto Norte"/>
    <s v="Compartida Fuera de la Red Captación Propia"/>
    <x v="0"/>
    <s v="Venta"/>
    <x v="6"/>
    <s v="Nordelta"/>
  </r>
  <r>
    <d v="2025-10-13T00:00:00"/>
    <x v="1"/>
    <x v="11"/>
    <s v="CPH7205589"/>
    <x v="0"/>
    <s v="Venta de Ph 3 ambientes en San Fernando Centro"/>
    <s v="Realizado"/>
    <s v="Referido"/>
    <n v="128000"/>
    <x v="227"/>
    <x v="1"/>
    <s v="Dólares"/>
    <s v="Dólares"/>
    <s v="Avenida Presidente Peron al 1000"/>
    <s v="Argentina | G.B.A. Zona Norte | San Fernando | San Fernando | S.Fer.-Vias/Centro"/>
    <x v="3"/>
    <n v="2"/>
    <s v="Acqua"/>
    <s v="Compartida Fuera de la Red Captación Propia"/>
    <x v="0"/>
    <s v="Venta"/>
    <x v="6"/>
    <s v="Pilar"/>
  </r>
  <r>
    <d v="2025-10-17T00:00:00"/>
    <x v="1"/>
    <x v="11"/>
    <s v="CAP7144503"/>
    <x v="0"/>
    <s v="Venta Departamento 2 ambientes Av. Santa Fe al 800"/>
    <s v="Realizado"/>
    <s v="AR ZonaProp"/>
    <n v="130000"/>
    <x v="227"/>
    <x v="1"/>
    <s v="Dólares"/>
    <s v="Dólares"/>
    <s v="Avenida Santa Fe al 800"/>
    <s v="Argentina | Capital Federal | Retiro "/>
    <x v="0"/>
    <n v="2"/>
    <s v="Seniority"/>
    <s v="Compartida Fuera de la Red Captación Propia"/>
    <x v="0"/>
    <s v="Venta"/>
    <x v="3"/>
    <s v="Barrio Parque"/>
  </r>
  <r>
    <d v="2025-12-24T00:00:00"/>
    <x v="1"/>
    <x v="8"/>
    <s v="CAP6738799"/>
    <x v="0"/>
    <s v="Venta Departamento de 3 Ambientes en Villa Luro con Cochera, Baulera y Gran Parque"/>
    <s v="Realizado"/>
    <s v="AR ZonaProp"/>
    <n v="129000"/>
    <x v="227"/>
    <x v="1"/>
    <s v="Dólares"/>
    <s v="Dólares"/>
    <s v="Magariños Cervantes al 4900"/>
    <s v="Argentina | Capital Federal | Monte Castro "/>
    <x v="0"/>
    <n v="2"/>
    <s v="Seniority Plus"/>
    <s v="Compartida Fuera de la Red Captación Propia"/>
    <x v="0"/>
    <s v="Venta"/>
    <x v="3"/>
    <s v="Palermo"/>
  </r>
  <r>
    <d v="2026-02-12T00:00:00"/>
    <x v="0"/>
    <x v="0"/>
    <s v="CAP7533427"/>
    <x v="0"/>
    <s v="Departamento en Caballito - 2 ambientes"/>
    <s v="Realizado"/>
    <s v="AR ZonaProp"/>
    <n v="125000"/>
    <x v="227"/>
    <x v="1"/>
    <s v="Dólares"/>
    <s v="Dólares"/>
    <s v="Miró al 500"/>
    <s v="Argentina | Capital Federal | Caballito "/>
    <x v="0"/>
    <n v="2"/>
    <s v="Destino II"/>
    <s v="Compartida Fuera de la Red Captación Propia"/>
    <x v="0"/>
    <s v="Venta"/>
    <x v="3"/>
    <s v="Recoleta"/>
  </r>
  <r>
    <d v="2025-04-25T00:00:00"/>
    <x v="1"/>
    <x v="3"/>
    <s v="CBU59677 AP6512996"/>
    <x v="2"/>
    <s v="Departamento en venta -1 ambiente con Terraza - Edificio Donado - Villa Urquiza"/>
    <s v="Realizado"/>
    <s v="Referido"/>
    <n v="110000"/>
    <x v="227"/>
    <x v="1"/>
    <s v="Dólares"/>
    <s v="Dólares"/>
    <s v="Departamento en venta 1 ambiente con Terraza - Edificio Donado - Villa Urquiza"/>
    <s v="Argentina | Capital Federal | Villa Urquiza "/>
    <x v="0"/>
    <n v="2"/>
    <s v="North Team"/>
    <s v="Compartida en Red (50%)"/>
    <x v="1"/>
    <s v="Venta"/>
    <x v="6"/>
    <s v="Pilar"/>
  </r>
  <r>
    <d v="2025-05-14T00:00:00"/>
    <x v="1"/>
    <x v="2"/>
    <s v="CBA61145 LA6682094"/>
    <x v="2"/>
    <s v="VENTA / LOTE  811m² UF11 manzana B  apto comercial Postal Patagonia San Martin de los Andes Patagonia"/>
    <s v="Realizado"/>
    <s v="Referido"/>
    <n v="120000"/>
    <x v="227"/>
    <x v="1"/>
    <s v="Dólares"/>
    <s v="Dólares"/>
    <s v="Postal Patagonia"/>
    <s v="Argentina | Neuquen | Lacar | San Martin De Los Andes"/>
    <x v="1"/>
    <n v="2"/>
    <s v="Patagonia Lakes SMA"/>
    <s v="Master"/>
    <x v="1"/>
    <s v="Venta"/>
    <x v="1"/>
    <s v="San Martín de los Andes"/>
  </r>
  <r>
    <d v="2025-08-28T00:00:00"/>
    <x v="1"/>
    <x v="5"/>
    <s v="CAP6445275"/>
    <x v="2"/>
    <s v="Venta departamento 3 ambientes con parrilla a estrenar apto credito en Munro"/>
    <s v="Realizado"/>
    <s v="AR ZonaProp"/>
    <n v="130000"/>
    <x v="227"/>
    <x v="1"/>
    <s v="Dólares"/>
    <s v="Dólares"/>
    <s v="Rastreador Fournier  al 3600"/>
    <s v="Argentina | G.B.A. Zona Norte | Vicente López | Munro"/>
    <x v="0"/>
    <n v="2"/>
    <s v="Seniority"/>
    <s v="Master"/>
    <x v="1"/>
    <s v="Venta"/>
    <x v="3"/>
    <s v="Barrio Parque"/>
  </r>
  <r>
    <d v="2025-02-14T00:00:00"/>
    <x v="1"/>
    <x v="0"/>
    <s v="CAP6552523"/>
    <x v="0"/>
    <s v="*RESERVADO* DEPARTAMENTO 3 AMB BALCON Y DEPENDENCIA"/>
    <s v="Realizado"/>
    <s v="AR ZonaProp"/>
    <n v="125000"/>
    <x v="227"/>
    <x v="1"/>
    <s v="Dólares"/>
    <s v="Dólares"/>
    <s v="Boulogne Sur Mer al 470"/>
    <s v="Argentina | Capital Federal | Balvanera "/>
    <x v="0"/>
    <n v="2"/>
    <s v="Destino"/>
    <s v="Propia (Único Asesor)"/>
    <x v="1"/>
    <s v="Venta"/>
    <x v="3"/>
    <s v="Recoleta"/>
  </r>
  <r>
    <d v="2025-04-11T00:00:00"/>
    <x v="1"/>
    <x v="3"/>
    <s v="CBU49517 AP6658395"/>
    <x v="0"/>
    <s v="UNICO 2 ambientes con Balcon con sol Nuevo Equipado - SUM - Villa Urquiza VENTA"/>
    <s v="Realizado"/>
    <s v="AR ZonaProp"/>
    <n v="115000"/>
    <x v="227"/>
    <x v="1"/>
    <s v="Dólares"/>
    <s v="Dólares"/>
    <s v="Bauness al 1200"/>
    <s v="Argentina | Capital Federal | Villa Urquiza "/>
    <x v="0"/>
    <n v="2"/>
    <s v="Lion Team"/>
    <s v="Propia (Único Asesor)"/>
    <x v="1"/>
    <s v="Venta"/>
    <x v="3"/>
    <s v="Villa Urquiza"/>
  </r>
  <r>
    <d v="2025-04-23T00:00:00"/>
    <x v="1"/>
    <x v="3"/>
    <s v="CPH5468212"/>
    <x v="0"/>
    <s v="VENTA PH 3 ambientes - Sin Expensas !! Gran patio y Terraza Propia !!"/>
    <s v="Realizado"/>
    <s v="AR ArgenProp"/>
    <n v="124000"/>
    <x v="227"/>
    <x v="1"/>
    <s v="Dólares"/>
    <s v="Dólares"/>
    <s v="Gabriela Mistral al 3200"/>
    <s v="Argentina | Capital Federal | Villa Pueyrredon "/>
    <x v="3"/>
    <n v="2"/>
    <s v="Lion Team"/>
    <s v="Propia (Único Asesor)"/>
    <x v="1"/>
    <s v="Venta"/>
    <x v="3"/>
    <s v="Villa Urquiza"/>
  </r>
  <r>
    <d v="2025-04-29T00:00:00"/>
    <x v="1"/>
    <x v="3"/>
    <s v="CBU54762 AP6140835"/>
    <x v="0"/>
    <s v="VENTA departamento duplex 3 ambientes Patio Jardin propio en Villa Urquiza"/>
    <s v="Realizado"/>
    <s v="AR MercadoLibre"/>
    <n v="286000"/>
    <x v="227"/>
    <x v="1"/>
    <s v="Dólares"/>
    <s v="Dólares"/>
    <s v="Donado 2000"/>
    <s v="Argentina | Capital Federal | Villa Urquiza "/>
    <x v="0"/>
    <n v="2"/>
    <s v="Lion Team"/>
    <s v="Propia (Único Asesor)"/>
    <x v="1"/>
    <s v="Venta"/>
    <x v="3"/>
    <s v="Villa Urquiza"/>
  </r>
  <r>
    <d v="2025-05-15T00:00:00"/>
    <x v="1"/>
    <x v="2"/>
    <s v="CAP6730208"/>
    <x v="0"/>
    <s v="Venta Hermoso 2 Ambientes con Balcon - Baulera - Permuta"/>
    <s v="Realizado"/>
    <s v="AR ZonaProp"/>
    <n v="124500"/>
    <x v="227"/>
    <x v="1"/>
    <s v="Dólares"/>
    <s v="Dólares"/>
    <s v="EN NEGOCIACION - Bulnes al 1600"/>
    <s v="Argentina | Capital Federal | Palermo "/>
    <x v="0"/>
    <n v="2"/>
    <s v="Lion Team"/>
    <s v="Propia (Único Asesor)"/>
    <x v="1"/>
    <s v="Venta"/>
    <x v="3"/>
    <s v="Villa Urquiza"/>
  </r>
  <r>
    <d v="2025-06-23T00:00:00"/>
    <x v="1"/>
    <x v="4"/>
    <s v="CAP6924238"/>
    <x v="0"/>
    <s v="Venta, Departamento, 2 ambientes, balcon, cochera, Duplex"/>
    <s v="Realizado"/>
    <s v="AR ArgenProp"/>
    <n v="130000"/>
    <x v="227"/>
    <x v="1"/>
    <s v="Dólares"/>
    <s v="Dólares"/>
    <s v="ALBERTI  al 300"/>
    <s v="Argentina | G.B.A. Zona Norte | San Isidro "/>
    <x v="0"/>
    <n v="2"/>
    <s v="Lion Team"/>
    <s v="Propia (Único Asesor)"/>
    <x v="1"/>
    <s v="Venta"/>
    <x v="3"/>
    <s v="Villa Urquiza"/>
  </r>
  <r>
    <d v="2025-06-24T00:00:00"/>
    <x v="1"/>
    <x v="4"/>
    <s v="CAP6464057"/>
    <x v="0"/>
    <s v="Departamento - Palermo"/>
    <s v="Realizado"/>
    <s v="AR ZonaProp"/>
    <n v="129999"/>
    <x v="227"/>
    <x v="1"/>
    <s v="Dólares"/>
    <s v="Dólares"/>
    <s v="Mansilla al 4000"/>
    <s v="Argentina | Capital Federal | Palermo "/>
    <x v="0"/>
    <n v="2"/>
    <s v="Lion Team Norte"/>
    <s v="Propia (Único Asesor)"/>
    <x v="1"/>
    <s v="Venta"/>
    <x v="6"/>
    <s v="Vicente López"/>
  </r>
  <r>
    <d v="2025-07-03T00:00:00"/>
    <x v="1"/>
    <x v="1"/>
    <s v="CAP6807552"/>
    <x v="0"/>
    <s v="Departamento en Villa Urquiza"/>
    <s v="Realizado"/>
    <s v="AR ZonaProp"/>
    <n v="125000"/>
    <x v="227"/>
    <x v="1"/>
    <s v="Dólares"/>
    <s v="Dólares"/>
    <s v="Fernández Blanco  al 2300"/>
    <s v="Argentina | Capital Federal | Villa Urquiza "/>
    <x v="0"/>
    <n v="2"/>
    <s v="Destino"/>
    <s v="Propia (Único Asesor)"/>
    <x v="1"/>
    <s v="Venta"/>
    <x v="3"/>
    <s v="Recoleta"/>
  </r>
  <r>
    <d v="2025-07-09T00:00:00"/>
    <x v="1"/>
    <x v="1"/>
    <s v="VHO5998658"/>
    <x v="0"/>
    <s v="Casa en  venta - LOTE PROPIO - APTO CREDITO"/>
    <s v="Realizado"/>
    <s v="AR ZonaProp"/>
    <n v="138000"/>
    <x v="227"/>
    <x v="1"/>
    <s v="Dólares"/>
    <s v="Dólares"/>
    <s v="Italia  al 3400"/>
    <s v="Argentina | G.B.A. Zona Norte | Vicente López | Florida"/>
    <x v="2"/>
    <n v="2"/>
    <s v="Puerto Norte"/>
    <s v="Propia (Único Asesor)"/>
    <x v="1"/>
    <s v="Venta"/>
    <x v="6"/>
    <s v="Nordelta"/>
  </r>
  <r>
    <d v="2025-07-31T00:00:00"/>
    <x v="1"/>
    <x v="1"/>
    <s v="CHO6858321"/>
    <x v="0"/>
    <s v="Casa en  venta ubicada en el Mollar I - Salta"/>
    <s v="Realizado"/>
    <s v="Facebook"/>
    <n v="120000"/>
    <x v="227"/>
    <x v="1"/>
    <s v="Dólares"/>
    <s v="Dólares"/>
    <s v="Mollar I"/>
    <s v="Argentina | Salta | Rosario De Lerma | El Mollar"/>
    <x v="2"/>
    <n v="2"/>
    <s v="Realty Group"/>
    <s v="Propia (Único Asesor)"/>
    <x v="1"/>
    <s v="Venta"/>
    <x v="4"/>
    <s v="San Lorenzo Chico"/>
  </r>
  <r>
    <d v="2025-08-12T00:00:00"/>
    <x v="1"/>
    <x v="5"/>
    <s v="CAP5098578"/>
    <x v="0"/>
    <s v="Depto en Venta 3 ambientes c/ dependencia !! OPORTUNIDAD"/>
    <s v="Realizado"/>
    <s v="AR ZonaProp"/>
    <n v="139900"/>
    <x v="227"/>
    <x v="1"/>
    <s v="Dólares"/>
    <s v="Dólares"/>
    <s v="Sarmiento al 2600"/>
    <s v="Argentina | Capital Federal | Balvanera "/>
    <x v="0"/>
    <n v="2"/>
    <s v="Haka"/>
    <s v="Propia (Único Asesor)"/>
    <x v="1"/>
    <s v="Venta"/>
    <x v="3"/>
    <s v="Núñez"/>
  </r>
  <r>
    <d v="2025-08-29T00:00:00"/>
    <x v="1"/>
    <x v="5"/>
    <s v="Duplex RinconLindo"/>
    <x v="0"/>
    <s v="Duplex RinconLindo"/>
    <s v="Realizado"/>
    <s v="AR ZonaProp"/>
    <n v="120000"/>
    <x v="227"/>
    <x v="1"/>
    <s v="Dólares"/>
    <s v="Dólares"/>
    <m/>
    <s v="Argentina | Rio Negro | General Roca | Cipolletti"/>
    <x v="3"/>
    <n v="2"/>
    <s v="Sensus"/>
    <s v="Propia (Único Asesor)"/>
    <x v="1"/>
    <s v="Venta"/>
    <x v="1"/>
    <s v="Capital Neuquén"/>
  </r>
  <r>
    <d v="2025-12-23T00:00:00"/>
    <x v="1"/>
    <x v="8"/>
    <s v="CAP7381728"/>
    <x v="0"/>
    <s v="VENTA DEPARTAMENTO 2 AMBIENTES - BALCÓN ATERRAZADO y BAULERA - Villa Crespo"/>
    <s v="Realizado"/>
    <s v="AR ZonaProp"/>
    <n v="129000"/>
    <x v="227"/>
    <x v="1"/>
    <s v="Dólares"/>
    <s v="Dólares"/>
    <s v="Gandhi 700"/>
    <s v="Argentina | Capital Federal | Villa Crespo "/>
    <x v="0"/>
    <n v="2"/>
    <s v="Seniority"/>
    <s v="Propia (Único Asesor)"/>
    <x v="1"/>
    <s v="Venta"/>
    <x v="3"/>
    <s v="Barrio Parque"/>
  </r>
  <r>
    <d v="2026-01-14T00:00:00"/>
    <x v="0"/>
    <x v="10"/>
    <s v="CHO7402231"/>
    <x v="0"/>
    <s v="Terreno en venta con propiedad a demoler"/>
    <s v="Realizado"/>
    <s v="UY ZonaProp"/>
    <n v="170000"/>
    <x v="227"/>
    <x v="1"/>
    <s v="Dólares"/>
    <s v="Dólares"/>
    <s v="Av. Moreno  74"/>
    <s v="Argentina | Mendoza | San Rafael "/>
    <x v="1"/>
    <n v="2"/>
    <s v="Andes"/>
    <s v="Propia (Único Asesor)"/>
    <x v="1"/>
    <s v="Venta"/>
    <x v="2"/>
    <s v="San Rafael"/>
  </r>
  <r>
    <d v="2026-02-02T00:00:00"/>
    <x v="0"/>
    <x v="0"/>
    <s v="CHO7520957"/>
    <x v="0"/>
    <s v="Casa en venta ubicada en Zona Alto La Loma"/>
    <s v="Realizado"/>
    <s v="Facebook"/>
    <n v="120000"/>
    <x v="227"/>
    <x v="1"/>
    <s v="Dólares"/>
    <s v="Dólares"/>
    <s v="Ramon Acosta 1400"/>
    <s v="Argentina | Salta | Capital | Salta | Zona Oeste"/>
    <x v="2"/>
    <n v="2"/>
    <s v="Realty Group"/>
    <s v="Propia (Único Asesor)"/>
    <x v="1"/>
    <s v="Venta"/>
    <x v="4"/>
    <s v="San Lorenzo Chico"/>
  </r>
  <r>
    <d v="2026-03-12T00:00:00"/>
    <x v="0"/>
    <x v="9"/>
    <s v="CAP7592918"/>
    <x v="0"/>
    <s v="Departamento en Balvanera - 3 AMBIENTES CON PILETA Y COCHERA - OPORTUNIDAD "/>
    <s v="Realizado"/>
    <s v="AR ArgenProp"/>
    <n v="132000"/>
    <x v="227"/>
    <x v="1"/>
    <s v="Dólares"/>
    <s v="Dólares"/>
    <s v="CATAMARCA al 100"/>
    <s v="Argentina | Capital Federal | Balvanera "/>
    <x v="0"/>
    <n v="2"/>
    <s v="Lion Team"/>
    <s v="Propia (Único Asesor)"/>
    <x v="1"/>
    <s v="Venta"/>
    <x v="3"/>
    <s v="Villa Urquiza"/>
  </r>
  <r>
    <d v="2026-03-31T00:00:00"/>
    <x v="0"/>
    <x v="9"/>
    <s v="CAP7586022"/>
    <x v="0"/>
    <s v="Venta, Departamento, 3 ambientes, cochera, balcón terraza, parrilla, Nordelta, lagos del Sendero"/>
    <s v="Realizado"/>
    <s v="AR ArgenProp"/>
    <n v="128000"/>
    <x v="228"/>
    <x v="1"/>
    <s v="Dólares"/>
    <s v="Dólares"/>
    <s v="Av. del golf al 600"/>
    <s v="Argentina | G.B.A. Zona Norte | Tigre | Countries/B.Cerrado (Tigre) | Nordelta | Sendero | Lago del Sendero"/>
    <x v="0"/>
    <n v="2"/>
    <s v="Lion Team"/>
    <s v="Propia (Único Asesor)"/>
    <x v="1"/>
    <s v="Venta"/>
    <x v="3"/>
    <s v="Villa Urquiza"/>
  </r>
  <r>
    <d v="2025-02-13T00:00:00"/>
    <x v="1"/>
    <x v="0"/>
    <s v="GustavoRemax"/>
    <x v="0"/>
    <s v="Bariloche KM 5 Furman y Horacio Cruz"/>
    <s v="Realizado"/>
    <s v="Teléfono"/>
    <n v="122000"/>
    <x v="229"/>
    <x v="1"/>
    <s v="Dólares"/>
    <s v="Dólares"/>
    <m/>
    <s v="Argentina | Rio Negro | Bariloche | San Carlos De Bariloche"/>
    <x v="3"/>
    <n v="1"/>
    <s v="Patagonia Lakes BRC"/>
    <s v="(Interior) Compartida Fuera de la Red Búsqueda"/>
    <x v="2"/>
    <s v="Venta"/>
    <x v="7"/>
    <s v="Bariloche"/>
  </r>
  <r>
    <d v="2025-10-13T00:00:00"/>
    <x v="1"/>
    <x v="11"/>
    <s v="BERMUDEZ 2466"/>
    <x v="0"/>
    <s v="BERMUDEZ 2466"/>
    <s v="Realizado"/>
    <s v="AR ZonaProp"/>
    <n v="122000"/>
    <x v="229"/>
    <x v="1"/>
    <s v="Dólares"/>
    <s v="Dólares"/>
    <s v="BERMUDEZ 2466"/>
    <s v="Argentina | G.B.A. Zona Norte | Vicente López | Olivos"/>
    <x v="3"/>
    <n v="1"/>
    <s v="Lion Team Norte"/>
    <s v="(Interior) Compartida Fuera de la Red Búsqueda"/>
    <x v="2"/>
    <s v="Venta"/>
    <x v="6"/>
    <s v="Vicente López"/>
  </r>
  <r>
    <d v="2025-10-15T00:00:00"/>
    <x v="1"/>
    <x v="11"/>
    <s v="VAP4876171"/>
    <x v="0"/>
    <s v="Departamento - Zerena"/>
    <s v="Realizado"/>
    <s v="AR ZonaProp"/>
    <n v="198000"/>
    <x v="229"/>
    <x v="1"/>
    <s v="Dólares"/>
    <s v="Dólares"/>
    <s v="Zerena, El Palmar"/>
    <s v="Argentina | G.B.A. Zona Norte | Tigre | Countries/B.Cerrado (Tigre) | Nordelta | El Palmar | Zerena"/>
    <x v="0"/>
    <n v="2"/>
    <s v="Puerto Norte"/>
    <s v="Compartida en Oficina (Dos Asesores)"/>
    <x v="1"/>
    <s v="Venta"/>
    <x v="6"/>
    <s v="Nordelta"/>
  </r>
  <r>
    <d v="2025-11-18T00:00:00"/>
    <x v="1"/>
    <x v="7"/>
    <s v="VPN53619 HO5687882"/>
    <x v="0"/>
    <s v="Casa Estilo Dúplex - 3 AMB - Las Margaritas, Pilar - Ultimas unidades!!!!"/>
    <s v="Realizado"/>
    <s v="AR ZonaProp"/>
    <n v="122000"/>
    <x v="229"/>
    <x v="1"/>
    <s v="Dólares"/>
    <s v="Dólares"/>
    <s v="Casa tipo Dúplex - 3 AMB - Las Margaritas, Pilar "/>
    <s v="Argentina | G.B.A. Zona Norte | Pilar | Countries/B.Cerrado (Pilar) | Las Margaritas"/>
    <x v="2"/>
    <n v="2"/>
    <s v="Puerto Norte"/>
    <s v="Compartida en Oficina (Dos Asesores)"/>
    <x v="1"/>
    <s v="Venta"/>
    <x v="6"/>
    <s v="Nordelta"/>
  </r>
  <r>
    <d v="2025-11-28T00:00:00"/>
    <x v="1"/>
    <x v="7"/>
    <s v="CAP7271801"/>
    <x v="0"/>
    <s v="DEPARTAMENTO 2 AMB EN VENTA VILLA URQUIZA"/>
    <s v="Realizado"/>
    <s v="AR ZonaProp"/>
    <n v="130000"/>
    <x v="229"/>
    <x v="1"/>
    <s v="Dólares"/>
    <s v="Dólares"/>
    <s v="Avenida Congreso al 4300"/>
    <s v="Argentina | Capital Federal | Villa Urquiza "/>
    <x v="0"/>
    <n v="2"/>
    <s v="Destino II"/>
    <s v="Compartida Fuera de la Red Captación Propia"/>
    <x v="0"/>
    <s v="Venta"/>
    <x v="3"/>
    <s v="Recoleta"/>
  </r>
  <r>
    <d v="2025-04-14T00:00:00"/>
    <x v="1"/>
    <x v="3"/>
    <s v="CAP6439910"/>
    <x v="0"/>
    <s v="Departamento de Dos Dormitorios a Estrenar en B° Gamma "/>
    <s v="Realizado"/>
    <s v="AR ZonaProp"/>
    <n v="125000"/>
    <x v="229"/>
    <x v="1"/>
    <s v="Dólares"/>
    <s v="Dólares"/>
    <s v="Republica de Italia 1100"/>
    <s v="Argentina | Neuquen | Capital | Área Centro Este"/>
    <x v="0"/>
    <n v="2"/>
    <s v="Sensus"/>
    <s v="Propia (Único Asesor)"/>
    <x v="1"/>
    <s v="Venta"/>
    <x v="1"/>
    <s v="Capital Neuquén"/>
  </r>
  <r>
    <d v="2025-08-05T00:00:00"/>
    <x v="1"/>
    <x v="5"/>
    <s v="CAP6962967"/>
    <x v="0"/>
    <s v="Departamento en Villa Pueyrredon 3 Amb. al Frente con Balcon - &quot;RETASADO&quot;"/>
    <s v="Realizado"/>
    <s v="AR ZonaProp"/>
    <n v="128000"/>
    <x v="229"/>
    <x v="1"/>
    <s v="Dólares"/>
    <s v="Dólares"/>
    <s v="GABRIELA MISTRAL  al 3100"/>
    <s v="Argentina | Capital Federal | Villa Pueyrredon "/>
    <x v="0"/>
    <n v="2"/>
    <s v="Lion Team"/>
    <s v="Propia (Único Asesor)"/>
    <x v="1"/>
    <s v="Venta"/>
    <x v="3"/>
    <s v="Villa Urquiza"/>
  </r>
  <r>
    <d v="2025-08-26T00:00:00"/>
    <x v="1"/>
    <x v="5"/>
    <s v="CPN60269 AP6756234"/>
    <x v="0"/>
    <s v="Departamento en Lagoon Pilar"/>
    <s v="Realizado"/>
    <s v="Conocido"/>
    <n v="130000"/>
    <x v="229"/>
    <x v="1"/>
    <s v="Dólares"/>
    <s v="Dólares"/>
    <s v="Venta-Depto 2 amb Lagoon Pilar "/>
    <s v="Argentina | G.B.A. Zona Norte | Pilar | Countries/B.Cerrado (Pilar) | Lagoon Pilar"/>
    <x v="0"/>
    <n v="2"/>
    <s v="North Team"/>
    <s v="Propia (Único Asesor)"/>
    <x v="1"/>
    <s v="Venta"/>
    <x v="6"/>
    <s v="Pilar"/>
  </r>
  <r>
    <d v="2025-09-04T00:00:00"/>
    <x v="1"/>
    <x v="6"/>
    <s v="CAP6702011"/>
    <x v="0"/>
    <s v="VENTA Depto 103m2 Complejo Patagonia Centrico Villa La Angostura"/>
    <s v="Realizado"/>
    <s v="AR ZonaProp"/>
    <n v="129999"/>
    <x v="229"/>
    <x v="1"/>
    <s v="Dólares"/>
    <s v="Dólares"/>
    <s v="Siete Lagos 95"/>
    <s v="Argentina | Neuquen | Villa La Angostura | Centro"/>
    <x v="0"/>
    <n v="2"/>
    <s v="Patagonia Lakes VLA"/>
    <s v="Propia (Único Asesor)"/>
    <x v="1"/>
    <s v="Venta"/>
    <x v="1"/>
    <s v="Villa La Angostura"/>
  </r>
  <r>
    <d v="2025-10-22T00:00:00"/>
    <x v="1"/>
    <x v="11"/>
    <n v="31"/>
    <x v="0"/>
    <s v="Estados Unidos  2154"/>
    <s v="Realizado"/>
    <s v="AR ZonaProp"/>
    <n v="115000"/>
    <x v="230"/>
    <x v="1"/>
    <s v="Dólares"/>
    <s v="Dólares"/>
    <s v="Estados Unidos 2154"/>
    <s v="Argentina | Capital Federal | San Cristobal "/>
    <x v="0"/>
    <n v="1"/>
    <s v="Grupo Elite"/>
    <s v="Compartida Fuera de la Red Búsqueda"/>
    <x v="2"/>
    <s v="Venta"/>
    <x v="3"/>
    <s v="Puerto Madero"/>
  </r>
  <r>
    <d v="2025-12-03T00:00:00"/>
    <x v="1"/>
    <x v="8"/>
    <s v="CAP7267223"/>
    <x v="0"/>
    <s v="VENTA DEPARTAMENTO 3 AMBIENTES TIGRE EXCLUSIVO APTO CRÉDITO"/>
    <s v="Realizado"/>
    <s v="AR ZonaProp"/>
    <n v="125000"/>
    <x v="230"/>
    <x v="1"/>
    <s v="Dólares"/>
    <s v="Dólares"/>
    <s v="9 de Julio al 800"/>
    <s v="Argentina | G.B.A. Zona Norte | Tigre | Rincon de Milberg"/>
    <x v="0"/>
    <n v="2"/>
    <s v="Titanio"/>
    <s v="Propia (Único Asesor)"/>
    <x v="1"/>
    <s v="Venta"/>
    <x v="6"/>
    <s v="San Isidro"/>
  </r>
  <r>
    <d v="2025-11-17T00:00:00"/>
    <x v="1"/>
    <x v="7"/>
    <s v="ARTIGAS 2867"/>
    <x v="0"/>
    <s v="ARTIGAS 2867"/>
    <s v="Realizado"/>
    <s v="AR ZonaProp"/>
    <n v="123000"/>
    <x v="231"/>
    <x v="1"/>
    <s v="Dólares"/>
    <s v="Dólares"/>
    <s v="ARTIGAS 2867"/>
    <s v="Argentina | Capital Federal | Villa del Parque "/>
    <x v="0"/>
    <n v="1"/>
    <s v="Lion Team Norte"/>
    <s v="(Interior) Compartida Fuera de la Red Búsqueda"/>
    <x v="2"/>
    <s v="Venta"/>
    <x v="6"/>
    <s v="Vicente López"/>
  </r>
  <r>
    <d v="2025-08-11T00:00:00"/>
    <x v="1"/>
    <x v="5"/>
    <s v="KHO3877339"/>
    <x v="0"/>
    <s v="Casa en Venta de 3 dormitorios con quincho y pile  Gorina"/>
    <s v="Realizado"/>
    <s v="AR ZonaProp"/>
    <n v="160000"/>
    <x v="231"/>
    <x v="1"/>
    <s v="Dólares"/>
    <s v="Dólares"/>
    <s v="Calle 135 bis e/ Diag. 9 y 482, Gonnet - CASA EN VENTA"/>
    <s v="Argentina | G.B.A. Zona Sur | La Plata | Joaquin Gorina"/>
    <x v="2"/>
    <n v="1"/>
    <s v="Golden Team"/>
    <s v="Compartida Fuera de la Red Búsqueda"/>
    <x v="2"/>
    <s v="Venta"/>
    <x v="0"/>
    <s v="La Plata"/>
  </r>
  <r>
    <d v="2025-09-30T00:00:00"/>
    <x v="1"/>
    <x v="6"/>
    <s v="VAP6044969"/>
    <x v="0"/>
    <s v="Departamento en  venta la Cañada village III pilar"/>
    <s v="Realizado"/>
    <s v="AR ZonaProp"/>
    <n v="88000"/>
    <x v="231"/>
    <x v="1"/>
    <s v="Dólares"/>
    <s v="Dólares"/>
    <s v="la cañada village III"/>
    <s v="Argentina | G.B.A. Zona Norte | Pilar | Countries/B.Cerrado (Pilar) | La cañada de Pilar"/>
    <x v="0"/>
    <n v="1"/>
    <s v="Puerto Norte"/>
    <s v="Compartida Fuera de la Red Búsqueda"/>
    <x v="2"/>
    <s v="Venta"/>
    <x v="6"/>
    <s v="Nordelta"/>
  </r>
  <r>
    <d v="2026-02-11T00:00:00"/>
    <x v="0"/>
    <x v="0"/>
    <s v="CAP7136099"/>
    <x v="0"/>
    <s v="Departamento en  VENTA DEPARTAMENTO EN SAAVEDRA"/>
    <s v="Realizado"/>
    <s v="AR ZonaProp"/>
    <n v="129500"/>
    <x v="231"/>
    <x v="1"/>
    <s v="Dólares"/>
    <s v="Dólares"/>
    <s v="CRISOLOGO LARRALDE al 2600"/>
    <s v="Argentina | Capital Federal | Saavedra "/>
    <x v="0"/>
    <n v="2"/>
    <s v="Titanio"/>
    <s v="Compartida Fuera de la Red Captación Propia"/>
    <x v="0"/>
    <s v="Venta"/>
    <x v="6"/>
    <s v="San Isidro"/>
  </r>
  <r>
    <d v="2025-05-14T00:00:00"/>
    <x v="1"/>
    <x v="2"/>
    <s v="CAP6337942"/>
    <x v="0"/>
    <s v="VENTA DEPARTAMENTO DEVOTO- APTO CREDITO"/>
    <s v="Realizado"/>
    <s v="AR ZonaProp"/>
    <n v="129000"/>
    <x v="231"/>
    <x v="1"/>
    <s v="Dólares"/>
    <s v="Dólares"/>
    <s v="Ladines  al 3300"/>
    <s v="Argentina | Capital Federal | Villa Devoto "/>
    <x v="0"/>
    <n v="2"/>
    <s v="Seniority"/>
    <s v="Propia (Único Asesor)"/>
    <x v="1"/>
    <s v="Venta"/>
    <x v="3"/>
    <s v="Barrio Parque"/>
  </r>
  <r>
    <d v="2025-05-30T00:00:00"/>
    <x v="1"/>
    <x v="2"/>
    <s v="CPH5611863"/>
    <x v="0"/>
    <s v="PH reciclado Parque Chacabuco"/>
    <s v="Realizado"/>
    <s v="AR MercadoLibre"/>
    <n v="135000"/>
    <x v="231"/>
    <x v="1"/>
    <s v="Dólares"/>
    <s v="Dólares"/>
    <s v="Av Cobo  al 700"/>
    <s v="Argentina | Capital Federal | Parque Chacabuco "/>
    <x v="3"/>
    <n v="2"/>
    <s v="Lion Team"/>
    <s v="Propia (Único Asesor)"/>
    <x v="1"/>
    <s v="Venta"/>
    <x v="3"/>
    <s v="Villa Urquiza"/>
  </r>
  <r>
    <d v="2025-09-17T00:00:00"/>
    <x v="1"/>
    <x v="6"/>
    <s v="CAP6956140"/>
    <x v="0"/>
    <s v="Departamento 2 ambientes - Palermo"/>
    <s v="Realizado"/>
    <s v="AR ZonaProp"/>
    <n v="127000"/>
    <x v="231"/>
    <x v="1"/>
    <s v="Dólares"/>
    <s v="Dólares"/>
    <s v="Jose A. Cabrera y Bilinghurst"/>
    <s v="Argentina | Capital Federal | Palermo "/>
    <x v="0"/>
    <n v="2"/>
    <s v="Livello"/>
    <s v="Propia (Único Asesor)"/>
    <x v="1"/>
    <s v="Venta"/>
    <x v="3"/>
    <s v="Palermo"/>
  </r>
  <r>
    <d v="2026-03-02T00:00:00"/>
    <x v="0"/>
    <x v="9"/>
    <s v="Donado CABA"/>
    <x v="0"/>
    <s v="Departamento en venta en la Calle Donado Villa Urquiza"/>
    <s v="Realizado"/>
    <s v="AR ZonaProp"/>
    <n v="125000"/>
    <x v="231"/>
    <x v="1"/>
    <s v="Dólares"/>
    <s v="Dólares"/>
    <s v="donado 2544"/>
    <s v="Argentina | Capital Federal | Villa Urquiza "/>
    <x v="0"/>
    <n v="2"/>
    <s v="North Team"/>
    <s v="Propia (Único Asesor)"/>
    <x v="1"/>
    <s v="Venta"/>
    <x v="6"/>
    <s v="Pilar"/>
  </r>
  <r>
    <d v="2025-08-29T00:00:00"/>
    <x v="1"/>
    <x v="5"/>
    <s v="Alvarez Thomas 875 7 B"/>
    <x v="0"/>
    <s v="Alvarez Thomas 875 7 B"/>
    <s v="Realizado"/>
    <s v="AR ZonaProp"/>
    <n v="124000"/>
    <x v="232"/>
    <x v="1"/>
    <s v="Dólares"/>
    <s v="Dólares"/>
    <s v="Alvarez Thomas 875 7 B"/>
    <s v="Argentina | Capital Federal | Colegiales "/>
    <x v="0"/>
    <n v="1"/>
    <s v="Seniority Plus"/>
    <s v="Compartida Fuera de la Red Búsqueda"/>
    <x v="2"/>
    <s v="Venta"/>
    <x v="3"/>
    <s v="Palermo"/>
  </r>
  <r>
    <d v="2026-02-19T00:00:00"/>
    <x v="0"/>
    <x v="0"/>
    <s v="CAP7440527"/>
    <x v="0"/>
    <s v="Venta departamento 3 ambientes balcón en Palermo"/>
    <s v="Realizado"/>
    <s v="AR ZonaProp"/>
    <n v="124000"/>
    <x v="232"/>
    <x v="1"/>
    <s v="Dólares"/>
    <s v="Dólares"/>
    <s v="Av. Santa Fe al 4900"/>
    <s v="Argentina | Capital Federal | Palermo "/>
    <x v="0"/>
    <n v="2"/>
    <s v="Seniority"/>
    <s v="Compartida Fuera de la Red Captación Propia"/>
    <x v="0"/>
    <s v="Venta"/>
    <x v="3"/>
    <s v="Barrio Parque"/>
  </r>
  <r>
    <d v="2025-06-27T00:00:00"/>
    <x v="1"/>
    <x v="4"/>
    <s v="CBU33361 AP3445554"/>
    <x v="0"/>
    <s v="VENTA DEPARTAMENTO -  3 AMBIENTES A ESTRENAR- FULL AMENITIES"/>
    <s v="Realizado"/>
    <s v="AR ZonaProp"/>
    <n v="124000"/>
    <x v="232"/>
    <x v="1"/>
    <s v="Dólares"/>
    <s v="Dólares"/>
    <s v="Carlos Calvo al 1500"/>
    <s v="Argentina | Capital Federal | Monserrat "/>
    <x v="0"/>
    <n v="2"/>
    <s v="Seniority"/>
    <s v="Propia (Único Asesor)"/>
    <x v="1"/>
    <s v="Venta"/>
    <x v="3"/>
    <s v="Barrio Parque"/>
  </r>
  <r>
    <d v="2025-07-31T00:00:00"/>
    <x v="1"/>
    <x v="1"/>
    <s v="CHO6919348"/>
    <x v="0"/>
    <s v="Casa en  Venta Los Perales "/>
    <s v="Realizado"/>
    <s v="Conocido"/>
    <n v="130000"/>
    <x v="232"/>
    <x v="1"/>
    <s v="Dólares"/>
    <s v="Dólares"/>
    <s v="Luis Agote  al 1000"/>
    <s v="Argentina | Jujuy | Dr Manuel Belgrano | San Salvador De Jujuy | Los Perales"/>
    <x v="2"/>
    <n v="2"/>
    <s v="Plaza"/>
    <s v="Propia (Único Asesor)"/>
    <x v="1"/>
    <s v="Venta"/>
    <x v="8"/>
    <s v="Capital Jujuy"/>
  </r>
  <r>
    <d v="2025-09-15T00:00:00"/>
    <x v="1"/>
    <x v="6"/>
    <s v="CAP5394749"/>
    <x v="0"/>
    <s v="Venta - Departamento  dos ambientes -  Olivos - a estrenar - cochera - amenities - luminoso"/>
    <s v="Realizado"/>
    <s v="AR ZonaProp"/>
    <n v="179000"/>
    <x v="232"/>
    <x v="1"/>
    <s v="Dólares"/>
    <s v="Dólares"/>
    <s v="Avenida del libertador  al 2800"/>
    <s v="Argentina | G.B.A. Zona Norte | Vicente López | Olivos"/>
    <x v="0"/>
    <n v="2"/>
    <s v="Lion Team"/>
    <s v="Propia (Único Asesor)"/>
    <x v="1"/>
    <s v="Venta"/>
    <x v="3"/>
    <s v="Villa Urquiza"/>
  </r>
  <r>
    <d v="2025-09-18T00:00:00"/>
    <x v="1"/>
    <x v="6"/>
    <s v="JPH6795622"/>
    <x v="0"/>
    <s v="Oportunidad PH 3 ambientes con patio en Olivos  "/>
    <s v="Realizado"/>
    <s v="AR ZonaProp"/>
    <n v="130000"/>
    <x v="232"/>
    <x v="1"/>
    <s v="Dólares"/>
    <s v="Dólares"/>
    <s v="Ayacucho al 4200"/>
    <s v="Argentina | G.B.A. Zona Norte | Vicente López | Olivos"/>
    <x v="3"/>
    <n v="2"/>
    <s v="Lion Team Norte"/>
    <s v="Propia (Único Asesor)"/>
    <x v="1"/>
    <s v="Venta"/>
    <x v="6"/>
    <s v="Vicente López"/>
  </r>
  <r>
    <d v="2025-10-16T00:00:00"/>
    <x v="1"/>
    <x v="11"/>
    <s v="Zelada 5650"/>
    <x v="0"/>
    <s v="Zelada 5650"/>
    <s v="Realizado"/>
    <s v="AR ArgenProp"/>
    <n v="45000"/>
    <x v="232"/>
    <x v="1"/>
    <s v="Dólares"/>
    <s v="Dólares"/>
    <s v="Zelada 5650"/>
    <s v="Argentina | Capital Federal | Capital Federal "/>
    <x v="3"/>
    <n v="2"/>
    <s v="Lion Team"/>
    <s v="Propia (Único Asesor)"/>
    <x v="1"/>
    <s v="Venta"/>
    <x v="3"/>
    <s v="Villa Urquiza"/>
  </r>
  <r>
    <d v="2025-12-17T00:00:00"/>
    <x v="1"/>
    <x v="8"/>
    <s v="CPH6734964"/>
    <x v="0"/>
    <s v="VENTA-PH-4AMB - AMPLIO - LUMINOSO - C/TERRAZA - PERMUTA"/>
    <s v="Realizado"/>
    <s v="AR MercadoLibre"/>
    <n v="130000"/>
    <x v="232"/>
    <x v="1"/>
    <s v="Dólares"/>
    <s v="Dólares"/>
    <s v="Argerich 2800"/>
    <s v="Argentina | Capital Federal | Villa del Parque "/>
    <x v="3"/>
    <n v="2"/>
    <s v="Lion Team"/>
    <s v="Propia (Único Asesor)"/>
    <x v="1"/>
    <s v="Venta"/>
    <x v="3"/>
    <s v="Villa Urquiza"/>
  </r>
  <r>
    <d v="2026-02-09T00:00:00"/>
    <x v="0"/>
    <x v="0"/>
    <s v="CAP7531785"/>
    <x v="0"/>
    <s v="Departamento en VENTA + TERRAZA + COCHERA "/>
    <s v="Realizado"/>
    <s v="AR ZonaProp"/>
    <n v="135000"/>
    <x v="232"/>
    <x v="1"/>
    <s v="Dólares"/>
    <s v="Dólares"/>
    <s v="Olazabal  al 3200"/>
    <s v="Argentina | Capital Federal | Belgrano | Belgrano R"/>
    <x v="0"/>
    <n v="2"/>
    <s v="Destino"/>
    <s v="Propia (Único Asesor)"/>
    <x v="1"/>
    <s v="Venta"/>
    <x v="3"/>
    <s v="Recoleta"/>
  </r>
  <r>
    <d v="2025-08-26T00:00:00"/>
    <x v="1"/>
    <x v="5"/>
    <s v="CAP6607622"/>
    <x v="0"/>
    <s v="Venta Departamento Un Dormitorio Neuquén Capital"/>
    <s v="Realizado"/>
    <s v="AR ZonaProp"/>
    <n v="129000"/>
    <x v="233"/>
    <x v="1"/>
    <s v="Dólares"/>
    <s v="Dólares"/>
    <s v="San Juan al 800"/>
    <s v="Argentina | Neuquen | Capital "/>
    <x v="0"/>
    <n v="1"/>
    <s v="Sensus"/>
    <s v="(Interior) Compartida Fuera de la Red Captación Propia"/>
    <x v="0"/>
    <s v="Venta"/>
    <x v="1"/>
    <s v="Capital Neuquén"/>
  </r>
  <r>
    <d v="2025-12-22T00:00:00"/>
    <x v="1"/>
    <x v="8"/>
    <s v="CLA7526513"/>
    <x v="0"/>
    <s v="Terreno a la venta sobre calle Alsina "/>
    <s v="Realizado"/>
    <s v="Conocido"/>
    <n v="86000"/>
    <x v="233"/>
    <x v="1"/>
    <s v="Dólares"/>
    <s v="Dólares"/>
    <s v="ALSINA 2500"/>
    <s v="Argentina | Mendoza | Maipu | Luzuriaga"/>
    <x v="1"/>
    <n v="1"/>
    <s v="Cuyo Real"/>
    <s v="(Interior) Compartida Fuera de la Red Captación Propia"/>
    <x v="0"/>
    <s v="Venta"/>
    <x v="2"/>
    <s v="Capital Mendoza"/>
  </r>
  <r>
    <d v="2025-01-16T00:00:00"/>
    <x v="1"/>
    <x v="10"/>
    <s v="CPN55403 AP6593779"/>
    <x v="0"/>
    <s v="Venta OPORTUNIDAD Departamento 3 ambientes a estrenar - Lagoon Pilar"/>
    <s v="Realizado"/>
    <s v="Referido"/>
    <n v="850"/>
    <x v="233"/>
    <x v="1"/>
    <s v="Dólares"/>
    <s v="Dólares"/>
    <s v="Venta OPORTUNIDAD Departamento 3 ambientes a estrenar - Lagoon Pilar"/>
    <s v="Argentina | G.B.A. Zona Norte | Pilar | Countries/B.Cerrado (Pilar) | Lagoon Pilar"/>
    <x v="0"/>
    <n v="2"/>
    <s v="North Team"/>
    <s v="Compartida en Oficina (Dos Asesores)"/>
    <x v="1"/>
    <s v="Venta"/>
    <x v="6"/>
    <s v="Pilar"/>
  </r>
  <r>
    <d v="2025-05-29T00:00:00"/>
    <x v="1"/>
    <x v="2"/>
    <s v="VAP6839934"/>
    <x v="0"/>
    <s v="Departamento en Alquiler en Nordelta - 2 ambientes"/>
    <s v="Realizado"/>
    <s v="AR ZonaProp"/>
    <n v="125000"/>
    <x v="233"/>
    <x v="1"/>
    <s v="Dólares"/>
    <s v="Dólares"/>
    <s v="Departamento en  ALQUILER  en Edificio Panorama - 2 ambientes "/>
    <s v="Argentina | G.B.A. Zona Norte | Tigre | Countries/B.Cerrado (Tigre) | Nordelta | El Sendero | Panorama"/>
    <x v="0"/>
    <n v="2"/>
    <s v="Puerto Norte"/>
    <s v="Compartida en Oficina (Dos Asesores)"/>
    <x v="1"/>
    <s v="Venta"/>
    <x v="6"/>
    <s v="Nordelta"/>
  </r>
  <r>
    <d v="2025-12-15T00:00:00"/>
    <x v="1"/>
    <x v="8"/>
    <s v="CBU42019 AP4795924"/>
    <x v="0"/>
    <s v="Departamento 1 ambiente vista al lago y cochera - Bariloche - Jardín Botánico"/>
    <s v="Realizado"/>
    <s v="Salón"/>
    <n v="129516"/>
    <x v="233"/>
    <x v="1"/>
    <s v="Dólares"/>
    <s v="Dólares"/>
    <s v="Tronador al 1700"/>
    <s v="Argentina | Rio Negro | Bariloche | San Carlos De Bariloche"/>
    <x v="0"/>
    <n v="2"/>
    <s v="Patagonia Lakes BRC"/>
    <s v="Compartida en Oficina (Dos Asesores)"/>
    <x v="1"/>
    <s v="Venta"/>
    <x v="7"/>
    <s v="Bariloche"/>
  </r>
  <r>
    <d v="2025-04-07T00:00:00"/>
    <x v="1"/>
    <x v="3"/>
    <s v="dpto centro c/ KW"/>
    <x v="0"/>
    <s v="dpto centro c/ KW"/>
    <s v="Realizado"/>
    <s v="AR ZonaProp"/>
    <n v="125000"/>
    <x v="233"/>
    <x v="1"/>
    <s v="Dólares"/>
    <s v="Dólares"/>
    <m/>
    <s v="Argentina | Mendoza | Capital | Mendoza"/>
    <x v="0"/>
    <n v="1"/>
    <s v="Cuyo Real"/>
    <s v="Compartida Fuera de la Red Búsqueda"/>
    <x v="2"/>
    <s v="Venta"/>
    <x v="2"/>
    <s v="Capital Mendoza"/>
  </r>
  <r>
    <d v="2025-06-11T00:00:00"/>
    <x v="1"/>
    <x v="4"/>
    <m/>
    <x v="0"/>
    <s v="Salguero 2687 - Sol Lorenzo - Lj Ramos"/>
    <s v="Realizado"/>
    <s v="AR ZonaProp"/>
    <n v="125000"/>
    <x v="233"/>
    <x v="1"/>
    <s v="Dólares"/>
    <s v="Dólares"/>
    <s v="Salguero 2687 "/>
    <s v="Argentina | Capital Federal | Palermo "/>
    <x v="0"/>
    <n v="1"/>
    <s v="Destino"/>
    <s v="Compartida Fuera de la Red Búsqueda"/>
    <x v="2"/>
    <s v="Venta"/>
    <x v="3"/>
    <s v="Recoleta"/>
  </r>
  <r>
    <d v="2025-08-26T00:00:00"/>
    <x v="1"/>
    <x v="5"/>
    <n v="10453"/>
    <x v="0"/>
    <s v="Carlos Calvo"/>
    <s v="Realizado"/>
    <s v="AR ZonaProp"/>
    <n v="0"/>
    <x v="233"/>
    <x v="1"/>
    <s v="Dólares"/>
    <s v="Dólares"/>
    <m/>
    <s v="Argentina | Capital Federal | Monserrat "/>
    <x v="0"/>
    <n v="1"/>
    <s v="Seniority"/>
    <s v="Compartida Fuera de la Red Búsqueda"/>
    <x v="2"/>
    <s v="Venta"/>
    <x v="3"/>
    <s v="Barrio Parque"/>
  </r>
  <r>
    <d v="2026-03-09T00:00:00"/>
    <x v="0"/>
    <x v="9"/>
    <n v="10690"/>
    <x v="0"/>
    <s v="Nuñez 4720 - 2B"/>
    <s v="Realizado"/>
    <s v="AR ZonaProp"/>
    <n v="125000"/>
    <x v="233"/>
    <x v="1"/>
    <s v="Dólares"/>
    <s v="Dólares"/>
    <s v="Nueñez 4720 - 2B"/>
    <s v="Argentina | Capital Federal | Villa Urquiza "/>
    <x v="0"/>
    <n v="1"/>
    <s v="Seniority"/>
    <s v="Compartida Fuera de la Red Búsqueda"/>
    <x v="2"/>
    <s v="Venta"/>
    <x v="3"/>
    <s v="Barrio Parque"/>
  </r>
  <r>
    <d v="2025-12-25T00:00:00"/>
    <x v="1"/>
    <x v="8"/>
    <s v="CAP7064708"/>
    <x v="0"/>
    <s v="Venta Departamento 4 ambientes muy luminoso"/>
    <s v="Realizado"/>
    <s v="AR ZonaProp"/>
    <n v="138000"/>
    <x v="233"/>
    <x v="1"/>
    <s v="Dólares"/>
    <s v="Dólares"/>
    <s v="Jose Ingenieros al 2800"/>
    <s v="Argentina | Capital Federal | Villa del Parque "/>
    <x v="0"/>
    <n v="2"/>
    <s v="Seniority"/>
    <s v="Compartida Fuera de la Red Captación Propia"/>
    <x v="0"/>
    <s v="Venta"/>
    <x v="3"/>
    <s v="Barrio Parque"/>
  </r>
  <r>
    <d v="2026-02-23T00:00:00"/>
    <x v="0"/>
    <x v="0"/>
    <s v="CAP7424946"/>
    <x v="0"/>
    <s v="Venta  Departamento 2 Ambientes  Balcon Terraza  en Belgrano"/>
    <s v="Realizado"/>
    <s v="AR ZonaProp"/>
    <n v="130000"/>
    <x v="233"/>
    <x v="1"/>
    <s v="Dólares"/>
    <s v="Dólares"/>
    <s v="Blanco Encalada al 2900"/>
    <s v="Argentina | Capital Federal | Belgrano "/>
    <x v="0"/>
    <n v="2"/>
    <s v="Seniority Plus"/>
    <s v="Compartida Fuera de la Red Captación Propia"/>
    <x v="0"/>
    <s v="Venta"/>
    <x v="3"/>
    <s v="Palermo"/>
  </r>
  <r>
    <d v="2026-03-18T00:00:00"/>
    <x v="0"/>
    <x v="9"/>
    <s v="CAP6944630"/>
    <x v="0"/>
    <s v="Hermoso Departamento en Coghlan"/>
    <s v="Realizado"/>
    <s v="AR ZonaProp"/>
    <n v="125000"/>
    <x v="233"/>
    <x v="1"/>
    <s v="Dólares"/>
    <s v="Dólares"/>
    <s v="Av. Congreso al 3200"/>
    <s v="Argentina | Capital Federal | Coghlan "/>
    <x v="0"/>
    <n v="2"/>
    <s v="Haka"/>
    <s v="Compartida Fuera de la Red Captación Propia"/>
    <x v="0"/>
    <s v="Venta"/>
    <x v="3"/>
    <s v="Núñez"/>
  </r>
  <r>
    <d v="2025-02-26T00:00:00"/>
    <x v="1"/>
    <x v="0"/>
    <s v="CAP6309186"/>
    <x v="2"/>
    <s v="Departamento tipo Duplex 2 dormitorios Saravi Village Pilar"/>
    <s v="Realizado"/>
    <s v="AR ZonaProp"/>
    <n v="128500"/>
    <x v="233"/>
    <x v="1"/>
    <s v="Dólares"/>
    <s v="Dólares"/>
    <s v="Complejo Saravi Village Pilar"/>
    <s v="Argentina | G.B.A. Zona Norte | Pilar | Countries/B.Cerrado (Pilar) | Saravi Village"/>
    <x v="0"/>
    <n v="2"/>
    <s v="North Team"/>
    <s v="Master"/>
    <x v="1"/>
    <s v="Venta"/>
    <x v="6"/>
    <s v="Pilar"/>
  </r>
  <r>
    <d v="2025-05-06T00:00:00"/>
    <x v="1"/>
    <x v="2"/>
    <s v="CHO6514007"/>
    <x v="2"/>
    <s v="Casa en  Venta 3 dormitorios San Alfonso Pilar del Este"/>
    <s v="Realizado"/>
    <s v="AR MercadoLibre"/>
    <n v="125000"/>
    <x v="233"/>
    <x v="1"/>
    <s v="Dólares"/>
    <s v="Dólares"/>
    <s v="Barrio San Alfonso"/>
    <s v="Argentina | G.B.A. Zona Norte | Pilar | Countries/B.Cerrado (Pilar) | Pilar Del Este | San Alfonso "/>
    <x v="2"/>
    <n v="2"/>
    <s v="North Team"/>
    <s v="Master"/>
    <x v="1"/>
    <s v="Venta"/>
    <x v="6"/>
    <s v="Pilar"/>
  </r>
  <r>
    <d v="2026-03-06T00:00:00"/>
    <x v="0"/>
    <x v="9"/>
    <m/>
    <x v="2"/>
    <s v="Oficina en Edificio Bureau Pilar"/>
    <s v="Realizado"/>
    <s v="Referido"/>
    <n v="0"/>
    <x v="233"/>
    <x v="1"/>
    <s v="Dólares"/>
    <s v="Dólares"/>
    <s v="Martín Miguel de Güemes 80 - La Lonja"/>
    <s v="Argentina | G.B.A. Zona Norte | Pilar | La Lonja"/>
    <x v="1"/>
    <n v="2"/>
    <s v="North Team"/>
    <s v="Master"/>
    <x v="1"/>
    <s v="Venta"/>
    <x v="6"/>
    <s v="Pilar"/>
  </r>
  <r>
    <d v="2025-03-14T00:00:00"/>
    <x v="1"/>
    <x v="9"/>
    <s v="CAP6746846"/>
    <x v="0"/>
    <s v="Venta, 2 ambientes remodelado a nuevo "/>
    <s v="Realizado"/>
    <s v="AR ZonaProp"/>
    <n v="130000"/>
    <x v="233"/>
    <x v="1"/>
    <s v="Dólares"/>
    <s v="Dólares"/>
    <s v="Uriburu  al 1200"/>
    <s v="Argentina | Capital Federal | Recoleta "/>
    <x v="0"/>
    <n v="2"/>
    <s v="Seniority"/>
    <s v="Propia (Único Asesor)"/>
    <x v="1"/>
    <s v="Venta"/>
    <x v="3"/>
    <s v="Barrio Parque"/>
  </r>
  <r>
    <d v="2025-05-22T00:00:00"/>
    <x v="1"/>
    <x v="2"/>
    <n v="10362"/>
    <x v="0"/>
    <s v="thames 56 - 610"/>
    <s v="Realizado"/>
    <s v="AR ZonaProp"/>
    <n v="0"/>
    <x v="233"/>
    <x v="1"/>
    <s v="Dólares"/>
    <s v="Dólares"/>
    <m/>
    <s v="Argentina | Capital Federal | Flores "/>
    <x v="0"/>
    <n v="2"/>
    <s v="Seniority"/>
    <s v="Propia (Único Asesor)"/>
    <x v="1"/>
    <s v="Venta"/>
    <x v="3"/>
    <s v="Barrio Parque"/>
  </r>
  <r>
    <d v="2025-05-29T00:00:00"/>
    <x v="1"/>
    <x v="2"/>
    <s v="CAP6691374"/>
    <x v="0"/>
    <s v="Venta Departamento 3 Ambientes en Villa Santa Rita Con Terraza, Parrilla y cochera Luminoso"/>
    <s v="Realizado"/>
    <s v="AR ZonaProp"/>
    <n v="140000"/>
    <x v="233"/>
    <x v="1"/>
    <s v="Dólares"/>
    <s v="Dólares"/>
    <s v="Cesar Diaz al 2800"/>
    <s v="Argentina | Capital Federal | Villa Santa Rita "/>
    <x v="0"/>
    <n v="2"/>
    <s v="Seniority"/>
    <s v="Propia (Único Asesor)"/>
    <x v="1"/>
    <s v="Venta"/>
    <x v="3"/>
    <s v="Barrio Parque"/>
  </r>
  <r>
    <d v="2025-06-27T00:00:00"/>
    <x v="1"/>
    <x v="4"/>
    <s v="CAP7027136"/>
    <x v="0"/>
    <s v="Departamento, Temperley, sum, parrilla, balcón, a estrenar, apto credito, PERMUTA"/>
    <s v="Realizado"/>
    <s v="AR ArgenProp"/>
    <n v="129900"/>
    <x v="233"/>
    <x v="1"/>
    <s v="Dólares"/>
    <s v="Dólares"/>
    <s v="Cangallo  al 400"/>
    <s v="Argentina | G.B.A. Zona Sur | Lomas De Zamora (Partido) | Temperley"/>
    <x v="0"/>
    <n v="2"/>
    <s v="Lion Team"/>
    <s v="Propia (Único Asesor)"/>
    <x v="1"/>
    <s v="Venta"/>
    <x v="3"/>
    <s v="Villa Urquiza"/>
  </r>
  <r>
    <d v="2025-07-31T00:00:00"/>
    <x v="1"/>
    <x v="1"/>
    <s v="CLO6605064"/>
    <x v="0"/>
    <s v="Venta Local Saavedra Coghlan esquina "/>
    <s v="Realizado"/>
    <s v="AR ArgenProp"/>
    <n v="155000"/>
    <x v="233"/>
    <x v="1"/>
    <s v="Dólares"/>
    <s v="Dólares"/>
    <s v="Washington al 3400"/>
    <s v="Argentina | Capital Federal | Saavedra "/>
    <x v="4"/>
    <n v="2"/>
    <s v="Lion Team"/>
    <s v="Propia (Único Asesor)"/>
    <x v="1"/>
    <s v="Venta"/>
    <x v="3"/>
    <s v="Villa Urquiza"/>
  </r>
  <r>
    <d v="2025-08-08T00:00:00"/>
    <x v="1"/>
    <x v="5"/>
    <s v="CAP7046566"/>
    <x v="0"/>
    <s v="VENTA DEPARTAMENTO 2 AMBIENTES - APTO CREDITO EN PALERMO"/>
    <s v="Realizado"/>
    <s v="AR ZonaProp"/>
    <n v="129000"/>
    <x v="233"/>
    <x v="1"/>
    <s v="Dólares"/>
    <s v="Dólares"/>
    <s v="Pasaje San Benito de Palermo al 1600"/>
    <s v="Argentina | Capital Federal | Palermo | Las Cañitas"/>
    <x v="0"/>
    <n v="2"/>
    <s v="Seniority Plus"/>
    <s v="Propia (Único Asesor)"/>
    <x v="1"/>
    <s v="Venta"/>
    <x v="3"/>
    <s v="Palermo"/>
  </r>
  <r>
    <d v="2025-08-27T00:00:00"/>
    <x v="1"/>
    <x v="5"/>
    <s v="CAP7166074"/>
    <x v="0"/>
    <s v="Venta departamento 2 ambientes patio reciclado a nuevo Palermo"/>
    <s v="Realizado"/>
    <s v="AR ZonaProp"/>
    <n v="128000"/>
    <x v="233"/>
    <x v="1"/>
    <s v="Dólares"/>
    <s v="Dólares"/>
    <s v="Godoy Cruz 2800"/>
    <s v="Argentina | Capital Federal | Palermo "/>
    <x v="0"/>
    <n v="2"/>
    <s v="Grupo Elite"/>
    <s v="Propia (Único Asesor)"/>
    <x v="1"/>
    <s v="Venta"/>
    <x v="3"/>
    <s v="Puerto Madero"/>
  </r>
  <r>
    <d v="2025-08-29T00:00:00"/>
    <x v="1"/>
    <x v="5"/>
    <s v="CHO6929237"/>
    <x v="0"/>
    <s v="TEJAS ROJAS, Casa en  Venta"/>
    <s v="Realizado"/>
    <s v="AR ZonaProp"/>
    <n v="130000"/>
    <x v="233"/>
    <x v="1"/>
    <s v="Dólares"/>
    <s v="Dólares"/>
    <s v="Tejas Rojas, Villa Farrel."/>
    <s v="Argentina | Neuquen | Confluencia | Neuquen"/>
    <x v="2"/>
    <n v="2"/>
    <s v="Sensus"/>
    <s v="Propia (Único Asesor)"/>
    <x v="1"/>
    <s v="Venta"/>
    <x v="1"/>
    <s v="Capital Neuquén"/>
  </r>
  <r>
    <d v="2025-10-30T00:00:00"/>
    <x v="1"/>
    <x v="11"/>
    <s v="CPH7054376"/>
    <x v="0"/>
    <s v="Venta PH 2 Ambientes con dos patios en Villa del Parque"/>
    <s v="Realizado"/>
    <s v="AR ZonaProp"/>
    <n v="128000"/>
    <x v="233"/>
    <x v="1"/>
    <s v="Dólares"/>
    <s v="Dólares"/>
    <s v="Pedro Lozano al 2700"/>
    <s v="Argentina | Capital Federal | Villa del Parque "/>
    <x v="3"/>
    <n v="2"/>
    <s v="Seniority Plus"/>
    <s v="Propia (Único Asesor)"/>
    <x v="1"/>
    <s v="Venta"/>
    <x v="3"/>
    <s v="Palermo"/>
  </r>
  <r>
    <d v="2025-11-28T00:00:00"/>
    <x v="1"/>
    <x v="7"/>
    <s v="CAP7055479"/>
    <x v="0"/>
    <s v="Venta Departamento 5 Ambientes más dependencia APTO CRÉDITO en San Cristobal"/>
    <s v="Realizado"/>
    <s v="AR ZonaProp"/>
    <n v="139000"/>
    <x v="233"/>
    <x v="1"/>
    <s v="Dólares"/>
    <s v="Dólares"/>
    <s v="Av Entre Rios al 800"/>
    <s v="Argentina | Capital Federal | San Cristobal "/>
    <x v="0"/>
    <n v="2"/>
    <s v="Seniority Plus"/>
    <s v="Propia (Único Asesor)"/>
    <x v="1"/>
    <s v="Venta"/>
    <x v="3"/>
    <s v="Palermo"/>
  </r>
  <r>
    <d v="2025-12-24T00:00:00"/>
    <x v="1"/>
    <x v="8"/>
    <s v="VAP6085632"/>
    <x v="0"/>
    <s v="Venta Departamento Apto Credito! en Tigre Palmas de la Bahía"/>
    <s v="Realizado"/>
    <s v="AR ZonaProp"/>
    <n v="154000"/>
    <x v="233"/>
    <x v="1"/>
    <s v="Dólares"/>
    <s v="Dólares"/>
    <s v="Rincon de Milberg"/>
    <s v="Argentina | G.B.A. Zona Norte | Tigre | Palmas de la Bahía"/>
    <x v="0"/>
    <n v="2"/>
    <s v="Puerto Norte"/>
    <s v="Propia (Único Asesor)"/>
    <x v="1"/>
    <s v="Venta"/>
    <x v="6"/>
    <s v="Nordelta"/>
  </r>
  <r>
    <d v="2026-01-08T00:00:00"/>
    <x v="0"/>
    <x v="10"/>
    <s v="CHO7340791"/>
    <x v="0"/>
    <s v="Preciosa casa en venta"/>
    <s v="Realizado"/>
    <s v="AR MercadoLibre"/>
    <n v="130000"/>
    <x v="233"/>
    <x v="1"/>
    <s v="Dólares"/>
    <s v="Dólares"/>
    <s v="Lateral Este Ruta Nacional 40 Acceso Sur Y Calle Olavarría"/>
    <s v="Argentina | Mendoza | Lujan De Cuyo | Perdriel"/>
    <x v="2"/>
    <n v="2"/>
    <s v="Cuyo Real"/>
    <s v="Propia (Único Asesor)"/>
    <x v="1"/>
    <s v="Venta"/>
    <x v="2"/>
    <s v="Capital Mendoza"/>
  </r>
  <r>
    <d v="2026-01-28T00:00:00"/>
    <x v="0"/>
    <x v="10"/>
    <s v="CAP7057081"/>
    <x v="0"/>
    <s v="Venta 4 ambientes en Monserrat"/>
    <s v="Realizado"/>
    <s v="AR ZonaProp"/>
    <n v="145000"/>
    <x v="233"/>
    <x v="1"/>
    <s v="Dólares"/>
    <s v="Dólares"/>
    <s v="Peru al 500"/>
    <s v="Argentina | Capital Federal | Monserrat "/>
    <x v="0"/>
    <n v="2"/>
    <s v="Destino"/>
    <s v="Propia (Único Asesor)"/>
    <x v="1"/>
    <s v="Venta"/>
    <x v="3"/>
    <s v="Recoleta"/>
  </r>
  <r>
    <d v="2026-01-29T00:00:00"/>
    <x v="0"/>
    <x v="10"/>
    <s v="OP 242"/>
    <x v="0"/>
    <s v="242 Peron 2754 6 B"/>
    <s v="Realizado"/>
    <s v="AR ZonaProp"/>
    <n v="125000"/>
    <x v="233"/>
    <x v="1"/>
    <s v="Dólares"/>
    <s v="Dólares"/>
    <m/>
    <s v="Argentina | G.B.A. Zona Oeste | Moron | Haedo"/>
    <x v="0"/>
    <n v="2"/>
    <s v="Seniority Plus"/>
    <s v="Propia (Único Asesor)"/>
    <x v="1"/>
    <s v="Venta"/>
    <x v="3"/>
    <s v="Palermo"/>
  </r>
  <r>
    <d v="2025-06-05T00:00:00"/>
    <x v="1"/>
    <x v="4"/>
    <n v="17"/>
    <x v="0"/>
    <s v="Venta ph Balbastro 970"/>
    <s v="Realizado"/>
    <s v="Conocido"/>
    <n v="126000"/>
    <x v="234"/>
    <x v="1"/>
    <s v="Dólares"/>
    <s v="Dólares"/>
    <s v="Balbastro 970"/>
    <s v="Argentina | Capital Federal | Parque Chacabuco "/>
    <x v="3"/>
    <n v="1"/>
    <s v="Grupo Elite"/>
    <s v="Compartida Fuera de la Red Búsqueda"/>
    <x v="2"/>
    <s v="Venta"/>
    <x v="3"/>
    <s v="Puerto Madero"/>
  </r>
  <r>
    <d v="2025-06-13T00:00:00"/>
    <x v="1"/>
    <x v="4"/>
    <s v="CAP6251600"/>
    <x v="0"/>
    <s v="Gran Monoambiente Divisible en Palermo Hollywood"/>
    <s v="Realizado"/>
    <s v="AR ZonaProp"/>
    <n v="128500"/>
    <x v="234"/>
    <x v="1"/>
    <s v="Dólares"/>
    <s v="Dólares"/>
    <s v="Nicaragua al 5600"/>
    <s v="Argentina | Capital Federal | Palermo | Palermo Hollywood"/>
    <x v="0"/>
    <n v="2"/>
    <s v="Puerto Norte"/>
    <s v="Compartida Fuera de la Red Captación Propia"/>
    <x v="0"/>
    <s v="Venta"/>
    <x v="6"/>
    <s v="Nordelta"/>
  </r>
  <r>
    <d v="2025-06-23T00:00:00"/>
    <x v="1"/>
    <x v="4"/>
    <s v="CAP6871493"/>
    <x v="0"/>
    <s v="Departamento en  VENTA 2 DORMITORIOS COSTA TERRA"/>
    <s v="Realizado"/>
    <s v="AR ZonaProp"/>
    <n v="130000"/>
    <x v="234"/>
    <x v="1"/>
    <s v="Dólares"/>
    <s v="Dólares"/>
    <s v="OBRERO ARGENTINO al 300"/>
    <s v="Argentina | Neuquen | Confluencia | Neuquen"/>
    <x v="0"/>
    <n v="2"/>
    <s v="Sensus"/>
    <s v="Compartida Fuera de la Red Captación Propia"/>
    <x v="0"/>
    <s v="Venta"/>
    <x v="1"/>
    <s v="Capital Neuquén"/>
  </r>
  <r>
    <d v="2025-02-14T00:00:00"/>
    <x v="1"/>
    <x v="0"/>
    <s v="CAP6306654"/>
    <x v="0"/>
    <s v="Venta dos ambientes a estrenar amenities de categoria (Belgrano)"/>
    <s v="Realizado"/>
    <s v="AR ZonaProp"/>
    <n v="140000"/>
    <x v="234"/>
    <x v="1"/>
    <s v="Dólares"/>
    <s v="Dólares"/>
    <s v="Cramer  al 2547"/>
    <s v="Argentina | Capital Federal | Belgrano "/>
    <x v="0"/>
    <n v="2"/>
    <s v="Seniority"/>
    <s v="Propia (Único Asesor)"/>
    <x v="1"/>
    <s v="Venta"/>
    <x v="3"/>
    <s v="Barrio Parque"/>
  </r>
  <r>
    <d v="2025-05-29T00:00:00"/>
    <x v="1"/>
    <x v="2"/>
    <s v="CPH6765219"/>
    <x v="0"/>
    <s v="PH/ tipo CASA en Parque Chacabuco 3 ambientes con cochera"/>
    <s v="Realizado"/>
    <s v="Instagram"/>
    <n v="126000"/>
    <x v="234"/>
    <x v="1"/>
    <s v="Dólares"/>
    <s v="Dólares"/>
    <s v="Barbastro  al 2000"/>
    <s v="Argentina | Capital Federal | Parque Chacabuco "/>
    <x v="3"/>
    <n v="2"/>
    <s v="Grupo Elite"/>
    <s v="Propia (Único Asesor)"/>
    <x v="1"/>
    <s v="Venta"/>
    <x v="3"/>
    <s v="Puerto Madero"/>
  </r>
  <r>
    <d v="2025-06-26T00:00:00"/>
    <x v="1"/>
    <x v="4"/>
    <s v="San Luis 3463"/>
    <x v="0"/>
    <s v="San Luis 3463"/>
    <s v="Realizado"/>
    <s v="AR ZonaProp"/>
    <n v="126000"/>
    <x v="234"/>
    <x v="1"/>
    <s v="Dólares"/>
    <s v="Dólares"/>
    <s v="San Luis 3463"/>
    <s v="Argentina | Capital Federal | Capital Federal "/>
    <x v="0"/>
    <n v="2"/>
    <s v="Lion Team"/>
    <s v="Propia (Único Asesor)"/>
    <x v="1"/>
    <s v="Venta"/>
    <x v="3"/>
    <s v="Villa Urquiza"/>
  </r>
  <r>
    <d v="2025-06-30T00:00:00"/>
    <x v="1"/>
    <x v="4"/>
    <s v="CAP6292169"/>
    <x v="0"/>
    <s v="Departamento en Palermo"/>
    <s v="Realizado"/>
    <s v="Referido"/>
    <n v="128000"/>
    <x v="234"/>
    <x v="1"/>
    <s v="Dólares"/>
    <s v="Dólares"/>
    <s v="Bulnes al 1800"/>
    <s v="Argentina | Capital Federal | Palermo "/>
    <x v="0"/>
    <n v="2"/>
    <s v="Horizon Group"/>
    <s v="Propia (Único Asesor)"/>
    <x v="1"/>
    <s v="Venta"/>
    <x v="3"/>
    <s v="Núñez"/>
  </r>
  <r>
    <d v="2025-11-28T00:00:00"/>
    <x v="1"/>
    <x v="7"/>
    <s v="CPH7206092"/>
    <x v="0"/>
    <s v="PH en  Colegiales 3 ambientes con entrepiso y terraza con parrilla!!!"/>
    <s v="Realizado"/>
    <s v="AR ZonaProp"/>
    <n v="149900"/>
    <x v="234"/>
    <x v="1"/>
    <s v="Dólares"/>
    <s v="Dólares"/>
    <s v="Zabala al 3400"/>
    <s v="Argentina | Capital Federal | Colegiales "/>
    <x v="3"/>
    <n v="2"/>
    <s v="Ser"/>
    <s v="Propia (Único Asesor)"/>
    <x v="1"/>
    <s v="Venta"/>
    <x v="3"/>
    <s v="Belgrano"/>
  </r>
  <r>
    <d v="2026-02-02T00:00:00"/>
    <x v="0"/>
    <x v="0"/>
    <s v="CAP6788779"/>
    <x v="0"/>
    <s v="DEPARTAMENTO TIPO DUPLEX DE 3 AMB , CON COCHERA  APTO CREDITO"/>
    <s v="Realizado"/>
    <s v="AR ZonaProp"/>
    <n v="128000"/>
    <x v="234"/>
    <x v="1"/>
    <s v="Dólares"/>
    <s v="Dólares"/>
    <s v="Pujol al 1000"/>
    <s v="Argentina | Capital Federal | Caballito "/>
    <x v="0"/>
    <n v="2"/>
    <s v="Horizon Group"/>
    <s v="Propia (Único Asesor)"/>
    <x v="1"/>
    <s v="Venta"/>
    <x v="3"/>
    <s v="Núñez"/>
  </r>
  <r>
    <d v="2026-03-06T00:00:00"/>
    <x v="0"/>
    <x v="9"/>
    <s v="CHO7309354"/>
    <x v="0"/>
    <s v="Duplex a estrenar en Via Aurelia"/>
    <s v="Realizado"/>
    <s v="Cartel"/>
    <n v="125000"/>
    <x v="234"/>
    <x v="1"/>
    <s v="Dólares"/>
    <s v="Local"/>
    <s v="mzna 3 lote 10"/>
    <s v="Argentina | Salta | Capital | Salta"/>
    <x v="2"/>
    <n v="2"/>
    <s v="Realty Group"/>
    <s v="Propia (Único Asesor)"/>
    <x v="1"/>
    <s v="Venta"/>
    <x v="4"/>
    <s v="San Lorenzo Chico"/>
  </r>
  <r>
    <d v="2025-11-13T00:00:00"/>
    <x v="1"/>
    <x v="7"/>
    <s v="CAP6982259"/>
    <x v="0"/>
    <s v="Departamento en  Venta en Saavedra a  2 ambientes"/>
    <s v="Realizado"/>
    <s v="AR ZonaProp"/>
    <n v="143000"/>
    <x v="235"/>
    <x v="1"/>
    <s v="Dólares"/>
    <s v="Dólares"/>
    <s v="Manzanares al 3100"/>
    <s v="Argentina | Capital Federal | Saavedra "/>
    <x v="0"/>
    <n v="2"/>
    <s v="Horizon Group"/>
    <s v="Compartida Fuera de la Red Captación Propia"/>
    <x v="0"/>
    <s v="Venta"/>
    <x v="3"/>
    <s v="Núñez"/>
  </r>
  <r>
    <d v="2026-03-05T00:00:00"/>
    <x v="0"/>
    <x v="9"/>
    <s v="CAP7371616"/>
    <x v="2"/>
    <s v="Venta Departamento 3 ambientes con balcón en Palermo Soho"/>
    <s v="Realizado"/>
    <s v="Referido"/>
    <n v="130000"/>
    <x v="235"/>
    <x v="1"/>
    <s v="Dólares"/>
    <s v="Dólares"/>
    <s v="Scalabrini Ortiz al 1900"/>
    <s v="Argentina | Capital Federal | Palermo | Palermo Soho"/>
    <x v="0"/>
    <n v="2"/>
    <s v="Wings"/>
    <s v="Master"/>
    <x v="1"/>
    <s v="Venta"/>
    <x v="3"/>
    <s v="Núñez"/>
  </r>
  <r>
    <d v="2025-05-14T00:00:00"/>
    <x v="1"/>
    <x v="2"/>
    <s v="CHO6633501"/>
    <x v="0"/>
    <s v="Venta Casa 5 ambientes a reciclar en Villa Adelina"/>
    <s v="Realizado"/>
    <s v="AR ZonaProp"/>
    <n v="169900"/>
    <x v="235"/>
    <x v="1"/>
    <s v="Dólares"/>
    <s v="Dólares"/>
    <s v="Gobernador Castro al 1400"/>
    <s v="Argentina | G.B.A. Zona Norte | San Isidro | Villa Adelina"/>
    <x v="2"/>
    <n v="2"/>
    <s v="Seniority"/>
    <s v="Propia (Único Asesor)"/>
    <x v="1"/>
    <s v="Venta"/>
    <x v="3"/>
    <s v="Barrio Parque"/>
  </r>
  <r>
    <d v="2025-06-16T00:00:00"/>
    <x v="1"/>
    <x v="4"/>
    <s v="VAP6818742"/>
    <x v="0"/>
    <s v="Hermoso Dpto. con Terraza propia con parrilla y 2 Cocheras"/>
    <s v="Realizado"/>
    <s v="AR ZonaProp"/>
    <n v="180000"/>
    <x v="235"/>
    <x v="1"/>
    <s v="Dólares"/>
    <s v="Dólares"/>
    <s v="Laprida al 2400"/>
    <s v="Argentina | G.B.A. Zona Norte | Vicente López | Florida"/>
    <x v="0"/>
    <n v="2"/>
    <s v="Puerto Norte"/>
    <s v="Propia (Único Asesor)"/>
    <x v="1"/>
    <s v="Venta"/>
    <x v="6"/>
    <s v="Nordelta"/>
  </r>
  <r>
    <d v="2025-08-21T00:00:00"/>
    <x v="1"/>
    <x v="5"/>
    <s v="CAP7179392"/>
    <x v="0"/>
    <s v="VENTA DEPARTAMENTO 2 AMB PALERMO HOLLYWOOD AMOBLADO C/ PATIO GRANDE"/>
    <s v="Realizado"/>
    <s v="AR ZonaProp"/>
    <n v="135000"/>
    <x v="235"/>
    <x v="1"/>
    <s v="Dólares"/>
    <s v="Dólares"/>
    <s v="NICARAGUA  al 6000"/>
    <s v="Argentina | Capital Federal | Palermo "/>
    <x v="0"/>
    <n v="2"/>
    <s v="Destino II"/>
    <s v="Propia (Único Asesor)"/>
    <x v="1"/>
    <s v="Venta"/>
    <x v="3"/>
    <s v="Recoleta"/>
  </r>
  <r>
    <d v="2025-09-12T00:00:00"/>
    <x v="1"/>
    <x v="6"/>
    <s v="CAP6939783"/>
    <x v="0"/>
    <s v="Venta Departamento 2 Ambientes en Devoto"/>
    <s v="Realizado"/>
    <s v="AR ZonaProp"/>
    <n v="129900"/>
    <x v="235"/>
    <x v="1"/>
    <s v="Dólares"/>
    <s v="Dólares"/>
    <s v="Asuncion  al 3800"/>
    <s v="Argentina | Capital Federal | Villa Devoto "/>
    <x v="0"/>
    <n v="2"/>
    <s v="Seniority"/>
    <s v="Propia (Único Asesor)"/>
    <x v="1"/>
    <s v="Venta"/>
    <x v="3"/>
    <s v="Barrio Parque"/>
  </r>
  <r>
    <d v="2025-08-19T00:00:00"/>
    <x v="1"/>
    <x v="5"/>
    <s v="VHO6800875"/>
    <x v="0"/>
    <s v="APTO CREDITO - Casa en Venta  - C.C Los Horneros"/>
    <s v="Realizado"/>
    <s v="AR ZonaProp"/>
    <n v="1200"/>
    <x v="236"/>
    <x v="1"/>
    <s v="Dólares"/>
    <s v="Dólares"/>
    <s v="APTO CREDITO - Casa en Venta 6 Amb en C.C Los Horneros"/>
    <s v="Argentina | G.B.A. Zona Norte | Escobar | Countries/B.Cerrado (Escobar) | Los Horneros"/>
    <x v="2"/>
    <n v="1"/>
    <s v="Puerto Norte"/>
    <s v="Compartida Fuera de la Red Búsqueda"/>
    <x v="2"/>
    <s v="Venta"/>
    <x v="6"/>
    <s v="Nordelta"/>
  </r>
  <r>
    <d v="2025-06-02T00:00:00"/>
    <x v="1"/>
    <x v="4"/>
    <s v="CHO6872494"/>
    <x v="0"/>
    <s v="Se vende Casa imponente corte antiguo en esquina 6 ambientes excelente ubicacion"/>
    <s v="Realizado"/>
    <s v="AR ArgenProp"/>
    <n v="135000"/>
    <x v="236"/>
    <x v="1"/>
    <s v="Dólares"/>
    <s v="Dólares"/>
    <s v="Oncativo al 2100"/>
    <s v="Argentina | G.B.A. Zona Sur | Lanús | Lanús | Lanús Este"/>
    <x v="2"/>
    <n v="2"/>
    <s v="Destino II"/>
    <s v="Compartida Fuera de la Red Captación Propia"/>
    <x v="0"/>
    <s v="Venta"/>
    <x v="3"/>
    <s v="Recoleta"/>
  </r>
  <r>
    <d v="2025-06-28T00:00:00"/>
    <x v="1"/>
    <x v="4"/>
    <m/>
    <x v="0"/>
    <s v="Unidad funcional en trámite de modificación del PH pendiente, designada actualmente como UF 4, de aproximadamente 73m2 sobre lote de 260,63 m2, ubicada en la calle Roberto Ávila 620 y J.L Barbagelata, nomenclatura catastral: 16-20-061-6672-0004 (UF 00-04)"/>
    <s v="Realizado"/>
    <s v="Referido"/>
    <n v="128000"/>
    <x v="237"/>
    <x v="1"/>
    <s v="Dólares"/>
    <s v="Dólares"/>
    <s v="Roberto Avila 620"/>
    <s v="Argentina | Neuquen | Villa La Angostura | Peumayen"/>
    <x v="2"/>
    <n v="1"/>
    <s v="Patagonia Lakes VLA"/>
    <s v="(Interior) Compartida Fuera de la Red Búsqueda"/>
    <x v="2"/>
    <s v="Venta"/>
    <x v="1"/>
    <s v="Villa La Angostura"/>
  </r>
  <r>
    <d v="2025-11-11T00:00:00"/>
    <x v="1"/>
    <x v="7"/>
    <n v="42"/>
    <x v="0"/>
    <s v="Juncal 2688"/>
    <s v="Realizado"/>
    <s v="AR ZonaProp"/>
    <n v="128000"/>
    <x v="237"/>
    <x v="1"/>
    <s v="Dólares"/>
    <s v="Dólares"/>
    <s v="Juncal 2688"/>
    <s v="Argentina | Capital Federal | Recoleta "/>
    <x v="0"/>
    <n v="1"/>
    <s v="Grupo Elite"/>
    <s v="Compartida Fuera de la Red Búsqueda"/>
    <x v="2"/>
    <s v="Venta"/>
    <x v="3"/>
    <s v="Puerto Madero"/>
  </r>
  <r>
    <d v="2025-11-20T00:00:00"/>
    <x v="1"/>
    <x v="7"/>
    <s v="JHO7385338"/>
    <x v="0"/>
    <s v="Casa en Victoria"/>
    <s v="Realizado"/>
    <s v="AR ZonaProp"/>
    <n v="137000"/>
    <x v="237"/>
    <x v="1"/>
    <s v="Dólares"/>
    <s v="Dólares"/>
    <s v="Blanco Encalada  al 3300"/>
    <s v="Argentina | G.B.A. Zona Norte | San Fernando | Victoria"/>
    <x v="2"/>
    <n v="2"/>
    <s v="Lion Team Norte"/>
    <s v="Propia (Único Asesor)"/>
    <x v="1"/>
    <s v="Venta"/>
    <x v="6"/>
    <s v="Vicente López"/>
  </r>
  <r>
    <d v="2026-01-15T00:00:00"/>
    <x v="0"/>
    <x v="10"/>
    <s v="CAP7585526"/>
    <x v="0"/>
    <s v="Venta Departamento 2 Ambientes en Caballito"/>
    <s v="Realizado"/>
    <s v="AR ZonaProp"/>
    <n v="129500"/>
    <x v="237"/>
    <x v="1"/>
    <s v="Dólares"/>
    <s v="Dólares"/>
    <s v="Hualfin  al 800"/>
    <s v="Argentina | Capital Federal | Caballito | Caballito Sur"/>
    <x v="0"/>
    <n v="2"/>
    <s v="Seniority"/>
    <s v="Propia (Único Asesor)"/>
    <x v="1"/>
    <s v="Venta"/>
    <x v="3"/>
    <s v="Barrio Parque"/>
  </r>
  <r>
    <d v="2025-07-08T00:00:00"/>
    <x v="1"/>
    <x v="1"/>
    <s v="CAP2287554"/>
    <x v="0"/>
    <s v="Venta departamento de 2 ambientes en Saavedra con amenities  A ESTRENAR"/>
    <s v="Realizado"/>
    <s v="AR ZonaProp"/>
    <n v="135000"/>
    <x v="238"/>
    <x v="1"/>
    <s v="Dólares"/>
    <s v="Dólares"/>
    <s v="Ramallo al 3100"/>
    <s v="Argentina | Capital Federal | Saavedra "/>
    <x v="0"/>
    <n v="2"/>
    <s v="Seniority"/>
    <s v="Propia (Único Asesor)"/>
    <x v="1"/>
    <s v="Venta"/>
    <x v="3"/>
    <s v="Barrio Parque"/>
  </r>
  <r>
    <d v="2025-09-05T00:00:00"/>
    <x v="1"/>
    <x v="6"/>
    <s v="CAP6703711"/>
    <x v="0"/>
    <s v="Venta 3 ambientes  APTO CREDITO"/>
    <s v="Realizado"/>
    <s v="AR ZonaProp"/>
    <n v="159000"/>
    <x v="239"/>
    <x v="1"/>
    <s v="Dólares"/>
    <s v="Dólares"/>
    <s v="Roosevelt Franklin D.  al 2400"/>
    <s v="Argentina | Capital Federal | Belgrano "/>
    <x v="0"/>
    <n v="2"/>
    <s v="Seniority"/>
    <s v="Compartida Fuera de la Red Captación Propia"/>
    <x v="0"/>
    <s v="Venta"/>
    <x v="3"/>
    <s v="Barrio Parque"/>
  </r>
  <r>
    <d v="2025-04-08T00:00:00"/>
    <x v="1"/>
    <x v="3"/>
    <m/>
    <x v="0"/>
    <s v="Op. con inmo colega Moldes. "/>
    <s v="Realizado"/>
    <s v="Conocido"/>
    <n v="129000"/>
    <x v="240"/>
    <x v="1"/>
    <s v="Dólares"/>
    <s v="Dólares"/>
    <s v="Perito Moreno 946"/>
    <s v="Argentina | Neuquen | Lacar | San Martin De Los Andes | Centro"/>
    <x v="0"/>
    <n v="1"/>
    <s v="Patagonia Lakes SMA"/>
    <s v="(Interior) Compartida Fuera de la Red Búsqueda"/>
    <x v="2"/>
    <s v="Venta"/>
    <x v="1"/>
    <s v="San Martín de los Andes"/>
  </r>
  <r>
    <d v="2025-11-07T00:00:00"/>
    <x v="1"/>
    <x v="7"/>
    <n v="10475"/>
    <x v="0"/>
    <s v="Av Federico Lacroze 3318"/>
    <s v="Realizado"/>
    <s v="AR ZonaProp"/>
    <n v="129000"/>
    <x v="240"/>
    <x v="1"/>
    <s v="Dólares"/>
    <s v="Dólares"/>
    <s v="Av Federico Lacroze 3318"/>
    <s v="Argentina | Capital Federal | Belgrano "/>
    <x v="0"/>
    <n v="1"/>
    <s v="Seniority"/>
    <s v="Compartida Fuera de la Red Búsqueda"/>
    <x v="2"/>
    <s v="Venta"/>
    <x v="3"/>
    <s v="Barrio Parque"/>
  </r>
  <r>
    <d v="2025-09-25T00:00:00"/>
    <x v="1"/>
    <x v="6"/>
    <s v="CAP7185289"/>
    <x v="0"/>
    <s v="Venta 2 ambientes con balcón corrido al frente Palermo"/>
    <s v="Realizado"/>
    <s v="AR ZonaProp"/>
    <n v="130000"/>
    <x v="240"/>
    <x v="1"/>
    <s v="Dólares"/>
    <s v="Dólares"/>
    <s v="French al 3000"/>
    <s v="Argentina | Capital Federal | Palermo "/>
    <x v="0"/>
    <n v="2"/>
    <s v="Seniority"/>
    <s v="Profesional Referido (70%)"/>
    <x v="1"/>
    <s v="Venta"/>
    <x v="3"/>
    <s v="Barrio Parque"/>
  </r>
  <r>
    <d v="2025-02-21T00:00:00"/>
    <x v="1"/>
    <x v="0"/>
    <s v="CAP6680371"/>
    <x v="0"/>
    <s v="VENTA DEPARTAMENTO 2 AMBIENTES CON COCHERA .SEGURIDAD 24 HS. RECOLETA"/>
    <s v="Realizado"/>
    <s v="AR ZonaProp"/>
    <n v="135000"/>
    <x v="240"/>
    <x v="1"/>
    <s v="Dólares"/>
    <s v="Dólares"/>
    <s v="Pacheco de Melo  al 2900"/>
    <s v="Argentina | Capital Federal | Recoleta "/>
    <x v="0"/>
    <n v="2"/>
    <s v="Seniority"/>
    <s v="Propia (Único Asesor)"/>
    <x v="1"/>
    <s v="Venta"/>
    <x v="3"/>
    <s v="Barrio Parque"/>
  </r>
  <r>
    <d v="2025-07-01T00:00:00"/>
    <x v="1"/>
    <x v="1"/>
    <s v="ZP-ZP-M-44197908"/>
    <x v="0"/>
    <s v="Venta departamento 3 amb en Tigre (R. de Milberg) c/ cochera"/>
    <s v="Realizado"/>
    <s v="Referido"/>
    <n v="155000"/>
    <x v="241"/>
    <x v="1"/>
    <s v="Dólares"/>
    <s v="Dólares"/>
    <s v="jose marti 600   Jardines del Reconquista    "/>
    <s v="Argentina | G.B.A. Zona Norte | Tigre | Tigre"/>
    <x v="0"/>
    <n v="2"/>
    <s v="Concept"/>
    <s v="Compartida Fuera de la Red Captación Propia"/>
    <x v="0"/>
    <s v="Venta"/>
    <x v="6"/>
    <s v="Tigre"/>
  </r>
  <r>
    <d v="2025-05-26T00:00:00"/>
    <x v="1"/>
    <x v="2"/>
    <s v="Magda"/>
    <x v="0"/>
    <s v="Magda PH Las Victorias"/>
    <s v="Realizado"/>
    <s v="Teléfono"/>
    <n v="130000"/>
    <x v="242"/>
    <x v="1"/>
    <s v="Dólares"/>
    <s v="Dólares"/>
    <m/>
    <s v="Argentina | Rio Negro | Bariloche | San Carlos De Bariloche"/>
    <x v="3"/>
    <n v="1"/>
    <s v="Patagonia Lakes BRC"/>
    <s v="(Interior) Compartida Fuera de la Red Búsqueda"/>
    <x v="2"/>
    <s v="Venta"/>
    <x v="7"/>
    <s v="Bariloche"/>
  </r>
  <r>
    <d v="2025-08-11T00:00:00"/>
    <x v="1"/>
    <x v="5"/>
    <s v="81Stella"/>
    <x v="0"/>
    <s v="Hectarea en Ruta 1"/>
    <s v="Realizado"/>
    <s v="Referido"/>
    <n v="134500"/>
    <x v="242"/>
    <x v="1"/>
    <s v="Dólares"/>
    <s v="Dólares"/>
    <s v="Corondaes 5600"/>
    <s v="Argentina | Santa Fe | La Capital | San Jose Del Rincon | Ubajay"/>
    <x v="1"/>
    <n v="1"/>
    <s v="De la Veracruz"/>
    <s v="(Interior) Compartida Fuera de la Red Búsqueda"/>
    <x v="2"/>
    <s v="Venta"/>
    <x v="5"/>
    <s v="Capital Santa Fe"/>
  </r>
  <r>
    <d v="2025-03-27T00:00:00"/>
    <x v="1"/>
    <x v="9"/>
    <s v="CLA4712618"/>
    <x v="0"/>
    <s v="VENTA Lote/Terreno 968,27 m2 Vista franca al lago, primera línea, Epulafquen Villa la Angostura"/>
    <s v="Realizado"/>
    <s v="Conocido"/>
    <n v="150000"/>
    <x v="242"/>
    <x v="1"/>
    <s v="Dólares"/>
    <s v="Dólares"/>
    <s v="Cacique Antriao al 2300, Villa la Angostura"/>
    <s v="Argentina | Neuquen | Villa La Angostura | Epulaufquen"/>
    <x v="1"/>
    <n v="1"/>
    <s v="Patagonia Lakes VLA"/>
    <s v="(Interior) Compartida Fuera de la Red Captación Propia"/>
    <x v="0"/>
    <s v="Venta"/>
    <x v="1"/>
    <s v="Villa La Angostura"/>
  </r>
  <r>
    <d v="2025-07-14T00:00:00"/>
    <x v="1"/>
    <x v="1"/>
    <s v="CHO6734839"/>
    <x v="0"/>
    <s v="CASA EN VENTA VISTALBA LOTEO DON CARLOS "/>
    <s v="Realizado"/>
    <s v="Conocido"/>
    <n v="140000"/>
    <x v="242"/>
    <x v="1"/>
    <s v="Dólares"/>
    <s v="Dólares"/>
    <s v="LOTEO DON CARLOS LOS TILOS LOTE K"/>
    <s v="Argentina | Mendoza | Lujan De Cuyo | Vistalba"/>
    <x v="2"/>
    <n v="1"/>
    <s v="Cuyo Real"/>
    <s v="(Interior) Compartida Fuera de la Red Captación Propia"/>
    <x v="0"/>
    <s v="Venta"/>
    <x v="2"/>
    <s v="Capital Mendoza"/>
  </r>
  <r>
    <d v="2025-04-20T00:00:00"/>
    <x v="1"/>
    <x v="3"/>
    <s v="VAP6605293"/>
    <x v="0"/>
    <s v="Departamento  de 2 ambientes en Venta Apto Crédito en Villa del Lago - Pilar"/>
    <s v="Realizado"/>
    <s v="AR ZonaProp"/>
    <n v="140000"/>
    <x v="242"/>
    <x v="1"/>
    <s v="Dólares"/>
    <s v="Dólares"/>
    <s v="Av. Champagnat 1200 Pilar"/>
    <s v="Argentina | G.B.A. Zona Norte | Pilar | Countries/B.Cerrado (Pilar) | Villa del Lago"/>
    <x v="0"/>
    <n v="2"/>
    <s v="Puerto Norte"/>
    <s v="Compartida en Oficina (Dos Asesores)"/>
    <x v="1"/>
    <s v="Venta"/>
    <x v="6"/>
    <s v="Nordelta"/>
  </r>
  <r>
    <d v="2025-05-20T00:00:00"/>
    <x v="1"/>
    <x v="2"/>
    <s v="VHO6859388"/>
    <x v="0"/>
    <s v="APTO CREDITO!! Casa en Club Privado Loma Verde - Escobar"/>
    <s v="Realizado"/>
    <s v="AR ZonaProp"/>
    <n v="180000"/>
    <x v="242"/>
    <x v="1"/>
    <s v="Dólares"/>
    <s v="Dólares"/>
    <s v="Casa en Club Privado loma verde"/>
    <s v="Argentina | G.B.A. Zona Norte | Escobar | Countries/B.Cerrado (Escobar) | Loma Verde"/>
    <x v="2"/>
    <n v="2"/>
    <s v="Puerto Norte"/>
    <s v="Compartida en Oficina (Dos Asesores)"/>
    <x v="1"/>
    <s v="Venta"/>
    <x v="6"/>
    <s v="Nordelta"/>
  </r>
  <r>
    <d v="2025-07-04T00:00:00"/>
    <x v="1"/>
    <x v="1"/>
    <s v="CWE6765267"/>
    <x v="0"/>
    <s v="Hermosa casa a minutos de la ciudad!"/>
    <s v="Realizado"/>
    <s v="AR ZonaProp"/>
    <n v="140000"/>
    <x v="242"/>
    <x v="1"/>
    <s v="Dólares"/>
    <s v="Dólares"/>
    <s v="Los sauces  al 6600"/>
    <s v="Argentina | Mendoza | San Rafael | Las Paredes"/>
    <x v="2"/>
    <n v="2"/>
    <s v="Andes"/>
    <s v="Compartida en Oficina (Dos Asesores)"/>
    <x v="1"/>
    <s v="Venta"/>
    <x v="2"/>
    <s v="San Rafael"/>
  </r>
  <r>
    <d v="2025-08-04T00:00:00"/>
    <x v="1"/>
    <x v="5"/>
    <s v="CHO6915422"/>
    <x v="0"/>
    <s v="Venta/Casa/5- Amb/Soldati/Terraza/Patio/Cochera/Permuta"/>
    <s v="Realizado"/>
    <s v="AR MercadoLibre"/>
    <n v="149000"/>
    <x v="242"/>
    <x v="1"/>
    <s v="Dólares"/>
    <s v="Dólares"/>
    <s v="Beron de Astrada 2100"/>
    <s v="Argentina | Capital Federal | Villa Soldati "/>
    <x v="2"/>
    <n v="2"/>
    <s v="Lion Team"/>
    <s v="Compartida en Oficina (Dos Asesores)"/>
    <x v="1"/>
    <s v="Venta"/>
    <x v="3"/>
    <s v="Villa Urquiza"/>
  </r>
  <r>
    <d v="2025-09-16T00:00:00"/>
    <x v="1"/>
    <x v="6"/>
    <s v="DHO2427382"/>
    <x v="0"/>
    <s v="VENTA HERMOSA CASA QUINTA EN TORTUGUITAS"/>
    <s v="Realizado"/>
    <s v="AR ZonaProp"/>
    <n v="135000"/>
    <x v="242"/>
    <x v="1"/>
    <s v="Dólares"/>
    <s v="Dólares"/>
    <s v="TORTUGUITAS - parque y pileta"/>
    <s v="Argentina | G.B.A. Zona Norte | Malvinas Argentinas | Tortuguitas | Rincon De Tort."/>
    <x v="2"/>
    <n v="2"/>
    <s v="Puerto Norte"/>
    <s v="Compartida en Oficina (Dos Asesores)"/>
    <x v="1"/>
    <s v="Venta"/>
    <x v="6"/>
    <s v="Nordelta"/>
  </r>
  <r>
    <d v="2025-10-22T00:00:00"/>
    <x v="1"/>
    <x v="11"/>
    <s v="CFC7121640"/>
    <x v="0"/>
    <s v="Cabañas en Venta - Complejo Turístico Potrerillos"/>
    <s v="Realizado"/>
    <s v="Conocido"/>
    <n v="130000"/>
    <x v="242"/>
    <x v="1"/>
    <s v="Dólares"/>
    <s v="Dólares"/>
    <s v="Cabañas en Venta - Complejo Turístico Potrerillos"/>
    <s v="Argentina | Mendoza | Lujan De Cuyo | Potrerillos"/>
    <x v="2"/>
    <n v="2"/>
    <s v="Cuyo Real"/>
    <s v="Compartida en Oficina (Dos Asesores)"/>
    <x v="1"/>
    <s v="Venta"/>
    <x v="2"/>
    <s v="Capital Mendoza"/>
  </r>
  <r>
    <d v="2025-12-05T00:00:00"/>
    <x v="1"/>
    <x v="8"/>
    <s v="VAP6707301"/>
    <x v="0"/>
    <s v="Departamento a la venta 3 ambientes en V. Urquiza - bajas expensas"/>
    <s v="Realizado"/>
    <s v="AR ZonaProp"/>
    <n v="137000"/>
    <x v="242"/>
    <x v="1"/>
    <s v="Dólares"/>
    <s v="Dólares"/>
    <s v="juramento al 4000"/>
    <s v="Argentina | Capital Federal | Villa Urquiza "/>
    <x v="0"/>
    <n v="2"/>
    <s v="Space BA"/>
    <s v="Compartida en Oficina (Dos Asesores)"/>
    <x v="1"/>
    <s v="Venta"/>
    <x v="3"/>
    <s v="Belgrano"/>
  </r>
  <r>
    <d v="2025-03-28T00:00:00"/>
    <x v="1"/>
    <x v="9"/>
    <s v="CAP6579207"/>
    <x v="0"/>
    <s v="OPORTUNIDAD 3 ambientes luminoso en zona estratégica!  "/>
    <s v="Realizado"/>
    <s v="AR ZonaProp"/>
    <n v="139000"/>
    <x v="242"/>
    <x v="1"/>
    <s v="Dólares"/>
    <s v="Dólares"/>
    <s v="Guemes al 3700"/>
    <s v="Argentina | Capital Federal | Palermo "/>
    <x v="0"/>
    <n v="2"/>
    <s v="Destino"/>
    <s v="Compartida en Red (50%)"/>
    <x v="1"/>
    <s v="Venta"/>
    <x v="3"/>
    <s v="Recoleta"/>
  </r>
  <r>
    <d v="2025-04-01T00:00:00"/>
    <x v="1"/>
    <x v="3"/>
    <s v="N/C - GUEMES 3741"/>
    <x v="1"/>
    <s v="VENTA DPTO PALERMO"/>
    <s v="Realizado"/>
    <s v="AR ZonaProp"/>
    <n v="130000"/>
    <x v="242"/>
    <x v="1"/>
    <s v="Dólares"/>
    <s v="Dólares"/>
    <s v="GUEMES 3741, CABA"/>
    <s v="Argentina | Capital Federal | Palermo "/>
    <x v="0"/>
    <n v="2"/>
    <s v="Destino II"/>
    <s v="Compartida en Red (50%)"/>
    <x v="1"/>
    <s v="Venta"/>
    <x v="3"/>
    <s v="Recoleta"/>
  </r>
  <r>
    <d v="2025-09-05T00:00:00"/>
    <x v="1"/>
    <x v="6"/>
    <s v="Búsqueda"/>
    <x v="0"/>
    <s v="Búsqueda"/>
    <s v="Realizado"/>
    <s v="AR ZonaProp"/>
    <n v="130000"/>
    <x v="242"/>
    <x v="1"/>
    <s v="Dólares"/>
    <s v="Dólares"/>
    <s v="Corrientes 4709, piso 8°, depto &quot;80&quot; CABA"/>
    <s v="Argentina | Capital Federal | Villa Crespo "/>
    <x v="0"/>
    <n v="1"/>
    <s v="Ser"/>
    <s v="Compartida Fuera de la Red Búsqueda"/>
    <x v="2"/>
    <s v="Venta"/>
    <x v="3"/>
    <s v="Belgrano"/>
  </r>
  <r>
    <d v="2025-12-12T00:00:00"/>
    <x v="1"/>
    <x v="8"/>
    <n v="188"/>
    <x v="0"/>
    <s v="Estado de Israel 4537 5 C"/>
    <s v="Realizado"/>
    <s v="AR ZonaProp"/>
    <n v="160000"/>
    <x v="242"/>
    <x v="1"/>
    <s v="Dólares"/>
    <s v="Dólares"/>
    <s v="Estado de Israel 4537 5 C"/>
    <s v="Argentina | Capital Federal | Villa Crespo "/>
    <x v="0"/>
    <n v="1"/>
    <s v="Seniority Plus"/>
    <s v="Compartida Fuera de la Red Búsqueda"/>
    <x v="2"/>
    <s v="Venta"/>
    <x v="3"/>
    <s v="Palermo"/>
  </r>
  <r>
    <d v="2026-03-29T00:00:00"/>
    <x v="0"/>
    <x v="9"/>
    <n v="120"/>
    <x v="0"/>
    <s v="PH San Telmo"/>
    <s v="Realizado"/>
    <s v="AR ZonaProp"/>
    <n v="130000"/>
    <x v="242"/>
    <x v="1"/>
    <s v="Dólares"/>
    <s v="Dólares"/>
    <s v="Bolivar"/>
    <s v="Argentina | Capital Federal | San Telmo "/>
    <x v="3"/>
    <n v="1"/>
    <s v="Desiderio"/>
    <s v="Compartida Fuera de la Red Búsqueda"/>
    <x v="2"/>
    <s v="Venta"/>
    <x v="3"/>
    <s v="Caballito"/>
  </r>
  <r>
    <d v="2025-04-11T00:00:00"/>
    <x v="1"/>
    <x v="3"/>
    <s v="CAP6643995"/>
    <x v="0"/>
    <s v="Venta Departamento 2 ambientes a estrenar en Lomas de Nuñez"/>
    <s v="Realizado"/>
    <s v="AR ZonaProp"/>
    <n v="140000"/>
    <x v="242"/>
    <x v="1"/>
    <s v="Dólares"/>
    <s v="Dólares"/>
    <s v="Arcos al 4200"/>
    <s v="Argentina | Capital Federal | Nuñez | L.De Nuñez"/>
    <x v="0"/>
    <n v="2"/>
    <s v="Seniority"/>
    <s v="Compartida Fuera de la Red Captación Propia"/>
    <x v="0"/>
    <s v="Venta"/>
    <x v="3"/>
    <s v="Barrio Parque"/>
  </r>
  <r>
    <d v="2026-03-06T00:00:00"/>
    <x v="0"/>
    <x v="9"/>
    <s v="CPH7739549"/>
    <x v="0"/>
    <s v="Venta Departamento PH 3 Ambientes con Balcón – Palermo"/>
    <s v="Realizado"/>
    <s v="Referido"/>
    <n v="149000"/>
    <x v="242"/>
    <x v="1"/>
    <s v="Dólares"/>
    <s v="Dólares"/>
    <s v="Gurruchaga al 1900"/>
    <s v="Argentina | Capital Federal | Palermo "/>
    <x v="3"/>
    <n v="2"/>
    <s v="Wings"/>
    <s v="Compartida Fuera de la Red Captación Propia"/>
    <x v="0"/>
    <s v="Venta"/>
    <x v="3"/>
    <s v="Núñez"/>
  </r>
  <r>
    <d v="2025-01-29T00:00:00"/>
    <x v="1"/>
    <x v="10"/>
    <s v="CAP5970035"/>
    <x v="0"/>
    <s v="Departamento 4 ambientes Nuñez TODO A NUEVO Luminoso VENTA Seguridad"/>
    <s v="Realizado"/>
    <s v="AR MercadoLibre"/>
    <n v="130000"/>
    <x v="242"/>
    <x v="1"/>
    <s v="Dólares"/>
    <s v="Dólares"/>
    <s v="Manzanares al 1800"/>
    <s v="Argentina | Capital Federal | Nuñez "/>
    <x v="0"/>
    <n v="2"/>
    <s v="Lion Team"/>
    <s v="Propia (Único Asesor)"/>
    <x v="1"/>
    <s v="Venta"/>
    <x v="3"/>
    <s v="Villa Urquiza"/>
  </r>
  <r>
    <d v="2025-02-05T00:00:00"/>
    <x v="1"/>
    <x v="0"/>
    <s v="Av. Alvarez Thomas 805"/>
    <x v="0"/>
    <s v="Av. Alvarez Thomas 805"/>
    <s v="Realizado"/>
    <s v="AR ArgenProp"/>
    <n v="130000"/>
    <x v="242"/>
    <x v="1"/>
    <s v="Dólares"/>
    <s v="Dólares"/>
    <m/>
    <s v="Argentina | Capital Federal | Capital Federal "/>
    <x v="0"/>
    <n v="2"/>
    <s v="Lion Team"/>
    <s v="Propia (Único Asesor)"/>
    <x v="1"/>
    <s v="Venta"/>
    <x v="3"/>
    <s v="Villa Urquiza"/>
  </r>
  <r>
    <d v="2025-02-07T00:00:00"/>
    <x v="1"/>
    <x v="0"/>
    <s v="Estados Unidos    1342 1° Dpto G"/>
    <x v="0"/>
    <s v="Estados Unidos    1342 1° Dpto G"/>
    <s v="Realizado"/>
    <s v="AR ZonaProp"/>
    <n v="130000"/>
    <x v="242"/>
    <x v="1"/>
    <s v="Dólares"/>
    <s v="Dólares"/>
    <s v="Estados Unidos    1342 1° Dpto G"/>
    <s v="Argentina | Capital Federal | San Telmo "/>
    <x v="0"/>
    <n v="2"/>
    <s v="Lion Team Norte"/>
    <s v="Propia (Único Asesor)"/>
    <x v="1"/>
    <s v="Venta"/>
    <x v="6"/>
    <s v="Vicente López"/>
  </r>
  <r>
    <d v="2025-04-30T00:00:00"/>
    <x v="1"/>
    <x v="3"/>
    <s v="CHO5997368"/>
    <x v="0"/>
    <s v="Casa en Haedo Norte"/>
    <s v="Realizado"/>
    <s v="AR MercadoLibre"/>
    <n v="144900"/>
    <x v="242"/>
    <x v="1"/>
    <s v="Dólares"/>
    <s v="Dólares"/>
    <s v="Paris al 400"/>
    <s v="Argentina | G.B.A. Zona Oeste | Moron | Haedo | Haedo Norte"/>
    <x v="2"/>
    <n v="2"/>
    <s v="Lion Team"/>
    <s v="Propia (Único Asesor)"/>
    <x v="1"/>
    <s v="Venta"/>
    <x v="3"/>
    <s v="Villa Urquiza"/>
  </r>
  <r>
    <d v="2025-05-02T00:00:00"/>
    <x v="1"/>
    <x v="2"/>
    <s v="BOUCHARD 100"/>
    <x v="0"/>
    <s v="BOUCHARD 100"/>
    <s v="Realizado"/>
    <s v="AR ZonaProp"/>
    <n v="130000"/>
    <x v="242"/>
    <x v="1"/>
    <s v="Dólares"/>
    <s v="Dólares"/>
    <s v="BOUCHARD 100"/>
    <s v="Argentina | G.B.A. Zona Norte | Vicente López | Olivos"/>
    <x v="3"/>
    <n v="2"/>
    <s v="Lion Team Norte"/>
    <s v="Propia (Único Asesor)"/>
    <x v="1"/>
    <s v="Venta"/>
    <x v="6"/>
    <s v="Vicente López"/>
  </r>
  <r>
    <d v="2025-05-27T00:00:00"/>
    <x v="1"/>
    <x v="2"/>
    <s v="CAP6837882"/>
    <x v="0"/>
    <s v="Departamento en  VENTA monoambiente"/>
    <s v="Realizado"/>
    <s v="AR ZonaProp"/>
    <n v="135000"/>
    <x v="242"/>
    <x v="1"/>
    <s v="Dólares"/>
    <s v="Dólares"/>
    <s v="Ugarteche al 3200"/>
    <s v="Argentina | Capital Federal | Palermo | Palermo Chico"/>
    <x v="0"/>
    <n v="2"/>
    <s v="Destino"/>
    <s v="Propia (Único Asesor)"/>
    <x v="1"/>
    <s v="Venta"/>
    <x v="3"/>
    <s v="Recoleta"/>
  </r>
  <r>
    <d v="2025-05-27T00:00:00"/>
    <x v="1"/>
    <x v="2"/>
    <s v="CHO6546318"/>
    <x v="0"/>
    <s v="Casa en venta ubicada en Grand bourg, Las Magdalenas"/>
    <s v="Realizado"/>
    <s v="Facebook"/>
    <n v="135000"/>
    <x v="242"/>
    <x v="1"/>
    <s v="Dólares"/>
    <s v="Dólares"/>
    <s v="Las Magdalenas "/>
    <s v="Argentina | Salta | Capital | Salta | Bo.Grand Bourg"/>
    <x v="2"/>
    <n v="2"/>
    <s v="Realty Group"/>
    <s v="Propia (Único Asesor)"/>
    <x v="1"/>
    <s v="Venta"/>
    <x v="4"/>
    <s v="San Lorenzo Chico"/>
  </r>
  <r>
    <d v="2025-06-26T00:00:00"/>
    <x v="1"/>
    <x v="4"/>
    <s v="CAP6520904"/>
    <x v="0"/>
    <s v="Departamento en  venta apto Profesional  en Palermo"/>
    <s v="Realizado"/>
    <s v="AR ZonaProp"/>
    <n v="139000"/>
    <x v="242"/>
    <x v="1"/>
    <s v="Dólares"/>
    <s v="Dólares"/>
    <s v="Charcas al 3600"/>
    <s v="Argentina | Capital Federal | Palermo "/>
    <x v="0"/>
    <n v="2"/>
    <s v="Puerto Norte"/>
    <s v="Propia (Único Asesor)"/>
    <x v="1"/>
    <s v="Venta"/>
    <x v="6"/>
    <s v="Nordelta"/>
  </r>
  <r>
    <d v="2025-08-20T00:00:00"/>
    <x v="1"/>
    <x v="5"/>
    <s v="CAP7047556"/>
    <x v="0"/>
    <s v="VENTA DEPARTAMENTO 4 AMBIENTES EN CABALLITO"/>
    <s v="Realizado"/>
    <s v="AR ArgenProp"/>
    <n v="134900"/>
    <x v="242"/>
    <x v="1"/>
    <s v="Dólares"/>
    <s v="Dólares"/>
    <s v="RIVADAVIA al 5900"/>
    <s v="Argentina | Capital Federal | Caballito "/>
    <x v="0"/>
    <n v="2"/>
    <s v="Seniority"/>
    <s v="Propia (Único Asesor)"/>
    <x v="1"/>
    <s v="Venta"/>
    <x v="3"/>
    <s v="Barrio Parque"/>
  </r>
  <r>
    <d v="2025-09-10T00:00:00"/>
    <x v="1"/>
    <x v="6"/>
    <s v="CAP6948673"/>
    <x v="0"/>
    <s v="VENTA DEPARTAMENTO 3 AMBIENTES RECOLETA. APTO CREDITO."/>
    <s v="Realizado"/>
    <s v="AR ArgenProp"/>
    <n v="150000"/>
    <x v="242"/>
    <x v="1"/>
    <s v="Dólares"/>
    <s v="Dólares"/>
    <s v="Billinghurst al 1600"/>
    <s v="Argentina | Capital Federal | Recoleta "/>
    <x v="0"/>
    <n v="2"/>
    <s v="Seniority"/>
    <s v="Propia (Único Asesor)"/>
    <x v="1"/>
    <s v="Venta"/>
    <x v="3"/>
    <s v="Barrio Parque"/>
  </r>
  <r>
    <d v="2025-11-08T00:00:00"/>
    <x v="1"/>
    <x v="7"/>
    <s v="CAP7382229"/>
    <x v="0"/>
    <s v="Venta departamento 3 ambientes frente balcon Cochera Villa Urquiza"/>
    <s v="Realizado"/>
    <s v="AR ZonaProp"/>
    <n v="135000"/>
    <x v="242"/>
    <x v="1"/>
    <s v="Dólares"/>
    <s v="Dólares"/>
    <s v="Mendoza al 3900"/>
    <s v="Argentina | Capital Federal | Villa Urquiza | Urquiza R"/>
    <x v="0"/>
    <n v="2"/>
    <s v="Grupo Elite"/>
    <s v="Propia (Único Asesor)"/>
    <x v="1"/>
    <s v="Venta"/>
    <x v="3"/>
    <s v="Puerto Madero"/>
  </r>
  <r>
    <d v="2026-02-05T00:00:00"/>
    <x v="0"/>
    <x v="0"/>
    <s v="CBU60233 AP6592940"/>
    <x v="0"/>
    <s v="Departamento Dos Ambientes con vista al lago a 5 minutos del centro"/>
    <s v="Realizado"/>
    <s v="Teléfono"/>
    <n v="149165"/>
    <x v="242"/>
    <x v="1"/>
    <s v="Dólares"/>
    <s v="Dólares"/>
    <s v="Avenida Pioneros, San Carlos de Bariloche"/>
    <s v="Argentina | Rio Negro | Bariloche | San Carlos De Bariloche | Centro"/>
    <x v="0"/>
    <n v="2"/>
    <s v="Patagonia Lakes BRC"/>
    <s v="Propia (Único Asesor)"/>
    <x v="1"/>
    <s v="Venta"/>
    <x v="7"/>
    <s v="Bariloche"/>
  </r>
  <r>
    <d v="2026-02-10T00:00:00"/>
    <x v="0"/>
    <x v="0"/>
    <s v="CAP7030119"/>
    <x v="0"/>
    <s v="VENTA Departamento Viveros II 45m2 Centro San Martin de los Andes"/>
    <s v="Realizado"/>
    <s v="Referido"/>
    <n v="130000"/>
    <x v="242"/>
    <x v="1"/>
    <s v="Dólares"/>
    <s v="Dólares"/>
    <s v="Elordi 326 PB"/>
    <s v="Argentina | Neuquen | Lacar | San Martin De Los Andes | Centro"/>
    <x v="0"/>
    <n v="2"/>
    <s v="Patagonia Lakes SMA"/>
    <s v="Propia (Único Asesor)"/>
    <x v="1"/>
    <s v="Venta"/>
    <x v="1"/>
    <s v="San Martín de los Andes"/>
  </r>
  <r>
    <d v="2026-03-06T00:00:00"/>
    <x v="0"/>
    <x v="9"/>
    <m/>
    <x v="0"/>
    <s v="Unidad Funcional N° 7 ubicada sobre la Ruta Nacional 231, de una superficie total de 108,78 m2, nomenclatura catastral: 16-20-059-2026-0007"/>
    <s v="Realizado"/>
    <s v="Repetido"/>
    <n v="132000"/>
    <x v="242"/>
    <x v="1"/>
    <s v="Dólares"/>
    <s v="Dólares"/>
    <s v="AV. 7 Lagos 700"/>
    <s v="Argentina | Neuquen | Villa La Angostura | Barrio Norte"/>
    <x v="2"/>
    <n v="2"/>
    <s v="Patagonia Lakes VLA"/>
    <s v="Propia (Único Asesor)"/>
    <x v="1"/>
    <s v="Venta"/>
    <x v="1"/>
    <s v="Villa La Angostura"/>
  </r>
  <r>
    <d v="2026-03-19T00:00:00"/>
    <x v="0"/>
    <x v="9"/>
    <s v="CPH7641421"/>
    <x v="0"/>
    <s v="PH en Venta"/>
    <s v="Realizado"/>
    <s v="Facebook"/>
    <n v="130000"/>
    <x v="242"/>
    <x v="1"/>
    <s v="Dólares"/>
    <s v="Dólares"/>
    <s v="Los Griegos al 1800"/>
    <s v="Argentina | Neuquen | Capital "/>
    <x v="3"/>
    <n v="2"/>
    <s v="Sensus"/>
    <s v="Propia (Único Asesor)"/>
    <x v="1"/>
    <s v="Venta"/>
    <x v="1"/>
    <s v="Capital Neuquén"/>
  </r>
  <r>
    <d v="2026-02-18T00:00:00"/>
    <x v="0"/>
    <x v="0"/>
    <s v="CAP7373708"/>
    <x v="0"/>
    <s v="REAL OPORTUNIDAD - Amplio 2 AMB  - Nordelta"/>
    <s v="Realizado"/>
    <s v="AR ZonaProp"/>
    <n v="138000"/>
    <x v="243"/>
    <x v="1"/>
    <s v="Dólares"/>
    <s v="Dólares"/>
    <s v="2 AMB CON BALCÓN EN VENTA THE KIRI PUERTO ESCONDIDO NORDELTA"/>
    <s v="Argentina | G.B.A. Zona Norte | Tigre | Countries/B.Cerrado (Tigre) | Nordelta | Puerto Escondido"/>
    <x v="0"/>
    <n v="1"/>
    <s v="Puerto Norte"/>
    <s v="Compartida Fuera de la Red Búsqueda"/>
    <x v="2"/>
    <s v="Venta"/>
    <x v="6"/>
    <s v="Nordelta"/>
  </r>
  <r>
    <d v="2025-12-18T00:00:00"/>
    <x v="1"/>
    <x v="8"/>
    <s v="CAP7343773"/>
    <x v="0"/>
    <s v="Departamento 2 Ambientes en Venta en Belgrano"/>
    <s v="Realizado"/>
    <s v="AR ZonaProp"/>
    <n v="135000"/>
    <x v="244"/>
    <x v="1"/>
    <s v="Dólares"/>
    <s v="Dólares"/>
    <s v="Luis María Campos al 1100"/>
    <s v="Argentina | Capital Federal | Belgrano "/>
    <x v="0"/>
    <n v="2"/>
    <s v="Audacity"/>
    <s v="Compartida Fuera de la Red Captación Propia"/>
    <x v="0"/>
    <s v="Venta"/>
    <x v="9"/>
    <s v="Parque Leloir"/>
  </r>
  <r>
    <d v="2026-03-12T00:00:00"/>
    <x v="0"/>
    <x v="9"/>
    <s v="CAP7669190"/>
    <x v="0"/>
    <s v="Departamento en  Venta en Saavedra a  2 ambientes"/>
    <s v="Realizado"/>
    <s v="AR ZonaProp"/>
    <n v="130000"/>
    <x v="244"/>
    <x v="1"/>
    <s v="Dólares"/>
    <s v="Dólares"/>
    <s v="Manzanares al 3100"/>
    <s v="Argentina | Capital Federal | Saavedra "/>
    <x v="0"/>
    <n v="2"/>
    <s v="Horizon Group"/>
    <s v="Propia (Único Asesor)"/>
    <x v="1"/>
    <s v="Venta"/>
    <x v="3"/>
    <s v="Núñez"/>
  </r>
  <r>
    <d v="2026-03-18T00:00:00"/>
    <x v="0"/>
    <x v="9"/>
    <s v="CAP7108668"/>
    <x v="0"/>
    <s v="Venta departamento 3 Amb a estrenar Piso 3"/>
    <s v="Realizado"/>
    <s v="AR ZonaProp"/>
    <n v="142000"/>
    <x v="244"/>
    <x v="1"/>
    <s v="Dólares"/>
    <s v="Dólares"/>
    <s v="Asamblea al 1600"/>
    <s v="Argentina | Capital Federal | Parque Chacabuco "/>
    <x v="0"/>
    <n v="2"/>
    <s v="Grupo Elite"/>
    <s v="Propia (Único Asesor)"/>
    <x v="1"/>
    <s v="Venta"/>
    <x v="3"/>
    <s v="Puerto Madero"/>
  </r>
  <r>
    <d v="2026-03-26T00:00:00"/>
    <x v="0"/>
    <x v="9"/>
    <s v="CAP5040747"/>
    <x v="0"/>
    <s v="VENTA Departamento 3 amb, 100 m2, Villa Correntoso, Villa la Angostura, Vista al lago Correntoso"/>
    <s v="Realizado"/>
    <s v="AR ZonaProp"/>
    <n v="143000"/>
    <x v="245"/>
    <x v="1"/>
    <s v="Dólares"/>
    <s v="Dólares"/>
    <s v="Las Gallaretas al 100, Villa la Angostura"/>
    <s v="Argentina | Neuquen | Villa La Angostura | Villa Correntoso"/>
    <x v="0"/>
    <n v="2"/>
    <s v="Patagonia Lakes VLA"/>
    <s v="Compartida en Oficina (Dos Asesores)"/>
    <x v="1"/>
    <s v="Venta"/>
    <x v="1"/>
    <s v="Villa La Angostura"/>
  </r>
  <r>
    <d v="2025-08-25T00:00:00"/>
    <x v="1"/>
    <x v="5"/>
    <n v="12"/>
    <x v="0"/>
    <s v="Casa Alsina 1651"/>
    <s v="Realizado"/>
    <s v="AR MercadoLibre"/>
    <n v="132000"/>
    <x v="245"/>
    <x v="1"/>
    <s v="Dólares"/>
    <s v="Dólares"/>
    <s v="Alsina 1651"/>
    <s v="Argentina | G.B.A. Zona Sur | Lomas De Zamora (Partido) | Lomas De Zamora"/>
    <x v="2"/>
    <n v="1"/>
    <s v="Desiderio"/>
    <s v="Compartida Fuera de la Red Búsqueda"/>
    <x v="2"/>
    <s v="Venta"/>
    <x v="3"/>
    <s v="Caballito"/>
  </r>
  <r>
    <d v="2025-10-07T00:00:00"/>
    <x v="1"/>
    <x v="11"/>
    <m/>
    <x v="0"/>
    <s v="Departamento de 2 ambientes en Palermo"/>
    <s v="Realizado"/>
    <s v="Conocido"/>
    <n v="132000"/>
    <x v="245"/>
    <x v="1"/>
    <s v="Dólares"/>
    <s v="Dólares"/>
    <s v="Araoz 2385"/>
    <s v="Argentina | Capital Federal | Palermo "/>
    <x v="0"/>
    <n v="1"/>
    <s v="Audacity"/>
    <s v="Compartida Fuera de la Red Búsqueda"/>
    <x v="2"/>
    <s v="Venta"/>
    <x v="9"/>
    <s v="Parque Leloir"/>
  </r>
  <r>
    <d v="2025-05-08T00:00:00"/>
    <x v="1"/>
    <x v="2"/>
    <s v="VAP6565576"/>
    <x v="0"/>
    <s v="Venta Departamento 4 ambientes Luminoso - Villa Urquiza"/>
    <s v="Realizado"/>
    <s v="AR ZonaProp"/>
    <n v="144000"/>
    <x v="245"/>
    <x v="1"/>
    <s v="Dólares"/>
    <s v="Dólares"/>
    <s v="Avenida Olazabal  al 4000"/>
    <s v="Argentina | Capital Federal | Villa Urquiza "/>
    <x v="0"/>
    <n v="2"/>
    <s v="Space BA"/>
    <s v="Compartida Fuera de la Red Captación Propia"/>
    <x v="0"/>
    <s v="Venta"/>
    <x v="3"/>
    <s v="Belgrano"/>
  </r>
  <r>
    <d v="2026-02-26T00:00:00"/>
    <x v="0"/>
    <x v="0"/>
    <s v="CAP7149037"/>
    <x v="0"/>
    <s v="Venta Departamento 4 ambientes, piso alto con balcon en Belgrano"/>
    <s v="Realizado"/>
    <s v="AR ZonaProp"/>
    <n v="140000"/>
    <x v="245"/>
    <x v="1"/>
    <s v="Dólares"/>
    <s v="Dólares"/>
    <s v="Cabildo al 1100"/>
    <s v="Argentina | Capital Federal | Belgrano "/>
    <x v="0"/>
    <n v="2"/>
    <s v="Seniority Plus"/>
    <s v="Propia (Único Asesor)"/>
    <x v="1"/>
    <s v="Venta"/>
    <x v="3"/>
    <s v="Palermo"/>
  </r>
  <r>
    <d v="2026-03-27T00:00:00"/>
    <x v="0"/>
    <x v="9"/>
    <s v="CHO7235774"/>
    <x v="0"/>
    <s v="Casa en venta ubicada en calle Zuviria 1409"/>
    <s v="Realizado"/>
    <s v="Facebook"/>
    <n v="135000"/>
    <x v="245"/>
    <x v="1"/>
    <s v="Dólares"/>
    <s v="Dólares"/>
    <s v="Zuviria 1409"/>
    <s v="Argentina | Salta | Capital | Salta | Zona Centro"/>
    <x v="2"/>
    <n v="2"/>
    <s v="Realty Group"/>
    <s v="Propia (Único Asesor)"/>
    <x v="1"/>
    <s v="Venta"/>
    <x v="4"/>
    <s v="San Lorenzo Chico"/>
  </r>
  <r>
    <d v="2025-02-28T00:00:00"/>
    <x v="1"/>
    <x v="0"/>
    <s v="COF6441798"/>
    <x v="0"/>
    <s v="VENTA Oficinas Premium 100 m2 Doble ingreso Buena altura Amenities BELGRANO"/>
    <s v="Realizado"/>
    <s v="AR ZonaProp"/>
    <n v="1100"/>
    <x v="246"/>
    <x v="1"/>
    <s v="Dólares"/>
    <s v="Dólares"/>
    <s v="Ciudad de la Paz al 300"/>
    <s v="Argentina | Capital Federal | Belgrano "/>
    <x v="6"/>
    <n v="2"/>
    <s v="Lion Team"/>
    <s v="Propia (Único Asesor)"/>
    <x v="1"/>
    <s v="Venta"/>
    <x v="3"/>
    <s v="Villa Urquiza"/>
  </r>
  <r>
    <d v="2025-05-08T00:00:00"/>
    <x v="1"/>
    <x v="2"/>
    <s v="CBU44879 AP4506740"/>
    <x v="0"/>
    <s v="Venta Departamento - P3 D -  2 ambientes - Salta 220 - Centro - Bariloche"/>
    <s v="Realizado"/>
    <s v="Teléfono"/>
    <n v="168000"/>
    <x v="247"/>
    <x v="1"/>
    <s v="Dólares"/>
    <s v="Dólares"/>
    <s v="Salta al 200"/>
    <s v="Argentina | Rio Negro | Bariloche | San Carlos De Bariloche | Centro"/>
    <x v="0"/>
    <n v="1"/>
    <s v="Patagonia Lakes BRC"/>
    <s v="(Interior) Compartida Fuera de la Red Captación Propia"/>
    <x v="0"/>
    <s v="Venta"/>
    <x v="7"/>
    <s v="Bariloche"/>
  </r>
  <r>
    <d v="2025-04-16T00:00:00"/>
    <x v="1"/>
    <x v="3"/>
    <s v="Yerbal 1500"/>
    <x v="0"/>
    <s v="Yerbal 1500"/>
    <s v="Realizado"/>
    <s v="AR ZonaProp"/>
    <n v="133000"/>
    <x v="247"/>
    <x v="1"/>
    <s v="Dólares"/>
    <s v="Dólares"/>
    <s v="Yerbal 1500"/>
    <s v="Argentina | Capital Federal | Flores "/>
    <x v="0"/>
    <n v="2"/>
    <s v="Lion Team Norte"/>
    <s v="Propia (Único Asesor)"/>
    <x v="1"/>
    <s v="Venta"/>
    <x v="6"/>
    <s v="Vicente López"/>
  </r>
  <r>
    <d v="2025-06-30T00:00:00"/>
    <x v="1"/>
    <x v="4"/>
    <s v="CHO6945872"/>
    <x v="0"/>
    <s v="Casa en  BANFIELD"/>
    <s v="Realizado"/>
    <s v="AR ZonaProp"/>
    <n v="143000"/>
    <x v="247"/>
    <x v="1"/>
    <s v="Dólares"/>
    <s v="Dólares"/>
    <s v="Av La Plata y Granaderos"/>
    <s v="Argentina | G.B.A. Zona Sur | Lomas De Zamora (Partido) | Banfield | Banfield Este"/>
    <x v="2"/>
    <n v="2"/>
    <s v="Destino"/>
    <s v="Propia (Único Asesor)"/>
    <x v="1"/>
    <s v="Venta"/>
    <x v="3"/>
    <s v="Recoleta"/>
  </r>
  <r>
    <d v="2025-09-11T00:00:00"/>
    <x v="1"/>
    <x v="6"/>
    <s v="JAP6136600"/>
    <x v="0"/>
    <s v="VENTA TRES AMBIENTES CON COCHERA BARRIO NORTE/ RECOLETA"/>
    <s v="Realizado"/>
    <s v="AR ZonaProp"/>
    <n v="145000"/>
    <x v="247"/>
    <x v="1"/>
    <s v="Dólares"/>
    <s v="Dólares"/>
    <s v="Santa Fe al 1900"/>
    <s v="Argentina | Capital Federal | Barrio Norte "/>
    <x v="0"/>
    <n v="2"/>
    <s v="Lion Team Norte"/>
    <s v="Propia (Único Asesor)"/>
    <x v="1"/>
    <s v="Venta"/>
    <x v="6"/>
    <s v="Vicente López"/>
  </r>
  <r>
    <d v="2025-11-18T00:00:00"/>
    <x v="1"/>
    <x v="7"/>
    <s v="CAP7022441"/>
    <x v="0"/>
    <s v="Venta departamento 2 ambientes mas escritorio, balcón, Belgrano R"/>
    <s v="Realizado"/>
    <s v="AR ZonaProp"/>
    <n v="145000"/>
    <x v="247"/>
    <x v="1"/>
    <s v="Dólares"/>
    <s v="Dólares"/>
    <s v="Mendoza  al 3300"/>
    <s v="Argentina | Capital Federal | Belgrano | Belgrano R"/>
    <x v="0"/>
    <n v="2"/>
    <s v="Seniority"/>
    <s v="Propia (Único Asesor)"/>
    <x v="1"/>
    <s v="Venta"/>
    <x v="3"/>
    <s v="Barrio Parque"/>
  </r>
  <r>
    <d v="2025-12-27T00:00:00"/>
    <x v="1"/>
    <x v="8"/>
    <s v="CPH7351820"/>
    <x v="0"/>
    <s v="VENTA PH 3 AMBIENTES + LOCAL EN PARQUE CHACABUCO"/>
    <s v="Realizado"/>
    <s v="AR ZonaProp"/>
    <n v="145000"/>
    <x v="247"/>
    <x v="1"/>
    <s v="Dólares"/>
    <s v="Dólares"/>
    <s v="Riglos al 1000"/>
    <s v="Argentina | Capital Federal | Parque Chacabuco "/>
    <x v="3"/>
    <n v="2"/>
    <s v="Grupo Elite"/>
    <s v="Propia (Único Asesor)"/>
    <x v="1"/>
    <s v="Venta"/>
    <x v="3"/>
    <s v="Puerto Madero"/>
  </r>
  <r>
    <d v="2025-12-12T00:00:00"/>
    <x v="1"/>
    <x v="8"/>
    <m/>
    <x v="0"/>
    <s v="Venta Dpto. General Güemes N° 1636"/>
    <s v="Realizado"/>
    <s v="Facebook"/>
    <n v="134000"/>
    <x v="248"/>
    <x v="1"/>
    <s v="Dólares"/>
    <s v="Dólares"/>
    <s v="General Guemes N°1636"/>
    <s v="Argentina | Salta | Capital | Salta | Zona Norte"/>
    <x v="0"/>
    <n v="1"/>
    <s v="Realty Group"/>
    <s v="(Interior) Compartida Fuera de la Red Búsqueda"/>
    <x v="2"/>
    <s v="Venta"/>
    <x v="4"/>
    <s v="San Lorenzo Chico"/>
  </r>
  <r>
    <d v="2025-07-29T00:00:00"/>
    <x v="1"/>
    <x v="1"/>
    <s v="CHO6699817"/>
    <x v="0"/>
    <s v="Gran Casa de 4 Ambientes con Patio - Parrilla -Balcón Terraza en Barrio Municipal Floresta"/>
    <s v="Realizado"/>
    <s v="AR MercadoLibre"/>
    <n v="139000"/>
    <x v="248"/>
    <x v="1"/>
    <s v="Dólares"/>
    <s v="Dólares"/>
    <s v="Tacuara  al 1300"/>
    <s v="Argentina | Capital Federal | Floresta | Floresta Norte"/>
    <x v="2"/>
    <n v="2"/>
    <s v="Lion Team"/>
    <s v="Compartida en Oficina (Dos Asesores)"/>
    <x v="1"/>
    <s v="Venta"/>
    <x v="3"/>
    <s v="Villa Urquiza"/>
  </r>
  <r>
    <d v="2025-01-15T00:00:00"/>
    <x v="1"/>
    <x v="10"/>
    <n v="10271"/>
    <x v="0"/>
    <s v="B cerrado valle claro"/>
    <s v="Realizado"/>
    <s v="AR ZonaProp"/>
    <n v="0"/>
    <x v="248"/>
    <x v="1"/>
    <s v="Dólares"/>
    <s v="Dólares"/>
    <m/>
    <s v="Argentina | G.B.A. Zona Norte | Tigre | Benavidez"/>
    <x v="0"/>
    <n v="1"/>
    <s v="Seniority"/>
    <s v="Compartida Fuera de la Red Búsqueda"/>
    <x v="2"/>
    <s v="Venta"/>
    <x v="3"/>
    <s v="Barrio Parque"/>
  </r>
  <r>
    <d v="2025-08-30T00:00:00"/>
    <x v="1"/>
    <x v="5"/>
    <n v="29"/>
    <x v="0"/>
    <s v="Acevedo 125"/>
    <s v="Realizado"/>
    <s v="AR ZonaProp"/>
    <n v="134000"/>
    <x v="248"/>
    <x v="1"/>
    <s v="Dólares"/>
    <s v="Dólares"/>
    <s v="Acevedo 125 PB"/>
    <s v="Argentina | Capital Federal | Villa Crespo "/>
    <x v="0"/>
    <n v="1"/>
    <s v="Grupo Elite"/>
    <s v="Compartida Fuera de la Red Búsqueda"/>
    <x v="2"/>
    <s v="Venta"/>
    <x v="3"/>
    <s v="Puerto Madero"/>
  </r>
  <r>
    <d v="2026-01-05T00:00:00"/>
    <x v="0"/>
    <x v="10"/>
    <s v="N/C - MONROE 3246"/>
    <x v="0"/>
    <s v="VENTA DPTO 3 AMBIENTES"/>
    <s v="Realizado"/>
    <s v="AR ZonaProp"/>
    <n v="134000"/>
    <x v="248"/>
    <x v="1"/>
    <s v="Dólares"/>
    <s v="Dólares"/>
    <s v="MONROE 3246"/>
    <s v="Argentina | Capital Federal | Belgrano "/>
    <x v="1"/>
    <n v="1"/>
    <s v="Destino II"/>
    <s v="Compartida Fuera de la Red Búsqueda"/>
    <x v="2"/>
    <s v="Venta"/>
    <x v="3"/>
    <s v="Recoleta"/>
  </r>
  <r>
    <d v="2026-01-21T00:00:00"/>
    <x v="0"/>
    <x v="10"/>
    <s v="CAP6946019"/>
    <x v="0"/>
    <s v="Departamento 3 ambientes en venta en San Isidro APTO CREDITO"/>
    <s v="Realizado"/>
    <s v="AR ZonaProp"/>
    <n v="146000"/>
    <x v="248"/>
    <x v="1"/>
    <s v="Dólares"/>
    <s v="Dólares"/>
    <s v="Av Santa Fe al 400"/>
    <s v="Argentina | G.B.A. Zona Norte | San Isidro | Acassuso | Acas.-Vias/Santa Fe"/>
    <x v="0"/>
    <n v="2"/>
    <s v="Concept"/>
    <s v="Propia (Único Asesor)"/>
    <x v="1"/>
    <s v="Venta"/>
    <x v="6"/>
    <s v="Tigre"/>
  </r>
  <r>
    <d v="2026-03-27T00:00:00"/>
    <x v="0"/>
    <x v="9"/>
    <s v="CAP7240025"/>
    <x v="0"/>
    <s v="Departamento 3 ambientes sobre Libertador"/>
    <s v="Realizado"/>
    <s v="AR ZonaProp"/>
    <n v="137000"/>
    <x v="248"/>
    <x v="1"/>
    <s v="Dólares"/>
    <s v="Dólares"/>
    <s v="Av Libertador  al 1800"/>
    <s v="Argentina | G.B.A. Zona Norte | Vicente López | Olivos"/>
    <x v="0"/>
    <n v="2"/>
    <s v="Destino II"/>
    <s v="Propia (Único Asesor)"/>
    <x v="1"/>
    <s v="Venta"/>
    <x v="3"/>
    <s v="Recoleta"/>
  </r>
  <r>
    <d v="2025-05-20T00:00:00"/>
    <x v="1"/>
    <x v="2"/>
    <s v="VPN43578 LA4377366"/>
    <x v="0"/>
    <s v="Lote Financiado en Almahue Pilar"/>
    <s v="Realizado"/>
    <s v="AR ZonaProp"/>
    <n v="127956"/>
    <x v="249"/>
    <x v="1"/>
    <s v="Dólares"/>
    <s v="Dólares"/>
    <s v="ALMAHUÈ Pilar.  Derqui al 2500"/>
    <s v="Argentina | G.B.A. Zona Norte | Pilar | Pilar"/>
    <x v="1"/>
    <n v="2"/>
    <s v="Puerto Norte"/>
    <s v="Propia (Único Asesor)"/>
    <x v="1"/>
    <s v="Venta"/>
    <x v="6"/>
    <s v="Nordelta"/>
  </r>
  <r>
    <d v="2025-12-30T00:00:00"/>
    <x v="1"/>
    <x v="8"/>
    <n v="30122025"/>
    <x v="0"/>
    <s v="Cd19 lote en zona de bosque Arelauquen"/>
    <s v="Realizado"/>
    <s v="Teléfono"/>
    <n v="135000"/>
    <x v="250"/>
    <x v="1"/>
    <s v="Dólares"/>
    <s v="Dólares"/>
    <m/>
    <s v="Argentina | Rio Negro | Bariloche "/>
    <x v="1"/>
    <n v="1"/>
    <s v="Patagonia Lakes BRC"/>
    <s v="(Interior) Compartida Fuera de la Red Búsqueda"/>
    <x v="2"/>
    <s v="Venta"/>
    <x v="7"/>
    <s v="Bariloche"/>
  </r>
  <r>
    <d v="2025-12-12T00:00:00"/>
    <x v="1"/>
    <x v="8"/>
    <s v="COF6748942"/>
    <x v="0"/>
    <s v="Oficina en  Venta en Edificio Chacras Park - Chacras de Coria - Mendoza"/>
    <s v="Realizado"/>
    <s v="AR ZonaProp"/>
    <n v="150000"/>
    <x v="250"/>
    <x v="1"/>
    <s v="Dólares"/>
    <s v="Dólares"/>
    <s v="Panamericana s/n"/>
    <s v="Argentina | Mendoza | Lujan De Cuyo | Chacras De Coria"/>
    <x v="6"/>
    <n v="1"/>
    <s v="Cuyo Real"/>
    <s v="(Interior) Compartida Fuera de la Red Captación Propia"/>
    <x v="0"/>
    <s v="Venta"/>
    <x v="2"/>
    <s v="Capital Mendoza"/>
  </r>
  <r>
    <d v="2025-04-21T00:00:00"/>
    <x v="1"/>
    <x v="3"/>
    <s v="VAP6605293"/>
    <x v="1"/>
    <s v="Departamento  de 2 ambientes en Venta Apto Crédito en Villa del Lago - Pilar"/>
    <s v="Realizado"/>
    <s v="AR ZonaProp"/>
    <n v="140000"/>
    <x v="250"/>
    <x v="1"/>
    <s v="Dólares"/>
    <s v="Dólares"/>
    <s v="Av. Champagnat 1200 Pilar"/>
    <s v="Argentina | G.B.A. Zona Norte | Pilar | Countries/B.Cerrado (Pilar) | Villa del Lago"/>
    <x v="0"/>
    <n v="2"/>
    <s v="Puerto Norte"/>
    <s v="Compartida en Oficina (Dos Asesores)"/>
    <x v="1"/>
    <s v="Venta"/>
    <x v="6"/>
    <s v="Nordelta"/>
  </r>
  <r>
    <d v="2025-08-27T00:00:00"/>
    <x v="1"/>
    <x v="5"/>
    <s v="CAP4449603"/>
    <x v="0"/>
    <s v="VENTA Departamento 2 amb 44 m2 céntrico calidad premium Diagonales UF1 El Once Villa la Angostura"/>
    <s v="Realizado"/>
    <s v="Salón"/>
    <n v="135680"/>
    <x v="250"/>
    <x v="1"/>
    <s v="Dólares"/>
    <s v="Dólares"/>
    <s v="Millaqueo Y Michay, Villa la Angostura"/>
    <s v="Argentina | Neuquen | Villa La Angostura | El Once"/>
    <x v="0"/>
    <n v="2"/>
    <s v="Patagonia Lakes VLA"/>
    <s v="Compartida en Oficina (Dos Asesores)"/>
    <x v="1"/>
    <s v="Venta"/>
    <x v="1"/>
    <s v="Villa La Angostura"/>
  </r>
  <r>
    <d v="2025-10-08T00:00:00"/>
    <x v="1"/>
    <x v="11"/>
    <s v="Marcos Sastre 5115"/>
    <x v="0"/>
    <s v="Marcos Sastre 5115"/>
    <s v="Realizado"/>
    <s v="AR MercadoLibre"/>
    <n v="180000"/>
    <x v="250"/>
    <x v="1"/>
    <s v="Dólares"/>
    <s v="Dólares"/>
    <m/>
    <s v="Argentina | Capital Federal | Capital Federal "/>
    <x v="3"/>
    <n v="2"/>
    <s v="Lion Team"/>
    <s v="Compartida en Oficina (Dos Asesores)"/>
    <x v="1"/>
    <s v="Venta"/>
    <x v="3"/>
    <s v="Villa Urquiza"/>
  </r>
  <r>
    <d v="2025-11-19T00:00:00"/>
    <x v="1"/>
    <x v="7"/>
    <s v="DEPTO COLEGA"/>
    <x v="0"/>
    <s v="DEPTO. 3 AMBIENTES"/>
    <s v="Realizado"/>
    <s v="AR ZonaProp"/>
    <n v="135000"/>
    <x v="250"/>
    <x v="1"/>
    <s v="Dólares"/>
    <s v="Dólares"/>
    <s v="CONGRESO 2369"/>
    <s v="Argentina | Capital Federal | Nuñez "/>
    <x v="0"/>
    <n v="1"/>
    <s v="Horizon Group"/>
    <s v="Compartida Fuera de la Red Búsqueda"/>
    <x v="2"/>
    <s v="Venta"/>
    <x v="3"/>
    <s v="Núñez"/>
  </r>
  <r>
    <d v="2026-01-28T00:00:00"/>
    <x v="0"/>
    <x v="10"/>
    <n v="10544"/>
    <x v="0"/>
    <s v="Juramento 3121 "/>
    <s v="Realizado"/>
    <s v="AR ZonaProp"/>
    <n v="135000"/>
    <x v="250"/>
    <x v="1"/>
    <s v="Dólares"/>
    <s v="Dólares"/>
    <s v="Juramento 3121 "/>
    <s v="Argentina | Capital Federal | Belgrano "/>
    <x v="1"/>
    <n v="1"/>
    <s v="Seniority"/>
    <s v="Compartida Fuera de la Red Búsqueda"/>
    <x v="2"/>
    <s v="Venta"/>
    <x v="3"/>
    <s v="Barrio Parque"/>
  </r>
  <r>
    <d v="2026-01-30T00:00:00"/>
    <x v="0"/>
    <x v="10"/>
    <s v="CHO6893764"/>
    <x v="0"/>
    <s v="VENTA DE CASA MULTIFAMILIAR "/>
    <s v="Realizado"/>
    <s v="AR ZonaProp"/>
    <n v="149000"/>
    <x v="250"/>
    <x v="1"/>
    <s v="Dólares"/>
    <s v="Dólares"/>
    <s v="Venta De  2  Casas Thames y Joaquin V. Gonzalez al 700."/>
    <s v="Argentina | G.B.A. Zona Norte | San Isidro | Boulogne Sur Mer"/>
    <x v="2"/>
    <n v="2"/>
    <s v="Haka"/>
    <s v="Compartida Fuera de la Red Captación Propia"/>
    <x v="0"/>
    <s v="Venta"/>
    <x v="3"/>
    <s v="Núñez"/>
  </r>
  <r>
    <d v="2025-09-16T00:00:00"/>
    <x v="1"/>
    <x v="6"/>
    <n v="10506"/>
    <x v="2"/>
    <s v="Thames 710"/>
    <s v="Realizado"/>
    <s v="AR ZonaProp"/>
    <n v="0"/>
    <x v="250"/>
    <x v="1"/>
    <s v="Dólares"/>
    <s v="Dólares"/>
    <m/>
    <s v="Argentina | Capital Federal | Flores "/>
    <x v="0"/>
    <n v="2"/>
    <s v="Seniority"/>
    <s v="Master"/>
    <x v="1"/>
    <s v="Venta"/>
    <x v="3"/>
    <s v="Barrio Parque"/>
  </r>
  <r>
    <d v="2025-10-22T00:00:00"/>
    <x v="1"/>
    <x v="11"/>
    <s v="CCO55382 AP6516822"/>
    <x v="2"/>
    <s v="Venta/Alquiler Departamento 2 Ambientes - Vilahaus, Ayres Vila"/>
    <s v="Realizado"/>
    <s v="AR ZonaProp"/>
    <n v="650"/>
    <x v="250"/>
    <x v="1"/>
    <s v="Dólares"/>
    <s v="Dólares"/>
    <s v="Venta/ Alquiler Departamento 2 Ambientes - Vilahaus, Ayres Vila"/>
    <s v="Argentina | G.B.A. Zona Norte | Pilar | Manuel Alberti | vilahaus"/>
    <x v="0"/>
    <n v="2"/>
    <s v="North Team"/>
    <s v="Master"/>
    <x v="1"/>
    <s v="Venta"/>
    <x v="6"/>
    <s v="Pilar"/>
  </r>
  <r>
    <d v="2026-02-04T00:00:00"/>
    <x v="0"/>
    <x v="0"/>
    <s v="CAP7370515"/>
    <x v="2"/>
    <s v="Departamento en Barracas"/>
    <s v="Realizado"/>
    <s v="AR ZonaProp"/>
    <n v="130600"/>
    <x v="250"/>
    <x v="1"/>
    <s v="Dólares"/>
    <s v="Dólares"/>
    <s v="Finoquieto al 900"/>
    <s v="Argentina | Capital Federal | Barracas "/>
    <x v="0"/>
    <n v="2"/>
    <s v="Haka"/>
    <s v="Master"/>
    <x v="1"/>
    <s v="Venta"/>
    <x v="3"/>
    <s v="Núñez"/>
  </r>
  <r>
    <d v="2025-07-24T00:00:00"/>
    <x v="1"/>
    <x v="1"/>
    <s v="CAP6824790"/>
    <x v="0"/>
    <s v="VENTA Depto 44m2 en P.Baja B Modulo 2, Pozo Amenities, Vista al Lago y cordillera, B° Las Balsas, Villa La Angostura"/>
    <s v="Realizado"/>
    <s v="Referido"/>
    <n v="135000"/>
    <x v="250"/>
    <x v="1"/>
    <s v="Dólares"/>
    <s v="Dólares"/>
    <s v="Calle Interna Feicuram"/>
    <s v="Argentina | Neuquen | Villa La Angostura | Las Balsas"/>
    <x v="0"/>
    <n v="2"/>
    <s v="Haka"/>
    <s v="Profesional Referenciador (30%)"/>
    <x v="1"/>
    <s v="Venta"/>
    <x v="3"/>
    <s v="Núñez"/>
  </r>
  <r>
    <d v="2025-08-14T00:00:00"/>
    <x v="1"/>
    <x v="5"/>
    <s v="CAP6824790"/>
    <x v="1"/>
    <s v="VENTA Depto 44m2 en P.Baja B Modulo 2, Pozo Amenities, Vista al Lago y cordillera, B° Las Balsas, Villa La Angostura"/>
    <s v="Realizado"/>
    <s v="Referido"/>
    <n v="135000"/>
    <x v="250"/>
    <x v="1"/>
    <s v="Dólares"/>
    <s v="Dólares"/>
    <s v="Calle Interna Feicuram"/>
    <s v="Argentina | Neuquen | Villa La Angostura | Las Balsas"/>
    <x v="0"/>
    <n v="2"/>
    <s v="Patagonia Lakes VLA"/>
    <s v="Profesional Referido (70%)"/>
    <x v="1"/>
    <s v="Venta"/>
    <x v="1"/>
    <s v="Villa La Angostura"/>
  </r>
  <r>
    <d v="2025-01-27T00:00:00"/>
    <x v="1"/>
    <x v="10"/>
    <s v="CAP6465196"/>
    <x v="0"/>
    <s v="VENTA DEPARTAMENTO 3 AMBIENTES C/ BALCON AL FRENTE Y VISTA ABIERTA. COLEGIALES. APTO CREDITO."/>
    <s v="Realizado"/>
    <s v="AR ZonaProp"/>
    <n v="145000"/>
    <x v="250"/>
    <x v="1"/>
    <s v="Dólares"/>
    <s v="Dólares"/>
    <s v="Cespedes y Av. Cabildo"/>
    <s v="Argentina | Capital Federal | Colegiales "/>
    <x v="0"/>
    <n v="2"/>
    <s v="Seniority"/>
    <s v="Propia (Único Asesor)"/>
    <x v="1"/>
    <s v="Venta"/>
    <x v="3"/>
    <s v="Barrio Parque"/>
  </r>
  <r>
    <d v="2025-01-31T00:00:00"/>
    <x v="1"/>
    <x v="10"/>
    <s v="COF6644752"/>
    <x v="0"/>
    <s v="Monoambiente en Venta - Apto vivienda o apto profesional - Studios - Ayres Vila"/>
    <s v="Realizado"/>
    <s v="AR ZonaProp"/>
    <n v="144000"/>
    <x v="250"/>
    <x v="1"/>
    <s v="Dólares"/>
    <s v="Dólares"/>
    <s v="Monoambiente en Venta - Apto vivienda o apto profesional - Studios - Ayres Vila"/>
    <s v="Argentina | G.B.A. Zona Norte | Pilar | Manuel Alberti | STUDIOS Work &amp; Live"/>
    <x v="0"/>
    <n v="2"/>
    <s v="North Team"/>
    <s v="Propia (Único Asesor)"/>
    <x v="1"/>
    <s v="Venta"/>
    <x v="6"/>
    <s v="Pilar"/>
  </r>
  <r>
    <d v="2025-03-07T00:00:00"/>
    <x v="1"/>
    <x v="9"/>
    <s v="CBU54070 AP5871976"/>
    <x v="0"/>
    <s v="VENTA Local comercial pozo 72m2 UF2 gran ubicación ruta 40 Complejo Tres Cerros Villa la Angostura"/>
    <s v="Realizado"/>
    <s v="UY ZonaProp"/>
    <n v="145000"/>
    <x v="250"/>
    <x v="1"/>
    <s v="Dólares"/>
    <s v="Dólares"/>
    <s v="Ruta 40, Villa la Angostura"/>
    <s v="Argentina | Neuquen | Villa La Angostura | Tres Cerros"/>
    <x v="4"/>
    <n v="2"/>
    <s v="Patagonia Lakes VLA"/>
    <s v="Propia (Único Asesor)"/>
    <x v="1"/>
    <s v="Venta"/>
    <x v="1"/>
    <s v="Villa La Angostura"/>
  </r>
  <r>
    <d v="2025-04-14T00:00:00"/>
    <x v="1"/>
    <x v="3"/>
    <s v="CHO6072376"/>
    <x v="0"/>
    <s v="Casa- 3 amb- Lomas Del Mirador- Pileta- Quincho-Terraza - Remodelada - Cochera- Parque"/>
    <s v="Realizado"/>
    <s v="AR ZonaProp"/>
    <n v="145000"/>
    <x v="250"/>
    <x v="1"/>
    <s v="Dólares"/>
    <s v="Dólares"/>
    <s v="Olleros al 100"/>
    <s v="Argentina | G.B.A. Zona Oeste | La Matanza | Lomas Del Mirador"/>
    <x v="2"/>
    <n v="2"/>
    <s v="Lion Team"/>
    <s v="Propia (Único Asesor)"/>
    <x v="1"/>
    <s v="Venta"/>
    <x v="3"/>
    <s v="Villa Urquiza"/>
  </r>
  <r>
    <d v="2025-05-15T00:00:00"/>
    <x v="1"/>
    <x v="2"/>
    <s v="CLA6628077"/>
    <x v="0"/>
    <s v="Terreno en  Venta sobre Calle Tirasso - Guaymallén - Mendoza"/>
    <s v="Realizado"/>
    <s v="AR ZonaProp"/>
    <n v="135000"/>
    <x v="250"/>
    <x v="1"/>
    <s v="Dólares"/>
    <s v="Dólares"/>
    <s v="Tirasso y Pedro del Castillo"/>
    <s v="Argentina | Mendoza | Guaymallen | Capilla Del Rosario"/>
    <x v="1"/>
    <n v="2"/>
    <s v="Cuyo Real"/>
    <s v="Propia (Único Asesor)"/>
    <x v="1"/>
    <s v="Venta"/>
    <x v="2"/>
    <s v="Capital Mendoza"/>
  </r>
  <r>
    <d v="2025-06-30T00:00:00"/>
    <x v="1"/>
    <x v="4"/>
    <m/>
    <x v="0"/>
    <s v="Lote 159 de 8426,41 m2, Vallescondido SMA NC:15-RR-023-4620-0159"/>
    <s v="Realizado"/>
    <s v="Conocido"/>
    <n v="135000"/>
    <x v="250"/>
    <x v="1"/>
    <s v="Dólares"/>
    <s v="Dólares"/>
    <m/>
    <s v="Argentina | Neuquen | Lacar | San Martin De Los Andes | Valle escondido – Club de campo"/>
    <x v="1"/>
    <n v="2"/>
    <s v="Patagonia Lakes SMA"/>
    <s v="Propia (Único Asesor)"/>
    <x v="1"/>
    <s v="Venta"/>
    <x v="1"/>
    <s v="San Martín de los Andes"/>
  </r>
  <r>
    <d v="2025-07-16T00:00:00"/>
    <x v="1"/>
    <x v="1"/>
    <s v="CARRANZA 2100 PALERMO"/>
    <x v="0"/>
    <s v="DEPTO VENTA CARRANZA 2100"/>
    <s v="Realizado"/>
    <s v="AR ZonaProp"/>
    <n v="135000"/>
    <x v="250"/>
    <x v="1"/>
    <s v="Dólares"/>
    <s v="Dólares"/>
    <m/>
    <s v="Argentina | Capital Federal | Palermo "/>
    <x v="1"/>
    <n v="2"/>
    <s v="Livello"/>
    <s v="Propia (Único Asesor)"/>
    <x v="1"/>
    <s v="Venta"/>
    <x v="3"/>
    <s v="Palermo"/>
  </r>
  <r>
    <d v="2025-07-22T00:00:00"/>
    <x v="1"/>
    <x v="1"/>
    <s v="VAP6930398"/>
    <x v="0"/>
    <s v="Departamento 3 ambientes a la venta en Nuñez"/>
    <s v="Realizado"/>
    <s v="AR ArgenProp"/>
    <n v="142000"/>
    <x v="250"/>
    <x v="1"/>
    <s v="Dólares"/>
    <s v="Dólares"/>
    <s v="Moldes al 3500"/>
    <s v="Argentina | Capital Federal | Nuñez "/>
    <x v="0"/>
    <n v="2"/>
    <s v="Space BA"/>
    <s v="Propia (Único Asesor)"/>
    <x v="1"/>
    <s v="Venta"/>
    <x v="3"/>
    <s v="Belgrano"/>
  </r>
  <r>
    <d v="2025-08-11T00:00:00"/>
    <x v="1"/>
    <x v="5"/>
    <s v="VAP6818742"/>
    <x v="0"/>
    <s v="Hermoso Dpto. con Terraza propia con parrilla y 2 Cocheras"/>
    <s v="Realizado"/>
    <s v="AR ZonaProp"/>
    <n v="175000"/>
    <x v="250"/>
    <x v="1"/>
    <s v="Dólares"/>
    <s v="Dólares"/>
    <s v="Laprida al 2400"/>
    <s v="Argentina | G.B.A. Zona Norte | Vicente López | Florida"/>
    <x v="0"/>
    <n v="2"/>
    <s v="Puerto Norte"/>
    <s v="Propia (Único Asesor)"/>
    <x v="1"/>
    <s v="Venta"/>
    <x v="6"/>
    <s v="Nordelta"/>
  </r>
  <r>
    <d v="2025-09-01T00:00:00"/>
    <x v="1"/>
    <x v="6"/>
    <s v="CAP6812675"/>
    <x v="0"/>
    <s v="Departamento de 3 amb en Belgrano C - APTO CREDITO"/>
    <s v="Realizado"/>
    <s v="AR ZonaProp"/>
    <n v="145000"/>
    <x v="250"/>
    <x v="1"/>
    <s v="Dólares"/>
    <s v="Dólares"/>
    <s v="3 de Febrero al 2200"/>
    <s v="Argentina | Capital Federal | Belgrano | Belgrano C"/>
    <x v="0"/>
    <n v="2"/>
    <s v="Haka"/>
    <s v="Propia (Único Asesor)"/>
    <x v="1"/>
    <s v="Venta"/>
    <x v="3"/>
    <s v="Núñez"/>
  </r>
  <r>
    <d v="2025-10-13T00:00:00"/>
    <x v="1"/>
    <x v="11"/>
    <s v="CPH6379080"/>
    <x v="0"/>
    <s v="VENTA PH 3 AMBIENTES C/ PATIO, QUINCHO, PARRILLA  Y TERRAZA EN VALENTIN ALSINA."/>
    <s v="Realizado"/>
    <s v="AR ZonaProp"/>
    <n v="145000"/>
    <x v="250"/>
    <x v="1"/>
    <s v="Dólares"/>
    <s v="Dólares"/>
    <s v="Alfredo Palacios al 3200"/>
    <s v="Argentina | G.B.A. Zona Sur | Lanús | Valentin Alsina"/>
    <x v="3"/>
    <n v="2"/>
    <s v="Seniority Plus"/>
    <s v="Propia (Único Asesor)"/>
    <x v="1"/>
    <s v="Venta"/>
    <x v="3"/>
    <s v="Palermo"/>
  </r>
  <r>
    <d v="2025-12-05T00:00:00"/>
    <x v="1"/>
    <x v="8"/>
    <s v="CLO6474959"/>
    <x v="0"/>
    <s v="Deposito en Venta en Devoto"/>
    <s v="Realizado"/>
    <s v="AR ZonaProp"/>
    <n v="149500"/>
    <x v="250"/>
    <x v="1"/>
    <s v="Dólares"/>
    <s v="Dólares"/>
    <s v="Tinogasta al 5000"/>
    <s v="Argentina | Capital Federal | Villa Devoto "/>
    <x v="7"/>
    <n v="2"/>
    <s v="Horizon Group"/>
    <s v="Propia (Único Asesor)"/>
    <x v="1"/>
    <s v="Venta"/>
    <x v="3"/>
    <s v="Núñez"/>
  </r>
  <r>
    <d v="2025-12-22T00:00:00"/>
    <x v="1"/>
    <x v="8"/>
    <s v="Departamento en Condominio Civis"/>
    <x v="0"/>
    <s v="Departamento en venta 2 ambientes Condominio Civis"/>
    <s v="Realizado"/>
    <s v="AR ZonaProp"/>
    <n v="145000"/>
    <x v="250"/>
    <x v="1"/>
    <s v="Dólares"/>
    <s v="Dólares"/>
    <s v="Hernando de Magallanes 1433 - Tortugas Norte"/>
    <s v="Argentina | G.B.A. Zona Norte | Escobar | Countries/B.Cerrado (Escobar) | Condominio Civis"/>
    <x v="0"/>
    <n v="2"/>
    <s v="North Team"/>
    <s v="Propia (Único Asesor)"/>
    <x v="1"/>
    <s v="Venta"/>
    <x v="6"/>
    <s v="Pilar"/>
  </r>
  <r>
    <d v="2026-01-15T00:00:00"/>
    <x v="0"/>
    <x v="10"/>
    <s v="CHO7188981"/>
    <x v="0"/>
    <s v="Casa a la venta Barrio San Sebastian Area 13"/>
    <s v="Realizado"/>
    <s v="AR ZonaProp"/>
    <n v="1000"/>
    <x v="250"/>
    <x v="1"/>
    <s v="Dólares"/>
    <s v="Dólares"/>
    <s v="Barrio San Sebastian - Área 13"/>
    <s v="Argentina | G.B.A. Zona Norte | Escobar | Loma Verde | San Sebastian"/>
    <x v="2"/>
    <n v="2"/>
    <s v="Quality"/>
    <s v="Propia (Único Asesor)"/>
    <x v="1"/>
    <s v="Venta"/>
    <x v="6"/>
    <s v="Escobar"/>
  </r>
  <r>
    <d v="2026-03-10T00:00:00"/>
    <x v="0"/>
    <x v="9"/>
    <s v="CHO7423548"/>
    <x v="0"/>
    <s v="Casa en venta en Neuquén APTA CRÉDITO"/>
    <s v="Realizado"/>
    <s v="Cartel"/>
    <n v="140000"/>
    <x v="250"/>
    <x v="1"/>
    <s v="Dólares"/>
    <s v="Dólares"/>
    <s v="Se vende casa en Neuquén en zona oeste - APTA CRÉDITO"/>
    <s v="Argentina | Neuquen | Confluencia | Neuquen"/>
    <x v="2"/>
    <n v="2"/>
    <s v="Sensus"/>
    <s v="Propia (Único Asesor)"/>
    <x v="1"/>
    <s v="Venta"/>
    <x v="1"/>
    <s v="Capital Neuquén"/>
  </r>
  <r>
    <d v="2025-07-31T00:00:00"/>
    <x v="1"/>
    <x v="1"/>
    <n v="10458"/>
    <x v="0"/>
    <s v="thames "/>
    <s v="Realizado"/>
    <s v="AR ZonaProp"/>
    <n v="0"/>
    <x v="251"/>
    <x v="1"/>
    <s v="Dólares"/>
    <s v="Dólares"/>
    <m/>
    <s v="Argentina | Capital Federal | Flores "/>
    <x v="0"/>
    <n v="1"/>
    <s v="Seniority"/>
    <s v="Compartida Fuera de la Red Búsqueda"/>
    <x v="2"/>
    <s v="Venta"/>
    <x v="3"/>
    <s v="Barrio Parque"/>
  </r>
  <r>
    <d v="2025-11-18T00:00:00"/>
    <x v="1"/>
    <x v="7"/>
    <s v="CBU65829 AP7250289"/>
    <x v="0"/>
    <s v="Departamento en Venta 3 AMB - Zona Saavedra OPORTUNIDAD"/>
    <s v="Realizado"/>
    <s v="AR MercadoLibre"/>
    <n v="200000"/>
    <x v="252"/>
    <x v="1"/>
    <s v="Dólares"/>
    <s v="Dólares"/>
    <s v="Deheza  al 3100"/>
    <s v="Argentina | Capital Federal | Saavedra "/>
    <x v="0"/>
    <n v="2"/>
    <s v="Puerto Norte"/>
    <s v="Compartida en Oficina (Dos Asesores)"/>
    <x v="1"/>
    <s v="Venta"/>
    <x v="6"/>
    <s v="Nordelta"/>
  </r>
  <r>
    <d v="2026-01-23T00:00:00"/>
    <x v="0"/>
    <x v="10"/>
    <s v="VPN53619 HO5687821"/>
    <x v="0"/>
    <s v="Casa 4 AMB en Las Margaritas Village - Pilar"/>
    <s v="Realizado"/>
    <s v="AR ZonaProp"/>
    <n v="140000"/>
    <x v="252"/>
    <x v="1"/>
    <s v="Dólares"/>
    <s v="Dólares"/>
    <s v="Casa en Las Margaritas Village"/>
    <s v="Argentina | G.B.A. Zona Norte | Pilar | Countries/B.Cerrado (Pilar) | Las Margaritas"/>
    <x v="2"/>
    <n v="2"/>
    <s v="Puerto Norte"/>
    <s v="Compartida en Oficina (Dos Asesores)"/>
    <x v="1"/>
    <s v="Venta"/>
    <x v="6"/>
    <s v="Nordelta"/>
  </r>
  <r>
    <d v="2026-02-09T00:00:00"/>
    <x v="0"/>
    <x v="0"/>
    <s v="N/C - ORO 2631"/>
    <x v="0"/>
    <s v="VENTA DPTO 2 AMBIENTES PALERMO NUEVO"/>
    <s v="Realizado"/>
    <s v="AR ZonaProp"/>
    <n v="136000"/>
    <x v="252"/>
    <x v="1"/>
    <s v="Dólares"/>
    <s v="Dólares"/>
    <s v="Fray Justo Sta. María de Oro 2631"/>
    <s v="Argentina | Capital Federal | Palermo | Palermo Nuevo"/>
    <x v="0"/>
    <n v="1"/>
    <s v="Destino II"/>
    <s v="Compartida Fuera de la Red Búsqueda"/>
    <x v="2"/>
    <s v="Venta"/>
    <x v="3"/>
    <s v="Recoleta"/>
  </r>
  <r>
    <d v="2025-05-30T00:00:00"/>
    <x v="1"/>
    <x v="2"/>
    <s v="CAP6692162"/>
    <x v="2"/>
    <s v="Departamento en  Venta , Centrico, Edificio Jujuy . "/>
    <s v="Realizado"/>
    <s v="Referido"/>
    <n v="125000"/>
    <x v="252"/>
    <x v="1"/>
    <s v="Dólares"/>
    <s v="Dólares"/>
    <s v="Edificio Jujuy  al 300, Neuquen Capital ."/>
    <s v="Argentina | Neuquen | Capital | Confluencia Urbana"/>
    <x v="0"/>
    <n v="2"/>
    <s v="Patagonia Lakes SMA"/>
    <s v="Master"/>
    <x v="1"/>
    <s v="Venta"/>
    <x v="1"/>
    <s v="San Martín de los Andes"/>
  </r>
  <r>
    <d v="2025-01-21T00:00:00"/>
    <x v="1"/>
    <x v="10"/>
    <s v="CAP6692162"/>
    <x v="0"/>
    <s v="Departamento en  Venta , Centrico, Edificio Jujuy . "/>
    <s v="Realizado"/>
    <s v="AR ZonaProp"/>
    <n v="125000"/>
    <x v="252"/>
    <x v="1"/>
    <s v="Dólares"/>
    <s v="Dólares"/>
    <s v="Edificio Jujuy  al 300, Neuquen Capital ."/>
    <s v="Argentina | Neuquen | Capital | Confluencia Urbana"/>
    <x v="0"/>
    <n v="2"/>
    <s v="Sensus"/>
    <s v="Propia (Único Asesor)"/>
    <x v="1"/>
    <s v="Venta"/>
    <x v="1"/>
    <s v="Capital Neuquén"/>
  </r>
  <r>
    <d v="2025-04-30T00:00:00"/>
    <x v="1"/>
    <x v="3"/>
    <s v="CAP6871558"/>
    <x v="0"/>
    <s v="Venta dos ambientes en Colegiales a estrenar "/>
    <s v="Realizado"/>
    <s v="AR ZonaProp"/>
    <n v="140000"/>
    <x v="252"/>
    <x v="1"/>
    <s v="Dólares"/>
    <s v="Dólares"/>
    <s v="Conde  al 1200"/>
    <s v="Argentina | Capital Federal | Colegiales "/>
    <x v="0"/>
    <n v="2"/>
    <s v="Seniority"/>
    <s v="Propia (Único Asesor)"/>
    <x v="1"/>
    <s v="Venta"/>
    <x v="3"/>
    <s v="Barrio Parque"/>
  </r>
  <r>
    <d v="2025-09-04T00:00:00"/>
    <x v="1"/>
    <x v="6"/>
    <s v="CPH7051392"/>
    <x v="0"/>
    <s v="Venta PH en  Villa Urquiza 4 Ambientes Patio con Parrilla y Cochera"/>
    <s v="Realizado"/>
    <s v="AR ZonaProp"/>
    <n v="149000"/>
    <x v="252"/>
    <x v="1"/>
    <s v="Dólares"/>
    <s v="Dólares"/>
    <s v="Pasaje Talavera  al 5800"/>
    <s v="Argentina | Capital Federal | Villa Urquiza "/>
    <x v="3"/>
    <n v="2"/>
    <s v="Seniority"/>
    <s v="Propia (Único Asesor)"/>
    <x v="1"/>
    <s v="Venta"/>
    <x v="3"/>
    <s v="Barrio Parque"/>
  </r>
  <r>
    <d v="2026-01-12T00:00:00"/>
    <x v="0"/>
    <x v="10"/>
    <s v="CAP6956247"/>
    <x v="0"/>
    <s v="Departamento 2 dormitorios con posibilidad de 3, dependencia - APTO CREDITO"/>
    <s v="Realizado"/>
    <s v="AR ZonaProp"/>
    <n v="139000"/>
    <x v="252"/>
    <x v="1"/>
    <s v="Dólares"/>
    <s v="Dólares"/>
    <s v="Medrano  al 300"/>
    <s v="Argentina | Capital Federal | Almagro | Almagro Norte"/>
    <x v="0"/>
    <n v="2"/>
    <s v="Seniority"/>
    <s v="Propia (Único Asesor)"/>
    <x v="1"/>
    <s v="Venta"/>
    <x v="3"/>
    <s v="Barrio Parque"/>
  </r>
  <r>
    <d v="2025-10-14T00:00:00"/>
    <x v="1"/>
    <x v="11"/>
    <s v="CAP6824790"/>
    <x v="1"/>
    <s v="VENTA Depto 44m2 en P.Baja B Modulo 2, Pozo Amenities, Vista al Lago y cordillera, B° Las Balsas, Villa La Angostura"/>
    <s v="Realizado"/>
    <s v="AR ZonaProp"/>
    <n v="136053"/>
    <x v="253"/>
    <x v="1"/>
    <s v="Dólares"/>
    <s v="Dólares"/>
    <s v="Calle Interna Feicuram"/>
    <s v="Argentina | Neuquen | Villa La Angostura | Las Balsas"/>
    <x v="0"/>
    <n v="2"/>
    <s v="Patagonia Lakes VLA"/>
    <s v="Compartida en Oficina (Dos Asesores)"/>
    <x v="1"/>
    <s v="Venta"/>
    <x v="1"/>
    <s v="Villa La Angostura"/>
  </r>
  <r>
    <d v="2025-08-29T00:00:00"/>
    <x v="1"/>
    <x v="5"/>
    <s v="CBU42019 AP6819581"/>
    <x v="0"/>
    <s v="Departamento VENTA 2 ambientes vista al lago - Bariloche"/>
    <s v="Realizado"/>
    <s v="Teléfono"/>
    <n v="136080"/>
    <x v="254"/>
    <x v="1"/>
    <s v="Dólares"/>
    <s v="Dólares"/>
    <s v="La Cumbre, San Carlos de Bariloche"/>
    <s v="Argentina | Rio Negro | Bariloche | San Carlos De Bariloche"/>
    <x v="0"/>
    <n v="2"/>
    <s v="Patagonia Lakes BRC"/>
    <s v="Propia (Único Asesor)"/>
    <x v="1"/>
    <s v="Venta"/>
    <x v="7"/>
    <s v="Bariloche"/>
  </r>
  <r>
    <d v="2025-12-01T00:00:00"/>
    <x v="1"/>
    <x v="8"/>
    <s v="casa"/>
    <x v="0"/>
    <s v="casa en venta busqueda"/>
    <s v="Realizado"/>
    <s v="AR ZonaProp"/>
    <n v="0"/>
    <x v="255"/>
    <x v="1"/>
    <s v="Dólares"/>
    <s v="Dólares"/>
    <m/>
    <s v="Argentina | Mendoza | Maipu "/>
    <x v="2"/>
    <n v="1"/>
    <s v="Cuyo Real"/>
    <s v="(Interior) Compartida Fuera de la Red Búsqueda"/>
    <x v="2"/>
    <s v="Venta"/>
    <x v="2"/>
    <s v="Capital Mendoza"/>
  </r>
  <r>
    <d v="2026-01-08T00:00:00"/>
    <x v="0"/>
    <x v="10"/>
    <s v="CLA7680696"/>
    <x v="0"/>
    <s v="OPORTUNIDAD!!! REVENTA LOTE 790m2 ALMAHUE PILAR sector House 1"/>
    <s v="Realizado"/>
    <s v="AR ZonaProp"/>
    <n v="135000"/>
    <x v="256"/>
    <x v="1"/>
    <s v="Dólares"/>
    <s v="Dólares"/>
    <s v="ALMAHUE PILAR - REVENTA LOTE Sector TACO 2"/>
    <s v="Argentina | G.B.A. Zona Norte | Pilar | La Lonja"/>
    <x v="1"/>
    <n v="1"/>
    <s v="Puerto Norte"/>
    <s v="Compartida Fuera de la Red Búsqueda"/>
    <x v="2"/>
    <s v="Venta"/>
    <x v="6"/>
    <s v="Nordelta"/>
  </r>
  <r>
    <d v="2025-01-14T00:00:00"/>
    <x v="1"/>
    <x v="10"/>
    <s v="CAP6517340"/>
    <x v="0"/>
    <s v="VENTA DEPARTAMENTO 3 AMBIENTES EN FLORIDA"/>
    <s v="Realizado"/>
    <s v="AR ZonaProp"/>
    <n v="145000"/>
    <x v="256"/>
    <x v="1"/>
    <s v="Dólares"/>
    <s v="Dólares"/>
    <s v="Vergara al 2300"/>
    <s v="Argentina | G.B.A. Zona Norte | Vicente López | Florida"/>
    <x v="0"/>
    <n v="2"/>
    <s v="Seniority"/>
    <s v="Propia (Único Asesor)"/>
    <x v="1"/>
    <s v="Venta"/>
    <x v="3"/>
    <s v="Barrio Parque"/>
  </r>
  <r>
    <d v="2025-05-29T00:00:00"/>
    <x v="1"/>
    <x v="2"/>
    <s v="CPH5966225"/>
    <x v="0"/>
    <s v="VENTA - CASA AL FRENTE A ESTRENAR - 4 AMBIENTES - LANUS CENTRO"/>
    <s v="Realizado"/>
    <s v="AR ZonaProp"/>
    <n v="139800"/>
    <x v="256"/>
    <x v="1"/>
    <s v="Dólares"/>
    <s v="Dólares"/>
    <s v="Dr. Arturo Melo al 1600"/>
    <s v="Argentina | G.B.A. Zona Sur | Lanús | Lanús | Lanús Oeste"/>
    <x v="3"/>
    <n v="2"/>
    <s v="Seniority Plus"/>
    <s v="Propia (Único Asesor)"/>
    <x v="1"/>
    <s v="Venta"/>
    <x v="3"/>
    <s v="Palermo"/>
  </r>
  <r>
    <d v="2026-01-27T00:00:00"/>
    <x v="0"/>
    <x v="10"/>
    <m/>
    <x v="0"/>
    <s v="J. V. Gonzalez 2823 - Leo Maroni - Remax Suma"/>
    <s v="Realizado"/>
    <s v="AR ZonaProp"/>
    <n v="137500"/>
    <x v="257"/>
    <x v="1"/>
    <s v="Dólares"/>
    <s v="Dólares"/>
    <s v="J. V. Gonzalez 2823"/>
    <s v="Argentina | G.B.A. Zona Sur | Lanús "/>
    <x v="0"/>
    <n v="1"/>
    <s v="Destino"/>
    <s v="Compartida Fuera de la Red Búsqueda"/>
    <x v="2"/>
    <s v="Venta"/>
    <x v="3"/>
    <s v="Recoleta"/>
  </r>
  <r>
    <d v="2025-11-18T00:00:00"/>
    <x v="1"/>
    <x v="7"/>
    <s v="CPH6377017"/>
    <x v="0"/>
    <s v="Moderno Dúplex a Estrenar en Barrio Las Victorias -  APTO CRÉDITO HIPOTECARIO"/>
    <s v="Realizado"/>
    <s v="Teléfono"/>
    <n v="139000"/>
    <x v="258"/>
    <x v="1"/>
    <s v="Dólares"/>
    <s v="Dólares"/>
    <s v="Las Victorias, San Carlos de Bariloche"/>
    <s v="Argentina | Rio Negro | Bariloche | San Carlos De Bariloche | Las Victorias"/>
    <x v="3"/>
    <n v="2"/>
    <s v="Patagonia Lakes BRC"/>
    <s v="Compartida en Oficina (Dos Asesores)"/>
    <x v="1"/>
    <s v="Venta"/>
    <x v="7"/>
    <s v="Bariloche"/>
  </r>
  <r>
    <d v="2025-08-11T00:00:00"/>
    <x v="1"/>
    <x v="5"/>
    <n v="12"/>
    <x v="0"/>
    <s v="Bernardo Yrigoyen 573"/>
    <s v="Realizado"/>
    <s v="Instagram"/>
    <n v="130000"/>
    <x v="258"/>
    <x v="1"/>
    <s v="Dólares"/>
    <s v="Dólares"/>
    <s v="Bernardo Yrigoyen 573"/>
    <s v="Argentina | G.B.A. Zona Sur | Quilmes "/>
    <x v="0"/>
    <n v="1"/>
    <s v="Grupo Elite"/>
    <s v="Compartida Fuera de la Red Búsqueda"/>
    <x v="2"/>
    <s v="Venta"/>
    <x v="3"/>
    <s v="Puerto Madero"/>
  </r>
  <r>
    <d v="2025-10-06T00:00:00"/>
    <x v="1"/>
    <x v="11"/>
    <s v="RIO BAMBA"/>
    <x v="0"/>
    <s v="RIO BAMBA CABA "/>
    <s v="Realizado"/>
    <s v="AR ZonaProp"/>
    <n v="138000"/>
    <x v="258"/>
    <x v="1"/>
    <s v="Dólares"/>
    <s v="Dólares"/>
    <s v="RIOBAMBA "/>
    <s v="Argentina | Capital Federal | Balvanera "/>
    <x v="0"/>
    <n v="1"/>
    <s v="Puerto Norte"/>
    <s v="Compartida Fuera de la Red Búsqueda"/>
    <x v="2"/>
    <s v="Venta"/>
    <x v="6"/>
    <s v="Nordelta"/>
  </r>
  <r>
    <d v="2026-01-05T00:00:00"/>
    <x v="0"/>
    <x v="10"/>
    <m/>
    <x v="0"/>
    <s v="VENTA DPTO 3 AMBIENTES"/>
    <s v="Realizado"/>
    <s v="AR ZonaProp"/>
    <n v="138000"/>
    <x v="258"/>
    <x v="1"/>
    <s v="Dólares"/>
    <s v="Dólares"/>
    <s v="O'HIGGINS 2191"/>
    <s v="Argentina | Capital Federal | Belgrano "/>
    <x v="1"/>
    <n v="1"/>
    <s v="Destino II"/>
    <s v="Compartida Fuera de la Red Búsqueda"/>
    <x v="2"/>
    <s v="Venta"/>
    <x v="3"/>
    <s v="Recoleta"/>
  </r>
  <r>
    <d v="2025-06-24T00:00:00"/>
    <x v="1"/>
    <x v="4"/>
    <s v="CAP6769972"/>
    <x v="0"/>
    <s v="Departamento en venta 3 ambientes Balvanera"/>
    <s v="Realizado"/>
    <s v="AR ZonaProp"/>
    <n v="149000"/>
    <x v="258"/>
    <x v="1"/>
    <s v="Dólares"/>
    <s v="Dólares"/>
    <s v="Entre Rios al 500"/>
    <s v="Argentina | Capital Federal | Balvanera "/>
    <x v="0"/>
    <n v="2"/>
    <s v="Grupo Elite"/>
    <s v="Compartida Fuera de la Red Captación Propia"/>
    <x v="0"/>
    <s v="Venta"/>
    <x v="3"/>
    <s v="Puerto Madero"/>
  </r>
  <r>
    <d v="2025-12-23T00:00:00"/>
    <x v="1"/>
    <x v="8"/>
    <s v="CAP3574821"/>
    <x v="0"/>
    <s v="hermoso departamento 2 ambientes en Antares, Nordelta"/>
    <s v="Realizado"/>
    <s v="AR ZonaProp"/>
    <n v="140000"/>
    <x v="258"/>
    <x v="1"/>
    <s v="Dólares"/>
    <s v="Dólares"/>
    <s v="Antares Senior LIving, Nordelta"/>
    <s v="Argentina | G.B.A. Zona Norte | Tigre | Countries/B.Cerrado (Tigre) | Nordelta | El Portal | Antares"/>
    <x v="0"/>
    <n v="2"/>
    <s v="Puerto Norte"/>
    <s v="Propia (Único Asesor)"/>
    <x v="1"/>
    <s v="Venta"/>
    <x v="6"/>
    <s v="Nordelta"/>
  </r>
  <r>
    <d v="2026-02-04T00:00:00"/>
    <x v="0"/>
    <x v="0"/>
    <s v="CAP7318425"/>
    <x v="0"/>
    <s v="DEPARTAMENTO EN VENTA 3 AMBIENTES EN COLGIALES"/>
    <s v="Realizado"/>
    <s v="AR ArgenProp"/>
    <n v="146900"/>
    <x v="258"/>
    <x v="1"/>
    <s v="Dólares"/>
    <s v="Dólares"/>
    <s v="Moldes  al 1400"/>
    <s v="Argentina | Capital Federal | Colegiales "/>
    <x v="0"/>
    <n v="2"/>
    <s v="Lion Team"/>
    <s v="Propia (Único Asesor)"/>
    <x v="1"/>
    <s v="Venta"/>
    <x v="3"/>
    <s v="Villa Urquiza"/>
  </r>
  <r>
    <d v="2026-03-19T00:00:00"/>
    <x v="0"/>
    <x v="9"/>
    <s v="CAP6224048"/>
    <x v="0"/>
    <s v="Departamento, venta, caballito, balcon, 3 ambientes,  luminoso, almagro, flores"/>
    <s v="Realizado"/>
    <s v="AR MercadoLibre"/>
    <n v="145000"/>
    <x v="258"/>
    <x v="1"/>
    <s v="Dólares"/>
    <s v="Dólares"/>
    <s v="Calasanz  al 100"/>
    <s v="Argentina | Capital Federal | Caballito | Caballito Sur"/>
    <x v="0"/>
    <n v="2"/>
    <s v="Lion Team"/>
    <s v="Propia (Único Asesor)"/>
    <x v="1"/>
    <s v="Venta"/>
    <x v="3"/>
    <s v="Villa Urquiza"/>
  </r>
  <r>
    <d v="2026-01-30T00:00:00"/>
    <x v="0"/>
    <x v="10"/>
    <s v="CHO7645745"/>
    <x v="0"/>
    <s v="Importante casa en venta en Maipú. A dos cuadras plaza departamental."/>
    <s v="Realizado"/>
    <s v="Cartel"/>
    <n v="150000"/>
    <x v="259"/>
    <x v="1"/>
    <s v="Dólares"/>
    <s v="Dólares"/>
    <s v="Tropero Sosa  al 100"/>
    <s v="Argentina | Mendoza | Maipu "/>
    <x v="2"/>
    <n v="2"/>
    <s v="Cuyo Real"/>
    <s v="Propia (Único Asesor)"/>
    <x v="1"/>
    <s v="Venta"/>
    <x v="2"/>
    <s v="Capital Mendoza"/>
  </r>
  <r>
    <d v="2025-04-30T00:00:00"/>
    <x v="1"/>
    <x v="3"/>
    <s v="CHO6049901"/>
    <x v="0"/>
    <s v="Venta Casa 4 ambientes en complejo cerrado con seguridad en Vicente López"/>
    <s v="Realizado"/>
    <s v="AR ZonaProp"/>
    <n v="147000"/>
    <x v="260"/>
    <x v="1"/>
    <s v="Dólares"/>
    <s v="Dólares"/>
    <s v="Drysdale  al 5400"/>
    <s v="Argentina | G.B.A. Zona Norte | Vicente López | Carapachay"/>
    <x v="2"/>
    <n v="2"/>
    <s v="Seniority Plus"/>
    <s v="Propia (Único Asesor)"/>
    <x v="1"/>
    <s v="Venta"/>
    <x v="3"/>
    <s v="Palermo"/>
  </r>
  <r>
    <d v="2025-09-18T00:00:00"/>
    <x v="1"/>
    <x v="6"/>
    <s v="CPH6987688"/>
    <x v="0"/>
    <s v="PH con Cochera, Terraza y Quincho en  Venta. Barrio San Andres"/>
    <s v="Realizado"/>
    <s v="AR MercadoLibre"/>
    <n v="149000"/>
    <x v="260"/>
    <x v="1"/>
    <s v="Dólares"/>
    <s v="Dólares"/>
    <s v="Leandro N Alem  al 3000"/>
    <s v="Argentina | G.B.A. Zona Norte | General San Martin | San Andrés"/>
    <x v="3"/>
    <n v="2"/>
    <s v="Ser"/>
    <s v="Propia (Único Asesor)"/>
    <x v="1"/>
    <s v="Venta"/>
    <x v="3"/>
    <s v="Belgrano"/>
  </r>
  <r>
    <d v="2025-11-13T00:00:00"/>
    <x v="1"/>
    <x v="7"/>
    <s v="VCC51142 AP5194725"/>
    <x v="0"/>
    <s v="FINANCIACIÓN!!! Departamento 3 Amb en  Venta Medal Country Club Condominios al Golf"/>
    <s v="Realizado"/>
    <s v="AR ZonaProp"/>
    <n v="139000"/>
    <x v="260"/>
    <x v="1"/>
    <s v="Dólares"/>
    <s v="Dólares"/>
    <s v="FINANCIACIÓN!!! Departamento 3 Amb en  Venta Medal Country Club Condominios al Golf"/>
    <s v="Argentina | G.B.A. Zona Norte | Pilar | Countries/B.Cerrado (Pilar) | Medal Country club"/>
    <x v="0"/>
    <n v="2"/>
    <s v="Puerto Norte"/>
    <s v="Propia (Único Asesor)"/>
    <x v="1"/>
    <s v="Venta"/>
    <x v="6"/>
    <s v="Nordelta"/>
  </r>
  <r>
    <d v="2026-03-16T00:00:00"/>
    <x v="0"/>
    <x v="9"/>
    <s v="CAP7759048"/>
    <x v="0"/>
    <s v="VENTA DEPARTAMENTO DE 3 AMBIENTES EN RECOLETA"/>
    <s v="Realizado"/>
    <s v="AR ZonaProp"/>
    <n v="143000"/>
    <x v="260"/>
    <x v="1"/>
    <s v="Dólares"/>
    <s v="Dólares"/>
    <s v="Ecuador al 1400"/>
    <s v="Argentina | Capital Federal | Recoleta "/>
    <x v="0"/>
    <n v="2"/>
    <s v="Destino"/>
    <s v="Propia (Único Asesor)"/>
    <x v="1"/>
    <s v="Venta"/>
    <x v="3"/>
    <s v="Recoleta"/>
  </r>
  <r>
    <d v="2025-10-08T00:00:00"/>
    <x v="1"/>
    <x v="11"/>
    <s v="AV. MAIPU 1936"/>
    <x v="0"/>
    <s v="AV. MAIPU 1936"/>
    <s v="Realizado"/>
    <s v="AR ArgenProp"/>
    <n v="140000"/>
    <x v="261"/>
    <x v="1"/>
    <s v="Dólares"/>
    <s v="Dólares"/>
    <s v="AV. MAIPU 1936"/>
    <s v="Argentina | G.B.A. Zona Norte | Vicente López "/>
    <x v="0"/>
    <n v="1"/>
    <s v="Lion Team Norte"/>
    <s v="(Interior) Compartida Fuera de la Red Búsqueda"/>
    <x v="2"/>
    <s v="Venta"/>
    <x v="6"/>
    <s v="Vicente López"/>
  </r>
  <r>
    <d v="2025-12-01T00:00:00"/>
    <x v="1"/>
    <x v="8"/>
    <s v="Casa Vicente Gil"/>
    <x v="0"/>
    <s v="Casa en Vicente Gil vendida por Ros a Clientes Americanos"/>
    <s v="Realizado"/>
    <s v="AR ZonaProp"/>
    <n v="280000"/>
    <x v="261"/>
    <x v="1"/>
    <s v="Dólares"/>
    <s v="Dólares"/>
    <s v="Vicente Gil s/n"/>
    <s v="Argentina | Mendoza | Capital | Mendoza | Quinta Sección"/>
    <x v="2"/>
    <n v="1"/>
    <s v="Cuyo Real"/>
    <s v="(Interior) Compartida Fuera de la Red Búsqueda"/>
    <x v="2"/>
    <s v="Venta"/>
    <x v="2"/>
    <s v="Capital Mendoza"/>
  </r>
  <r>
    <d v="2026-02-12T00:00:00"/>
    <x v="0"/>
    <x v="0"/>
    <s v="97Nico"/>
    <x v="0"/>
    <s v="Casa en Urquiza"/>
    <s v="Realizado"/>
    <s v="Referido"/>
    <n v="150000"/>
    <x v="261"/>
    <x v="1"/>
    <s v="Dólares"/>
    <s v="Dólares"/>
    <s v="Urquiza 2200"/>
    <s v="Argentina | Santa Fe | La Capital | Santa Fe"/>
    <x v="2"/>
    <n v="1"/>
    <s v="De la Veracruz"/>
    <s v="(Interior) Compartida Fuera de la Red Búsqueda"/>
    <x v="2"/>
    <s v="Venta"/>
    <x v="5"/>
    <s v="Capital Santa Fe"/>
  </r>
  <r>
    <d v="2025-12-04T00:00:00"/>
    <x v="1"/>
    <x v="8"/>
    <s v="CHO6623586"/>
    <x v="0"/>
    <s v="Casa a demoler en Juramento al 1200 (zona R1)"/>
    <s v="Realizado"/>
    <s v="Teléfono"/>
    <n v="155000"/>
    <x v="261"/>
    <x v="1"/>
    <s v="Dólares"/>
    <s v="Dólares"/>
    <s v="JURAMENTO  al 1200"/>
    <s v="Argentina | Salta | Capital | Salta | Zona Centro"/>
    <x v="2"/>
    <n v="1"/>
    <s v="Realty Group"/>
    <s v="(Interior) Compartida Fuera de la Red Captación Propia"/>
    <x v="0"/>
    <s v="Venta"/>
    <x v="4"/>
    <s v="San Lorenzo Chico"/>
  </r>
  <r>
    <d v="2025-01-21T00:00:00"/>
    <x v="1"/>
    <x v="10"/>
    <s v="CPH6339980"/>
    <x v="0"/>
    <s v="VENTA Departamento PH, Pinar de Festa "/>
    <s v="Realizado"/>
    <s v="Salón"/>
    <n v="140000"/>
    <x v="261"/>
    <x v="1"/>
    <s v="Dólares"/>
    <s v="Dólares"/>
    <s v="Pinar de Festa, San Carlos de Bariloche"/>
    <s v="Argentina | Rio Negro | Bariloche | San Carlos De Bariloche | Pinar de Festa"/>
    <x v="3"/>
    <n v="2"/>
    <s v="Patagonia Lakes BRC"/>
    <s v="Compartida en Oficina (Dos Asesores)"/>
    <x v="1"/>
    <s v="Venta"/>
    <x v="7"/>
    <s v="Bariloche"/>
  </r>
  <r>
    <d v="2025-02-14T00:00:00"/>
    <x v="1"/>
    <x v="0"/>
    <s v="CHO6418896"/>
    <x v="0"/>
    <s v="VENTA casa de 3 dormitorios, con excelente vista, Melipal, San Carlos de Bariloche"/>
    <s v="Realizado"/>
    <s v="Teléfono"/>
    <n v="160000"/>
    <x v="261"/>
    <x v="1"/>
    <s v="Dólares"/>
    <s v="Dólares"/>
    <s v="Mariano Moreno  al 4600 El Faldeo Bariloche"/>
    <s v="Argentina | Rio Negro | Bariloche | San Carlos De Bariloche | Melipal"/>
    <x v="2"/>
    <n v="2"/>
    <s v="Patagonia Lakes BRC"/>
    <s v="Compartida en Oficina (Dos Asesores)"/>
    <x v="1"/>
    <s v="Venta"/>
    <x v="7"/>
    <s v="Bariloche"/>
  </r>
  <r>
    <d v="2025-02-25T00:00:00"/>
    <x v="1"/>
    <x v="0"/>
    <s v="VAP6344366"/>
    <x v="0"/>
    <s v="Departamento en Planta Baja 3 ambientes en Pilar"/>
    <s v="Realizado"/>
    <s v="AR ZonaProp"/>
    <n v="135000"/>
    <x v="261"/>
    <x v="1"/>
    <s v="Dólares"/>
    <s v="Dólares"/>
    <s v="Planta Baja con Jardín  en venta 3 ambientes en Pilar "/>
    <s v="Argentina | G.B.A. Zona Norte | Pilar | Countries/B.Cerrado (Pilar) | Saravi Village"/>
    <x v="0"/>
    <n v="2"/>
    <s v="Puerto Norte"/>
    <s v="Compartida en Oficina (Dos Asesores)"/>
    <x v="1"/>
    <s v="Venta"/>
    <x v="6"/>
    <s v="Nordelta"/>
  </r>
  <r>
    <d v="2025-03-26T00:00:00"/>
    <x v="1"/>
    <x v="9"/>
    <s v="CLA6734920"/>
    <x v="0"/>
    <s v="Terreno en alquiler sobre ruta 51 San luis"/>
    <s v="Realizado"/>
    <s v="Cartel"/>
    <n v="155000"/>
    <x v="261"/>
    <x v="1"/>
    <s v="Dólares"/>
    <s v="Dólares"/>
    <s v="ruta 51"/>
    <s v="Argentina | Salta | Capital | Salta | Zona Sur"/>
    <x v="1"/>
    <n v="2"/>
    <s v="Realty Group"/>
    <s v="Compartida en Oficina (Dos Asesores)"/>
    <x v="1"/>
    <s v="Venta"/>
    <x v="4"/>
    <s v="San Lorenzo Chico"/>
  </r>
  <r>
    <d v="2025-04-10T00:00:00"/>
    <x v="1"/>
    <x v="3"/>
    <s v="VAP6373011"/>
    <x v="0"/>
    <s v="Departamento en Venta - 3 amb con balcón terraza y parrilla - ASTON VILLAGE PILAR"/>
    <s v="Realizado"/>
    <s v="AR ZonaProp"/>
    <n v="145000"/>
    <x v="261"/>
    <x v="1"/>
    <s v="Dólares"/>
    <s v="Dólares"/>
    <s v="Departamento en Venta en ASTON VILLAGE PILAR"/>
    <s v="Argentina | G.B.A. Zona Norte | Pilar | Villa Rosa"/>
    <x v="0"/>
    <n v="2"/>
    <s v="Puerto Norte"/>
    <s v="Compartida en Oficina (Dos Asesores)"/>
    <x v="1"/>
    <s v="Venta"/>
    <x v="6"/>
    <s v="Nordelta"/>
  </r>
  <r>
    <d v="2025-09-26T00:00:00"/>
    <x v="1"/>
    <x v="6"/>
    <s v="OP 175"/>
    <x v="0"/>
    <s v="Bolivia 2972 4 8"/>
    <s v="Realizado"/>
    <s v="AR ZonaProp"/>
    <n v="140000"/>
    <x v="261"/>
    <x v="1"/>
    <s v="Dólares"/>
    <s v="Dólares"/>
    <m/>
    <s v="Argentina | Capital Federal | Villa del Parque "/>
    <x v="0"/>
    <n v="2"/>
    <s v="Seniority Plus"/>
    <s v="Compartida en Oficina (Dos Asesores)"/>
    <x v="1"/>
    <s v="Venta"/>
    <x v="3"/>
    <s v="Palermo"/>
  </r>
  <r>
    <d v="2026-02-19T00:00:00"/>
    <x v="0"/>
    <x v="0"/>
    <s v="VPN53619 HO5685902"/>
    <x v="0"/>
    <s v="Casa en  venta 4 ambientes - Pilar - Barrio cerrado Las Margaritas"/>
    <s v="Realizado"/>
    <s v="AR ZonaProp"/>
    <n v="148000"/>
    <x v="261"/>
    <x v="1"/>
    <s v="Dólares"/>
    <s v="Dólares"/>
    <s v="Pilar"/>
    <s v="Argentina | G.B.A. Zona Norte | Pilar | Countries/B.Cerrado (Pilar) | Las Margaritas"/>
    <x v="2"/>
    <n v="2"/>
    <s v="Puerto Norte"/>
    <s v="Compartida en Oficina (Dos Asesores)"/>
    <x v="1"/>
    <s v="Venta"/>
    <x v="6"/>
    <s v="Nordelta"/>
  </r>
  <r>
    <d v="2025-01-14T00:00:00"/>
    <x v="1"/>
    <x v="10"/>
    <n v="10262"/>
    <x v="0"/>
    <s v="Malaver 2725"/>
    <s v="Realizado"/>
    <s v="AR ZonaProp"/>
    <n v="0"/>
    <x v="261"/>
    <x v="1"/>
    <s v="Dólares"/>
    <s v="Dólares"/>
    <s v="malaver"/>
    <s v="Argentina | G.B.A. Zona Norte | Vicente López | Florida | Florida Mitre/Este"/>
    <x v="0"/>
    <n v="1"/>
    <s v="Seniority"/>
    <s v="Compartida Fuera de la Red Búsqueda"/>
    <x v="2"/>
    <s v="Venta"/>
    <x v="3"/>
    <s v="Barrio Parque"/>
  </r>
  <r>
    <d v="2025-10-31T00:00:00"/>
    <x v="1"/>
    <x v="11"/>
    <s v="N/C - MANSILLA 3937"/>
    <x v="0"/>
    <s v="VENTA DPTO 2 AMBIENTES RECOLETA"/>
    <s v="Realizado"/>
    <s v="AR ZonaProp"/>
    <n v="140000"/>
    <x v="261"/>
    <x v="1"/>
    <s v="Dólares"/>
    <s v="Dólares"/>
    <s v="MANSILA 3937"/>
    <s v="Argentina | Capital Federal | Recoleta "/>
    <x v="0"/>
    <n v="1"/>
    <s v="Destino II"/>
    <s v="Compartida Fuera de la Red Búsqueda"/>
    <x v="2"/>
    <s v="Venta"/>
    <x v="3"/>
    <s v="Recoleta"/>
  </r>
  <r>
    <d v="2025-12-12T00:00:00"/>
    <x v="1"/>
    <x v="8"/>
    <s v="VAP7473314"/>
    <x v="0"/>
    <s v="Departamento en venta en Belgrano. Dos ambientes. Full amenities"/>
    <s v="Realizado"/>
    <s v="AR ZonaProp"/>
    <n v="150000"/>
    <x v="261"/>
    <x v="1"/>
    <s v="Dólares"/>
    <s v="Dólares"/>
    <s v="Aguilar 2282. Belgrano"/>
    <s v="Argentina | Capital Federal | Belgrano "/>
    <x v="0"/>
    <n v="1"/>
    <s v="Space BA"/>
    <s v="Compartida Fuera de la Red Búsqueda"/>
    <x v="2"/>
    <s v="Venta"/>
    <x v="3"/>
    <s v="Belgrano"/>
  </r>
  <r>
    <d v="2025-05-05T00:00:00"/>
    <x v="1"/>
    <x v="2"/>
    <s v="CAP6809032"/>
    <x v="0"/>
    <s v="DEPARTAMENTO EN VENTA 4 AMBIENTES RECICLADO EN SAN TELMO"/>
    <s v="Realizado"/>
    <s v="AR ZonaProp"/>
    <n v="150000"/>
    <x v="261"/>
    <x v="1"/>
    <s v="Dólares"/>
    <s v="Dólares"/>
    <s v="Defensa al 1400"/>
    <s v="Argentina | Capital Federal | San Telmo "/>
    <x v="0"/>
    <n v="2"/>
    <s v="Destino"/>
    <s v="Compartida Fuera de la Red Captación Propia"/>
    <x v="0"/>
    <s v="Venta"/>
    <x v="3"/>
    <s v="Recoleta"/>
  </r>
  <r>
    <d v="2025-10-15T00:00:00"/>
    <x v="1"/>
    <x v="11"/>
    <s v="CPH7125734"/>
    <x v="0"/>
    <s v="PH en Constitución"/>
    <s v="Realizado"/>
    <s v="AR ZonaProp"/>
    <n v="150000"/>
    <x v="261"/>
    <x v="1"/>
    <s v="Dólares"/>
    <s v="Dólares"/>
    <s v="Saenz Peña 1854 "/>
    <s v="Argentina | Capital Federal | Constitución "/>
    <x v="3"/>
    <n v="2"/>
    <s v="Destino"/>
    <s v="Compartida Fuera de la Red Captación Propia"/>
    <x v="0"/>
    <s v="Venta"/>
    <x v="3"/>
    <s v="Recoleta"/>
  </r>
  <r>
    <d v="2025-10-24T00:00:00"/>
    <x v="1"/>
    <x v="11"/>
    <s v="CPH7216728"/>
    <x v="0"/>
    <s v="Venta PH 3 Ambientes en Caballito"/>
    <s v="Realizado"/>
    <s v="AR ArgenProp"/>
    <n v="145000"/>
    <x v="261"/>
    <x v="1"/>
    <s v="Dólares"/>
    <s v="Dólares"/>
    <s v="Av. Eva Perón al 1300"/>
    <s v="Argentina | Capital Federal | Caballito "/>
    <x v="3"/>
    <n v="2"/>
    <s v="Seniority"/>
    <s v="Compartida Fuera de la Red Captación Propia"/>
    <x v="0"/>
    <s v="Venta"/>
    <x v="3"/>
    <s v="Barrio Parque"/>
  </r>
  <r>
    <d v="2025-01-24T00:00:00"/>
    <x v="1"/>
    <x v="10"/>
    <s v="CAP6516212"/>
    <x v="2"/>
    <s v="Departamento 3 ambientes - A Estrenar con Cochera - Beccar"/>
    <s v="Realizado"/>
    <s v="Referido"/>
    <n v="162000"/>
    <x v="261"/>
    <x v="1"/>
    <s v="Dólares"/>
    <s v="Dólares"/>
    <s v="Departamento 3 ambientes a estrenar en Beccar"/>
    <s v="Argentina | G.B.A. Zona Norte | San Isidro | Beccar"/>
    <x v="0"/>
    <n v="2"/>
    <s v="North Team"/>
    <s v="Master"/>
    <x v="1"/>
    <s v="Venta"/>
    <x v="6"/>
    <s v="Pilar"/>
  </r>
  <r>
    <d v="2025-02-20T00:00:00"/>
    <x v="1"/>
    <x v="0"/>
    <s v="El cano 179 / 267"/>
    <x v="0"/>
    <s v="terreno y construcción "/>
    <s v="Realizado"/>
    <s v="AR MercadoLibre"/>
    <n v="140000"/>
    <x v="261"/>
    <x v="1"/>
    <s v="Dólares"/>
    <s v="Dólares"/>
    <m/>
    <s v="Argentina | G.B.A. Zona Sur | Berazategui | Guillermo E Hudson"/>
    <x v="1"/>
    <n v="2"/>
    <s v="Livello"/>
    <s v="Propia (Único Asesor)"/>
    <x v="1"/>
    <s v="Venta"/>
    <x v="3"/>
    <s v="Palermo"/>
  </r>
  <r>
    <d v="2025-04-30T00:00:00"/>
    <x v="1"/>
    <x v="3"/>
    <s v="CAP5627451"/>
    <x v="0"/>
    <s v="Venta Departamento 3 ambientes Recoleta Último piso edificio antiguo de categoría A reciclar"/>
    <s v="Realizado"/>
    <s v="AR ZonaProp"/>
    <n v="149999"/>
    <x v="261"/>
    <x v="1"/>
    <s v="Dólares"/>
    <s v="Dólares"/>
    <s v="Juncal al 2000"/>
    <s v="Argentina | Capital Federal | Recoleta "/>
    <x v="0"/>
    <n v="2"/>
    <s v="Seniority"/>
    <s v="Propia (Único Asesor)"/>
    <x v="1"/>
    <s v="Venta"/>
    <x v="3"/>
    <s v="Barrio Parque"/>
  </r>
  <r>
    <d v="2025-06-06T00:00:00"/>
    <x v="1"/>
    <x v="4"/>
    <s v="JPH6596761"/>
    <x v="0"/>
    <s v="PH EN VENTA EN PALERMO HOLLIWOOD FITZ ROY 1900 RECICLADO PLANTA BAJA LUMINOSO"/>
    <s v="Realizado"/>
    <s v="AR ZonaProp"/>
    <n v="140000"/>
    <x v="261"/>
    <x v="1"/>
    <s v="Dólares"/>
    <s v="Dólares"/>
    <s v="FITZ ROY al 1900"/>
    <s v="Argentina | Capital Federal | Palermo | Palermo Hollywood"/>
    <x v="3"/>
    <n v="2"/>
    <s v="Lion Team Norte"/>
    <s v="Propia (Único Asesor)"/>
    <x v="1"/>
    <s v="Venta"/>
    <x v="6"/>
    <s v="Vicente López"/>
  </r>
  <r>
    <d v="2025-08-12T00:00:00"/>
    <x v="1"/>
    <x v="5"/>
    <s v="VAP6594622"/>
    <x v="0"/>
    <s v="Venta departamento 3 ambientes Colegiales.  Bajas expensas"/>
    <s v="Realizado"/>
    <s v="AR ZonaProp"/>
    <n v="148000"/>
    <x v="261"/>
    <x v="1"/>
    <s v="Dólares"/>
    <s v="Dólares"/>
    <s v="Av. Elcano  al 3600"/>
    <s v="Argentina | Capital Federal | Colegiales "/>
    <x v="0"/>
    <n v="2"/>
    <s v="Space BA"/>
    <s v="Propia (Único Asesor)"/>
    <x v="1"/>
    <s v="Venta"/>
    <x v="3"/>
    <s v="Belgrano"/>
  </r>
  <r>
    <d v="2025-08-26T00:00:00"/>
    <x v="1"/>
    <x v="5"/>
    <s v="JPH7191728"/>
    <x v="0"/>
    <s v="RESERVADA!! Oportunidad ph 4 ambientes con patio"/>
    <s v="Realizado"/>
    <s v="AR ZonaProp"/>
    <n v="145000"/>
    <x v="261"/>
    <x v="1"/>
    <s v="Dólares"/>
    <s v="Dólares"/>
    <s v="Hipolito Yrigoyen  al 1100"/>
    <s v="Argentina | G.B.A. Zona Norte | San Isidro | Martinez"/>
    <x v="3"/>
    <n v="2"/>
    <s v="Lion Team Norte"/>
    <s v="Propia (Único Asesor)"/>
    <x v="1"/>
    <s v="Venta"/>
    <x v="6"/>
    <s v="Vicente López"/>
  </r>
  <r>
    <d v="2025-09-08T00:00:00"/>
    <x v="1"/>
    <x v="6"/>
    <s v="JPH6609195"/>
    <x v="0"/>
    <s v="venta- ph- 4 ambientes - dos patios- dos baños- garaje"/>
    <s v="Realizado"/>
    <s v="AR ZonaProp"/>
    <n v="149000"/>
    <x v="261"/>
    <x v="1"/>
    <s v="Dólares"/>
    <s v="Dólares"/>
    <s v="Campana al 1400"/>
    <s v="Argentina | Capital Federal | Villa Santa Rita "/>
    <x v="3"/>
    <n v="2"/>
    <s v="Lion Team Norte"/>
    <s v="Propia (Único Asesor)"/>
    <x v="1"/>
    <s v="Venta"/>
    <x v="6"/>
    <s v="Vicente López"/>
  </r>
  <r>
    <d v="2025-09-09T00:00:00"/>
    <x v="1"/>
    <x v="6"/>
    <s v="CAP7082046"/>
    <x v="0"/>
    <s v="VENTA DEPARATAMENTO 3 AMBIENTES VILLA URQUIZA"/>
    <s v="Realizado"/>
    <s v="AR MercadoLibre"/>
    <n v="140000"/>
    <x v="261"/>
    <x v="1"/>
    <s v="Dólares"/>
    <s v="Dólares"/>
    <s v="Nuñez al 5300"/>
    <s v="Argentina | Capital Federal | Villa Urquiza "/>
    <x v="0"/>
    <n v="2"/>
    <s v="Lion Team"/>
    <s v="Propia (Único Asesor)"/>
    <x v="1"/>
    <s v="Venta"/>
    <x v="3"/>
    <s v="Villa Urquiza"/>
  </r>
  <r>
    <d v="2025-09-17T00:00:00"/>
    <x v="1"/>
    <x v="6"/>
    <s v="CAP7139459"/>
    <x v="0"/>
    <s v="VENTA 4 AMBIENTES A RECICLAR 118 METROS RECOLETA OPORTUNIDAD"/>
    <s v="Realizado"/>
    <s v="AR ZonaProp"/>
    <n v="159000"/>
    <x v="261"/>
    <x v="1"/>
    <s v="Dólares"/>
    <s v="Dólares"/>
    <s v="Marcelo T de Alvear  al 2400"/>
    <s v="Argentina | Capital Federal | Recoleta "/>
    <x v="0"/>
    <n v="2"/>
    <s v="Seniority"/>
    <s v="Propia (Único Asesor)"/>
    <x v="1"/>
    <s v="Venta"/>
    <x v="3"/>
    <s v="Barrio Parque"/>
  </r>
  <r>
    <d v="2025-10-14T00:00:00"/>
    <x v="1"/>
    <x v="11"/>
    <s v="CAP7150569"/>
    <x v="0"/>
    <s v="Venta Depto 3 Amb Luminoso Apto Crédito Belgrano"/>
    <s v="Realizado"/>
    <s v="AR ZonaProp"/>
    <n v="145000"/>
    <x v="261"/>
    <x v="1"/>
    <s v="Dólares"/>
    <s v="Dólares"/>
    <s v="O'higgins al 2577"/>
    <s v="Argentina | Capital Federal | Belgrano "/>
    <x v="0"/>
    <n v="2"/>
    <s v="Boutique"/>
    <s v="Propia (Único Asesor)"/>
    <x v="1"/>
    <s v="Venta"/>
    <x v="0"/>
    <s v="Canning"/>
  </r>
  <r>
    <d v="2025-10-24T00:00:00"/>
    <x v="1"/>
    <x v="11"/>
    <s v="CAP7269061"/>
    <x v="0"/>
    <s v="VENTA DEPARTAMENTO 3 AMB CON BALCON VILLA URQUIZA"/>
    <s v="Realizado"/>
    <s v="AR ZonaProp"/>
    <n v="146000"/>
    <x v="261"/>
    <x v="1"/>
    <s v="Dólares"/>
    <s v="Dólares"/>
    <s v="Avenida Congreso al 4300"/>
    <s v="Argentina | Capital Federal | Villa Urquiza "/>
    <x v="0"/>
    <n v="2"/>
    <s v="Destino II"/>
    <s v="Propia (Único Asesor)"/>
    <x v="1"/>
    <s v="Venta"/>
    <x v="3"/>
    <s v="Recoleta"/>
  </r>
  <r>
    <d v="2025-11-07T00:00:00"/>
    <x v="1"/>
    <x v="7"/>
    <s v="CHO6522434"/>
    <x v="0"/>
    <s v="Alquiler de Casa 3 ambientes en Barrio Parque Pellegrini, Pilar"/>
    <s v="Realizado"/>
    <s v="AR MercadoLibre"/>
    <n v="140000"/>
    <x v="261"/>
    <x v="1"/>
    <s v="Dólares"/>
    <s v="Dólares"/>
    <s v="Barrio Pellegrini Asuncion al 1400"/>
    <s v="Argentina | G.B.A. Zona Norte | Pilar | Pilar | Pellegrini"/>
    <x v="2"/>
    <n v="2"/>
    <s v="Acqua"/>
    <s v="Propia (Único Asesor)"/>
    <x v="1"/>
    <s v="Venta"/>
    <x v="6"/>
    <s v="Pilar"/>
  </r>
  <r>
    <d v="2025-11-12T00:00:00"/>
    <x v="1"/>
    <x v="7"/>
    <n v="10563"/>
    <x v="0"/>
    <s v="Thames 56 dto 905 "/>
    <s v="Realizado"/>
    <s v="AR ZonaProp"/>
    <n v="140000"/>
    <x v="261"/>
    <x v="1"/>
    <s v="Dólares"/>
    <s v="Dólares"/>
    <s v="Thames 56 dto 905 "/>
    <s v="Argentina | Capital Federal | Villa Crespo "/>
    <x v="0"/>
    <n v="2"/>
    <s v="Seniority"/>
    <s v="Propia (Único Asesor)"/>
    <x v="1"/>
    <s v="Venta"/>
    <x v="3"/>
    <s v="Barrio Parque"/>
  </r>
  <r>
    <d v="2026-03-09T00:00:00"/>
    <x v="0"/>
    <x v="9"/>
    <s v="CAP6613858"/>
    <x v="0"/>
    <s v="Venta departamento 3 ambientes en San Telmo"/>
    <s v="Realizado"/>
    <s v="AR ZonaProp"/>
    <n v="155000"/>
    <x v="261"/>
    <x v="1"/>
    <s v="Dólares"/>
    <s v="Dólares"/>
    <s v="Mexico  al 500"/>
    <s v="Argentina | Capital Federal | San Telmo "/>
    <x v="0"/>
    <n v="2"/>
    <s v="Seniority"/>
    <s v="Propia (Único Asesor)"/>
    <x v="1"/>
    <s v="Venta"/>
    <x v="3"/>
    <s v="Barrio Parque"/>
  </r>
  <r>
    <d v="2026-03-27T00:00:00"/>
    <x v="0"/>
    <x v="9"/>
    <s v="CAP7447812"/>
    <x v="0"/>
    <s v="Venta Departamento 3 ambientes con dependencia en Recoleta"/>
    <s v="Realizado"/>
    <s v="AR ZonaProp"/>
    <n v="148000"/>
    <x v="261"/>
    <x v="1"/>
    <s v="Dólares"/>
    <s v="Dólares"/>
    <s v="Juan Maria Gutierrez al 2600"/>
    <s v="Argentina | Capital Federal | Recoleta "/>
    <x v="0"/>
    <n v="2"/>
    <s v="Seniority Plus"/>
    <s v="Propia (Único Asesor)"/>
    <x v="1"/>
    <s v="Venta"/>
    <x v="3"/>
    <s v="Palermo"/>
  </r>
  <r>
    <d v="2026-03-31T00:00:00"/>
    <x v="0"/>
    <x v="9"/>
    <s v="CPH7443193"/>
    <x v="0"/>
    <s v="Venta PH 3 ambientes con quincho impecable en Devoto"/>
    <s v="Realizado"/>
    <s v="AR ZonaProp"/>
    <n v="160000"/>
    <x v="261"/>
    <x v="1"/>
    <s v="Dólares"/>
    <s v="Dólares"/>
    <s v="Simbron  al 5100"/>
    <s v="Argentina | Capital Federal | Villa Devoto "/>
    <x v="3"/>
    <n v="2"/>
    <s v="Seniority"/>
    <s v="Propia (Único Asesor)"/>
    <x v="1"/>
    <s v="Venta"/>
    <x v="3"/>
    <s v="Barrio Parque"/>
  </r>
  <r>
    <d v="2026-01-21T00:00:00"/>
    <x v="0"/>
    <x v="10"/>
    <s v="CAP7383009"/>
    <x v="0"/>
    <s v="Departamento 2 ambientes en Nuñez"/>
    <s v="Realizado"/>
    <s v="AR ZonaProp"/>
    <n v="148000"/>
    <x v="262"/>
    <x v="1"/>
    <s v="Dólares"/>
    <s v="Dólares"/>
    <s v="Venta 2 Ambientes Cuba al 2800"/>
    <s v="Argentina | Capital Federal | Nuñez "/>
    <x v="0"/>
    <n v="2"/>
    <s v="Puerto Norte"/>
    <s v="Compartida en Oficina (Dos Asesores)"/>
    <x v="1"/>
    <s v="Venta"/>
    <x v="6"/>
    <s v="Nordelta"/>
  </r>
  <r>
    <d v="2025-09-15T00:00:00"/>
    <x v="1"/>
    <x v="6"/>
    <s v="CHO6216624"/>
    <x v="2"/>
    <s v="Casa en  Venta  3 dormitorios Barrio San Ramon Pilar del Este"/>
    <s v="Realizado"/>
    <s v="AR MercadoLibre"/>
    <n v="150000"/>
    <x v="262"/>
    <x v="1"/>
    <s v="Dólares"/>
    <s v="Dólares"/>
    <s v="Barrio San Ramon Pilar del Este"/>
    <s v="Argentina | G.B.A. Zona Norte | Pilar | Countries/B.Cerrado (Pilar) | Pilar Del Este | San Ramon"/>
    <x v="2"/>
    <n v="2"/>
    <s v="North Team"/>
    <s v="Master"/>
    <x v="1"/>
    <s v="Venta"/>
    <x v="6"/>
    <s v="Pilar"/>
  </r>
  <r>
    <d v="2026-01-20T00:00:00"/>
    <x v="0"/>
    <x v="10"/>
    <s v="Tilbury"/>
    <x v="2"/>
    <s v="Lote en venta en Tilbury Pilara "/>
    <s v="Realizado"/>
    <s v="Referido"/>
    <n v="145000"/>
    <x v="262"/>
    <x v="1"/>
    <s v="Dólares"/>
    <s v="Dólares"/>
    <s v="Panamericana Km 56,5 - Pilar"/>
    <s v="Argentina | G.B.A. Zona Norte | Pilar | Countries/B.Cerrado (Pilar) | Pilara"/>
    <x v="1"/>
    <n v="2"/>
    <s v="North Team"/>
    <s v="Master"/>
    <x v="1"/>
    <s v="Venta"/>
    <x v="6"/>
    <s v="Pilar"/>
  </r>
  <r>
    <d v="2026-01-21T00:00:00"/>
    <x v="0"/>
    <x v="10"/>
    <s v="CHO6069960"/>
    <x v="0"/>
    <s v="CASA CON PARQUE Y PILETA EN ESCOBAR LOMA VERDE BARRIO CERRADO"/>
    <s v="Realizado"/>
    <s v="AR ZonaProp"/>
    <n v="149000"/>
    <x v="263"/>
    <x v="1"/>
    <s v="Dólares"/>
    <s v="Dólares"/>
    <s v="BOOTE 1400 LOMA VERDE ESCOBAR"/>
    <s v="Argentina | G.B.A. Zona Norte | Escobar | Loma Verde"/>
    <x v="2"/>
    <n v="1"/>
    <s v="Lion Team Norte"/>
    <s v="(Interior) Compartida Fuera de la Red Búsqueda"/>
    <x v="2"/>
    <s v="Venta"/>
    <x v="6"/>
    <s v="Vicente López"/>
  </r>
  <r>
    <d v="2025-10-02T00:00:00"/>
    <x v="1"/>
    <x v="11"/>
    <s v="CLA6531022"/>
    <x v="0"/>
    <s v="Terreno en  Praderas de San Lorenzo"/>
    <s v="Realizado"/>
    <s v="Referido"/>
    <n v="148000"/>
    <x v="263"/>
    <x v="1"/>
    <s v="Dólares"/>
    <s v="Dólares"/>
    <s v="Praderas de San Lorenzo "/>
    <s v="Argentina | Salta | Capital | San Lorenzo Chico | Praderas de San Lorenzo"/>
    <x v="1"/>
    <n v="2"/>
    <s v="Realty Group"/>
    <s v="Compartida en Oficina (Dos Asesores)"/>
    <x v="1"/>
    <s v="Venta"/>
    <x v="4"/>
    <s v="San Lorenzo Chico"/>
  </r>
  <r>
    <d v="2025-12-01T00:00:00"/>
    <x v="1"/>
    <x v="8"/>
    <s v="CCO55382 AP6516822"/>
    <x v="0"/>
    <s v="Venta/Alquiler Departamento 2 Ambientes - Vilahaus, Ayres Vila"/>
    <s v="Realizado"/>
    <s v="Referido"/>
    <n v="600"/>
    <x v="263"/>
    <x v="1"/>
    <s v="Dólares"/>
    <s v="Dólares"/>
    <s v="Venta/ Alquiler Departamento 2 Ambientes - Vilahaus, Ayres Vila"/>
    <s v="Argentina | G.B.A. Zona Norte | Pilar | Manuel Alberti | vilahaus"/>
    <x v="0"/>
    <n v="2"/>
    <s v="North Team"/>
    <s v="Master"/>
    <x v="1"/>
    <s v="Venta"/>
    <x v="6"/>
    <s v="Pilar"/>
  </r>
  <r>
    <d v="2025-11-17T00:00:00"/>
    <x v="1"/>
    <x v="7"/>
    <s v="JPH7312195"/>
    <x v="0"/>
    <s v="PH en Florida"/>
    <s v="Realizado"/>
    <s v="AR ZonaProp"/>
    <n v="145000"/>
    <x v="263"/>
    <x v="1"/>
    <s v="Dólares"/>
    <s v="Dólares"/>
    <s v="Aristobulo del valle 1200"/>
    <s v="Argentina | G.B.A. Zona Norte | Vicente López | Florida"/>
    <x v="3"/>
    <n v="2"/>
    <s v="Lion Team Norte"/>
    <s v="Propia (Único Asesor)"/>
    <x v="1"/>
    <s v="Venta"/>
    <x v="6"/>
    <s v="Vicente López"/>
  </r>
  <r>
    <d v="2025-11-20T00:00:00"/>
    <x v="1"/>
    <x v="7"/>
    <s v="OP 201"/>
    <x v="0"/>
    <s v="san martin 1674 3 b"/>
    <s v="Realizado"/>
    <s v="AR ZonaProp"/>
    <n v="142000"/>
    <x v="263"/>
    <x v="1"/>
    <s v="Dólares"/>
    <s v="Dólares"/>
    <s v="san martin 1674 3 b"/>
    <s v="Argentina | G.B.A. Zona Norte | Vicente López | Florida"/>
    <x v="0"/>
    <n v="2"/>
    <s v="Seniority Plus"/>
    <s v="Propia (Único Asesor)"/>
    <x v="1"/>
    <s v="Venta"/>
    <x v="3"/>
    <s v="Palermo"/>
  </r>
  <r>
    <d v="2026-02-24T00:00:00"/>
    <x v="0"/>
    <x v="0"/>
    <s v="CAP7383009"/>
    <x v="0"/>
    <s v="Departamento 2 ambientes en Nuñez"/>
    <s v="Realizado"/>
    <s v="AR ZonaProp"/>
    <n v="148000"/>
    <x v="263"/>
    <x v="1"/>
    <s v="Dólares"/>
    <s v="Dólares"/>
    <s v="Venta 2 Ambientes Cuba al 2800"/>
    <s v="Argentina | Capital Federal | Nuñez "/>
    <x v="0"/>
    <n v="2"/>
    <s v="Puerto Norte"/>
    <s v="Propia (Único Asesor)"/>
    <x v="1"/>
    <s v="Venta"/>
    <x v="6"/>
    <s v="Nordelta"/>
  </r>
  <r>
    <d v="2026-02-27T00:00:00"/>
    <x v="0"/>
    <x v="0"/>
    <s v="CAP6274947"/>
    <x v="0"/>
    <s v="Venta Departamento 3 Ambientes a Estrenar en San Telmo"/>
    <s v="Realizado"/>
    <s v="AR ZonaProp"/>
    <n v="149000"/>
    <x v="263"/>
    <x v="1"/>
    <s v="Dólares"/>
    <s v="Dólares"/>
    <s v="CASEROS al 700"/>
    <s v="Argentina | Capital Federal | San Telmo "/>
    <x v="0"/>
    <n v="2"/>
    <s v="Seniority"/>
    <s v="Propia (Único Asesor)"/>
    <x v="1"/>
    <s v="Venta"/>
    <x v="3"/>
    <s v="Barrio Parque"/>
  </r>
  <r>
    <d v="2025-08-13T00:00:00"/>
    <x v="1"/>
    <x v="5"/>
    <s v="CLO7055327"/>
    <x v="0"/>
    <s v="¡Gran PH de 4 ambientes en inmejorable ubicación de Olivos - Vicente López!"/>
    <s v="Realizado"/>
    <s v="Cartel"/>
    <n v="165000"/>
    <x v="264"/>
    <x v="1"/>
    <s v="Dólares"/>
    <s v="Dólares"/>
    <s v="Bouchard al 3200"/>
    <s v="Argentina | G.B.A. Zona Norte | Vicente López | Olivos"/>
    <x v="3"/>
    <n v="2"/>
    <s v="Concept"/>
    <s v="Compartida Fuera de la Red Captación Propia"/>
    <x v="0"/>
    <s v="Venta"/>
    <x v="6"/>
    <s v="Tigre"/>
  </r>
  <r>
    <d v="2026-02-24T00:00:00"/>
    <x v="0"/>
    <x v="0"/>
    <s v="25EM-14-01-26"/>
    <x v="0"/>
    <s v="Departamento en Villa Crespo"/>
    <s v="Realizado"/>
    <s v="AR ZonaProp"/>
    <n v="149000"/>
    <x v="264"/>
    <x v="1"/>
    <s v="Dólares"/>
    <s v="Dólares"/>
    <s v="Av. Corrientes  al 4700"/>
    <s v="Argentina | Capital Federal | Villa Crespo "/>
    <x v="0"/>
    <n v="2"/>
    <s v="Ser"/>
    <s v="Propia (Único Asesor)"/>
    <x v="1"/>
    <s v="Venta"/>
    <x v="3"/>
    <s v="Belgrano"/>
  </r>
  <r>
    <d v="2025-09-29T00:00:00"/>
    <x v="1"/>
    <x v="6"/>
    <s v="CAP7264600"/>
    <x v="0"/>
    <s v="Departamento en Capital"/>
    <s v="Realizado"/>
    <s v="AR ZonaProp"/>
    <n v="145000"/>
    <x v="265"/>
    <x v="1"/>
    <s v="Dólares"/>
    <s v="Dólares"/>
    <s v="BELGRANO al 500"/>
    <s v="Argentina | Neuquen | Capital "/>
    <x v="0"/>
    <n v="1"/>
    <s v="Sensus"/>
    <s v="(Interior) Compartida Fuera de la Red Captación Propia"/>
    <x v="0"/>
    <s v="Venta"/>
    <x v="1"/>
    <s v="Capital Neuquén"/>
  </r>
  <r>
    <d v="2025-12-24T00:00:00"/>
    <x v="1"/>
    <x v="8"/>
    <s v="DHO2667358"/>
    <x v="0"/>
    <s v="Venta Casa 3 dormitorios  -Senderos- Nordelta"/>
    <s v="Realizado"/>
    <s v="AR ZonaProp"/>
    <n v="268000"/>
    <x v="265"/>
    <x v="1"/>
    <s v="Dólares"/>
    <s v="Dólares"/>
    <s v="SENDEROS NORDELTA"/>
    <s v="Argentina | G.B.A. Zona Norte | Tigre | Countries/B.Cerrado (Tigre) | Nordelta | Sendero | Casas del Sendero"/>
    <x v="2"/>
    <n v="2"/>
    <s v="Puerto Norte"/>
    <s v="Compartida en Oficina (Dos Asesores)"/>
    <x v="1"/>
    <s v="Venta"/>
    <x v="6"/>
    <s v="Nordelta"/>
  </r>
  <r>
    <d v="2025-11-27T00:00:00"/>
    <x v="1"/>
    <x v="7"/>
    <s v="op 204"/>
    <x v="0"/>
    <s v="Hipolito Yrigoyen 1533 4 D"/>
    <s v="Realizado"/>
    <s v="AR ZonaProp"/>
    <n v="143000"/>
    <x v="265"/>
    <x v="1"/>
    <s v="Dólares"/>
    <s v="Dólares"/>
    <s v="Hipolito Yrigoyen 1533 4 D"/>
    <s v="Argentina | G.B.A. Zona Norte | Vicente López | Florida"/>
    <x v="0"/>
    <n v="1"/>
    <s v="Seniority Plus"/>
    <s v="Compartida Fuera de la Red Búsqueda"/>
    <x v="2"/>
    <s v="Venta"/>
    <x v="3"/>
    <s v="Palermo"/>
  </r>
  <r>
    <d v="2025-09-02T00:00:00"/>
    <x v="1"/>
    <x v="6"/>
    <s v="Verona"/>
    <x v="2"/>
    <s v="Lote  en Verona Pilar "/>
    <s v="Realizado"/>
    <s v="Conocido"/>
    <n v="150000"/>
    <x v="265"/>
    <x v="1"/>
    <s v="Dólares"/>
    <s v="Dólares"/>
    <m/>
    <s v="Argentina | G.B.A. Zona Norte | Pilar | Countries/B.Cerrado (Pilar) | Verona Pilar"/>
    <x v="1"/>
    <n v="2"/>
    <s v="North Team"/>
    <s v="Master"/>
    <x v="1"/>
    <s v="Venta"/>
    <x v="6"/>
    <s v="Pilar"/>
  </r>
  <r>
    <d v="2026-01-09T00:00:00"/>
    <x v="0"/>
    <x v="10"/>
    <s v="CLA7371666"/>
    <x v="0"/>
    <s v="Terreno en venta Lote 564 m2 sobre Avenida Mitre Sarandi Avellaneda"/>
    <s v="Realizado"/>
    <s v="AR ZonaProp"/>
    <n v="143000"/>
    <x v="265"/>
    <x v="1"/>
    <s v="Dólares"/>
    <s v="Dólares"/>
    <s v="Avda Mitre al 3500 sarandi Partido Avellaneda"/>
    <s v="Argentina | G.B.A. Zona Sur | Avellaneda | Sarandi"/>
    <x v="1"/>
    <n v="2"/>
    <s v="Haka"/>
    <s v="Propia (Único Asesor)"/>
    <x v="1"/>
    <s v="Venta"/>
    <x v="3"/>
    <s v="Núñez"/>
  </r>
  <r>
    <d v="2025-02-04T00:00:00"/>
    <x v="1"/>
    <x v="0"/>
    <s v="CHO5238945"/>
    <x v="0"/>
    <s v="Casa en venta centro calle Independencia al 300"/>
    <s v="Realizado"/>
    <s v="Conocido"/>
    <n v="152000"/>
    <x v="266"/>
    <x v="1"/>
    <s v="Dólares"/>
    <s v="Dólares"/>
    <s v="Independencia al 200"/>
    <s v="Argentina | Jujuy | Dr Manuel Belgrano | San Salvador De Jujuy | Centro"/>
    <x v="2"/>
    <n v="2"/>
    <s v="Plaza"/>
    <s v="Compartida en Oficina (Dos Asesores)"/>
    <x v="1"/>
    <s v="Venta"/>
    <x v="8"/>
    <s v="Capital Jujuy"/>
  </r>
  <r>
    <d v="2025-10-08T00:00:00"/>
    <x v="1"/>
    <x v="11"/>
    <s v="N/C - CUENCA 4863"/>
    <x v="0"/>
    <s v="VENTA DPTO 3 AMBIENTES VILLA PUEYRREDON C BALCON"/>
    <s v="Realizado"/>
    <s v="AR ZonaProp"/>
    <n v="0"/>
    <x v="266"/>
    <x v="1"/>
    <s v="Dólares"/>
    <s v="Dólares"/>
    <s v="CUENCA 4863"/>
    <s v="Argentina | Capital Federal | Villa Pueyrredon "/>
    <x v="0"/>
    <n v="1"/>
    <s v="Destino II"/>
    <s v="Compartida Fuera de la Red Búsqueda"/>
    <x v="2"/>
    <s v="Venta"/>
    <x v="3"/>
    <s v="Recoleta"/>
  </r>
  <r>
    <d v="2025-08-30T00:00:00"/>
    <x v="1"/>
    <x v="5"/>
    <s v="CAP5356060"/>
    <x v="0"/>
    <s v="Venta - Departamento - 2 Ambientes - A estrenar - Mataderos - Balcon"/>
    <s v="Realizado"/>
    <s v="AR ArgenProp"/>
    <n v="131100"/>
    <x v="267"/>
    <x v="1"/>
    <s v="Dólares"/>
    <s v="Dólares"/>
    <s v="Escalada 1060"/>
    <s v="Argentina | Capital Federal | Mataderos "/>
    <x v="0"/>
    <n v="2"/>
    <s v="Lion Team"/>
    <s v="Propia (Único Asesor)"/>
    <x v="1"/>
    <s v="Venta"/>
    <x v="3"/>
    <s v="Villa Urquiza"/>
  </r>
  <r>
    <d v="2025-12-30T00:00:00"/>
    <x v="1"/>
    <x v="8"/>
    <s v="Ruiz Huidobro 3737"/>
    <x v="0"/>
    <s v="Ruiz Huidobro 3737"/>
    <s v="Realizado"/>
    <s v="AR ZonaProp"/>
    <n v="165000"/>
    <x v="268"/>
    <x v="1"/>
    <s v="Dólares"/>
    <s v="Dólares"/>
    <s v="Ruiz Huidobro 3737"/>
    <s v="Argentina | Capital Federal | Saavedra "/>
    <x v="0"/>
    <n v="2"/>
    <s v="Lion Team"/>
    <s v="Propia (Único Asesor)"/>
    <x v="1"/>
    <s v="Venta"/>
    <x v="3"/>
    <s v="Villa Urquiza"/>
  </r>
  <r>
    <d v="2025-07-01T00:00:00"/>
    <x v="1"/>
    <x v="1"/>
    <s v="CHO3925981"/>
    <x v="0"/>
    <s v="Casa en venta en Escobar con jardín y pileta"/>
    <s v="Realizado"/>
    <s v="Cartel"/>
    <n v="155000"/>
    <x v="269"/>
    <x v="1"/>
    <s v="Dólares"/>
    <s v="Dólares"/>
    <s v="Cervantes 45 Escobar"/>
    <s v="Argentina | G.B.A. Zona Norte | Escobar | Belen De Escobar"/>
    <x v="2"/>
    <n v="1"/>
    <s v="Concept"/>
    <s v="Compartida Fuera de la Red Búsqueda"/>
    <x v="2"/>
    <s v="Venta"/>
    <x v="6"/>
    <s v="Tigre"/>
  </r>
  <r>
    <d v="2025-01-14T00:00:00"/>
    <x v="1"/>
    <x v="10"/>
    <s v="Emi63"/>
    <x v="0"/>
    <s v="Casa en Guadalupe"/>
    <s v="Realizado"/>
    <s v="Cartel"/>
    <n v="150000"/>
    <x v="270"/>
    <x v="1"/>
    <s v="Dólares"/>
    <s v="Dólares"/>
    <s v="Cardenal Fasolino 466"/>
    <s v="Argentina | Santa Fe | La Capital | Santa Fe"/>
    <x v="2"/>
    <n v="1"/>
    <s v="De la Veracruz"/>
    <s v="(Interior) Compartida Fuera de la Red Búsqueda"/>
    <x v="2"/>
    <s v="Venta"/>
    <x v="5"/>
    <s v="Capital Santa Fe"/>
  </r>
  <r>
    <d v="2025-10-31T00:00:00"/>
    <x v="1"/>
    <x v="11"/>
    <s v="CRISOLOGO LARRALDE 3609"/>
    <x v="0"/>
    <s v="CRISOLOGO LARRALDE 3609"/>
    <s v="Realizado"/>
    <s v="AR ArgenProp"/>
    <n v="145000"/>
    <x v="270"/>
    <x v="1"/>
    <s v="Dólares"/>
    <s v="Dólares"/>
    <s v="CRISOLOGO LARRALDE 3609"/>
    <s v="Argentina | Capital Federal | Saavedra "/>
    <x v="0"/>
    <n v="1"/>
    <s v="Lion Team Norte"/>
    <s v="(Interior) Compartida Fuera de la Red Búsqueda"/>
    <x v="2"/>
    <s v="Venta"/>
    <x v="6"/>
    <s v="Vicente López"/>
  </r>
  <r>
    <d v="2025-11-25T00:00:00"/>
    <x v="1"/>
    <x v="7"/>
    <s v="BENJAMIN SAENZ VALIENTE 1525"/>
    <x v="0"/>
    <s v="BENJAMIN SAENZ VALIENTE 1525"/>
    <s v="Realizado"/>
    <s v="AR ZonaProp"/>
    <n v="145000"/>
    <x v="270"/>
    <x v="1"/>
    <s v="Dólares"/>
    <s v="Dólares"/>
    <s v="BENJAMIN SAENZ VALIENTE 1525"/>
    <s v="Argentina | G.B.A. Zona Norte | San Isidro | Martinez"/>
    <x v="2"/>
    <n v="1"/>
    <s v="Lion Team Norte"/>
    <s v="(Interior) Compartida Fuera de la Red Búsqueda"/>
    <x v="2"/>
    <s v="Venta"/>
    <x v="6"/>
    <s v="Vicente López"/>
  </r>
  <r>
    <d v="2025-04-04T00:00:00"/>
    <x v="1"/>
    <x v="3"/>
    <s v="CPN57417 AP6215549"/>
    <x v="0"/>
    <s v="Departamento en venta, 2 ambientes, apto turismo con financiación, Bariloche"/>
    <s v="Realizado"/>
    <s v="Salón"/>
    <n v="146361"/>
    <x v="270"/>
    <x v="1"/>
    <s v="Dólares"/>
    <s v="Dólares"/>
    <s v="Villaverde, San Carlos de Bariloche"/>
    <s v="Argentina | Rio Negro | Bariloche | San Carlos De Bariloche | Villa Verde"/>
    <x v="0"/>
    <n v="2"/>
    <s v="Patagonia Lakes BRC"/>
    <s v="Compartida en Oficina (Dos Asesores)"/>
    <x v="1"/>
    <s v="Venta"/>
    <x v="7"/>
    <s v="Bariloche"/>
  </r>
  <r>
    <d v="2025-10-08T00:00:00"/>
    <x v="1"/>
    <x v="11"/>
    <s v="CAP6701451"/>
    <x v="0"/>
    <s v="VENTA Departamento, 2 dormitorios con financiación, Bariloche"/>
    <s v="Realizado"/>
    <s v="Teléfono"/>
    <n v="140000"/>
    <x v="270"/>
    <x v="1"/>
    <s v="Dólares"/>
    <s v="Dólares"/>
    <s v="Centro, San Carlos de Bariloche"/>
    <s v="Argentina | Rio Negro | Bariloche | San Carlos De Bariloche | Centro"/>
    <x v="0"/>
    <n v="2"/>
    <s v="Patagonia Lakes BRC"/>
    <s v="Compartida en Oficina (Dos Asesores)"/>
    <x v="1"/>
    <s v="Venta"/>
    <x v="7"/>
    <s v="Bariloche"/>
  </r>
  <r>
    <d v="2025-11-28T00:00:00"/>
    <x v="1"/>
    <x v="7"/>
    <s v="CAP6603698"/>
    <x v="0"/>
    <s v="VENTA Departamento 2 ambientes PA 59.14m2 a estrenar . Villa la Angostura. apto att"/>
    <s v="Realizado"/>
    <s v="Repetido"/>
    <n v="150000"/>
    <x v="270"/>
    <x v="1"/>
    <s v="Dólares"/>
    <s v="Dólares"/>
    <s v="Cerro Centinela al 100"/>
    <s v="Argentina | Neuquen | Villa La Angostura | Centro"/>
    <x v="0"/>
    <n v="2"/>
    <s v="Patagonia Lakes VLA"/>
    <s v="Compartida en Oficina (Dos Asesores)"/>
    <x v="1"/>
    <s v="Venta"/>
    <x v="1"/>
    <s v="Villa La Angostura"/>
  </r>
  <r>
    <d v="2026-03-05T00:00:00"/>
    <x v="0"/>
    <x v="9"/>
    <s v="San Sebastian A13 L185"/>
    <x v="1"/>
    <s v="San Sebastian A13 L185"/>
    <s v="Realizado"/>
    <s v="AR ZonaProp"/>
    <n v="145000"/>
    <x v="270"/>
    <x v="1"/>
    <s v="Dólares"/>
    <s v="Dólares"/>
    <m/>
    <s v="Argentina | G.B.A. Zona Norte | Pilar | Countries/B.Cerrado (Pilar) | San Sebastian"/>
    <x v="2"/>
    <n v="2"/>
    <s v="Quality"/>
    <s v="Compartida en Red (50%)"/>
    <x v="1"/>
    <s v="Venta"/>
    <x v="6"/>
    <s v="Escobar"/>
  </r>
  <r>
    <d v="2025-09-15T00:00:00"/>
    <x v="1"/>
    <x v="6"/>
    <s v="N/C - CHARCAS 5108"/>
    <x v="0"/>
    <s v="VENTA DPTO 3 AMBIENTES RECOLETA"/>
    <s v="Realizado"/>
    <s v="AR MercadoLibre"/>
    <n v="145000"/>
    <x v="270"/>
    <x v="1"/>
    <s v="Dólares"/>
    <s v="Dólares"/>
    <s v="CHARCAS 5108"/>
    <s v="Argentina | Capital Federal | Recoleta "/>
    <x v="1"/>
    <n v="1"/>
    <s v="Destino II"/>
    <s v="Compartida Fuera de la Red Búsqueda"/>
    <x v="2"/>
    <s v="Venta"/>
    <x v="3"/>
    <s v="Recoleta"/>
  </r>
  <r>
    <d v="2025-09-21T00:00:00"/>
    <x v="1"/>
    <x v="6"/>
    <s v="4 ESTACIONES"/>
    <x v="0"/>
    <s v="VENTA EN 4 ESTACIONES "/>
    <s v="Realizado"/>
    <s v="AR ZonaProp"/>
    <n v="145000"/>
    <x v="270"/>
    <x v="1"/>
    <s v="Dólares"/>
    <s v="Dólares"/>
    <s v="4 ESTACIONES LOMA VERDE"/>
    <s v="Argentina | G.B.A. Zona Norte | Escobar | Loma Verde"/>
    <x v="0"/>
    <n v="1"/>
    <s v="Puerto Norte"/>
    <s v="Compartida Fuera de la Red Búsqueda"/>
    <x v="2"/>
    <s v="Venta"/>
    <x v="6"/>
    <s v="Nordelta"/>
  </r>
  <r>
    <d v="2025-10-14T00:00:00"/>
    <x v="1"/>
    <x v="11"/>
    <s v="Búsqueda"/>
    <x v="0"/>
    <s v="Búsqueda depto tres ambientes por reubicación"/>
    <s v="Realizado"/>
    <s v="AR ZonaProp"/>
    <n v="145000"/>
    <x v="270"/>
    <x v="1"/>
    <s v="Dólares"/>
    <s v="Dólares"/>
    <s v="Desiderio Davel 556, 1° CABA"/>
    <s v="Argentina | Capital Federal | Caballito "/>
    <x v="0"/>
    <n v="1"/>
    <s v="Ser"/>
    <s v="Compartida Fuera de la Red Búsqueda"/>
    <x v="2"/>
    <s v="Venta"/>
    <x v="3"/>
    <s v="Belgrano"/>
  </r>
  <r>
    <d v="2025-10-17T00:00:00"/>
    <x v="1"/>
    <x v="11"/>
    <n v="10560"/>
    <x v="0"/>
    <s v="Olazabal 4538 7°4 "/>
    <s v="Realizado"/>
    <s v="AR ZonaProp"/>
    <n v="145000"/>
    <x v="270"/>
    <x v="1"/>
    <s v="Dólares"/>
    <s v="Dólares"/>
    <s v="Olazabal 4538 7°4 "/>
    <s v="Argentina | Capital Federal | Belgrano "/>
    <x v="0"/>
    <n v="1"/>
    <s v="Seniority"/>
    <s v="Compartida Fuera de la Red Búsqueda"/>
    <x v="2"/>
    <s v="Venta"/>
    <x v="3"/>
    <s v="Barrio Parque"/>
  </r>
  <r>
    <d v="2025-10-28T00:00:00"/>
    <x v="1"/>
    <x v="11"/>
    <m/>
    <x v="0"/>
    <s v="Burela 2172 - Javier Lopez - Yamila Lesina"/>
    <s v="Realizado"/>
    <s v="AR ZonaProp"/>
    <n v="145000"/>
    <x v="270"/>
    <x v="1"/>
    <s v="Dólares"/>
    <s v="Dólares"/>
    <s v="Burela 2172"/>
    <s v="Argentina | Capital Federal | Palermo "/>
    <x v="0"/>
    <n v="1"/>
    <s v="Destino"/>
    <s v="Compartida Fuera de la Red Búsqueda"/>
    <x v="2"/>
    <s v="Venta"/>
    <x v="3"/>
    <s v="Recoleta"/>
  </r>
  <r>
    <d v="2025-11-05T00:00:00"/>
    <x v="1"/>
    <x v="7"/>
    <n v="10554"/>
    <x v="0"/>
    <s v="Quesada 3144 piso 3 "/>
    <s v="Realizado"/>
    <s v="AR ZonaProp"/>
    <n v="145000"/>
    <x v="270"/>
    <x v="1"/>
    <s v="Dólares"/>
    <s v="Dólares"/>
    <m/>
    <s v="Argentina | Capital Federal | Coghlan "/>
    <x v="0"/>
    <n v="1"/>
    <s v="Seniority"/>
    <s v="Compartida Fuera de la Red Búsqueda"/>
    <x v="2"/>
    <s v="Venta"/>
    <x v="3"/>
    <s v="Barrio Parque"/>
  </r>
  <r>
    <d v="2026-02-18T00:00:00"/>
    <x v="0"/>
    <x v="0"/>
    <m/>
    <x v="0"/>
    <s v="CESAR DIAZ 570 - YAMILA LESINA - LEONARDI PROPIEDADES"/>
    <s v="Realizado"/>
    <s v="AR ZonaProp"/>
    <n v="145000"/>
    <x v="270"/>
    <x v="1"/>
    <s v="Dólares"/>
    <s v="Dólares"/>
    <s v="CESAR DIAZ 570"/>
    <s v="Argentina | G.B.A. Zona Norte | Escobar | Belen De Escobar"/>
    <x v="0"/>
    <n v="1"/>
    <s v="Destino"/>
    <s v="Compartida Fuera de la Red Búsqueda"/>
    <x v="2"/>
    <s v="Venta"/>
    <x v="3"/>
    <s v="Recoleta"/>
  </r>
  <r>
    <d v="2025-05-15T00:00:00"/>
    <x v="1"/>
    <x v="2"/>
    <s v="CHO6718218"/>
    <x v="0"/>
    <s v="VENTA CASA 5 AMBIENTES EN BARRIO CERRADO BOCA RATON PILAR"/>
    <s v="Realizado"/>
    <s v="AR ZonaProp"/>
    <n v="154900"/>
    <x v="270"/>
    <x v="1"/>
    <s v="Dólares"/>
    <s v="Dólares"/>
    <s v="BARRIO CERRADO BOCA RATON"/>
    <s v="Argentina | G.B.A. Zona Norte | Pilar | Countries/B.Cerrado (Pilar) | Boca Raton"/>
    <x v="2"/>
    <n v="2"/>
    <s v="Seniority"/>
    <s v="Compartida Fuera de la Red Captación Propia"/>
    <x v="0"/>
    <s v="Venta"/>
    <x v="3"/>
    <s v="Barrio Parque"/>
  </r>
  <r>
    <d v="2026-03-05T00:00:00"/>
    <x v="0"/>
    <x v="9"/>
    <s v="Casa en Barrio San Sebastián Area 13"/>
    <x v="0"/>
    <s v="Casa en Barrio San Sebastián Area 13"/>
    <s v="Realizado"/>
    <s v="Referido"/>
    <n v="145000"/>
    <x v="270"/>
    <x v="1"/>
    <s v="Dólares"/>
    <s v="Dólares"/>
    <s v="Loma verde"/>
    <s v="Argentina | G.B.A. Zona Norte | Pilar | Countries/B.Cerrado (Pilar) | San Sebastian"/>
    <x v="2"/>
    <n v="2"/>
    <s v="North Team"/>
    <s v="Master"/>
    <x v="1"/>
    <s v="Venta"/>
    <x v="6"/>
    <s v="Pilar"/>
  </r>
  <r>
    <d v="2025-08-20T00:00:00"/>
    <x v="1"/>
    <x v="5"/>
    <s v="CHO6573371"/>
    <x v="0"/>
    <s v="Casa  4 ambientes en  Venta en San Sebastian Area 1 con Jardin y Pileta"/>
    <s v="Realizado"/>
    <s v="AR MercadoLibre"/>
    <n v="164900"/>
    <x v="270"/>
    <x v="1"/>
    <s v="Dólares"/>
    <s v="Dólares"/>
    <s v="San Sebastian Area 1 "/>
    <s v="Argentina | G.B.A. Zona Norte | Escobar | San Sebastian"/>
    <x v="2"/>
    <n v="2"/>
    <s v="Lion Team"/>
    <s v="Profesional Referido (70%)"/>
    <x v="1"/>
    <s v="Venta"/>
    <x v="3"/>
    <s v="Villa Urquiza"/>
  </r>
  <r>
    <d v="2025-01-27T00:00:00"/>
    <x v="1"/>
    <x v="10"/>
    <s v="CLA6239420"/>
    <x v="0"/>
    <s v="Venta terreno/lote en Mataderos"/>
    <s v="Realizado"/>
    <s v="AR ZonaProp"/>
    <n v="180000"/>
    <x v="270"/>
    <x v="1"/>
    <s v="Dólares"/>
    <s v="Dólares"/>
    <s v="Basualdo  al 900"/>
    <s v="Argentina | Capital Federal | Mataderos "/>
    <x v="1"/>
    <n v="2"/>
    <s v="Destino"/>
    <s v="Propia (Único Asesor)"/>
    <x v="1"/>
    <s v="Venta"/>
    <x v="3"/>
    <s v="Recoleta"/>
  </r>
  <r>
    <d v="2025-02-14T00:00:00"/>
    <x v="1"/>
    <x v="0"/>
    <s v="CPH6440645"/>
    <x v="0"/>
    <s v="Hermoso PH 3 ambientes con Patio y Cochera"/>
    <s v="Realizado"/>
    <s v="AR ZonaProp"/>
    <n v="159000"/>
    <x v="270"/>
    <x v="1"/>
    <s v="Dólares"/>
    <s v="Dólares"/>
    <s v="Guevara al 1500"/>
    <s v="Argentina | Capital Federal | Villa Urquiza | Urquiza R"/>
    <x v="3"/>
    <n v="2"/>
    <s v="Puerto Norte"/>
    <s v="Propia (Único Asesor)"/>
    <x v="1"/>
    <s v="Venta"/>
    <x v="6"/>
    <s v="Nordelta"/>
  </r>
  <r>
    <d v="2025-03-31T00:00:00"/>
    <x v="1"/>
    <x v="9"/>
    <s v="Av. de Mayo 1339 4B"/>
    <x v="0"/>
    <s v="Av. de Mayo 1339 4B"/>
    <s v="Realizado"/>
    <s v="AR ZonaProp"/>
    <n v="145000"/>
    <x v="270"/>
    <x v="1"/>
    <s v="Dólares"/>
    <s v="Dólares"/>
    <s v="Av. de Mayo 1339 4B"/>
    <s v="Argentina | Capital Federal | Capital Federal "/>
    <x v="0"/>
    <n v="2"/>
    <s v="Lion Team"/>
    <s v="Propia (Único Asesor)"/>
    <x v="1"/>
    <s v="Venta"/>
    <x v="3"/>
    <s v="Villa Urquiza"/>
  </r>
  <r>
    <d v="2025-06-03T00:00:00"/>
    <x v="1"/>
    <x v="4"/>
    <s v="CHO3925981"/>
    <x v="0"/>
    <s v="Casa en venta en Escobar con jardín y pileta"/>
    <s v="Realizado"/>
    <s v="Cartel"/>
    <n v="155000"/>
    <x v="270"/>
    <x v="1"/>
    <s v="Dólares"/>
    <s v="Dólares"/>
    <s v="Cervantes 45 Escobar"/>
    <s v="Argentina | G.B.A. Zona Norte | Escobar | Belen De Escobar"/>
    <x v="2"/>
    <n v="2"/>
    <s v="Concept"/>
    <s v="Propia (Único Asesor)"/>
    <x v="1"/>
    <s v="Venta"/>
    <x v="6"/>
    <s v="Tigre"/>
  </r>
  <r>
    <d v="2025-06-06T00:00:00"/>
    <x v="1"/>
    <x v="4"/>
    <s v="JPH6721643"/>
    <x v="0"/>
    <s v="VENTA PH 4 AMBIENTES TERRAZA PROPIA PARRILLA P. CHACABUCO"/>
    <s v="Realizado"/>
    <s v="AR ZonaProp"/>
    <n v="165000"/>
    <x v="270"/>
    <x v="1"/>
    <s v="Dólares"/>
    <s v="Dólares"/>
    <s v="Dávila  al 800"/>
    <s v="Argentina | Capital Federal | Parque Chacabuco "/>
    <x v="3"/>
    <n v="2"/>
    <s v="Lion Team Norte"/>
    <s v="Propia (Único Asesor)"/>
    <x v="1"/>
    <s v="Venta"/>
    <x v="6"/>
    <s v="Vicente López"/>
  </r>
  <r>
    <d v="2025-08-13T00:00:00"/>
    <x v="1"/>
    <x v="5"/>
    <s v="CHO6750277"/>
    <x v="0"/>
    <s v="DUPLEX MAR BALTICO 495 RINCON DE EMILIO"/>
    <s v="Realizado"/>
    <s v="AR ZonaProp"/>
    <n v="145000"/>
    <x v="270"/>
    <x v="1"/>
    <s v="Dólares"/>
    <s v="Dólares"/>
    <s v="MAR BALTICO 495 RINCON DE EM ILIO"/>
    <s v="Argentina | Neuquen | Capital | Rincón de Emilio"/>
    <x v="2"/>
    <n v="2"/>
    <s v="Sensus"/>
    <s v="Propia (Único Asesor)"/>
    <x v="1"/>
    <s v="Venta"/>
    <x v="1"/>
    <s v="Capital Neuquén"/>
  </r>
  <r>
    <d v="2025-08-14T00:00:00"/>
    <x v="1"/>
    <x v="5"/>
    <s v="CPH6853381"/>
    <x v="0"/>
    <s v="PH tipo Casa en Venta en Versalles"/>
    <s v="Realizado"/>
    <s v="AR ZonaProp"/>
    <n v="150000"/>
    <x v="270"/>
    <x v="1"/>
    <s v="Dólares"/>
    <s v="Dólares"/>
    <s v="Irigoyen  al 1800"/>
    <s v="Argentina | Capital Federal | Versalles "/>
    <x v="3"/>
    <n v="2"/>
    <s v="Horizon Group"/>
    <s v="Propia (Único Asesor)"/>
    <x v="1"/>
    <s v="Venta"/>
    <x v="3"/>
    <s v="Núñez"/>
  </r>
  <r>
    <d v="2025-09-23T00:00:00"/>
    <x v="1"/>
    <x v="6"/>
    <s v="VHO5979916"/>
    <x v="0"/>
    <s v="Casa con departamento en Munro - APTO CREDITO"/>
    <s v="Realizado"/>
    <s v="AR ZonaProp"/>
    <n v="219000"/>
    <x v="270"/>
    <x v="1"/>
    <s v="Dólares"/>
    <s v="Dólares"/>
    <s v="Jujuy  al 2200. APTO CRÉDITO. CASA EN LOTE PROPIO "/>
    <s v="Argentina | G.B.A. Zona Norte | Vicente López | Munro"/>
    <x v="2"/>
    <n v="2"/>
    <s v="Puerto Norte"/>
    <s v="Propia (Único Asesor)"/>
    <x v="1"/>
    <s v="Venta"/>
    <x v="6"/>
    <s v="Nordelta"/>
  </r>
  <r>
    <d v="2025-12-10T00:00:00"/>
    <x v="1"/>
    <x v="8"/>
    <s v="CAP7090066"/>
    <x v="0"/>
    <s v="VENTA DEPARTAMENTO CON 1 HABITACIÓN Y BALCÓN EN LAS CAÑITAS"/>
    <s v="Realizado"/>
    <s v="AR ZonaProp"/>
    <n v="159000"/>
    <x v="270"/>
    <x v="1"/>
    <s v="Dólares"/>
    <s v="Dólares"/>
    <s v="Huergo  al 256"/>
    <s v="Argentina | Capital Federal | Palermo | Las Cañitas"/>
    <x v="0"/>
    <n v="2"/>
    <s v="Seniority"/>
    <s v="Propia (Único Asesor)"/>
    <x v="1"/>
    <s v="Venta"/>
    <x v="3"/>
    <s v="Barrio Parque"/>
  </r>
  <r>
    <d v="2026-03-18T00:00:00"/>
    <x v="0"/>
    <x v="9"/>
    <s v="El Maestro 152"/>
    <x v="0"/>
    <s v="El Maestro 152"/>
    <s v="Realizado"/>
    <s v="AR ZonaProp"/>
    <n v="145000"/>
    <x v="270"/>
    <x v="1"/>
    <s v="Dólares"/>
    <s v="Dólares"/>
    <s v="El Maestro 152"/>
    <s v="Argentina | Capital Federal | Capital Federal "/>
    <x v="0"/>
    <n v="2"/>
    <s v="Lion Team"/>
    <s v="Propia (Único Asesor)"/>
    <x v="1"/>
    <s v="Venta"/>
    <x v="3"/>
    <s v="Villa Urquiza"/>
  </r>
  <r>
    <d v="2026-03-25T00:00:00"/>
    <x v="0"/>
    <x v="9"/>
    <s v="CAP7226159"/>
    <x v="0"/>
    <s v="Venta departamento 4 ambientes balcón terraza Caballito"/>
    <s v="Realizado"/>
    <s v="Conocido"/>
    <n v="165000"/>
    <x v="270"/>
    <x v="1"/>
    <s v="Dólares"/>
    <s v="Dólares"/>
    <s v="García Lorca 87"/>
    <s v="Argentina | Capital Federal | Caballito "/>
    <x v="0"/>
    <n v="2"/>
    <s v="Grupo Elite"/>
    <s v="Propia (Único Asesor)"/>
    <x v="1"/>
    <s v="Venta"/>
    <x v="3"/>
    <s v="Puerto Madero"/>
  </r>
  <r>
    <d v="2025-10-17T00:00:00"/>
    <x v="1"/>
    <x v="11"/>
    <m/>
    <x v="0"/>
    <s v="Arenales 1876 - Piso 9 - Bs. As. Habitat - Marcela Subiza"/>
    <s v="Realizado"/>
    <s v="AR ZonaProp"/>
    <n v="146000"/>
    <x v="271"/>
    <x v="1"/>
    <s v="Dólares"/>
    <s v="Dólares"/>
    <s v="Arenales 1876 "/>
    <s v="Argentina | Capital Federal | Recoleta "/>
    <x v="0"/>
    <n v="1"/>
    <s v="Destino"/>
    <s v="Compartida Fuera de la Red Búsqueda"/>
    <x v="2"/>
    <s v="Venta"/>
    <x v="3"/>
    <s v="Recoleta"/>
  </r>
  <r>
    <d v="2025-04-28T00:00:00"/>
    <x v="1"/>
    <x v="3"/>
    <s v="CAP6928439"/>
    <x v="0"/>
    <s v="Duplex A estrenar 2 ambientes 2 baños balcon Villa Urquiza"/>
    <s v="Realizado"/>
    <s v="AR ArgenProp"/>
    <n v="130000"/>
    <x v="271"/>
    <x v="1"/>
    <s v="Dólares"/>
    <s v="Dólares"/>
    <s v="Bauness al 1100"/>
    <s v="Argentina | Capital Federal | Villa Urquiza "/>
    <x v="0"/>
    <n v="2"/>
    <s v="Lion Team"/>
    <s v="Propia (Único Asesor)"/>
    <x v="1"/>
    <s v="Venta"/>
    <x v="3"/>
    <s v="Villa Urquiza"/>
  </r>
  <r>
    <d v="2025-10-15T00:00:00"/>
    <x v="1"/>
    <x v="11"/>
    <s v="AMANECERES RESIDENCE"/>
    <x v="0"/>
    <s v="AMANECERES RESIDENCE"/>
    <s v="Realizado"/>
    <s v="Teléfono"/>
    <n v="146500"/>
    <x v="272"/>
    <x v="1"/>
    <s v="Dólares"/>
    <s v="Dólares"/>
    <s v="FORMOSA 335"/>
    <s v="Argentina | G.B.A. Zona Sur | Ezeiza | Canning (Ezeiza)"/>
    <x v="0"/>
    <n v="2"/>
    <s v="Boutique"/>
    <s v="Compartida Fuera de la Red Captación Propia"/>
    <x v="0"/>
    <s v="Venta"/>
    <x v="0"/>
    <s v="Canning"/>
  </r>
  <r>
    <d v="2026-02-12T00:00:00"/>
    <x v="0"/>
    <x v="0"/>
    <s v="CAP6953247"/>
    <x v="0"/>
    <s v="Venta departamento 3 ambientes con balcón en  Belgrano"/>
    <s v="Realizado"/>
    <s v="AR ZonaProp"/>
    <n v="155000"/>
    <x v="273"/>
    <x v="1"/>
    <s v="Dólares"/>
    <s v="Dólares"/>
    <s v="Ciudad de la Paz al 1900"/>
    <s v="Argentina | Capital Federal | Belgrano "/>
    <x v="0"/>
    <n v="2"/>
    <s v="Seniority"/>
    <s v="Compartida Fuera de la Red Captación Propia"/>
    <x v="0"/>
    <s v="Venta"/>
    <x v="3"/>
    <s v="Barrio Parque"/>
  </r>
  <r>
    <d v="2025-01-29T00:00:00"/>
    <x v="1"/>
    <x v="10"/>
    <s v="italia 4545"/>
    <x v="0"/>
    <s v="italia 4545"/>
    <s v="Realizado"/>
    <s v="AR ZonaProp"/>
    <n v="128000"/>
    <x v="273"/>
    <x v="1"/>
    <s v="Dólares"/>
    <s v="Dólares"/>
    <s v="italia 4545"/>
    <s v="Argentina | Capital Federal | Capital Federal "/>
    <x v="1"/>
    <n v="2"/>
    <s v="Lion Team"/>
    <s v="Propia (Único Asesor)"/>
    <x v="1"/>
    <s v="Venta"/>
    <x v="3"/>
    <s v="Villa Urquiza"/>
  </r>
  <r>
    <d v="2025-04-15T00:00:00"/>
    <x v="1"/>
    <x v="3"/>
    <s v="CHO6655245"/>
    <x v="0"/>
    <s v="CASA EN VENTA ,4 AMBIENTES, SAN SEBASTIAN, AREA 13"/>
    <s v="Realizado"/>
    <s v="AR ZonaProp"/>
    <n v="152000"/>
    <x v="273"/>
    <x v="1"/>
    <s v="Dólares"/>
    <s v="Dólares"/>
    <s v="CASA EN VENTA, 4 AMBIENTES, SAN SEBASTIAN AREA 13"/>
    <s v="Argentina | G.B.A. Zona Norte | Pilar | Countries/B.Cerrado (Pilar) | San Sebastian"/>
    <x v="2"/>
    <n v="2"/>
    <s v="Haka"/>
    <s v="Propia (Único Asesor)"/>
    <x v="1"/>
    <s v="Venta"/>
    <x v="3"/>
    <s v="Núñez"/>
  </r>
  <r>
    <d v="2025-04-29T00:00:00"/>
    <x v="1"/>
    <x v="3"/>
    <s v="CAP6840679"/>
    <x v="0"/>
    <s v="Departamento dos ambientes en VENTA al frente "/>
    <s v="Realizado"/>
    <s v="AR ZonaProp"/>
    <n v="140000"/>
    <x v="273"/>
    <x v="1"/>
    <s v="Dólares"/>
    <s v="Dólares"/>
    <s v="Arenales  al 1700"/>
    <s v="Argentina | Capital Federal | Recoleta "/>
    <x v="0"/>
    <n v="2"/>
    <s v="Destino"/>
    <s v="Propia (Único Asesor)"/>
    <x v="1"/>
    <s v="Venta"/>
    <x v="3"/>
    <s v="Recoleta"/>
  </r>
  <r>
    <d v="2025-09-03T00:00:00"/>
    <x v="1"/>
    <x v="6"/>
    <m/>
    <x v="0"/>
    <s v="Junin 1248 - Marcela Subiza"/>
    <s v="Realizado"/>
    <s v="AR ZonaProp"/>
    <n v="147000"/>
    <x v="273"/>
    <x v="1"/>
    <s v="Dólares"/>
    <s v="Dólares"/>
    <s v="Junin 1248"/>
    <s v="Argentina | Capital Federal | Palermo "/>
    <x v="0"/>
    <n v="2"/>
    <s v="Destino"/>
    <s v="Propia (Único Asesor)"/>
    <x v="1"/>
    <s v="Venta"/>
    <x v="3"/>
    <s v="Recoleta"/>
  </r>
  <r>
    <d v="2025-07-15T00:00:00"/>
    <x v="1"/>
    <x v="1"/>
    <s v="CAP6877937"/>
    <x v="0"/>
    <s v="DEPARTAMENTO EN VENTA BELGRANO 3 AMBIENTES BALCON CORRIDO PERMUTA"/>
    <s v="Realizado"/>
    <s v="AR ZonaProp"/>
    <n v="159000"/>
    <x v="274"/>
    <x v="1"/>
    <s v="Dólares"/>
    <s v="Dólares"/>
    <s v="MELIAN  al 2300"/>
    <s v="Argentina | Capital Federal | Belgrano | Belgrano R"/>
    <x v="0"/>
    <n v="2"/>
    <s v="Lion Team"/>
    <s v="Profesional Referido (70%)"/>
    <x v="1"/>
    <s v="Venta"/>
    <x v="3"/>
    <s v="Villa Urquiza"/>
  </r>
  <r>
    <d v="2025-07-15T00:00:00"/>
    <x v="1"/>
    <x v="1"/>
    <n v="15072025"/>
    <x v="2"/>
    <s v="Depto 3amb "/>
    <s v="Realizado"/>
    <s v="Referido"/>
    <n v="159000"/>
    <x v="275"/>
    <x v="1"/>
    <s v="Dólares"/>
    <s v="Dólares"/>
    <m/>
    <s v="Argentina | Capital Federal | Belgrano | Belgrano R"/>
    <x v="0"/>
    <n v="2"/>
    <s v="Patagonia Lakes BRC"/>
    <s v="Master"/>
    <x v="1"/>
    <s v="Venta"/>
    <x v="7"/>
    <s v="Bariloche"/>
  </r>
  <r>
    <d v="2026-01-09T00:00:00"/>
    <x v="0"/>
    <x v="10"/>
    <s v="CLA6679557"/>
    <x v="0"/>
    <s v="Terreno en Venta Martinez - 310 m2 - Permuta"/>
    <s v="Realizado"/>
    <s v="AR MercadoLibre"/>
    <n v="169000"/>
    <x v="276"/>
    <x v="1"/>
    <s v="Dólares"/>
    <s v="Dólares"/>
    <s v="Sáenz Valiente al 1700, Martínez, San Isidro"/>
    <s v="Argentina | G.B.A. Zona Norte | San Isidro | Martinez"/>
    <x v="1"/>
    <n v="2"/>
    <s v="Lion Team"/>
    <s v="Propia (Único Asesor)"/>
    <x v="1"/>
    <s v="Venta"/>
    <x v="3"/>
    <s v="Villa Urquiza"/>
  </r>
  <r>
    <d v="2025-01-27T00:00:00"/>
    <x v="1"/>
    <x v="10"/>
    <s v="VLA5679693"/>
    <x v="0"/>
    <s v="Terreno en  Pilar Barrio Privado Verona"/>
    <s v="Realizado"/>
    <s v="Instagram"/>
    <n v="156200"/>
    <x v="277"/>
    <x v="1"/>
    <s v="Dólares"/>
    <s v="Dólares"/>
    <s v="Venta Lote interno Verona - Pilar"/>
    <s v="Argentina | G.B.A. Zona Norte | Pilar | Countries/B.Cerrado (Pilar) | Verona Pilar"/>
    <x v="1"/>
    <n v="2"/>
    <s v="Puerto Norte"/>
    <s v="Compartida en Oficina (Dos Asesores)"/>
    <x v="1"/>
    <s v="Venta"/>
    <x v="6"/>
    <s v="Nordelta"/>
  </r>
  <r>
    <d v="2025-10-22T00:00:00"/>
    <x v="1"/>
    <x v="11"/>
    <s v="CAP5937369"/>
    <x v="0"/>
    <s v="Departamento en Venta - Capital - Mendoza "/>
    <s v="Realizado"/>
    <s v="AR ZonaProp"/>
    <n v="155000"/>
    <x v="278"/>
    <x v="1"/>
    <s v="Dólares"/>
    <s v="Dólares"/>
    <s v="25 de Mayo  al 900"/>
    <s v="Argentina | Mendoza | Capital | Mendoza"/>
    <x v="0"/>
    <n v="2"/>
    <s v="Cuyo Real"/>
    <s v="Compartida en Oficina (Dos Asesores)"/>
    <x v="1"/>
    <s v="Venta"/>
    <x v="2"/>
    <s v="Capital Mendoza"/>
  </r>
  <r>
    <d v="2025-11-25T00:00:00"/>
    <x v="1"/>
    <x v="7"/>
    <s v="CHO7148312"/>
    <x v="2"/>
    <s v="Casa en  Venta 3 dormitorios Santa Elisa Pilar del este"/>
    <s v="Realizado"/>
    <s v="AR ZonaProp"/>
    <n v="160000"/>
    <x v="278"/>
    <x v="1"/>
    <s v="Dólares"/>
    <s v="Dólares"/>
    <s v="Barrio Santa Elisa Pilar del Este"/>
    <s v="Argentina | G.B.A. Zona Norte | Pilar | Countries/B.Cerrado (Pilar) | Pilar Del Este | Santa Elisa"/>
    <x v="2"/>
    <n v="2"/>
    <s v="North Team"/>
    <s v="Master"/>
    <x v="1"/>
    <s v="Venta"/>
    <x v="6"/>
    <s v="Pilar"/>
  </r>
  <r>
    <d v="2025-02-20T00:00:00"/>
    <x v="1"/>
    <x v="0"/>
    <s v="CPH6053421"/>
    <x v="0"/>
    <s v="VENTA PH 2 AMBIENTES CON TERRAZA PROPIA EN COGHLAN"/>
    <s v="Realizado"/>
    <s v="AR ZonaProp"/>
    <n v="160000"/>
    <x v="278"/>
    <x v="1"/>
    <s v="Dólares"/>
    <s v="Dólares"/>
    <s v="MARIANO ACHA  al 2700"/>
    <s v="Argentina | Capital Federal | Villa Urquiza "/>
    <x v="3"/>
    <n v="2"/>
    <s v="Seniority"/>
    <s v="Propia (Único Asesor)"/>
    <x v="1"/>
    <s v="Venta"/>
    <x v="3"/>
    <s v="Barrio Parque"/>
  </r>
  <r>
    <d v="2025-04-04T00:00:00"/>
    <x v="1"/>
    <x v="3"/>
    <s v="CPH6435947"/>
    <x v="0"/>
    <s v="Venta PH  4 ambientes en Flores Norte"/>
    <s v="Realizado"/>
    <s v="AR ZonaProp"/>
    <n v="160000"/>
    <x v="278"/>
    <x v="1"/>
    <s v="Dólares"/>
    <s v="Dólares"/>
    <s v="Av Rivadavia  al 6200"/>
    <s v="Argentina | Capital Federal | Flores | Flores Norte"/>
    <x v="3"/>
    <n v="2"/>
    <s v="Seniority"/>
    <s v="Propia (Único Asesor)"/>
    <x v="1"/>
    <s v="Venta"/>
    <x v="3"/>
    <s v="Barrio Parque"/>
  </r>
  <r>
    <d v="2025-05-29T00:00:00"/>
    <x v="1"/>
    <x v="2"/>
    <s v="terreno venta el cano"/>
    <x v="0"/>
    <s v="doble lote venta el cano "/>
    <s v="Realizado"/>
    <s v="AR MercadoLibre"/>
    <n v="148000"/>
    <x v="278"/>
    <x v="1"/>
    <s v="Dólares"/>
    <s v="Dólares"/>
    <m/>
    <s v="Argentina | G.B.A. Zona Sur | Berazategui | Guillermo E Hudson"/>
    <x v="1"/>
    <n v="2"/>
    <s v="Livello"/>
    <s v="Propia (Único Asesor)"/>
    <x v="1"/>
    <s v="Venta"/>
    <x v="3"/>
    <s v="Palermo"/>
  </r>
  <r>
    <d v="2025-08-11T00:00:00"/>
    <x v="1"/>
    <x v="5"/>
    <s v="CHO6772380"/>
    <x v="0"/>
    <s v="Casa en Caballito Norte"/>
    <s v="Realizado"/>
    <s v="AR ZonaProp"/>
    <n v="165000"/>
    <x v="278"/>
    <x v="1"/>
    <s v="Dólares"/>
    <s v="Dólares"/>
    <s v="Belaustegui al 1600"/>
    <s v="Argentina | Capital Federal | Caballito | Caballito Norte"/>
    <x v="2"/>
    <n v="2"/>
    <s v="Destino"/>
    <s v="Propia (Único Asesor)"/>
    <x v="1"/>
    <s v="Venta"/>
    <x v="3"/>
    <s v="Recoleta"/>
  </r>
  <r>
    <d v="2025-11-10T00:00:00"/>
    <x v="1"/>
    <x v="7"/>
    <s v="CPH7405703"/>
    <x v="0"/>
    <s v="Venta de PH 4 ambientes en Villa Pueyrredón"/>
    <s v="Realizado"/>
    <s v="AR ZonaProp"/>
    <n v="155000"/>
    <x v="278"/>
    <x v="1"/>
    <s v="Dólares"/>
    <s v="Dólares"/>
    <s v="Carlos Molina Arrotea al 2800"/>
    <s v="Argentina | Capital Federal | Villa Pueyrredon "/>
    <x v="3"/>
    <n v="2"/>
    <s v="Grupo Elite"/>
    <s v="Propia (Único Asesor)"/>
    <x v="1"/>
    <s v="Venta"/>
    <x v="3"/>
    <s v="Puerto Madero"/>
  </r>
  <r>
    <d v="2026-03-11T00:00:00"/>
    <x v="0"/>
    <x v="9"/>
    <s v="CAP7773208"/>
    <x v="0"/>
    <s v="Espectacular 2 amb con balcon corrido LUMINOSO! "/>
    <s v="Realizado"/>
    <s v="AR ZonaProp"/>
    <n v="148000"/>
    <x v="278"/>
    <x v="1"/>
    <s v="Dólares"/>
    <s v="Dólares"/>
    <s v="Santos Dumont al 2300"/>
    <s v="Argentina | Capital Federal | Palermo "/>
    <x v="0"/>
    <n v="2"/>
    <s v="Destino"/>
    <s v="Propia (Único Asesor)"/>
    <x v="1"/>
    <s v="Venta"/>
    <x v="3"/>
    <s v="Recoleta"/>
  </r>
  <r>
    <d v="2026-03-26T00:00:00"/>
    <x v="0"/>
    <x v="9"/>
    <s v="CHO5814858"/>
    <x v="0"/>
    <s v="VENTA Casa a Estrenar 3 ambientes 106m2 UF 2, Lote 258m Norte, Villa La Angostura"/>
    <s v="Realizado"/>
    <s v="AR MercadoLibre"/>
    <n v="150000"/>
    <x v="279"/>
    <x v="1"/>
    <s v="Dólares"/>
    <s v="Dólares"/>
    <s v="Confluencia 750, Villa la Angostura"/>
    <s v="Argentina | Neuquen | Villa La Angostura | Barrio Norte"/>
    <x v="2"/>
    <n v="2"/>
    <s v="Patagonia Lakes VLA"/>
    <s v="Propia (Único Asesor)"/>
    <x v="1"/>
    <s v="Venta"/>
    <x v="1"/>
    <s v="Villa La Angostura"/>
  </r>
  <r>
    <d v="2025-06-29T00:00:00"/>
    <x v="1"/>
    <x v="4"/>
    <s v="CHO7055784"/>
    <x v="0"/>
    <s v="APTO CREDITO Casa en Venta, La Candela, Pilar."/>
    <s v="Realizado"/>
    <s v="AR ZonaProp"/>
    <n v="150000"/>
    <x v="280"/>
    <x v="1"/>
    <s v="Dólares"/>
    <s v="Dólares"/>
    <s v="Champagnat al 1600"/>
    <s v="Argentina | G.B.A. Zona Norte | Pilar | Countries/B.Cerrado (Pilar) | La Candela"/>
    <x v="2"/>
    <n v="2"/>
    <s v="Puerto Norte"/>
    <s v="Compartida en Oficina (Dos Asesores)"/>
    <x v="1"/>
    <s v="Venta"/>
    <x v="6"/>
    <s v="Nordelta"/>
  </r>
  <r>
    <d v="2026-01-22T00:00:00"/>
    <x v="0"/>
    <x v="10"/>
    <s v="JAP7019058"/>
    <x v="0"/>
    <s v="Departamento de 2 amb a estrenar! en Venta "/>
    <s v="Realizado"/>
    <s v="AR ZonaProp"/>
    <n v="153000"/>
    <x v="280"/>
    <x v="1"/>
    <s v="Dólares"/>
    <s v="Dólares"/>
    <s v="Crisologo Larralde  al 2700"/>
    <s v="Argentina | Capital Federal | Nuñez "/>
    <x v="0"/>
    <n v="2"/>
    <s v="Lion Team Norte"/>
    <s v="Compartida en Oficina (Dos Asesores)"/>
    <x v="1"/>
    <s v="Venta"/>
    <x v="6"/>
    <s v="Vicente López"/>
  </r>
  <r>
    <d v="2025-09-08T00:00:00"/>
    <x v="1"/>
    <x v="6"/>
    <m/>
    <x v="0"/>
    <s v="Local identificado como UNIDAD FUNCIONAL N°1, en planta baja,  en el Complejo Nordic , con nomenclatura catastral 16-20-070-6690"/>
    <s v="Realizado"/>
    <s v="Repetido"/>
    <n v="150000"/>
    <x v="281"/>
    <x v="1"/>
    <s v="Dólares"/>
    <s v="Dólares"/>
    <s v="Blvd. Pascotto 200"/>
    <s v="Argentina | Neuquen | Villa La Angostura | Centro"/>
    <x v="4"/>
    <n v="1"/>
    <s v="Patagonia Lakes VLA"/>
    <s v="(Interior) Compartida Fuera de la Red Búsqueda"/>
    <x v="2"/>
    <s v="Venta"/>
    <x v="1"/>
    <s v="Villa La Angostura"/>
  </r>
  <r>
    <d v="2025-11-03T00:00:00"/>
    <x v="1"/>
    <x v="7"/>
    <s v="92Nestor"/>
    <x v="0"/>
    <s v="Departamento en Centro"/>
    <s v="Realizado"/>
    <s v="Conocido"/>
    <n v="160000"/>
    <x v="281"/>
    <x v="1"/>
    <s v="Dólares"/>
    <s v="Dólares"/>
    <s v="Eva Perón 2855 "/>
    <s v="Argentina | Santa Fe | La Capital | Santa Fe"/>
    <x v="0"/>
    <n v="1"/>
    <s v="De la Veracruz"/>
    <s v="(Interior) Compartida Fuera de la Red Búsqueda"/>
    <x v="2"/>
    <s v="Venta"/>
    <x v="5"/>
    <s v="Capital Santa Fe"/>
  </r>
  <r>
    <d v="2025-11-27T00:00:00"/>
    <x v="1"/>
    <x v="7"/>
    <s v="106Stella"/>
    <x v="0"/>
    <s v="Casa en Maria Selva"/>
    <s v="Realizado"/>
    <s v="Conocido"/>
    <n v="0"/>
    <x v="281"/>
    <x v="1"/>
    <s v="Dólares"/>
    <s v="Dólares"/>
    <s v="Rivadavia 6226"/>
    <s v="Argentina | Santa Fe | La Capital | Santa Fe"/>
    <x v="2"/>
    <n v="1"/>
    <s v="De la Veracruz"/>
    <s v="(Interior) Compartida Fuera de la Red Búsqueda"/>
    <x v="2"/>
    <s v="Venta"/>
    <x v="5"/>
    <s v="Capital Santa Fe"/>
  </r>
  <r>
    <d v="2025-12-01T00:00:00"/>
    <x v="1"/>
    <x v="8"/>
    <s v="Casa"/>
    <x v="0"/>
    <s v="Casa"/>
    <s v="Realizado"/>
    <s v="Conocido"/>
    <n v="0"/>
    <x v="281"/>
    <x v="1"/>
    <s v="Dólares"/>
    <s v="Dólares"/>
    <m/>
    <s v="Argentina | Mendoza | Capital | Mendoza"/>
    <x v="2"/>
    <n v="1"/>
    <s v="Cuyo Real"/>
    <s v="(Interior) Compartida Fuera de la Red Búsqueda"/>
    <x v="2"/>
    <s v="Venta"/>
    <x v="2"/>
    <s v="Capital Mendoza"/>
  </r>
  <r>
    <d v="2025-02-24T00:00:00"/>
    <x v="1"/>
    <x v="0"/>
    <s v="VCO59064 AP6616999"/>
    <x v="0"/>
    <s v="Departamento 3 AMB en Altos de Maschwitz - ENTREGA INMEDIATA - APTO CREDITO"/>
    <s v="Realizado"/>
    <s v="AR ZonaProp"/>
    <n v="140000"/>
    <x v="281"/>
    <x v="1"/>
    <s v="Dólares"/>
    <s v="Dólares"/>
    <s v="Departamento 3 AMB en Altos de Maschwitz - ENTREGA INMEDIATA"/>
    <s v="Argentina | G.B.A. Zona Norte | Escobar | Ingeniero Maschwitz | Altos de Maschwitz"/>
    <x v="0"/>
    <n v="2"/>
    <s v="Puerto Norte"/>
    <s v="Compartida en Oficina (Dos Asesores)"/>
    <x v="1"/>
    <s v="Venta"/>
    <x v="6"/>
    <s v="Nordelta"/>
  </r>
  <r>
    <d v="2025-05-30T00:00:00"/>
    <x v="1"/>
    <x v="2"/>
    <s v="VAP6344366"/>
    <x v="0"/>
    <s v="Departamento en Planta Baja 3 ambientes en Pilar"/>
    <s v="Realizado"/>
    <s v="AR ZonaProp"/>
    <n v="135000"/>
    <x v="281"/>
    <x v="1"/>
    <s v="Dólares"/>
    <s v="Dólares"/>
    <s v="Planta Baja con Jardín  en venta 3 ambientes en Pilar "/>
    <s v="Argentina | G.B.A. Zona Norte | Pilar | Countries/B.Cerrado (Pilar) | Saravi Village"/>
    <x v="0"/>
    <n v="2"/>
    <s v="Puerto Norte"/>
    <s v="Compartida en Oficina (Dos Asesores)"/>
    <x v="1"/>
    <s v="Venta"/>
    <x v="6"/>
    <s v="Nordelta"/>
  </r>
  <r>
    <d v="2025-08-12T00:00:00"/>
    <x v="1"/>
    <x v="5"/>
    <s v="CAP5982566"/>
    <x v="0"/>
    <s v="Departamento céntrico 2 ambientes con cochera Bariloche"/>
    <s v="Realizado"/>
    <s v="Teléfono"/>
    <n v="155000"/>
    <x v="281"/>
    <x v="1"/>
    <s v="Dólares"/>
    <s v="Dólares"/>
    <s v="Centro, Bariloche"/>
    <s v="Argentina | Rio Negro | Bariloche | San Carlos De Bariloche | Centro"/>
    <x v="0"/>
    <n v="2"/>
    <s v="Patagonia Lakes BRC"/>
    <s v="Compartida en Oficina (Dos Asesores)"/>
    <x v="1"/>
    <s v="Venta"/>
    <x v="7"/>
    <s v="Bariloche"/>
  </r>
  <r>
    <d v="2025-10-29T00:00:00"/>
    <x v="1"/>
    <x v="11"/>
    <s v="CHO7053426"/>
    <x v="0"/>
    <s v="Casa en venta  Sargento Cabral cinco dormitorios, patio y cochera! OPORTUNIDAD"/>
    <s v="Realizado"/>
    <s v="Cartel"/>
    <n v="165000"/>
    <x v="281"/>
    <x v="1"/>
    <s v="Dólares"/>
    <s v="Dólares"/>
    <s v="Casa en venta en Luciano Torrent al 1800 Barrio Sgto Cabral 5 dormitorios, patio y cochera. OPORTUNIDAD!!"/>
    <s v="Argentina | Santa Fe | La Capital | Santa Fe | Sargento Cabral"/>
    <x v="2"/>
    <n v="2"/>
    <s v="De la Veracruz"/>
    <s v="Compartida en Oficina (Dos Asesores)"/>
    <x v="1"/>
    <s v="Venta"/>
    <x v="5"/>
    <s v="Capital Santa Fe"/>
  </r>
  <r>
    <d v="2025-03-13T00:00:00"/>
    <x v="1"/>
    <x v="9"/>
    <n v="10263"/>
    <x v="0"/>
    <s v="La pampa 823 3 piso "/>
    <s v="Realizado"/>
    <s v="AR ZonaProp"/>
    <n v="0"/>
    <x v="281"/>
    <x v="1"/>
    <s v="Dólares"/>
    <s v="Dólares"/>
    <m/>
    <s v="Argentina | Capital Federal | Belgrano "/>
    <x v="0"/>
    <n v="1"/>
    <s v="Seniority"/>
    <s v="Compartida Fuera de la Red Búsqueda"/>
    <x v="2"/>
    <s v="Venta"/>
    <x v="3"/>
    <s v="Barrio Parque"/>
  </r>
  <r>
    <d v="2025-09-08T00:00:00"/>
    <x v="1"/>
    <x v="6"/>
    <n v="10418"/>
    <x v="0"/>
    <s v="Av Cabildo 597 Piso 12 Dto A "/>
    <s v="Realizado"/>
    <s v="AR ZonaProp"/>
    <n v="0"/>
    <x v="281"/>
    <x v="1"/>
    <s v="Dólares"/>
    <s v="Dólares"/>
    <m/>
    <s v="Argentina | Capital Federal | Belgrano "/>
    <x v="0"/>
    <n v="1"/>
    <s v="Seniority"/>
    <s v="Compartida Fuera de la Red Búsqueda"/>
    <x v="2"/>
    <s v="Venta"/>
    <x v="3"/>
    <s v="Barrio Parque"/>
  </r>
  <r>
    <d v="2025-03-21T00:00:00"/>
    <x v="1"/>
    <x v="9"/>
    <s v="CAP6318877"/>
    <x v="0"/>
    <s v="Venta Departamento 3 Ambientes en Dúplex con Terraza Privada Villa Urquiza"/>
    <s v="Realizado"/>
    <s v="AR ZonaProp"/>
    <n v="159000"/>
    <x v="281"/>
    <x v="1"/>
    <s v="Dólares"/>
    <s v="Dólares"/>
    <s v="Altolaguirre al 3000"/>
    <s v="Argentina | Capital Federal | Villa Urquiza "/>
    <x v="0"/>
    <n v="2"/>
    <s v="Audacity"/>
    <s v="Compartida Fuera de la Red Captación Propia"/>
    <x v="0"/>
    <s v="Venta"/>
    <x v="9"/>
    <s v="Parque Leloir"/>
  </r>
  <r>
    <d v="2025-06-11T00:00:00"/>
    <x v="1"/>
    <x v="4"/>
    <s v="CHO6383362"/>
    <x v="0"/>
    <s v="Venta Casa a Refaccionar 5 Ambientes Paternal Cochera Patio Parrilla - Multifamiliar Lote Propio"/>
    <s v="Realizado"/>
    <s v="AR ZonaProp"/>
    <n v="164000"/>
    <x v="281"/>
    <x v="1"/>
    <s v="Dólares"/>
    <s v="Dólares"/>
    <s v="GAVILAN al 2600"/>
    <s v="Argentina | Capital Federal | Paternal "/>
    <x v="2"/>
    <n v="2"/>
    <s v="Seniority"/>
    <s v="Compartida Fuera de la Red Captación Propia"/>
    <x v="0"/>
    <s v="Venta"/>
    <x v="3"/>
    <s v="Barrio Parque"/>
  </r>
  <r>
    <d v="2025-09-03T00:00:00"/>
    <x v="1"/>
    <x v="6"/>
    <s v="CAP7271324"/>
    <x v="0"/>
    <s v="VENTA DPTO 4 AMB RECOLETA"/>
    <s v="Realizado"/>
    <s v="AR ZonaProp"/>
    <n v="210000"/>
    <x v="281"/>
    <x v="1"/>
    <s v="Dólares"/>
    <s v="Dólares"/>
    <s v="Av Santa Fe al 1700"/>
    <s v="Argentina | Capital Federal | Recoleta "/>
    <x v="0"/>
    <n v="2"/>
    <s v="Destino"/>
    <s v="Compartida Fuera de la Red Captación Propia"/>
    <x v="0"/>
    <s v="Venta"/>
    <x v="3"/>
    <s v="Recoleta"/>
  </r>
  <r>
    <d v="2025-09-03T00:00:00"/>
    <x v="1"/>
    <x v="6"/>
    <s v="CHO6857243"/>
    <x v="0"/>
    <s v="Espectacular casa en San Sebastián, área 13"/>
    <s v="Realizado"/>
    <s v="AR ZonaProp"/>
    <n v="169000"/>
    <x v="281"/>
    <x v="1"/>
    <s v="Dólares"/>
    <s v="Dólares"/>
    <s v="Barrio San Sebastián, área 13"/>
    <s v="Argentina | G.B.A. Zona Norte | Pilar | Countries/B.Cerrado (Pilar) | San Sebastian"/>
    <x v="2"/>
    <n v="2"/>
    <s v="Haka"/>
    <s v="Compartida Fuera de la Red Captación Propia"/>
    <x v="0"/>
    <s v="Venta"/>
    <x v="3"/>
    <s v="Núñez"/>
  </r>
  <r>
    <d v="2025-11-26T00:00:00"/>
    <x v="1"/>
    <x v="7"/>
    <s v="CAP6761346"/>
    <x v="0"/>
    <s v="Venta departamento 3 ambientes baño y toilette - Charcas y Coronel Diaz- Apto crédito - Palermo"/>
    <s v="Realizado"/>
    <s v="AR ZonaProp"/>
    <n v="159900"/>
    <x v="281"/>
    <x v="1"/>
    <s v="Dólares"/>
    <s v="Dólares"/>
    <s v="República Dominicana 3318 4"/>
    <s v="Argentina | Capital Federal | Palermo "/>
    <x v="0"/>
    <n v="2"/>
    <s v="Seniority"/>
    <s v="Compartida Fuera de la Red Captación Propia"/>
    <x v="0"/>
    <s v="Venta"/>
    <x v="3"/>
    <s v="Barrio Parque"/>
  </r>
  <r>
    <d v="2026-03-11T00:00:00"/>
    <x v="0"/>
    <x v="9"/>
    <s v="CAP7586110"/>
    <x v="0"/>
    <s v="Departamento en Puerto Madero"/>
    <s v="Realizado"/>
    <s v="AR ZonaProp"/>
    <n v="170000"/>
    <x v="281"/>
    <x v="1"/>
    <s v="Dólares"/>
    <s v="Dólares"/>
    <s v="Alicia Moreau de Justo  al 2000"/>
    <s v="Argentina | Capital Federal | Puerto Madero "/>
    <x v="0"/>
    <n v="2"/>
    <s v="Notable"/>
    <s v="Compartida Fuera de la Red Captación Propia"/>
    <x v="0"/>
    <s v="Venta"/>
    <x v="3"/>
    <s v="Palermo"/>
  </r>
  <r>
    <d v="2025-12-17T00:00:00"/>
    <x v="1"/>
    <x v="8"/>
    <m/>
    <x v="2"/>
    <s v="Congreso 2361 uf 24"/>
    <s v="Realizado"/>
    <s v="AR ZonaProp"/>
    <n v="0"/>
    <x v="281"/>
    <x v="1"/>
    <s v="Dólares"/>
    <s v="Dólares"/>
    <s v="Congreso 2361"/>
    <s v="Argentina | Capital Federal | Nuñez "/>
    <x v="1"/>
    <n v="2"/>
    <s v="Haka"/>
    <s v="Compartida en Red (50%)"/>
    <x v="1"/>
    <s v="Venta"/>
    <x v="3"/>
    <s v="Núñez"/>
  </r>
  <r>
    <d v="2025-12-19T00:00:00"/>
    <x v="1"/>
    <x v="8"/>
    <s v="CAP7355074"/>
    <x v="2"/>
    <s v="Venta 2 ambientes. Congreso y Cabildo. A estrenar. Amenities!"/>
    <s v="Realizado"/>
    <s v="AR ZonaProp"/>
    <n v="158000"/>
    <x v="281"/>
    <x v="1"/>
    <s v="Dólares"/>
    <s v="Dólares"/>
    <s v="Congreso y Cabildo"/>
    <s v="Argentina | Capital Federal | Belgrano "/>
    <x v="0"/>
    <n v="2"/>
    <s v="Seniority"/>
    <s v="Master"/>
    <x v="1"/>
    <s v="Venta"/>
    <x v="3"/>
    <s v="Barrio Parque"/>
  </r>
  <r>
    <d v="2026-03-17T00:00:00"/>
    <x v="0"/>
    <x v="9"/>
    <s v="CBU55413 AP5986224"/>
    <x v="2"/>
    <s v="Alquiler Depto/Oficina c/ cochera subterranea - STUDIOS Work / Live"/>
    <s v="Realizado"/>
    <s v="Referido"/>
    <n v="650"/>
    <x v="281"/>
    <x v="1"/>
    <s v="Dólares"/>
    <s v="Dólares"/>
    <s v="Alquiler Depto/Oficina c/ cochera subterranea - STUDIOS Work / Live"/>
    <s v="Argentina | G.B.A. Zona Norte | Pilar | Manuel Alberti | STUDIOS Work &amp; Live"/>
    <x v="0"/>
    <n v="2"/>
    <s v="North Team"/>
    <s v="Master"/>
    <x v="1"/>
    <s v="Venta"/>
    <x v="6"/>
    <s v="Pilar"/>
  </r>
  <r>
    <d v="2025-04-11T00:00:00"/>
    <x v="1"/>
    <x v="3"/>
    <s v="JPH6623104"/>
    <x v="0"/>
    <s v="PH en venta 3 ambientes al frente c/ cochera, entrada independiente SAAVEDRA"/>
    <s v="Realizado"/>
    <s v="AR ZonaProp"/>
    <n v="160000"/>
    <x v="281"/>
    <x v="1"/>
    <s v="Dólares"/>
    <s v="Dólares"/>
    <s v="Pico al 4400"/>
    <s v="Argentina | Capital Federal | Saavedra "/>
    <x v="3"/>
    <n v="2"/>
    <s v="Lion Team Norte"/>
    <s v="Propia (Único Asesor)"/>
    <x v="1"/>
    <s v="Venta"/>
    <x v="6"/>
    <s v="Vicente López"/>
  </r>
  <r>
    <d v="2025-05-16T00:00:00"/>
    <x v="1"/>
    <x v="2"/>
    <s v="CHO7001128"/>
    <x v="0"/>
    <s v="Casa en Los Horneros"/>
    <s v="Realizado"/>
    <s v="Conocido"/>
    <n v="150000"/>
    <x v="281"/>
    <x v="1"/>
    <s v="Dólares"/>
    <s v="Dólares"/>
    <s v="Sucre 1023 28"/>
    <s v="Argentina | G.B.A. Zona Norte | Escobar | Countries/B.Cerrado (Escobar) | Los Horneros"/>
    <x v="2"/>
    <n v="2"/>
    <s v="Haka"/>
    <s v="Propia (Único Asesor)"/>
    <x v="1"/>
    <s v="Venta"/>
    <x v="3"/>
    <s v="Núñez"/>
  </r>
  <r>
    <d v="2025-05-19T00:00:00"/>
    <x v="1"/>
    <x v="2"/>
    <s v="CLO6421523"/>
    <x v="0"/>
    <s v="Local en VENTA en Esquina Sobre Av. Vergara Hurlingham Villa Tesei"/>
    <s v="Realizado"/>
    <s v="AR ZonaProp"/>
    <n v="170000"/>
    <x v="281"/>
    <x v="1"/>
    <s v="Dólares"/>
    <s v="Dólares"/>
    <s v="GOBERNADOR VERGARA  al 3000"/>
    <s v="Argentina | G.B.A. Zona Oeste | Hurlingham | Villa Santos Tesei"/>
    <x v="4"/>
    <n v="2"/>
    <s v="Audacity"/>
    <s v="Propia (Único Asesor)"/>
    <x v="1"/>
    <s v="Venta"/>
    <x v="9"/>
    <s v="Parque Leloir"/>
  </r>
  <r>
    <d v="2025-05-27T00:00:00"/>
    <x v="1"/>
    <x v="2"/>
    <s v="CHO6627210"/>
    <x v="0"/>
    <s v="Casa en  venta en neuquen capital"/>
    <s v="Realizado"/>
    <s v="AR ZonaProp"/>
    <n v="150000"/>
    <x v="281"/>
    <x v="1"/>
    <s v="Dólares"/>
    <s v="Dólares"/>
    <s v="pilar  al 4200"/>
    <s v="Argentina | Neuquen | Confluencia | Neuquen"/>
    <x v="2"/>
    <n v="2"/>
    <s v="Sensus"/>
    <s v="Propia (Único Asesor)"/>
    <x v="1"/>
    <s v="Venta"/>
    <x v="1"/>
    <s v="Capital Neuquén"/>
  </r>
  <r>
    <d v="2025-05-29T00:00:00"/>
    <x v="1"/>
    <x v="2"/>
    <s v="CAP6701785"/>
    <x v="0"/>
    <s v="3 Ambientes en Villa Santa Rita límite Villa del Parque con Cochera y Baulera"/>
    <s v="Realizado"/>
    <s v="AR ZonaProp"/>
    <n v="153500"/>
    <x v="281"/>
    <x v="1"/>
    <s v="Dólares"/>
    <s v="Dólares"/>
    <s v="Alejandro Magariños Cervantes 2746"/>
    <s v="Argentina | Capital Federal | Villa Santa Rita "/>
    <x v="0"/>
    <n v="2"/>
    <s v="Ser"/>
    <s v="Propia (Único Asesor)"/>
    <x v="1"/>
    <s v="Venta"/>
    <x v="3"/>
    <s v="Belgrano"/>
  </r>
  <r>
    <d v="2025-06-13T00:00:00"/>
    <x v="1"/>
    <x v="4"/>
    <s v="Blanco encalada 2975"/>
    <x v="0"/>
    <s v="Blanco encalada 2975"/>
    <s v="Realizado"/>
    <s v="AR ZonaProp"/>
    <n v="150000"/>
    <x v="281"/>
    <x v="1"/>
    <s v="Dólares"/>
    <s v="Dólares"/>
    <s v="Blanco encalada 2975"/>
    <s v="Argentina | Capital Federal | Belgrano "/>
    <x v="0"/>
    <n v="2"/>
    <s v="Lion Team Norte"/>
    <s v="Propia (Único Asesor)"/>
    <x v="1"/>
    <s v="Venta"/>
    <x v="6"/>
    <s v="Vicente López"/>
  </r>
  <r>
    <d v="2025-07-24T00:00:00"/>
    <x v="1"/>
    <x v="1"/>
    <s v="CHO6949603"/>
    <x v="0"/>
    <s v="Espectacular Casa Quinta en Matheu"/>
    <s v="Realizado"/>
    <s v="AR ZonaProp"/>
    <n v="166000"/>
    <x v="281"/>
    <x v="1"/>
    <s v="Dólares"/>
    <s v="Dólares"/>
    <s v="Espectacular Casa Quinta en Matheu, Escobar"/>
    <s v="Argentina | G.B.A. Zona Norte | Escobar | Matheu"/>
    <x v="2"/>
    <n v="2"/>
    <s v="Haka"/>
    <s v="Propia (Único Asesor)"/>
    <x v="1"/>
    <s v="Venta"/>
    <x v="3"/>
    <s v="Núñez"/>
  </r>
  <r>
    <d v="2025-07-30T00:00:00"/>
    <x v="1"/>
    <x v="1"/>
    <s v="VHO6177041"/>
    <x v="0"/>
    <s v="Casa en  barrio santa isabel 2 de 4 ambientes"/>
    <s v="Realizado"/>
    <s v="AR ZonaProp"/>
    <n v="174900"/>
    <x v="281"/>
    <x v="1"/>
    <s v="Dólares"/>
    <s v="Dólares"/>
    <s v="rene favaloro al 1500"/>
    <s v="Argentina | G.B.A. Zona Norte | Escobar | Ingeniero Maschwitz"/>
    <x v="2"/>
    <n v="2"/>
    <s v="Puerto Norte"/>
    <s v="Propia (Único Asesor)"/>
    <x v="1"/>
    <s v="Venta"/>
    <x v="6"/>
    <s v="Nordelta"/>
  </r>
  <r>
    <d v="2025-07-31T00:00:00"/>
    <x v="1"/>
    <x v="1"/>
    <s v="VHO4938180"/>
    <x v="0"/>
    <s v="Casa o Lote en Liniers 4 ambientes Terreno Propio"/>
    <s v="Realizado"/>
    <s v="AR ZonaProp"/>
    <n v="175000"/>
    <x v="281"/>
    <x v="1"/>
    <s v="Dólares"/>
    <s v="Dólares"/>
    <s v="Tonelero  al 7400"/>
    <s v="Argentina | Capital Federal | Liniers "/>
    <x v="1"/>
    <n v="2"/>
    <s v="Space BA"/>
    <s v="Propia (Único Asesor)"/>
    <x v="1"/>
    <s v="Venta"/>
    <x v="3"/>
    <s v="Belgrano"/>
  </r>
  <r>
    <d v="2025-08-13T00:00:00"/>
    <x v="1"/>
    <x v="5"/>
    <s v="CAP6804669"/>
    <x v="0"/>
    <s v="ESPECTACULAR 2 AMBIENTES EN VILLA URQUIZA, EDIFICIO LYNN. PISO ALTO, BALCÓN ATERRAZADO, DORMITORIO EN SUITE CON VESTIDOR Y BAÑO CON BAÑADERA   TOILLETE   SUM   PILETA."/>
    <s v="Realizado"/>
    <s v="AR ZonaProp"/>
    <n v="154000"/>
    <x v="281"/>
    <x v="1"/>
    <s v="Dólares"/>
    <s v="Dólares"/>
    <s v="Juramento  al 5000 - "/>
    <s v="Argentina | Capital Federal | Villa Urquiza "/>
    <x v="0"/>
    <n v="2"/>
    <s v="Destino"/>
    <s v="Propia (Único Asesor)"/>
    <x v="1"/>
    <s v="Venta"/>
    <x v="3"/>
    <s v="Recoleta"/>
  </r>
  <r>
    <d v="2026-01-21T00:00:00"/>
    <x v="0"/>
    <x v="10"/>
    <s v="CAP7277078"/>
    <x v="0"/>
    <s v="VENTA Departamento 3 ambientes con dependencia - Almagro"/>
    <s v="Realizado"/>
    <s v="AR ZonaProp"/>
    <n v="189900"/>
    <x v="281"/>
    <x v="1"/>
    <s v="Dólares"/>
    <s v="Dólares"/>
    <s v="Gascón 700"/>
    <s v="Argentina | Capital Federal | Almagro "/>
    <x v="0"/>
    <n v="2"/>
    <s v="Seniority"/>
    <s v="Propia (Único Asesor)"/>
    <x v="1"/>
    <s v="Venta"/>
    <x v="3"/>
    <s v="Barrio Parque"/>
  </r>
  <r>
    <d v="2026-02-26T00:00:00"/>
    <x v="0"/>
    <x v="0"/>
    <s v="CPH4820178"/>
    <x v="0"/>
    <s v="Venta PH - 5 Ambientes - Ideal dos familias - Terraza y Patio - Vélez Sarsfield"/>
    <s v="Realizado"/>
    <s v="AR ZonaProp"/>
    <n v="155000"/>
    <x v="281"/>
    <x v="1"/>
    <s v="Dólares"/>
    <s v="Dólares"/>
    <s v="Alejandro Margariños Cervantes al 4500"/>
    <s v="Argentina | Capital Federal | Velez Sarsfield "/>
    <x v="3"/>
    <n v="2"/>
    <s v="Seniority"/>
    <s v="Propia (Único Asesor)"/>
    <x v="1"/>
    <s v="Venta"/>
    <x v="3"/>
    <s v="Barrio Parque"/>
  </r>
  <r>
    <d v="2026-03-11T00:00:00"/>
    <x v="0"/>
    <x v="9"/>
    <s v="CLA6938966"/>
    <x v="0"/>
    <s v="Terreno en  Ruta 7"/>
    <s v="Realizado"/>
    <s v="Cartel"/>
    <n v="170000"/>
    <x v="281"/>
    <x v="1"/>
    <s v="Dólares"/>
    <s v="Dólares"/>
    <s v="Ruta 7 entre calles 9 y 10."/>
    <s v="Argentina | Neuquen | Confluencia | Centenario"/>
    <x v="1"/>
    <n v="2"/>
    <s v="Sensus"/>
    <s v="Propia (Único Asesor)"/>
    <x v="1"/>
    <s v="Venta"/>
    <x v="1"/>
    <s v="Capital Neuquén"/>
  </r>
  <r>
    <d v="2026-03-17T00:00:00"/>
    <x v="0"/>
    <x v="9"/>
    <s v="CHO7793190"/>
    <x v="0"/>
    <s v="Casa 4 amb en VENTA APTO CREDITO, Pilar "/>
    <s v="Realizado"/>
    <s v="AR MercadoLibre"/>
    <n v="180000"/>
    <x v="281"/>
    <x v="1"/>
    <s v="Dólares"/>
    <s v="Dólares"/>
    <s v="Champagnat al 1000"/>
    <s v="Argentina | G.B.A. Zona Norte | Pilar | Countries/B.Cerrado (Pilar) | Pilar House"/>
    <x v="2"/>
    <n v="2"/>
    <s v="Puerto Norte"/>
    <s v="Propia (Único Asesor)"/>
    <x v="1"/>
    <s v="Venta"/>
    <x v="6"/>
    <s v="Nordelta"/>
  </r>
  <r>
    <d v="2026-03-31T00:00:00"/>
    <x v="0"/>
    <x v="9"/>
    <s v="CHO6935597"/>
    <x v="0"/>
    <s v="En venta Casa 4 ambientes con Cochera en Munro A Refaccionar - ACEPTA PERMUTA"/>
    <s v="Realizado"/>
    <s v="AR ZonaProp"/>
    <n v="170000"/>
    <x v="281"/>
    <x v="1"/>
    <s v="Dólares"/>
    <s v="Dólares"/>
    <s v="Maquinista Carregal  al 2300"/>
    <s v="Argentina | G.B.A. Zona Norte | Vicente López | Munro"/>
    <x v="2"/>
    <n v="2"/>
    <s v="Haka"/>
    <s v="Propia (Único Asesor)"/>
    <x v="1"/>
    <s v="Venta"/>
    <x v="3"/>
    <s v="Núñez"/>
  </r>
  <r>
    <d v="2025-05-29T00:00:00"/>
    <x v="1"/>
    <x v="2"/>
    <s v="05EM-13-02-25 - Tinogasta Piso 4"/>
    <x v="0"/>
    <s v="Venta departamento piso 3 amb | mucha luz | balcón | cercania cuenca | Villa del Parque"/>
    <s v="Realizado"/>
    <s v="AR ZonaProp"/>
    <n v="159000"/>
    <x v="282"/>
    <x v="1"/>
    <s v="Dólares"/>
    <s v="Dólares"/>
    <s v="Ricardo Gutierrez  al 3300"/>
    <s v="Argentina | Capital Federal | Villa del Parque "/>
    <x v="0"/>
    <n v="2"/>
    <s v="Ser"/>
    <s v="Compartida Fuera de la Red Captación Propia"/>
    <x v="0"/>
    <s v="Venta"/>
    <x v="3"/>
    <s v="Belgrano"/>
  </r>
  <r>
    <d v="2025-06-12T00:00:00"/>
    <x v="1"/>
    <x v="4"/>
    <s v="04EM-13-02-25 - Tinogasta Piso 3"/>
    <x v="0"/>
    <s v="Venta depto piso 3 amb | 2 balcones | Villa del parque"/>
    <s v="Realizado"/>
    <s v="AR ZonaProp"/>
    <n v="154000"/>
    <x v="282"/>
    <x v="1"/>
    <s v="Dólares"/>
    <s v="Dólares"/>
    <s v="Tinogasta 3200"/>
    <s v="Argentina | Capital Federal | Villa del Parque "/>
    <x v="0"/>
    <n v="2"/>
    <s v="Ser"/>
    <s v="Compartida Fuera de la Red Captación Propia"/>
    <x v="0"/>
    <s v="Venta"/>
    <x v="3"/>
    <s v="Belgrano"/>
  </r>
  <r>
    <d v="2025-06-13T00:00:00"/>
    <x v="1"/>
    <x v="4"/>
    <s v="CPN56595 HO6462842"/>
    <x v="0"/>
    <s v="Venta Casa 3 suites- El Aljibe Manzanares Pilar"/>
    <s v="Realizado"/>
    <s v="AR MercadoLibre"/>
    <n v="155000"/>
    <x v="283"/>
    <x v="1"/>
    <s v="Dólares"/>
    <s v="Dólares"/>
    <s v="Casa en Venta con 3 suite en El Aljibe"/>
    <s v="Argentina | G.B.A. Zona Norte | Pilar | Manzanares | Countries/B.Cerrado (Manzanares) | Barrio El Aljibe"/>
    <x v="2"/>
    <n v="2"/>
    <s v="North Team"/>
    <s v="Compartida en Oficina (Dos Asesores)"/>
    <x v="1"/>
    <s v="Venta"/>
    <x v="6"/>
    <s v="Pilar"/>
  </r>
  <r>
    <d v="2025-09-04T00:00:00"/>
    <x v="1"/>
    <x v="6"/>
    <s v="CHO4879092"/>
    <x v="0"/>
    <s v="Casa en venta, 5 ambientes, San Sebastián NO APTO CREDITO"/>
    <s v="Realizado"/>
    <s v="AR ZonaProp"/>
    <n v="170000"/>
    <x v="283"/>
    <x v="1"/>
    <s v="Dólares"/>
    <s v="Dólares"/>
    <s v="Casa en venta- área 13 ,  San Sebastian"/>
    <s v="Argentina | G.B.A. Zona Norte | Escobar | Loma Verde | San Sebastian"/>
    <x v="2"/>
    <n v="2"/>
    <s v="Haka"/>
    <s v="Compartida Fuera de la Red Captación Propia"/>
    <x v="0"/>
    <s v="Venta"/>
    <x v="3"/>
    <s v="Núñez"/>
  </r>
  <r>
    <d v="2026-02-18T00:00:00"/>
    <x v="0"/>
    <x v="0"/>
    <s v="VAP6770579"/>
    <x v="0"/>
    <s v="Venta 3 ambientes - Portezuelo - APTO CREDITO"/>
    <s v="Realizado"/>
    <s v="AR ZonaProp"/>
    <n v="210000"/>
    <x v="284"/>
    <x v="1"/>
    <s v="Dólares"/>
    <s v="Dólares"/>
    <s v="Avenida de los Lagos al 6500"/>
    <s v="Argentina | G.B.A. Zona Norte | Tigre | Countries/B.Cerrado (Tigre) | Nordelta | Portezuelo | Marinas del Portezuelo"/>
    <x v="0"/>
    <n v="1"/>
    <s v="Puerto Norte"/>
    <s v="Compartida Fuera de la Red Búsqueda"/>
    <x v="2"/>
    <s v="Venta"/>
    <x v="6"/>
    <s v="Nordelta"/>
  </r>
  <r>
    <d v="2026-03-20T00:00:00"/>
    <x v="0"/>
    <x v="9"/>
    <s v="Torres del Marques"/>
    <x v="0"/>
    <s v="Depto en torres del marques"/>
    <s v="Realizado"/>
    <s v="AR ZonaProp"/>
    <n v="152000"/>
    <x v="285"/>
    <x v="1"/>
    <s v="Dólares"/>
    <s v="Dólares"/>
    <m/>
    <s v="Argentina | Mendoza | Godoy Cruz "/>
    <x v="0"/>
    <n v="1"/>
    <s v="Cuyo Real"/>
    <s v="(Interior) Compartida Fuera de la Red Búsqueda"/>
    <x v="2"/>
    <s v="Venta"/>
    <x v="2"/>
    <s v="Capital Mendoza"/>
  </r>
  <r>
    <d v="2025-02-10T00:00:00"/>
    <x v="1"/>
    <x v="0"/>
    <n v="517315"/>
    <x v="0"/>
    <s v="Departamento al LAGO con opción de muebles - El Palmar"/>
    <s v="Realizado"/>
    <s v="AR ZonaProp"/>
    <n v="155000"/>
    <x v="285"/>
    <x v="1"/>
    <s v="Dólares"/>
    <s v="Dólares"/>
    <s v="INFINITY al 100"/>
    <s v="Argentina | G.B.A. Zona Norte | Tigre | Countries/B.Cerrado (Tigre) | Nordelta | El Palmar"/>
    <x v="0"/>
    <n v="2"/>
    <s v="Puerto Norte"/>
    <s v="Compartida en Oficina (Dos Asesores)"/>
    <x v="1"/>
    <s v="Venta"/>
    <x v="6"/>
    <s v="Nordelta"/>
  </r>
  <r>
    <d v="2025-12-23T00:00:00"/>
    <x v="1"/>
    <x v="8"/>
    <n v="10608"/>
    <x v="0"/>
    <s v="Joaquin V Gonzalez 2744 UF 3"/>
    <s v="Realizado"/>
    <s v="AR ZonaProp"/>
    <n v="152000"/>
    <x v="285"/>
    <x v="1"/>
    <s v="Dólares"/>
    <s v="Dólares"/>
    <s v="Joaquin V Gonzalez 2744 UF 3"/>
    <s v="Argentina | Capital Federal | Villa Devoto "/>
    <x v="1"/>
    <n v="1"/>
    <s v="Seniority"/>
    <s v="Compartida Fuera de la Red Búsqueda"/>
    <x v="2"/>
    <s v="Venta"/>
    <x v="3"/>
    <s v="Barrio Parque"/>
  </r>
  <r>
    <d v="2025-08-25T00:00:00"/>
    <x v="1"/>
    <x v="5"/>
    <s v="AHO5850345"/>
    <x v="0"/>
    <s v="Excelente Chalet de Estilo en Banfield"/>
    <s v="Realizado"/>
    <s v="AR ZonaProp"/>
    <n v="157000"/>
    <x v="285"/>
    <x v="1"/>
    <s v="Dólares"/>
    <s v="Dólares"/>
    <s v="Serrano 1257"/>
    <s v="Argentina | G.B.A. Zona Sur | Lomas De Zamora (Partido) | Banfield | Banfield Este"/>
    <x v="2"/>
    <n v="2"/>
    <s v="Desiderio"/>
    <s v="Propia (Único Asesor)"/>
    <x v="1"/>
    <s v="Venta"/>
    <x v="3"/>
    <s v="Caballito"/>
  </r>
  <r>
    <d v="2025-11-13T00:00:00"/>
    <x v="1"/>
    <x v="7"/>
    <s v="VOB62330 OF6903719"/>
    <x v="0"/>
    <s v="Oficina en Venta Meet Pilar"/>
    <s v="Realizado"/>
    <s v="AR ZonaProp"/>
    <n v="136000"/>
    <x v="285"/>
    <x v="1"/>
    <s v="Dólares"/>
    <s v="Dólares"/>
    <s v="Venta Oficina a estrenar Pilar"/>
    <s v="Argentina | G.B.A. Zona Norte | Pilar | Pilar"/>
    <x v="6"/>
    <n v="2"/>
    <s v="Puerto Norte"/>
    <s v="Propia (Único Asesor)"/>
    <x v="1"/>
    <s v="Venta"/>
    <x v="6"/>
    <s v="Nordelta"/>
  </r>
  <r>
    <d v="2026-03-09T00:00:00"/>
    <x v="0"/>
    <x v="9"/>
    <s v="CPH7397936"/>
    <x v="0"/>
    <s v="PH en Almagro Norte"/>
    <s v="Realizado"/>
    <s v="AR ZonaProp"/>
    <n v="159000"/>
    <x v="286"/>
    <x v="1"/>
    <s v="Dólares"/>
    <s v="Dólares"/>
    <s v="Agrelo al 3300"/>
    <s v="Argentina | Capital Federal | Almagro | Almagro Norte"/>
    <x v="3"/>
    <n v="2"/>
    <s v="Goyena"/>
    <s v="Propia (Único Asesor)"/>
    <x v="1"/>
    <s v="Venta"/>
    <x v="3"/>
    <s v="Caballito"/>
  </r>
  <r>
    <d v="2025-02-11T00:00:00"/>
    <x v="1"/>
    <x v="0"/>
    <s v="CAP6536377"/>
    <x v="0"/>
    <s v="VENTA 2 ambientes con cochera Belgrano apto prof"/>
    <s v="Realizado"/>
    <s v="AR ZonaProp"/>
    <n v="155000"/>
    <x v="287"/>
    <x v="1"/>
    <s v="Dólares"/>
    <s v="Dólares"/>
    <s v="Migueletes  al 1700"/>
    <s v="Argentina | Capital Federal | Belgrano "/>
    <x v="0"/>
    <n v="2"/>
    <s v="Seniority"/>
    <s v="Propia (Único Asesor)"/>
    <x v="1"/>
    <s v="Venta"/>
    <x v="3"/>
    <s v="Barrio Parque"/>
  </r>
  <r>
    <d v="2025-07-28T00:00:00"/>
    <x v="1"/>
    <x v="1"/>
    <s v="CAP6686803"/>
    <x v="0"/>
    <s v="VENTA Departamento 2 AMBIENTES con COCHERA  en Villa Urquiza con Amenities"/>
    <s v="Realizado"/>
    <s v="AR ZonaProp"/>
    <n v="155000"/>
    <x v="287"/>
    <x v="1"/>
    <s v="Dólares"/>
    <s v="Dólares"/>
    <s v="Pacheco al 2400"/>
    <s v="Argentina | Capital Federal | Villa Urquiza "/>
    <x v="0"/>
    <n v="2"/>
    <s v="Seniority"/>
    <s v="Propia (Único Asesor)"/>
    <x v="1"/>
    <s v="Venta"/>
    <x v="3"/>
    <s v="Barrio Parque"/>
  </r>
  <r>
    <d v="2026-02-27T00:00:00"/>
    <x v="0"/>
    <x v="0"/>
    <s v="CAP7658929"/>
    <x v="0"/>
    <s v="VENTA DEPARTAMENTO 3 AMBIENTES A ESTRENAR EN FLORIDA"/>
    <s v="Realizado"/>
    <s v="AR ZonaProp"/>
    <n v="159000"/>
    <x v="287"/>
    <x v="1"/>
    <s v="Dólares"/>
    <s v="Dólares"/>
    <s v="Av San Martin al 1600"/>
    <s v="Argentina | G.B.A. Zona Norte | Vicente López | Florida"/>
    <x v="0"/>
    <n v="2"/>
    <s v="Seniority Plus"/>
    <s v="Propia (Único Asesor)"/>
    <x v="1"/>
    <s v="Venta"/>
    <x v="3"/>
    <s v="Palermo"/>
  </r>
  <r>
    <d v="2026-02-13T00:00:00"/>
    <x v="0"/>
    <x v="0"/>
    <s v="CCO60459 AP6615102"/>
    <x v="2"/>
    <s v="Departamento VENTA O ALQUILER  3 amb a estrenar en San Gerónimo"/>
    <s v="Realizado"/>
    <s v="AR ZonaProp"/>
    <n v="159604"/>
    <x v="288"/>
    <x v="1"/>
    <s v="Dólares"/>
    <s v="Dólares"/>
    <s v="Depto 3 amb a estrenar San Geronimo Pilar"/>
    <s v="Argentina | G.B.A. Zona Norte | Pilar | San Gerónimo"/>
    <x v="0"/>
    <n v="2"/>
    <s v="North Team"/>
    <s v="Master"/>
    <x v="1"/>
    <s v="Venta"/>
    <x v="6"/>
    <s v="Pilar"/>
  </r>
  <r>
    <d v="2026-02-27T00:00:00"/>
    <x v="0"/>
    <x v="0"/>
    <s v="CHO7329329"/>
    <x v="0"/>
    <s v="Casa en Venta 3 dormitorios Barrio Santa Sofia Pilar del Este"/>
    <s v="Realizado"/>
    <s v="AR MercadoLibre"/>
    <n v="160000"/>
    <x v="289"/>
    <x v="1"/>
    <s v="Dólares"/>
    <s v="Dólares"/>
    <s v="Barrio Santa Sofia Pilar del Este"/>
    <s v="Argentina | G.B.A. Zona Norte | Pilar | Countries/B.Cerrado (Pilar) | Pilar Del Este | Santa Sofía"/>
    <x v="2"/>
    <n v="2"/>
    <s v="North Team"/>
    <s v="Propia (Único Asesor)"/>
    <x v="1"/>
    <s v="Venta"/>
    <x v="6"/>
    <s v="Pilar"/>
  </r>
  <r>
    <d v="2025-10-15T00:00:00"/>
    <x v="1"/>
    <x v="11"/>
    <s v="CAP7229740"/>
    <x v="0"/>
    <s v="VENTA Departamento 3 ambientes 67m2 centro habilitado alquiler ATT Villa La Angostura"/>
    <s v="Realizado"/>
    <s v="Referido"/>
    <n v="154000"/>
    <x v="290"/>
    <x v="1"/>
    <s v="Dólares"/>
    <s v="Dólares"/>
    <s v="Del Chilco"/>
    <s v="Argentina | Neuquen | Villa La Angostura | El Cruce"/>
    <x v="0"/>
    <n v="2"/>
    <s v="Patagonia Lakes VLA"/>
    <s v="Compartida en Oficina (Dos Asesores)"/>
    <x v="1"/>
    <s v="Venta"/>
    <x v="1"/>
    <s v="Villa La Angostura"/>
  </r>
  <r>
    <d v="2025-10-24T00:00:00"/>
    <x v="1"/>
    <x v="11"/>
    <s v="CHO7087890"/>
    <x v="0"/>
    <s v="Casa en VENTA de 3 dormitorios, 111 mts, Barrio Las Victorias -APTA CREDITO- Bariloche"/>
    <s v="Realizado"/>
    <s v="Teléfono"/>
    <n v="156000"/>
    <x v="290"/>
    <x v="1"/>
    <s v="Dólares"/>
    <s v="Dólares"/>
    <s v="Las Victorias, San Carlos de Bariloche"/>
    <s v="Argentina | Rio Negro | Bariloche | San Carlos De Bariloche | Las Victorias"/>
    <x v="2"/>
    <n v="2"/>
    <s v="Patagonia Lakes BRC"/>
    <s v="Compartida en Oficina (Dos Asesores)"/>
    <x v="1"/>
    <s v="Venta"/>
    <x v="7"/>
    <s v="Bariloche"/>
  </r>
  <r>
    <d v="2026-03-10T00:00:00"/>
    <x v="0"/>
    <x v="9"/>
    <s v="CAP7393522"/>
    <x v="0"/>
    <s v="Departamento en Palermo Hollywood"/>
    <s v="Realizado"/>
    <s v="AR ZonaProp"/>
    <n v="99000"/>
    <x v="290"/>
    <x v="1"/>
    <s v="Dólares"/>
    <s v="Dólares"/>
    <s v="Av Cordoba  al 5700"/>
    <s v="Argentina | Capital Federal | Palermo | Palermo Hollywood"/>
    <x v="0"/>
    <n v="1"/>
    <s v="Puerto Norte"/>
    <s v="Compartida Fuera de la Red Búsqueda"/>
    <x v="2"/>
    <s v="Venta"/>
    <x v="6"/>
    <s v="Nordelta"/>
  </r>
  <r>
    <d v="2025-10-14T00:00:00"/>
    <x v="1"/>
    <x v="11"/>
    <s v="CAP7079482"/>
    <x v="0"/>
    <s v="VENTA 3 AMBIENTES AMPLIO BALCON  VISTA ABIERTA PARQUE CHAS APTO CREDITO"/>
    <s v="Realizado"/>
    <s v="AR ZonaProp"/>
    <n v="154000"/>
    <x v="290"/>
    <x v="1"/>
    <s v="Dólares"/>
    <s v="Dólares"/>
    <s v="Avenida de los Incas al 4700"/>
    <s v="Argentina | Capital Federal | Parque Chas "/>
    <x v="0"/>
    <n v="2"/>
    <s v="Seniority"/>
    <s v="Compartida Fuera de la Red Captación Propia"/>
    <x v="0"/>
    <s v="Venta"/>
    <x v="3"/>
    <s v="Barrio Parque"/>
  </r>
  <r>
    <d v="2026-03-18T00:00:00"/>
    <x v="0"/>
    <x v="9"/>
    <m/>
    <x v="2"/>
    <s v="Av. Cordoba 1554"/>
    <s v="Realizado"/>
    <s v="AR ZonaProp"/>
    <n v="154000"/>
    <x v="290"/>
    <x v="1"/>
    <s v="Dólares"/>
    <s v="Dólares"/>
    <s v="Av. Cordoba 1554"/>
    <s v="Argentina | Capital Federal | Balvanera "/>
    <x v="0"/>
    <n v="2"/>
    <s v="Destino"/>
    <s v="Compartida en Red (50%)"/>
    <x v="1"/>
    <s v="Venta"/>
    <x v="3"/>
    <s v="Recoleta"/>
  </r>
  <r>
    <d v="2025-03-28T00:00:00"/>
    <x v="1"/>
    <x v="9"/>
    <s v="CHO6743622"/>
    <x v="0"/>
    <s v="Casa en venta 3 dormitorios San Sebastian Area 13"/>
    <s v="Realizado"/>
    <s v="AR MercadoLibre"/>
    <n v="156000"/>
    <x v="290"/>
    <x v="1"/>
    <s v="Dólares"/>
    <s v="Dólares"/>
    <s v="Barrio San Sebastian Area 13 "/>
    <s v="Argentina | G.B.A. Zona Norte | Pilar | Countries/B.Cerrado (Pilar) | San Sebastian"/>
    <x v="2"/>
    <n v="2"/>
    <s v="North Team"/>
    <s v="Propia (Único Asesor)"/>
    <x v="1"/>
    <s v="Venta"/>
    <x v="6"/>
    <s v="Pilar"/>
  </r>
  <r>
    <d v="2025-04-30T00:00:00"/>
    <x v="1"/>
    <x v="3"/>
    <s v="Paraguay 3827"/>
    <x v="0"/>
    <s v="Depto venta Palermo"/>
    <s v="Realizado"/>
    <s v="AR ZonaProp"/>
    <n v="154000"/>
    <x v="290"/>
    <x v="1"/>
    <s v="Dólares"/>
    <s v="Dólares"/>
    <m/>
    <s v="Argentina | Capital Federal | Palermo "/>
    <x v="0"/>
    <n v="2"/>
    <s v="Livello"/>
    <s v="Propia (Único Asesor)"/>
    <x v="1"/>
    <s v="Venta"/>
    <x v="3"/>
    <s v="Palermo"/>
  </r>
  <r>
    <d v="2025-06-27T00:00:00"/>
    <x v="1"/>
    <x v="4"/>
    <s v="CAP6197353"/>
    <x v="0"/>
    <s v="DEPARTAMENTO, ESTRENAR, 3, AMBIENTES, BALCON, TERRAZA, FLORES, CABALLITO, PATIO"/>
    <s v="Realizado"/>
    <s v="AR ArgenProp"/>
    <n v="159900"/>
    <x v="290"/>
    <x v="1"/>
    <s v="Dólares"/>
    <s v="Dólares"/>
    <s v="Jose Bonifacio  al 1900"/>
    <s v="Argentina | Capital Federal | Caballito "/>
    <x v="0"/>
    <n v="2"/>
    <s v="Lion Team"/>
    <s v="Propia (Único Asesor)"/>
    <x v="1"/>
    <s v="Venta"/>
    <x v="3"/>
    <s v="Villa Urquiza"/>
  </r>
  <r>
    <d v="2025-06-30T00:00:00"/>
    <x v="1"/>
    <x v="4"/>
    <s v="CAP6578947"/>
    <x v="0"/>
    <s v="VENTA Departamento 2 Ambientes Recoleta"/>
    <s v="Realizado"/>
    <s v="AR ZonaProp"/>
    <n v="158000"/>
    <x v="290"/>
    <x v="1"/>
    <s v="Dólares"/>
    <s v="Dólares"/>
    <s v="Av. Santa Fe  al 3000"/>
    <s v="Argentina | Capital Federal | Recoleta "/>
    <x v="0"/>
    <n v="2"/>
    <s v="Destino II"/>
    <s v="Propia (Único Asesor)"/>
    <x v="1"/>
    <s v="Venta"/>
    <x v="3"/>
    <s v="Recoleta"/>
  </r>
  <r>
    <d v="2026-03-19T00:00:00"/>
    <x v="0"/>
    <x v="9"/>
    <s v="JAP7588496"/>
    <x v="0"/>
    <s v="VENTA DEPARTAMENTO 3 Ambientes en lo mejor de OLIVOS"/>
    <s v="Realizado"/>
    <s v="AR ZonaProp"/>
    <n v="163000"/>
    <x v="291"/>
    <x v="1"/>
    <s v="Dólares"/>
    <s v="Dólares"/>
    <s v="Rawson al 2400"/>
    <s v="Argentina | G.B.A. Zona Norte | Vicente López | Olivos | Olivos-Vias/Maipu"/>
    <x v="0"/>
    <n v="1"/>
    <s v="Lion Team Norte"/>
    <s v="(Interior) Compartida Fuera de la Red Búsqueda"/>
    <x v="2"/>
    <s v="Venta"/>
    <x v="6"/>
    <s v="Vicente López"/>
  </r>
  <r>
    <d v="2025-01-12T00:00:00"/>
    <x v="1"/>
    <x v="10"/>
    <s v="VHO5927190"/>
    <x v="0"/>
    <s v="Casa de Santa Ana Joven - 3 AMB - OPORTUNIDAD- Villanueva"/>
    <s v="Realizado"/>
    <s v="AR ZonaProp"/>
    <n v="150000"/>
    <x v="291"/>
    <x v="1"/>
    <s v="Dólares"/>
    <s v="Dólares"/>
    <s v="Casa de Santa Ana Joven - 3 AMB - OPORTUNIDAD- Villanueva"/>
    <s v="Argentina | G.B.A. Zona Norte | Tigre | Benavidez | Santa Ana Joven"/>
    <x v="2"/>
    <n v="1"/>
    <s v="Puerto Norte"/>
    <s v="(Interior) Compartida Fuera de la Red Captación Propia"/>
    <x v="0"/>
    <s v="Venta"/>
    <x v="6"/>
    <s v="Nordelta"/>
  </r>
  <r>
    <d v="2025-07-07T00:00:00"/>
    <x v="1"/>
    <x v="1"/>
    <s v="Islandia 5418"/>
    <x v="0"/>
    <s v="Islandia 5418"/>
    <s v="Realizado"/>
    <s v="AR ArgenProp"/>
    <n v="155000"/>
    <x v="291"/>
    <x v="1"/>
    <s v="Dólares"/>
    <s v="Dólares"/>
    <s v="Islandia 5418"/>
    <s v="Argentina | Capital Federal | Capital Federal "/>
    <x v="0"/>
    <n v="2"/>
    <s v="Lion Team"/>
    <s v="Compartida en Oficina (Dos Asesores)"/>
    <x v="1"/>
    <s v="Venta"/>
    <x v="3"/>
    <s v="Villa Urquiza"/>
  </r>
  <r>
    <d v="2025-06-24T00:00:00"/>
    <x v="1"/>
    <x v="4"/>
    <m/>
    <x v="0"/>
    <s v="Juncal 2985 - Sol Lorenzo con Davaro Propiedades"/>
    <s v="Realizado"/>
    <s v="AR ZonaProp"/>
    <n v="155000"/>
    <x v="291"/>
    <x v="1"/>
    <s v="Dólares"/>
    <s v="Dólares"/>
    <s v="juncal 2985"/>
    <s v="Argentina | Capital Federal | Recoleta "/>
    <x v="0"/>
    <n v="1"/>
    <s v="Destino"/>
    <s v="Compartida Fuera de la Red Búsqueda"/>
    <x v="2"/>
    <s v="Venta"/>
    <x v="3"/>
    <s v="Recoleta"/>
  </r>
  <r>
    <d v="2025-07-25T00:00:00"/>
    <x v="1"/>
    <x v="1"/>
    <s v="CHO7070056"/>
    <x v="2"/>
    <s v="Casa en  San Sebastián"/>
    <s v="Realizado"/>
    <s v="AR ZonaProp"/>
    <n v="160000"/>
    <x v="291"/>
    <x v="1"/>
    <s v="Dólares"/>
    <s v="Dólares"/>
    <s v="Hermosa casa en Área 13, San Sebastián "/>
    <s v="Argentina | G.B.A. Zona Norte | Pilar | Countries/B.Cerrado (Pilar) | San Sebastian"/>
    <x v="2"/>
    <n v="2"/>
    <s v="Haka"/>
    <s v="Compartida en Red (50%)"/>
    <x v="1"/>
    <s v="Venta"/>
    <x v="3"/>
    <s v="Núñez"/>
  </r>
  <r>
    <d v="2025-10-03T00:00:00"/>
    <x v="1"/>
    <x v="11"/>
    <s v="CHO6987858"/>
    <x v="2"/>
    <s v="Casa en Venta - 4 AMB en El Ensueño"/>
    <s v="Realizado"/>
    <s v="AR ZonaProp"/>
    <n v="165000"/>
    <x v="291"/>
    <x v="1"/>
    <s v="Dólares"/>
    <s v="Dólares"/>
    <s v="Casa en Venta - 4 AMB en El Ensueño"/>
    <s v="Argentina | G.B.A. Zona Norte | Escobar | Barrio Privado El Ensueño"/>
    <x v="2"/>
    <n v="2"/>
    <s v="Puerto Norte"/>
    <s v="Compartida en Red (50%)"/>
    <x v="1"/>
    <s v="Venta"/>
    <x v="6"/>
    <s v="Nordelta"/>
  </r>
  <r>
    <d v="2025-11-14T00:00:00"/>
    <x v="1"/>
    <x v="7"/>
    <s v="CHO4063256"/>
    <x v="2"/>
    <s v="VENTA CASA 4 AMBIENTES EN 2 PLANTAS - RETASADA - EL CASCO"/>
    <s v="Realizado"/>
    <s v="AR ZonaProp"/>
    <n v="170000"/>
    <x v="291"/>
    <x v="1"/>
    <s v="Dólares"/>
    <s v="Dólares"/>
    <s v="COUNTRY CLUB EL CASCO"/>
    <s v="Argentina | G.B.A. Zona Norte | Zarate "/>
    <x v="2"/>
    <n v="2"/>
    <s v="Seniority"/>
    <s v="Master"/>
    <x v="1"/>
    <s v="Venta"/>
    <x v="3"/>
    <s v="Barrio Parque"/>
  </r>
  <r>
    <d v="2025-02-14T00:00:00"/>
    <x v="1"/>
    <x v="0"/>
    <s v="CHO6610778"/>
    <x v="0"/>
    <s v="Casa en  macro centro"/>
    <s v="Realizado"/>
    <s v="Referido"/>
    <n v="155000"/>
    <x v="291"/>
    <x v="1"/>
    <s v="Dólares"/>
    <s v="Dólares"/>
    <s v="Urquiza  al 1800"/>
    <s v="Argentina | Salta | Capital | Salta | Zona Centro"/>
    <x v="2"/>
    <n v="2"/>
    <s v="Realty Group"/>
    <s v="Propia (Único Asesor)"/>
    <x v="1"/>
    <s v="Venta"/>
    <x v="4"/>
    <s v="San Lorenzo Chico"/>
  </r>
  <r>
    <d v="2025-03-20T00:00:00"/>
    <x v="1"/>
    <x v="9"/>
    <s v="CHO6543270"/>
    <x v="0"/>
    <s v="Casa en venta San Isidro 5amb con cochera y gran jardín con pileta"/>
    <s v="Realizado"/>
    <s v="AR ArgenProp"/>
    <n v="175000"/>
    <x v="291"/>
    <x v="1"/>
    <s v="Dólares"/>
    <s v="Dólares"/>
    <s v="Larrea 37"/>
    <s v="Argentina | G.B.A. Zona Norte | San Isidro | Boulogne Sur Mer"/>
    <x v="2"/>
    <n v="2"/>
    <s v="Lion Team"/>
    <s v="Propia (Único Asesor)"/>
    <x v="1"/>
    <s v="Venta"/>
    <x v="3"/>
    <s v="Villa Urquiza"/>
  </r>
  <r>
    <d v="2025-04-28T00:00:00"/>
    <x v="1"/>
    <x v="3"/>
    <s v="CCO56858 AP6151581"/>
    <x v="0"/>
    <s v="Departamento 3 Ambientes - Civis Tortugas"/>
    <s v="Realizado"/>
    <s v="AR MercadoLibre"/>
    <n v="165000"/>
    <x v="291"/>
    <x v="1"/>
    <s v="Dólares"/>
    <s v="Dólares"/>
    <s v="Departamento 3 Ambientes - Civis Tortugas"/>
    <s v="Argentina | G.B.A. Zona Norte | Pilar | Tortugas I y II"/>
    <x v="0"/>
    <n v="2"/>
    <s v="North Team"/>
    <s v="Propia (Único Asesor)"/>
    <x v="1"/>
    <s v="Venta"/>
    <x v="6"/>
    <s v="Pilar"/>
  </r>
  <r>
    <d v="2025-06-26T00:00:00"/>
    <x v="1"/>
    <x v="4"/>
    <s v="CAP6702626"/>
    <x v="0"/>
    <s v="Ph Villa Luro 3 ambientes"/>
    <s v="Realizado"/>
    <s v="AR MercadoLibre"/>
    <n v="170000"/>
    <x v="291"/>
    <x v="1"/>
    <s v="Dólares"/>
    <s v="Dólares"/>
    <s v="Moreto al 300"/>
    <s v="Argentina | Capital Federal | Villa Luro "/>
    <x v="3"/>
    <n v="2"/>
    <s v="Lion Team"/>
    <s v="Propia (Único Asesor)"/>
    <x v="1"/>
    <s v="Venta"/>
    <x v="3"/>
    <s v="Villa Urquiza"/>
  </r>
  <r>
    <d v="2025-06-27T00:00:00"/>
    <x v="1"/>
    <x v="4"/>
    <s v="LLAVALLOL 4616 1° A"/>
    <x v="0"/>
    <s v="LLAVALLOL 4616 1° A"/>
    <s v="Realizado"/>
    <s v="AR ZonaProp"/>
    <n v="155000"/>
    <x v="291"/>
    <x v="1"/>
    <s v="Dólares"/>
    <s v="Dólares"/>
    <s v="LLAVALLOL 4616 1° A"/>
    <s v="Argentina | Capital Federal | Villa Devoto "/>
    <x v="0"/>
    <n v="2"/>
    <s v="Lion Team Norte"/>
    <s v="Propia (Único Asesor)"/>
    <x v="1"/>
    <s v="Venta"/>
    <x v="6"/>
    <s v="Vicente López"/>
  </r>
  <r>
    <d v="2025-08-20T00:00:00"/>
    <x v="1"/>
    <x v="5"/>
    <s v="CPH7104236"/>
    <x v="0"/>
    <s v="PH Reciclado a Nuevo con Terraza Propia en pleno Recoleta"/>
    <s v="Realizado"/>
    <s v="AR ZonaProp"/>
    <n v="159000"/>
    <x v="291"/>
    <x v="1"/>
    <s v="Dólares"/>
    <s v="Dólares"/>
    <s v="Juncal  al 2900"/>
    <s v="Argentina | Capital Federal | Recoleta "/>
    <x v="3"/>
    <n v="2"/>
    <s v="Lion Team"/>
    <s v="Propia (Único Asesor)"/>
    <x v="1"/>
    <s v="Venta"/>
    <x v="3"/>
    <s v="Villa Urquiza"/>
  </r>
  <r>
    <d v="2025-10-25T00:00:00"/>
    <x v="1"/>
    <x v="11"/>
    <s v="CAP6446170"/>
    <x v="0"/>
    <s v="VENTA DEPARTAMENTO 3 AMBIENTES CON COCHERA VISTA ABIERTA EN NUÑEZ"/>
    <s v="Realizado"/>
    <s v="AR ZonaProp"/>
    <n v="165000"/>
    <x v="291"/>
    <x v="1"/>
    <s v="Dólares"/>
    <s v="Dólares"/>
    <s v="Cuba al 4600"/>
    <s v="Argentina | Capital Federal | Nuñez "/>
    <x v="0"/>
    <n v="2"/>
    <s v="Seniority"/>
    <s v="Propia (Único Asesor)"/>
    <x v="1"/>
    <s v="Venta"/>
    <x v="3"/>
    <s v="Barrio Parque"/>
  </r>
  <r>
    <d v="2025-12-15T00:00:00"/>
    <x v="1"/>
    <x v="8"/>
    <s v="CPH7347545"/>
    <x v="0"/>
    <s v="PH en venta 3 ambientes con terraza en caballito"/>
    <s v="Realizado"/>
    <s v="AR MercadoLibre"/>
    <n v="159900"/>
    <x v="291"/>
    <x v="1"/>
    <s v="Dólares"/>
    <s v="Dólares"/>
    <s v="Dr Nicolás Repetto  al 400"/>
    <s v="Argentina | Capital Federal | Caballito "/>
    <x v="3"/>
    <n v="2"/>
    <s v="Lion Team"/>
    <s v="Propia (Único Asesor)"/>
    <x v="1"/>
    <s v="Venta"/>
    <x v="3"/>
    <s v="Villa Urquiza"/>
  </r>
  <r>
    <d v="2026-02-12T00:00:00"/>
    <x v="0"/>
    <x v="0"/>
    <s v="CPH7417689"/>
    <x v="0"/>
    <s v="Venta - PH - 5 Ambientes - Sin Expensas - Patio - Terraza - Parrilla - Floresta Norte"/>
    <s v="Realizado"/>
    <s v="AR MercadoLibre"/>
    <n v="152000"/>
    <x v="291"/>
    <x v="1"/>
    <s v="Dólares"/>
    <s v="Dólares"/>
    <s v="Chivilcoy 1600"/>
    <s v="Argentina | Capital Federal | Floresta | Floresta Norte"/>
    <x v="3"/>
    <n v="2"/>
    <s v="Lion Team"/>
    <s v="Propia (Único Asesor)"/>
    <x v="1"/>
    <s v="Venta"/>
    <x v="3"/>
    <s v="Villa Urquiza"/>
  </r>
  <r>
    <d v="2026-03-04T00:00:00"/>
    <x v="0"/>
    <x v="9"/>
    <s v="CAP7277831"/>
    <x v="0"/>
    <s v="VENTA MONOAMBIENTE DIVISIBLE en Belgrano"/>
    <s v="Realizado"/>
    <s v="AR ZonaProp"/>
    <n v="159900"/>
    <x v="291"/>
    <x v="1"/>
    <s v="Dólares"/>
    <s v="Dólares"/>
    <s v="Avenida del Libertador 5800"/>
    <s v="Argentina | Capital Federal | Belgrano "/>
    <x v="0"/>
    <n v="2"/>
    <s v="Seniority"/>
    <s v="Propia (Único Asesor)"/>
    <x v="1"/>
    <s v="Venta"/>
    <x v="3"/>
    <s v="Barrio Parque"/>
  </r>
  <r>
    <d v="2026-03-31T00:00:00"/>
    <x v="0"/>
    <x v="9"/>
    <s v="CHO7849518"/>
    <x v="0"/>
    <s v="CB VENDE CASA EN LOS PERALES"/>
    <s v="Realizado"/>
    <s v="Conocido"/>
    <n v="160000"/>
    <x v="291"/>
    <x v="1"/>
    <s v="Dólares"/>
    <s v="Dólares"/>
    <s v="Andrade 960"/>
    <s v="Argentina | Jujuy | Dr Manuel Belgrano | San Salvador De Jujuy"/>
    <x v="2"/>
    <n v="2"/>
    <s v="Plaza"/>
    <s v="Propia (Único Asesor)"/>
    <x v="1"/>
    <s v="Venta"/>
    <x v="8"/>
    <s v="Capital Jujuy"/>
  </r>
  <r>
    <d v="2025-02-14T00:00:00"/>
    <x v="1"/>
    <x v="0"/>
    <s v="CAP5887847"/>
    <x v="0"/>
    <s v="Departamento en  venta céntrico de 3amb Bariloche"/>
    <s v="Realizado"/>
    <s v="Teléfono"/>
    <n v="156000"/>
    <x v="292"/>
    <x v="1"/>
    <s v="Dólares"/>
    <s v="Dólares"/>
    <s v="Centro, San Carlos de Bariloche"/>
    <s v="Argentina | Rio Negro | Bariloche | San Carlos De Bariloche | Centro"/>
    <x v="0"/>
    <n v="2"/>
    <s v="Patagonia Lakes BRC"/>
    <s v="Compartida en Oficina (Dos Asesores)"/>
    <x v="1"/>
    <s v="Venta"/>
    <x v="7"/>
    <s v="Bariloche"/>
  </r>
  <r>
    <d v="2025-07-16T00:00:00"/>
    <x v="1"/>
    <x v="1"/>
    <s v="09EM-13-02-25 - Tinogasta 2"/>
    <x v="0"/>
    <s v="Venta depto 3 ambientes | patio | balcon | luz | cochera fija | como nuevo. Villa del Parque"/>
    <s v="Realizado"/>
    <s v="AR ZonaProp"/>
    <n v="159000"/>
    <x v="292"/>
    <x v="1"/>
    <s v="Dólares"/>
    <s v="Dólares"/>
    <s v="Tinogasta al 2800"/>
    <s v="Argentina | Capital Federal | Villa del Parque "/>
    <x v="0"/>
    <n v="2"/>
    <s v="Ser"/>
    <s v="Propia (Único Asesor)"/>
    <x v="1"/>
    <s v="Venta"/>
    <x v="3"/>
    <s v="Belgrano"/>
  </r>
  <r>
    <d v="2025-08-19T00:00:00"/>
    <x v="1"/>
    <x v="5"/>
    <s v="CAP6516212"/>
    <x v="0"/>
    <s v="Departamento 3 ambientes - A Estrenar con Cochera - Beccar"/>
    <s v="Realizado"/>
    <s v="AR ZonaProp"/>
    <n v="159000"/>
    <x v="292"/>
    <x v="1"/>
    <s v="Dólares"/>
    <s v="Dólares"/>
    <s v="Departamento 3 ambientes a estrenar en Beccar"/>
    <s v="Argentina | G.B.A. Zona Norte | San Isidro | Beccar"/>
    <x v="0"/>
    <n v="2"/>
    <s v="North Team"/>
    <s v="Propia (Único Asesor)"/>
    <x v="1"/>
    <s v="Venta"/>
    <x v="6"/>
    <s v="Pilar"/>
  </r>
  <r>
    <d v="2025-08-19T00:00:00"/>
    <x v="1"/>
    <x v="5"/>
    <s v="CAP6640459"/>
    <x v="0"/>
    <s v="Departamento de 4 ambientes en venta con cochera"/>
    <s v="Realizado"/>
    <s v="Conocido"/>
    <n v="159000"/>
    <x v="292"/>
    <x v="1"/>
    <s v="Dólares"/>
    <s v="Dólares"/>
    <s v="Irigoyen  al 1900"/>
    <s v="Argentina | Capital Federal | Versalles "/>
    <x v="0"/>
    <n v="2"/>
    <s v="Horizon Group"/>
    <s v="Propia (Único Asesor)"/>
    <x v="1"/>
    <s v="Venta"/>
    <x v="3"/>
    <s v="Núñez"/>
  </r>
  <r>
    <d v="2025-08-28T00:00:00"/>
    <x v="1"/>
    <x v="5"/>
    <m/>
    <x v="0"/>
    <s v="Billinghurst 1645 - Guillermina Pico - Sol Lorenzo"/>
    <s v="Realizado"/>
    <s v="AR ZonaProp"/>
    <n v="0"/>
    <x v="293"/>
    <x v="1"/>
    <s v="Dólares"/>
    <s v="Dólares"/>
    <s v="Billinghurst 1645"/>
    <s v="Argentina | Capital Federal | Palermo "/>
    <x v="0"/>
    <n v="2"/>
    <s v="Destino"/>
    <s v="Compartida en Oficina (Dos Asesores)"/>
    <x v="1"/>
    <s v="Venta"/>
    <x v="3"/>
    <s v="Recoleta"/>
  </r>
  <r>
    <d v="2026-01-13T00:00:00"/>
    <x v="0"/>
    <x v="10"/>
    <s v="CHO7572187"/>
    <x v="0"/>
    <s v="Casa 4 amb en Venta Apto Credito, Parque Alvear I, Tortuguitas"/>
    <s v="Realizado"/>
    <s v="AR ZonaProp"/>
    <n v="153000"/>
    <x v="293"/>
    <x v="1"/>
    <s v="Dólares"/>
    <s v="Dólares"/>
    <s v="Luis Maria Drago  al 800"/>
    <s v="Argentina | G.B.A. Zona Norte | Malvinas Argentinas | Tortuguitas | P.Alvear"/>
    <x v="2"/>
    <n v="2"/>
    <s v="Puerto Norte"/>
    <s v="Compartida en Oficina (Dos Asesores)"/>
    <x v="1"/>
    <s v="Venta"/>
    <x v="6"/>
    <s v="Nordelta"/>
  </r>
  <r>
    <d v="2025-02-17T00:00:00"/>
    <x v="1"/>
    <x v="0"/>
    <s v="CHO6106676"/>
    <x v="0"/>
    <s v="Casa en  venta Barrio Grand Bourg"/>
    <s v="Realizado"/>
    <s v="Web Coldwell-Banker"/>
    <n v="162000"/>
    <x v="294"/>
    <x v="1"/>
    <s v="Dólares"/>
    <s v="Dólares"/>
    <s v="  BARRIO GRAND BOURG"/>
    <s v="Argentina | Salta | Capital | Salta | Bo.Grand Bourg"/>
    <x v="2"/>
    <n v="1"/>
    <s v="Realty Group"/>
    <s v="(Interior) Compartida Fuera de la Red Captación Propia"/>
    <x v="0"/>
    <s v="Venta"/>
    <x v="4"/>
    <s v="San Lorenzo Chico"/>
  </r>
  <r>
    <d v="2025-09-11T00:00:00"/>
    <x v="1"/>
    <x v="6"/>
    <s v="CAP7261998"/>
    <x v="0"/>
    <s v="VENTA 3AMB A ESTRENAR - CAÑITAS - PARRILLA "/>
    <s v="Realizado"/>
    <s v="AR ZonaProp"/>
    <n v="336000"/>
    <x v="294"/>
    <x v="1"/>
    <s v="Dólares"/>
    <s v="Dólares"/>
    <s v="Arevalo al 2700"/>
    <s v="Argentina | Capital Federal | Palermo | Las Cañitas"/>
    <x v="0"/>
    <n v="2"/>
    <s v="Destino"/>
    <s v="Compartida Fuera de la Red Captación Propia"/>
    <x v="0"/>
    <s v="Venta"/>
    <x v="3"/>
    <s v="Recoleta"/>
  </r>
  <r>
    <d v="2025-07-25T00:00:00"/>
    <x v="1"/>
    <x v="1"/>
    <n v="24072025"/>
    <x v="0"/>
    <s v="Reserva Nayla y Roma Tizado 3 Departamentos Mitre 1447"/>
    <s v="Realizado"/>
    <s v="Teléfono"/>
    <n v="157740"/>
    <x v="295"/>
    <x v="1"/>
    <s v="Dólares"/>
    <s v="Dólares"/>
    <m/>
    <s v="Argentina | Rio Negro | Bariloche | San Carlos De Bariloche"/>
    <x v="0"/>
    <n v="1"/>
    <s v="Patagonia Lakes BRC"/>
    <s v="(Interior) Compartida Fuera de la Red Búsqueda"/>
    <x v="2"/>
    <s v="Venta"/>
    <x v="7"/>
    <s v="Bariloche"/>
  </r>
  <r>
    <d v="2025-07-28T00:00:00"/>
    <x v="1"/>
    <x v="1"/>
    <n v="25072025"/>
    <x v="0"/>
    <s v="Reserva Cele Bernasconi Dpto 20 de Febrero 775, Piso 4 Trans + IVA"/>
    <s v="Realizado"/>
    <s v="Teléfono"/>
    <n v="158000"/>
    <x v="296"/>
    <x v="1"/>
    <s v="Dólares"/>
    <s v="Dólares"/>
    <m/>
    <s v="Argentina | Rio Negro | Bariloche | San Carlos De Bariloche"/>
    <x v="0"/>
    <n v="1"/>
    <s v="Patagonia Lakes BRC"/>
    <s v="(Interior) Compartida Fuera de la Red Búsqueda"/>
    <x v="2"/>
    <s v="Venta"/>
    <x v="7"/>
    <s v="Bariloche"/>
  </r>
  <r>
    <d v="2025-04-04T00:00:00"/>
    <x v="1"/>
    <x v="3"/>
    <s v="CHO6307284"/>
    <x v="0"/>
    <s v="Oportunidad en Avellaneda, Humberto Primo al 1600, 3 dormitorios, quincho y pileta climatizada"/>
    <s v="Realizado"/>
    <s v="Teléfono"/>
    <n v="168000"/>
    <x v="296"/>
    <x v="1"/>
    <s v="Dólares"/>
    <s v="Dólares"/>
    <s v="Casa a la venta en Humberto Primo entre Av Galicia y Mejico al 1600, Piñeyro- Avellaneda"/>
    <s v="Argentina | G.B.A. Zona Sur | Avellaneda | Piñeyro"/>
    <x v="2"/>
    <n v="2"/>
    <s v="Golden Team"/>
    <s v="Compartida en Oficina (Dos Asesores)"/>
    <x v="1"/>
    <s v="Venta"/>
    <x v="0"/>
    <s v="La Plata"/>
  </r>
  <r>
    <d v="2025-06-06T00:00:00"/>
    <x v="1"/>
    <x v="4"/>
    <s v="CHO6724397"/>
    <x v="1"/>
    <s v="Venta de PH Duplex de 3 ambientes en Palmas del Sol, Pilar"/>
    <s v="Realizado"/>
    <s v="Referido"/>
    <n v="160000"/>
    <x v="296"/>
    <x v="1"/>
    <s v="Dólares"/>
    <s v="Dólares"/>
    <s v="Caamaño Palmas del Sol"/>
    <s v="Argentina | G.B.A. Zona Norte | Pilar | Countries/B.Cerrado (Pilar) | Palmas del Sol"/>
    <x v="3"/>
    <n v="2"/>
    <s v="Acqua"/>
    <s v="Compartida en Red (50%)"/>
    <x v="1"/>
    <s v="Venta"/>
    <x v="6"/>
    <s v="Pilar"/>
  </r>
  <r>
    <d v="2026-03-06T00:00:00"/>
    <x v="0"/>
    <x v="9"/>
    <s v="CPH7569227"/>
    <x v="1"/>
    <s v="PH en Villa Urquiza"/>
    <s v="Realizado"/>
    <s v="AR ZonaProp"/>
    <n v="165000"/>
    <x v="296"/>
    <x v="1"/>
    <s v="Dólares"/>
    <s v="Dólares"/>
    <s v="Miller al 2000"/>
    <s v="Argentina | Capital Federal | Villa Urquiza "/>
    <x v="3"/>
    <n v="2"/>
    <s v="Notable"/>
    <s v="Compartida en Red (50%)"/>
    <x v="1"/>
    <s v="Venta"/>
    <x v="3"/>
    <s v="Palermo"/>
  </r>
  <r>
    <d v="2025-06-04T00:00:00"/>
    <x v="1"/>
    <x v="4"/>
    <s v="CHO6724397"/>
    <x v="0"/>
    <s v="Venta de PH Duplex de 3 ambientes en Palmas del Sol, Pilar"/>
    <s v="Realizado"/>
    <s v="AR ZonaProp"/>
    <n v="160000"/>
    <x v="296"/>
    <x v="1"/>
    <s v="Dólares"/>
    <s v="Dólares"/>
    <s v="Caamaño Palmas del Sol"/>
    <s v="Argentina | G.B.A. Zona Norte | Pilar | Countries/B.Cerrado (Pilar) | Palmas del Sol"/>
    <x v="3"/>
    <n v="2"/>
    <s v="Puerto Norte"/>
    <s v="Compartida en Red (50%)"/>
    <x v="1"/>
    <s v="Venta"/>
    <x v="6"/>
    <s v="Nordelta"/>
  </r>
  <r>
    <d v="2026-03-06T00:00:00"/>
    <x v="0"/>
    <x v="9"/>
    <s v="CPH7569227"/>
    <x v="0"/>
    <s v="PH en Villa Urquiza"/>
    <s v="Realizado"/>
    <s v="AR ZonaProp"/>
    <n v="165000"/>
    <x v="296"/>
    <x v="1"/>
    <s v="Dólares"/>
    <s v="Dólares"/>
    <s v="Miller al 2000"/>
    <s v="Argentina | Capital Federal | Villa Urquiza "/>
    <x v="3"/>
    <n v="2"/>
    <s v="Seniority"/>
    <s v="Compartida en Red (50%)"/>
    <x v="1"/>
    <s v="Venta"/>
    <x v="3"/>
    <s v="Barrio Parque"/>
  </r>
  <r>
    <d v="2025-04-30T00:00:00"/>
    <x v="1"/>
    <x v="3"/>
    <s v="CAP5109835"/>
    <x v="0"/>
    <s v="VENTA DEPARTAMENTO 3 AMBIENTES VILLA DEL PARQUE"/>
    <s v="Realizado"/>
    <s v="AR ZonaProp"/>
    <n v="165000"/>
    <x v="296"/>
    <x v="1"/>
    <s v="Dólares"/>
    <s v="Dólares"/>
    <s v="Concordia  al 2100"/>
    <s v="Argentina | Capital Federal | Villa del Parque "/>
    <x v="0"/>
    <n v="2"/>
    <s v="Seniority"/>
    <s v="Propia (Único Asesor)"/>
    <x v="1"/>
    <s v="Venta"/>
    <x v="3"/>
    <s v="Barrio Parque"/>
  </r>
  <r>
    <d v="2025-05-06T00:00:00"/>
    <x v="1"/>
    <x v="2"/>
    <s v="CHO6765553"/>
    <x v="0"/>
    <s v="Casa en Venta 3 dormitorios San Ramon Pilar del Este- Financia"/>
    <s v="Realizado"/>
    <s v="AR MercadoLibre"/>
    <n v="158000"/>
    <x v="296"/>
    <x v="1"/>
    <s v="Dólares"/>
    <s v="Dólares"/>
    <s v="Barrio San Ramon Pilar del Este"/>
    <s v="Argentina | G.B.A. Zona Norte | Pilar | Countries/B.Cerrado (Pilar) | Pilar Del Este | San Ramon"/>
    <x v="2"/>
    <n v="2"/>
    <s v="North Team"/>
    <s v="Propia (Único Asesor)"/>
    <x v="1"/>
    <s v="Venta"/>
    <x v="6"/>
    <s v="Pilar"/>
  </r>
  <r>
    <d v="2025-06-11T00:00:00"/>
    <x v="1"/>
    <x v="4"/>
    <s v="CHO6599347"/>
    <x v="0"/>
    <s v="Venta Casa 5 ambientes en Caseros"/>
    <s v="Realizado"/>
    <s v="AR ZonaProp"/>
    <n v="169900"/>
    <x v="296"/>
    <x v="1"/>
    <s v="Dólares"/>
    <s v="Dólares"/>
    <s v="Constitución al 2700"/>
    <s v="Argentina | G.B.A. Zona Oeste | Tres De Febrero | Caseros"/>
    <x v="2"/>
    <n v="2"/>
    <s v="Seniority"/>
    <s v="Propia (Único Asesor)"/>
    <x v="1"/>
    <s v="Venta"/>
    <x v="3"/>
    <s v="Barrio Parque"/>
  </r>
  <r>
    <d v="2025-11-10T00:00:00"/>
    <x v="1"/>
    <x v="7"/>
    <s v="CAP7332099"/>
    <x v="0"/>
    <s v="Venta Departamento 3 ambientes con Balcón y Baulera en Recoleta- Muy luminoso!"/>
    <s v="Realizado"/>
    <s v="AR ZonaProp"/>
    <n v="159000"/>
    <x v="296"/>
    <x v="1"/>
    <s v="Dólares"/>
    <s v="Dólares"/>
    <s v="Peña al 2100"/>
    <s v="Argentina | Capital Federal | Recoleta "/>
    <x v="0"/>
    <n v="2"/>
    <s v="Seniority"/>
    <s v="Propia (Único Asesor)"/>
    <x v="1"/>
    <s v="Venta"/>
    <x v="3"/>
    <s v="Barrio Parque"/>
  </r>
  <r>
    <d v="2025-01-27T00:00:00"/>
    <x v="1"/>
    <x v="10"/>
    <s v="VLA5679693"/>
    <x v="1"/>
    <s v="Terreno en  Pilar Barrio Privado Verona"/>
    <s v="Realizado"/>
    <s v="AR ZonaProp"/>
    <n v="156200"/>
    <x v="297"/>
    <x v="1"/>
    <s v="Dólares"/>
    <s v="Dólares"/>
    <s v="Venta Lote interno Verona - Pilar"/>
    <s v="Argentina | G.B.A. Zona Norte | Pilar | Countries/B.Cerrado (Pilar) | Verona Pilar"/>
    <x v="1"/>
    <n v="2"/>
    <s v="Puerto Norte"/>
    <s v="Compartida en Oficina (Dos Asesores)"/>
    <x v="1"/>
    <s v="Venta"/>
    <x v="6"/>
    <s v="Nordelta"/>
  </r>
  <r>
    <d v="2025-12-05T00:00:00"/>
    <x v="1"/>
    <x v="8"/>
    <s v="VAP6818742"/>
    <x v="0"/>
    <s v="Hermoso Dpto. con Terraza propia con parrilla y 2 Cocheras"/>
    <s v="Realizado"/>
    <s v="AR ZonaProp"/>
    <n v="165000"/>
    <x v="298"/>
    <x v="1"/>
    <s v="Dólares"/>
    <s v="Dólares"/>
    <s v="Laprida al 2400"/>
    <s v="Argentina | G.B.A. Zona Norte | Vicente López | Florida"/>
    <x v="0"/>
    <n v="2"/>
    <s v="Puerto Norte"/>
    <s v="Propia (Único Asesor)"/>
    <x v="1"/>
    <s v="Venta"/>
    <x v="6"/>
    <s v="Nordelta"/>
  </r>
  <r>
    <d v="2025-10-08T00:00:00"/>
    <x v="1"/>
    <x v="11"/>
    <s v="JHO6669568"/>
    <x v="0"/>
    <s v="VENTA CASA HARAS DEL SUR 2  4 AMBIENTES  BRANDSEN"/>
    <s v="Realizado"/>
    <s v="AR ZonaProp"/>
    <n v="160000"/>
    <x v="299"/>
    <x v="1"/>
    <s v="Dólares"/>
    <s v="Dólares"/>
    <s v="HARAS DEL SUR II"/>
    <s v="Argentina | G.B.A. Zona Sur | La Plata | Countries/B.Cerrado (La Plata) | Haras del Sur II"/>
    <x v="2"/>
    <n v="1"/>
    <s v="Lion Team Norte"/>
    <s v="(Interior) Compartida Fuera de la Red Búsqueda"/>
    <x v="2"/>
    <s v="Venta"/>
    <x v="6"/>
    <s v="Vicente López"/>
  </r>
  <r>
    <d v="2026-02-20T00:00:00"/>
    <x v="0"/>
    <x v="0"/>
    <s v="CHO6434354"/>
    <x v="2"/>
    <s v="Casa en  En San Martín"/>
    <s v="Realizado"/>
    <s v="AR ZonaProp"/>
    <n v="150000"/>
    <x v="299"/>
    <x v="1"/>
    <s v="Dólares"/>
    <s v="Dólares"/>
    <s v="Boulogne sur mer  5100 Villa Lynch"/>
    <s v="Argentina | G.B.A. Zona Norte | General San Martin | San Martin"/>
    <x v="2"/>
    <n v="2"/>
    <s v="Lion Team"/>
    <s v="Master"/>
    <x v="1"/>
    <s v="Venta"/>
    <x v="3"/>
    <s v="Villa Urquiza"/>
  </r>
  <r>
    <d v="2025-07-03T00:00:00"/>
    <x v="1"/>
    <x v="1"/>
    <s v="CPH6697451"/>
    <x v="0"/>
    <s v="PH en  Duplex al frente - Entrada independiente - cochera cubierta y patio"/>
    <s v="Realizado"/>
    <s v="AR ZonaProp"/>
    <n v="159000"/>
    <x v="299"/>
    <x v="1"/>
    <s v="Dólares"/>
    <s v="Dólares"/>
    <s v="Ramon Castro 4300"/>
    <s v="Argentina | G.B.A. Zona Norte | Vicente López | Munro"/>
    <x v="3"/>
    <n v="2"/>
    <s v="Lion Team"/>
    <s v="Propia (Único Asesor)"/>
    <x v="1"/>
    <s v="Venta"/>
    <x v="3"/>
    <s v="Villa Urquiza"/>
  </r>
  <r>
    <d v="2025-12-24T00:00:00"/>
    <x v="1"/>
    <x v="8"/>
    <s v="CHO5570523"/>
    <x v="0"/>
    <s v="VENTA CASA 5 AMBIENTES C/COCHERA QUINCHO PARRILA 317M2 TOTALES - QUILMES"/>
    <s v="Realizado"/>
    <s v="AR MercadoLibre"/>
    <n v="159000"/>
    <x v="299"/>
    <x v="1"/>
    <s v="Dólares"/>
    <s v="Dólares"/>
    <s v="Lavalle  al 1000"/>
    <s v="Argentina | G.B.A. Zona Sur | Quilmes "/>
    <x v="2"/>
    <n v="2"/>
    <s v="Seniority Plus"/>
    <s v="Propia (Único Asesor)"/>
    <x v="1"/>
    <s v="Venta"/>
    <x v="3"/>
    <s v="Palermo"/>
  </r>
  <r>
    <d v="2026-03-14T00:00:00"/>
    <x v="0"/>
    <x v="9"/>
    <s v="CHO7409633"/>
    <x v="0"/>
    <s v="Casa - Villa Devoto"/>
    <s v="Realizado"/>
    <s v="AR ZonaProp"/>
    <n v="158400"/>
    <x v="299"/>
    <x v="1"/>
    <s v="Dólares"/>
    <s v="Dólares"/>
    <s v="bermudez al 2400"/>
    <s v="Argentina | Capital Federal | Villa Devoto "/>
    <x v="1"/>
    <n v="2"/>
    <s v="Horizon Group"/>
    <s v="Propia (Único Asesor)"/>
    <x v="1"/>
    <s v="Venta"/>
    <x v="3"/>
    <s v="Núñez"/>
  </r>
  <r>
    <d v="2025-03-26T00:00:00"/>
    <x v="1"/>
    <x v="9"/>
    <s v="VHO6719749"/>
    <x v="0"/>
    <s v="Casa en venta - a estrenar - Santa Elisa, Pilar del Este"/>
    <s v="Realizado"/>
    <s v="AR ZonaProp"/>
    <n v="165000"/>
    <x v="300"/>
    <x v="1"/>
    <s v="Dólares"/>
    <s v="Dólares"/>
    <s v="VENTA - CASA A ESTRENAR - 4 AMBIENTES - PILAR DEL ESTE"/>
    <s v="Argentina | G.B.A. Zona Norte | Pilar | Countries/B.Cerrado (Pilar) | Pilar Del Este | Santa Elisa"/>
    <x v="2"/>
    <n v="2"/>
    <s v="Puerto Norte"/>
    <s v="Compartida en Oficina (Dos Asesores)"/>
    <x v="1"/>
    <s v="Venta"/>
    <x v="6"/>
    <s v="Nordelta"/>
  </r>
  <r>
    <d v="2025-05-30T00:00:00"/>
    <x v="1"/>
    <x v="2"/>
    <s v="CAP6059640"/>
    <x v="0"/>
    <s v="VENTA DEPARTAMENTO A ESTRENAR PISO ALTO 3 AMBIENTES CON BALCON COCHERA Y BAULERA"/>
    <s v="Realizado"/>
    <s v="AR ZonaProp"/>
    <n v="165000"/>
    <x v="300"/>
    <x v="1"/>
    <s v="Dólares"/>
    <s v="Dólares"/>
    <s v="NEUQUEN al 1800"/>
    <s v="Argentina | Capital Federal | Caballito "/>
    <x v="0"/>
    <n v="2"/>
    <s v="Lion Team Norte"/>
    <s v="Compartida en Oficina (Dos Asesores)"/>
    <x v="1"/>
    <s v="Venta"/>
    <x v="6"/>
    <s v="Vicente López"/>
  </r>
  <r>
    <d v="2025-08-19T00:00:00"/>
    <x v="1"/>
    <x v="5"/>
    <s v="CLA7236181"/>
    <x v="0"/>
    <s v="Gran Lote en Venta - Barrio Santa Ana "/>
    <s v="Realizado"/>
    <s v="AR ZonaProp"/>
    <n v="150000"/>
    <x v="300"/>
    <x v="1"/>
    <s v="Dólares"/>
    <s v="Dólares"/>
    <s v="Barrio Santa Ana - Arribeños  al 1600"/>
    <s v="Argentina | G.B.A. Zona Norte | Tigre | Countries/B.Cerrado (Tigre) | Villanueva | Santa Ana"/>
    <x v="1"/>
    <n v="2"/>
    <s v="Puerto Norte"/>
    <s v="Compartida en Oficina (Dos Asesores)"/>
    <x v="1"/>
    <s v="Venta"/>
    <x v="6"/>
    <s v="Nordelta"/>
  </r>
  <r>
    <d v="2025-09-29T00:00:00"/>
    <x v="1"/>
    <x v="6"/>
    <s v="CAP6876516"/>
    <x v="0"/>
    <s v="VENTA Departamento Villa La Angostura 50M2 B° El Once"/>
    <s v="Realizado"/>
    <s v="Repetido"/>
    <n v="165000"/>
    <x v="300"/>
    <x v="1"/>
    <s v="Dólares"/>
    <s v="Dólares"/>
    <s v="Michay  al 200"/>
    <s v="Argentina | Neuquen | Villa La Angostura | El Once"/>
    <x v="0"/>
    <n v="2"/>
    <s v="Patagonia Lakes VLA"/>
    <s v="Compartida en Oficina (Dos Asesores)"/>
    <x v="1"/>
    <s v="Venta"/>
    <x v="1"/>
    <s v="Villa La Angostura"/>
  </r>
  <r>
    <d v="2026-01-15T00:00:00"/>
    <x v="0"/>
    <x v="10"/>
    <s v="VILLA LOS LAGOS"/>
    <x v="0"/>
    <s v="VILLA LOS LAGOS"/>
    <s v="Realizado"/>
    <s v="AR ZonaProp"/>
    <n v="160000"/>
    <x v="300"/>
    <x v="1"/>
    <s v="Dólares"/>
    <s v="Dólares"/>
    <m/>
    <s v="Argentina | G.B.A. Zona Norte | Tigre | Countries/B.Cerrado (Tigre) | Nordelta | Los Lagos"/>
    <x v="2"/>
    <n v="2"/>
    <s v="Puerto Norte"/>
    <s v="Compartida en Oficina (Dos Asesores)"/>
    <x v="1"/>
    <s v="Venta"/>
    <x v="6"/>
    <s v="Nordelta"/>
  </r>
  <r>
    <d v="2026-03-25T00:00:00"/>
    <x v="0"/>
    <x v="9"/>
    <s v="CAP2456597"/>
    <x v="0"/>
    <s v="Oportunidad!!! Venta 3 ambientes c/ dependencia APTO CREDITO - Caballito - Rivadavia 6200"/>
    <s v="Realizado"/>
    <s v="AR ZonaProp"/>
    <n v="99000"/>
    <x v="300"/>
    <x v="1"/>
    <s v="Dólares"/>
    <s v="Dólares"/>
    <s v=" Caballito "/>
    <s v="Argentina | Capital Federal | Caballito "/>
    <x v="0"/>
    <n v="2"/>
    <s v="Puerto Norte"/>
    <s v="Compartida en Oficina (Dos Asesores)"/>
    <x v="1"/>
    <s v="Venta"/>
    <x v="6"/>
    <s v="Nordelta"/>
  </r>
  <r>
    <d v="2026-03-20T00:00:00"/>
    <x v="0"/>
    <x v="9"/>
    <s v="JAP7640940"/>
    <x v="0"/>
    <s v="Departamento en venta 3 ambientes c/ DEPENDENCIA y BALCÓN!"/>
    <s v="Realizado"/>
    <s v="AR ZonaProp"/>
    <n v="165000"/>
    <x v="300"/>
    <x v="1"/>
    <s v="Dólares"/>
    <s v="Dólares"/>
    <s v="Paraguay  al 2900"/>
    <s v="Argentina | Capital Federal | Recoleta "/>
    <x v="0"/>
    <n v="2"/>
    <s v="Lion Team Norte"/>
    <s v="Compartida en Red (50%)"/>
    <x v="1"/>
    <s v="Venta"/>
    <x v="6"/>
    <s v="Vicente López"/>
  </r>
  <r>
    <d v="2026-03-26T00:00:00"/>
    <x v="0"/>
    <x v="9"/>
    <n v="10699"/>
    <x v="1"/>
    <s v="Paraguay 2943 piso 10 Dto A"/>
    <s v="Realizado"/>
    <s v="AR ZonaProp"/>
    <n v="160000"/>
    <x v="300"/>
    <x v="1"/>
    <s v="Dólares"/>
    <s v="Dólares"/>
    <s v="Paraguay 2943 piso 10 Dto A"/>
    <s v="Argentina | Capital Federal | Recoleta "/>
    <x v="0"/>
    <n v="2"/>
    <s v="Seniority"/>
    <s v="Compartida en Red (50%)"/>
    <x v="1"/>
    <s v="Venta"/>
    <x v="3"/>
    <s v="Barrio Parque"/>
  </r>
  <r>
    <d v="2025-10-06T00:00:00"/>
    <x v="1"/>
    <x v="11"/>
    <s v="CAP6340789"/>
    <x v="0"/>
    <s v="Departamento 3 ambientes en Belgrano con Cochera "/>
    <s v="Realizado"/>
    <s v="AR ZonaProp"/>
    <n v="149000"/>
    <x v="300"/>
    <x v="1"/>
    <s v="Dólares"/>
    <s v="Dólares"/>
    <s v="Vuelta de Obligado  al 2700"/>
    <s v="Argentina | Capital Federal | Belgrano | Belgrano C"/>
    <x v="0"/>
    <n v="1"/>
    <s v="Puerto Norte"/>
    <s v="Compartida Fuera de la Red Búsqueda"/>
    <x v="2"/>
    <s v="Venta"/>
    <x v="6"/>
    <s v="Nordelta"/>
  </r>
  <r>
    <d v="2025-11-18T00:00:00"/>
    <x v="1"/>
    <x v="7"/>
    <n v="10528"/>
    <x v="0"/>
    <s v=" Bazurco 3429"/>
    <s v="Realizado"/>
    <s v="AR ZonaProp"/>
    <n v="0"/>
    <x v="300"/>
    <x v="1"/>
    <s v="Dólares"/>
    <s v="Dólares"/>
    <s v=" Bazurco 3429"/>
    <s v="Argentina | Capital Federal | Villa Urquiza "/>
    <x v="0"/>
    <n v="1"/>
    <s v="Seniority"/>
    <s v="Compartida Fuera de la Red Búsqueda"/>
    <x v="2"/>
    <s v="Venta"/>
    <x v="3"/>
    <s v="Barrio Parque"/>
  </r>
  <r>
    <d v="2025-12-11T00:00:00"/>
    <x v="1"/>
    <x v="8"/>
    <n v="10616"/>
    <x v="0"/>
    <s v="Av Libertador 6328 piso 15"/>
    <s v="Realizado"/>
    <s v="AR ZonaProp"/>
    <n v="160000"/>
    <x v="300"/>
    <x v="1"/>
    <s v="Dólares"/>
    <s v="Dólares"/>
    <s v="Av Libertador 6328 piso 15"/>
    <s v="Argentina | Capital Federal | Nuñez "/>
    <x v="0"/>
    <n v="1"/>
    <s v="Seniority"/>
    <s v="Compartida Fuera de la Red Búsqueda"/>
    <x v="2"/>
    <s v="Venta"/>
    <x v="3"/>
    <s v="Barrio Parque"/>
  </r>
  <r>
    <d v="2025-04-10T00:00:00"/>
    <x v="1"/>
    <x v="3"/>
    <s v="CAP6761737"/>
    <x v="0"/>
    <s v="Venta departamento 2 ambientes con cochera Belgrano"/>
    <s v="Realizado"/>
    <s v="AR ZonaProp"/>
    <n v="170000"/>
    <x v="300"/>
    <x v="1"/>
    <s v="Dólares"/>
    <s v="Dólares"/>
    <s v="Cuba al 2600"/>
    <s v="Argentina | Capital Federal | Belgrano "/>
    <x v="0"/>
    <n v="2"/>
    <s v="Grupo Elite"/>
    <s v="Propia (Único Asesor)"/>
    <x v="1"/>
    <s v="Venta"/>
    <x v="3"/>
    <s v="Puerto Madero"/>
  </r>
  <r>
    <d v="2025-04-10T00:00:00"/>
    <x v="1"/>
    <x v="3"/>
    <s v="CAP6831217"/>
    <x v="0"/>
    <s v="Venta Departamento 3 Ambientes con Balcón en Villa Urquiza"/>
    <s v="Realizado"/>
    <s v="AR ZonaProp"/>
    <n v="165000"/>
    <x v="300"/>
    <x v="1"/>
    <s v="Dólares"/>
    <s v="Dólares"/>
    <s v="Miller al 2200"/>
    <s v="Argentina | Capital Federal | Villa Urquiza "/>
    <x v="0"/>
    <n v="2"/>
    <s v="Seniority Plus"/>
    <s v="Propia (Único Asesor)"/>
    <x v="1"/>
    <s v="Venta"/>
    <x v="3"/>
    <s v="Palermo"/>
  </r>
  <r>
    <d v="2025-05-01T00:00:00"/>
    <x v="1"/>
    <x v="2"/>
    <s v="Nuestra Señora de la Merced 5322"/>
    <x v="0"/>
    <s v="Nuestra Señora de la Merced 5322"/>
    <s v="Realizado"/>
    <s v="AR ArgenProp"/>
    <n v="160000"/>
    <x v="300"/>
    <x v="1"/>
    <s v="Dólares"/>
    <s v="Dólares"/>
    <s v="Nuestra Señora de la Merced 5322"/>
    <s v="Argentina | G.B.A. Zona Sur | Lanús | Lanús | Lanús Este"/>
    <x v="0"/>
    <n v="2"/>
    <s v="Lion Team"/>
    <s v="Propia (Único Asesor)"/>
    <x v="1"/>
    <s v="Venta"/>
    <x v="3"/>
    <s v="Villa Urquiza"/>
  </r>
  <r>
    <d v="2025-05-10T00:00:00"/>
    <x v="1"/>
    <x v="2"/>
    <s v="CAP6817536"/>
    <x v="0"/>
    <s v="VENTA Departamento Villa La Angostura 58m2 Península Manzano Todo Equipado Exclusivo"/>
    <s v="Realizado"/>
    <s v="Instagram"/>
    <n v="160000"/>
    <x v="300"/>
    <x v="1"/>
    <s v="Dólares"/>
    <s v="Dólares"/>
    <s v="Las Hortensias 215 PB"/>
    <s v="Argentina | Neuquen | Villa La Angostura | Peninsulas Del Pto.Manzano"/>
    <x v="0"/>
    <n v="2"/>
    <s v="Patagonia Lakes VLA"/>
    <s v="Propia (Único Asesor)"/>
    <x v="1"/>
    <s v="Venta"/>
    <x v="1"/>
    <s v="Villa La Angostura"/>
  </r>
  <r>
    <d v="2025-05-14T00:00:00"/>
    <x v="1"/>
    <x v="2"/>
    <s v="VHO6639373"/>
    <x v="0"/>
    <s v="Casa en  venta de 4 amb "/>
    <s v="Realizado"/>
    <s v="AR ZonaProp"/>
    <n v="170000"/>
    <x v="300"/>
    <x v="1"/>
    <s v="Dólares"/>
    <s v="Dólares"/>
    <s v="Pichincha al 1300"/>
    <s v="Argentina | G.B.A. Zona Norte | Vicente López | Villa Adelina"/>
    <x v="2"/>
    <n v="2"/>
    <s v="Puerto Norte"/>
    <s v="Propia (Único Asesor)"/>
    <x v="1"/>
    <s v="Venta"/>
    <x v="6"/>
    <s v="Nordelta"/>
  </r>
  <r>
    <d v="2025-06-30T00:00:00"/>
    <x v="1"/>
    <x v="4"/>
    <s v="CHO6758916"/>
    <x v="0"/>
    <s v="Venta Casa 4 Ambientes en  Barrio Hípico Altos de Manzanares - Pilar"/>
    <s v="Realizado"/>
    <s v="AR ZonaProp"/>
    <n v="175000"/>
    <x v="300"/>
    <x v="1"/>
    <s v="Dólares"/>
    <s v="Dólares"/>
    <s v="Barrio Altos de Manzanares"/>
    <s v="Argentina | G.B.A. Zona Norte | Pilar | Manzanares | Countries/B.Cerrado (Manzanares)"/>
    <x v="2"/>
    <n v="2"/>
    <s v="Seniority"/>
    <s v="Propia (Único Asesor)"/>
    <x v="1"/>
    <s v="Venta"/>
    <x v="3"/>
    <s v="Barrio Parque"/>
  </r>
  <r>
    <d v="2025-07-27T00:00:00"/>
    <x v="1"/>
    <x v="1"/>
    <s v="VHO3646798"/>
    <x v="0"/>
    <s v="VENTA Casa - Beccar San Isidro - APTO CREDITO"/>
    <s v="Realizado"/>
    <s v="AR ZonaProp"/>
    <n v="200000"/>
    <x v="300"/>
    <x v="1"/>
    <s v="Dólares"/>
    <s v="Dólares"/>
    <s v="SUIPACHA al 1600"/>
    <s v="Argentina | G.B.A. Zona Norte | San Isidro | Beccar | Beccar-Vias/Libert."/>
    <x v="2"/>
    <n v="2"/>
    <s v="Puerto Norte"/>
    <s v="Propia (Único Asesor)"/>
    <x v="1"/>
    <s v="Venta"/>
    <x v="6"/>
    <s v="Nordelta"/>
  </r>
  <r>
    <d v="2025-07-28T00:00:00"/>
    <x v="1"/>
    <x v="1"/>
    <s v="CHO6391748"/>
    <x v="0"/>
    <s v="Venta Casa céntrica 4 dormitorios en Bariloche"/>
    <s v="Realizado"/>
    <s v="Teléfono"/>
    <n v="160000"/>
    <x v="300"/>
    <x v="1"/>
    <s v="Dólares"/>
    <s v="Dólares"/>
    <s v="Belgrano, San Carlos de Bariloche"/>
    <s v="Argentina | Rio Negro | Bariloche | San Carlos De Bariloche | Belgrano"/>
    <x v="2"/>
    <n v="2"/>
    <s v="Patagonia Lakes BRC"/>
    <s v="Propia (Único Asesor)"/>
    <x v="1"/>
    <s v="Venta"/>
    <x v="7"/>
    <s v="Bariloche"/>
  </r>
  <r>
    <d v="2025-07-29T00:00:00"/>
    <x v="1"/>
    <x v="1"/>
    <s v="CHO6703504"/>
    <x v="0"/>
    <s v="Casa 4 dorm. con pileta climatizada - Neuquén"/>
    <s v="Realizado"/>
    <s v="AR ZonaProp"/>
    <n v="172000"/>
    <x v="300"/>
    <x v="1"/>
    <s v="Dólares"/>
    <s v="Dólares"/>
    <s v="Villaguay al 3400"/>
    <s v="Argentina | Neuquen | Capital | Huilliches"/>
    <x v="2"/>
    <n v="2"/>
    <s v="Sensus"/>
    <s v="Propia (Único Asesor)"/>
    <x v="1"/>
    <s v="Venta"/>
    <x v="1"/>
    <s v="Capital Neuquén"/>
  </r>
  <r>
    <d v="2025-08-11T00:00:00"/>
    <x v="1"/>
    <x v="5"/>
    <s v="CPH4257624"/>
    <x v="0"/>
    <s v="PH - Candioti Norte"/>
    <s v="Realizado"/>
    <s v="Conocido"/>
    <n v="155000"/>
    <x v="300"/>
    <x v="1"/>
    <s v="Dólares"/>
    <s v="Dólares"/>
    <s v="CASA AL FRENTE  en venta 4 dormitorios y terraza, zona Candiotti Norte"/>
    <s v="Argentina | Santa Fe | La Capital | Santa Fe | Candioti Norte"/>
    <x v="2"/>
    <n v="2"/>
    <s v="De la Veracruz"/>
    <s v="Propia (Único Asesor)"/>
    <x v="1"/>
    <s v="Venta"/>
    <x v="5"/>
    <s v="Capital Santa Fe"/>
  </r>
  <r>
    <d v="2025-08-13T00:00:00"/>
    <x v="1"/>
    <x v="5"/>
    <s v="CAP6829249"/>
    <x v="0"/>
    <s v="Venta Dpto 2 ambientes a Estrenar "/>
    <s v="Realizado"/>
    <s v="AR ZonaProp"/>
    <n v="165000"/>
    <x v="300"/>
    <x v="1"/>
    <s v="Dólares"/>
    <s v="Dólares"/>
    <s v="Paraguay al 2800"/>
    <s v="Argentina | Capital Federal | Recoleta "/>
    <x v="0"/>
    <n v="2"/>
    <s v="Destino II"/>
    <s v="Propia (Único Asesor)"/>
    <x v="1"/>
    <s v="Venta"/>
    <x v="3"/>
    <s v="Recoleta"/>
  </r>
  <r>
    <d v="2025-10-08T00:00:00"/>
    <x v="1"/>
    <x v="11"/>
    <s v="CAP6738448"/>
    <x v="0"/>
    <s v="Venta Departamento Loft  2 Ambientes y medio en Las Cañitas"/>
    <s v="Realizado"/>
    <s v="AR ZonaProp"/>
    <n v="170000"/>
    <x v="300"/>
    <x v="1"/>
    <s v="Dólares"/>
    <s v="Dólares"/>
    <s v="Ortega y Gasset al 1700"/>
    <s v="Argentina | Capital Federal | Palermo | Las Cañitas"/>
    <x v="0"/>
    <n v="2"/>
    <s v="Seniority Plus"/>
    <s v="Propia (Único Asesor)"/>
    <x v="1"/>
    <s v="Venta"/>
    <x v="3"/>
    <s v="Palermo"/>
  </r>
  <r>
    <d v="2025-10-22T00:00:00"/>
    <x v="1"/>
    <x v="11"/>
    <s v="CHO6759304"/>
    <x v="0"/>
    <s v="Casa en Gonnet con quincho, parque y pileta - 486 esq. 23"/>
    <s v="Realizado"/>
    <s v="AR ZonaProp"/>
    <n v="160000"/>
    <x v="300"/>
    <x v="1"/>
    <s v="Dólares"/>
    <s v="Dólares"/>
    <s v="Casa en Gonnet con quincho, parque y pileta - 486 esq. 23"/>
    <s v="Argentina | G.B.A. Zona Sur | La Plata | Manuel B Gonnet"/>
    <x v="2"/>
    <n v="2"/>
    <s v="Golden Team"/>
    <s v="Propia (Único Asesor)"/>
    <x v="1"/>
    <s v="Venta"/>
    <x v="0"/>
    <s v="La Plata"/>
  </r>
  <r>
    <d v="2025-12-18T00:00:00"/>
    <x v="1"/>
    <x v="8"/>
    <s v="JHO7478242"/>
    <x v="0"/>
    <s v="Venta casa 5 ambientes en Florida Oeste con garaje, patio y jardin"/>
    <s v="Realizado"/>
    <s v="AR ZonaProp"/>
    <n v="169900"/>
    <x v="300"/>
    <x v="1"/>
    <s v="Dólares"/>
    <s v="Dólares"/>
    <s v="Coronel Pringles 3736"/>
    <s v="Argentina | G.B.A. Zona Norte | Vicente López | Florida"/>
    <x v="2"/>
    <n v="2"/>
    <s v="Lion Team Norte"/>
    <s v="Propia (Único Asesor)"/>
    <x v="1"/>
    <s v="Venta"/>
    <x v="6"/>
    <s v="Vicente López"/>
  </r>
  <r>
    <d v="2026-02-13T00:00:00"/>
    <x v="0"/>
    <x v="0"/>
    <s v="CAP7439838"/>
    <x v="0"/>
    <s v="Venta Departamento 2 Dormitorios 3 Amb  Con Cocina y Balcón 2° Piso al frente "/>
    <s v="Realizado"/>
    <s v="AR ZonaProp"/>
    <n v="160000"/>
    <x v="300"/>
    <x v="1"/>
    <s v="Dólares"/>
    <s v="Dólares"/>
    <s v="Juan José Paso  40"/>
    <s v="Argentina | G.B.A. Zona Norte | San Isidro | Martinez | Mart.-Vias/Santa Fe"/>
    <x v="0"/>
    <n v="2"/>
    <s v="Seniority"/>
    <s v="Propia (Único Asesor)"/>
    <x v="1"/>
    <s v="Venta"/>
    <x v="3"/>
    <s v="Barrio Parque"/>
  </r>
  <r>
    <d v="2025-01-14T00:00:00"/>
    <x v="1"/>
    <x v="10"/>
    <s v="VHO6370655"/>
    <x v="0"/>
    <s v="Casa en Country Club Privado Loma Verde"/>
    <s v="Realizado"/>
    <s v="AR ZonaProp"/>
    <n v="150000"/>
    <x v="301"/>
    <x v="1"/>
    <s v="Dólares"/>
    <s v="Dólares"/>
    <s v="Casa en Club Privado Loma Verde"/>
    <s v="Argentina | G.B.A. Zona Norte | Escobar | Loma Verde | Country Club Privado Loma Verde"/>
    <x v="2"/>
    <n v="2"/>
    <s v="Puerto Norte"/>
    <s v="Compartida en Oficina (Dos Asesores)"/>
    <x v="1"/>
    <s v="Venta"/>
    <x v="6"/>
    <s v="Nordelta"/>
  </r>
  <r>
    <d v="2025-05-15T00:00:00"/>
    <x v="1"/>
    <x v="2"/>
    <n v="1"/>
    <x v="0"/>
    <s v="Venta Estado de Israel"/>
    <s v="Realizado"/>
    <s v="Teléfono"/>
    <n v="161000"/>
    <x v="301"/>
    <x v="1"/>
    <s v="Dólares"/>
    <s v="Dólares"/>
    <s v="Estado de Israel 4346"/>
    <s v="Argentina | Capital Federal | Almagro "/>
    <x v="0"/>
    <n v="1"/>
    <s v="Grupo Elite"/>
    <s v="Compartida Fuera de la Red Búsqueda"/>
    <x v="2"/>
    <s v="Venta"/>
    <x v="3"/>
    <s v="Puerto Madero"/>
  </r>
  <r>
    <d v="2026-03-30T00:00:00"/>
    <x v="0"/>
    <x v="9"/>
    <n v="10754"/>
    <x v="0"/>
    <s v="Paraguay 3734 "/>
    <s v="Realizado"/>
    <s v="AR ZonaProp"/>
    <n v="161000"/>
    <x v="301"/>
    <x v="1"/>
    <s v="Dólares"/>
    <s v="Dólares"/>
    <s v="Paraguay 3734 "/>
    <s v="Argentina | Capital Federal | Recoleta "/>
    <x v="0"/>
    <n v="1"/>
    <s v="Seniority"/>
    <s v="Compartida Fuera de la Red Búsqueda"/>
    <x v="2"/>
    <s v="Venta"/>
    <x v="3"/>
    <s v="Barrio Parque"/>
  </r>
  <r>
    <d v="2025-02-11T00:00:00"/>
    <x v="1"/>
    <x v="0"/>
    <s v="CAP6480746"/>
    <x v="0"/>
    <s v="Venta 3 amb refaccionado a nuevo "/>
    <s v="Realizado"/>
    <s v="AR ZonaProp"/>
    <n v="165000"/>
    <x v="301"/>
    <x v="1"/>
    <s v="Dólares"/>
    <s v="Dólares"/>
    <s v="Ayacucho  al 600"/>
    <s v="Argentina | Capital Federal | Barrio Norte "/>
    <x v="0"/>
    <n v="2"/>
    <s v="Seniority"/>
    <s v="Propia (Único Asesor)"/>
    <x v="1"/>
    <s v="Venta"/>
    <x v="3"/>
    <s v="Barrio Parque"/>
  </r>
  <r>
    <d v="2025-12-22T00:00:00"/>
    <x v="1"/>
    <x v="8"/>
    <s v="CAP7320824"/>
    <x v="0"/>
    <s v="VENTA Departamento 4 ambientes 84 m2  Lomas del Correntoso, Villa La Angostura"/>
    <s v="Realizado"/>
    <s v="Conocido"/>
    <n v="165000"/>
    <x v="302"/>
    <x v="1"/>
    <s v="Dólares"/>
    <s v="Dólares"/>
    <s v="Lomas del Correntoso"/>
    <s v="Argentina | Neuquen | Villa La Angostura | Lomas De Correntoso"/>
    <x v="0"/>
    <n v="1"/>
    <s v="Patagonia Lakes VLA"/>
    <s v="(Interior) Compartida Fuera de la Red Captación Propia"/>
    <x v="0"/>
    <s v="Venta"/>
    <x v="1"/>
    <s v="Villa La Angostura"/>
  </r>
  <r>
    <d v="2026-02-27T00:00:00"/>
    <x v="0"/>
    <x v="0"/>
    <n v="10666"/>
    <x v="0"/>
    <s v="Dpto en venta"/>
    <s v="Realizado"/>
    <s v="AR ZonaProp"/>
    <n v="162000"/>
    <x v="302"/>
    <x v="1"/>
    <s v="Dólares"/>
    <s v="Dólares"/>
    <s v="J. A. Cabrera 3411 7mo D"/>
    <s v="Argentina | Capital Federal | Palermo "/>
    <x v="0"/>
    <n v="1"/>
    <s v="Seniority"/>
    <s v="Compartida Fuera de la Red Búsqueda"/>
    <x v="2"/>
    <s v="Venta"/>
    <x v="3"/>
    <s v="Barrio Parque"/>
  </r>
  <r>
    <d v="2026-03-13T00:00:00"/>
    <x v="0"/>
    <x v="9"/>
    <m/>
    <x v="0"/>
    <s v="CASA 4 AMBIENTES FLORES"/>
    <s v="Realizado"/>
    <s v="Conocido"/>
    <n v="162000"/>
    <x v="302"/>
    <x v="1"/>
    <s v="Dólares"/>
    <s v="Dólares"/>
    <s v="Robertson 924"/>
    <m/>
    <x v="2"/>
    <n v="1"/>
    <s v="Beyker"/>
    <s v="Compartida Fuera de la Red Búsqueda"/>
    <x v="2"/>
    <s v="Venta"/>
    <x v="3"/>
    <s v="Retiro"/>
  </r>
  <r>
    <d v="2025-11-14T00:00:00"/>
    <x v="1"/>
    <x v="7"/>
    <n v="10570"/>
    <x v="0"/>
    <s v="Vidal 2815 4 401"/>
    <s v="Realizado"/>
    <s v="AR ZonaProp"/>
    <n v="162500"/>
    <x v="303"/>
    <x v="1"/>
    <s v="Dólares"/>
    <s v="Dólares"/>
    <s v="Vidal 2815 "/>
    <s v="Argentina | Capital Federal | Belgrano "/>
    <x v="0"/>
    <n v="2"/>
    <s v="Seniority"/>
    <s v="Compartida Fuera de la Red Captación Propia"/>
    <x v="0"/>
    <s v="Venta"/>
    <x v="3"/>
    <s v="Barrio Parque"/>
  </r>
  <r>
    <d v="2025-09-09T00:00:00"/>
    <x v="1"/>
    <x v="6"/>
    <s v="BILLINGHURST 1307"/>
    <x v="0"/>
    <s v="BILLINGHURST 1307"/>
    <s v="Realizado"/>
    <s v="AR ZonaProp"/>
    <n v="0"/>
    <x v="304"/>
    <x v="1"/>
    <s v="Dólares"/>
    <s v="Dólares"/>
    <s v="BILLINGHURST 1307"/>
    <s v="Argentina | Capital Federal | Palermo "/>
    <x v="0"/>
    <n v="1"/>
    <s v="Lion Team Norte"/>
    <s v="(Interior) Compartida Fuera de la Red Captación Propia"/>
    <x v="0"/>
    <s v="Venta"/>
    <x v="6"/>
    <s v="Vicente López"/>
  </r>
  <r>
    <d v="2025-01-06T00:00:00"/>
    <x v="1"/>
    <x v="10"/>
    <n v="10257"/>
    <x v="0"/>
    <s v="Ecuador 1182 5A"/>
    <s v="Realizado"/>
    <s v="AR ZonaProp"/>
    <n v="0"/>
    <x v="304"/>
    <x v="1"/>
    <s v="Dólares"/>
    <s v="Dólares"/>
    <m/>
    <s v="Argentina | Capital Federal | Almagro "/>
    <x v="0"/>
    <n v="1"/>
    <s v="Seniority"/>
    <s v="Compartida Fuera de la Red Búsqueda"/>
    <x v="2"/>
    <s v="Venta"/>
    <x v="3"/>
    <s v="Barrio Parque"/>
  </r>
  <r>
    <d v="2025-01-10T00:00:00"/>
    <x v="1"/>
    <x v="10"/>
    <s v="Búsqueda"/>
    <x v="0"/>
    <s v="Búsqueda"/>
    <s v="Realizado"/>
    <s v="AR ZonaProp"/>
    <n v="163000"/>
    <x v="304"/>
    <x v="1"/>
    <s v="Dólares"/>
    <s v="Dólares"/>
    <s v="Tinogasta 3128 5° &quot;A&quot; CABA"/>
    <m/>
    <x v="0"/>
    <n v="1"/>
    <s v="Ser"/>
    <s v="Compartida Fuera de la Red Búsqueda"/>
    <x v="2"/>
    <s v="Venta"/>
    <x v="3"/>
    <s v="Belgrano"/>
  </r>
  <r>
    <d v="2025-03-23T00:00:00"/>
    <x v="1"/>
    <x v="9"/>
    <s v="CHO6886790"/>
    <x v="0"/>
    <s v="Casa en Venta 10 entre 457 y 458 Quimilar"/>
    <s v="Realizado"/>
    <s v="Teléfono"/>
    <n v="175000"/>
    <x v="304"/>
    <x v="1"/>
    <s v="Dólares"/>
    <s v="Dólares"/>
    <s v="Casa en venta 10 ENTRE 457 Y 458 Quimilar"/>
    <s v="Argentina | G.B.A. Zona Sur | La Plata | Countries/B.Cerrado (La Plata) | El Quimilar"/>
    <x v="2"/>
    <n v="2"/>
    <s v="Golden Team"/>
    <s v="Compartida Fuera de la Red Captación Propia"/>
    <x v="0"/>
    <s v="Venta"/>
    <x v="0"/>
    <s v="La Plata"/>
  </r>
  <r>
    <d v="2025-09-30T00:00:00"/>
    <x v="1"/>
    <x v="6"/>
    <s v="CAP7228146"/>
    <x v="0"/>
    <s v="VENTA DEPARTAMENTO 2 AMBIENTES FULL AMENITIES, PISO ALTO, BELGRANO"/>
    <s v="Realizado"/>
    <s v="AR ZonaProp"/>
    <n v="165000"/>
    <x v="304"/>
    <x v="1"/>
    <s v="Dólares"/>
    <s v="Dólares"/>
    <s v="OHiggins al 2400"/>
    <s v="Argentina | Capital Federal | Belgrano "/>
    <x v="0"/>
    <n v="2"/>
    <s v="Seniority Plus"/>
    <s v="Compartida Fuera de la Red Captación Propia"/>
    <x v="0"/>
    <s v="Venta"/>
    <x v="3"/>
    <s v="Palermo"/>
  </r>
  <r>
    <d v="2025-12-01T00:00:00"/>
    <x v="1"/>
    <x v="8"/>
    <s v="CCO55382 AP5983662"/>
    <x v="1"/>
    <s v="Departamento 2 ambientes - Vilahaus, Ayres Vila"/>
    <s v="Realizado"/>
    <s v="Referido"/>
    <n v="800"/>
    <x v="304"/>
    <x v="1"/>
    <s v="Dólares"/>
    <s v="Dólares"/>
    <s v="Departamento 2 ambientes - Vilahaus, Ayres Vila"/>
    <s v="Argentina | G.B.A. Zona Norte | Pilar | Manuel Alberti | vilahaus"/>
    <x v="0"/>
    <n v="2"/>
    <s v="North Team"/>
    <s v="Master"/>
    <x v="1"/>
    <s v="Venta"/>
    <x v="6"/>
    <s v="Pilar"/>
  </r>
  <r>
    <d v="2025-01-16T00:00:00"/>
    <x v="1"/>
    <x v="10"/>
    <s v="CHO5699741"/>
    <x v="0"/>
    <s v="VENTA  CASA  LOTE PROPIO 6 AMBIENTES DOS COCHERAS PISCINA TERRAZA JARDIN TERRAZA"/>
    <s v="Realizado"/>
    <s v="AR ZonaProp"/>
    <n v="169900"/>
    <x v="304"/>
    <x v="1"/>
    <s v="Dólares"/>
    <s v="Dólares"/>
    <s v="Sargento Cabral  al 3200"/>
    <s v="Argentina | G.B.A. Zona Norte | Vicente López | Munro | Munro-Este"/>
    <x v="2"/>
    <n v="2"/>
    <s v="Lion Team"/>
    <s v="Propia (Único Asesor)"/>
    <x v="1"/>
    <s v="Venta"/>
    <x v="3"/>
    <s v="Villa Urquiza"/>
  </r>
  <r>
    <d v="2025-02-07T00:00:00"/>
    <x v="1"/>
    <x v="0"/>
    <s v="VAP6563252"/>
    <x v="0"/>
    <s v="Departamento en  venta 2 ambientes en Palermo. Cañitas.  Libertador y Matienzo"/>
    <s v="Realizado"/>
    <s v="AR ZonaProp"/>
    <n v="168000"/>
    <x v="304"/>
    <x v="1"/>
    <s v="Dólares"/>
    <s v="Dólares"/>
    <s v="Av. Libertador  al 4600"/>
    <s v="Argentina | Capital Federal | Palermo | Las Cañitas"/>
    <x v="0"/>
    <n v="2"/>
    <s v="Space BA"/>
    <s v="Propia (Único Asesor)"/>
    <x v="1"/>
    <s v="Venta"/>
    <x v="3"/>
    <s v="Belgrano"/>
  </r>
  <r>
    <d v="2025-08-12T00:00:00"/>
    <x v="1"/>
    <x v="5"/>
    <s v="CAP6197353"/>
    <x v="0"/>
    <s v="DEPARTAMENTO, ESTRENAR, 3, AMBIENTES, BALCON, TERRAZA, FLORES, CABALLITO, PATIO"/>
    <s v="Realizado"/>
    <s v="AR ArgenProp"/>
    <n v="159900"/>
    <x v="304"/>
    <x v="1"/>
    <s v="Dólares"/>
    <s v="Dólares"/>
    <s v="Jose Bonifacio  al 1900"/>
    <s v="Argentina | Capital Federal | Caballito "/>
    <x v="0"/>
    <n v="2"/>
    <s v="Lion Team"/>
    <s v="Propia (Único Asesor)"/>
    <x v="1"/>
    <s v="Venta"/>
    <x v="3"/>
    <s v="Villa Urquiza"/>
  </r>
  <r>
    <d v="2025-12-24T00:00:00"/>
    <x v="1"/>
    <x v="8"/>
    <s v="CAP7239346"/>
    <x v="0"/>
    <s v="Venta Departamento 4 ambientes 2 baños Vicente López APTO CREDITO"/>
    <s v="Realizado"/>
    <s v="AR ZonaProp"/>
    <n v="165000"/>
    <x v="304"/>
    <x v="1"/>
    <s v="Dólares"/>
    <s v="Dólares"/>
    <s v="Roca  al 1400"/>
    <s v="Argentina | G.B.A. Zona Norte | Vicente López | Barrio Vicente López"/>
    <x v="0"/>
    <n v="2"/>
    <s v="Audacity"/>
    <s v="Propia (Único Asesor)"/>
    <x v="1"/>
    <s v="Venta"/>
    <x v="9"/>
    <s v="Parque Leloir"/>
  </r>
  <r>
    <d v="2025-01-26T00:00:00"/>
    <x v="1"/>
    <x v="10"/>
    <s v="VPN7622 LA4688472"/>
    <x v="0"/>
    <s v="VENTA LOTE INTERNO - Bahía VILLANUEVA"/>
    <s v="Realizado"/>
    <s v="AR ZonaProp"/>
    <n v="135268"/>
    <x v="305"/>
    <x v="1"/>
    <s v="Dólares"/>
    <s v="Dólares"/>
    <s v="BAHIA VILLANUEVA "/>
    <s v="Argentina | G.B.A. Zona Norte | Tigre | Countries/B.Cerrado (Tigre) | Villanueva | Bahia"/>
    <x v="1"/>
    <n v="2"/>
    <s v="Puerto Norte"/>
    <s v="Compartida Fuera de la Red Captación Propia"/>
    <x v="0"/>
    <s v="Venta"/>
    <x v="6"/>
    <s v="Nordelta"/>
  </r>
  <r>
    <d v="2025-10-27T00:00:00"/>
    <x v="1"/>
    <x v="11"/>
    <s v="CAP6234351"/>
    <x v="0"/>
    <s v="Venta Departamento 3 ambientes en Tigre Centro"/>
    <s v="Realizado"/>
    <s v="AR ZonaProp"/>
    <n v="151000"/>
    <x v="306"/>
    <x v="1"/>
    <s v="Dólares"/>
    <s v="Dólares"/>
    <s v="Saenz Peña al 900"/>
    <s v="Argentina | G.B.A. Zona Norte | Tigre | Tigre"/>
    <x v="0"/>
    <n v="2"/>
    <s v="Seniority"/>
    <s v="Propia (Único Asesor)"/>
    <x v="1"/>
    <s v="Venta"/>
    <x v="3"/>
    <s v="Barrio Parque"/>
  </r>
  <r>
    <d v="2026-03-09T00:00:00"/>
    <x v="0"/>
    <x v="9"/>
    <s v="CAP7643625"/>
    <x v="0"/>
    <s v="Departamento en Belgrano"/>
    <s v="Realizado"/>
    <s v="AR ZonaProp"/>
    <n v="172000"/>
    <x v="307"/>
    <x v="1"/>
    <s v="Dólares"/>
    <s v="Dólares"/>
    <s v="Conesa al 1800"/>
    <s v="Argentina | Capital Federal | Belgrano "/>
    <x v="0"/>
    <n v="2"/>
    <s v="Seniority"/>
    <s v="Compartida Fuera de la Red Captación Propia"/>
    <x v="0"/>
    <s v="Venta"/>
    <x v="3"/>
    <s v="Barrio Parque"/>
  </r>
  <r>
    <d v="2025-05-20T00:00:00"/>
    <x v="1"/>
    <x v="2"/>
    <s v="CBU37670 AP6101820"/>
    <x v="0"/>
    <s v="Venta  Departamento 2 ambientes apaisados Saavedra Entrega Sept.2025  Cochera opc. OPORTUNIDAD"/>
    <s v="Realizado"/>
    <s v="AR ZonaProp"/>
    <n v="146000"/>
    <x v="307"/>
    <x v="1"/>
    <s v="Dólares"/>
    <s v="Dólares"/>
    <s v="Machain al 3500 1E"/>
    <s v="Argentina | Capital Federal | Saavedra "/>
    <x v="0"/>
    <n v="2"/>
    <s v="Seniority"/>
    <s v="Propia (Único Asesor)"/>
    <x v="1"/>
    <s v="Venta"/>
    <x v="3"/>
    <s v="Barrio Parque"/>
  </r>
  <r>
    <d v="2026-03-12T00:00:00"/>
    <x v="0"/>
    <x v="9"/>
    <s v="CAP7638835"/>
    <x v="0"/>
    <s v="Venta Departamento 2 ambientes con balcón y cocheras en Urquiza"/>
    <s v="Realizado"/>
    <s v="AR ZonaProp"/>
    <n v="164900"/>
    <x v="307"/>
    <x v="1"/>
    <s v="Dólares"/>
    <s v="Dólares"/>
    <s v="Mendoza al 5100"/>
    <s v="Argentina | Capital Federal | Villa Urquiza "/>
    <x v="0"/>
    <n v="2"/>
    <s v="Seniority Plus"/>
    <s v="Propia (Único Asesor)"/>
    <x v="1"/>
    <s v="Venta"/>
    <x v="3"/>
    <s v="Palermo"/>
  </r>
  <r>
    <d v="2026-03-02T00:00:00"/>
    <x v="0"/>
    <x v="9"/>
    <s v="CBU60233 AP6592929"/>
    <x v="0"/>
    <s v="Venta Departamento Dos Ambientes vista al lago a 5 minutos del centro"/>
    <s v="Realizado"/>
    <s v="Teléfono"/>
    <n v="156424"/>
    <x v="308"/>
    <x v="1"/>
    <s v="Dólares"/>
    <s v="Dólares"/>
    <s v="Avenida Pioneros  al 2000"/>
    <s v="Argentina | Rio Negro | Bariloche | San Carlos De Bariloche | Centro"/>
    <x v="0"/>
    <n v="2"/>
    <s v="Patagonia Lakes BRC"/>
    <s v="Compartida en Oficina (Dos Asesores)"/>
    <x v="1"/>
    <s v="Venta"/>
    <x v="7"/>
    <s v="Bariloche"/>
  </r>
  <r>
    <d v="2025-08-25T00:00:00"/>
    <x v="1"/>
    <x v="5"/>
    <s v="CRISOLOGO LARRALDE 3609"/>
    <x v="0"/>
    <s v="CRISOLOGO LARRALDE 3609"/>
    <s v="Realizado"/>
    <s v="AR ZonaProp"/>
    <n v="165000"/>
    <x v="309"/>
    <x v="1"/>
    <s v="Dólares"/>
    <s v="Dólares"/>
    <s v="CRISOLOGO LARRALDE 3609"/>
    <s v="Argentina | Capital Federal | Nuñez "/>
    <x v="0"/>
    <n v="1"/>
    <s v="Lion Team Norte"/>
    <s v="(Interior) Compartida Fuera de la Red Búsqueda"/>
    <x v="2"/>
    <s v="Venta"/>
    <x v="6"/>
    <s v="Vicente López"/>
  </r>
  <r>
    <d v="2025-04-22T00:00:00"/>
    <x v="1"/>
    <x v="3"/>
    <s v="CAP6808719"/>
    <x v="0"/>
    <s v="Departamento con vista al lago y con cochera en Torre O'connor Bariloche"/>
    <s v="Realizado"/>
    <s v="Teléfono"/>
    <n v="175000"/>
    <x v="309"/>
    <x v="1"/>
    <s v="Dólares"/>
    <s v="Dólares"/>
    <s v="Centro, San Carlos de Bariloche"/>
    <s v="Argentina | Rio Negro | Bariloche | San Carlos De Bariloche | Centro"/>
    <x v="0"/>
    <n v="1"/>
    <s v="Patagonia Lakes BRC"/>
    <s v="(Interior) Compartida Fuera de la Red Captación Propia"/>
    <x v="0"/>
    <s v="Venta"/>
    <x v="7"/>
    <s v="Bariloche"/>
  </r>
  <r>
    <d v="2026-03-30T00:00:00"/>
    <x v="0"/>
    <x v="9"/>
    <s v="CHO6837763"/>
    <x v="0"/>
    <s v="Venta Casa 4 dorm, Jardines del Rey - Neuquén"/>
    <s v="Realizado"/>
    <s v="AR ZonaProp"/>
    <n v="170000"/>
    <x v="309"/>
    <x v="1"/>
    <s v="Dólares"/>
    <s v="Dólares"/>
    <s v="Venta Casa , Jardines del Rey, Neuquen"/>
    <s v="Argentina | Neuquen | Capital | Río Grande"/>
    <x v="2"/>
    <n v="1"/>
    <s v="Sensus"/>
    <s v="(Interior) Compartida Fuera de la Red Captación Propia"/>
    <x v="0"/>
    <s v="Venta"/>
    <x v="1"/>
    <s v="Capital Neuquén"/>
  </r>
  <r>
    <d v="2025-06-03T00:00:00"/>
    <x v="1"/>
    <x v="4"/>
    <s v="VHO6770258"/>
    <x v="0"/>
    <s v="Venta CASA en Las Brisas CC - Pilar"/>
    <s v="Realizado"/>
    <s v="AR ZonaProp"/>
    <n v="165000"/>
    <x v="309"/>
    <x v="1"/>
    <s v="Dólares"/>
    <s v="Dólares"/>
    <s v="Venta CASA en Las Brisas Country Club  Pilar"/>
    <s v="Argentina | G.B.A. Zona Norte | Pilar | Countries/B.Cerrado (Pilar) | Las Brisas"/>
    <x v="2"/>
    <n v="2"/>
    <s v="Puerto Norte"/>
    <s v="Compartida en Oficina (Dos Asesores)"/>
    <x v="1"/>
    <s v="Venta"/>
    <x v="6"/>
    <s v="Nordelta"/>
  </r>
  <r>
    <d v="2025-10-14T00:00:00"/>
    <x v="1"/>
    <x v="11"/>
    <s v="CAP6502651"/>
    <x v="0"/>
    <s v="APTO CREDITO - Departamento  4 AMB -  Venta en Caballito"/>
    <s v="Realizado"/>
    <s v="AR MercadoLibre"/>
    <n v="174000"/>
    <x v="309"/>
    <x v="1"/>
    <s v="Dólares"/>
    <s v="Dólares"/>
    <s v="APTO CREDITO - Departamento  4 AMB -  Venta en Caballito"/>
    <s v="Argentina | Capital Federal | Caballito "/>
    <x v="0"/>
    <n v="2"/>
    <s v="Puerto Norte"/>
    <s v="Compartida en Oficina (Dos Asesores)"/>
    <x v="1"/>
    <s v="Venta"/>
    <x v="6"/>
    <s v="Nordelta"/>
  </r>
  <r>
    <d v="2025-12-09T00:00:00"/>
    <x v="1"/>
    <x v="8"/>
    <s v="CHO6817333"/>
    <x v="0"/>
    <s v="Casa  3 dormitorios con Pileta en San Ramiro- Pilar del este. Financiacion"/>
    <s v="Realizado"/>
    <s v="AR MercadoLibre"/>
    <n v="164000"/>
    <x v="309"/>
    <x v="1"/>
    <s v="Dólares"/>
    <s v="Dólares"/>
    <s v="Casa  3 dormitorios con Pileta en San Ramiro- Pilar del este."/>
    <s v="Argentina | G.B.A. Zona Norte | Pilar | Countries/B.Cerrado (Pilar) | Pilar Del Este | San Ramiro "/>
    <x v="2"/>
    <n v="2"/>
    <s v="North Team"/>
    <s v="Compartida en Oficina (Dos Asesores)"/>
    <x v="1"/>
    <s v="Venta"/>
    <x v="6"/>
    <s v="Pilar"/>
  </r>
  <r>
    <d v="2026-02-25T00:00:00"/>
    <x v="0"/>
    <x v="0"/>
    <n v="25022026"/>
    <x v="0"/>
    <s v="Reserva Venta Magda Nay y Roma Chaco y Corrientes "/>
    <s v="Realizado"/>
    <s v="Teléfono"/>
    <n v="165000"/>
    <x v="309"/>
    <x v="1"/>
    <s v="Dólares"/>
    <s v="Dólares"/>
    <m/>
    <s v="Argentina | Rio Negro | Bariloche | San Carlos De Bariloche"/>
    <x v="2"/>
    <n v="2"/>
    <s v="Patagonia Lakes BRC"/>
    <s v="Compartida en Oficina (Dos Asesores)"/>
    <x v="1"/>
    <s v="Venta"/>
    <x v="7"/>
    <s v="Bariloche"/>
  </r>
  <r>
    <d v="2025-08-14T00:00:00"/>
    <x v="1"/>
    <x v="5"/>
    <s v="Santiago Tarsitano"/>
    <x v="0"/>
    <s v="Departamento 8 esq 58"/>
    <s v="Realizado"/>
    <s v="AR ZonaProp"/>
    <n v="165000"/>
    <x v="309"/>
    <x v="1"/>
    <s v="Dólares"/>
    <s v="Dólares"/>
    <s v="calle 8 esquina 58"/>
    <s v="Argentina | G.B.A. Zona Sur | La Plata | La Plata"/>
    <x v="0"/>
    <n v="1"/>
    <s v="Golden Team"/>
    <s v="Compartida Fuera de la Red Búsqueda"/>
    <x v="2"/>
    <s v="Venta"/>
    <x v="0"/>
    <s v="La Plata"/>
  </r>
  <r>
    <d v="2025-03-20T00:00:00"/>
    <x v="1"/>
    <x v="9"/>
    <s v="CAP6716028"/>
    <x v="0"/>
    <s v="VENTA DEPARTAMENTO 2 AMBIENTES CON TERRAZA Y COCHERA EN NUÑEZ"/>
    <s v="Realizado"/>
    <s v="AR ZonaProp"/>
    <n v="165000"/>
    <x v="309"/>
    <x v="1"/>
    <s v="Dólares"/>
    <s v="Dólares"/>
    <s v="ZAPIOLA  al 3000"/>
    <s v="Argentina | Capital Federal | Nuñez "/>
    <x v="0"/>
    <n v="2"/>
    <s v="Destino"/>
    <s v="Compartida Fuera de la Red Captación Propia"/>
    <x v="0"/>
    <s v="Venta"/>
    <x v="3"/>
    <s v="Recoleta"/>
  </r>
  <r>
    <d v="2025-05-28T00:00:00"/>
    <x v="1"/>
    <x v="2"/>
    <s v="CAP6794023"/>
    <x v="0"/>
    <s v="Venta Departamento 4 ambientes en Almagro"/>
    <s v="Realizado"/>
    <s v="AR ZonaProp"/>
    <n v="170000"/>
    <x v="309"/>
    <x v="1"/>
    <s v="Dólares"/>
    <s v="Dólares"/>
    <s v="Salguero  al 677"/>
    <s v="Argentina | Capital Federal | Almagro "/>
    <x v="0"/>
    <n v="2"/>
    <s v="Seniority"/>
    <s v="Compartida Fuera de la Red Captación Propia"/>
    <x v="0"/>
    <s v="Venta"/>
    <x v="3"/>
    <s v="Barrio Parque"/>
  </r>
  <r>
    <d v="2025-08-22T00:00:00"/>
    <x v="1"/>
    <x v="5"/>
    <s v="CAP6760187"/>
    <x v="0"/>
    <s v="Venta Departamento en  Villa Urquiza, 3 ambientes con balcón y cochera"/>
    <s v="Realizado"/>
    <s v="AR ZonaProp"/>
    <n v="169000"/>
    <x v="309"/>
    <x v="1"/>
    <s v="Dólares"/>
    <s v="Dólares"/>
    <s v="Lugones al 2600"/>
    <s v="Argentina | Capital Federal | Villa Urquiza "/>
    <x v="0"/>
    <n v="2"/>
    <s v="Seniority"/>
    <s v="Compartida Fuera de la Red Captación Propia"/>
    <x v="0"/>
    <s v="Venta"/>
    <x v="3"/>
    <s v="Barrio Parque"/>
  </r>
  <r>
    <d v="2025-09-23T00:00:00"/>
    <x v="1"/>
    <x v="6"/>
    <s v="CAP6928480"/>
    <x v="0"/>
    <s v="Departamento en venta 3 dormitorios con dependencia, Monserrat, San Telmo, Apto Profesional"/>
    <s v="Realizado"/>
    <s v="AR ZonaProp"/>
    <n v="180000"/>
    <x v="309"/>
    <x v="1"/>
    <s v="Dólares"/>
    <s v="Dólares"/>
    <s v="Tacuarí al 300"/>
    <s v="Argentina | Capital Federal | Monserrat "/>
    <x v="0"/>
    <n v="2"/>
    <s v="Puerto Norte"/>
    <s v="Compartida Fuera de la Red Captación Propia"/>
    <x v="0"/>
    <s v="Venta"/>
    <x v="6"/>
    <s v="Nordelta"/>
  </r>
  <r>
    <d v="2025-04-01T00:00:00"/>
    <x v="1"/>
    <x v="3"/>
    <s v="AAP5671381"/>
    <x v="2"/>
    <s v="EXCELENTE depto en Villa Crespo con COCHERA!"/>
    <s v="Realizado"/>
    <s v="AR MercadoLibre"/>
    <n v="165000"/>
    <x v="309"/>
    <x v="1"/>
    <s v="Dólares"/>
    <s v="Dólares"/>
    <s v="Julian Alvarez al 100 | EXCELENTE depto en Villa Crespo con COCHERA!"/>
    <s v="Argentina | Capital Federal | Villa Crespo "/>
    <x v="0"/>
    <n v="2"/>
    <s v="Desiderio"/>
    <s v="Compartida en Red (50%)"/>
    <x v="1"/>
    <s v="Venta"/>
    <x v="3"/>
    <s v="Caballito"/>
  </r>
  <r>
    <d v="2025-01-10T00:00:00"/>
    <x v="1"/>
    <x v="10"/>
    <s v="CPH6286814"/>
    <x v="0"/>
    <s v="PH EN MARTINEZ CON COCHERA CUBIERTA JARDIN INTRADA INDIVIDUAL TIPO CHALET"/>
    <s v="Realizado"/>
    <s v="AR ZonaProp"/>
    <n v="175000"/>
    <x v="309"/>
    <x v="1"/>
    <s v="Dólares"/>
    <s v="Dólares"/>
    <s v="VELEZ SARSFIELD 800"/>
    <s v="Argentina | G.B.A. Zona Norte | San Isidro | Martinez"/>
    <x v="3"/>
    <n v="2"/>
    <s v="Lion Team Norte"/>
    <s v="Propia (Único Asesor)"/>
    <x v="1"/>
    <s v="Venta"/>
    <x v="6"/>
    <s v="Vicente López"/>
  </r>
  <r>
    <d v="2025-04-02T00:00:00"/>
    <x v="1"/>
    <x v="3"/>
    <s v="CAP5817205"/>
    <x v="0"/>
    <s v="Venta departamento 3 ambientes c/ balcón APTO CREDITO -  Julián Álvarez 100 - Villa Crespo - CABA"/>
    <s v="Realizado"/>
    <s v="AR ZonaProp"/>
    <n v="165000"/>
    <x v="309"/>
    <x v="1"/>
    <s v="Dólares"/>
    <s v="Dólares"/>
    <s v="julian alvarez  al 100"/>
    <s v="Argentina | Capital Federal | Villa Crespo "/>
    <x v="0"/>
    <n v="2"/>
    <s v="Puerto Norte"/>
    <s v="Propia (Único Asesor)"/>
    <x v="1"/>
    <s v="Venta"/>
    <x v="6"/>
    <s v="Nordelta"/>
  </r>
  <r>
    <d v="2025-05-07T00:00:00"/>
    <x v="1"/>
    <x v="2"/>
    <s v="CHO6373352"/>
    <x v="0"/>
    <s v="Casa en Venta 3 dormitorios Barrio Santa Lucia Pilar del Este"/>
    <s v="Realizado"/>
    <s v="AR MercadoLibre"/>
    <n v="170000"/>
    <x v="309"/>
    <x v="1"/>
    <s v="Dólares"/>
    <s v="Dólares"/>
    <s v="Barrio Santa Lucia Pilar del Este"/>
    <s v="Argentina | G.B.A. Zona Norte | Pilar | Countries/B.Cerrado (Pilar) | Pilar Del Este | Santa Lucia"/>
    <x v="2"/>
    <n v="2"/>
    <s v="North Team"/>
    <s v="Propia (Único Asesor)"/>
    <x v="1"/>
    <s v="Venta"/>
    <x v="6"/>
    <s v="Pilar"/>
  </r>
  <r>
    <d v="2025-07-22T00:00:00"/>
    <x v="1"/>
    <x v="1"/>
    <s v="CAP6812030"/>
    <x v="0"/>
    <s v="VENTA Departamento 3 ambientes APTO CREDITO"/>
    <s v="Realizado"/>
    <s v="AR ZonaProp"/>
    <n v="175000"/>
    <x v="309"/>
    <x v="1"/>
    <s v="Dólares"/>
    <s v="Dólares"/>
    <s v="Av. Comodoro Martin Rivadavia al 1600"/>
    <s v="Argentina | Capital Federal | Nuñez "/>
    <x v="0"/>
    <n v="2"/>
    <s v="Quality"/>
    <s v="Propia (Único Asesor)"/>
    <x v="1"/>
    <s v="Venta"/>
    <x v="6"/>
    <s v="Escobar"/>
  </r>
  <r>
    <d v="2025-08-12T00:00:00"/>
    <x v="1"/>
    <x v="5"/>
    <s v="CASA LOTE 333 CRUZ DEL SUR"/>
    <x v="0"/>
    <s v="Casa Venta Cruz del Sur 333"/>
    <s v="Realizado"/>
    <s v="AR ZonaProp"/>
    <n v="165000"/>
    <x v="309"/>
    <x v="1"/>
    <s v="Dólares"/>
    <s v="Dólares"/>
    <m/>
    <s v="Argentina | G.B.A. Zona Sur | San Vicente "/>
    <x v="2"/>
    <n v="2"/>
    <s v="Livello"/>
    <s v="Propia (Único Asesor)"/>
    <x v="1"/>
    <s v="Venta"/>
    <x v="3"/>
    <s v="Palermo"/>
  </r>
  <r>
    <d v="2025-08-29T00:00:00"/>
    <x v="1"/>
    <x v="5"/>
    <s v="CHO7271613"/>
    <x v="0"/>
    <s v="DUPLEX EN VENTA  MAR BALTICO 491"/>
    <s v="Realizado"/>
    <s v="Cartel"/>
    <n v="165000"/>
    <x v="309"/>
    <x v="1"/>
    <s v="Dólares"/>
    <s v="Dólares"/>
    <s v="MAR BALTICO  al 491"/>
    <s v="Argentina | Neuquen | Confluencia | Neuquen"/>
    <x v="2"/>
    <n v="2"/>
    <s v="Sensus"/>
    <s v="Propia (Único Asesor)"/>
    <x v="1"/>
    <s v="Venta"/>
    <x v="1"/>
    <s v="Capital Neuquén"/>
  </r>
  <r>
    <d v="2025-09-24T00:00:00"/>
    <x v="1"/>
    <x v="6"/>
    <s v="CAP7067579"/>
    <x v="0"/>
    <s v="VENTA DEPARTAMENTO 3 AMBIENTES CON BALCÓN Y AMENITIES EN URQUIZA"/>
    <s v="Realizado"/>
    <s v="AR ZonaProp"/>
    <n v="169000"/>
    <x v="309"/>
    <x v="1"/>
    <s v="Dólares"/>
    <s v="Dólares"/>
    <s v="Bauness al 2100"/>
    <s v="Argentina | Capital Federal | Villa Urquiza "/>
    <x v="0"/>
    <n v="2"/>
    <s v="Seniority Plus"/>
    <s v="Propia (Único Asesor)"/>
    <x v="1"/>
    <s v="Venta"/>
    <x v="3"/>
    <s v="Palermo"/>
  </r>
  <r>
    <d v="2025-10-17T00:00:00"/>
    <x v="1"/>
    <x v="11"/>
    <s v="CAP7145275"/>
    <x v="0"/>
    <s v="Departamento en San Isidro"/>
    <s v="Realizado"/>
    <s v="AR ArgenProp"/>
    <n v="170000"/>
    <x v="309"/>
    <x v="1"/>
    <s v="Dólares"/>
    <s v="Dólares"/>
    <s v="Martin y Omar  al 200"/>
    <s v="Argentina | G.B.A. Zona Norte | San Isidro "/>
    <x v="0"/>
    <n v="2"/>
    <s v="Lion Team"/>
    <s v="Propia (Único Asesor)"/>
    <x v="1"/>
    <s v="Venta"/>
    <x v="3"/>
    <s v="Villa Urquiza"/>
  </r>
  <r>
    <d v="2025-11-07T00:00:00"/>
    <x v="1"/>
    <x v="7"/>
    <s v="CBU59833 AP6720970"/>
    <x v="0"/>
    <s v="VENTA DEPARTAMENTO 2 AMBIENTES EN POZO SAAVEDRA"/>
    <s v="Realizado"/>
    <s v="AR ZonaProp"/>
    <n v="165000"/>
    <x v="309"/>
    <x v="1"/>
    <s v="Dólares"/>
    <s v="Dólares"/>
    <s v="Pinto  al 4200"/>
    <s v="Argentina | Capital Federal | Saavedra "/>
    <x v="0"/>
    <n v="2"/>
    <s v="Seniority"/>
    <s v="Propia (Único Asesor)"/>
    <x v="1"/>
    <s v="Venta"/>
    <x v="3"/>
    <s v="Barrio Parque"/>
  </r>
  <r>
    <d v="2026-01-06T00:00:00"/>
    <x v="0"/>
    <x v="10"/>
    <s v="CAP7389059"/>
    <x v="0"/>
    <s v="Venta Villa Devoto - Semipiso de 3 ambientes con balcón y cochera"/>
    <s v="Realizado"/>
    <s v="AR ZonaProp"/>
    <n v="170000"/>
    <x v="309"/>
    <x v="1"/>
    <s v="Dólares"/>
    <s v="Dólares"/>
    <s v="Sanabria al 2500"/>
    <s v="Argentina | Capital Federal | Villa Devoto "/>
    <x v="0"/>
    <n v="2"/>
    <s v="Wings"/>
    <s v="Propia (Único Asesor)"/>
    <x v="1"/>
    <s v="Venta"/>
    <x v="3"/>
    <s v="Núñez"/>
  </r>
  <r>
    <d v="2026-02-12T00:00:00"/>
    <x v="0"/>
    <x v="0"/>
    <s v="CAP7120955"/>
    <x v="0"/>
    <s v="Departamento dos dormitorios frente a Plaza Pringles"/>
    <s v="Realizado"/>
    <s v="Referido"/>
    <n v="169000"/>
    <x v="309"/>
    <x v="1"/>
    <s v="Dólares"/>
    <s v="Dólares"/>
    <s v="Semipiso en Rosario con vista a Plaza Pringles"/>
    <s v="Argentina | Santa Fe | Rosario | Centro"/>
    <x v="0"/>
    <n v="2"/>
    <s v="De la Veracruz"/>
    <s v="Propia (Único Asesor)"/>
    <x v="1"/>
    <s v="Venta"/>
    <x v="5"/>
    <s v="Capital Santa Fe"/>
  </r>
  <r>
    <d v="2025-05-12T00:00:00"/>
    <x v="1"/>
    <x v="2"/>
    <m/>
    <x v="1"/>
    <s v="Local PB UF 4 Paseo Retamas Edificio 1"/>
    <s v="Realizado"/>
    <s v="Conocido"/>
    <n v="165519"/>
    <x v="310"/>
    <x v="1"/>
    <s v="Dólares"/>
    <s v="Dólares"/>
    <s v="Retamas 300"/>
    <s v="Argentina | Neuquen | Villa La Angostura | Centro"/>
    <x v="4"/>
    <n v="2"/>
    <s v="Patagonia Lakes VLA"/>
    <s v="Compartida en Oficina (Dos Asesores)"/>
    <x v="1"/>
    <s v="Venta"/>
    <x v="1"/>
    <s v="Villa La Angostura"/>
  </r>
  <r>
    <d v="2025-11-20T00:00:00"/>
    <x v="1"/>
    <x v="7"/>
    <s v="CHO7042296"/>
    <x v="0"/>
    <s v="Casa APTO CRÉDITO - LOMA VERDE EXCELENTE ACCESO"/>
    <s v="Realizado"/>
    <s v="AR MercadoLibre"/>
    <n v="179000"/>
    <x v="311"/>
    <x v="1"/>
    <s v="Dólares"/>
    <s v="Dólares"/>
    <s v="APTO CREDITO! Casa en Altos de Don Segundo"/>
    <s v="Argentina | G.B.A. Zona Norte | Escobar | Countries/B.Cerrado (Escobar) | Altos De Don Segundo"/>
    <x v="2"/>
    <n v="2"/>
    <s v="Puerto Norte"/>
    <s v="Compartida Fuera de la Red Captación Propia"/>
    <x v="0"/>
    <s v="Venta"/>
    <x v="6"/>
    <s v="Nordelta"/>
  </r>
  <r>
    <d v="2025-05-14T00:00:00"/>
    <x v="1"/>
    <x v="2"/>
    <m/>
    <x v="0"/>
    <s v="UF 18 Huenu M2,NC: 16-21-067-8445 de superficie 50m2 aprox, con un espacio guardacoche descubierto"/>
    <s v="Realizado"/>
    <s v="Cartel"/>
    <n v="167000"/>
    <x v="312"/>
    <x v="1"/>
    <s v="Dólares"/>
    <s v="Dólares"/>
    <s v="Hortensias 255"/>
    <s v="Argentina | Neuquen | Villa La Angostura | Peninsulas Del Pto.Manzano"/>
    <x v="0"/>
    <n v="2"/>
    <s v="Patagonia Lakes VLA"/>
    <s v="Compartida en Oficina (Dos Asesores)"/>
    <x v="1"/>
    <s v="Venta"/>
    <x v="1"/>
    <s v="Villa La Angostura"/>
  </r>
  <r>
    <d v="2025-03-13T00:00:00"/>
    <x v="1"/>
    <x v="9"/>
    <s v="CAP6357724"/>
    <x v="0"/>
    <s v="Venta, Departamento, 4 ambientes, balcon, terraza, reciclado, Caballito, Villa Crespo, permuta"/>
    <s v="Realizado"/>
    <s v="AR ArgenProp"/>
    <n v="189000"/>
    <x v="312"/>
    <x v="1"/>
    <s v="Dólares"/>
    <s v="Dólares"/>
    <s v="Av San Martin  al 1200"/>
    <s v="Argentina | Capital Federal | Caballito | Cid Campeador"/>
    <x v="0"/>
    <n v="2"/>
    <s v="Lion Team"/>
    <s v="Propia (Único Asesor)"/>
    <x v="1"/>
    <s v="Venta"/>
    <x v="3"/>
    <s v="Villa Urquiza"/>
  </r>
  <r>
    <d v="2025-04-25T00:00:00"/>
    <x v="1"/>
    <x v="3"/>
    <s v="JAP6599541"/>
    <x v="0"/>
    <s v="Departamento de 2 ambientes a Estrenar con amenities - unica unidad disponible -"/>
    <s v="Realizado"/>
    <s v="AR ZonaProp"/>
    <n v="145000"/>
    <x v="312"/>
    <x v="1"/>
    <s v="Dólares"/>
    <s v="Dólares"/>
    <s v="Gregorio de laferrere  al 1100"/>
    <s v="Argentina | Capital Federal | Caballito "/>
    <x v="0"/>
    <n v="2"/>
    <s v="Lion Team Norte"/>
    <s v="Propia (Único Asesor)"/>
    <x v="1"/>
    <s v="Venta"/>
    <x v="6"/>
    <s v="Vicente López"/>
  </r>
  <r>
    <d v="2025-04-30T00:00:00"/>
    <x v="1"/>
    <x v="3"/>
    <s v="DEL COMERCIO 1269"/>
    <x v="0"/>
    <s v="DEL COMERCIO 1269"/>
    <s v="Realizado"/>
    <s v="AR MercadoLibre"/>
    <n v="167000"/>
    <x v="312"/>
    <x v="1"/>
    <s v="Dólares"/>
    <s v="Dólares"/>
    <s v="DEL COMERCIO 1269"/>
    <s v="Argentina | Capital Federal | Capital Federal "/>
    <x v="2"/>
    <n v="2"/>
    <s v="Lion Team Norte"/>
    <s v="Propia (Único Asesor)"/>
    <x v="1"/>
    <s v="Venta"/>
    <x v="6"/>
    <s v="Vicente López"/>
  </r>
  <r>
    <d v="2025-06-13T00:00:00"/>
    <x v="1"/>
    <x v="4"/>
    <s v="CHO6406941"/>
    <x v="0"/>
    <s v="Venta de Casa en San Sebastián – Área 13 | 3 Habitaciones, Pileta y Parrilla"/>
    <s v="Realizado"/>
    <s v="AR ZonaProp"/>
    <n v="157000"/>
    <x v="312"/>
    <x v="1"/>
    <s v="Dólares"/>
    <s v="Dólares"/>
    <s v="San sebastian"/>
    <s v="Argentina | G.B.A. Zona Norte | Escobar | Loma Verde | San Sebastian"/>
    <x v="2"/>
    <n v="2"/>
    <s v="Quality"/>
    <s v="Propia (Único Asesor)"/>
    <x v="1"/>
    <s v="Venta"/>
    <x v="6"/>
    <s v="Escobar"/>
  </r>
  <r>
    <d v="2025-07-02T00:00:00"/>
    <x v="1"/>
    <x v="1"/>
    <s v="JAP6684503"/>
    <x v="0"/>
    <s v="VENTA EXCELENTE DEPARTAMENTO TRIPLEX TERRAZA PROPIA  PARRILLA COCHERA SAN MARTIN"/>
    <s v="Realizado"/>
    <s v="AR ZonaProp"/>
    <n v="170000"/>
    <x v="312"/>
    <x v="1"/>
    <s v="Dólares"/>
    <s v="Dólares"/>
    <s v="Ayacucho al 2200"/>
    <s v="Argentina | G.B.A. Zona Norte | General San Martin | San Martin"/>
    <x v="0"/>
    <n v="2"/>
    <s v="Lion Team Norte"/>
    <s v="Propia (Único Asesor)"/>
    <x v="1"/>
    <s v="Venta"/>
    <x v="6"/>
    <s v="Vicente López"/>
  </r>
  <r>
    <d v="2025-10-21T00:00:00"/>
    <x v="1"/>
    <x v="11"/>
    <s v="CLA4381315"/>
    <x v="0"/>
    <s v="Terreno - Cid Campeador"/>
    <s v="Realizado"/>
    <s v="AR ZonaProp"/>
    <n v="185000"/>
    <x v="312"/>
    <x v="1"/>
    <s v="Dólares"/>
    <s v="Dólares"/>
    <s v="PASAJE MACIEL al 800"/>
    <s v="Argentina | Capital Federal | Caballito | Cid Campeador"/>
    <x v="1"/>
    <n v="2"/>
    <s v="Haka"/>
    <s v="Propia (Único Asesor)"/>
    <x v="1"/>
    <s v="Venta"/>
    <x v="3"/>
    <s v="Núñez"/>
  </r>
  <r>
    <d v="2026-03-18T00:00:00"/>
    <x v="0"/>
    <x v="9"/>
    <s v="CAP7641084"/>
    <x v="0"/>
    <s v="VENTA DEPARTAMENTO 3 AMBIENTES AMENITIES APTO CREDITO VILLA CRESPO"/>
    <s v="Realizado"/>
    <s v="AR ZonaProp"/>
    <n v="169900"/>
    <x v="312"/>
    <x v="1"/>
    <s v="Dólares"/>
    <s v="Dólares"/>
    <s v="Gurruchaga al 1100"/>
    <s v="Argentina | Capital Federal | Villa Crespo "/>
    <x v="0"/>
    <n v="2"/>
    <s v="Seniority Plus"/>
    <s v="Propia (Único Asesor)"/>
    <x v="1"/>
    <s v="Venta"/>
    <x v="3"/>
    <s v="Palermo"/>
  </r>
  <r>
    <d v="2025-06-13T00:00:00"/>
    <x v="1"/>
    <x v="4"/>
    <s v="CAP6781867"/>
    <x v="0"/>
    <s v="Departamento 2 dormitorios - Vista al lago -apto turistico, Barrio Belgrano, Bariloche"/>
    <s v="Realizado"/>
    <s v="Teléfono"/>
    <n v="179000"/>
    <x v="313"/>
    <x v="1"/>
    <s v="Dólares"/>
    <s v="Dólares"/>
    <s v="Barrio Belgrano, San Carlos de Bariloche"/>
    <s v="Argentina | Rio Negro | Bariloche | San Carlos De Bariloche | Belgrano"/>
    <x v="0"/>
    <n v="1"/>
    <s v="Patagonia Lakes BRC"/>
    <s v="(Interior) Compartida Fuera de la Red Búsqueda"/>
    <x v="2"/>
    <s v="Venta"/>
    <x v="7"/>
    <s v="Bariloche"/>
  </r>
  <r>
    <d v="2025-07-14T00:00:00"/>
    <x v="1"/>
    <x v="1"/>
    <s v="Area 13 Lote 140"/>
    <x v="0"/>
    <s v="San Sebastian A13 L140"/>
    <s v="Realizado"/>
    <s v="AR ZonaProp"/>
    <n v="168000"/>
    <x v="313"/>
    <x v="1"/>
    <s v="Dólares"/>
    <s v="Dólares"/>
    <m/>
    <s v="Argentina | G.B.A. Zona Norte | Pilar | Countries/B.Cerrado (Pilar) | San Sebastian"/>
    <x v="2"/>
    <n v="1"/>
    <s v="Quality"/>
    <s v="(Interior) Compartida Fuera de la Red Búsqueda"/>
    <x v="2"/>
    <s v="Venta"/>
    <x v="6"/>
    <s v="Escobar"/>
  </r>
  <r>
    <d v="2025-03-31T00:00:00"/>
    <x v="1"/>
    <x v="9"/>
    <s v="Búsqueda"/>
    <x v="0"/>
    <s v="Búsqueda "/>
    <s v="Realizado"/>
    <s v="AR ZonaProp"/>
    <n v="168000"/>
    <x v="313"/>
    <x v="1"/>
    <s v="Dólares"/>
    <s v="Dólares"/>
    <s v="3 de Febrero 2560 3° y 4° &quot;7&quot; CABA"/>
    <s v="Argentina | Capital Federal | Belgrano "/>
    <x v="0"/>
    <n v="1"/>
    <s v="Ser"/>
    <s v="Compartida Fuera de la Red Búsqueda"/>
    <x v="2"/>
    <s v="Venta"/>
    <x v="3"/>
    <s v="Belgrano"/>
  </r>
  <r>
    <d v="2026-03-17T00:00:00"/>
    <x v="0"/>
    <x v="9"/>
    <s v="CAP7442047"/>
    <x v="0"/>
    <s v="Departamento en Belgrano R"/>
    <s v="Realizado"/>
    <s v="AR ZonaProp"/>
    <n v="168000"/>
    <x v="313"/>
    <x v="1"/>
    <s v="Dólares"/>
    <s v="Dólares"/>
    <s v="Freire 1800"/>
    <s v="Argentina | Capital Federal | Belgrano | Belgrano R"/>
    <x v="0"/>
    <n v="2"/>
    <s v="Destino"/>
    <s v="Compartida Fuera de la Red Captación Propia"/>
    <x v="0"/>
    <s v="Venta"/>
    <x v="3"/>
    <s v="Recoleta"/>
  </r>
  <r>
    <d v="2025-06-05T00:00:00"/>
    <x v="1"/>
    <x v="4"/>
    <s v="Cristaline"/>
    <x v="0"/>
    <s v="Departamento en venta edificio Cristaline Pilar"/>
    <s v="Realizado"/>
    <s v="Referido"/>
    <n v="170000"/>
    <x v="313"/>
    <x v="1"/>
    <s v="Dólares"/>
    <s v="Dólares"/>
    <s v="Los crisantemos 400"/>
    <s v="Argentina | G.B.A. Zona Norte | Pilar | Manuel Alberti | Cristaline"/>
    <x v="0"/>
    <n v="2"/>
    <s v="North Team"/>
    <s v="Master"/>
    <x v="1"/>
    <s v="Venta"/>
    <x v="6"/>
    <s v="Pilar"/>
  </r>
  <r>
    <d v="2025-02-20T00:00:00"/>
    <x v="1"/>
    <x v="0"/>
    <n v="10304"/>
    <x v="2"/>
    <s v="san blas"/>
    <s v="Realizado"/>
    <s v="AR ZonaProp"/>
    <n v="0"/>
    <x v="313"/>
    <x v="1"/>
    <s v="Dólares"/>
    <s v="Dólares"/>
    <m/>
    <s v="Argentina | Capital Federal | Flores "/>
    <x v="0"/>
    <n v="2"/>
    <s v="Seniority"/>
    <s v="Compartida en Red (50%)"/>
    <x v="1"/>
    <s v="Venta"/>
    <x v="3"/>
    <s v="Barrio Parque"/>
  </r>
  <r>
    <d v="2026-02-04T00:00:00"/>
    <x v="0"/>
    <x v="0"/>
    <s v="CAP6459164"/>
    <x v="0"/>
    <s v="VENTA DEPARTAMENTO DE 3 AMBIENTES EN BELGRANO"/>
    <s v="Realizado"/>
    <s v="AR ZonaProp"/>
    <n v="180000"/>
    <x v="313"/>
    <x v="1"/>
    <s v="Dólares"/>
    <s v="Dólares"/>
    <s v="Av Ricardo Balbin al 2300"/>
    <s v="Argentina | Capital Federal | Belgrano "/>
    <x v="0"/>
    <n v="2"/>
    <s v="Seniority"/>
    <s v="Propia (Único Asesor)"/>
    <x v="1"/>
    <s v="Venta"/>
    <x v="3"/>
    <s v="Barrio Parque"/>
  </r>
  <r>
    <d v="2025-12-05T00:00:00"/>
    <x v="1"/>
    <x v="8"/>
    <s v="CAP6890800"/>
    <x v="0"/>
    <s v="Departamento en Venta en Almagro - Permuta"/>
    <s v="Realizado"/>
    <s v="AR ZonaProp"/>
    <n v="169000"/>
    <x v="314"/>
    <x v="1"/>
    <s v="Dólares"/>
    <s v="Dólares"/>
    <s v="YAPEYU 83"/>
    <s v="Argentina | Capital Federal | Almagro "/>
    <x v="0"/>
    <n v="2"/>
    <s v="Lion Team"/>
    <s v="Compartida en Oficina (Dos Asesores)"/>
    <x v="1"/>
    <s v="Venta"/>
    <x v="3"/>
    <s v="Villa Urquiza"/>
  </r>
  <r>
    <d v="2025-09-22T00:00:00"/>
    <x v="1"/>
    <x v="6"/>
    <s v="CAP6878363"/>
    <x v="0"/>
    <s v=" ESPECTACULAR DEPARTAMENTO 3 AMBIENTES PARQUE CHAS!! 77 M2! SUPER AMPLIO Y LUMINOSO."/>
    <s v="Realizado"/>
    <s v="AR MercadoLibre"/>
    <n v="175000"/>
    <x v="315"/>
    <x v="1"/>
    <s v="Dólares"/>
    <s v="Dólares"/>
    <s v="Gamarra  al 1100"/>
    <s v="Argentina | Capital Federal | Parque Chas "/>
    <x v="0"/>
    <n v="2"/>
    <s v="Lion Team"/>
    <s v="Compartida en Oficina (Dos Asesores)"/>
    <x v="1"/>
    <s v="Venta"/>
    <x v="3"/>
    <s v="Villa Urquiza"/>
  </r>
  <r>
    <d v="2025-07-25T00:00:00"/>
    <x v="1"/>
    <x v="1"/>
    <n v="10381"/>
    <x v="0"/>
    <s v="Arcos 3395 2A"/>
    <s v="Realizado"/>
    <s v="AR ZonaProp"/>
    <n v="0"/>
    <x v="315"/>
    <x v="1"/>
    <s v="Dólares"/>
    <s v="Dólares"/>
    <m/>
    <s v="Argentina | Capital Federal | Belgrano "/>
    <x v="0"/>
    <n v="1"/>
    <s v="Seniority"/>
    <s v="Compartida Fuera de la Red Búsqueda"/>
    <x v="2"/>
    <s v="Venta"/>
    <x v="3"/>
    <s v="Barrio Parque"/>
  </r>
  <r>
    <d v="2025-09-11T00:00:00"/>
    <x v="1"/>
    <x v="6"/>
    <s v="CAP7193622"/>
    <x v="0"/>
    <s v="Venta Departamento 2 ambientes Villa Ortuzar con Cochera, Balcon, Parrilla"/>
    <s v="Realizado"/>
    <s v="AR ZonaProp"/>
    <n v="170000"/>
    <x v="315"/>
    <x v="1"/>
    <s v="Dólares"/>
    <s v="Dólares"/>
    <s v="Mariano Acha al 1200"/>
    <s v="Argentina | Capital Federal | Villa Ortuzar "/>
    <x v="0"/>
    <n v="2"/>
    <s v="Destino"/>
    <s v="Compartida Fuera de la Red Captación Propia"/>
    <x v="0"/>
    <s v="Venta"/>
    <x v="3"/>
    <s v="Recoleta"/>
  </r>
  <r>
    <d v="2025-04-11T00:00:00"/>
    <x v="1"/>
    <x v="3"/>
    <n v="10340"/>
    <x v="0"/>
    <s v="zafiro"/>
    <s v="Realizado"/>
    <s v="Conocido"/>
    <n v="169000"/>
    <x v="315"/>
    <x v="1"/>
    <s v="Dólares"/>
    <s v="Dólares"/>
    <m/>
    <s v="Argentina | G.B.A. Zona Norte | Tigre | Tigre"/>
    <x v="2"/>
    <n v="2"/>
    <s v="Seniority"/>
    <s v="Propia (Único Asesor)"/>
    <x v="1"/>
    <s v="Venta"/>
    <x v="3"/>
    <s v="Barrio Parque"/>
  </r>
  <r>
    <d v="2025-04-11T00:00:00"/>
    <x v="1"/>
    <x v="3"/>
    <s v="CLA5872204"/>
    <x v="0"/>
    <s v="Terreno en exclusivo barrio Jardines al Lago, barrio Villa Verde, Bariloche"/>
    <s v="Realizado"/>
    <s v="Teléfono"/>
    <n v="88600"/>
    <x v="316"/>
    <x v="1"/>
    <s v="Dólares"/>
    <s v="Dólares"/>
    <s v="Villa Verde, San Carlos de Bariloche"/>
    <s v="Argentina | Rio Negro | Bariloche | San Carlos De Bariloche | Villa Verde"/>
    <x v="1"/>
    <n v="1"/>
    <s v="Patagonia Lakes BRC"/>
    <s v="(Interior) Compartida Fuera de la Red Búsqueda"/>
    <x v="2"/>
    <s v="Venta"/>
    <x v="7"/>
    <s v="Bariloche"/>
  </r>
  <r>
    <d v="2025-11-21T00:00:00"/>
    <x v="1"/>
    <x v="7"/>
    <s v="CAP7133045"/>
    <x v="0"/>
    <s v="Vendo DTO, vista al lago, 3 dormitorios pleno centro."/>
    <s v="Realizado"/>
    <s v="Teléfono"/>
    <n v="178100"/>
    <x v="316"/>
    <x v="1"/>
    <s v="Dólares"/>
    <s v="Dólares"/>
    <s v="P. Moreno al 500"/>
    <s v="Argentina | Rio Negro | Bariloche | San Carlos De Bariloche | Centro"/>
    <x v="0"/>
    <n v="1"/>
    <s v="Patagonia Lakes BRC"/>
    <s v="(Interior) Compartida Fuera de la Red Captación Propia"/>
    <x v="0"/>
    <s v="Venta"/>
    <x v="7"/>
    <s v="Bariloche"/>
  </r>
  <r>
    <d v="2025-06-29T00:00:00"/>
    <x v="1"/>
    <x v="4"/>
    <s v="CLA7065234"/>
    <x v="0"/>
    <s v="Lote en Venta Barrio Laguna Grande - Oportunidad"/>
    <s v="Realizado"/>
    <s v="AR ZonaProp"/>
    <n v="175000"/>
    <x v="316"/>
    <x v="1"/>
    <s v="Dólares"/>
    <s v="Dólares"/>
    <s v="Laguna Grande"/>
    <s v="Argentina | G.B.A. Zona Norte | Tigre | Countries/B.Cerrado (Tigre) | Villanueva | Laguna Grande"/>
    <x v="1"/>
    <n v="2"/>
    <s v="Puerto Norte"/>
    <s v="Compartida en Oficina (Dos Asesores)"/>
    <x v="1"/>
    <s v="Venta"/>
    <x v="6"/>
    <s v="Nordelta"/>
  </r>
  <r>
    <d v="2025-04-08T00:00:00"/>
    <x v="1"/>
    <x v="3"/>
    <n v="3"/>
    <x v="0"/>
    <s v="Ph venta San Isidro"/>
    <s v="Realizado"/>
    <s v="Facebook"/>
    <n v="170000"/>
    <x v="316"/>
    <x v="1"/>
    <s v="Dólares"/>
    <s v="Dólares"/>
    <s v="Colectora Panamericana 1752"/>
    <s v="Argentina | G.B.A. Zona Norte | San Isidro | Martinez"/>
    <x v="3"/>
    <n v="1"/>
    <s v="Grupo Elite"/>
    <s v="Compartida Fuera de la Red Búsqueda"/>
    <x v="2"/>
    <s v="Venta"/>
    <x v="3"/>
    <s v="Puerto Madero"/>
  </r>
  <r>
    <d v="2025-11-05T00:00:00"/>
    <x v="1"/>
    <x v="7"/>
    <s v="OP 178"/>
    <x v="0"/>
    <s v="Seguí 776"/>
    <s v="Realizado"/>
    <s v="AR ZonaProp"/>
    <n v="170000"/>
    <x v="316"/>
    <x v="1"/>
    <s v="Dólares"/>
    <s v="Dólares"/>
    <s v="Seguí 776"/>
    <s v="Argentina | Capital Federal | Caballito "/>
    <x v="0"/>
    <n v="1"/>
    <s v="Seniority Plus"/>
    <s v="Compartida Fuera de la Red Búsqueda"/>
    <x v="2"/>
    <s v="Venta"/>
    <x v="3"/>
    <s v="Palermo"/>
  </r>
  <r>
    <d v="2025-12-17T00:00:00"/>
    <x v="1"/>
    <x v="8"/>
    <n v="220"/>
    <x v="0"/>
    <s v="Zapiola 969 1 D uf7"/>
    <s v="Realizado"/>
    <s v="AR ZonaProp"/>
    <n v="170000"/>
    <x v="316"/>
    <x v="1"/>
    <s v="Dólares"/>
    <s v="Dólares"/>
    <s v="Zapiola 969 1 D uf7"/>
    <s v="Argentina | Capital Federal | Colegiales "/>
    <x v="0"/>
    <n v="1"/>
    <s v="Seniority Plus"/>
    <s v="Compartida Fuera de la Red Búsqueda"/>
    <x v="2"/>
    <s v="Venta"/>
    <x v="3"/>
    <s v="Palermo"/>
  </r>
  <r>
    <d v="2025-04-14T00:00:00"/>
    <x v="1"/>
    <x v="3"/>
    <s v="CHO6768795"/>
    <x v="0"/>
    <s v="Casa en venta 4 ambientes Floresta"/>
    <s v="Realizado"/>
    <s v="Teléfono"/>
    <n v="177000"/>
    <x v="316"/>
    <x v="1"/>
    <s v="Dólares"/>
    <s v="Dólares"/>
    <s v="Belaustegui 4600"/>
    <s v="Argentina | Capital Federal | Floresta "/>
    <x v="2"/>
    <n v="2"/>
    <s v="Grupo Elite"/>
    <s v="Compartida Fuera de la Red Captación Propia"/>
    <x v="0"/>
    <s v="Venta"/>
    <x v="3"/>
    <s v="Puerto Madero"/>
  </r>
  <r>
    <d v="2025-08-25T00:00:00"/>
    <x v="1"/>
    <x v="5"/>
    <s v="VHO3642457"/>
    <x v="0"/>
    <s v="Venta  Muy linda Casa - Bella Vista - APTO CREDITO"/>
    <s v="Realizado"/>
    <s v="AR ZonaProp"/>
    <n v="170000"/>
    <x v="316"/>
    <x v="1"/>
    <s v="Dólares"/>
    <s v="Dólares"/>
    <s v="MISIONES al 900"/>
    <s v="Argentina | G.B.A. Zona Norte | San Miguel | Bella Vista"/>
    <x v="2"/>
    <n v="2"/>
    <s v="Puerto Norte"/>
    <s v="Compartida Fuera de la Red Captación Propia"/>
    <x v="0"/>
    <s v="Venta"/>
    <x v="6"/>
    <s v="Nordelta"/>
  </r>
  <r>
    <d v="2025-09-17T00:00:00"/>
    <x v="1"/>
    <x v="6"/>
    <s v="CHO6860314"/>
    <x v="0"/>
    <s v="CASA CON PILETA EN MANZANARES CHICO - PILAR"/>
    <s v="Realizado"/>
    <s v="AR ZonaProp"/>
    <n v="175000"/>
    <x v="316"/>
    <x v="1"/>
    <s v="Dólares"/>
    <s v="Dólares"/>
    <s v="BARRIO CERRADO MANZANARES CHICO - PILAR"/>
    <s v="Argentina | G.B.A. Zona Norte | Pilar | Countries/B.Cerrado (Pilar) | Manzanares Chico"/>
    <x v="2"/>
    <n v="2"/>
    <s v="Destino"/>
    <s v="Compartida Fuera de la Red Captación Propia"/>
    <x v="0"/>
    <s v="Venta"/>
    <x v="3"/>
    <s v="Recoleta"/>
  </r>
  <r>
    <d v="2025-10-09T00:00:00"/>
    <x v="1"/>
    <x v="11"/>
    <s v="CAP7186871"/>
    <x v="0"/>
    <s v="VENTA DEPARTAMENTO DE 3 AMBIENTES EN VENTA EN PALERMO HOLLYWOOD"/>
    <s v="Realizado"/>
    <s v="AR ZonaProp"/>
    <n v="265000"/>
    <x v="316"/>
    <x v="1"/>
    <s v="Dólares"/>
    <s v="Dólares"/>
    <s v="COSTA RICA al 5500"/>
    <s v="Argentina | Capital Federal | Palermo | Palermo Hollywood"/>
    <x v="0"/>
    <n v="2"/>
    <s v="Seniority"/>
    <s v="Compartida Fuera de la Red Captación Propia"/>
    <x v="0"/>
    <s v="Venta"/>
    <x v="3"/>
    <s v="Barrio Parque"/>
  </r>
  <r>
    <d v="2025-06-04T00:00:00"/>
    <x v="1"/>
    <x v="4"/>
    <s v="Cristaline"/>
    <x v="1"/>
    <s v="Departamento en venta edificio Cristaline Pilar"/>
    <s v="Realizado"/>
    <s v="Referido"/>
    <n v="175000"/>
    <x v="316"/>
    <x v="1"/>
    <s v="Dólares"/>
    <s v="Dólares"/>
    <s v="Los crisantemos 400"/>
    <s v="Argentina | G.B.A. Zona Norte | Pilar | Manuel Alberti | Cristaline"/>
    <x v="0"/>
    <n v="2"/>
    <s v="North Team"/>
    <s v="Master"/>
    <x v="1"/>
    <s v="Venta"/>
    <x v="6"/>
    <s v="Pilar"/>
  </r>
  <r>
    <d v="2026-02-23T00:00:00"/>
    <x v="0"/>
    <x v="0"/>
    <s v="CAP7325033"/>
    <x v="1"/>
    <s v="VENDE Departamento dúplex 72 m² Centro Villa La Angostura"/>
    <s v="Realizado"/>
    <s v="Conocido"/>
    <n v="175000"/>
    <x v="316"/>
    <x v="1"/>
    <s v="Dólares"/>
    <s v="Dólares"/>
    <s v="Pascotto al 100"/>
    <s v="Argentina | Neuquen | Villa La Angostura | El Cruce"/>
    <x v="0"/>
    <n v="2"/>
    <s v="Patagonia Lakes SMA"/>
    <s v="Master"/>
    <x v="1"/>
    <s v="Venta"/>
    <x v="1"/>
    <s v="San Martín de los Andes"/>
  </r>
  <r>
    <d v="2026-02-23T00:00:00"/>
    <x v="0"/>
    <x v="0"/>
    <s v="CAP7325033"/>
    <x v="0"/>
    <s v="VENDE Departamento dúplex 72 m² Centro Villa La Angostura"/>
    <s v="Realizado"/>
    <s v="Instagram"/>
    <n v="175000"/>
    <x v="316"/>
    <x v="1"/>
    <s v="Dólares"/>
    <s v="Dólares"/>
    <s v="Pascotto al 100"/>
    <s v="Argentina | Neuquen | Villa La Angostura | El Cruce"/>
    <x v="0"/>
    <n v="2"/>
    <s v="Patagonia Lakes VLA"/>
    <s v="Master"/>
    <x v="1"/>
    <s v="Venta"/>
    <x v="1"/>
    <s v="Villa La Angostura"/>
  </r>
  <r>
    <d v="2025-01-10T00:00:00"/>
    <x v="1"/>
    <x v="10"/>
    <s v="CAP6092043"/>
    <x v="0"/>
    <s v="Departamento en Villa Santa Rita"/>
    <s v="Realizado"/>
    <s v="AR ZonaProp"/>
    <n v="179000"/>
    <x v="316"/>
    <x v="1"/>
    <s v="Dólares"/>
    <s v="Dólares"/>
    <s v="Camarones  al 3100"/>
    <s v="Argentina | Capital Federal | Villa del Parque "/>
    <x v="0"/>
    <n v="2"/>
    <s v="Ser"/>
    <s v="Propia (Único Asesor)"/>
    <x v="1"/>
    <s v="Venta"/>
    <x v="3"/>
    <s v="Belgrano"/>
  </r>
  <r>
    <d v="2025-01-10T00:00:00"/>
    <x v="1"/>
    <x v="10"/>
    <s v="CPH6260765"/>
    <x v="0"/>
    <s v="Duplex a Estrenar de 3 Dormitorios en Venta en Confluencia  "/>
    <s v="Realizado"/>
    <s v="AR ZonaProp"/>
    <n v="170000"/>
    <x v="316"/>
    <x v="1"/>
    <s v="Dólares"/>
    <s v="Dólares"/>
    <s v="granaderos al 500"/>
    <s v="Argentina | Neuquen | Capital | Confluencia Urbana"/>
    <x v="3"/>
    <n v="2"/>
    <s v="Sensus"/>
    <s v="Propia (Único Asesor)"/>
    <x v="1"/>
    <s v="Venta"/>
    <x v="1"/>
    <s v="Capital Neuquén"/>
  </r>
  <r>
    <d v="2025-03-14T00:00:00"/>
    <x v="1"/>
    <x v="9"/>
    <s v="CHO6505737"/>
    <x v="0"/>
    <s v="Oportunidad Venta de Casa en La Madrugada 1, Pilar"/>
    <s v="Realizado"/>
    <s v="AR ZonaProp"/>
    <n v="173000"/>
    <x v="316"/>
    <x v="1"/>
    <s v="Dólares"/>
    <s v="Dólares"/>
    <s v="La Madrugada 100"/>
    <s v="Argentina | G.B.A. Zona Norte | Pilar | Countries/B.Cerrado (Pilar) | La Madrugada I"/>
    <x v="2"/>
    <n v="2"/>
    <s v="Acqua"/>
    <s v="Propia (Único Asesor)"/>
    <x v="1"/>
    <s v="Venta"/>
    <x v="6"/>
    <s v="Pilar"/>
  </r>
  <r>
    <d v="2025-04-16T00:00:00"/>
    <x v="1"/>
    <x v="3"/>
    <s v="lote 290 y 291 Magallanes"/>
    <x v="0"/>
    <s v="doble lote venta Magallanes"/>
    <s v="Realizado"/>
    <s v="AR MercadoLibre"/>
    <n v="174000"/>
    <x v="316"/>
    <x v="1"/>
    <s v="Dólares"/>
    <s v="Dólares"/>
    <m/>
    <s v="Argentina | G.B.A. Zona Sur | Berazategui | Guillermo E Hudson"/>
    <x v="1"/>
    <n v="2"/>
    <s v="Livello"/>
    <s v="Propia (Único Asesor)"/>
    <x v="1"/>
    <s v="Venta"/>
    <x v="3"/>
    <s v="Palermo"/>
  </r>
  <r>
    <d v="2025-05-21T00:00:00"/>
    <x v="1"/>
    <x v="2"/>
    <s v="VHO6872198"/>
    <x v="0"/>
    <s v="Casa en Venta - 5 AMB en Santa Isabel II"/>
    <s v="Realizado"/>
    <s v="AR ZonaProp"/>
    <n v="220000"/>
    <x v="316"/>
    <x v="1"/>
    <s v="Dólares"/>
    <s v="Dólares"/>
    <s v="Casa en Venta - 5 AMB en Santa Isabel II"/>
    <s v="Argentina | G.B.A. Zona Norte | Escobar | Countries/B.Cerrado (Escobar) | Santa Isabel II"/>
    <x v="2"/>
    <n v="2"/>
    <s v="Puerto Norte"/>
    <s v="Propia (Único Asesor)"/>
    <x v="1"/>
    <s v="Venta"/>
    <x v="6"/>
    <s v="Nordelta"/>
  </r>
  <r>
    <d v="2025-07-01T00:00:00"/>
    <x v="1"/>
    <x v="1"/>
    <s v="CAP6671607"/>
    <x v="0"/>
    <s v="Venta Departamento 2 Ambientes Full Amenities y Cochera, Palermo. Palermo Hollyood"/>
    <s v="Realizado"/>
    <s v="AR ZonaProp"/>
    <n v="180000"/>
    <x v="316"/>
    <x v="1"/>
    <s v="Dólares"/>
    <s v="Dólares"/>
    <s v="Humboldt al 2400"/>
    <s v="Argentina | Capital Federal | Palermo | Palermo Hollywood"/>
    <x v="0"/>
    <n v="2"/>
    <s v="Seniority Plus"/>
    <s v="Propia (Único Asesor)"/>
    <x v="1"/>
    <s v="Venta"/>
    <x v="3"/>
    <s v="Palermo"/>
  </r>
  <r>
    <d v="2025-07-08T00:00:00"/>
    <x v="1"/>
    <x v="1"/>
    <s v="CPH6511899"/>
    <x v="0"/>
    <s v="PH, BOEDO, ALMAGRO, TERRAZA, BALCON, LUMINOSO, RECICLADO, EXCELENTE UBICACION"/>
    <s v="Realizado"/>
    <s v="AR ArgenProp"/>
    <n v="179900"/>
    <x v="316"/>
    <x v="1"/>
    <s v="Dólares"/>
    <s v="Dólares"/>
    <s v="QUINTINO BOCAYUVA al 800"/>
    <s v="Argentina | Capital Federal | Boedo "/>
    <x v="3"/>
    <n v="2"/>
    <s v="Lion Team"/>
    <s v="Propia (Único Asesor)"/>
    <x v="1"/>
    <s v="Venta"/>
    <x v="3"/>
    <s v="Villa Urquiza"/>
  </r>
  <r>
    <d v="2025-07-22T00:00:00"/>
    <x v="1"/>
    <x v="1"/>
    <s v="CHO6684036"/>
    <x v="0"/>
    <s v="Casa en venta Zona Shopping Alto Noa"/>
    <s v="Realizado"/>
    <s v="Facebook"/>
    <n v="180000"/>
    <x v="316"/>
    <x v="1"/>
    <s v="Dólares"/>
    <s v="Dólares"/>
    <s v="Pje. Ministro Alvarado 160 - Zona Shopping Alto Noa"/>
    <s v="Argentina | Salta | Capital | Salta | Zona Centro"/>
    <x v="2"/>
    <n v="2"/>
    <s v="Realty Group"/>
    <s v="Propia (Único Asesor)"/>
    <x v="1"/>
    <s v="Venta"/>
    <x v="4"/>
    <s v="San Lorenzo Chico"/>
  </r>
  <r>
    <d v="2025-12-05T00:00:00"/>
    <x v="1"/>
    <x v="8"/>
    <s v="VPH6633705"/>
    <x v="0"/>
    <s v="PH grande en Segundo Piso - 4 Ambientes - Pedro Goyena Caballito"/>
    <s v="Realizado"/>
    <s v="AR ZonaProp"/>
    <n v="183000"/>
    <x v="316"/>
    <x v="1"/>
    <s v="Dólares"/>
    <s v="Dólares"/>
    <s v="Pedro Goyena  al 1500"/>
    <s v="Argentina | Capital Federal | Caballito | Caballito Sur"/>
    <x v="3"/>
    <n v="2"/>
    <s v="Space BA"/>
    <s v="Propia (Único Asesor)"/>
    <x v="1"/>
    <s v="Venta"/>
    <x v="3"/>
    <s v="Belgrano"/>
  </r>
  <r>
    <d v="2025-12-12T00:00:00"/>
    <x v="1"/>
    <x v="8"/>
    <s v="BHO1658694"/>
    <x v="0"/>
    <s v="Casa - Rancho Grande - Hermoso Entorno Natural"/>
    <s v="Realizado"/>
    <s v="Teléfono"/>
    <n v="220000"/>
    <x v="316"/>
    <x v="1"/>
    <s v="Dólares"/>
    <s v="Dólares"/>
    <s v="Bach J. San al 800"/>
    <s v="Argentina | Rio Negro | Bariloche | San Carlos De Bariloche | Rancho Grande"/>
    <x v="2"/>
    <n v="2"/>
    <s v="Patagonia Lakes BRC"/>
    <s v="Propia (Único Asesor)"/>
    <x v="1"/>
    <s v="Venta"/>
    <x v="7"/>
    <s v="Bariloche"/>
  </r>
  <r>
    <d v="2026-02-13T00:00:00"/>
    <x v="0"/>
    <x v="0"/>
    <s v="CAP7344949"/>
    <x v="0"/>
    <s v="VENTA Departamento en torre Icono acoyte 2 ambientes"/>
    <s v="Realizado"/>
    <s v="AR ZonaProp"/>
    <n v="178000"/>
    <x v="316"/>
    <x v="1"/>
    <s v="Dólares"/>
    <s v="Dólares"/>
    <s v="acoyte al 500"/>
    <s v="Argentina | Capital Federal | Caballito "/>
    <x v="0"/>
    <n v="2"/>
    <s v="Quality"/>
    <s v="Propia (Único Asesor)"/>
    <x v="1"/>
    <s v="Venta"/>
    <x v="6"/>
    <s v="Escobar"/>
  </r>
  <r>
    <d v="2026-02-16T00:00:00"/>
    <x v="0"/>
    <x v="0"/>
    <s v="CHO7418897"/>
    <x v="0"/>
    <s v="Duplex en Venta en Santa Ana Joven "/>
    <s v="Realizado"/>
    <s v="AR ZonaProp"/>
    <n v="175000"/>
    <x v="316"/>
    <x v="1"/>
    <s v="Dólares"/>
    <s v="Dólares"/>
    <s v="Duplex en Venta - Santa Ana Joven 3 ambientes con terraza OPORTUNIDAD  - Villanueva"/>
    <s v="Argentina | G.B.A. Zona Norte | Tigre | Benavidez | Santa Ana Joven"/>
    <x v="2"/>
    <n v="2"/>
    <s v="Puerto Norte"/>
    <s v="Propia (Único Asesor)"/>
    <x v="1"/>
    <s v="Venta"/>
    <x v="6"/>
    <s v="Nordelta"/>
  </r>
  <r>
    <d v="2026-03-13T00:00:00"/>
    <x v="0"/>
    <x v="9"/>
    <s v="VAP5921714"/>
    <x v="0"/>
    <s v="Venta de pozo departamento 2 ambientes c/ terraza Financiado - Lagunita - Nordelta"/>
    <s v="Realizado"/>
    <s v="AR MercadoLibre"/>
    <n v="175000"/>
    <x v="316"/>
    <x v="1"/>
    <s v="Dólares"/>
    <s v="Dólares"/>
    <s v="lagunita"/>
    <s v="Argentina | G.B.A. Zona Norte | Tigre | Countries/B.Cerrado (Tigre) | Nordelta"/>
    <x v="0"/>
    <n v="2"/>
    <s v="Lion Team"/>
    <s v="Propia (Único Asesor)"/>
    <x v="1"/>
    <s v="Venta"/>
    <x v="3"/>
    <s v="Villa Urquiza"/>
  </r>
  <r>
    <d v="2026-02-27T00:00:00"/>
    <x v="0"/>
    <x v="0"/>
    <s v="CAP7546148"/>
    <x v="0"/>
    <s v="Venta Departamento 3 ambientes en Recoleta"/>
    <s v="Realizado"/>
    <s v="AR ZonaProp"/>
    <n v="177000"/>
    <x v="317"/>
    <x v="1"/>
    <s v="Dólares"/>
    <s v="Dólares"/>
    <s v="Av. Pueyrredon al 2100"/>
    <s v="Argentina | Capital Federal | Recoleta "/>
    <x v="0"/>
    <n v="2"/>
    <s v="Seniority"/>
    <s v="Propia (Único Asesor)"/>
    <x v="1"/>
    <s v="Venta"/>
    <x v="3"/>
    <s v="Barrio Parque"/>
  </r>
  <r>
    <d v="2025-08-28T00:00:00"/>
    <x v="1"/>
    <x v="5"/>
    <s v="DAP5177138"/>
    <x v="0"/>
    <s v="Venta -dos ambientes- balcon aterrazado -  cochera - amenities"/>
    <s v="Realizado"/>
    <s v="AR ZonaProp"/>
    <n v="89700"/>
    <x v="318"/>
    <x v="1"/>
    <s v="Dólares"/>
    <s v="Dólares"/>
    <s v="Av. Libertador  al 400"/>
    <s v="Argentina | G.B.A. Zona Norte | San Fernando "/>
    <x v="0"/>
    <n v="2"/>
    <s v="Puerto Norte"/>
    <s v="Propia (Único Asesor)"/>
    <x v="1"/>
    <s v="Venta"/>
    <x v="6"/>
    <s v="Nordelta"/>
  </r>
  <r>
    <d v="2025-09-04T00:00:00"/>
    <x v="1"/>
    <x v="6"/>
    <m/>
    <x v="0"/>
    <s v="Washington 2569 - Venta "/>
    <s v="Realizado"/>
    <s v="AR ZonaProp"/>
    <n v="172000"/>
    <x v="319"/>
    <x v="1"/>
    <s v="Dólares"/>
    <s v="Dólares"/>
    <s v="Washington 2569"/>
    <s v="Argentina | Capital Federal | Recoleta "/>
    <x v="0"/>
    <n v="1"/>
    <s v="Destino"/>
    <s v="Compartida Fuera de la Red Búsqueda"/>
    <x v="2"/>
    <s v="Venta"/>
    <x v="3"/>
    <s v="Recoleta"/>
  </r>
  <r>
    <d v="2025-08-28T00:00:00"/>
    <x v="1"/>
    <x v="5"/>
    <s v="CAP7039916"/>
    <x v="0"/>
    <s v="Departamento de 4 ambientes en Venta en Belgrano"/>
    <s v="Realizado"/>
    <s v="AR ZonaProp"/>
    <n v="185000"/>
    <x v="319"/>
    <x v="1"/>
    <s v="Dólares"/>
    <s v="Dólares"/>
    <s v="Luis María Campos al 1100"/>
    <s v="Argentina | Capital Federal | Belgrano "/>
    <x v="0"/>
    <n v="2"/>
    <s v="Audacity"/>
    <s v="Compartida Fuera de la Red Captación Propia"/>
    <x v="0"/>
    <s v="Venta"/>
    <x v="9"/>
    <s v="Parque Leloir"/>
  </r>
  <r>
    <d v="2026-03-18T00:00:00"/>
    <x v="0"/>
    <x v="9"/>
    <s v="El Aljibe"/>
    <x v="2"/>
    <s v="Casa en venta en Barrio El Aljibe 4 ambientes "/>
    <s v="Realizado"/>
    <s v="AR ZonaProp"/>
    <n v="175000"/>
    <x v="319"/>
    <x v="1"/>
    <s v="Dólares"/>
    <s v="Dólares"/>
    <m/>
    <s v="Argentina | G.B.A. Zona Norte | Pilar | Manzanares | Countries/B.Cerrado (Manzanares) | Barrio El Aljibe"/>
    <x v="2"/>
    <n v="2"/>
    <s v="North Team"/>
    <s v="Master"/>
    <x v="1"/>
    <s v="Venta"/>
    <x v="6"/>
    <s v="Pilar"/>
  </r>
  <r>
    <d v="2025-03-13T00:00:00"/>
    <x v="1"/>
    <x v="9"/>
    <s v="CHO6380747"/>
    <x v="0"/>
    <s v="SAN SEBASTIAN Oportunidad  Casa de Hormigon en  Area 1"/>
    <s v="Realizado"/>
    <s v="AR ZonaProp"/>
    <n v="900"/>
    <x v="319"/>
    <x v="1"/>
    <s v="Dólares"/>
    <s v="Dólares"/>
    <s v="SAN SEBASTIAN EN VENTA / ALQUILER 4 AMBIENTES OPORTUNIDAD AREA 1"/>
    <s v="Argentina | G.B.A. Zona Norte | Escobar | San Sebastian"/>
    <x v="2"/>
    <n v="2"/>
    <s v="Haka"/>
    <s v="Propia (Único Asesor)"/>
    <x v="1"/>
    <s v="Venta"/>
    <x v="3"/>
    <s v="Núñez"/>
  </r>
  <r>
    <d v="2026-03-31T00:00:00"/>
    <x v="0"/>
    <x v="9"/>
    <s v="CBU52357 AP5500777"/>
    <x v="0"/>
    <s v="Venta Departamento 2 ambientes en Colegiales con Balcón y Amenities"/>
    <s v="Realizado"/>
    <s v="AR ZonaProp"/>
    <n v="148665"/>
    <x v="320"/>
    <x v="1"/>
    <s v="Dólares"/>
    <s v="Dólares"/>
    <s v="moldes al 1200"/>
    <s v="Argentina | Capital Federal | Colegiales "/>
    <x v="0"/>
    <n v="2"/>
    <s v="Seniority"/>
    <s v="Propia (Único Asesor)"/>
    <x v="1"/>
    <s v="Venta"/>
    <x v="3"/>
    <s v="Barrio Parque"/>
  </r>
  <r>
    <d v="2025-09-17T00:00:00"/>
    <x v="1"/>
    <x v="6"/>
    <n v="16512"/>
    <x v="0"/>
    <s v="MT Alvear "/>
    <s v="Realizado"/>
    <s v="AR ZonaProp"/>
    <n v="0"/>
    <x v="321"/>
    <x v="1"/>
    <s v="Dólares"/>
    <s v="Dólares"/>
    <m/>
    <s v="Argentina | Capital Federal | Recoleta "/>
    <x v="0"/>
    <n v="1"/>
    <s v="Seniority"/>
    <s v="Compartida Fuera de la Red Búsqueda"/>
    <x v="2"/>
    <s v="Venta"/>
    <x v="3"/>
    <s v="Barrio Parque"/>
  </r>
  <r>
    <d v="2025-03-28T00:00:00"/>
    <x v="1"/>
    <x v="9"/>
    <n v="10327"/>
    <x v="0"/>
    <s v="Cuba 4501 UF 313"/>
    <s v="Realizado"/>
    <s v="AR ZonaProp"/>
    <n v="0"/>
    <x v="321"/>
    <x v="1"/>
    <s v="Dólares"/>
    <s v="Dólares"/>
    <m/>
    <s v="Argentina | Capital Federal | Nuñez "/>
    <x v="0"/>
    <n v="2"/>
    <s v="Seniority"/>
    <s v="Propia (Único Asesor)"/>
    <x v="1"/>
    <s v="Venta"/>
    <x v="3"/>
    <s v="Barrio Parque"/>
  </r>
  <r>
    <d v="2025-05-16T00:00:00"/>
    <x v="1"/>
    <x v="2"/>
    <s v="CAP6647253"/>
    <x v="0"/>
    <s v="Venta Departamento 3 ambientes con Balcon al frente A nuevo en Colegiales"/>
    <s v="Realizado"/>
    <s v="AR ArgenProp"/>
    <n v="179000"/>
    <x v="321"/>
    <x v="1"/>
    <s v="Dólares"/>
    <s v="Dólares"/>
    <s v="Palpa al 3100"/>
    <s v="Argentina | Capital Federal | Colegiales "/>
    <x v="0"/>
    <n v="2"/>
    <s v="Lion Team"/>
    <s v="Propia (Único Asesor)"/>
    <x v="1"/>
    <s v="Venta"/>
    <x v="3"/>
    <s v="Villa Urquiza"/>
  </r>
  <r>
    <d v="2026-02-24T00:00:00"/>
    <x v="0"/>
    <x v="0"/>
    <s v="CAP7546141"/>
    <x v="0"/>
    <s v="VENTA 3 AMBIENTES TOTALMENTE RECICLADO A NUEVO DISEÑO Y CALIDAD PREMIUM EN SAN NICOLAS"/>
    <s v="Realizado"/>
    <s v="AR ZonaProp"/>
    <n v="179000"/>
    <x v="321"/>
    <x v="1"/>
    <s v="Dólares"/>
    <s v="Dólares"/>
    <s v="Avenida Corrientes al 1200"/>
    <s v="Argentina | Capital Federal | San Nicolás "/>
    <x v="0"/>
    <n v="2"/>
    <s v="Destino II"/>
    <s v="Propia (Único Asesor)"/>
    <x v="1"/>
    <s v="Venta"/>
    <x v="3"/>
    <s v="Recoleta"/>
  </r>
  <r>
    <d v="2025-05-28T00:00:00"/>
    <x v="1"/>
    <x v="2"/>
    <s v="CAP6710695"/>
    <x v="0"/>
    <s v="VENTA departamento 4 ambientes con dependencia en Almagro"/>
    <s v="Realizado"/>
    <s v="AR ZonaProp"/>
    <n v="180000"/>
    <x v="322"/>
    <x v="1"/>
    <s v="Dólares"/>
    <s v="Dólares"/>
    <s v="Avenida Corrientes  al 4500"/>
    <s v="Argentina | Capital Federal | Almagro "/>
    <x v="0"/>
    <n v="2"/>
    <s v="Seniority"/>
    <s v="Propia (Único Asesor)"/>
    <x v="1"/>
    <s v="Venta"/>
    <x v="3"/>
    <s v="Barrio Parque"/>
  </r>
  <r>
    <d v="2025-03-21T00:00:00"/>
    <x v="1"/>
    <x v="9"/>
    <s v="CHO6329850"/>
    <x v="0"/>
    <s v="VENTA CASA 5 AMB GRAN JARDIN, GALERIA, BARRIO LAS CHACRAS MASCHWITZ"/>
    <s v="Realizado"/>
    <s v="AR ZonaProp"/>
    <n v="179000"/>
    <x v="323"/>
    <x v="1"/>
    <s v="Dólares"/>
    <s v="Dólares"/>
    <s v="ATAHUALPA YUPANQUI al 2000, BARRIO LAS CHACRAS"/>
    <s v="Argentina | G.B.A. Zona Norte | Escobar | Ingeniero Maschwitz"/>
    <x v="2"/>
    <n v="2"/>
    <s v="Seniority"/>
    <s v="Compartida Fuera de la Red Captación Propia"/>
    <x v="0"/>
    <s v="Venta"/>
    <x v="3"/>
    <s v="Barrio Parque"/>
  </r>
  <r>
    <d v="2025-03-10T00:00:00"/>
    <x v="1"/>
    <x v="9"/>
    <s v="VHO6614310"/>
    <x v="0"/>
    <s v="Casa en Venta con Jardín en Santa Ana Joven"/>
    <s v="Realizado"/>
    <s v="AR ZonaProp"/>
    <n v="178000"/>
    <x v="324"/>
    <x v="1"/>
    <s v="Dólares"/>
    <s v="Dólares"/>
    <s v="Casa en Venta con Jardín en Santa Ana Joven"/>
    <s v="Argentina | G.B.A. Zona Norte | Tigre | Benavidez | Santa Ana Joven"/>
    <x v="2"/>
    <n v="2"/>
    <s v="Puerto Norte"/>
    <s v="Compartida en Oficina (Dos Asesores)"/>
    <x v="1"/>
    <s v="Venta"/>
    <x v="6"/>
    <s v="Nordelta"/>
  </r>
  <r>
    <d v="2025-04-21T00:00:00"/>
    <x v="1"/>
    <x v="3"/>
    <s v="CHO5707928"/>
    <x v="0"/>
    <s v="VENTA Casa Ph 3 dormitorios 142m2 Lote 300m2 Calle Orión Bº Las Balsas Villa la Angostura"/>
    <s v="Realizado"/>
    <s v="Referido"/>
    <n v="180000"/>
    <x v="324"/>
    <x v="1"/>
    <s v="Dólares"/>
    <s v="Dólares"/>
    <s v="Orion"/>
    <s v="Argentina | Neuquen | Villa La Angostura | Las Balsas"/>
    <x v="2"/>
    <n v="2"/>
    <s v="Patagonia Lakes VLA"/>
    <s v="Compartida en Oficina (Dos Asesores)"/>
    <x v="1"/>
    <s v="Venta"/>
    <x v="1"/>
    <s v="Villa La Angostura"/>
  </r>
  <r>
    <d v="2025-08-19T00:00:00"/>
    <x v="1"/>
    <x v="5"/>
    <s v="CHO7203671"/>
    <x v="0"/>
    <s v="Casa en Venta - 3 Ambientes en Santa Isabel"/>
    <s v="Realizado"/>
    <s v="AR ZonaProp"/>
    <n v="175000"/>
    <x v="324"/>
    <x v="1"/>
    <s v="Dólares"/>
    <s v="Dólares"/>
    <s v="Casa en Venta - 3 Ambientes en Santa Isabel"/>
    <s v="Argentina | G.B.A. Zona Norte | Escobar | Countries/B.Cerrado (Escobar) | Santa Isabel"/>
    <x v="2"/>
    <n v="2"/>
    <s v="Puerto Norte"/>
    <s v="Compartida en Oficina (Dos Asesores)"/>
    <x v="1"/>
    <s v="Venta"/>
    <x v="6"/>
    <s v="Nordelta"/>
  </r>
  <r>
    <d v="2026-01-20T00:00:00"/>
    <x v="0"/>
    <x v="10"/>
    <s v="CHO7091027"/>
    <x v="0"/>
    <s v="Excelente casa, muy bien ubicada"/>
    <s v="Realizado"/>
    <s v="Conocido"/>
    <n v="195000"/>
    <x v="324"/>
    <x v="1"/>
    <s v="Dólares"/>
    <s v="Dólares"/>
    <s v="San Lorenzo  al 900"/>
    <s v="Argentina | Mendoza | San Rafael | San Rafael"/>
    <x v="2"/>
    <n v="2"/>
    <s v="Andes"/>
    <s v="Compartida en Oficina (Dos Asesores)"/>
    <x v="1"/>
    <s v="Venta"/>
    <x v="2"/>
    <s v="San Rafael"/>
  </r>
  <r>
    <d v="2026-02-19T00:00:00"/>
    <x v="0"/>
    <x v="0"/>
    <s v="CHO7600262"/>
    <x v="0"/>
    <s v="Casa en San Salvador De Jujuy"/>
    <s v="Realizado"/>
    <s v="Conocido"/>
    <n v="180000"/>
    <x v="324"/>
    <x v="1"/>
    <s v="Dólares"/>
    <s v="Dólares"/>
    <s v="Pasaje Francia  al 1031"/>
    <s v="Argentina | Jujuy | Dr Manuel Belgrano | San Salvador De Jujuy"/>
    <x v="2"/>
    <n v="2"/>
    <s v="Plaza"/>
    <s v="Compartida en Oficina (Dos Asesores)"/>
    <x v="1"/>
    <s v="Venta"/>
    <x v="8"/>
    <s v="Capital Jujuy"/>
  </r>
  <r>
    <d v="2025-10-29T00:00:00"/>
    <x v="1"/>
    <x v="11"/>
    <s v="OP 193"/>
    <x v="0"/>
    <s v="193_x0009_North Coral"/>
    <s v="Realizado"/>
    <s v="AR ZonaProp"/>
    <n v="175000"/>
    <x v="324"/>
    <x v="1"/>
    <s v="Dólares"/>
    <s v="Dólares"/>
    <m/>
    <s v="Argentina | G.B.A. Zona Norte | Tigre | Countries/B.Cerrado (Tigre) | Nordelta"/>
    <x v="2"/>
    <n v="1"/>
    <s v="Seniority Plus"/>
    <s v="Compartida Fuera de la Red Búsqueda"/>
    <x v="2"/>
    <s v="Venta"/>
    <x v="3"/>
    <s v="Palermo"/>
  </r>
  <r>
    <d v="2026-01-21T00:00:00"/>
    <x v="0"/>
    <x v="10"/>
    <n v="10658"/>
    <x v="0"/>
    <s v="Arregui 6827"/>
    <s v="Realizado"/>
    <s v="AR ZonaProp"/>
    <n v="175000"/>
    <x v="324"/>
    <x v="1"/>
    <s v="Dólares"/>
    <s v="Dólares"/>
    <s v="Arregui 6827"/>
    <s v="Argentina | Capital Federal | Versalles "/>
    <x v="0"/>
    <n v="1"/>
    <s v="Seniority"/>
    <s v="Compartida Fuera de la Red Búsqueda"/>
    <x v="2"/>
    <s v="Venta"/>
    <x v="3"/>
    <s v="Barrio Parque"/>
  </r>
  <r>
    <d v="2025-04-28T00:00:00"/>
    <x v="1"/>
    <x v="3"/>
    <s v="CHO6843440"/>
    <x v="0"/>
    <s v="CASA EN VENTA BARRIO MILCAYAC "/>
    <s v="Realizado"/>
    <s v="Conocido"/>
    <n v="180000"/>
    <x v="324"/>
    <x v="1"/>
    <s v="Dólares"/>
    <s v="Dólares"/>
    <s v="BARRIO MILCAYAC "/>
    <s v="Argentina | Mendoza | Lujan De Cuyo "/>
    <x v="2"/>
    <n v="2"/>
    <s v="Cuyo Real"/>
    <s v="Compartida Fuera de la Red Captación Propia"/>
    <x v="0"/>
    <s v="Venta"/>
    <x v="2"/>
    <s v="Capital Mendoza"/>
  </r>
  <r>
    <d v="2025-12-15T00:00:00"/>
    <x v="1"/>
    <x v="8"/>
    <s v="CAP7281622"/>
    <x v="0"/>
    <s v="VENTA departamento 4 ambientes en Palermo"/>
    <s v="Realizado"/>
    <s v="AR ZonaProp"/>
    <n v="179000"/>
    <x v="324"/>
    <x v="1"/>
    <s v="Dólares"/>
    <s v="Dólares"/>
    <s v="Avenida Raúl Scalabrini Ortiz 2400"/>
    <s v="Argentina | Capital Federal | Palermo "/>
    <x v="0"/>
    <n v="2"/>
    <s v="Seniority"/>
    <s v="Compartida Fuera de la Red Captación Propia"/>
    <x v="0"/>
    <s v="Venta"/>
    <x v="3"/>
    <s v="Barrio Parque"/>
  </r>
  <r>
    <d v="2026-02-10T00:00:00"/>
    <x v="0"/>
    <x v="0"/>
    <s v="CAP7540552"/>
    <x v="0"/>
    <s v="Departamento Estilo Francés Espectacular"/>
    <s v="Realizado"/>
    <s v="AR MercadoLibre"/>
    <n v="185000"/>
    <x v="324"/>
    <x v="1"/>
    <s v="Dólares"/>
    <s v="Dólares"/>
    <s v="bernardo de irigoyen  al 700"/>
    <s v="Argentina | Capital Federal | San Telmo "/>
    <x v="0"/>
    <n v="2"/>
    <s v="Destino II"/>
    <s v="Compartida Fuera de la Red Captación Propia"/>
    <x v="0"/>
    <s v="Venta"/>
    <x v="3"/>
    <s v="Recoleta"/>
  </r>
  <r>
    <d v="2025-02-10T00:00:00"/>
    <x v="1"/>
    <x v="0"/>
    <s v="CHO5827343"/>
    <x v="0"/>
    <s v="VENTA Casa km 16, 2 dormitorios, 900 m2 terreno/lote, Bariloche"/>
    <s v="Realizado"/>
    <s v="Referido"/>
    <n v="180000"/>
    <x v="324"/>
    <x v="1"/>
    <s v="Dólares"/>
    <s v="Dólares"/>
    <s v="Valle Encantado, San Carlos de Bariloche"/>
    <s v="Argentina | Rio Negro | Bariloche | San Carlos De Bariloche | Valle Escondido"/>
    <x v="2"/>
    <n v="2"/>
    <s v="Patagonia Lakes BRC"/>
    <s v="Master"/>
    <x v="1"/>
    <s v="Venta"/>
    <x v="7"/>
    <s v="Bariloche"/>
  </r>
  <r>
    <d v="2026-02-27T00:00:00"/>
    <x v="0"/>
    <x v="0"/>
    <s v="CHO7329678"/>
    <x v="0"/>
    <s v="Casa en Venta 3 dormitorios Santa Elena Pilar del Este"/>
    <s v="Realizado"/>
    <s v="AR MercadoLibre"/>
    <n v="170000"/>
    <x v="324"/>
    <x v="1"/>
    <s v="Dólares"/>
    <s v="Dólares"/>
    <s v="Barrio Santa Elena Pilar del Este"/>
    <s v="Argentina | G.B.A. Zona Norte | Pilar | Countries/B.Cerrado (Pilar) | Pilar Del Este | Santa Elena "/>
    <x v="2"/>
    <n v="2"/>
    <s v="North Team"/>
    <s v="Master"/>
    <x v="1"/>
    <s v="Venta"/>
    <x v="6"/>
    <s v="Pilar"/>
  </r>
  <r>
    <d v="2025-03-10T00:00:00"/>
    <x v="1"/>
    <x v="9"/>
    <s v="CHO5827343"/>
    <x v="1"/>
    <s v="VENTA Casa km 16, 2 dormitorios, 900 m2 terreno/lote, Bariloche"/>
    <s v="Realizado"/>
    <s v="Referido"/>
    <n v="180000"/>
    <x v="324"/>
    <x v="1"/>
    <s v="Dólares"/>
    <s v="Dólares"/>
    <s v="Valle Encantado, San Carlos de Bariloche"/>
    <s v="Argentina | Rio Negro | Bariloche | San Carlos De Bariloche | Valle Escondido"/>
    <x v="2"/>
    <n v="2"/>
    <s v="Patagonia Lakes VLA"/>
    <s v="Profesional Referenciador (30%)"/>
    <x v="1"/>
    <s v="Venta"/>
    <x v="1"/>
    <s v="Villa La Angostura"/>
  </r>
  <r>
    <d v="2025-09-09T00:00:00"/>
    <x v="1"/>
    <x v="6"/>
    <s v="CHO7015577"/>
    <x v="0"/>
    <s v="VENTA Casa 4 ambientes 90m2 San Martin de Los Andes"/>
    <s v="Realizado"/>
    <s v="AR ZonaProp"/>
    <n v="180000"/>
    <x v="324"/>
    <x v="1"/>
    <s v="Dólares"/>
    <s v="Dólares"/>
    <s v="VENTA Casa 4 ambientes 90m2 San Martin de Los Andes"/>
    <s v="Argentina | Neuquen | Lacar "/>
    <x v="2"/>
    <n v="2"/>
    <s v="Patagonia Lakes SMA"/>
    <s v="Profesional Referido (70%)"/>
    <x v="1"/>
    <s v="Venta"/>
    <x v="1"/>
    <s v="San Martín de los Andes"/>
  </r>
  <r>
    <d v="2025-01-12T00:00:00"/>
    <x v="1"/>
    <x v="10"/>
    <s v="VHO6454255"/>
    <x v="0"/>
    <s v="Casa en Venta - 4 AMB a Estrenar en Santa Isabel II"/>
    <s v="Realizado"/>
    <s v="AR ZonaProp"/>
    <n v="175000"/>
    <x v="324"/>
    <x v="1"/>
    <s v="Dólares"/>
    <s v="Dólares"/>
    <s v="Casa en Venta - 4 AMB a Estrenar en Santa Isabel II"/>
    <s v="Argentina | G.B.A. Zona Norte | Escobar | Ingeniero Maschwitz"/>
    <x v="2"/>
    <n v="2"/>
    <s v="Puerto Norte"/>
    <s v="Propia (Único Asesor)"/>
    <x v="1"/>
    <s v="Venta"/>
    <x v="6"/>
    <s v="Nordelta"/>
  </r>
  <r>
    <d v="2025-03-05T00:00:00"/>
    <x v="1"/>
    <x v="9"/>
    <s v="CHO6646581"/>
    <x v="0"/>
    <s v="Casa en venta 3 dormitorios San Sebastian Area 13 "/>
    <s v="Realizado"/>
    <s v="AR MercadoLibre"/>
    <n v="175000"/>
    <x v="324"/>
    <x v="1"/>
    <s v="Dólares"/>
    <s v="Dólares"/>
    <s v="Barrio San Sebastian "/>
    <s v="Argentina | G.B.A. Zona Norte | Pilar | Countries/B.Cerrado (Pilar) | San Sebastian"/>
    <x v="2"/>
    <n v="2"/>
    <s v="North Team"/>
    <s v="Propia (Único Asesor)"/>
    <x v="1"/>
    <s v="Venta"/>
    <x v="6"/>
    <s v="Pilar"/>
  </r>
  <r>
    <d v="2025-05-12T00:00:00"/>
    <x v="1"/>
    <x v="2"/>
    <s v="CAP6881551"/>
    <x v="0"/>
    <s v="Depto 3 AMB en Venta C/ Cochera y Baulera - APTO CREDITO"/>
    <s v="Realizado"/>
    <s v="AR ZonaProp"/>
    <n v="180000"/>
    <x v="324"/>
    <x v="1"/>
    <s v="Dólares"/>
    <s v="Dólares"/>
    <s v="Pedro Rivera al 2600"/>
    <s v="Argentina | Capital Federal | Belgrano "/>
    <x v="0"/>
    <n v="2"/>
    <s v="Puerto Norte"/>
    <s v="Propia (Único Asesor)"/>
    <x v="1"/>
    <s v="Venta"/>
    <x v="6"/>
    <s v="Nordelta"/>
  </r>
  <r>
    <d v="2025-05-16T00:00:00"/>
    <x v="1"/>
    <x v="2"/>
    <s v="CHO6732494"/>
    <x v="0"/>
    <s v="VENTA Casa 90m2 Lote1500m2  B° Las Balsas Villa La Angostura"/>
    <s v="Realizado"/>
    <s v="AR ArgenProp"/>
    <n v="180000"/>
    <x v="324"/>
    <x v="1"/>
    <s v="Dólares"/>
    <s v="Dólares"/>
    <s v="Cruz del Sur  al 100"/>
    <s v="Argentina | Neuquen | Villa La Angostura | Las Balsas"/>
    <x v="2"/>
    <n v="2"/>
    <s v="Patagonia Lakes VLA"/>
    <s v="Propia (Único Asesor)"/>
    <x v="1"/>
    <s v="Venta"/>
    <x v="1"/>
    <s v="Villa La Angostura"/>
  </r>
  <r>
    <d v="2025-06-25T00:00:00"/>
    <x v="1"/>
    <x v="4"/>
    <s v="CAP6401336"/>
    <x v="0"/>
    <s v="VENTA 3 AMB CON PARRILLA Y VISTA AL RIO"/>
    <s v="Realizado"/>
    <s v="AR ZonaProp"/>
    <n v="117000"/>
    <x v="324"/>
    <x v="1"/>
    <s v="Dólares"/>
    <s v="Dólares"/>
    <s v="Av. Mitre al 4900"/>
    <s v="Argentina | G.B.A. Zona Sur | Avellaneda | Villa Dominico"/>
    <x v="0"/>
    <n v="2"/>
    <s v="Destino II"/>
    <s v="Propia (Único Asesor)"/>
    <x v="1"/>
    <s v="Venta"/>
    <x v="3"/>
    <s v="Recoleta"/>
  </r>
  <r>
    <d v="2025-08-08T00:00:00"/>
    <x v="1"/>
    <x v="5"/>
    <s v="CAP7024408"/>
    <x v="0"/>
    <s v="Venta Departamento 2 ambientes en Florida"/>
    <s v="Realizado"/>
    <s v="AR ZonaProp"/>
    <n v="175000"/>
    <x v="324"/>
    <x v="1"/>
    <s v="Dólares"/>
    <s v="Dólares"/>
    <s v="Vergara  al 2200"/>
    <s v="Argentina | G.B.A. Zona Norte | Vicente López | Florida"/>
    <x v="0"/>
    <n v="2"/>
    <s v="Seniority"/>
    <s v="Propia (Único Asesor)"/>
    <x v="1"/>
    <s v="Venta"/>
    <x v="3"/>
    <s v="Barrio Parque"/>
  </r>
  <r>
    <d v="2025-12-16T00:00:00"/>
    <x v="1"/>
    <x v="8"/>
    <s v="CAP6984474"/>
    <x v="0"/>
    <s v="Departamento 2 Ambientes a Estrenar con Cochera - WE LIVE, Olivos"/>
    <s v="Realizado"/>
    <s v="AR ZonaProp"/>
    <n v="230000"/>
    <x v="324"/>
    <x v="1"/>
    <s v="Dólares"/>
    <s v="Dólares"/>
    <s v="Juan Carlos Cruz al 2200"/>
    <s v="Argentina | G.B.A. Zona Norte | Vicente López | Olivos | Olivos-Vias/Rio"/>
    <x v="0"/>
    <n v="2"/>
    <s v="Puerto Norte"/>
    <s v="Propia (Único Asesor)"/>
    <x v="1"/>
    <s v="Venta"/>
    <x v="6"/>
    <s v="Nordelta"/>
  </r>
  <r>
    <d v="2026-02-04T00:00:00"/>
    <x v="0"/>
    <x v="0"/>
    <s v="CHO7327830"/>
    <x v="0"/>
    <s v="Casas a estrenar en PH al frente 2/3 dormitorios Categoría 21a y 472 City Bell"/>
    <s v="Realizado"/>
    <s v="AR ZonaProp"/>
    <n v="210000"/>
    <x v="324"/>
    <x v="1"/>
    <s v="Dólares"/>
    <s v="Dólares"/>
    <s v="Casa a estrenar en PH  en obra de 2/3 dormitorios 21a y 472 City Bell - Ultima UNIDAD!!"/>
    <s v="Argentina | G.B.A. Zona Sur | La Plata | City Bell"/>
    <x v="2"/>
    <n v="2"/>
    <s v="Golden Team"/>
    <s v="Propia (Único Asesor)"/>
    <x v="1"/>
    <s v="Venta"/>
    <x v="0"/>
    <s v="La Plata"/>
  </r>
  <r>
    <d v="2026-02-06T00:00:00"/>
    <x v="0"/>
    <x v="0"/>
    <s v="CHO7502803"/>
    <x v="0"/>
    <s v="VENTA CASA EN EL BARRIO EL CAZADOR ESCOBAR"/>
    <s v="Realizado"/>
    <s v="AR ZonaProp"/>
    <n v="198000"/>
    <x v="324"/>
    <x v="1"/>
    <s v="Dólares"/>
    <s v="Dólares"/>
    <s v="MIGUEL  CANE al 3300"/>
    <s v="Argentina | G.B.A. Zona Norte | Escobar | Barrio El Cazador"/>
    <x v="2"/>
    <n v="2"/>
    <s v="Destino"/>
    <s v="Propia (Único Asesor)"/>
    <x v="1"/>
    <s v="Venta"/>
    <x v="3"/>
    <s v="Recoleta"/>
  </r>
  <r>
    <d v="2026-03-10T00:00:00"/>
    <x v="0"/>
    <x v="9"/>
    <s v="CHO7327830"/>
    <x v="0"/>
    <s v="Casas a estrenar en PH al frente 2/3 dormitorios Categoría 21a y 472 City Bell"/>
    <s v="Realizado"/>
    <s v="AR ZonaProp"/>
    <n v="210000"/>
    <x v="324"/>
    <x v="1"/>
    <s v="Dólares"/>
    <s v="Dólares"/>
    <s v="Casa a estrenar en PH  en obra de 2/3 dormitorios 21a y 472 City Bell - Ultima UNIDAD!!"/>
    <s v="Argentina | G.B.A. Zona Sur | La Plata | City Bell"/>
    <x v="2"/>
    <n v="2"/>
    <s v="Golden Team"/>
    <s v="Propia (Único Asesor)"/>
    <x v="1"/>
    <s v="Venta"/>
    <x v="0"/>
    <s v="La Plata"/>
  </r>
  <r>
    <d v="2025-01-31T00:00:00"/>
    <x v="1"/>
    <x v="10"/>
    <s v="CBU58163 AP6335569"/>
    <x v="2"/>
    <s v="Departamento - Recoleta"/>
    <s v="Realizado"/>
    <s v="AR ZonaProp"/>
    <n v="175689"/>
    <x v="325"/>
    <x v="1"/>
    <s v="Dólares"/>
    <s v="Dólares"/>
    <s v="Rodriguez Peña  1136 - 3 A"/>
    <s v="Argentina | Capital Federal | Recoleta "/>
    <x v="0"/>
    <n v="2"/>
    <s v="Haka"/>
    <s v="Compartida en Red (50%)"/>
    <x v="1"/>
    <s v="Venta"/>
    <x v="3"/>
    <s v="Núñez"/>
  </r>
  <r>
    <d v="2025-07-25T00:00:00"/>
    <x v="1"/>
    <x v="1"/>
    <s v="PH Ramos Mejía"/>
    <x v="0"/>
    <s v="PH 3 Ambientes en venta en Ramos Mejía"/>
    <s v="Realizado"/>
    <s v="AR ZonaProp"/>
    <n v="176000"/>
    <x v="326"/>
    <x v="1"/>
    <s v="Dólares"/>
    <s v="Dólares"/>
    <s v="Alvear 1050"/>
    <s v="Argentina | G.B.A. Zona Oeste | La Matanza | Ramos Mejia"/>
    <x v="3"/>
    <n v="1"/>
    <s v="Audacity"/>
    <s v="Compartida Fuera de la Red Búsqueda"/>
    <x v="2"/>
    <s v="Venta"/>
    <x v="9"/>
    <s v="Parque Leloir"/>
  </r>
  <r>
    <d v="2025-02-18T00:00:00"/>
    <x v="1"/>
    <x v="0"/>
    <s v="VHO6768457"/>
    <x v="0"/>
    <s v="Casa en Venta con Jardín en Santa Ana Joven - Villanueva"/>
    <s v="Realizado"/>
    <s v="AR ZonaProp"/>
    <n v="180000"/>
    <x v="327"/>
    <x v="1"/>
    <s v="Dólares"/>
    <s v="Dólares"/>
    <s v="Casa en Venta con Jardín en Santa Ana Joven - Villanueva"/>
    <s v="Argentina | G.B.A. Zona Norte | Tigre | Benavidez | Santa Ana Joven"/>
    <x v="2"/>
    <n v="2"/>
    <s v="Puerto Norte"/>
    <s v="Compartida en Oficina (Dos Asesores)"/>
    <x v="1"/>
    <s v="Venta"/>
    <x v="6"/>
    <s v="Nordelta"/>
  </r>
  <r>
    <d v="2025-09-30T00:00:00"/>
    <x v="1"/>
    <x v="6"/>
    <s v="OP 180"/>
    <x v="0"/>
    <s v="Virrey Olaguer y Feliu 3046 6 A uf 18"/>
    <s v="Realizado"/>
    <s v="AR ZonaProp"/>
    <n v="177000"/>
    <x v="327"/>
    <x v="1"/>
    <s v="Dólares"/>
    <s v="Dólares"/>
    <m/>
    <s v="Argentina | Capital Federal | Colegiales "/>
    <x v="0"/>
    <n v="1"/>
    <s v="Seniority Plus"/>
    <s v="Compartida Fuera de la Red Búsqueda"/>
    <x v="2"/>
    <s v="Venta"/>
    <x v="3"/>
    <s v="Palermo"/>
  </r>
  <r>
    <d v="2025-02-11T00:00:00"/>
    <x v="1"/>
    <x v="0"/>
    <s v="CAP5421831"/>
    <x v="0"/>
    <s v="VENTA DEPARTAMENTO 3/4 AMBIENTES EN RECOLETA RECICLADO"/>
    <s v="Realizado"/>
    <s v="AR ZonaProp"/>
    <n v="182000"/>
    <x v="327"/>
    <x v="1"/>
    <s v="Dólares"/>
    <s v="Dólares"/>
    <s v="PUEYRREDON al 1900"/>
    <s v="Argentina | Capital Federal | Recoleta "/>
    <x v="0"/>
    <n v="2"/>
    <s v="Seniority"/>
    <s v="Compartida Fuera de la Red Captación Propia"/>
    <x v="0"/>
    <s v="Venta"/>
    <x v="3"/>
    <s v="Barrio Parque"/>
  </r>
  <r>
    <d v="2026-01-14T00:00:00"/>
    <x v="0"/>
    <x v="10"/>
    <s v="CHO7419960"/>
    <x v="0"/>
    <s v="Casa en venta - piscina - a estrenar - Pilar del Este, San Ramiro"/>
    <s v="Realizado"/>
    <s v="AR ZonaProp"/>
    <n v="185000"/>
    <x v="327"/>
    <x v="1"/>
    <s v="Dólares"/>
    <s v="Dólares"/>
    <s v="Casa en venta - piscina - a estrenar - Pilar del Este, San Ramiro"/>
    <s v="Argentina | G.B.A. Zona Norte | Pilar | Countries/B.Cerrado (Pilar) | Pilar Del Este | San Ramiro "/>
    <x v="2"/>
    <n v="2"/>
    <s v="Puerto Norte"/>
    <s v="Compartida Fuera de la Red Captación Propia"/>
    <x v="0"/>
    <s v="Venta"/>
    <x v="6"/>
    <s v="Nordelta"/>
  </r>
  <r>
    <d v="2025-09-12T00:00:00"/>
    <x v="1"/>
    <x v="6"/>
    <s v="CAP7047807"/>
    <x v="0"/>
    <s v="Departamento en  HUERGO 475"/>
    <s v="Realizado"/>
    <s v="AR ZonaProp"/>
    <n v="190000"/>
    <x v="327"/>
    <x v="1"/>
    <s v="Dólares"/>
    <s v="Dólares"/>
    <s v="Huergo al 400"/>
    <s v="Argentina | Capital Federal | Puerto Madero "/>
    <x v="0"/>
    <n v="2"/>
    <s v="Destino II"/>
    <s v="Propia (Único Asesor)"/>
    <x v="1"/>
    <s v="Venta"/>
    <x v="3"/>
    <s v="Recoleta"/>
  </r>
  <r>
    <d v="2025-11-17T00:00:00"/>
    <x v="1"/>
    <x v="7"/>
    <s v="CHO6920656"/>
    <x v="2"/>
    <s v="Casa en  Venta 4 dormitorios Barrio Santa Elena Pilar del Este "/>
    <s v="Realizado"/>
    <s v="AR ZonaProp"/>
    <n v="178000"/>
    <x v="328"/>
    <x v="1"/>
    <s v="Dólares"/>
    <s v="Dólares"/>
    <s v="Barrio Santa Elena Pilar del Este"/>
    <s v="Argentina | G.B.A. Zona Norte | Pilar | Countries/B.Cerrado (Pilar) | Pilar Del Este | Santa Elena "/>
    <x v="2"/>
    <n v="2"/>
    <s v="North Team"/>
    <s v="Master"/>
    <x v="1"/>
    <s v="Venta"/>
    <x v="6"/>
    <s v="Pilar"/>
  </r>
  <r>
    <d v="2025-11-10T00:00:00"/>
    <x v="1"/>
    <x v="7"/>
    <s v="VAP6728549"/>
    <x v="0"/>
    <s v="Venta departamento de 3 dormitorios con dependencia en Almagro"/>
    <s v="Realizado"/>
    <s v="AR ZonaProp"/>
    <n v="178000"/>
    <x v="328"/>
    <x v="1"/>
    <s v="Dólares"/>
    <s v="Dólares"/>
    <s v="Bartolome Mitre  al 4100"/>
    <s v="Argentina | Capital Federal | Almagro "/>
    <x v="0"/>
    <n v="2"/>
    <s v="Space BA"/>
    <s v="Propia (Único Asesor)"/>
    <x v="1"/>
    <s v="Venta"/>
    <x v="3"/>
    <s v="Belgrano"/>
  </r>
  <r>
    <d v="2025-10-23T00:00:00"/>
    <x v="1"/>
    <x v="11"/>
    <s v="CAP7205540"/>
    <x v="0"/>
    <s v="3 Ambientes con cochera en Belgrano. Amplia Cocina"/>
    <s v="Realizado"/>
    <s v="AR ZonaProp"/>
    <n v="190000"/>
    <x v="329"/>
    <x v="1"/>
    <s v="Dólares"/>
    <s v="Dólares"/>
    <s v="vidal  al 1900"/>
    <s v="Argentina | Capital Federal | Belgrano "/>
    <x v="0"/>
    <n v="2"/>
    <s v="Destino"/>
    <s v="Compartida Fuera de la Red Captación Propia"/>
    <x v="0"/>
    <s v="Venta"/>
    <x v="3"/>
    <s v="Recoleta"/>
  </r>
  <r>
    <d v="2025-09-25T00:00:00"/>
    <x v="1"/>
    <x v="6"/>
    <s v="CAP7271850"/>
    <x v="0"/>
    <s v="Departamento de tres ambientes con dos baños a Estrenar"/>
    <s v="Realizado"/>
    <s v="AR ZonaProp"/>
    <n v="181700"/>
    <x v="329"/>
    <x v="1"/>
    <s v="Dólares"/>
    <s v="Dólares"/>
    <s v="Concepcion Arenal  al 3900"/>
    <s v="Argentina | Capital Federal | Chacarita "/>
    <x v="0"/>
    <n v="2"/>
    <s v="Horizon Group"/>
    <s v="Propia (Único Asesor)"/>
    <x v="1"/>
    <s v="Venta"/>
    <x v="3"/>
    <s v="Núñez"/>
  </r>
  <r>
    <d v="2025-10-31T00:00:00"/>
    <x v="1"/>
    <x v="11"/>
    <s v="93Maricel"/>
    <x v="0"/>
    <s v="Departamento en Candioti"/>
    <s v="Realizado"/>
    <s v="Conocido"/>
    <n v="190000"/>
    <x v="330"/>
    <x v="1"/>
    <s v="Dólares"/>
    <s v="Dólares"/>
    <s v="Alberdi 3452"/>
    <s v="Argentina | Santa Fe | La Capital | Santa Fe"/>
    <x v="0"/>
    <n v="1"/>
    <s v="De la Veracruz"/>
    <s v="(Interior) Compartida Fuera de la Red Búsqueda"/>
    <x v="2"/>
    <s v="Venta"/>
    <x v="5"/>
    <s v="Capital Santa Fe"/>
  </r>
  <r>
    <d v="2025-02-22T00:00:00"/>
    <x v="1"/>
    <x v="0"/>
    <s v="CHO5556908"/>
    <x v="0"/>
    <s v="Casa en venta zona sur sobre avenida"/>
    <s v="Realizado"/>
    <s v="Referido"/>
    <n v="180000"/>
    <x v="330"/>
    <x v="1"/>
    <s v="Dólares"/>
    <s v="Dólares"/>
    <s v="casa en venta  zona sur sobre avenida"/>
    <s v="Argentina | Santa Fe | La Capital | Barrio Sur"/>
    <x v="2"/>
    <n v="1"/>
    <s v="De la Veracruz"/>
    <s v="(Interior) Compartida Fuera de la Red Captación Propia"/>
    <x v="0"/>
    <s v="Venta"/>
    <x v="5"/>
    <s v="Capital Santa Fe"/>
  </r>
  <r>
    <d v="2025-06-17T00:00:00"/>
    <x v="1"/>
    <x v="4"/>
    <s v="CHO7018946"/>
    <x v="0"/>
    <s v="Casa en Venta - 4 AMB en El Ensueño"/>
    <s v="Realizado"/>
    <s v="AR ZonaProp"/>
    <n v="190000"/>
    <x v="330"/>
    <x v="1"/>
    <s v="Dólares"/>
    <s v="Dólares"/>
    <s v="Casa en Venta - 4 AMB en El Ensueño"/>
    <s v="Argentina | G.B.A. Zona Norte | Escobar | Barrio Privado El Ensueño"/>
    <x v="2"/>
    <n v="2"/>
    <s v="Puerto Norte"/>
    <s v="Compartida en Oficina (Dos Asesores)"/>
    <x v="1"/>
    <s v="Venta"/>
    <x v="6"/>
    <s v="Nordelta"/>
  </r>
  <r>
    <d v="2025-10-24T00:00:00"/>
    <x v="1"/>
    <x v="11"/>
    <n v="24102025"/>
    <x v="0"/>
    <s v="Reserva Venta Marianela Nay Casa Melipal II - Sarmiento Sup. 3785"/>
    <s v="Realizado"/>
    <s v="Teléfono"/>
    <n v="180000"/>
    <x v="330"/>
    <x v="1"/>
    <s v="Dólares"/>
    <s v="Dólares"/>
    <s v="Sarmiento Superior 3785"/>
    <s v="Argentina | Rio Negro | Bariloche | San Carlos De Bariloche | Melipal"/>
    <x v="2"/>
    <n v="2"/>
    <s v="Patagonia Lakes BRC"/>
    <s v="Compartida en Oficina (Dos Asesores)"/>
    <x v="1"/>
    <s v="Venta"/>
    <x v="7"/>
    <s v="Bariloche"/>
  </r>
  <r>
    <d v="2025-11-11T00:00:00"/>
    <x v="1"/>
    <x v="7"/>
    <s v="CAP6363710"/>
    <x v="0"/>
    <s v="Depto Loft en Venta  Apto vivienda o apto profesional - Studios- Ayres Vila- Pilar"/>
    <s v="Realizado"/>
    <s v="AR ZonaProp"/>
    <n v="199000"/>
    <x v="330"/>
    <x v="1"/>
    <s v="Dólares"/>
    <s v="Dólares"/>
    <s v="Depto Loft en Venta  Apto vivienda o apto profesional - Studios- Ayres Vila- Pilar"/>
    <s v="Argentina | G.B.A. Zona Norte | Pilar | Manuel Alberti | STUDIOS Work &amp; Live"/>
    <x v="0"/>
    <n v="2"/>
    <s v="North Team"/>
    <s v="Compartida en Oficina (Dos Asesores)"/>
    <x v="1"/>
    <s v="Venta"/>
    <x v="6"/>
    <s v="Pilar"/>
  </r>
  <r>
    <d v="2025-11-06T00:00:00"/>
    <x v="1"/>
    <x v="7"/>
    <s v="CAP7079304"/>
    <x v="0"/>
    <s v="Departamento en  Venta Chateau del Palmar, Nordelta"/>
    <s v="Realizado"/>
    <s v="AR ZonaProp"/>
    <n v="117900"/>
    <x v="330"/>
    <x v="1"/>
    <s v="Dólares"/>
    <s v="Dólares"/>
    <s v="Departamento en  Venta Chateau del Palmar, Nordelta"/>
    <s v="Argentina | G.B.A. Zona Norte | Tigre | Countries/B.Cerrado (Tigre) | Nordelta | El Palmar | Chateau del Palmar"/>
    <x v="0"/>
    <n v="1"/>
    <s v="Puerto Norte"/>
    <s v="Compartida Fuera de la Red Búsqueda"/>
    <x v="2"/>
    <s v="Venta"/>
    <x v="6"/>
    <s v="Nordelta"/>
  </r>
  <r>
    <d v="2026-03-19T00:00:00"/>
    <x v="0"/>
    <x v="9"/>
    <n v="10736"/>
    <x v="0"/>
    <s v="Monroe 4785"/>
    <s v="Realizado"/>
    <s v="AR ZonaProp"/>
    <n v="180000"/>
    <x v="330"/>
    <x v="1"/>
    <s v="Dólares"/>
    <s v="Dólares"/>
    <s v="Monroe 4785"/>
    <s v="Argentina | Capital Federal | Belgrano "/>
    <x v="0"/>
    <n v="1"/>
    <s v="Seniority"/>
    <s v="Compartida Fuera de la Red Búsqueda"/>
    <x v="2"/>
    <s v="Venta"/>
    <x v="3"/>
    <s v="Barrio Parque"/>
  </r>
  <r>
    <d v="2025-01-30T00:00:00"/>
    <x v="1"/>
    <x v="10"/>
    <s v="CAP6398751"/>
    <x v="0"/>
    <s v="VENTA EXCELENTE DEPARTAMENTO  3 AMBIENTES CON COCHERA"/>
    <s v="Realizado"/>
    <s v="AR ZonaProp"/>
    <n v="200000"/>
    <x v="330"/>
    <x v="1"/>
    <s v="Dólares"/>
    <s v="Dólares"/>
    <s v="Charlone  al 1200"/>
    <s v="Argentina | Capital Federal | Chacarita "/>
    <x v="0"/>
    <n v="2"/>
    <s v="Seniority"/>
    <s v="Compartida Fuera de la Red Captación Propia"/>
    <x v="0"/>
    <s v="Venta"/>
    <x v="3"/>
    <s v="Barrio Parque"/>
  </r>
  <r>
    <d v="2025-04-15T00:00:00"/>
    <x v="1"/>
    <x v="3"/>
    <s v="CPH6751802"/>
    <x v="0"/>
    <s v="PH EN VENTA, 3 AMBIENTES EN VERSALLES"/>
    <s v="Realizado"/>
    <s v="AR ZonaProp"/>
    <n v="185000"/>
    <x v="330"/>
    <x v="1"/>
    <s v="Dólares"/>
    <s v="Dólares"/>
    <s v="Roma  al 1000"/>
    <s v="Argentina | Capital Federal | Versalles "/>
    <x v="3"/>
    <n v="2"/>
    <s v="Haka"/>
    <s v="Compartida Fuera de la Red Captación Propia"/>
    <x v="0"/>
    <s v="Venta"/>
    <x v="3"/>
    <s v="Núñez"/>
  </r>
  <r>
    <d v="2025-04-22T00:00:00"/>
    <x v="1"/>
    <x v="3"/>
    <s v="CAP6633621"/>
    <x v="0"/>
    <s v="VENTA dpto 2 amb Torre Nuñez cochera amenities"/>
    <s v="Realizado"/>
    <s v="AR ZonaProp"/>
    <n v="185000"/>
    <x v="330"/>
    <x v="1"/>
    <s v="Dólares"/>
    <s v="Dólares"/>
    <s v="Jaramillo  al 1600"/>
    <s v="Argentina | Capital Federal | Nuñez "/>
    <x v="0"/>
    <n v="2"/>
    <s v="Seniority"/>
    <s v="Compartida Fuera de la Red Captación Propia"/>
    <x v="0"/>
    <s v="Venta"/>
    <x v="3"/>
    <s v="Barrio Parque"/>
  </r>
  <r>
    <d v="2025-05-30T00:00:00"/>
    <x v="1"/>
    <x v="2"/>
    <n v="10378"/>
    <x v="0"/>
    <s v="ciudad de la paz"/>
    <s v="Realizado"/>
    <s v="AR ZonaProp"/>
    <n v="0"/>
    <x v="330"/>
    <x v="1"/>
    <s v="Dólares"/>
    <s v="Dólares"/>
    <m/>
    <s v="Argentina | Capital Federal | Belgrano "/>
    <x v="0"/>
    <n v="2"/>
    <s v="Seniority"/>
    <s v="Compartida Fuera de la Red Captación Propia"/>
    <x v="0"/>
    <s v="Venta"/>
    <x v="3"/>
    <s v="Barrio Parque"/>
  </r>
  <r>
    <d v="2025-07-29T00:00:00"/>
    <x v="1"/>
    <x v="1"/>
    <s v="CAP6707989"/>
    <x v="0"/>
    <s v="Venta departamento dúplex 2 ambientes a estrenar en Palermo"/>
    <s v="Realizado"/>
    <s v="AR ZonaProp"/>
    <n v="195000"/>
    <x v="330"/>
    <x v="1"/>
    <s v="Dólares"/>
    <s v="Dólares"/>
    <s v="Charcas al 4700"/>
    <s v="Argentina | Capital Federal | Palermo | Palermo Soho"/>
    <x v="0"/>
    <n v="2"/>
    <s v="Notable"/>
    <s v="Compartida Fuera de la Red Captación Propia"/>
    <x v="0"/>
    <s v="Venta"/>
    <x v="3"/>
    <s v="Palermo"/>
  </r>
  <r>
    <d v="2025-07-04T00:00:00"/>
    <x v="1"/>
    <x v="1"/>
    <s v="Cristaline"/>
    <x v="2"/>
    <s v="Departamento en venta edificio Cristaline Pilar"/>
    <s v="Realizado"/>
    <s v="Conocido"/>
    <n v="175000"/>
    <x v="330"/>
    <x v="1"/>
    <s v="Dólares"/>
    <s v="Dólares"/>
    <s v="Los crisantemos 400"/>
    <s v="Argentina | G.B.A. Zona Norte | Pilar | Manuel Alberti | Cristaline"/>
    <x v="0"/>
    <n v="2"/>
    <s v="North Team"/>
    <s v="Master"/>
    <x v="1"/>
    <s v="Venta"/>
    <x v="6"/>
    <s v="Pilar"/>
  </r>
  <r>
    <d v="2025-02-28T00:00:00"/>
    <x v="1"/>
    <x v="0"/>
    <s v="CAP6397490"/>
    <x v="0"/>
    <s v="Departamento 3 ambientes con Dependencia, Cochera y Baulera en Belgrano VENTA"/>
    <s v="Realizado"/>
    <s v="AR ZonaProp"/>
    <n v="191000"/>
    <x v="330"/>
    <x v="1"/>
    <s v="Dólares"/>
    <s v="Dólares"/>
    <s v="Moldes  al 2100"/>
    <s v="Argentina | Capital Federal | Belgrano "/>
    <x v="0"/>
    <n v="2"/>
    <s v="Lion Team"/>
    <s v="Propia (Único Asesor)"/>
    <x v="1"/>
    <s v="Venta"/>
    <x v="3"/>
    <s v="Villa Urquiza"/>
  </r>
  <r>
    <d v="2025-03-10T00:00:00"/>
    <x v="1"/>
    <x v="9"/>
    <s v="Santa Elisa Pilar del Este"/>
    <x v="0"/>
    <s v="Casa en venta Barrio Santa Elisa Pilar del Este"/>
    <s v="Realizado"/>
    <s v="AR MercadoLibre"/>
    <n v="180000"/>
    <x v="330"/>
    <x v="1"/>
    <s v="Dólares"/>
    <s v="Dólares"/>
    <m/>
    <s v="Argentina | G.B.A. Zona Norte | Pilar | Countries/B.Cerrado (Pilar) | Pilar Del Este"/>
    <x v="2"/>
    <n v="2"/>
    <s v="North Team"/>
    <s v="Propia (Único Asesor)"/>
    <x v="1"/>
    <s v="Venta"/>
    <x v="6"/>
    <s v="Pilar"/>
  </r>
  <r>
    <d v="2025-04-04T00:00:00"/>
    <x v="1"/>
    <x v="3"/>
    <s v="CHO6783948"/>
    <x v="0"/>
    <s v="Casa en venta 3 dormitorios + estudio Barrio Santa Elisa Pilar del Este"/>
    <s v="Realizado"/>
    <s v="AR MercadoLibre"/>
    <n v="185000"/>
    <x v="330"/>
    <x v="1"/>
    <s v="Dólares"/>
    <s v="Dólares"/>
    <s v="Barrio Santa Elisa Pilar del Este"/>
    <s v="Argentina | G.B.A. Zona Norte | Pilar | Countries/B.Cerrado (Pilar) | Pilar Del Este | Santa Elisa"/>
    <x v="2"/>
    <n v="2"/>
    <s v="North Team"/>
    <s v="Propia (Único Asesor)"/>
    <x v="1"/>
    <s v="Venta"/>
    <x v="6"/>
    <s v="Pilar"/>
  </r>
  <r>
    <d v="2025-05-28T00:00:00"/>
    <x v="1"/>
    <x v="2"/>
    <s v="CAP6437066"/>
    <x v="0"/>
    <s v="VENTA PISO 3 AMB AMPLIO, BALCÓN PISO 12 CORRIDO Y COCHERA, LAS LOMITAS APTO CREDITO"/>
    <s v="Realizado"/>
    <s v="AR ZonaProp"/>
    <n v="198000"/>
    <x v="330"/>
    <x v="1"/>
    <s v="Dólares"/>
    <s v="Dólares"/>
    <s v="SARMIENTO al 300, Las Lomitas"/>
    <s v="Argentina | G.B.A. Zona Sur | Lomas De Zamora (Partido) | Lomas De Zamora"/>
    <x v="0"/>
    <n v="2"/>
    <s v="Seniority"/>
    <s v="Propia (Único Asesor)"/>
    <x v="1"/>
    <s v="Venta"/>
    <x v="3"/>
    <s v="Barrio Parque"/>
  </r>
  <r>
    <d v="2025-06-09T00:00:00"/>
    <x v="1"/>
    <x v="4"/>
    <s v="CPH6884116"/>
    <x v="0"/>
    <s v="Venta PH 3 Ambientes c/ terraza refaccionado en Villa Crespo"/>
    <s v="Realizado"/>
    <s v="AR ZonaProp"/>
    <n v="180000"/>
    <x v="330"/>
    <x v="1"/>
    <s v="Dólares"/>
    <s v="Dólares"/>
    <s v="Av Cordoba  al 4200"/>
    <s v="Argentina | Capital Federal | Villa Crespo "/>
    <x v="3"/>
    <n v="2"/>
    <s v="Seniority Plus"/>
    <s v="Propia (Único Asesor)"/>
    <x v="1"/>
    <s v="Venta"/>
    <x v="3"/>
    <s v="Palermo"/>
  </r>
  <r>
    <d v="2025-07-10T00:00:00"/>
    <x v="1"/>
    <x v="1"/>
    <s v="CAP6728882"/>
    <x v="0"/>
    <s v="Venta Departamento 2 Ambientes Con Jardin Privado y Cochera Cubierta en Bahia Grande Nordelta"/>
    <s v="Realizado"/>
    <s v="AR ZonaProp"/>
    <n v="180000"/>
    <x v="330"/>
    <x v="1"/>
    <s v="Dólares"/>
    <s v="Dólares"/>
    <s v="Av del Puerto  al 600 - Puerto Escondido Nordelta"/>
    <s v="Argentina | G.B.A. Zona Norte | Tigre | Countries/B.Cerrado (Tigre) | Nordelta | Bahia Grande"/>
    <x v="0"/>
    <n v="2"/>
    <s v="Seniority Plus"/>
    <s v="Propia (Único Asesor)"/>
    <x v="1"/>
    <s v="Venta"/>
    <x v="3"/>
    <s v="Palermo"/>
  </r>
  <r>
    <d v="2025-07-14T00:00:00"/>
    <x v="1"/>
    <x v="1"/>
    <s v="CBU59332 AP6854405"/>
    <x v="0"/>
    <s v="Departamento en  venta de 3 ambientes con patio en Villa Urquiza CABA"/>
    <s v="Realizado"/>
    <s v="AR ZonaProp"/>
    <n v="180000"/>
    <x v="330"/>
    <x v="1"/>
    <s v="Dólares"/>
    <s v="Dólares"/>
    <s v="Zado  al 3500 - PB -  Villa Urquiza"/>
    <s v="Argentina | Capital Federal | Villa Urquiza "/>
    <x v="0"/>
    <n v="2"/>
    <s v="Audacity"/>
    <s v="Propia (Único Asesor)"/>
    <x v="1"/>
    <s v="Venta"/>
    <x v="9"/>
    <s v="Parque Leloir"/>
  </r>
  <r>
    <d v="2025-08-29T00:00:00"/>
    <x v="1"/>
    <x v="5"/>
    <s v="CAP7093923"/>
    <x v="0"/>
    <s v="VENTA DEPARTAMENTO 2 AMBIENTES EN PALERMO, PISO ALTO EN TORRE"/>
    <s v="Realizado"/>
    <s v="AR ZonaProp"/>
    <n v="190000"/>
    <x v="330"/>
    <x v="1"/>
    <s v="Dólares"/>
    <s v="Dólares"/>
    <s v="Charcas  al 4000"/>
    <s v="Argentina | Capital Federal | Palermo "/>
    <x v="0"/>
    <n v="2"/>
    <s v="Seniority"/>
    <s v="Propia (Único Asesor)"/>
    <x v="1"/>
    <s v="Venta"/>
    <x v="3"/>
    <s v="Barrio Parque"/>
  </r>
  <r>
    <d v="2025-09-09T00:00:00"/>
    <x v="1"/>
    <x v="6"/>
    <s v="CHO6411675"/>
    <x v="0"/>
    <s v="venta casa  lote propio 5 amb con cochera y patio villa luzuriaga"/>
    <s v="Realizado"/>
    <s v="AR ArgenProp"/>
    <n v="180000"/>
    <x v="330"/>
    <x v="1"/>
    <s v="Dólares"/>
    <s v="Dólares"/>
    <s v="Carabobo al 3700"/>
    <s v="Argentina | G.B.A. Zona Oeste | La Matanza | Villa Luzuriaga"/>
    <x v="2"/>
    <n v="2"/>
    <s v="Lion Team"/>
    <s v="Propia (Único Asesor)"/>
    <x v="1"/>
    <s v="Venta"/>
    <x v="3"/>
    <s v="Villa Urquiza"/>
  </r>
  <r>
    <d v="2025-10-24T00:00:00"/>
    <x v="1"/>
    <x v="11"/>
    <s v="CAP7212292"/>
    <x v="0"/>
    <s v="Venta Departamento 3 Ambientes en Villa Crespo"/>
    <s v="Realizado"/>
    <s v="AR ZonaProp"/>
    <n v="185000"/>
    <x v="330"/>
    <x v="1"/>
    <s v="Dólares"/>
    <s v="Dólares"/>
    <s v="Aguirre  al 500"/>
    <s v="Argentina | Capital Federal | Villa Crespo "/>
    <x v="0"/>
    <n v="2"/>
    <s v="Seniority"/>
    <s v="Propia (Único Asesor)"/>
    <x v="1"/>
    <s v="Venta"/>
    <x v="3"/>
    <s v="Barrio Parque"/>
  </r>
  <r>
    <d v="2025-10-24T00:00:00"/>
    <x v="1"/>
    <x v="11"/>
    <s v="CAP7269117"/>
    <x v="0"/>
    <s v="VENTA DEPARTAMENTO 3 AMB CON BALCON VILLA URQUIZA"/>
    <s v="Realizado"/>
    <s v="AR ZonaProp"/>
    <n v="185000"/>
    <x v="330"/>
    <x v="1"/>
    <s v="Dólares"/>
    <s v="Dólares"/>
    <s v="Avenida Congreso al 4300"/>
    <s v="Argentina | Capital Federal | Villa Urquiza "/>
    <x v="0"/>
    <n v="2"/>
    <s v="Destino II"/>
    <s v="Propia (Único Asesor)"/>
    <x v="1"/>
    <s v="Venta"/>
    <x v="3"/>
    <s v="Recoleta"/>
  </r>
  <r>
    <d v="2025-11-07T00:00:00"/>
    <x v="1"/>
    <x v="7"/>
    <s v="CLO728953"/>
    <x v="0"/>
    <s v="Venta Local Oficina Comercial Balvanera Monserrat San Cristobal"/>
    <s v="Realizado"/>
    <s v="AR ArgenProp"/>
    <n v="180000"/>
    <x v="330"/>
    <x v="1"/>
    <s v="Dólares"/>
    <s v="Dólares"/>
    <s v="Chile al 1800"/>
    <s v="Argentina | Capital Federal | Balvanera "/>
    <x v="4"/>
    <n v="2"/>
    <s v="Lion Team"/>
    <s v="Propia (Único Asesor)"/>
    <x v="1"/>
    <s v="Venta"/>
    <x v="3"/>
    <s v="Villa Urquiza"/>
  </r>
  <r>
    <d v="2025-12-23T00:00:00"/>
    <x v="1"/>
    <x v="8"/>
    <s v="CHO6892523"/>
    <x v="0"/>
    <s v="Casa en Venta 3 dormitorios Santa Emilia Pilar del Este"/>
    <s v="Realizado"/>
    <s v="AR MercadoLibre"/>
    <n v="187000"/>
    <x v="330"/>
    <x v="1"/>
    <s v="Dólares"/>
    <s v="Dólares"/>
    <s v="Barrio Santa Emilia Pilar del Este"/>
    <s v="Argentina | G.B.A. Zona Norte | Pilar | Countries/B.Cerrado (Pilar) | Pilar Del Este | Santa Emilia"/>
    <x v="2"/>
    <n v="2"/>
    <s v="North Team"/>
    <s v="Propia (Único Asesor)"/>
    <x v="1"/>
    <s v="Venta"/>
    <x v="6"/>
    <s v="Pilar"/>
  </r>
  <r>
    <d v="2026-01-14T00:00:00"/>
    <x v="0"/>
    <x v="10"/>
    <s v="CHO7550770"/>
    <x v="0"/>
    <s v="VENTA - Casas de Santa Ana - Villanueva"/>
    <s v="Realizado"/>
    <s v="AR ZonaProp"/>
    <n v="185000"/>
    <x v="330"/>
    <x v="1"/>
    <s v="Dólares"/>
    <s v="Dólares"/>
    <s v="VENTA- Casas de Santa Ana - Villanueva"/>
    <s v="Argentina | G.B.A. Zona Norte | Tigre | Countries/B.Cerrado (Tigre) | Villanueva | Casas de Santa Ana"/>
    <x v="2"/>
    <n v="2"/>
    <s v="Puerto Norte"/>
    <s v="Propia (Único Asesor)"/>
    <x v="1"/>
    <s v="Venta"/>
    <x v="6"/>
    <s v="Nordelta"/>
  </r>
  <r>
    <d v="2025-10-14T00:00:00"/>
    <x v="1"/>
    <x v="11"/>
    <s v="CAP7442606"/>
    <x v="1"/>
    <s v="VENTA Depto en pozo , UF 1B Modulo 1  Amenities, Vista al Lago y cordillera, B° Las Balsas, Villa La Angostura"/>
    <s v="Realizado"/>
    <s v="AR ZonaProp"/>
    <n v="180468"/>
    <x v="331"/>
    <x v="1"/>
    <s v="Dólares"/>
    <s v="Dólares"/>
    <s v="Calle Interna Feicuram"/>
    <s v="Argentina | Neuquen | Villa La Angostura | Las Balsas"/>
    <x v="0"/>
    <n v="2"/>
    <s v="Patagonia Lakes VLA"/>
    <s v="Compartida en Oficina (Dos Asesores)"/>
    <x v="1"/>
    <s v="Venta"/>
    <x v="1"/>
    <s v="Villa La Angostura"/>
  </r>
  <r>
    <d v="2026-01-07T00:00:00"/>
    <x v="0"/>
    <x v="10"/>
    <s v="CAP7440232"/>
    <x v="0"/>
    <s v="Venta departamento con vista al lago, 5  amb céntrico,  Bariloche"/>
    <s v="Realizado"/>
    <s v="Teléfono"/>
    <n v="181000"/>
    <x v="332"/>
    <x v="1"/>
    <s v="Dólares"/>
    <s v="Dólares"/>
    <s v="Centro, San Carlos de Bariloche"/>
    <s v="Argentina | Rio Negro | Bariloche | San Carlos De Bariloche | Centro"/>
    <x v="0"/>
    <n v="1"/>
    <s v="Patagonia Lakes BRC"/>
    <s v="(Interior) Compartida Fuera de la Red Captación Propia"/>
    <x v="0"/>
    <s v="Venta"/>
    <x v="7"/>
    <s v="Bariloche"/>
  </r>
  <r>
    <d v="2025-12-15T00:00:00"/>
    <x v="1"/>
    <x v="8"/>
    <s v="CAP6810730"/>
    <x v="0"/>
    <s v="VENTA  DEPARTAMENTO 3 AMBIENTES DEPENDENCIA Y COCHERA, VILLA URQUIZA"/>
    <s v="Realizado"/>
    <s v="AR ZonaProp"/>
    <n v="205000"/>
    <x v="332"/>
    <x v="1"/>
    <s v="Dólares"/>
    <s v="Dólares"/>
    <s v="Roosevelt  al 5000"/>
    <s v="Argentina | Capital Federal | Villa Urquiza | Urquiza R"/>
    <x v="0"/>
    <n v="2"/>
    <s v="Seniority Plus"/>
    <s v="Compartida en Oficina (Dos Asesores)"/>
    <x v="1"/>
    <s v="Venta"/>
    <x v="3"/>
    <s v="Palermo"/>
  </r>
  <r>
    <d v="2025-08-25T00:00:00"/>
    <x v="1"/>
    <x v="5"/>
    <m/>
    <x v="0"/>
    <s v="Virrey Aviles 2985 - Guillermina Pico - Marimo Propiedades"/>
    <s v="Realizado"/>
    <s v="AR ZonaProp"/>
    <n v="182000"/>
    <x v="333"/>
    <x v="1"/>
    <s v="Dólares"/>
    <s v="Dólares"/>
    <s v="Virrey Aviles 2985 "/>
    <s v="Argentina | Capital Federal | Belgrano "/>
    <x v="0"/>
    <n v="1"/>
    <s v="Destino"/>
    <s v="Compartida Fuera de la Red Búsqueda"/>
    <x v="2"/>
    <s v="Venta"/>
    <x v="3"/>
    <s v="Recoleta"/>
  </r>
  <r>
    <d v="2026-03-05T00:00:00"/>
    <x v="0"/>
    <x v="9"/>
    <s v="CAP7240208"/>
    <x v="0"/>
    <s v="VENTA DEPTO CUATRO AMB A RECICLAR  OPORTUNIDAD RECOLETA"/>
    <s v="Realizado"/>
    <s v="AR ZonaProp"/>
    <n v="195000"/>
    <x v="333"/>
    <x v="1"/>
    <s v="Dólares"/>
    <s v="Dólares"/>
    <s v="Junin al 1100"/>
    <s v="Argentina | Capital Federal | Recoleta "/>
    <x v="0"/>
    <n v="2"/>
    <s v="Destino"/>
    <s v="Propia (Único Asesor)"/>
    <x v="1"/>
    <s v="Venta"/>
    <x v="3"/>
    <s v="Recoleta"/>
  </r>
  <r>
    <d v="2026-03-20T00:00:00"/>
    <x v="0"/>
    <x v="9"/>
    <s v="CLA7449250"/>
    <x v="0"/>
    <s v="Venta Terreno en Villa Devoto"/>
    <s v="Realizado"/>
    <s v="AR ZonaProp"/>
    <n v="237000"/>
    <x v="333"/>
    <x v="1"/>
    <s v="Dólares"/>
    <s v="Dólares"/>
    <s v="Carlos Antonio Lopez al 4100"/>
    <s v="Argentina | Capital Federal | Villa Devoto "/>
    <x v="1"/>
    <n v="2"/>
    <s v="Seniority"/>
    <s v="Propia (Único Asesor)"/>
    <x v="1"/>
    <s v="Venta"/>
    <x v="3"/>
    <s v="Barrio Parque"/>
  </r>
  <r>
    <d v="2025-09-15T00:00:00"/>
    <x v="1"/>
    <x v="6"/>
    <s v="88Stella"/>
    <x v="0"/>
    <s v="Casa en Recoleta"/>
    <s v="Realizado"/>
    <s v="Conocido"/>
    <n v="190000"/>
    <x v="334"/>
    <x v="1"/>
    <s v="Dólares"/>
    <s v="Dólares"/>
    <s v="Santiago del estero 3500"/>
    <s v="Argentina | Santa Fe | La Capital | Santa Fe | Centro"/>
    <x v="2"/>
    <n v="1"/>
    <s v="De la Veracruz"/>
    <s v="(Interior) Compartida Fuera de la Red Búsqueda"/>
    <x v="2"/>
    <s v="Venta"/>
    <x v="5"/>
    <s v="Capital Santa Fe"/>
  </r>
  <r>
    <d v="2025-12-01T00:00:00"/>
    <x v="1"/>
    <x v="8"/>
    <s v="CAP7275077"/>
    <x v="0"/>
    <s v="Departamento opcion amoblado en venta en Quinta Seccion Mendoza"/>
    <s v="Realizado"/>
    <s v="AR ZonaProp"/>
    <n v="185000"/>
    <x v="334"/>
    <x v="1"/>
    <s v="Dólares"/>
    <s v="Dólares"/>
    <s v="Av. Boulogne Sur Mer 555"/>
    <s v="Argentina | Mendoza | Capital | Mendoza | Quinta Sección"/>
    <x v="0"/>
    <n v="1"/>
    <s v="Cuyo Real"/>
    <s v="(Interior) Compartida Fuera de la Red Captación Propia"/>
    <x v="0"/>
    <s v="Venta"/>
    <x v="2"/>
    <s v="Capital Mendoza"/>
  </r>
  <r>
    <d v="2025-02-27T00:00:00"/>
    <x v="1"/>
    <x v="0"/>
    <s v="CHO5781367"/>
    <x v="0"/>
    <s v="VENTA Casa moderna 3 ambientes 86m2, lote 213m2, Lomas del Correntoso Villa La Angostura"/>
    <s v="Realizado"/>
    <s v="Teléfono"/>
    <n v="183000"/>
    <x v="334"/>
    <x v="1"/>
    <s v="Dólares"/>
    <s v="Dólares"/>
    <s v="Del Radal  al 600, Villa la Angostura"/>
    <s v="Argentina | Neuquen | Villa La Angostura | Lomas De Correntoso"/>
    <x v="2"/>
    <n v="2"/>
    <s v="Patagonia Lakes VLA"/>
    <s v="Compartida en Oficina (Dos Asesores)"/>
    <x v="1"/>
    <s v="Venta"/>
    <x v="1"/>
    <s v="Villa La Angostura"/>
  </r>
  <r>
    <d v="2026-02-17T00:00:00"/>
    <x v="0"/>
    <x v="0"/>
    <s v="JULIO A ROCA"/>
    <x v="0"/>
    <s v="JULIO A ROCA"/>
    <s v="Realizado"/>
    <s v="AR ZonaProp"/>
    <n v="183000"/>
    <x v="334"/>
    <x v="1"/>
    <s v="Dólares"/>
    <s v="Dólares"/>
    <s v="JULIO A ROCA 928 "/>
    <s v="Argentina | G.B.A. Zona Norte | Vicente López "/>
    <x v="0"/>
    <n v="2"/>
    <s v="Puerto Norte"/>
    <s v="Compartida en Oficina (Dos Asesores)"/>
    <x v="1"/>
    <s v="Venta"/>
    <x v="6"/>
    <s v="Nordelta"/>
  </r>
  <r>
    <d v="2026-02-10T00:00:00"/>
    <x v="0"/>
    <x v="0"/>
    <s v="CHO6947321"/>
    <x v="0"/>
    <s v="Casa en  venta Náutico Escobar"/>
    <s v="Realizado"/>
    <s v="AR ZonaProp"/>
    <n v="195000"/>
    <x v="334"/>
    <x v="1"/>
    <s v="Dólares"/>
    <s v="Dólares"/>
    <s v="Libertad al 1300"/>
    <s v="Argentina | G.B.A. Zona Norte | Escobar | Countries/B.Cerrado (Escobar) | Nautico Escobar"/>
    <x v="2"/>
    <n v="2"/>
    <s v="Lion Team"/>
    <s v="Propia (Único Asesor)"/>
    <x v="1"/>
    <s v="Venta"/>
    <x v="3"/>
    <s v="Villa Urquiza"/>
  </r>
  <r>
    <d v="2026-03-11T00:00:00"/>
    <x v="0"/>
    <x v="9"/>
    <s v="CAP7354812"/>
    <x v="0"/>
    <s v="Venta Departamento 3 ambientes c/dependencias piso alto Recoleta - Apto crédito"/>
    <s v="Realizado"/>
    <s v="AR ZonaProp"/>
    <n v="199900"/>
    <x v="335"/>
    <x v="1"/>
    <s v="Dólares"/>
    <s v="Dólares"/>
    <s v="Av. Santa Fe al 2100"/>
    <s v="Argentina | Capital Federal | Recoleta "/>
    <x v="0"/>
    <n v="2"/>
    <s v="Seniority"/>
    <s v="Compartida Fuera de la Red Captación Propia"/>
    <x v="0"/>
    <s v="Venta"/>
    <x v="3"/>
    <s v="Barrio Parque"/>
  </r>
  <r>
    <d v="2025-04-29T00:00:00"/>
    <x v="1"/>
    <x v="3"/>
    <s v="CHO6440257"/>
    <x v="0"/>
    <s v="Venta Casa 3dor CIPOLLETTI"/>
    <s v="Realizado"/>
    <s v="AR ZonaProp"/>
    <n v="190000"/>
    <x v="335"/>
    <x v="1"/>
    <s v="Dólares"/>
    <s v="Dólares"/>
    <s v="9 de julio 1373"/>
    <s v="Argentina | Rio Negro | Cipolletti "/>
    <x v="2"/>
    <n v="2"/>
    <s v="Sensus"/>
    <s v="Propia (Único Asesor)"/>
    <x v="1"/>
    <s v="Venta"/>
    <x v="1"/>
    <s v="Capital Neuquén"/>
  </r>
  <r>
    <d v="2026-02-05T00:00:00"/>
    <x v="0"/>
    <x v="0"/>
    <n v="5022026"/>
    <x v="0"/>
    <s v="Reserva Venta Ada 25 de mayo 1343, Ubicate Transferencia "/>
    <s v="Realizado"/>
    <s v="Teléfono"/>
    <n v="185000"/>
    <x v="336"/>
    <x v="1"/>
    <s v="Dólares"/>
    <s v="Dólares"/>
    <m/>
    <s v="Argentina | Rio Negro | Bariloche "/>
    <x v="2"/>
    <n v="1"/>
    <s v="Patagonia Lakes BRC"/>
    <s v="(Interior) Compartida Fuera de la Red Búsqueda"/>
    <x v="2"/>
    <s v="Venta"/>
    <x v="7"/>
    <s v="Bariloche"/>
  </r>
  <r>
    <d v="2025-02-17T00:00:00"/>
    <x v="1"/>
    <x v="0"/>
    <s v="CHO6123521"/>
    <x v="0"/>
    <s v="VENTA Casa 2 habitaciones 93m2 en lote de 846 m2 Tres Cerros  Villa la Angostura"/>
    <s v="Realizado"/>
    <s v="Conocido"/>
    <n v="195000"/>
    <x v="336"/>
    <x v="1"/>
    <s v="Dólares"/>
    <s v="Dólares"/>
    <s v="Río Minero 100"/>
    <s v="Argentina | Neuquen | Villa La Angostura | Tres Cerros"/>
    <x v="2"/>
    <n v="1"/>
    <s v="Patagonia Lakes VLA"/>
    <s v="(Interior) Compartida Fuera de la Red Captación Propia"/>
    <x v="0"/>
    <s v="Venta"/>
    <x v="1"/>
    <s v="Villa La Angostura"/>
  </r>
  <r>
    <d v="2025-03-22T00:00:00"/>
    <x v="1"/>
    <x v="9"/>
    <s v="CHO6345971"/>
    <x v="0"/>
    <s v="VENTA Casa 3 dormitorios a estrenar calidad premium 85m2 lote 230m2 Bº Norte Villa la Angostura"/>
    <s v="Realizado"/>
    <s v="Conocido"/>
    <n v="195000"/>
    <x v="336"/>
    <x v="1"/>
    <s v="Dólares"/>
    <s v="Dólares"/>
    <s v="Lacar al 400"/>
    <s v="Argentina | Neuquen | Villa La Angostura | Barrio Norte Ruta 231"/>
    <x v="2"/>
    <n v="2"/>
    <s v="Patagonia Lakes VLA"/>
    <s v="Compartida en Oficina (Dos Asesores)"/>
    <x v="1"/>
    <s v="Venta"/>
    <x v="1"/>
    <s v="Villa La Angostura"/>
  </r>
  <r>
    <d v="2025-04-01T00:00:00"/>
    <x v="1"/>
    <x v="3"/>
    <m/>
    <x v="0"/>
    <s v="Dpto Syra. Mono ambiente, 1 baño , 53 m2 . Balcón , 185 mil valor venta ."/>
    <s v="Realizado"/>
    <s v="Web Coldwell-Banker"/>
    <n v="185000"/>
    <x v="336"/>
    <x v="1"/>
    <s v="Dólares"/>
    <s v="Dólares"/>
    <s v="Sarmiento 489"/>
    <s v="Argentina | Neuquen | Lacar | San Martin De Los Andes"/>
    <x v="0"/>
    <n v="2"/>
    <s v="Patagonia Lakes SMA"/>
    <s v="Compartida en Oficina (Dos Asesores)"/>
    <x v="1"/>
    <s v="Venta"/>
    <x v="1"/>
    <s v="San Martín de los Andes"/>
  </r>
  <r>
    <d v="2025-10-02T00:00:00"/>
    <x v="1"/>
    <x v="11"/>
    <s v="CPH6403604"/>
    <x v="0"/>
    <s v="Increible PH con terraza propia reciclado SUPER LUMINOSO "/>
    <s v="Realizado"/>
    <s v="AR ZonaProp"/>
    <n v="220000"/>
    <x v="336"/>
    <x v="1"/>
    <s v="Dólares"/>
    <s v="Dólares"/>
    <s v="Aguirre al 900"/>
    <s v="Argentina | Capital Federal | Villa Crespo "/>
    <x v="3"/>
    <n v="2"/>
    <s v="Destino"/>
    <s v="Compartida en Oficina (Dos Asesores)"/>
    <x v="1"/>
    <s v="Venta"/>
    <x v="3"/>
    <s v="Recoleta"/>
  </r>
  <r>
    <d v="2025-03-27T00:00:00"/>
    <x v="1"/>
    <x v="9"/>
    <s v="CAP6487436"/>
    <x v="1"/>
    <s v="Venta Departamento 3 ambientes con dependencia y balcón en Olivos, La Isla. Vicente López"/>
    <s v="Realizado"/>
    <s v="AR ZonaProp"/>
    <n v="189000"/>
    <x v="336"/>
    <x v="1"/>
    <s v="Dólares"/>
    <s v="Dólares"/>
    <s v="Juan Bautista Alberdi 600"/>
    <s v="Argentina | G.B.A. Zona Norte | Vicente López | Olivos"/>
    <x v="0"/>
    <n v="2"/>
    <s v="Seniority Plus"/>
    <s v="Compartida en Red (50%)"/>
    <x v="1"/>
    <s v="Venta"/>
    <x v="3"/>
    <s v="Palermo"/>
  </r>
  <r>
    <d v="2025-03-27T00:00:00"/>
    <x v="1"/>
    <x v="9"/>
    <n v="11"/>
    <x v="0"/>
    <s v="dpto alberdi"/>
    <s v="Realizado"/>
    <s v="AR ArgenProp"/>
    <n v="185000"/>
    <x v="336"/>
    <x v="1"/>
    <s v="Dólares"/>
    <s v="Dólares"/>
    <s v="alberdi "/>
    <s v="Argentina | G.B.A. Zona Norte | Vicente López | Florida | Florida Mitre/Este"/>
    <x v="0"/>
    <n v="2"/>
    <s v="Desiderio"/>
    <s v="Compartida en Red (50%)"/>
    <x v="1"/>
    <s v="Venta"/>
    <x v="3"/>
    <s v="Caballito"/>
  </r>
  <r>
    <d v="2025-01-21T00:00:00"/>
    <x v="1"/>
    <x v="10"/>
    <s v=" CHO6750139"/>
    <x v="0"/>
    <s v="Old man 704, lote 480"/>
    <s v="Realizado"/>
    <s v="AR ZonaProp"/>
    <n v="220000"/>
    <x v="336"/>
    <x v="1"/>
    <s v="Dólares"/>
    <s v="Dólares"/>
    <s v="Old man 704, lote 480"/>
    <s v="Argentina | G.B.A. Zona Norte | Escobar | Countries/B.Cerrado (Escobar) | Haras Santa Maria"/>
    <x v="2"/>
    <n v="1"/>
    <s v="Notable"/>
    <s v="Compartida Fuera de la Red Búsqueda"/>
    <x v="2"/>
    <s v="Venta"/>
    <x v="3"/>
    <s v="Palermo"/>
  </r>
  <r>
    <d v="2025-07-15T00:00:00"/>
    <x v="1"/>
    <x v="1"/>
    <n v="10411"/>
    <x v="0"/>
    <s v="Laprida"/>
    <s v="Realizado"/>
    <s v="AR ZonaProp"/>
    <n v="0"/>
    <x v="336"/>
    <x v="1"/>
    <s v="Dólares"/>
    <s v="Dólares"/>
    <m/>
    <s v="Argentina | Capital Federal | Recoleta "/>
    <x v="2"/>
    <n v="1"/>
    <s v="Seniority"/>
    <s v="Compartida Fuera de la Red Búsqueda"/>
    <x v="2"/>
    <s v="Venta"/>
    <x v="3"/>
    <s v="Barrio Parque"/>
  </r>
  <r>
    <d v="2025-10-09T00:00:00"/>
    <x v="1"/>
    <x v="11"/>
    <s v="SANCHEZ DE BUSTAMANTE"/>
    <x v="0"/>
    <s v="DEPARTAMENTO SANCHEZ DE BUSTAMANTE "/>
    <s v="Realizado"/>
    <s v="AR ZonaProp"/>
    <n v="385000"/>
    <x v="336"/>
    <x v="1"/>
    <s v="Dólares"/>
    <s v="Dólares"/>
    <s v="SANCHEZ DE BUSTAMANTE "/>
    <s v="Argentina | Capital Federal | Palermo "/>
    <x v="0"/>
    <n v="1"/>
    <s v="Puerto Norte"/>
    <s v="Compartida Fuera de la Red Búsqueda"/>
    <x v="2"/>
    <s v="Venta"/>
    <x v="6"/>
    <s v="Nordelta"/>
  </r>
  <r>
    <d v="2025-02-17T00:00:00"/>
    <x v="1"/>
    <x v="0"/>
    <s v="VLA6614018"/>
    <x v="0"/>
    <s v="Lote a la Laguna - Laguna Grande, Villanueva"/>
    <s v="Realizado"/>
    <s v="AR ZonaProp"/>
    <n v="195000"/>
    <x v="336"/>
    <x v="1"/>
    <s v="Dólares"/>
    <s v="Dólares"/>
    <s v="Lote a la Laguna - Laguna Grande, Villanueva"/>
    <s v="Argentina | G.B.A. Zona Norte | Tigre | Countries/B.Cerrado (Tigre) | Villanueva | Laguna Grande"/>
    <x v="1"/>
    <n v="2"/>
    <s v="Puerto Norte"/>
    <s v="Compartida Fuera de la Red Captación Propia"/>
    <x v="0"/>
    <s v="Venta"/>
    <x v="6"/>
    <s v="Nordelta"/>
  </r>
  <r>
    <d v="2026-03-19T00:00:00"/>
    <x v="0"/>
    <x v="9"/>
    <s v="CAP7381931"/>
    <x v="0"/>
    <s v="Venta Departamento 2 Ambientes tipo loft en Vicente López"/>
    <s v="Realizado"/>
    <s v="AR ZonaProp"/>
    <n v="220000"/>
    <x v="336"/>
    <x v="1"/>
    <s v="Dólares"/>
    <s v="Dólares"/>
    <s v="Uspallata al 700"/>
    <s v="Argentina | G.B.A. Zona Norte | Vicente López "/>
    <x v="0"/>
    <n v="2"/>
    <s v="Seniority"/>
    <s v="Compartida Fuera de la Red Captación Propia"/>
    <x v="0"/>
    <s v="Venta"/>
    <x v="3"/>
    <s v="Barrio Parque"/>
  </r>
  <r>
    <d v="2025-01-31T00:00:00"/>
    <x v="1"/>
    <x v="10"/>
    <s v="CAP6614633"/>
    <x v="0"/>
    <s v="VENTA DEPARTAMENTO 3 AMBIENTES DUPLEX EN VILLA DEVOTO"/>
    <s v="Realizado"/>
    <s v="AR ZonaProp"/>
    <n v="189000"/>
    <x v="336"/>
    <x v="1"/>
    <s v="Dólares"/>
    <s v="Dólares"/>
    <s v="Av Segurola  al 3200"/>
    <s v="Argentina | Capital Federal | Villa Devoto "/>
    <x v="0"/>
    <n v="2"/>
    <s v="Seniority"/>
    <s v="Propia (Único Asesor)"/>
    <x v="1"/>
    <s v="Venta"/>
    <x v="3"/>
    <s v="Barrio Parque"/>
  </r>
  <r>
    <d v="2025-03-01T00:00:00"/>
    <x v="1"/>
    <x v="9"/>
    <s v="CAP2418624"/>
    <x v="0"/>
    <s v="Venta Penthouse 2 dormitorios   escritorio con balcón terraza y lavadero"/>
    <s v="Realizado"/>
    <s v="AR ZonaProp"/>
    <n v="200000"/>
    <x v="336"/>
    <x v="1"/>
    <s v="Dólares"/>
    <s v="Dólares"/>
    <s v="Franklin D. Roseevelt al 3200"/>
    <s v="Argentina | Capital Federal | Belgrano "/>
    <x v="0"/>
    <n v="2"/>
    <s v="Concept"/>
    <s v="Propia (Único Asesor)"/>
    <x v="1"/>
    <s v="Venta"/>
    <x v="6"/>
    <s v="Tigre"/>
  </r>
  <r>
    <d v="2025-08-20T00:00:00"/>
    <x v="1"/>
    <x v="5"/>
    <s v="CAP6989208"/>
    <x v="0"/>
    <s v="Departamento en  Belgrano. 3 Dormitorios. Reciclado a nuevo"/>
    <s v="Realizado"/>
    <s v="AR ZonaProp"/>
    <n v="185000"/>
    <x v="336"/>
    <x v="1"/>
    <s v="Dólares"/>
    <s v="Dólares"/>
    <s v="Moldes al 1900"/>
    <s v="Argentina | Capital Federal | Belgrano "/>
    <x v="0"/>
    <n v="2"/>
    <s v="Seniority"/>
    <s v="Propia (Único Asesor)"/>
    <x v="1"/>
    <s v="Venta"/>
    <x v="3"/>
    <s v="Barrio Parque"/>
  </r>
  <r>
    <d v="2025-09-09T00:00:00"/>
    <x v="1"/>
    <x v="6"/>
    <s v="CHO7018946"/>
    <x v="0"/>
    <s v="Casa en Venta - 4 AMB en El Ensueño"/>
    <s v="Realizado"/>
    <s v="AR ZonaProp"/>
    <n v="190000"/>
    <x v="336"/>
    <x v="1"/>
    <s v="Dólares"/>
    <s v="Dólares"/>
    <s v="Casa en Venta - 4 AMB en El Ensueño"/>
    <s v="Argentina | G.B.A. Zona Norte | Escobar | Barrio Privado El Ensueño"/>
    <x v="2"/>
    <n v="2"/>
    <s v="Puerto Norte"/>
    <s v="Propia (Único Asesor)"/>
    <x v="1"/>
    <s v="Venta"/>
    <x v="6"/>
    <s v="Nordelta"/>
  </r>
  <r>
    <d v="2025-10-20T00:00:00"/>
    <x v="1"/>
    <x v="11"/>
    <s v="VAP6197958"/>
    <x v="0"/>
    <s v="Departamento en Villa Los Remeros - 3 Ambientes"/>
    <s v="Realizado"/>
    <s v="AR ZonaProp"/>
    <n v="200000"/>
    <x v="336"/>
    <x v="1"/>
    <s v="Dólares"/>
    <s v="Dólares"/>
    <s v="Departamento en Villa Los Remeros - 3 AMB"/>
    <s v="Argentina | G.B.A. Zona Norte | Tigre | Rincon de Milberg"/>
    <x v="0"/>
    <n v="2"/>
    <s v="Puerto Norte"/>
    <s v="Propia (Único Asesor)"/>
    <x v="1"/>
    <s v="Venta"/>
    <x v="6"/>
    <s v="Nordelta"/>
  </r>
  <r>
    <d v="2026-01-21T00:00:00"/>
    <x v="0"/>
    <x v="10"/>
    <s v="CHO6752521"/>
    <x v="0"/>
    <s v="Casa en venta 3 dormitorios San Sebastian Area 8"/>
    <s v="Realizado"/>
    <s v="AR MercadoLibre"/>
    <n v="1500"/>
    <x v="336"/>
    <x v="1"/>
    <s v="Dólares"/>
    <s v="Dólares"/>
    <s v="Barrio San Sebastian Area 8"/>
    <s v="Argentina | G.B.A. Zona Norte | Pilar | Countries/B.Cerrado (Pilar) | San Sebastian"/>
    <x v="2"/>
    <n v="2"/>
    <s v="North Team"/>
    <s v="Propia (Único Asesor)"/>
    <x v="1"/>
    <s v="Venta"/>
    <x v="6"/>
    <s v="Pilar"/>
  </r>
  <r>
    <d v="2025-12-17T00:00:00"/>
    <x v="1"/>
    <x v="8"/>
    <s v="CPH6045394"/>
    <x v="0"/>
    <s v="VENTA PH km 5, dos dormitorios, con patio, Bariloche"/>
    <s v="Realizado"/>
    <s v="Teléfono"/>
    <n v="190000"/>
    <x v="337"/>
    <x v="1"/>
    <s v="Dólares"/>
    <s v="Dólares"/>
    <s v="Pinar del Lago, San Carlos de Bariloche"/>
    <s v="Argentina | Rio Negro | Bariloche | San Carlos De Bariloche | Pinar del Lago"/>
    <x v="3"/>
    <n v="1"/>
    <s v="Patagonia Lakes BRC"/>
    <s v="(Interior) Compartida Fuera de la Red Captación Propia"/>
    <x v="0"/>
    <s v="Venta"/>
    <x v="7"/>
    <s v="Bariloche"/>
  </r>
  <r>
    <d v="2025-10-07T00:00:00"/>
    <x v="1"/>
    <x v="11"/>
    <m/>
    <x v="0"/>
    <s v="Departamento en venta en coglan"/>
    <s v="Realizado"/>
    <s v="Conocido"/>
    <n v="195000"/>
    <x v="337"/>
    <x v="1"/>
    <s v="Dólares"/>
    <s v="Dólares"/>
    <s v="Cramer 2562"/>
    <s v="Argentina | Capital Federal | Saavedra "/>
    <x v="0"/>
    <n v="1"/>
    <s v="Space BA"/>
    <s v="Compartida Fuera de la Red Búsqueda"/>
    <x v="2"/>
    <s v="Venta"/>
    <x v="3"/>
    <s v="Belgrano"/>
  </r>
  <r>
    <d v="2025-02-19T00:00:00"/>
    <x v="1"/>
    <x v="0"/>
    <s v="CLA5599338"/>
    <x v="0"/>
    <s v="Terreno en Triple Frente en Venta Apto Varios Destinos o  Desarrollo de Condominio"/>
    <s v="Realizado"/>
    <s v="Referido"/>
    <n v="210000"/>
    <x v="337"/>
    <x v="1"/>
    <s v="Dólares"/>
    <s v="Dólares"/>
    <s v="Conesa"/>
    <s v="Argentina | G.B.A. Zona Norte | Tigre | Benavidez"/>
    <x v="1"/>
    <n v="2"/>
    <s v="Concept"/>
    <s v="Compartida Fuera de la Red Captación Propia"/>
    <x v="0"/>
    <s v="Venta"/>
    <x v="6"/>
    <s v="Tigre"/>
  </r>
  <r>
    <d v="2025-12-04T00:00:00"/>
    <x v="1"/>
    <x v="8"/>
    <s v="CAP7175004"/>
    <x v="0"/>
    <s v="Venta Departamento 2 ambientes en Palermo Chico"/>
    <s v="Realizado"/>
    <s v="AR ZonaProp"/>
    <n v="190000"/>
    <x v="337"/>
    <x v="1"/>
    <s v="Dólares"/>
    <s v="Dólares"/>
    <s v="Sinclair  al 3100"/>
    <s v="Argentina | Capital Federal | Palermo | Palermo Chico"/>
    <x v="0"/>
    <n v="2"/>
    <s v="Seniority Plus"/>
    <s v="Compartida Fuera de la Red Captación Propia"/>
    <x v="0"/>
    <s v="Venta"/>
    <x v="3"/>
    <s v="Palermo"/>
  </r>
  <r>
    <d v="2025-02-18T00:00:00"/>
    <x v="1"/>
    <x v="0"/>
    <s v="CAP6058620"/>
    <x v="0"/>
    <s v="Departamento en Recoleta"/>
    <s v="Realizado"/>
    <s v="AR ZonaProp"/>
    <n v="195000"/>
    <x v="337"/>
    <x v="1"/>
    <s v="Dólares"/>
    <s v="Dólares"/>
    <s v="Laprida  al 1400"/>
    <s v="Argentina | Capital Federal | Recoleta "/>
    <x v="0"/>
    <n v="2"/>
    <s v="Destino II"/>
    <s v="Propia (Único Asesor)"/>
    <x v="1"/>
    <s v="Venta"/>
    <x v="3"/>
    <s v="Recoleta"/>
  </r>
  <r>
    <d v="2025-10-30T00:00:00"/>
    <x v="1"/>
    <x v="11"/>
    <s v="CAP7336443"/>
    <x v="0"/>
    <s v="Departamento en Neuquén Cap."/>
    <s v="Realizado"/>
    <s v="AR ZonaProp"/>
    <n v="160000"/>
    <x v="338"/>
    <x v="1"/>
    <s v="Dólares"/>
    <s v="Dólares"/>
    <s v="San Martin y Santiago del Estero"/>
    <s v="Argentina | Neuquen | Capital "/>
    <x v="0"/>
    <n v="2"/>
    <s v="Sensus"/>
    <s v="Propia (Único Asesor)"/>
    <x v="1"/>
    <s v="Venta"/>
    <x v="1"/>
    <s v="Capital Neuquén"/>
  </r>
  <r>
    <d v="2025-11-05T00:00:00"/>
    <x v="1"/>
    <x v="7"/>
    <n v="10568"/>
    <x v="2"/>
    <s v="Dpto en venta en Villa Crespo"/>
    <s v="Realizado"/>
    <s v="AR ZonaProp"/>
    <n v="189000"/>
    <x v="339"/>
    <x v="1"/>
    <s v="Dólares"/>
    <s v="Dólares"/>
    <s v="Thames 56 dto608"/>
    <s v="Argentina | Capital Federal | Villa Crespo "/>
    <x v="0"/>
    <n v="2"/>
    <s v="Seniority"/>
    <s v="Master"/>
    <x v="1"/>
    <s v="Venta"/>
    <x v="3"/>
    <s v="Barrio Parque"/>
  </r>
  <r>
    <d v="2025-08-25T00:00:00"/>
    <x v="1"/>
    <x v="5"/>
    <s v="CAP6910178"/>
    <x v="0"/>
    <s v="DEPARTAMENTO DUPLEX   EN VENTA  - CENTRO ADROGUE"/>
    <s v="Realizado"/>
    <s v="AR ZonaProp"/>
    <n v="199000"/>
    <x v="339"/>
    <x v="1"/>
    <s v="Dólares"/>
    <s v="Dólares"/>
    <s v="Roca al 500"/>
    <s v="Argentina | G.B.A. Zona Sur | Almirante Brown | Adrogue"/>
    <x v="0"/>
    <n v="2"/>
    <s v="Destino"/>
    <s v="Propia (Único Asesor)"/>
    <x v="1"/>
    <s v="Venta"/>
    <x v="3"/>
    <s v="Recoleta"/>
  </r>
  <r>
    <d v="2026-03-19T00:00:00"/>
    <x v="0"/>
    <x v="9"/>
    <s v="CAP7580690"/>
    <x v="0"/>
    <s v="Departamento en Villa Crespo en venta"/>
    <s v="Realizado"/>
    <s v="AR ZonaProp"/>
    <n v="196000"/>
    <x v="339"/>
    <x v="1"/>
    <s v="Dólares"/>
    <s v="Dólares"/>
    <s v="Gurruchaga al 400"/>
    <s v="Argentina | Capital Federal | Villa Crespo "/>
    <x v="0"/>
    <n v="2"/>
    <s v="Seniority"/>
    <s v="Propia (Único Asesor)"/>
    <x v="1"/>
    <s v="Venta"/>
    <x v="3"/>
    <s v="Barrio Parque"/>
  </r>
  <r>
    <d v="2025-05-07T00:00:00"/>
    <x v="1"/>
    <x v="2"/>
    <s v="Casa Tres Cerritos Los Jazmines 700"/>
    <x v="0"/>
    <s v="Casa En Venta Tres Cerritos Los Jazmines 700"/>
    <s v="Realizado"/>
    <s v="Referido"/>
    <n v="195000"/>
    <x v="340"/>
    <x v="1"/>
    <s v="Dólares"/>
    <s v="Dólares"/>
    <s v="Tres Cerritos Los Jazmines 700"/>
    <s v="Argentina | Salta | Capital | Salta | Bo.Tres Cerritos"/>
    <x v="2"/>
    <n v="1"/>
    <s v="Realty Group"/>
    <s v="(Interior) Compartida Fuera de la Red Búsqueda"/>
    <x v="2"/>
    <s v="Venta"/>
    <x v="4"/>
    <s v="San Lorenzo Chico"/>
  </r>
  <r>
    <d v="2025-07-17T00:00:00"/>
    <x v="1"/>
    <x v="1"/>
    <m/>
    <x v="0"/>
    <s v="Tres cerritos los juncos 177"/>
    <s v="Realizado"/>
    <s v="Referido"/>
    <n v="190000"/>
    <x v="340"/>
    <x v="1"/>
    <s v="Dólares"/>
    <s v="Dólares"/>
    <s v="los juncos 177 tres cerritos"/>
    <s v="Argentina | Salta | Capital "/>
    <x v="2"/>
    <n v="1"/>
    <s v="Realty Group"/>
    <s v="(Interior) Compartida Fuera de la Red Búsqueda"/>
    <x v="2"/>
    <s v="Venta"/>
    <x v="4"/>
    <s v="San Lorenzo Chico"/>
  </r>
  <r>
    <d v="2026-03-10T00:00:00"/>
    <x v="0"/>
    <x v="9"/>
    <s v="CLO7711949"/>
    <x v="0"/>
    <s v="LOCALES EN VENTA"/>
    <s v="Realizado"/>
    <s v="AR ZonaProp"/>
    <n v="190000"/>
    <x v="340"/>
    <x v="1"/>
    <s v="Dólares"/>
    <s v="Dólares"/>
    <s v="Av. Bandera de Los Andes al 3800"/>
    <s v="Argentina | Mendoza | Guaymallen | Villa Nueva De Guaymallen"/>
    <x v="4"/>
    <n v="1"/>
    <s v="Cuyo Real"/>
    <s v="(Interior) Compartida Fuera de la Red Búsqueda"/>
    <x v="2"/>
    <s v="Venta"/>
    <x v="2"/>
    <s v="Capital Mendoza"/>
  </r>
  <r>
    <d v="2026-02-05T00:00:00"/>
    <x v="0"/>
    <x v="0"/>
    <s v="CLO7711949"/>
    <x v="0"/>
    <s v="LOCALES EN VENTA"/>
    <s v="Realizado"/>
    <s v="AR ZonaProp"/>
    <n v="190000"/>
    <x v="340"/>
    <x v="1"/>
    <s v="Dólares"/>
    <s v="Dólares"/>
    <s v="Av. Bandera de Los Andes al 3800"/>
    <s v="Argentina | Mendoza | Guaymallen | Villa Nueva De Guaymallen"/>
    <x v="4"/>
    <n v="1"/>
    <s v="Cuyo Real"/>
    <s v="(Interior) Compartida Fuera de la Red Captación Propia"/>
    <x v="0"/>
    <s v="Venta"/>
    <x v="2"/>
    <s v="Capital Mendoza"/>
  </r>
  <r>
    <d v="2025-09-28T00:00:00"/>
    <x v="1"/>
    <x v="6"/>
    <s v="CHO7253261"/>
    <x v="0"/>
    <s v="Casa club Manuel Belgrano "/>
    <s v="Realizado"/>
    <s v="AR ZonaProp"/>
    <n v="195000"/>
    <x v="340"/>
    <x v="1"/>
    <s v="Dólares"/>
    <s v="Dólares"/>
    <s v="Barrio Manuel Belgrano"/>
    <s v="Argentina | G.B.A. Zona Norte | Escobar | Countries/B.Cerrado (Escobar) | C.C.Manuel Belgrano"/>
    <x v="2"/>
    <n v="2"/>
    <s v="Puerto Norte"/>
    <s v="Compartida en Oficina (Dos Asesores)"/>
    <x v="1"/>
    <s v="Venta"/>
    <x v="6"/>
    <s v="Nordelta"/>
  </r>
  <r>
    <d v="2025-03-05T00:00:00"/>
    <x v="1"/>
    <x v="9"/>
    <n v="10307"/>
    <x v="0"/>
    <s v="Araoz 2592"/>
    <s v="Realizado"/>
    <s v="AR ZonaProp"/>
    <n v="0"/>
    <x v="340"/>
    <x v="1"/>
    <s v="Dólares"/>
    <s v="Dólares"/>
    <m/>
    <s v="Argentina | Capital Federal | Palermo "/>
    <x v="0"/>
    <n v="1"/>
    <s v="Seniority"/>
    <s v="Compartida Fuera de la Red Búsqueda"/>
    <x v="2"/>
    <s v="Venta"/>
    <x v="3"/>
    <s v="Barrio Parque"/>
  </r>
  <r>
    <d v="2025-08-29T00:00:00"/>
    <x v="1"/>
    <x v="5"/>
    <s v="N/C - ARENALES 1391"/>
    <x v="0"/>
    <s v="VENTA DPTO 3 AMBIENTES RECOLETA"/>
    <s v="Realizado"/>
    <s v="AR MercadoLibre"/>
    <n v="190000"/>
    <x v="340"/>
    <x v="1"/>
    <s v="Dólares"/>
    <s v="Dólares"/>
    <s v="ARENALES 1391"/>
    <s v="Argentina | Capital Federal | Recoleta "/>
    <x v="0"/>
    <n v="1"/>
    <s v="Destino II"/>
    <s v="Compartida Fuera de la Red Búsqueda"/>
    <x v="2"/>
    <s v="Venta"/>
    <x v="3"/>
    <s v="Recoleta"/>
  </r>
  <r>
    <d v="2025-10-23T00:00:00"/>
    <x v="1"/>
    <x v="11"/>
    <m/>
    <x v="0"/>
    <s v="Av. Pueyrredon 2409 - Toribio Achaval - Marina y Guadalupe"/>
    <s v="Realizado"/>
    <s v="AR ZonaProp"/>
    <n v="190000"/>
    <x v="340"/>
    <x v="1"/>
    <s v="Dólares"/>
    <s v="Dólares"/>
    <s v="Av. Pueyrredon 2409"/>
    <s v="Argentina | Capital Federal | Recoleta "/>
    <x v="0"/>
    <n v="1"/>
    <s v="Destino"/>
    <s v="Compartida Fuera de la Red Búsqueda"/>
    <x v="2"/>
    <s v="Venta"/>
    <x v="3"/>
    <s v="Recoleta"/>
  </r>
  <r>
    <d v="2025-11-10T00:00:00"/>
    <x v="1"/>
    <x v="7"/>
    <n v="10587"/>
    <x v="0"/>
    <s v="Uriburu 1690 11ªA"/>
    <s v="Realizado"/>
    <s v="AR ZonaProp"/>
    <n v="0"/>
    <x v="340"/>
    <x v="1"/>
    <s v="Dólares"/>
    <s v="Dólares"/>
    <s v="Uriburu 1690 11ªA"/>
    <s v="Argentina | Capital Federal | Recoleta "/>
    <x v="0"/>
    <n v="1"/>
    <s v="Seniority"/>
    <s v="Compartida Fuera de la Red Búsqueda"/>
    <x v="2"/>
    <s v="Venta"/>
    <x v="3"/>
    <s v="Barrio Parque"/>
  </r>
  <r>
    <d v="2025-11-25T00:00:00"/>
    <x v="1"/>
    <x v="7"/>
    <n v="10618"/>
    <x v="0"/>
    <s v="Allende 4519 "/>
    <s v="Realizado"/>
    <s v="AR ZonaProp"/>
    <n v="190000"/>
    <x v="340"/>
    <x v="1"/>
    <s v="Dólares"/>
    <s v="Dólares"/>
    <s v="Allende 4519 "/>
    <s v="Argentina | Capital Federal | Villa Devoto "/>
    <x v="0"/>
    <n v="1"/>
    <s v="Seniority"/>
    <s v="Compartida Fuera de la Red Búsqueda"/>
    <x v="2"/>
    <s v="Venta"/>
    <x v="3"/>
    <s v="Barrio Parque"/>
  </r>
  <r>
    <d v="2026-02-27T00:00:00"/>
    <x v="0"/>
    <x v="0"/>
    <m/>
    <x v="0"/>
    <s v="Av. La Plata 275 - Martin Pitaluga "/>
    <s v="Realizado"/>
    <s v="AR ZonaProp"/>
    <n v="0"/>
    <x v="340"/>
    <x v="1"/>
    <s v="Dólares"/>
    <s v="Dólares"/>
    <s v="Av. La Plata 275"/>
    <s v="Argentina | Capital Federal | Caballito "/>
    <x v="0"/>
    <n v="1"/>
    <s v="Destino"/>
    <s v="Compartida Fuera de la Red Búsqueda"/>
    <x v="2"/>
    <s v="Venta"/>
    <x v="3"/>
    <s v="Recoleta"/>
  </r>
  <r>
    <d v="2025-02-04T00:00:00"/>
    <x v="1"/>
    <x v="0"/>
    <s v="VAP6391198"/>
    <x v="0"/>
    <s v="Departamento en Venta - 4 AMB - Santa Ana Joven"/>
    <s v="Realizado"/>
    <s v="AR ZonaProp"/>
    <n v="185000"/>
    <x v="340"/>
    <x v="1"/>
    <s v="Dólares"/>
    <s v="Dólares"/>
    <s v="Avenida Italia al 4300"/>
    <s v="Argentina | G.B.A. Zona Norte | Tigre | Benavidez | Santa Ana Joven"/>
    <x v="0"/>
    <n v="2"/>
    <s v="Puerto Norte"/>
    <s v="Compartida Fuera de la Red Captación Propia"/>
    <x v="0"/>
    <s v="Venta"/>
    <x v="6"/>
    <s v="Nordelta"/>
  </r>
  <r>
    <d v="2025-04-22T00:00:00"/>
    <x v="1"/>
    <x v="3"/>
    <s v="VHO6860280"/>
    <x v="0"/>
    <s v="Casa en  santa isabel con jardin "/>
    <s v="Realizado"/>
    <s v="AR ZonaProp"/>
    <n v="180000"/>
    <x v="340"/>
    <x v="1"/>
    <s v="Dólares"/>
    <s v="Dólares"/>
    <s v="rene favaloro al 1500"/>
    <s v="Argentina | G.B.A. Zona Norte | Escobar | Ingeniero Maschwitz"/>
    <x v="2"/>
    <n v="2"/>
    <s v="Puerto Norte"/>
    <s v="Compartida Fuera de la Red Captación Propia"/>
    <x v="0"/>
    <s v="Venta"/>
    <x v="6"/>
    <s v="Nordelta"/>
  </r>
  <r>
    <d v="2025-04-23T00:00:00"/>
    <x v="1"/>
    <x v="3"/>
    <s v="CAP5655889"/>
    <x v="0"/>
    <s v="Venta Departamento 3 ambientes, luz y vista con balcón aterrazado y Cochera en Belgrano"/>
    <s v="Realizado"/>
    <s v="AR ZonaProp"/>
    <n v="199000"/>
    <x v="340"/>
    <x v="1"/>
    <s v="Dólares"/>
    <s v="Dólares"/>
    <s v="Ciudad de la Paz al 1700"/>
    <s v="Argentina | Capital Federal | Belgrano "/>
    <x v="0"/>
    <n v="2"/>
    <s v="Seniority Plus"/>
    <s v="Compartida Fuera de la Red Captación Propia"/>
    <x v="0"/>
    <s v="Venta"/>
    <x v="3"/>
    <s v="Palermo"/>
  </r>
  <r>
    <d v="2025-07-31T00:00:00"/>
    <x v="1"/>
    <x v="1"/>
    <n v="10476"/>
    <x v="0"/>
    <s v="libertador "/>
    <s v="Realizado"/>
    <s v="AR ZonaProp"/>
    <n v="0"/>
    <x v="340"/>
    <x v="1"/>
    <s v="Dólares"/>
    <s v="Dólares"/>
    <m/>
    <s v="Argentina | Capital Federal | Belgrano "/>
    <x v="0"/>
    <n v="2"/>
    <s v="Seniority"/>
    <s v="Compartida Fuera de la Red Captación Propia"/>
    <x v="0"/>
    <s v="Venta"/>
    <x v="3"/>
    <s v="Barrio Parque"/>
  </r>
  <r>
    <d v="2025-10-13T00:00:00"/>
    <x v="1"/>
    <x v="11"/>
    <s v="CLA6603234"/>
    <x v="0"/>
    <s v="Venta CASA  FACHADA HISTORICA EN PATERNAL"/>
    <s v="Realizado"/>
    <s v="AR ZonaProp"/>
    <n v="195000"/>
    <x v="340"/>
    <x v="1"/>
    <s v="Dólares"/>
    <s v="Dólares"/>
    <s v="Granada al 1600"/>
    <s v="Argentina | Capital Federal | Paternal "/>
    <x v="2"/>
    <n v="2"/>
    <s v="Seniority"/>
    <s v="Compartida Fuera de la Red Captación Propia"/>
    <x v="0"/>
    <s v="Venta"/>
    <x v="3"/>
    <s v="Barrio Parque"/>
  </r>
  <r>
    <d v="2025-10-22T00:00:00"/>
    <x v="1"/>
    <x v="11"/>
    <s v="CAP6950734"/>
    <x v="0"/>
    <s v="VENTA DEPARTAMENTO 3 DORMITORIOS CON DEPENDENCIA EN LAS CAÑITAS"/>
    <s v="Realizado"/>
    <s v="AR ZonaProp"/>
    <n v="199900"/>
    <x v="340"/>
    <x v="1"/>
    <s v="Dólares"/>
    <s v="Dólares"/>
    <s v="MIgueletes  al 500"/>
    <s v="Argentina | Capital Federal | Palermo | Las Cañitas"/>
    <x v="0"/>
    <n v="2"/>
    <s v="Seniority"/>
    <s v="Compartida Fuera de la Red Captación Propia"/>
    <x v="0"/>
    <s v="Venta"/>
    <x v="3"/>
    <s v="Barrio Parque"/>
  </r>
  <r>
    <d v="2025-10-22T00:00:00"/>
    <x v="1"/>
    <x v="11"/>
    <s v="CPH7097318"/>
    <x v="0"/>
    <s v="Venta PH 6 ambientes con patio y terraza en Villa Santa Rita"/>
    <s v="Realizado"/>
    <s v="AR ZonaProp"/>
    <n v="209000"/>
    <x v="340"/>
    <x v="1"/>
    <s v="Dólares"/>
    <s v="Dólares"/>
    <s v="Juan Agustin Garcia  al 3200"/>
    <s v="Argentina | Capital Federal | Villa Santa Rita "/>
    <x v="3"/>
    <n v="2"/>
    <s v="Seniority Plus"/>
    <s v="Compartida Fuera de la Red Captación Propia"/>
    <x v="0"/>
    <s v="Venta"/>
    <x v="3"/>
    <s v="Palermo"/>
  </r>
  <r>
    <d v="2025-05-06T00:00:00"/>
    <x v="1"/>
    <x v="2"/>
    <s v="CHO6500928"/>
    <x v="2"/>
    <s v="Venta Casa 5 ambientes en Barrio Privado Pilar Village"/>
    <s v="Realizado"/>
    <s v="Conocido"/>
    <n v="199000"/>
    <x v="340"/>
    <x v="1"/>
    <s v="Dólares"/>
    <s v="Dólares"/>
    <s v="Barrio Cerrado Pilar Village Chubut al 600"/>
    <s v="Argentina | G.B.A. Zona Norte | Pilar | Countries/B.Cerrado (Pilar) | Pilar Village"/>
    <x v="2"/>
    <n v="2"/>
    <s v="Acqua"/>
    <s v="Master"/>
    <x v="1"/>
    <s v="Venta"/>
    <x v="6"/>
    <s v="Pilar"/>
  </r>
  <r>
    <d v="2025-11-11T00:00:00"/>
    <x v="1"/>
    <x v="7"/>
    <s v="Los Cardos"/>
    <x v="2"/>
    <s v="Lote en Los Cardos Pilar - 700 mts2"/>
    <s v="Realizado"/>
    <s v="Referido"/>
    <n v="195000"/>
    <x v="340"/>
    <x v="1"/>
    <s v="Dólares"/>
    <s v="Dólares"/>
    <s v="Manuel Luis de Oliden Manuel Alberti"/>
    <s v="Argentina | G.B.A. Zona Norte | Pilar | Countries/B.Cerrado (Pilar) | Los Cardos"/>
    <x v="1"/>
    <n v="2"/>
    <s v="North Team"/>
    <s v="Master"/>
    <x v="1"/>
    <s v="Venta"/>
    <x v="6"/>
    <s v="Pilar"/>
  </r>
  <r>
    <d v="2025-04-09T00:00:00"/>
    <x v="1"/>
    <x v="3"/>
    <s v="CPH4135324"/>
    <x v="0"/>
    <s v="Venta  Permuta  PH San Telmo 5 ambientes en tres pisos con cochera."/>
    <s v="Realizado"/>
    <s v="AR ZonaProp"/>
    <n v="200000"/>
    <x v="340"/>
    <x v="1"/>
    <s v="Dólares"/>
    <s v="Dólares"/>
    <s v="Piedras al 1300"/>
    <s v="Argentina | Capital Federal | San Telmo "/>
    <x v="3"/>
    <n v="2"/>
    <s v="Ser"/>
    <s v="Propia (Único Asesor)"/>
    <x v="1"/>
    <s v="Venta"/>
    <x v="3"/>
    <s v="Belgrano"/>
  </r>
  <r>
    <d v="2025-07-08T00:00:00"/>
    <x v="1"/>
    <x v="1"/>
    <s v="CST6957534"/>
    <x v="0"/>
    <s v=" Venta Depósito en   zona Villa Pueyrredon "/>
    <s v="Realizado"/>
    <s v="AR ZonaProp"/>
    <n v="240000"/>
    <x v="340"/>
    <x v="1"/>
    <s v="Dólares"/>
    <s v="Dólares"/>
    <s v="Argerich al 4700"/>
    <s v="Argentina | Capital Federal | Villa Pueyrredon "/>
    <x v="7"/>
    <n v="2"/>
    <s v="Grupo Elite"/>
    <s v="Propia (Único Asesor)"/>
    <x v="1"/>
    <s v="Venta"/>
    <x v="3"/>
    <s v="Puerto Madero"/>
  </r>
  <r>
    <d v="2025-08-25T00:00:00"/>
    <x v="1"/>
    <x v="5"/>
    <s v="CPH6487462"/>
    <x v="0"/>
    <s v="Venta PH en Villa Pueyrredón Frente -Jardin -Cochera - Patio- Terraza -Quincho -Parrilla"/>
    <s v="Realizado"/>
    <s v="AR ArgenProp"/>
    <n v="224500"/>
    <x v="340"/>
    <x v="1"/>
    <s v="Dólares"/>
    <s v="Dólares"/>
    <s v="Gabriela Mistral 3200"/>
    <s v="Argentina | Capital Federal | Villa Pueyrredon "/>
    <x v="3"/>
    <n v="2"/>
    <s v="Lion Team"/>
    <s v="Propia (Único Asesor)"/>
    <x v="1"/>
    <s v="Venta"/>
    <x v="3"/>
    <s v="Villa Urquiza"/>
  </r>
  <r>
    <d v="2025-12-15T00:00:00"/>
    <x v="1"/>
    <x v="8"/>
    <m/>
    <x v="0"/>
    <s v="casa ubicada en Los Raulíes 161 , barrio Los Robles, nomenclatura catastral: 15-20-054-3649-0000, con la siguientes superficies aproximadas 115 m2 cubiertos 27m2 descubiertos, con 805 m2 de superficie de  lote"/>
    <s v="Realizado"/>
    <s v="Referido"/>
    <n v="219000"/>
    <x v="340"/>
    <x v="1"/>
    <s v="Dólares"/>
    <s v="Dólares"/>
    <s v="Los Raulies 450"/>
    <s v="Argentina | Neuquen | Lacar | San Martin De Los Andes | Los Robles"/>
    <x v="2"/>
    <n v="2"/>
    <s v="Patagonia Lakes SMA"/>
    <s v="Propia (Único Asesor)"/>
    <x v="1"/>
    <s v="Venta"/>
    <x v="1"/>
    <s v="San Martín de los Andes"/>
  </r>
  <r>
    <d v="2026-01-16T00:00:00"/>
    <x v="0"/>
    <x v="10"/>
    <s v="CHO7189662"/>
    <x v="0"/>
    <s v="Venta Casa Quinta en Moreno - Inversión - Vivienda"/>
    <s v="Realizado"/>
    <s v="AR ZonaProp"/>
    <n v="195000"/>
    <x v="340"/>
    <x v="1"/>
    <s v="Dólares"/>
    <s v="Dólares"/>
    <s v="Islas Baleares al 500"/>
    <s v="Argentina | G.B.A. Zona Oeste | Moreno | Paso Del Rey"/>
    <x v="2"/>
    <n v="2"/>
    <s v="Titanio"/>
    <s v="Propia (Único Asesor)"/>
    <x v="1"/>
    <s v="Venta"/>
    <x v="6"/>
    <s v="San Isidro"/>
  </r>
  <r>
    <d v="2025-09-25T00:00:00"/>
    <x v="1"/>
    <x v="6"/>
    <s v="BOSQUE PILAR"/>
    <x v="0"/>
    <s v="BOSQUE PILAR -DEPARTAMENTO"/>
    <s v="Realizado"/>
    <s v="AR ZonaProp"/>
    <n v="280000"/>
    <x v="341"/>
    <x v="1"/>
    <s v="Dólares"/>
    <s v="Dólares"/>
    <m/>
    <s v="Argentina | G.B.A. Zona Norte | Pilar "/>
    <x v="1"/>
    <n v="2"/>
    <s v="Puerto Norte"/>
    <s v="Compartida en Oficina (Dos Asesores)"/>
    <x v="1"/>
    <s v="Venta"/>
    <x v="6"/>
    <s v="Nordelta"/>
  </r>
  <r>
    <d v="2025-01-27T00:00:00"/>
    <x v="1"/>
    <x v="10"/>
    <s v="APH5198583"/>
    <x v="0"/>
    <s v="PH 5 ambientes con quincho y terraza"/>
    <s v="Realizado"/>
    <s v="AR ZonaProp"/>
    <n v="199000"/>
    <x v="341"/>
    <x v="1"/>
    <s v="Dólares"/>
    <s v="Dólares"/>
    <s v="Chivilcoy 4800"/>
    <s v="Argentina | Capital Federal | Villa Devoto "/>
    <x v="3"/>
    <n v="2"/>
    <s v="Desiderio"/>
    <s v="Compartida Fuera de la Red Captación Propia"/>
    <x v="0"/>
    <s v="Venta"/>
    <x v="3"/>
    <s v="Caballito"/>
  </r>
  <r>
    <d v="2025-03-19T00:00:00"/>
    <x v="1"/>
    <x v="9"/>
    <s v="VAP6667914"/>
    <x v="0"/>
    <s v="Departamento en  venta 2 dormitorios con cochera fija en Belgrano "/>
    <s v="Realizado"/>
    <s v="AR ZonaProp"/>
    <n v="195000"/>
    <x v="342"/>
    <x v="1"/>
    <s v="Dólares"/>
    <s v="Dólares"/>
    <s v="Pedro Ignacio Rivera  al 2900"/>
    <s v="Argentina | Capital Federal | Belgrano | Belgrano C"/>
    <x v="0"/>
    <n v="2"/>
    <s v="Space BA"/>
    <s v="Compartida Fuera de la Red Captación Propia"/>
    <x v="0"/>
    <s v="Venta"/>
    <x v="3"/>
    <s v="Belgrano"/>
  </r>
  <r>
    <d v="2025-04-04T00:00:00"/>
    <x v="1"/>
    <x v="3"/>
    <s v="CAP6842180"/>
    <x v="0"/>
    <s v="Venta Departamento 3 Ambientes en Nuñez --- NO ES APTO CREDITO"/>
    <s v="Realizado"/>
    <s v="AR ZonaProp"/>
    <n v="199000"/>
    <x v="342"/>
    <x v="1"/>
    <s v="Dólares"/>
    <s v="Dólares"/>
    <s v="Moldes al 3300"/>
    <s v="Argentina | Capital Federal | Nuñez "/>
    <x v="0"/>
    <n v="2"/>
    <s v="Seniority"/>
    <s v="Propia (Único Asesor)"/>
    <x v="1"/>
    <s v="Venta"/>
    <x v="3"/>
    <s v="Barrio Parque"/>
  </r>
  <r>
    <d v="2025-04-08T00:00:00"/>
    <x v="1"/>
    <x v="3"/>
    <s v="H. IRIGOYEN 1553"/>
    <x v="0"/>
    <s v="H. IRIGOYEN 1553"/>
    <s v="Realizado"/>
    <s v="AR ZonaProp"/>
    <n v="192000"/>
    <x v="342"/>
    <x v="1"/>
    <s v="Dólares"/>
    <s v="Dólares"/>
    <s v="H. IRIGOYEN 1553"/>
    <s v="Argentina | G.B.A. Zona Norte | Vicente López | Olivos"/>
    <x v="0"/>
    <n v="2"/>
    <s v="Lion Team"/>
    <s v="Propia (Único Asesor)"/>
    <x v="1"/>
    <s v="Venta"/>
    <x v="3"/>
    <s v="Villa Urquiza"/>
  </r>
  <r>
    <d v="2025-04-09T00:00:00"/>
    <x v="1"/>
    <x v="3"/>
    <n v="10240"/>
    <x v="0"/>
    <s v="Mariano Acha 1042 "/>
    <s v="Realizado"/>
    <s v="AR ZonaProp"/>
    <n v="0"/>
    <x v="343"/>
    <x v="1"/>
    <s v="Dólares"/>
    <s v="Dólares"/>
    <m/>
    <s v="Argentina | Capital Federal | Belgrano "/>
    <x v="0"/>
    <n v="2"/>
    <s v="Seniority"/>
    <s v="Compartida Fuera de la Red Captación Propia"/>
    <x v="0"/>
    <s v="Venta"/>
    <x v="3"/>
    <s v="Barrio Parque"/>
  </r>
  <r>
    <d v="2025-08-29T00:00:00"/>
    <x v="1"/>
    <x v="5"/>
    <m/>
    <x v="0"/>
    <s v="MAIPU 3095 - Tizado Propiedades - Santiago Chiapella"/>
    <s v="Realizado"/>
    <s v="AR ZonaProp"/>
    <n v="193000"/>
    <x v="344"/>
    <x v="1"/>
    <s v="Dólares"/>
    <s v="Dólares"/>
    <s v="MAIPU 3095"/>
    <s v="Argentina | Capital Federal | Palermo "/>
    <x v="1"/>
    <n v="1"/>
    <s v="Destino"/>
    <s v="Compartida Fuera de la Red Búsqueda"/>
    <x v="2"/>
    <s v="Venta"/>
    <x v="3"/>
    <s v="Recoleta"/>
  </r>
  <r>
    <d v="2025-08-29T00:00:00"/>
    <x v="1"/>
    <x v="5"/>
    <s v="Duplex Geral"/>
    <x v="0"/>
    <s v="Duplex Geraldine"/>
    <s v="Realizado"/>
    <s v="AR ZonaProp"/>
    <n v="193000"/>
    <x v="344"/>
    <x v="1"/>
    <s v="Dólares"/>
    <s v="Dólares"/>
    <m/>
    <s v="Argentina | Neuquen | Capital "/>
    <x v="3"/>
    <n v="2"/>
    <s v="Sensus"/>
    <s v="Propia (Único Asesor)"/>
    <x v="1"/>
    <s v="Venta"/>
    <x v="1"/>
    <s v="Capital Neuquén"/>
  </r>
  <r>
    <d v="2025-10-17T00:00:00"/>
    <x v="1"/>
    <x v="11"/>
    <m/>
    <x v="0"/>
    <s v="Millaqueo 665"/>
    <s v="Realizado"/>
    <s v="Conocido"/>
    <n v="195000"/>
    <x v="345"/>
    <x v="1"/>
    <s v="Dólares"/>
    <s v="Dólares"/>
    <s v="Millaqueo 665"/>
    <s v="Argentina | Neuquen | Villa La Angostura | El Once"/>
    <x v="2"/>
    <n v="1"/>
    <s v="Patagonia Lakes VLA"/>
    <s v="(Interior) Compartida Fuera de la Red Búsqueda"/>
    <x v="2"/>
    <s v="Venta"/>
    <x v="1"/>
    <s v="Villa La Angostura"/>
  </r>
  <r>
    <d v="2026-02-13T00:00:00"/>
    <x v="0"/>
    <x v="0"/>
    <s v="Casa Nati&amp;Lore"/>
    <x v="0"/>
    <s v="Casa Nati&amp;Lore"/>
    <s v="Realizado"/>
    <s v="Conocido"/>
    <n v="195000"/>
    <x v="345"/>
    <x v="1"/>
    <s v="Dólares"/>
    <s v="Dólares"/>
    <m/>
    <s v="Argentina | Rio Negro | General Roca | Cipolletti"/>
    <x v="2"/>
    <n v="1"/>
    <s v="Sensus"/>
    <s v="(Interior) Compartida Fuera de la Red Búsqueda"/>
    <x v="2"/>
    <s v="Venta"/>
    <x v="1"/>
    <s v="Capital Neuquén"/>
  </r>
  <r>
    <d v="2025-03-05T00:00:00"/>
    <x v="1"/>
    <x v="9"/>
    <m/>
    <x v="0"/>
    <s v="Sucre 1589 - VENTA SOL LORENZO - RX Puerto"/>
    <s v="Realizado"/>
    <s v="AR ZonaProp"/>
    <n v="195000"/>
    <x v="345"/>
    <x v="1"/>
    <s v="Dólares"/>
    <s v="Dólares"/>
    <s v="Sucre 1589"/>
    <s v="Argentina | Capital Federal | Belgrano "/>
    <x v="0"/>
    <n v="1"/>
    <s v="Destino"/>
    <s v="Compartida Fuera de la Red Búsqueda"/>
    <x v="2"/>
    <s v="Venta"/>
    <x v="3"/>
    <s v="Recoleta"/>
  </r>
  <r>
    <d v="2025-04-24T00:00:00"/>
    <x v="1"/>
    <x v="3"/>
    <s v="PTACOMP0012"/>
    <x v="0"/>
    <s v="CASA EN CALLE 492 Y 27"/>
    <s v="Realizado"/>
    <s v="Conocido"/>
    <n v="195000"/>
    <x v="345"/>
    <x v="1"/>
    <s v="Dólares"/>
    <s v="Dólares"/>
    <s v="27 Y 492 "/>
    <m/>
    <x v="2"/>
    <n v="1"/>
    <s v="Golden Team"/>
    <s v="Compartida Fuera de la Red Búsqueda"/>
    <x v="2"/>
    <s v="Venta"/>
    <x v="0"/>
    <s v="La Plata"/>
  </r>
  <r>
    <d v="2025-08-25T00:00:00"/>
    <x v="1"/>
    <x v="5"/>
    <s v="CAP6642818"/>
    <x v="0"/>
    <s v="Dpto. en venta - 2 ambientes en Nuñez con Cochera - Apto Credito"/>
    <s v="Realizado"/>
    <s v="AR ZonaProp"/>
    <n v="158999"/>
    <x v="345"/>
    <x v="1"/>
    <s v="Dólares"/>
    <s v="Dólares"/>
    <s v="Departamento en venta - 2 ambientes en Nuñez con Cochera Apto Credito"/>
    <s v="Argentina | Capital Federal | Nuñez "/>
    <x v="0"/>
    <n v="1"/>
    <s v="Puerto Norte"/>
    <s v="Compartida Fuera de la Red Búsqueda"/>
    <x v="2"/>
    <s v="Venta"/>
    <x v="6"/>
    <s v="Nordelta"/>
  </r>
  <r>
    <d v="2025-03-01T00:00:00"/>
    <x v="1"/>
    <x v="9"/>
    <s v="VAP6111075"/>
    <x v="0"/>
    <s v="Venta Departamento AMOBLADO Tigre Centro"/>
    <s v="Realizado"/>
    <s v="AR ZonaProp"/>
    <n v="175000"/>
    <x v="345"/>
    <x v="1"/>
    <s v="Dólares"/>
    <s v="Dólares"/>
    <s v="Luis Garcia al 1000"/>
    <s v="Argentina | G.B.A. Zona Norte | Tigre | Tigre"/>
    <x v="0"/>
    <n v="2"/>
    <s v="Puerto Norte"/>
    <s v="Compartida Fuera de la Red Captación Propia"/>
    <x v="0"/>
    <s v="Venta"/>
    <x v="6"/>
    <s v="Nordelta"/>
  </r>
  <r>
    <d v="2025-07-29T00:00:00"/>
    <x v="1"/>
    <x v="1"/>
    <s v="CAP6931856"/>
    <x v="0"/>
    <s v="Venta, departamento a estrenar con Amenities PISO ALTO"/>
    <s v="Realizado"/>
    <s v="AR ZonaProp"/>
    <n v="185000"/>
    <x v="345"/>
    <x v="1"/>
    <s v="Dólares"/>
    <s v="Dólares"/>
    <s v="Ruiz Huidobro al 4600 8°"/>
    <s v="Argentina | Capital Federal | Saavedra "/>
    <x v="0"/>
    <n v="2"/>
    <s v="Seniority"/>
    <s v="Compartida Fuera de la Red Captación Propia"/>
    <x v="0"/>
    <s v="Venta"/>
    <x v="3"/>
    <s v="Barrio Parque"/>
  </r>
  <r>
    <d v="2025-09-08T00:00:00"/>
    <x v="1"/>
    <x v="6"/>
    <s v="CAP6957412"/>
    <x v="0"/>
    <s v="Venta de Departamento a estrenar 3 ambientes con balcón y cochera, Saavedra"/>
    <s v="Realizado"/>
    <s v="AR MercadoLibre"/>
    <n v="215000"/>
    <x v="345"/>
    <x v="1"/>
    <s v="Dólares"/>
    <s v="Dólares"/>
    <s v="Larralde  al 3500"/>
    <s v="Argentina | Capital Federal | Saavedra "/>
    <x v="0"/>
    <n v="2"/>
    <s v="Acqua"/>
    <s v="Compartida Fuera de la Red Captación Propia"/>
    <x v="0"/>
    <s v="Venta"/>
    <x v="6"/>
    <s v="Pilar"/>
  </r>
  <r>
    <d v="2026-01-14T00:00:00"/>
    <x v="0"/>
    <x v="10"/>
    <s v="CAP7300711"/>
    <x v="0"/>
    <s v="Venta Departamento de 4 ambientes con cochera"/>
    <s v="Realizado"/>
    <s v="AR ZonaProp"/>
    <n v="197000"/>
    <x v="345"/>
    <x v="1"/>
    <s v="Dólares"/>
    <s v="Dólares"/>
    <s v="Sanchez de Bustamante al 1200"/>
    <s v="Argentina | Capital Federal | Recoleta "/>
    <x v="0"/>
    <n v="2"/>
    <s v="Seniority"/>
    <s v="Compartida Fuera de la Red Captación Propia"/>
    <x v="0"/>
    <s v="Venta"/>
    <x v="3"/>
    <s v="Barrio Parque"/>
  </r>
  <r>
    <d v="2026-01-22T00:00:00"/>
    <x v="0"/>
    <x v="10"/>
    <s v="CPH7059354"/>
    <x v="0"/>
    <s v="Espectacular PH triplex con terraza pileta y parrilla SUPER LUMINOSO"/>
    <s v="Realizado"/>
    <s v="AR ZonaProp"/>
    <n v="198000"/>
    <x v="345"/>
    <x v="1"/>
    <s v="Dólares"/>
    <s v="Dólares"/>
    <s v="Bonpland  al 1500"/>
    <s v="Argentina | Capital Federal | Palermo "/>
    <x v="3"/>
    <n v="2"/>
    <s v="Destino"/>
    <s v="Compartida Fuera de la Red Captación Propia"/>
    <x v="0"/>
    <s v="Venta"/>
    <x v="3"/>
    <s v="Recoleta"/>
  </r>
  <r>
    <d v="2025-10-03T00:00:00"/>
    <x v="1"/>
    <x v="11"/>
    <s v="CAP6990490"/>
    <x v="0"/>
    <s v="VENTA DEPARTAMENTO 3 AMBIENTES COCHERA VILLA PUEYRREDON"/>
    <s v="Realizado"/>
    <s v="AR MercadoLibre"/>
    <n v="194900"/>
    <x v="345"/>
    <x v="1"/>
    <s v="Dólares"/>
    <s v="Dólares"/>
    <s v="Gabriela Mistral al 2800"/>
    <s v="Argentina | Capital Federal | Villa Pueyrredon "/>
    <x v="0"/>
    <n v="2"/>
    <s v="Lion Team"/>
    <s v="Propia (Único Asesor)"/>
    <x v="1"/>
    <s v="Venta"/>
    <x v="3"/>
    <s v="Villa Urquiza"/>
  </r>
  <r>
    <d v="2025-10-07T00:00:00"/>
    <x v="1"/>
    <x v="11"/>
    <s v="CAP6840414"/>
    <x v="0"/>
    <s v="VENTA DEPARTAMENTO 3 AMBIENTES BALCON PLAZA ARENALES  PERMUTA"/>
    <s v="Realizado"/>
    <s v="AR MercadoLibre"/>
    <n v="229000"/>
    <x v="345"/>
    <x v="1"/>
    <s v="Dólares"/>
    <s v="Dólares"/>
    <s v="MARIA DEL CARRIL al 3600"/>
    <s v="Argentina | Capital Federal | Villa Devoto "/>
    <x v="0"/>
    <n v="2"/>
    <s v="Lion Team"/>
    <s v="Propia (Único Asesor)"/>
    <x v="1"/>
    <s v="Venta"/>
    <x v="3"/>
    <s v="Villa Urquiza"/>
  </r>
  <r>
    <d v="2025-11-29T00:00:00"/>
    <x v="1"/>
    <x v="7"/>
    <s v="CAP6884446"/>
    <x v="0"/>
    <s v="Oportunidad Departamento 4 amb. en Recoleta"/>
    <s v="Realizado"/>
    <s v="AR ZonaProp"/>
    <n v="195000"/>
    <x v="345"/>
    <x v="1"/>
    <s v="Dólares"/>
    <s v="Dólares"/>
    <s v="Juan Maria Gutierrez al 2700"/>
    <s v="Argentina | Capital Federal | Recoleta "/>
    <x v="0"/>
    <n v="2"/>
    <s v="Livello"/>
    <s v="Propia (Único Asesor)"/>
    <x v="1"/>
    <s v="Venta"/>
    <x v="3"/>
    <s v="Palermo"/>
  </r>
  <r>
    <d v="2025-12-01T00:00:00"/>
    <x v="1"/>
    <x v="8"/>
    <s v="CHO6672926"/>
    <x v="0"/>
    <s v="Casa en  venta en Barrio Privado Lomas de Terrada, Luján de Cuyo"/>
    <s v="Realizado"/>
    <s v="AR ZonaProp"/>
    <n v="220000"/>
    <x v="345"/>
    <x v="1"/>
    <s v="Dólares"/>
    <s v="Dólares"/>
    <s v="Barrio Privado Lomas de Terrada"/>
    <s v="Argentina | Mendoza | Lujan De Cuyo "/>
    <x v="2"/>
    <n v="2"/>
    <s v="Cuyo Real"/>
    <s v="Propia (Único Asesor)"/>
    <x v="1"/>
    <s v="Venta"/>
    <x v="2"/>
    <s v="Capital Mendoza"/>
  </r>
  <r>
    <d v="2026-01-15T00:00:00"/>
    <x v="0"/>
    <x v="10"/>
    <s v="San Alfonso"/>
    <x v="0"/>
    <s v="Casa en venta Barrio San Alfonso Pilar de Este"/>
    <s v="Realizado"/>
    <s v="AR MercadoLibre"/>
    <n v="198000"/>
    <x v="345"/>
    <x v="1"/>
    <s v="Dólares"/>
    <s v="Dólares"/>
    <s v="Pilar del Este"/>
    <s v="Argentina | G.B.A. Zona Norte | Pilar | Countries/B.Cerrado (Pilar) | Pilar Del Este | San Alfonso "/>
    <x v="2"/>
    <n v="2"/>
    <s v="North Team"/>
    <s v="Propia (Único Asesor)"/>
    <x v="1"/>
    <s v="Venta"/>
    <x v="6"/>
    <s v="Pilar"/>
  </r>
  <r>
    <d v="2026-02-27T00:00:00"/>
    <x v="0"/>
    <x v="0"/>
    <s v="CPH7586781"/>
    <x v="0"/>
    <s v="VENTA PH 3 AMBIENTES C/ PATIO, PARRILLA Y ENTRADA INDEPENDIENTE. VILLA DEVOTO."/>
    <s v="Realizado"/>
    <s v="AR ZonaProp"/>
    <n v="220000"/>
    <x v="345"/>
    <x v="1"/>
    <s v="Dólares"/>
    <s v="Dólares"/>
    <s v="Sanabria al 3600"/>
    <s v="Argentina | Capital Federal | Villa Devoto "/>
    <x v="3"/>
    <n v="2"/>
    <s v="Seniority"/>
    <s v="Propia (Único Asesor)"/>
    <x v="1"/>
    <s v="Venta"/>
    <x v="3"/>
    <s v="Barrio Parque"/>
  </r>
  <r>
    <d v="2026-03-07T00:00:00"/>
    <x v="0"/>
    <x v="9"/>
    <s v="CHO6848112"/>
    <x v="0"/>
    <s v="CASA 6 AMBIENTES EN CASTELAR APTA CRÉDITO"/>
    <s v="Realizado"/>
    <s v="AR ZonaProp"/>
    <n v="199900"/>
    <x v="345"/>
    <x v="1"/>
    <s v="Dólares"/>
    <s v="Dólares"/>
    <s v="Benito Villanueva al 1800"/>
    <s v="Argentina | G.B.A. Zona Oeste | Moron | Castelar | Castelar Norte"/>
    <x v="2"/>
    <n v="2"/>
    <s v="Audacity"/>
    <s v="Propia (Único Asesor)"/>
    <x v="1"/>
    <s v="Venta"/>
    <x v="9"/>
    <s v="Parque Leloir"/>
  </r>
  <r>
    <d v="2025-03-10T00:00:00"/>
    <x v="1"/>
    <x v="9"/>
    <s v="VHO6130770"/>
    <x v="0"/>
    <s v="Casa en Santa Ana - Villanueva"/>
    <s v="Realizado"/>
    <s v="AR ZonaProp"/>
    <n v="290000"/>
    <x v="346"/>
    <x v="1"/>
    <s v="Dólares"/>
    <s v="Dólares"/>
    <s v="Casa en Santa Ana - Villanueva"/>
    <s v="Argentina | G.B.A. Zona Norte | Tigre | Countries/B.Cerrado (Tigre) | Villanueva | Santa Ana"/>
    <x v="2"/>
    <n v="2"/>
    <s v="Puerto Norte"/>
    <s v="Compartida en Oficina (Dos Asesores)"/>
    <x v="1"/>
    <s v="Venta"/>
    <x v="6"/>
    <s v="Nordelta"/>
  </r>
  <r>
    <d v="2025-01-20T00:00:00"/>
    <x v="1"/>
    <x v="10"/>
    <s v="CPH6681869"/>
    <x v="0"/>
    <s v="Duplex en  Altos de Limay "/>
    <s v="Realizado"/>
    <s v="AR ZonaProp"/>
    <n v="196000"/>
    <x v="347"/>
    <x v="1"/>
    <s v="Dólares"/>
    <s v="Dólares"/>
    <s v=" Altos de Limay, Neuquén "/>
    <s v="Argentina | Neuquen | Capital "/>
    <x v="3"/>
    <n v="2"/>
    <s v="Sensus"/>
    <s v="Propia (Único Asesor)"/>
    <x v="1"/>
    <s v="Venta"/>
    <x v="1"/>
    <s v="Capital Neuquén"/>
  </r>
  <r>
    <d v="2025-04-23T00:00:00"/>
    <x v="1"/>
    <x v="3"/>
    <s v="VAP6483440"/>
    <x v="0"/>
    <s v="Enorme Semipiso 3 AMB luminosos (Dep y Baulera) en Libertador y Sucre"/>
    <s v="Realizado"/>
    <s v="AR ZonaProp"/>
    <n v="210000"/>
    <x v="348"/>
    <x v="1"/>
    <s v="Dólares"/>
    <s v="Dólares"/>
    <s v="Libertador al 5800"/>
    <s v="Argentina | Capital Federal | Belgrano | Belgrano C"/>
    <x v="0"/>
    <n v="2"/>
    <s v="Space BA"/>
    <s v="Propia (Único Asesor)"/>
    <x v="1"/>
    <s v="Venta"/>
    <x v="3"/>
    <s v="Belgrano"/>
  </r>
  <r>
    <d v="2025-10-09T00:00:00"/>
    <x v="1"/>
    <x v="11"/>
    <s v="CAP5356061"/>
    <x v="0"/>
    <s v="Venta - Departamento - 3 Ambientes - A estrenar - Mataderos - Balcon"/>
    <s v="Realizado"/>
    <s v="AR MercadoLibre"/>
    <n v="182600"/>
    <x v="349"/>
    <x v="1"/>
    <s v="Dólares"/>
    <s v="Dólares"/>
    <s v="Escalada 1060"/>
    <s v="Argentina | Capital Federal | Mataderos "/>
    <x v="0"/>
    <n v="2"/>
    <s v="Lion Team"/>
    <s v="Propia (Único Asesor)"/>
    <x v="1"/>
    <s v="Venta"/>
    <x v="3"/>
    <s v="Villa Urquiza"/>
  </r>
  <r>
    <d v="2025-11-27T00:00:00"/>
    <x v="1"/>
    <x v="7"/>
    <s v="CHO7111712"/>
    <x v="0"/>
    <s v="VENTA CASA EN SAAVEDRA"/>
    <s v="Realizado"/>
    <s v="AR ZonaProp"/>
    <n v="200000"/>
    <x v="350"/>
    <x v="1"/>
    <s v="Dólares"/>
    <s v="Dólares"/>
    <s v="Quintana al 4400"/>
    <s v="Argentina | Capital Federal | Saavedra "/>
    <x v="2"/>
    <n v="2"/>
    <s v="Seniority"/>
    <s v="Compartida Fuera de la Red Captación Propia"/>
    <x v="0"/>
    <s v="Venta"/>
    <x v="3"/>
    <s v="Barrio Parque"/>
  </r>
  <r>
    <d v="2025-03-31T00:00:00"/>
    <x v="1"/>
    <x v="9"/>
    <s v="CAP6597007"/>
    <x v="0"/>
    <s v="Venta Departamento 3 Ambientes con Cochera en Caballito"/>
    <s v="Realizado"/>
    <s v="AR ZonaProp"/>
    <n v="229000"/>
    <x v="351"/>
    <x v="1"/>
    <s v="Dólares"/>
    <s v="Dólares"/>
    <s v="Calasanz al 600"/>
    <s v="Argentina | Capital Federal | Caballito "/>
    <x v="0"/>
    <n v="2"/>
    <s v="Seniority Plus"/>
    <s v="Propia (Único Asesor)"/>
    <x v="1"/>
    <s v="Venta"/>
    <x v="3"/>
    <s v="Palermo"/>
  </r>
  <r>
    <d v="2026-03-10T00:00:00"/>
    <x v="0"/>
    <x v="9"/>
    <s v="CPH7415672"/>
    <x v="0"/>
    <s v="ESPECTACULAR!!! PH 3 amb con 2 terrazas + cochera + LUMINOSO!"/>
    <s v="Realizado"/>
    <s v="AR ZonaProp"/>
    <n v="199000"/>
    <x v="351"/>
    <x v="1"/>
    <s v="Dólares"/>
    <s v="Dólares"/>
    <s v="Rastreador Fournier  al 2300"/>
    <s v="Argentina | G.B.A. Zona Norte | Vicente López | Olivos"/>
    <x v="3"/>
    <n v="2"/>
    <s v="Destino"/>
    <s v="Propia (Único Asesor)"/>
    <x v="1"/>
    <s v="Venta"/>
    <x v="3"/>
    <s v="Recoleta"/>
  </r>
  <r>
    <d v="2025-10-16T00:00:00"/>
    <x v="1"/>
    <x v="11"/>
    <s v="ORTIZ DE OCAMPO"/>
    <x v="0"/>
    <s v="ORTIZ DE OCAMPO 2506 "/>
    <s v="Realizado"/>
    <s v="AR MercadoLibre"/>
    <n v="200000"/>
    <x v="352"/>
    <x v="1"/>
    <s v="Dólares"/>
    <s v="Dólares"/>
    <s v="ORTIZ DE OCAMPO 3506"/>
    <s v="Argentina | Capital Federal | Palermo "/>
    <x v="0"/>
    <n v="2"/>
    <s v="Puerto Norte"/>
    <s v="Compartida en Oficina (Dos Asesores)"/>
    <x v="1"/>
    <s v="Venta"/>
    <x v="6"/>
    <s v="Nordelta"/>
  </r>
  <r>
    <d v="2025-11-18T00:00:00"/>
    <x v="1"/>
    <x v="7"/>
    <s v="CHO7325370"/>
    <x v="0"/>
    <s v="CASA EN NAUDIR EN VENTA - 5 AMBIENTES"/>
    <s v="Realizado"/>
    <s v="AR ZonaProp"/>
    <n v="260000"/>
    <x v="352"/>
    <x v="1"/>
    <s v="Dólares"/>
    <s v="Dólares"/>
    <s v="CASA EN NAUDIR EN VENTA - 5 AMBIENTES"/>
    <s v="Argentina | G.B.A. Zona Norte | Escobar | Countries/B.Cerrado (Escobar) | El Naudir"/>
    <x v="2"/>
    <n v="2"/>
    <s v="Puerto Norte"/>
    <s v="Compartida en Oficina (Dos Asesores)"/>
    <x v="1"/>
    <s v="Venta"/>
    <x v="6"/>
    <s v="Nordelta"/>
  </r>
  <r>
    <d v="2026-02-04T00:00:00"/>
    <x v="0"/>
    <x v="0"/>
    <s v="CAP7547308"/>
    <x v="0"/>
    <s v="Espectacular 3 amb + dep balcon corrido SUPER luminoso! "/>
    <s v="Realizado"/>
    <s v="AR ZonaProp"/>
    <n v="210000"/>
    <x v="352"/>
    <x v="1"/>
    <s v="Dólares"/>
    <s v="Dólares"/>
    <s v="Laprida  al 1700"/>
    <s v="Argentina | Capital Federal | Recoleta "/>
    <x v="0"/>
    <n v="2"/>
    <s v="Destino"/>
    <s v="Compartida en Oficina (Dos Asesores)"/>
    <x v="1"/>
    <s v="Venta"/>
    <x v="3"/>
    <s v="Recoleta"/>
  </r>
  <r>
    <d v="2026-03-17T00:00:00"/>
    <x v="0"/>
    <x v="9"/>
    <s v="CHO7819795"/>
    <x v="0"/>
    <s v="Casa en Venta 4 Ambientes en San Sebastian - Área 12"/>
    <s v="Realizado"/>
    <s v="AR ZonaProp"/>
    <n v="179000"/>
    <x v="352"/>
    <x v="1"/>
    <s v="Dólares"/>
    <s v="Dólares"/>
    <s v="José Hernández al 6400"/>
    <s v="Argentina | G.B.A. Zona Norte | Pilar | Countries/B.Cerrado (Pilar) | San Sebastian"/>
    <x v="2"/>
    <n v="2"/>
    <s v="Puerto Norte"/>
    <s v="Compartida en Oficina (Dos Asesores)"/>
    <x v="1"/>
    <s v="Venta"/>
    <x v="6"/>
    <s v="Nordelta"/>
  </r>
  <r>
    <d v="2025-02-28T00:00:00"/>
    <x v="1"/>
    <x v="0"/>
    <s v="Depto San Juan"/>
    <x v="0"/>
    <s v="Departamento San Juan 2D"/>
    <s v="Realizado"/>
    <s v="AR ZonaProp"/>
    <n v="200000"/>
    <x v="352"/>
    <x v="1"/>
    <s v="Dólares"/>
    <s v="Dólares"/>
    <m/>
    <s v="Argentina | Neuquen | Capital "/>
    <x v="0"/>
    <n v="1"/>
    <s v="Sensus"/>
    <s v="Compartida Fuera de la Red Búsqueda"/>
    <x v="2"/>
    <s v="Venta"/>
    <x v="1"/>
    <s v="Capital Neuquén"/>
  </r>
  <r>
    <d v="2025-12-05T00:00:00"/>
    <x v="1"/>
    <x v="8"/>
    <s v="N/C - AMENABAR 2860"/>
    <x v="0"/>
    <s v="VENTA DPTO 3 AMBIENTES C BALCON"/>
    <s v="Realizado"/>
    <s v="AR ZonaProp"/>
    <n v="200000"/>
    <x v="352"/>
    <x v="1"/>
    <s v="Dólares"/>
    <s v="Dólares"/>
    <s v="AMENABAR 2860"/>
    <s v="Argentina | Capital Federal | Colegiales "/>
    <x v="0"/>
    <n v="1"/>
    <s v="Destino II"/>
    <s v="Compartida Fuera de la Red Búsqueda"/>
    <x v="2"/>
    <s v="Venta"/>
    <x v="3"/>
    <s v="Recoleta"/>
  </r>
  <r>
    <d v="2026-03-19T00:00:00"/>
    <x v="0"/>
    <x v="9"/>
    <n v="10727"/>
    <x v="0"/>
    <s v="Araoz"/>
    <s v="Realizado"/>
    <s v="AR ZonaProp"/>
    <n v="0"/>
    <x v="352"/>
    <x v="1"/>
    <s v="Dólares"/>
    <s v="Dólares"/>
    <s v="Araoz"/>
    <s v="Argentina | Capital Federal | Palermo "/>
    <x v="0"/>
    <n v="1"/>
    <s v="Seniority"/>
    <s v="Compartida Fuera de la Red Búsqueda"/>
    <x v="2"/>
    <s v="Venta"/>
    <x v="3"/>
    <s v="Barrio Parque"/>
  </r>
  <r>
    <d v="2025-12-29T00:00:00"/>
    <x v="1"/>
    <x v="8"/>
    <s v="CAP7365306"/>
    <x v="0"/>
    <s v="Venta departamento 4 ambientes Flores Balcón Cochera Baulera"/>
    <s v="Realizado"/>
    <s v="AR ZonaProp"/>
    <n v="240000"/>
    <x v="352"/>
    <x v="1"/>
    <s v="Dólares"/>
    <s v="Dólares"/>
    <s v="Dr. Juan Felipe Aranguren al 1800"/>
    <s v="Argentina | Capital Federal | Flores "/>
    <x v="0"/>
    <n v="2"/>
    <s v="Grupo Elite"/>
    <s v="Compartida Fuera de la Red Captación Propia"/>
    <x v="0"/>
    <s v="Venta"/>
    <x v="3"/>
    <s v="Puerto Madero"/>
  </r>
  <r>
    <d v="2025-01-10T00:00:00"/>
    <x v="1"/>
    <x v="10"/>
    <s v="CAP6280063"/>
    <x v="0"/>
    <s v="Venta 3 ambientes con patio propio reciclado mas cochera!"/>
    <s v="Realizado"/>
    <s v="AR ZonaProp"/>
    <n v="215000"/>
    <x v="352"/>
    <x v="1"/>
    <s v="Dólares"/>
    <s v="Dólares"/>
    <s v="Avenida Pueyrredon al 2100"/>
    <s v="Argentina | Capital Federal | Recoleta "/>
    <x v="0"/>
    <n v="2"/>
    <s v="Destino"/>
    <s v="Propia (Único Asesor)"/>
    <x v="1"/>
    <s v="Venta"/>
    <x v="3"/>
    <s v="Recoleta"/>
  </r>
  <r>
    <d v="2025-01-28T00:00:00"/>
    <x v="1"/>
    <x v="10"/>
    <s v="calle 14 del Luján 306"/>
    <x v="0"/>
    <s v="calle 14 del Luján 306"/>
    <s v="Realizado"/>
    <s v="AR ZonaProp"/>
    <n v="200000"/>
    <x v="352"/>
    <x v="1"/>
    <s v="Dólares"/>
    <s v="Dólares"/>
    <s v="ESCOBAR"/>
    <s v="Argentina | G.B.A. Zona Norte | Escobar "/>
    <x v="2"/>
    <n v="2"/>
    <s v="Lion Team Norte"/>
    <s v="Propia (Único Asesor)"/>
    <x v="1"/>
    <s v="Venta"/>
    <x v="6"/>
    <s v="Vicente López"/>
  </r>
  <r>
    <d v="2025-02-06T00:00:00"/>
    <x v="1"/>
    <x v="0"/>
    <s v="CAP6314403"/>
    <x v="0"/>
    <s v="Venta Departamento 2 ambientes en Vista Belgrano"/>
    <s v="Realizado"/>
    <s v="AR ZonaProp"/>
    <n v="209900"/>
    <x v="352"/>
    <x v="1"/>
    <s v="Dólares"/>
    <s v="Dólares"/>
    <s v="Ciudad de la Paz  al 2300"/>
    <s v="Argentina | Capital Federal | Belgrano "/>
    <x v="0"/>
    <n v="2"/>
    <s v="Seniority"/>
    <s v="Propia (Único Asesor)"/>
    <x v="1"/>
    <s v="Venta"/>
    <x v="3"/>
    <s v="Barrio Parque"/>
  </r>
  <r>
    <d v="2025-02-17T00:00:00"/>
    <x v="1"/>
    <x v="0"/>
    <s v="CAP6188138"/>
    <x v="0"/>
    <s v="Venta -  Departamento - Semipiso-   Recoleta -  4 Ambientes - 5 Ambientes"/>
    <s v="Realizado"/>
    <s v="AR ArgenProp"/>
    <n v="214900"/>
    <x v="352"/>
    <x v="1"/>
    <s v="Dólares"/>
    <s v="Dólares"/>
    <s v="Arenales  al 2400"/>
    <s v="Argentina | Capital Federal | Recoleta "/>
    <x v="0"/>
    <n v="2"/>
    <s v="Lion Team"/>
    <s v="Propia (Único Asesor)"/>
    <x v="1"/>
    <s v="Venta"/>
    <x v="3"/>
    <s v="Villa Urquiza"/>
  </r>
  <r>
    <d v="2025-03-10T00:00:00"/>
    <x v="1"/>
    <x v="9"/>
    <s v="VAP6183617"/>
    <x v="0"/>
    <s v="Venta departamento 3 ambientes c/ balcon de pozo - La Bota 400 - Tigre - Benavidez"/>
    <s v="Realizado"/>
    <s v="AR ZonaProp"/>
    <n v="200000"/>
    <x v="352"/>
    <x v="1"/>
    <s v="Dólares"/>
    <s v="Dólares"/>
    <s v="la bota al 400"/>
    <s v="Argentina | G.B.A. Zona Norte | Tigre | Benavidez"/>
    <x v="0"/>
    <n v="2"/>
    <s v="Puerto Norte"/>
    <s v="Propia (Único Asesor)"/>
    <x v="1"/>
    <s v="Venta"/>
    <x v="6"/>
    <s v="Nordelta"/>
  </r>
  <r>
    <d v="2025-10-20T00:00:00"/>
    <x v="1"/>
    <x v="11"/>
    <s v="CCS6159341"/>
    <x v="0"/>
    <s v="5 Hectareas En Venta Ruta 26 La Isla - Salta"/>
    <s v="Realizado"/>
    <s v="Facebook"/>
    <n v="210000"/>
    <x v="352"/>
    <x v="1"/>
    <s v="Dólares"/>
    <s v="Dólares"/>
    <s v="La Isla Ruta 26 "/>
    <s v="Argentina | Salta | Capital | La Isla"/>
    <x v="11"/>
    <n v="2"/>
    <s v="Realty Group"/>
    <s v="Propia (Único Asesor)"/>
    <x v="1"/>
    <s v="Venta"/>
    <x v="4"/>
    <s v="San Lorenzo Chico"/>
  </r>
  <r>
    <d v="2026-01-20T00:00:00"/>
    <x v="0"/>
    <x v="10"/>
    <s v="CAP7062877"/>
    <x v="0"/>
    <s v="Departamento en Olivos - PERMUTA"/>
    <s v="Realizado"/>
    <s v="AR MercadoLibre"/>
    <n v="205000"/>
    <x v="352"/>
    <x v="1"/>
    <s v="Dólares"/>
    <s v="Dólares"/>
    <s v="Av. Maipú al 1800"/>
    <s v="Argentina | G.B.A. Zona Norte | Vicente López | Olivos"/>
    <x v="0"/>
    <n v="2"/>
    <s v="Lion Team"/>
    <s v="Propia (Único Asesor)"/>
    <x v="1"/>
    <s v="Venta"/>
    <x v="3"/>
    <s v="Villa Urquiza"/>
  </r>
  <r>
    <d v="2026-02-25T00:00:00"/>
    <x v="0"/>
    <x v="0"/>
    <s v="CAP7087501"/>
    <x v="0"/>
    <s v="VENTA DEPARTAMENTO PREMIUM 3 AMBIENTES A ESTRENAR EN BELGRANO"/>
    <s v="Realizado"/>
    <s v="AR ZonaProp"/>
    <n v="207000"/>
    <x v="352"/>
    <x v="1"/>
    <s v="Dólares"/>
    <s v="Dólares"/>
    <s v="Vidal al 2800"/>
    <s v="Argentina | Capital Federal | Belgrano "/>
    <x v="0"/>
    <n v="2"/>
    <s v="Seniority"/>
    <s v="Propia (Único Asesor)"/>
    <x v="1"/>
    <s v="Venta"/>
    <x v="3"/>
    <s v="Barrio Parque"/>
  </r>
  <r>
    <d v="2026-03-20T00:00:00"/>
    <x v="0"/>
    <x v="9"/>
    <s v="CHO7519960"/>
    <x v="0"/>
    <s v="Venta Casa 5 Ambientes Oportunidad Ubicación y gran Jardín en Victoria San Fernando"/>
    <s v="Realizado"/>
    <s v="AR ZonaProp"/>
    <n v="210000"/>
    <x v="352"/>
    <x v="1"/>
    <s v="Dólares"/>
    <s v="Dólares"/>
    <s v="Ricardo Rojas al 700"/>
    <s v="Argentina | G.B.A. Zona Norte | San Fernando | Victoria"/>
    <x v="2"/>
    <n v="2"/>
    <s v="Titanio"/>
    <s v="Propia (Único Asesor)"/>
    <x v="1"/>
    <s v="Venta"/>
    <x v="6"/>
    <s v="San Isidro"/>
  </r>
  <r>
    <d v="2025-11-13T00:00:00"/>
    <x v="1"/>
    <x v="7"/>
    <n v="10271"/>
    <x v="0"/>
    <s v="B° Cerrado valle claro"/>
    <s v="Realizado"/>
    <s v="AR ZonaProp"/>
    <n v="201000"/>
    <x v="353"/>
    <x v="1"/>
    <s v="Dólares"/>
    <s v="Dólares"/>
    <s v="B° Cerrado valle claro"/>
    <s v="Argentina | G.B.A. Zona Norte | Tigre | Benavidez"/>
    <x v="2"/>
    <n v="1"/>
    <s v="Seniority"/>
    <s v="Compartida Fuera de la Red Búsqueda"/>
    <x v="2"/>
    <s v="Venta"/>
    <x v="3"/>
    <s v="Barrio Parque"/>
  </r>
  <r>
    <d v="2026-03-30T00:00:00"/>
    <x v="0"/>
    <x v="9"/>
    <s v="CLA7121482"/>
    <x v="0"/>
    <s v="Terreno en Venta con frente de ruta"/>
    <s v="Realizado"/>
    <s v="Conocido"/>
    <n v="210000"/>
    <x v="354"/>
    <x v="1"/>
    <s v="Dólares"/>
    <s v="Dólares"/>
    <s v="Ruta 151 y Calle 20 "/>
    <s v="Argentina | Rio Negro | General Roca | Cinco Saltos"/>
    <x v="1"/>
    <n v="2"/>
    <s v="Sensus"/>
    <s v="Propia (Único Asesor)"/>
    <x v="1"/>
    <s v="Venta"/>
    <x v="1"/>
    <s v="Capital Neuquén"/>
  </r>
  <r>
    <d v="2025-04-23T00:00:00"/>
    <x v="1"/>
    <x v="3"/>
    <s v="VHO6680870"/>
    <x v="0"/>
    <s v="Casa en venta en San Sebastian Area 1 a Estrenar"/>
    <s v="Realizado"/>
    <s v="AR ZonaProp"/>
    <n v="229000"/>
    <x v="355"/>
    <x v="1"/>
    <s v="Dólares"/>
    <s v="Dólares"/>
    <s v="San Sebastian Area 1 Pilar"/>
    <s v="Argentina | G.B.A. Zona Norte | Pilar | Countries/B.Cerrado (Pilar) | San Sebastian"/>
    <x v="2"/>
    <n v="2"/>
    <s v="Puerto Norte"/>
    <s v="Compartida Fuera de la Red Captación Propia"/>
    <x v="0"/>
    <s v="Venta"/>
    <x v="6"/>
    <s v="Nordelta"/>
  </r>
  <r>
    <d v="2025-05-07T00:00:00"/>
    <x v="1"/>
    <x v="2"/>
    <s v="CAP6280260"/>
    <x v="0"/>
    <s v="Venta Departamento de 3 ambientes con balcon, toilette, cochera y amenities en Nuñez"/>
    <s v="Realizado"/>
    <s v="AR ZonaProp"/>
    <n v="210000"/>
    <x v="355"/>
    <x v="1"/>
    <s v="Dólares"/>
    <s v="Dólares"/>
    <s v="11 de Septiembre  al 2700"/>
    <s v="Argentina | Capital Federal | Nuñez "/>
    <x v="0"/>
    <n v="2"/>
    <s v="Seniority Plus"/>
    <s v="Compartida Fuera de la Red Captación Propia"/>
    <x v="0"/>
    <s v="Venta"/>
    <x v="3"/>
    <s v="Palermo"/>
  </r>
  <r>
    <d v="2026-03-19T00:00:00"/>
    <x v="0"/>
    <x v="9"/>
    <s v="CHO7142787"/>
    <x v="0"/>
    <s v="Casa en Venta 3 dormitorios + Escritorio Santa Elena Pilar dle Este"/>
    <s v="Realizado"/>
    <s v="AR MercadoLibre"/>
    <n v="207000"/>
    <x v="355"/>
    <x v="1"/>
    <s v="Dólares"/>
    <s v="Dólares"/>
    <s v="Barrio Santa Elena Pilar del Este"/>
    <s v="Argentina | G.B.A. Zona Norte | Pilar | Countries/B.Cerrado (Pilar) | Pilar Del Este | Santa Elena "/>
    <x v="2"/>
    <n v="2"/>
    <s v="North Team"/>
    <s v="Propia (Único Asesor)"/>
    <x v="1"/>
    <s v="Venta"/>
    <x v="6"/>
    <s v="Pilar"/>
  </r>
  <r>
    <d v="2025-09-24T00:00:00"/>
    <x v="1"/>
    <x v="6"/>
    <s v="Ayres Plaza"/>
    <x v="2"/>
    <s v="Lote en Venta Ayres Plaza"/>
    <s v="Realizado"/>
    <s v="Referido"/>
    <n v="210000"/>
    <x v="356"/>
    <x v="1"/>
    <s v="Dólares"/>
    <s v="Dólares"/>
    <s v="Chile 849 - La Lonja"/>
    <s v="Argentina | G.B.A. Zona Norte | Pilar | Countries/B.Cerrado (Pilar) | Ayres Plaza"/>
    <x v="1"/>
    <n v="2"/>
    <s v="North Team"/>
    <s v="Master"/>
    <x v="1"/>
    <s v="Venta"/>
    <x v="6"/>
    <s v="Pilar"/>
  </r>
  <r>
    <d v="2025-01-28T00:00:00"/>
    <x v="1"/>
    <x v="10"/>
    <n v="10284"/>
    <x v="0"/>
    <s v="Referido - Bariloche"/>
    <s v="Realizado"/>
    <s v="Referido"/>
    <n v="0"/>
    <x v="356"/>
    <x v="1"/>
    <s v="Dólares"/>
    <s v="Dólares"/>
    <m/>
    <s v="Argentina | Rio Negro | Bariloche "/>
    <x v="2"/>
    <n v="2"/>
    <s v="Seniority"/>
    <s v="Profesional Referenciador (30%)"/>
    <x v="1"/>
    <s v="Venta"/>
    <x v="3"/>
    <s v="Barrio Parque"/>
  </r>
  <r>
    <d v="2025-12-29T00:00:00"/>
    <x v="1"/>
    <x v="8"/>
    <s v="CAP7568942"/>
    <x v="0"/>
    <s v="Impecable depto 3 ambientes luminoso al frente"/>
    <s v="Realizado"/>
    <s v="AR ZonaProp"/>
    <n v="215000"/>
    <x v="356"/>
    <x v="1"/>
    <s v="Dólares"/>
    <s v="Dólares"/>
    <s v="Angel Justiniano Carranza 2336"/>
    <s v="Argentina | Capital Federal | Palermo "/>
    <x v="0"/>
    <n v="2"/>
    <s v="Destino"/>
    <s v="Propia (Único Asesor)"/>
    <x v="1"/>
    <s v="Venta"/>
    <x v="3"/>
    <s v="Recoleta"/>
  </r>
  <r>
    <d v="2025-05-12T00:00:00"/>
    <x v="1"/>
    <x v="2"/>
    <s v="VHO6742853"/>
    <x v="0"/>
    <s v="Casa 6 ambientes dos plantas con parque y cochera.   Villa Adelina. Parque Cisneros."/>
    <s v="Realizado"/>
    <s v="AR ZonaProp"/>
    <n v="210000"/>
    <x v="357"/>
    <x v="1"/>
    <s v="Dólares"/>
    <s v="Dólares"/>
    <s v="Joaquín V González al 1600"/>
    <s v="Argentina | G.B.A. Zona Norte | San Isidro | Villa Adelina | V.Ade.-P.Cisneros"/>
    <x v="2"/>
    <n v="2"/>
    <s v="Puerto Norte"/>
    <s v="Compartida en Oficina (Dos Asesores)"/>
    <x v="1"/>
    <s v="Venta"/>
    <x v="6"/>
    <s v="Nordelta"/>
  </r>
  <r>
    <d v="2025-09-22T00:00:00"/>
    <x v="1"/>
    <x v="6"/>
    <s v="VHO4914816"/>
    <x v="0"/>
    <s v="Casa en  Bº San Francisco"/>
    <s v="Realizado"/>
    <s v="AR ZonaProp"/>
    <n v="279000"/>
    <x v="357"/>
    <x v="1"/>
    <s v="Dólares"/>
    <s v="Dólares"/>
    <s v="Aristobulo del Valle al 5100"/>
    <s v="Argentina | G.B.A. Zona Norte | Tigre | Countries/B.Cerrado (Tigre) | Villanueva | San Francisco"/>
    <x v="2"/>
    <n v="1"/>
    <s v="Puerto Norte"/>
    <s v="Compartida Fuera de la Red Búsqueda"/>
    <x v="2"/>
    <s v="Venta"/>
    <x v="6"/>
    <s v="Nordelta"/>
  </r>
  <r>
    <d v="2025-08-29T00:00:00"/>
    <x v="1"/>
    <x v="5"/>
    <s v="VAP6791195"/>
    <x v="0"/>
    <s v="LUMINOSO Departamento 3 ambientes con balcón  ~ THE KIRI Nordelta, Puerto Escondido"/>
    <s v="Realizado"/>
    <s v="AR ZonaProp"/>
    <n v="210000"/>
    <x v="357"/>
    <x v="1"/>
    <s v="Dólares"/>
    <s v="Dólares"/>
    <s v="Av. del Puerto  al 600"/>
    <s v="Argentina | G.B.A. Zona Norte | Tigre | Countries/B.Cerrado (Tigre) | Nordelta"/>
    <x v="0"/>
    <n v="2"/>
    <s v="Puerto Norte"/>
    <s v="Propia (Único Asesor)"/>
    <x v="1"/>
    <s v="Venta"/>
    <x v="6"/>
    <s v="Nordelta"/>
  </r>
  <r>
    <d v="2025-09-30T00:00:00"/>
    <x v="1"/>
    <x v="6"/>
    <s v="CAP6172405"/>
    <x v="0"/>
    <s v="Venta de departamento dos ambientes en Boulevard Cerviño - apto credito"/>
    <s v="Realizado"/>
    <s v="Referido"/>
    <n v="219000"/>
    <x v="358"/>
    <x v="1"/>
    <s v="Dólares"/>
    <s v="Dólares"/>
    <s v="Departamento 2 ambientes sobre Boulevard Cerviño, entre Lafinur y República de la India"/>
    <s v="Argentina | Capital Federal | Palermo | Palermo Chico"/>
    <x v="0"/>
    <n v="2"/>
    <s v="North Team"/>
    <s v="Compartida en Oficina (Dos Asesores)"/>
    <x v="1"/>
    <s v="Venta"/>
    <x v="6"/>
    <s v="Pilar"/>
  </r>
  <r>
    <d v="2025-12-30T00:00:00"/>
    <x v="1"/>
    <x v="8"/>
    <s v="CAP7233028"/>
    <x v="0"/>
    <s v="Duplex en Venta Santa Ana Joven - Villanueva "/>
    <s v="Realizado"/>
    <s v="AR ZonaProp"/>
    <n v="220000"/>
    <x v="358"/>
    <x v="1"/>
    <s v="Dólares"/>
    <s v="Dólares"/>
    <s v="Santa Ana Joven, Villanueva"/>
    <s v="Argentina | G.B.A. Zona Norte | Tigre | Benavidez | Santa Ana Joven"/>
    <x v="2"/>
    <n v="1"/>
    <s v="Puerto Norte"/>
    <s v="Compartida Fuera de la Red Búsqueda"/>
    <x v="2"/>
    <s v="Venta"/>
    <x v="6"/>
    <s v="Nordelta"/>
  </r>
  <r>
    <d v="2025-08-22T00:00:00"/>
    <x v="1"/>
    <x v="5"/>
    <s v="CAP6252872"/>
    <x v="0"/>
    <s v="VENTA DEPARTAMENTO 3 AMBIENTES A ESTRENAR CON COHERA FIJA EN SAAVEDRA"/>
    <s v="Realizado"/>
    <s v="AR ZonaProp"/>
    <n v="215000"/>
    <x v="358"/>
    <x v="1"/>
    <s v="Dólares"/>
    <s v="Dólares"/>
    <s v="Garcia del rio  al 3800"/>
    <s v="Argentina | Capital Federal | Saavedra "/>
    <x v="0"/>
    <n v="2"/>
    <s v="Seniority"/>
    <s v="Compartida Fuera de la Red Captación Propia"/>
    <x v="0"/>
    <s v="Venta"/>
    <x v="3"/>
    <s v="Barrio Parque"/>
  </r>
  <r>
    <d v="2025-12-26T00:00:00"/>
    <x v="1"/>
    <x v="8"/>
    <s v="CAP6226086"/>
    <x v="0"/>
    <s v="Venta  Depto.3 Ambientes  / con cochera Recoleta"/>
    <s v="Realizado"/>
    <s v="AR ZonaProp"/>
    <n v="215000"/>
    <x v="358"/>
    <x v="1"/>
    <s v="Dólares"/>
    <s v="Dólares"/>
    <s v="Juncal al 2900"/>
    <s v="Argentina | Capital Federal | Recoleta "/>
    <x v="0"/>
    <n v="2"/>
    <s v="Ser"/>
    <s v="Compartida Fuera de la Red Captación Propia"/>
    <x v="0"/>
    <s v="Venta"/>
    <x v="3"/>
    <s v="Belgrano"/>
  </r>
  <r>
    <d v="2025-04-24T00:00:00"/>
    <x v="1"/>
    <x v="3"/>
    <s v="CAP6718465"/>
    <x v="2"/>
    <s v="Hermoso 3 ambientes con Jardin de Invierno y Patio en Belgrano"/>
    <s v="Realizado"/>
    <s v="AR ZonaProp"/>
    <n v="220000"/>
    <x v="358"/>
    <x v="1"/>
    <s v="Dólares"/>
    <s v="Dólares"/>
    <s v="Roosvelt  al 2700"/>
    <s v="Argentina | Capital Federal | Belgrano "/>
    <x v="0"/>
    <n v="2"/>
    <s v="Puerto Norte"/>
    <s v="Compartida en Red (50%)"/>
    <x v="1"/>
    <s v="Venta"/>
    <x v="6"/>
    <s v="Nordelta"/>
  </r>
  <r>
    <d v="2026-02-10T00:00:00"/>
    <x v="0"/>
    <x v="0"/>
    <s v="Mayling CC"/>
    <x v="2"/>
    <s v="Lote en Venta Mayling CC "/>
    <s v="Realizado"/>
    <s v="Referido"/>
    <n v="210000"/>
    <x v="358"/>
    <x v="1"/>
    <s v="Dólares"/>
    <s v="Dólares"/>
    <s v="Chubut 415"/>
    <s v="Argentina | G.B.A. Zona Norte | Pilar | Countries/B.Cerrado (Pilar) | Mayling Club De Campo"/>
    <x v="1"/>
    <n v="2"/>
    <s v="North Team"/>
    <s v="Master"/>
    <x v="1"/>
    <s v="Venta"/>
    <x v="6"/>
    <s v="Pilar"/>
  </r>
  <r>
    <d v="2025-03-25T00:00:00"/>
    <x v="1"/>
    <x v="9"/>
    <s v="CAP6679530"/>
    <x v="0"/>
    <s v="Departamento en  Venta en Caballito - Permuta"/>
    <s v="Realizado"/>
    <s v="AR ArgenProp"/>
    <n v="215000"/>
    <x v="358"/>
    <x v="1"/>
    <s v="Dólares"/>
    <s v="Dólares"/>
    <s v="Av. Juan Bautista Alberdi  al 300"/>
    <s v="Argentina | Capital Federal | Caballito | Caballito Sur"/>
    <x v="0"/>
    <n v="2"/>
    <s v="Lion Team"/>
    <s v="Propia (Único Asesor)"/>
    <x v="1"/>
    <s v="Venta"/>
    <x v="3"/>
    <s v="Villa Urquiza"/>
  </r>
  <r>
    <d v="2025-04-03T00:00:00"/>
    <x v="1"/>
    <x v="3"/>
    <s v="CAP6784712"/>
    <x v="0"/>
    <s v="DUPLEX en VENTA - Plaza Vicente López + cochera "/>
    <s v="Realizado"/>
    <s v="AR ZonaProp"/>
    <n v="225000"/>
    <x v="358"/>
    <x v="1"/>
    <s v="Dólares"/>
    <s v="Dólares"/>
    <s v="ARENALES  al 1500"/>
    <s v="Argentina | Capital Federal | Recoleta "/>
    <x v="0"/>
    <n v="2"/>
    <s v="Destino"/>
    <s v="Propia (Único Asesor)"/>
    <x v="1"/>
    <s v="Venta"/>
    <x v="3"/>
    <s v="Recoleta"/>
  </r>
  <r>
    <d v="2025-07-08T00:00:00"/>
    <x v="1"/>
    <x v="1"/>
    <s v="VHO6800875"/>
    <x v="0"/>
    <s v="APTO CREDITO - Casa en Venta  - C.C Los Horneros"/>
    <s v="Realizado"/>
    <s v="AR ZonaProp"/>
    <n v="1200"/>
    <x v="358"/>
    <x v="1"/>
    <s v="Dólares"/>
    <s v="Dólares"/>
    <s v="APTO CREDITO - Casa en Venta 6 Amb en C.C Los Horneros"/>
    <s v="Argentina | G.B.A. Zona Norte | Escobar | Countries/B.Cerrado (Escobar) | Los Horneros"/>
    <x v="2"/>
    <n v="2"/>
    <s v="Puerto Norte"/>
    <s v="Propia (Único Asesor)"/>
    <x v="1"/>
    <s v="Venta"/>
    <x v="6"/>
    <s v="Nordelta"/>
  </r>
  <r>
    <d v="2025-10-21T00:00:00"/>
    <x v="1"/>
    <x v="11"/>
    <s v="JAP6743042"/>
    <x v="0"/>
    <s v="VENTA PISO 4 AMBIENTES DEPENDENCIA COCHERA BAULERA VICENTE LOPEZ"/>
    <s v="Realizado"/>
    <s v="AR ZonaProp"/>
    <n v="220000"/>
    <x v="358"/>
    <x v="1"/>
    <s v="Dólares"/>
    <s v="Dólares"/>
    <s v="José Mármol al 1500"/>
    <s v="Argentina | G.B.A. Zona Norte | Vicente López | Barrio Vicente López"/>
    <x v="0"/>
    <n v="2"/>
    <s v="Lion Team Norte"/>
    <s v="Propia (Único Asesor)"/>
    <x v="1"/>
    <s v="Venta"/>
    <x v="6"/>
    <s v="Vicente López"/>
  </r>
  <r>
    <d v="2025-12-15T00:00:00"/>
    <x v="1"/>
    <x v="8"/>
    <s v="CAP7091056"/>
    <x v="0"/>
    <s v="Venta - Departamento 4 ambientes con dependencia - cochera y baulera- Caballito"/>
    <s v="Realizado"/>
    <s v="AR ZonaProp"/>
    <n v="219000"/>
    <x v="358"/>
    <x v="1"/>
    <s v="Dólares"/>
    <s v="Dólares"/>
    <s v="Ambrosetti al 200"/>
    <s v="Argentina | Capital Federal | Caballito "/>
    <x v="0"/>
    <n v="2"/>
    <s v="Seniority Plus"/>
    <s v="Propia (Único Asesor)"/>
    <x v="1"/>
    <s v="Venta"/>
    <x v="3"/>
    <s v="Palermo"/>
  </r>
  <r>
    <d v="2026-01-29T00:00:00"/>
    <x v="0"/>
    <x v="10"/>
    <s v="CAP7546968"/>
    <x v="0"/>
    <s v="VENTA DUPLEX AMOBLADO CAÑITAS"/>
    <s v="Realizado"/>
    <s v="AR ZonaProp"/>
    <n v="198000"/>
    <x v="358"/>
    <x v="1"/>
    <s v="Dólares"/>
    <s v="Dólares"/>
    <s v="Arevalo al 2700"/>
    <s v="Argentina | Capital Federal | Palermo | Las Cañitas"/>
    <x v="0"/>
    <n v="2"/>
    <s v="Seniority"/>
    <s v="Propia (Único Asesor)"/>
    <x v="1"/>
    <s v="Venta"/>
    <x v="3"/>
    <s v="Barrio Parque"/>
  </r>
  <r>
    <d v="2026-02-06T00:00:00"/>
    <x v="0"/>
    <x v="0"/>
    <s v="CAP7415128"/>
    <x v="0"/>
    <s v="Departamento 4 Ambientes - 2 Baños Completos - Al Frente"/>
    <s v="Realizado"/>
    <s v="AR ZonaProp"/>
    <n v="219000"/>
    <x v="358"/>
    <x v="1"/>
    <s v="Dólares"/>
    <s v="Dólares"/>
    <s v="Julián Álvarez al 2200"/>
    <s v="Argentina | Capital Federal | Palermo "/>
    <x v="0"/>
    <n v="2"/>
    <s v="North Team"/>
    <s v="Propia (Único Asesor)"/>
    <x v="1"/>
    <s v="Venta"/>
    <x v="6"/>
    <s v="Pilar"/>
  </r>
  <r>
    <d v="2026-03-26T00:00:00"/>
    <x v="0"/>
    <x v="9"/>
    <s v="CPH7682995"/>
    <x v="0"/>
    <s v="VENTA PH 4 AMBIENTES RECICLADO C/ TERRAZA Y PARRILLA. SAAVEDRA. NO APTO CREDITO."/>
    <s v="Realizado"/>
    <s v="AR ZonaProp"/>
    <n v="215000"/>
    <x v="358"/>
    <x v="1"/>
    <s v="Dólares"/>
    <s v="Dólares"/>
    <s v="Jaramillo  al 2900"/>
    <s v="Argentina | Capital Federal | Saavedra "/>
    <x v="3"/>
    <n v="2"/>
    <s v="Seniority"/>
    <s v="Propia (Único Asesor)"/>
    <x v="1"/>
    <s v="Venta"/>
    <x v="3"/>
    <s v="Barrio Parque"/>
  </r>
  <r>
    <d v="2025-12-05T00:00:00"/>
    <x v="1"/>
    <x v="8"/>
    <s v="CBU60233 AP6592912"/>
    <x v="0"/>
    <s v="Venta Departamento Dos Ambientes vista al lago a 5 minutos del centro"/>
    <s v="Realizado"/>
    <s v="Teléfono"/>
    <n v="203773"/>
    <x v="359"/>
    <x v="1"/>
    <s v="Dólares"/>
    <s v="Dólares"/>
    <s v="Avenida Pioneros, San Carlos de Bariloche"/>
    <s v="Argentina | Rio Negro | Bariloche | San Carlos De Bariloche | Centro"/>
    <x v="0"/>
    <n v="2"/>
    <s v="Patagonia Lakes BRC"/>
    <s v="Propia (Único Asesor)"/>
    <x v="1"/>
    <s v="Venta"/>
    <x v="7"/>
    <s v="Bariloche"/>
  </r>
  <r>
    <d v="2025-06-06T00:00:00"/>
    <x v="1"/>
    <x v="4"/>
    <s v="CAP6872045"/>
    <x v="0"/>
    <s v="Venta Departamento 3 Ambientes en Nuñez"/>
    <s v="Realizado"/>
    <s v="AR ZonaProp"/>
    <n v="206000"/>
    <x v="360"/>
    <x v="1"/>
    <s v="Dólares"/>
    <s v="Dólares"/>
    <s v="Moldes al 3300"/>
    <s v="Argentina | Capital Federal | Nuñez "/>
    <x v="0"/>
    <n v="2"/>
    <s v="Seniority"/>
    <s v="Compartida Fuera de la Red Captación Propia"/>
    <x v="0"/>
    <s v="Venta"/>
    <x v="3"/>
    <s v="Barrio Parque"/>
  </r>
  <r>
    <d v="2025-01-12T00:00:00"/>
    <x v="1"/>
    <x v="10"/>
    <s v="TORRES ZAFIRO"/>
    <x v="0"/>
    <s v="TORRES ZAFIRO"/>
    <s v="Realizado"/>
    <s v="AR ZonaProp"/>
    <n v="307200"/>
    <x v="361"/>
    <x v="1"/>
    <s v="Dólares"/>
    <s v="Dólares"/>
    <s v="Ruta 27, Torres Zafiro"/>
    <s v="Argentina | G.B.A. Zona Norte | Tigre | Countries/B.Cerrado (Tigre) | Nordelta"/>
    <x v="0"/>
    <n v="2"/>
    <s v="Puerto Norte"/>
    <s v="Compartida Fuera de la Red Captación Propia"/>
    <x v="0"/>
    <s v="Venta"/>
    <x v="6"/>
    <s v="Nordelta"/>
  </r>
  <r>
    <d v="2026-01-28T00:00:00"/>
    <x v="0"/>
    <x v="10"/>
    <s v="Ayres Plaza"/>
    <x v="2"/>
    <s v="Terreno en Venta en Ayres Plaza"/>
    <s v="Realizado"/>
    <s v="Referido"/>
    <n v="210000"/>
    <x v="362"/>
    <x v="1"/>
    <s v="Dólares"/>
    <s v="Dólares"/>
    <s v="Chile 849 - La Lonja"/>
    <s v="Argentina | G.B.A. Zona Norte | Pilar | Countries/B.Cerrado (Pilar) | Ayres Plaza"/>
    <x v="1"/>
    <n v="2"/>
    <s v="North Team"/>
    <s v="Master"/>
    <x v="1"/>
    <s v="Venta"/>
    <x v="6"/>
    <s v="Pilar"/>
  </r>
  <r>
    <d v="2025-10-30T00:00:00"/>
    <x v="1"/>
    <x v="11"/>
    <s v="CHO7072301"/>
    <x v="0"/>
    <s v="Casa en Naudir en venta - A estrenar - Lote con fondo al verde"/>
    <s v="Realizado"/>
    <s v="AR MercadoLibre"/>
    <n v="210000"/>
    <x v="363"/>
    <x v="1"/>
    <s v="Dólares"/>
    <s v="Dólares"/>
    <s v="CASA EN NAUDIR EN VENTA A ESTRENAR"/>
    <s v="Argentina | G.B.A. Zona Norte | Escobar | Countries/B.Cerrado (Escobar) | El Naudir"/>
    <x v="2"/>
    <n v="1"/>
    <s v="Puerto Norte"/>
    <s v="Compartida Fuera de la Red Búsqueda"/>
    <x v="2"/>
    <s v="Venta"/>
    <x v="6"/>
    <s v="Nordelta"/>
  </r>
  <r>
    <d v="2025-02-18T00:00:00"/>
    <x v="1"/>
    <x v="0"/>
    <n v="10298"/>
    <x v="0"/>
    <s v="Jacinto Diaz 948"/>
    <s v="Realizado"/>
    <s v="AR ZonaProp"/>
    <n v="0"/>
    <x v="364"/>
    <x v="1"/>
    <s v="Dólares"/>
    <s v="Dólares"/>
    <m/>
    <s v="Argentina | G.B.A. Zona Norte | San Isidro | Martinez"/>
    <x v="0"/>
    <n v="1"/>
    <s v="Seniority"/>
    <s v="Compartida Fuera de la Red Búsqueda"/>
    <x v="2"/>
    <s v="Venta"/>
    <x v="3"/>
    <s v="Barrio Parque"/>
  </r>
  <r>
    <d v="2025-02-18T00:00:00"/>
    <x v="1"/>
    <x v="0"/>
    <n v="10298"/>
    <x v="0"/>
    <s v="Jacinto Diaz 948"/>
    <s v="Realizado"/>
    <s v="AR ZonaProp"/>
    <n v="0"/>
    <x v="364"/>
    <x v="1"/>
    <s v="Dólares"/>
    <s v="Dólares"/>
    <m/>
    <s v="Argentina | G.B.A. Zona Norte | San Isidro | Martinez"/>
    <x v="0"/>
    <n v="1"/>
    <s v="Seniority"/>
    <s v="Compartida Fuera de la Red Búsqueda"/>
    <x v="2"/>
    <s v="Venta"/>
    <x v="3"/>
    <s v="Barrio Parque"/>
  </r>
  <r>
    <d v="2025-06-27T00:00:00"/>
    <x v="1"/>
    <x v="4"/>
    <m/>
    <x v="0"/>
    <s v="Departamento Torres Agostinas"/>
    <s v="Realizado"/>
    <s v="AR ZonaProp"/>
    <n v="210000"/>
    <x v="364"/>
    <x v="1"/>
    <s v="Dólares"/>
    <s v="Dólares"/>
    <m/>
    <s v="Argentina | Mendoza | Godoy Cruz "/>
    <x v="0"/>
    <n v="1"/>
    <s v="Cuyo Real"/>
    <s v="Compartida Fuera de la Red Búsqueda"/>
    <x v="2"/>
    <s v="Venta"/>
    <x v="2"/>
    <s v="Capital Mendoza"/>
  </r>
  <r>
    <d v="2025-02-24T00:00:00"/>
    <x v="1"/>
    <x v="0"/>
    <s v="CHO6381003"/>
    <x v="0"/>
    <s v="VENTA CASA 5 AMBIENTES, C/ COCHERAS Y JARDÍN EN VICTORIA  SAN FERNANDO"/>
    <s v="Realizado"/>
    <s v="AR ZonaProp"/>
    <n v="230000"/>
    <x v="364"/>
    <x v="1"/>
    <s v="Dólares"/>
    <s v="Dólares"/>
    <s v="MORENO  al 2600"/>
    <s v="Argentina | G.B.A. Zona Norte | San Fernando | Victoria"/>
    <x v="2"/>
    <n v="2"/>
    <s v="Seniority Plus"/>
    <s v="Compartida Fuera de la Red Captación Propia"/>
    <x v="0"/>
    <s v="Venta"/>
    <x v="3"/>
    <s v="Palermo"/>
  </r>
  <r>
    <d v="2025-04-05T00:00:00"/>
    <x v="1"/>
    <x v="3"/>
    <s v="VPN48121 AP4859051"/>
    <x v="0"/>
    <s v="DEPARTAMENTO EN VENTA DEL VISO-PILAR"/>
    <s v="Realizado"/>
    <s v="AR ZonaProp"/>
    <n v="251487"/>
    <x v="364"/>
    <x v="1"/>
    <s v="Dólares"/>
    <s v="Dólares"/>
    <s v="Townhouses en Venta Barrio Privado Oliden  Joven- Pilar."/>
    <s v="Argentina | G.B.A. Zona Norte | Pilar | Del Viso"/>
    <x v="0"/>
    <n v="2"/>
    <s v="Puerto Norte"/>
    <s v="Compartida Fuera de la Red Captación Propia"/>
    <x v="0"/>
    <s v="Venta"/>
    <x v="6"/>
    <s v="Nordelta"/>
  </r>
  <r>
    <d v="2025-10-02T00:00:00"/>
    <x v="1"/>
    <x v="11"/>
    <s v="CAP6811062"/>
    <x v="0"/>
    <s v="Departamento en Recoleta"/>
    <s v="Realizado"/>
    <s v="AR ZonaProp"/>
    <n v="240000"/>
    <x v="364"/>
    <x v="1"/>
    <s v="Dólares"/>
    <s v="Dólares"/>
    <s v="Austria al 2400"/>
    <s v="Argentina | Capital Federal | Recoleta "/>
    <x v="0"/>
    <n v="2"/>
    <s v="Destino"/>
    <s v="Compartida Fuera de la Red Captación Propia"/>
    <x v="0"/>
    <s v="Venta"/>
    <x v="3"/>
    <s v="Recoleta"/>
  </r>
  <r>
    <d v="2025-07-14T00:00:00"/>
    <x v="1"/>
    <x v="1"/>
    <s v="CHO6363074"/>
    <x v="1"/>
    <s v="Casa en  VENTA Lago Moreno 21"/>
    <s v="Realizado"/>
    <s v="Referido"/>
    <n v="246900"/>
    <x v="364"/>
    <x v="1"/>
    <s v="Dólares"/>
    <s v="Dólares"/>
    <s v="Barrio Tres Lagos, San Carlos de Bariloche"/>
    <s v="Argentina | Rio Negro | Bariloche | San Carlos De Bariloche | Tres Lagos"/>
    <x v="2"/>
    <n v="2"/>
    <s v="Concept"/>
    <s v="Profesional Referenciador (30%)"/>
    <x v="1"/>
    <s v="Venta"/>
    <x v="6"/>
    <s v="Tigre"/>
  </r>
  <r>
    <d v="2025-07-14T00:00:00"/>
    <x v="1"/>
    <x v="1"/>
    <s v="CHO6363074"/>
    <x v="0"/>
    <s v="Casa en  VENTA Lago Moreno 21"/>
    <s v="Realizado"/>
    <s v="Referido"/>
    <n v="246900"/>
    <x v="364"/>
    <x v="1"/>
    <s v="Dólares"/>
    <s v="Dólares"/>
    <s v="Barrio Tres Lagos, San Carlos de Bariloche"/>
    <s v="Argentina | Rio Negro | Bariloche | San Carlos De Bariloche | Tres Lagos"/>
    <x v="2"/>
    <n v="2"/>
    <s v="Patagonia Lakes BRC"/>
    <s v="Profesional Referido (70%)"/>
    <x v="1"/>
    <s v="Venta"/>
    <x v="7"/>
    <s v="Bariloche"/>
  </r>
  <r>
    <d v="2025-04-15T00:00:00"/>
    <x v="1"/>
    <x v="3"/>
    <s v="CBU55413 AP5986293"/>
    <x v="0"/>
    <s v="Departamento tipo Duplex en Alquiler c/ Cochera subt - Studios - Ayres Vila"/>
    <s v="Realizado"/>
    <s v="Referido"/>
    <n v="950"/>
    <x v="364"/>
    <x v="1"/>
    <s v="Dólares"/>
    <s v="Dólares"/>
    <s v=" Departamento tipo Duplex en Alquiler c/ Cochera subt - Studios - Ayres Vila"/>
    <s v="Argentina | G.B.A. Zona Norte | Pilar | Manuel Alberti | STUDIOS Work &amp; Live"/>
    <x v="0"/>
    <n v="2"/>
    <s v="North Team"/>
    <s v="Propia (Único Asesor)"/>
    <x v="1"/>
    <s v="Venta"/>
    <x v="6"/>
    <s v="Pilar"/>
  </r>
  <r>
    <d v="2025-04-29T00:00:00"/>
    <x v="1"/>
    <x v="3"/>
    <s v="VAP6716120"/>
    <x v="0"/>
    <s v="Departamento en  Venta de 3 ambientes en Palermo"/>
    <s v="Realizado"/>
    <s v="AR ZonaProp"/>
    <n v="215000"/>
    <x v="364"/>
    <x v="1"/>
    <s v="Dólares"/>
    <s v="Dólares"/>
    <s v="Migueletes  al 700"/>
    <s v="Argentina | Capital Federal | Palermo | Las Cañitas"/>
    <x v="0"/>
    <n v="2"/>
    <s v="Space BA"/>
    <s v="Propia (Único Asesor)"/>
    <x v="1"/>
    <s v="Venta"/>
    <x v="3"/>
    <s v="Belgrano"/>
  </r>
  <r>
    <d v="2025-05-23T00:00:00"/>
    <x v="1"/>
    <x v="2"/>
    <s v="CAP6816507"/>
    <x v="0"/>
    <s v="4 Ambientes con Cochera, Seguridad 24hs y Pileta"/>
    <s v="Realizado"/>
    <s v="AR ZonaProp"/>
    <n v="215000"/>
    <x v="364"/>
    <x v="1"/>
    <s v="Dólares"/>
    <s v="Dólares"/>
    <s v="Av. Maipú  al 1800"/>
    <s v="Argentina | G.B.A. Zona Norte | Vicente López | Olivos"/>
    <x v="0"/>
    <n v="2"/>
    <s v="Lion Team"/>
    <s v="Propia (Único Asesor)"/>
    <x v="1"/>
    <s v="Venta"/>
    <x v="3"/>
    <s v="Villa Urquiza"/>
  </r>
  <r>
    <d v="2025-05-28T00:00:00"/>
    <x v="1"/>
    <x v="2"/>
    <s v="CHO6624702"/>
    <x v="0"/>
    <s v="Casa de 4 ambientes en Venta en Barrio Cerrado Comarcas de Lujan"/>
    <s v="Realizado"/>
    <s v="AR ZonaProp"/>
    <n v="219000"/>
    <x v="364"/>
    <x v="1"/>
    <s v="Dólares"/>
    <s v="Dólares"/>
    <s v="Av. Fernandez Beschtedt"/>
    <s v="Argentina | G.B.A. Zona Oeste | Lujan | Countries/B.Cerrado (Lujan) | Comarcas de Luján"/>
    <x v="2"/>
    <n v="2"/>
    <s v="Audacity"/>
    <s v="Propia (Único Asesor)"/>
    <x v="1"/>
    <s v="Venta"/>
    <x v="9"/>
    <s v="Parque Leloir"/>
  </r>
  <r>
    <d v="2025-10-28T00:00:00"/>
    <x v="1"/>
    <x v="11"/>
    <s v="VHO6955432"/>
    <x v="0"/>
    <s v="Chalet 4 ambientes con garage, patio y parrilla en Olivos, imperdible!"/>
    <s v="Realizado"/>
    <s v="AR ZonaProp"/>
    <n v="230000"/>
    <x v="364"/>
    <x v="1"/>
    <s v="Dólares"/>
    <s v="Dólares"/>
    <s v="Blas Parera  al 2700"/>
    <s v="Argentina | G.B.A. Zona Norte | Vicente López | Olivos | Olivos-Uzal/Panam."/>
    <x v="2"/>
    <n v="2"/>
    <s v="Puerto Norte"/>
    <s v="Propia (Único Asesor)"/>
    <x v="1"/>
    <s v="Venta"/>
    <x v="6"/>
    <s v="Nordelta"/>
  </r>
  <r>
    <d v="2025-09-22T00:00:00"/>
    <x v="1"/>
    <x v="6"/>
    <s v="CAP3588211"/>
    <x v="0"/>
    <s v="Venta Departamento, Vista al Lago, apto turismo, Bariloche"/>
    <s v="Realizado"/>
    <s v="Teléfono"/>
    <n v="215000"/>
    <x v="365"/>
    <x v="1"/>
    <s v="Dólares"/>
    <s v="Dólares"/>
    <s v="Centro, San Carlos de Bariloche"/>
    <s v="Argentina | Rio Negro | Bariloche | San Carlos De Bariloche"/>
    <x v="0"/>
    <n v="1"/>
    <s v="Patagonia Lakes BRC"/>
    <s v="(Interior) Compartida Fuera de la Red Captación Propia"/>
    <x v="0"/>
    <s v="Venta"/>
    <x v="7"/>
    <s v="Bariloche"/>
  </r>
  <r>
    <d v="2025-06-05T00:00:00"/>
    <x v="1"/>
    <x v="4"/>
    <s v="CHO6911826"/>
    <x v="0"/>
    <s v="Casa en Venta en Barrio Bombal Mendoza"/>
    <s v="Realizado"/>
    <s v="AR ZonaProp"/>
    <n v="220000"/>
    <x v="365"/>
    <x v="1"/>
    <s v="Dólares"/>
    <s v="Dólares"/>
    <s v="hipolito yrigoyen al 600"/>
    <s v="Argentina | Mendoza | Capital | Mendoza | Primera Seccion"/>
    <x v="2"/>
    <n v="2"/>
    <s v="Cuyo Real"/>
    <s v="Propia (Único Asesor)"/>
    <x v="1"/>
    <s v="Venta"/>
    <x v="2"/>
    <s v="Capital Mendoza"/>
  </r>
  <r>
    <d v="2026-03-09T00:00:00"/>
    <x v="0"/>
    <x v="9"/>
    <n v="10689"/>
    <x v="0"/>
    <s v="Suipacha 1225 piso 11"/>
    <s v="Realizado"/>
    <s v="AR ZonaProp"/>
    <n v="212500"/>
    <x v="366"/>
    <x v="1"/>
    <s v="Dólares"/>
    <s v="Dólares"/>
    <s v="Suipacha 1225 piso 11"/>
    <s v="Argentina | Capital Federal | Retiro "/>
    <x v="0"/>
    <n v="1"/>
    <s v="Seniority"/>
    <s v="Compartida Fuera de la Red Búsqueda"/>
    <x v="2"/>
    <s v="Venta"/>
    <x v="3"/>
    <s v="Barrio Parque"/>
  </r>
  <r>
    <d v="2025-08-28T00:00:00"/>
    <x v="1"/>
    <x v="5"/>
    <s v="CAP6967255"/>
    <x v="0"/>
    <s v="Venta de Departamento Apto Crédito, tres ambientes en Quartier Nordelta. Tigre"/>
    <s v="Realizado"/>
    <s v="Referido"/>
    <n v="220000"/>
    <x v="367"/>
    <x v="1"/>
    <s v="Dólares"/>
    <s v="Dólares"/>
    <s v="Venta de Departamento Apto Crédito, tres ambientes en Quartier Nordelta. Tigre"/>
    <s v="Argentina | G.B.A. Zona Norte | Tigre | Countries/B.Cerrado (Tigre) | Nordelta | Quartier"/>
    <x v="0"/>
    <n v="2"/>
    <s v="Acqua"/>
    <s v="Compartida Fuera de la Red Captación Propia"/>
    <x v="0"/>
    <s v="Venta"/>
    <x v="6"/>
    <s v="Pilar"/>
  </r>
  <r>
    <d v="2025-01-15T00:00:00"/>
    <x v="1"/>
    <x v="10"/>
    <m/>
    <x v="1"/>
    <s v="Departamento en construcción MBV Manzano Bay View UF XXVI y UC (a designar) de baulera de total de 72,5 m2 (cubierta 58 m2 + Terraza 12 + 2,5 baulera m2)"/>
    <s v="Realizado"/>
    <s v="AR ZonaProp"/>
    <n v="213000"/>
    <x v="367"/>
    <x v="1"/>
    <s v="Dólares"/>
    <s v="Dólares"/>
    <m/>
    <s v="Argentina | Neuquen | Villa La Angostura | Puerto Manzano"/>
    <x v="0"/>
    <n v="2"/>
    <s v="Patagonia Lakes SMA"/>
    <s v="Master"/>
    <x v="1"/>
    <s v="Venta"/>
    <x v="1"/>
    <s v="San Martín de los Andes"/>
  </r>
  <r>
    <d v="2025-01-15T00:00:00"/>
    <x v="1"/>
    <x v="10"/>
    <m/>
    <x v="0"/>
    <s v="Departamento en construcción MBV Manzano Bay View UF XXVI y UC (a designar) de baulera de total de 72,5 m2 (cubierta 58 m2 + Terraza 12 + 2,5 baulera m2)"/>
    <s v="Realizado"/>
    <s v="Conocido"/>
    <n v="213000"/>
    <x v="367"/>
    <x v="1"/>
    <s v="Dólares"/>
    <s v="Dólares"/>
    <m/>
    <s v="Argentina | Neuquen | Villa La Angostura | Puerto Manzano"/>
    <x v="0"/>
    <n v="2"/>
    <s v="Patagonia Lakes VLA"/>
    <s v="Master"/>
    <x v="1"/>
    <s v="Venta"/>
    <x v="1"/>
    <s v="Villa La Angostura"/>
  </r>
  <r>
    <d v="2025-10-27T00:00:00"/>
    <x v="1"/>
    <x v="11"/>
    <s v="CAP6713879"/>
    <x v="0"/>
    <s v="VENTA apto credito Casa de 3 dormitorios  Las Marias Bariloche"/>
    <s v="Realizado"/>
    <s v="Teléfono"/>
    <n v="216000"/>
    <x v="368"/>
    <x v="1"/>
    <s v="Dólares"/>
    <s v="Dólares"/>
    <s v="Las Marias, San Carlos de Bariloche"/>
    <s v="Argentina | Rio Negro | Bariloche | San Carlos De Bariloche | Las Marías"/>
    <x v="2"/>
    <n v="2"/>
    <s v="Patagonia Lakes BRC"/>
    <s v="Compartida en Oficina (Dos Asesores)"/>
    <x v="1"/>
    <s v="Venta"/>
    <x v="7"/>
    <s v="Bariloche"/>
  </r>
  <r>
    <d v="2026-01-23T00:00:00"/>
    <x v="0"/>
    <x v="10"/>
    <s v="CAP6924352"/>
    <x v="0"/>
    <s v="Excelente Departamento en Belgrano R - 3 Dormitorios con Dependencia"/>
    <s v="Realizado"/>
    <s v="AR ZonaProp"/>
    <n v="245000"/>
    <x v="369"/>
    <x v="1"/>
    <s v="Dólares"/>
    <s v="Dólares"/>
    <s v="Zapiola  al 2000"/>
    <s v="Argentina | Capital Federal | Belgrano | Belgrano R"/>
    <x v="0"/>
    <n v="2"/>
    <s v="Puerto Norte"/>
    <s v="Compartida en Oficina (Dos Asesores)"/>
    <x v="1"/>
    <s v="Venta"/>
    <x v="6"/>
    <s v="Nordelta"/>
  </r>
  <r>
    <d v="2026-03-24T00:00:00"/>
    <x v="0"/>
    <x v="9"/>
    <s v="DAP2784906"/>
    <x v="0"/>
    <s v="Departamento - Petrel"/>
    <s v="Realizado"/>
    <s v="AR MercadoLibre"/>
    <n v="850"/>
    <x v="369"/>
    <x v="1"/>
    <s v="Dólares"/>
    <s v="Dólares"/>
    <s v="Petrel, Portezuelo"/>
    <s v="Argentina | G.B.A. Zona Norte | Tigre | Countries/B.Cerrado (Tigre) | Nordelta | Portezuelo | Marinas del Portezuelo | Petrel"/>
    <x v="0"/>
    <n v="1"/>
    <s v="Puerto Norte"/>
    <s v="Compartida Fuera de la Red Búsqueda"/>
    <x v="2"/>
    <s v="Venta"/>
    <x v="6"/>
    <s v="Nordelta"/>
  </r>
  <r>
    <d v="2025-05-28T00:00:00"/>
    <x v="1"/>
    <x v="2"/>
    <s v="VHO6069171"/>
    <x v="0"/>
    <s v="Casa en  venta con pileta de 6 amb "/>
    <s v="Realizado"/>
    <s v="AR ZonaProp"/>
    <n v="295000"/>
    <x v="369"/>
    <x v="1"/>
    <s v="Dólares"/>
    <s v="Dólares"/>
    <s v="Alfredo Guido  al 3700"/>
    <s v="Argentina | G.B.A. Zona Norte | Vicente López | Carapachay"/>
    <x v="2"/>
    <n v="2"/>
    <s v="Puerto Norte"/>
    <s v="Compartida Fuera de la Red Captación Propia"/>
    <x v="0"/>
    <s v="Venta"/>
    <x v="6"/>
    <s v="Nordelta"/>
  </r>
  <r>
    <d v="2025-06-25T00:00:00"/>
    <x v="1"/>
    <x v="4"/>
    <s v="CAP6789695"/>
    <x v="0"/>
    <s v="Departamento en  PALERMO CHICO"/>
    <s v="Realizado"/>
    <s v="AR ZonaProp"/>
    <n v="255000"/>
    <x v="369"/>
    <x v="1"/>
    <s v="Dólares"/>
    <s v="Dólares"/>
    <s v="SEGUI al 3500"/>
    <s v="Argentina | Capital Federal | Palermo | Palermo Chico"/>
    <x v="0"/>
    <n v="2"/>
    <s v="Destino"/>
    <s v="Propia (Único Asesor)"/>
    <x v="1"/>
    <s v="Venta"/>
    <x v="3"/>
    <s v="Recoleta"/>
  </r>
  <r>
    <d v="2025-08-04T00:00:00"/>
    <x v="1"/>
    <x v="5"/>
    <s v="CAP6957306"/>
    <x v="0"/>
    <s v="Venta de Departamento 3 ambientes con terraza Villa Urquiza"/>
    <s v="Realizado"/>
    <s v="AR ZonaProp"/>
    <n v="230000"/>
    <x v="369"/>
    <x v="1"/>
    <s v="Dólares"/>
    <s v="Dólares"/>
    <s v="Altolaguirre  al 2700"/>
    <s v="Argentina | Capital Federal | Villa Urquiza "/>
    <x v="0"/>
    <n v="2"/>
    <s v="Acqua"/>
    <s v="Propia (Único Asesor)"/>
    <x v="1"/>
    <s v="Venta"/>
    <x v="6"/>
    <s v="Pilar"/>
  </r>
  <r>
    <d v="2025-08-05T00:00:00"/>
    <x v="1"/>
    <x v="5"/>
    <s v="CHO6730568"/>
    <x v="0"/>
    <s v="Casa en Villa Crespo  LOTE  OPORTUNIDAD PATERNAL 7 PISOS 2 RETIROS CANJE POR METROS"/>
    <s v="Realizado"/>
    <s v="AR ArgenProp"/>
    <n v="290000"/>
    <x v="369"/>
    <x v="1"/>
    <s v="Dólares"/>
    <s v="Dólares"/>
    <s v="ROJAS al 1800"/>
    <s v="Argentina | Capital Federal | Villa Crespo "/>
    <x v="2"/>
    <n v="2"/>
    <s v="Lion Team"/>
    <s v="Propia (Único Asesor)"/>
    <x v="1"/>
    <s v="Venta"/>
    <x v="3"/>
    <s v="Villa Urquiza"/>
  </r>
  <r>
    <d v="2025-10-07T00:00:00"/>
    <x v="1"/>
    <x v="11"/>
    <s v="VAP7192051"/>
    <x v="0"/>
    <s v="Departamento en venta de dos ambientes con balcón y amenities"/>
    <s v="Realizado"/>
    <s v="AR ZonaProp"/>
    <n v="219000"/>
    <x v="369"/>
    <x v="1"/>
    <s v="Dólares"/>
    <s v="Dólares"/>
    <s v="Paraguay al 4800"/>
    <s v="Argentina | Capital Federal | Palermo | Palermo Soho"/>
    <x v="0"/>
    <n v="2"/>
    <s v="Space BA"/>
    <s v="Propia (Único Asesor)"/>
    <x v="1"/>
    <s v="Venta"/>
    <x v="3"/>
    <s v="Belgrano"/>
  </r>
  <r>
    <d v="2025-10-14T00:00:00"/>
    <x v="1"/>
    <x v="11"/>
    <s v="CPH7108619"/>
    <x v="0"/>
    <s v="Venta PH 4 ambientes terraza balcón Villa Urquiza."/>
    <s v="Realizado"/>
    <s v="AR ZonaProp"/>
    <n v="220000"/>
    <x v="369"/>
    <x v="1"/>
    <s v="Dólares"/>
    <s v="Dólares"/>
    <s v="Holmberg al 3100"/>
    <s v="Argentina | Capital Federal | Coghlan "/>
    <x v="3"/>
    <n v="2"/>
    <s v="Grupo Elite"/>
    <s v="Propia (Único Asesor)"/>
    <x v="1"/>
    <s v="Venta"/>
    <x v="3"/>
    <s v="Puerto Madero"/>
  </r>
  <r>
    <d v="2025-10-17T00:00:00"/>
    <x v="1"/>
    <x v="11"/>
    <s v="CHO7175314"/>
    <x v="0"/>
    <s v="Casa Apta Crédito en  Cipolletti"/>
    <s v="Realizado"/>
    <s v="AR ZonaProp"/>
    <n v="225000"/>
    <x v="369"/>
    <x v="1"/>
    <s v="Dólares"/>
    <s v="Dólares"/>
    <s v="B° Los Tilos"/>
    <s v="Argentina | Rio Negro | Cipolletti "/>
    <x v="2"/>
    <n v="2"/>
    <s v="Sensus"/>
    <s v="Propia (Único Asesor)"/>
    <x v="1"/>
    <s v="Venta"/>
    <x v="1"/>
    <s v="Capital Neuquén"/>
  </r>
  <r>
    <d v="2026-01-13T00:00:00"/>
    <x v="0"/>
    <x v="10"/>
    <s v="CAP7059176"/>
    <x v="0"/>
    <s v="Departamento 3 amb + escritorio + balcon reciclado luminoso! "/>
    <s v="Realizado"/>
    <s v="AR ZonaProp"/>
    <n v="219000"/>
    <x v="369"/>
    <x v="1"/>
    <s v="Dólares"/>
    <s v="Dólares"/>
    <s v="Austria al 2100"/>
    <s v="Argentina | Capital Federal | Recoleta "/>
    <x v="0"/>
    <n v="2"/>
    <s v="Destino"/>
    <s v="Propia (Único Asesor)"/>
    <x v="1"/>
    <s v="Venta"/>
    <x v="3"/>
    <s v="Recoleta"/>
  </r>
  <r>
    <d v="2026-03-23T00:00:00"/>
    <x v="0"/>
    <x v="9"/>
    <s v="CAP7395620"/>
    <x v="0"/>
    <s v="Departamento en Infinity Residences"/>
    <s v="Realizado"/>
    <s v="AR ZonaProp"/>
    <n v="230000"/>
    <x v="369"/>
    <x v="1"/>
    <s v="Dólares"/>
    <s v="Dólares"/>
    <s v="Venta - depto 3 amb con amenities a la laguna en Nordelta"/>
    <s v="Argentina | G.B.A. Zona Norte | Tigre | Countries/B.Cerrado (Tigre) | Nordelta | El Palmar | Infinity Residences"/>
    <x v="0"/>
    <n v="2"/>
    <s v="Puerto Norte"/>
    <s v="Propia (Único Asesor)"/>
    <x v="1"/>
    <s v="Venta"/>
    <x v="6"/>
    <s v="Nordelta"/>
  </r>
  <r>
    <d v="2025-03-25T00:00:00"/>
    <x v="1"/>
    <x v="9"/>
    <m/>
    <x v="0"/>
    <s v="PH 4 ambientes en Venta en Villa Urquiza"/>
    <s v="Realizado"/>
    <s v="Repetido"/>
    <n v="216000"/>
    <x v="370"/>
    <x v="1"/>
    <s v="Dólares"/>
    <s v="Dólares"/>
    <s v="Diaz Colodrero 3254"/>
    <s v="Argentina | Capital Federal | Villa Urquiza "/>
    <x v="0"/>
    <n v="1"/>
    <s v="Audacity"/>
    <s v="Compartida Fuera de la Red Búsqueda"/>
    <x v="2"/>
    <s v="Venta"/>
    <x v="9"/>
    <s v="Parque Leloir"/>
  </r>
  <r>
    <d v="2025-05-21T00:00:00"/>
    <x v="1"/>
    <x v="2"/>
    <s v="VHO6762813"/>
    <x v="0"/>
    <s v="Casa en venta - Fincas del Lago"/>
    <s v="Realizado"/>
    <s v="AR ZonaProp"/>
    <n v="230000"/>
    <x v="371"/>
    <x v="1"/>
    <s v="Dólares"/>
    <s v="Dólares"/>
    <s v="Venta de casa en Fincas del Lago "/>
    <s v="Argentina | G.B.A. Zona Norte | Escobar | Countries/B.Cerrado (Escobar) | Fincas De Maschwitz"/>
    <x v="2"/>
    <n v="2"/>
    <s v="Puerto Norte"/>
    <s v="Compartida Fuera de la Red Captación Propia"/>
    <x v="0"/>
    <s v="Venta"/>
    <x v="6"/>
    <s v="Nordelta"/>
  </r>
  <r>
    <d v="2026-01-30T00:00:00"/>
    <x v="0"/>
    <x v="10"/>
    <s v="CHO7356458"/>
    <x v="0"/>
    <s v="Venta triplex 5 amb con pileta en Olivos"/>
    <s v="Realizado"/>
    <s v="AR ZonaProp"/>
    <n v="240000"/>
    <x v="372"/>
    <x v="1"/>
    <s v="Dólares"/>
    <s v="Dólares"/>
    <s v="Capitan Justo G Bermudez al 3100"/>
    <s v="Argentina | G.B.A. Zona Norte | Vicente López | Olivos"/>
    <x v="2"/>
    <n v="2"/>
    <s v="Seniority Plus"/>
    <s v="Propia (Único Asesor)"/>
    <x v="1"/>
    <s v="Venta"/>
    <x v="3"/>
    <s v="Palermo"/>
  </r>
  <r>
    <d v="2025-12-19T00:00:00"/>
    <x v="1"/>
    <x v="8"/>
    <m/>
    <x v="0"/>
    <s v="Venta Departamento en Martinez"/>
    <s v="Realizado"/>
    <s v="AR ZonaProp"/>
    <n v="0"/>
    <x v="373"/>
    <x v="1"/>
    <s v="Dólares"/>
    <s v="Dólares"/>
    <s v="Juan Jose Paso 292 "/>
    <m/>
    <x v="0"/>
    <n v="1"/>
    <s v="Seniority Plus"/>
    <s v="Compartida Fuera de la Red Búsqueda"/>
    <x v="2"/>
    <s v="Venta"/>
    <x v="3"/>
    <s v="Palermo"/>
  </r>
  <r>
    <d v="2025-03-13T00:00:00"/>
    <x v="1"/>
    <x v="9"/>
    <s v="CAP4610808"/>
    <x v="0"/>
    <s v="Alquiler depto 2 ambientes en Arboris Las Lomas - San Isidro"/>
    <s v="Realizado"/>
    <s v="Referido"/>
    <n v="230000"/>
    <x v="373"/>
    <x v="1"/>
    <s v="Dólares"/>
    <s v="Dólares"/>
    <s v="don Bosco al 1400"/>
    <s v="Argentina | G.B.A. Zona Norte | San Isidro | Arboris Las Lomas"/>
    <x v="0"/>
    <n v="2"/>
    <s v="Concept"/>
    <s v="Compartida Fuera de la Red Captación Propia"/>
    <x v="0"/>
    <s v="Venta"/>
    <x v="6"/>
    <s v="Tigre"/>
  </r>
  <r>
    <d v="2025-04-30T00:00:00"/>
    <x v="1"/>
    <x v="3"/>
    <s v="CPH6658311"/>
    <x v="0"/>
    <s v="Venta PH tipo Casa 4 Ambientes con Terraza en Villa Devoto"/>
    <s v="Realizado"/>
    <s v="AR ZonaProp"/>
    <n v="229000"/>
    <x v="373"/>
    <x v="1"/>
    <s v="Dólares"/>
    <s v="Dólares"/>
    <s v="Mercedes  al 4600"/>
    <s v="Argentina | Capital Federal | Villa Devoto "/>
    <x v="3"/>
    <n v="2"/>
    <s v="Seniority"/>
    <s v="Compartida Fuera de la Red Captación Propia"/>
    <x v="0"/>
    <s v="Venta"/>
    <x v="3"/>
    <s v="Barrio Parque"/>
  </r>
  <r>
    <d v="2025-12-01T00:00:00"/>
    <x v="1"/>
    <x v="8"/>
    <s v="CAP7233289"/>
    <x v="0"/>
    <s v="Departamento 3 ambientes a Estrenar Villa Urquiza"/>
    <s v="Realizado"/>
    <s v="AR ZonaProp"/>
    <n v="215000"/>
    <x v="373"/>
    <x v="1"/>
    <s v="Dólares"/>
    <s v="Dólares"/>
    <s v="Av congreso al 4300"/>
    <s v="Argentina | Capital Federal | Villa Urquiza "/>
    <x v="0"/>
    <n v="2"/>
    <s v="Destino II"/>
    <s v="Compartida Fuera de la Red Captación Propia"/>
    <x v="0"/>
    <s v="Venta"/>
    <x v="3"/>
    <s v="Recoleta"/>
  </r>
  <r>
    <d v="2025-01-07T00:00:00"/>
    <x v="1"/>
    <x v="10"/>
    <s v="Bartolomé Hidalgo 3056"/>
    <x v="0"/>
    <s v="Bartolomé Hidalgo 3056"/>
    <s v="Realizado"/>
    <s v="AR MercadoLibre"/>
    <n v="218000"/>
    <x v="373"/>
    <x v="1"/>
    <s v="Dólares"/>
    <s v="Dólares"/>
    <s v="Bartolomé Hidalgo 3056"/>
    <s v="Argentina | Capital Federal | Capital Federal "/>
    <x v="2"/>
    <n v="2"/>
    <s v="Lion Team"/>
    <s v="Propia (Único Asesor)"/>
    <x v="1"/>
    <s v="Venta"/>
    <x v="3"/>
    <s v="Villa Urquiza"/>
  </r>
  <r>
    <d v="2025-10-06T00:00:00"/>
    <x v="1"/>
    <x v="11"/>
    <s v="CAP7073730"/>
    <x v="0"/>
    <s v="Venta piso de 4 ambientes más dependencia en Villa Crespo"/>
    <s v="Realizado"/>
    <s v="AR ZonaProp"/>
    <n v="239000"/>
    <x v="373"/>
    <x v="1"/>
    <s v="Dólares"/>
    <s v="Dólares"/>
    <s v="Lavalleja al 600"/>
    <s v="Argentina | Capital Federal | Villa Crespo "/>
    <x v="0"/>
    <n v="2"/>
    <s v="Seniority Plus"/>
    <s v="Propia (Único Asesor)"/>
    <x v="1"/>
    <s v="Venta"/>
    <x v="3"/>
    <s v="Palermo"/>
  </r>
  <r>
    <d v="2025-02-03T00:00:00"/>
    <x v="1"/>
    <x v="0"/>
    <s v="CAP6316140"/>
    <x v="0"/>
    <s v="VENTA Departamento 3 Ambientes con Patio en PALERMO, PALERMO SOHO"/>
    <s v="Realizado"/>
    <s v="AR ZonaProp"/>
    <n v="240000"/>
    <x v="374"/>
    <x v="1"/>
    <s v="Dólares"/>
    <s v="Dólares"/>
    <s v="Coronel Diaz al 1800"/>
    <s v="Argentina | Capital Federal | Palermo | Palermo Soho"/>
    <x v="0"/>
    <n v="2"/>
    <s v="Seniority Plus"/>
    <s v="Compartida Fuera de la Red Captación Propia"/>
    <x v="0"/>
    <s v="Venta"/>
    <x v="3"/>
    <s v="Palermo"/>
  </r>
  <r>
    <d v="2025-07-17T00:00:00"/>
    <x v="1"/>
    <x v="1"/>
    <s v="CAP6716550"/>
    <x v="0"/>
    <s v="VENTA DEPARTAMENTO 2 AMBIENTES, COCHERA, BAULERA,FULL AMENITIES, ASTOR NUÑEZ"/>
    <s v="Realizado"/>
    <s v="AR ZonaProp"/>
    <n v="225000"/>
    <x v="375"/>
    <x v="1"/>
    <s v="Dólares"/>
    <s v="Dólares"/>
    <s v="Pico al 2300"/>
    <s v="Argentina | Capital Federal | Nuñez | L.De Nuñez"/>
    <x v="0"/>
    <n v="2"/>
    <s v="Seniority Plus"/>
    <s v="Compartida en Oficina (Dos Asesores)"/>
    <x v="1"/>
    <s v="Venta"/>
    <x v="3"/>
    <s v="Palermo"/>
  </r>
  <r>
    <d v="2026-03-16T00:00:00"/>
    <x v="0"/>
    <x v="9"/>
    <s v="CLA7459417"/>
    <x v="0"/>
    <s v="VENTA Lote | Terreno 1250m2 a 100 metros de la playa Bahía Manzano Villa La Angostura"/>
    <s v="Realizado"/>
    <s v="AR ZonaProp"/>
    <n v="240000"/>
    <x v="375"/>
    <x v="1"/>
    <s v="Dólares"/>
    <s v="Dólares"/>
    <s v="Los Pinos"/>
    <s v="Argentina | Neuquen | Villa La Angostura | Puerto Manzano"/>
    <x v="1"/>
    <n v="2"/>
    <s v="Patagonia Lakes VLA"/>
    <s v="Compartida en Oficina (Dos Asesores)"/>
    <x v="1"/>
    <s v="Venta"/>
    <x v="1"/>
    <s v="Villa La Angostura"/>
  </r>
  <r>
    <d v="2026-03-13T00:00:00"/>
    <x v="0"/>
    <x v="9"/>
    <s v="CHO7482492"/>
    <x v="1"/>
    <s v="Casa moderna en venta en Santa Elena – Pilar del Este 3 dormitorios, pileta y galería"/>
    <s v="Realizado"/>
    <s v="AR ZonaProp"/>
    <n v="224900"/>
    <x v="375"/>
    <x v="1"/>
    <s v="Dólares"/>
    <s v="Dólares"/>
    <s v="Santa Elena - Pilar del Este"/>
    <s v="Argentina | G.B.A. Zona Norte | Pilar | Countries/B.Cerrado (Pilar) | Pilar Del Este | Santa Elena "/>
    <x v="2"/>
    <n v="2"/>
    <s v="Quality"/>
    <s v="Compartida en Red (50%)"/>
    <x v="1"/>
    <s v="Venta"/>
    <x v="6"/>
    <s v="Escobar"/>
  </r>
  <r>
    <d v="2025-05-22T00:00:00"/>
    <x v="1"/>
    <x v="2"/>
    <n v="10355"/>
    <x v="0"/>
    <s v="carlos pellegrini "/>
    <s v="Realizado"/>
    <s v="AR ZonaProp"/>
    <n v="0"/>
    <x v="375"/>
    <x v="1"/>
    <s v="Dólares"/>
    <s v="Dólares"/>
    <s v="pellegrini"/>
    <s v="Argentina | Capital Federal | Belgrano "/>
    <x v="0"/>
    <n v="1"/>
    <s v="Seniority"/>
    <s v="Compartida Fuera de la Red Búsqueda"/>
    <x v="2"/>
    <s v="Venta"/>
    <x v="3"/>
    <s v="Barrio Parque"/>
  </r>
  <r>
    <d v="2025-08-21T00:00:00"/>
    <x v="1"/>
    <x v="5"/>
    <s v="CLA6894171"/>
    <x v="0"/>
    <s v="GALPÓN en 41 e/ 25 y 26"/>
    <s v="Realizado"/>
    <s v="AR ZonaProp"/>
    <n v="225000"/>
    <x v="375"/>
    <x v="1"/>
    <s v="Dólares"/>
    <s v="Dólares"/>
    <s v="GALPÓN en 41 e/ 25 y 26"/>
    <s v="Argentina | G.B.A. Zona Sur | La Plata | La Plata"/>
    <x v="7"/>
    <n v="1"/>
    <s v="Golden Team"/>
    <s v="Compartida Fuera de la Red Búsqueda"/>
    <x v="2"/>
    <s v="Venta"/>
    <x v="0"/>
    <s v="La Plata"/>
  </r>
  <r>
    <d v="2025-09-03T00:00:00"/>
    <x v="1"/>
    <x v="6"/>
    <s v="Skyroof living UF 22"/>
    <x v="0"/>
    <s v="Skyroof living UF 22"/>
    <s v="Realizado"/>
    <s v="AR ZonaProp"/>
    <n v="220000"/>
    <x v="375"/>
    <x v="1"/>
    <s v="Dólares"/>
    <s v="Dólares"/>
    <m/>
    <s v="Argentina | G.B.A. Zona Norte | Tigre | Countries/B.Cerrado (Tigre) | Nordelta"/>
    <x v="0"/>
    <n v="1"/>
    <s v="Seniority Plus"/>
    <s v="Compartida Fuera de la Red Búsqueda"/>
    <x v="2"/>
    <s v="Venta"/>
    <x v="3"/>
    <s v="Palermo"/>
  </r>
  <r>
    <d v="2026-02-12T00:00:00"/>
    <x v="0"/>
    <x v="0"/>
    <n v="10640"/>
    <x v="0"/>
    <s v="Garcia del Rio"/>
    <s v="Realizado"/>
    <s v="AR ZonaProp"/>
    <n v="220000"/>
    <x v="375"/>
    <x v="1"/>
    <s v="Dólares"/>
    <s v="Dólares"/>
    <s v="Garcia Del Rio"/>
    <s v="Argentina | Capital Federal | Saavedra "/>
    <x v="0"/>
    <n v="1"/>
    <s v="Seniority"/>
    <s v="Compartida Fuera de la Red Búsqueda"/>
    <x v="2"/>
    <s v="Venta"/>
    <x v="3"/>
    <s v="Barrio Parque"/>
  </r>
  <r>
    <d v="2025-05-01T00:00:00"/>
    <x v="1"/>
    <x v="2"/>
    <s v="CHO6864495"/>
    <x v="0"/>
    <s v="Casa en Venta City Bell, 4 dormitorios, escritorio, quincho, pileta "/>
    <s v="Realizado"/>
    <s v="AR ZonaProp"/>
    <n v="229000"/>
    <x v="375"/>
    <x v="1"/>
    <s v="Dólares"/>
    <s v="Dólares"/>
    <s v="18 al 900 entre 462 y 464"/>
    <s v="Argentina | G.B.A. Zona Sur | La Plata | City Bell"/>
    <x v="2"/>
    <n v="2"/>
    <s v="Golden Team"/>
    <s v="Compartida Fuera de la Red Captación Propia"/>
    <x v="0"/>
    <s v="Venta"/>
    <x v="0"/>
    <s v="La Plata"/>
  </r>
  <r>
    <d v="2026-01-16T00:00:00"/>
    <x v="0"/>
    <x v="10"/>
    <s v="CHO7425854"/>
    <x v="0"/>
    <s v="Casa en venta Santa Inés Canning"/>
    <s v="Realizado"/>
    <s v="AR ZonaProp"/>
    <n v="240000"/>
    <x v="375"/>
    <x v="1"/>
    <s v="Dólares"/>
    <s v="Dólares"/>
    <s v="Casa en venta Santa Inés Canning"/>
    <s v="Argentina | G.B.A. Zona Sur | Esteban Echeverria | Countries/B.Cerrado (E. Echeverría) | Santa Ines"/>
    <x v="2"/>
    <n v="2"/>
    <s v="Livello"/>
    <s v="Compartida Fuera de la Red Captación Propia"/>
    <x v="0"/>
    <s v="Venta"/>
    <x v="3"/>
    <s v="Palermo"/>
  </r>
  <r>
    <d v="2025-10-16T00:00:00"/>
    <x v="1"/>
    <x v="11"/>
    <s v="CAP7320612"/>
    <x v="2"/>
    <s v="Venta departamento 3 ambientes, cochera, baulera, en Belgrano"/>
    <s v="Realizado"/>
    <s v="AR ZonaProp"/>
    <n v="239000"/>
    <x v="375"/>
    <x v="1"/>
    <s v="Dólares"/>
    <s v="Dólares"/>
    <s v="Amenabar 1800"/>
    <s v="Argentina | Capital Federal | Belgrano | Belgrano R"/>
    <x v="0"/>
    <n v="2"/>
    <s v="Haka"/>
    <s v="Master"/>
    <x v="1"/>
    <s v="Venta"/>
    <x v="3"/>
    <s v="Núñez"/>
  </r>
  <r>
    <d v="2025-10-28T00:00:00"/>
    <x v="1"/>
    <x v="11"/>
    <s v="CAP7205657"/>
    <x v="2"/>
    <s v="Venta Departamento 3 ambientes en  Saavedra al frente de la plaza  Cochera opc. Entrega Enero 2026"/>
    <s v="Realizado"/>
    <s v="AR ZonaProp"/>
    <n v="202000"/>
    <x v="375"/>
    <x v="1"/>
    <s v="Dólares"/>
    <s v="Dólares"/>
    <s v="Machain  al 3500 2 frente"/>
    <s v="Argentina | Capital Federal | Saavedra "/>
    <x v="0"/>
    <n v="2"/>
    <s v="Seniority"/>
    <s v="Master"/>
    <x v="1"/>
    <s v="Venta"/>
    <x v="3"/>
    <s v="Barrio Parque"/>
  </r>
  <r>
    <d v="2026-03-12T00:00:00"/>
    <x v="0"/>
    <x v="9"/>
    <s v="Casa en venta en Santa Elena 4 ambientes"/>
    <x v="2"/>
    <s v="Casa 4 ambientes en venta en Barrio Santa Elena"/>
    <s v="Realizado"/>
    <s v="Referido"/>
    <n v="230000"/>
    <x v="375"/>
    <x v="1"/>
    <s v="Dólares"/>
    <s v="Dólares"/>
    <s v="Pilar del Este"/>
    <s v="Argentina | G.B.A. Zona Norte | Pilar | Countries/B.Cerrado (Pilar) | Pilar Del Este | Santa Elena "/>
    <x v="2"/>
    <n v="2"/>
    <s v="North Team"/>
    <s v="Master"/>
    <x v="1"/>
    <s v="Venta"/>
    <x v="6"/>
    <s v="Pilar"/>
  </r>
  <r>
    <d v="2025-12-03T00:00:00"/>
    <x v="1"/>
    <x v="8"/>
    <n v="3122025"/>
    <x v="0"/>
    <s v="Reserva Venta Referido a Mati Lion Team Referido Leti "/>
    <s v="Realizado"/>
    <s v="Referido"/>
    <n v="220000"/>
    <x v="375"/>
    <x v="1"/>
    <s v="Dólares"/>
    <s v="Dólares"/>
    <m/>
    <s v="Argentina | Capital Federal | Belgrano "/>
    <x v="0"/>
    <n v="2"/>
    <s v="Patagonia Lakes BRC"/>
    <s v="Profesional Referenciador (30%)"/>
    <x v="1"/>
    <s v="Venta"/>
    <x v="7"/>
    <s v="Bariloche"/>
  </r>
  <r>
    <d v="2025-12-03T00:00:00"/>
    <x v="1"/>
    <x v="8"/>
    <s v="CAP7330154"/>
    <x v="1"/>
    <s v="Venta - Departamento - 4 Amb - Frente - Balcon - Belgrano - Apto Credito - Permuta"/>
    <s v="Realizado"/>
    <s v="AR ArgenProp"/>
    <n v="270000"/>
    <x v="375"/>
    <x v="1"/>
    <s v="Dólares"/>
    <s v="Dólares"/>
    <s v="Zabala 2270"/>
    <s v="Argentina | Capital Federal | Belgrano "/>
    <x v="0"/>
    <n v="2"/>
    <s v="Lion Team"/>
    <s v="Profesional Referido (70%)"/>
    <x v="1"/>
    <s v="Venta"/>
    <x v="3"/>
    <s v="Villa Urquiza"/>
  </r>
  <r>
    <d v="2025-01-21T00:00:00"/>
    <x v="1"/>
    <x v="10"/>
    <s v="Casa venta Santa Ines"/>
    <x v="0"/>
    <s v="Casa venta Santa Ines "/>
    <s v="Realizado"/>
    <s v="AR ZonaProp"/>
    <n v="220000"/>
    <x v="375"/>
    <x v="1"/>
    <s v="Dólares"/>
    <s v="Dólares"/>
    <m/>
    <s v="Argentina | G.B.A. Zona Sur | Ezeiza "/>
    <x v="2"/>
    <n v="2"/>
    <s v="Livello"/>
    <s v="Propia (Único Asesor)"/>
    <x v="1"/>
    <s v="Venta"/>
    <x v="3"/>
    <s v="Palermo"/>
  </r>
  <r>
    <d v="2025-03-10T00:00:00"/>
    <x v="1"/>
    <x v="9"/>
    <s v="VAP5782265"/>
    <x v="0"/>
    <s v="Departamento de dos ambientes en venta en  venta Palermo Chico"/>
    <s v="Realizado"/>
    <s v="AR ArgenProp"/>
    <n v="235000"/>
    <x v="375"/>
    <x v="1"/>
    <s v="Dólares"/>
    <s v="Dólares"/>
    <s v=" Sinclair al 3100 "/>
    <s v="Argentina | Capital Federal | Palermo | Palermo Nuevo"/>
    <x v="0"/>
    <n v="2"/>
    <s v="Space BA"/>
    <s v="Propia (Único Asesor)"/>
    <x v="1"/>
    <s v="Venta"/>
    <x v="3"/>
    <s v="Belgrano"/>
  </r>
  <r>
    <d v="2025-04-07T00:00:00"/>
    <x v="1"/>
    <x v="3"/>
    <s v="CAP6775055"/>
    <x v="0"/>
    <s v="Departamento en venta en Ciudad de Mendoza"/>
    <s v="Realizado"/>
    <s v="Conocido"/>
    <n v="225000"/>
    <x v="375"/>
    <x v="1"/>
    <s v="Dólares"/>
    <s v="Dólares"/>
    <s v="Departamento amoblado en venta en Ciudad de Mendoza"/>
    <s v="Argentina | Mendoza | Capital | Mendoza"/>
    <x v="0"/>
    <n v="2"/>
    <s v="Cuyo Real"/>
    <s v="Propia (Único Asesor)"/>
    <x v="1"/>
    <s v="Venta"/>
    <x v="2"/>
    <s v="Capital Mendoza"/>
  </r>
  <r>
    <d v="2025-04-25T00:00:00"/>
    <x v="1"/>
    <x v="3"/>
    <m/>
    <x v="0"/>
    <s v="Dueño Directo - Saavedra 464 - ADRI"/>
    <s v="Realizado"/>
    <s v="AR ZonaProp"/>
    <n v="220000"/>
    <x v="375"/>
    <x v="1"/>
    <s v="Dólares"/>
    <s v="Dólares"/>
    <s v="Saavedra 464"/>
    <s v="Argentina | G.B.A. Zona Sur | Lomas De Zamora (Partido) | Lomas De Zamora | Lomas de Zamora Oeste"/>
    <x v="0"/>
    <n v="2"/>
    <s v="Destino"/>
    <s v="Propia (Único Asesor)"/>
    <x v="1"/>
    <s v="Venta"/>
    <x v="3"/>
    <s v="Recoleta"/>
  </r>
  <r>
    <d v="2025-05-30T00:00:00"/>
    <x v="1"/>
    <x v="2"/>
    <s v="CAP6592406"/>
    <x v="0"/>
    <s v="Departamento 3 ambientes con Dependencia Balcon corrido Cochera Baulera Belgrano"/>
    <s v="Realizado"/>
    <s v="AR ArgenProp"/>
    <n v="235000"/>
    <x v="375"/>
    <x v="1"/>
    <s v="Dólares"/>
    <s v="Dólares"/>
    <s v="Moldes al 2100"/>
    <s v="Argentina | Capital Federal | Belgrano "/>
    <x v="0"/>
    <n v="2"/>
    <s v="Lion Team"/>
    <s v="Propia (Único Asesor)"/>
    <x v="1"/>
    <s v="Venta"/>
    <x v="3"/>
    <s v="Villa Urquiza"/>
  </r>
  <r>
    <d v="2025-10-07T00:00:00"/>
    <x v="1"/>
    <x v="11"/>
    <s v="CAP6984374"/>
    <x v="0"/>
    <s v="Departamento 2 Ambientes a Estrenar- WE LIVE - Puerto de Olivos"/>
    <s v="Realizado"/>
    <s v="AR ZonaProp"/>
    <n v="225000"/>
    <x v="375"/>
    <x v="1"/>
    <s v="Dólares"/>
    <s v="Dólares"/>
    <s v="Juan Carlos Cruz  al 2200"/>
    <s v="Argentina | G.B.A. Zona Norte | Vicente López | Olivos | Olivos-Vias/Rio"/>
    <x v="0"/>
    <n v="2"/>
    <s v="Puerto Norte"/>
    <s v="Propia (Único Asesor)"/>
    <x v="1"/>
    <s v="Venta"/>
    <x v="6"/>
    <s v="Nordelta"/>
  </r>
  <r>
    <d v="2025-10-07T00:00:00"/>
    <x v="1"/>
    <x v="11"/>
    <s v="CHO6655151"/>
    <x v="0"/>
    <s v="VENTA-PERMUTA EXCELENTE CASA de 5 AMB. HARAS MALACATE ( COUNTRY CLUB Y GOLF)"/>
    <s v="Realizado"/>
    <s v="AR ArgenProp"/>
    <n v="229000"/>
    <x v="375"/>
    <x v="1"/>
    <s v="Dólares"/>
    <s v="Dólares"/>
    <s v="HARAS EL MALACATE"/>
    <s v="Argentina | G.B.A. Zona Norte | Exaltacion De La Cruz | Countries/B.Cerrado (Exaltación) | Haras el Malacate"/>
    <x v="2"/>
    <n v="2"/>
    <s v="Lion Team"/>
    <s v="Propia (Único Asesor)"/>
    <x v="1"/>
    <s v="Venta"/>
    <x v="3"/>
    <s v="Villa Urquiza"/>
  </r>
  <r>
    <d v="2026-03-18T00:00:00"/>
    <x v="0"/>
    <x v="9"/>
    <s v="JAP6896433"/>
    <x v="0"/>
    <s v="VENTA DEPTO 3 AMBIENTES APTO CREDITO PATIO PROPIO - PARRILLA V. URQUIZA"/>
    <s v="Realizado"/>
    <s v="AR ZonaProp"/>
    <n v="229000"/>
    <x v="375"/>
    <x v="1"/>
    <s v="Dólares"/>
    <s v="Dólares"/>
    <s v="Diaz Colodrero  al 3500"/>
    <s v="Argentina | Capital Federal | Villa Urquiza "/>
    <x v="0"/>
    <n v="2"/>
    <s v="Lion Team Norte"/>
    <s v="Propia (Único Asesor)"/>
    <x v="1"/>
    <s v="Venta"/>
    <x v="6"/>
    <s v="Vicente López"/>
  </r>
  <r>
    <d v="2025-05-28T00:00:00"/>
    <x v="1"/>
    <x v="2"/>
    <s v="VAP6962581"/>
    <x v="0"/>
    <s v="Departamento en Venta 3 amb - Vista al Crystal Lagoon"/>
    <s v="Realizado"/>
    <s v="AR ZonaProp"/>
    <n v="280000"/>
    <x v="376"/>
    <x v="1"/>
    <s v="Dólares"/>
    <s v="Dólares"/>
    <s v="Remeros Beach"/>
    <s v="Argentina | G.B.A. Zona Norte | Tigre | Rincon de Milberg | Remeros Beach"/>
    <x v="0"/>
    <n v="2"/>
    <s v="Puerto Norte"/>
    <s v="Compartida Fuera de la Red Captación Propia"/>
    <x v="0"/>
    <s v="Venta"/>
    <x v="6"/>
    <s v="Nordelta"/>
  </r>
  <r>
    <d v="2025-06-06T00:00:00"/>
    <x v="1"/>
    <x v="4"/>
    <s v="CHO6854123"/>
    <x v="0"/>
    <s v="Casa en Venta 3 dormitorios Barrio Santa Guadalupe Pilar del Este"/>
    <s v="Realizado"/>
    <s v="Referido"/>
    <n v="230000"/>
    <x v="377"/>
    <x v="1"/>
    <s v="Dólares"/>
    <s v="Dólares"/>
    <s v="Barrio Santa Guadalupe Pilar del Este"/>
    <s v="Argentina | G.B.A. Zona Norte | Pilar | Countries/B.Cerrado (Pilar) | Pilar Del Este | Santa Guadalupe"/>
    <x v="2"/>
    <n v="2"/>
    <s v="North Team"/>
    <s v="Propia (Único Asesor)"/>
    <x v="1"/>
    <s v="Venta"/>
    <x v="6"/>
    <s v="Pilar"/>
  </r>
  <r>
    <d v="2026-03-18T00:00:00"/>
    <x v="0"/>
    <x v="9"/>
    <s v="CLA7007520"/>
    <x v="0"/>
    <s v="Venta de lotes con planos aprobados y financiación - Bariloche"/>
    <s v="Realizado"/>
    <s v="Teléfono"/>
    <n v="91370"/>
    <x v="378"/>
    <x v="1"/>
    <s v="Dólares"/>
    <s v="Dólares"/>
    <s v="Barrio Las Chacras"/>
    <s v="Argentina | Rio Negro | Bariloche | San Carlos De Bariloche | Las Chacras"/>
    <x v="1"/>
    <n v="2"/>
    <s v="Patagonia Lakes BRC"/>
    <s v="Compartida en Oficina (Dos Asesores)"/>
    <x v="1"/>
    <s v="Venta"/>
    <x v="7"/>
    <s v="Bariloche"/>
  </r>
  <r>
    <d v="2025-12-01T00:00:00"/>
    <x v="1"/>
    <x v="8"/>
    <s v="arizu"/>
    <x v="0"/>
    <s v="casa arizu"/>
    <s v="Realizado"/>
    <s v="Conocido"/>
    <n v="225000"/>
    <x v="379"/>
    <x v="1"/>
    <s v="Dólares"/>
    <s v="Dólares"/>
    <m/>
    <s v="Argentina | Mendoza | Capital | Mendoza | Barrio Arizu "/>
    <x v="2"/>
    <n v="1"/>
    <s v="Cuyo Real"/>
    <s v="(Interior) Compartida Fuera de la Red Búsqueda"/>
    <x v="2"/>
    <s v="Venta"/>
    <x v="2"/>
    <s v="Capital Mendoza"/>
  </r>
  <r>
    <d v="2025-09-30T00:00:00"/>
    <x v="1"/>
    <x v="6"/>
    <s v="CHO6920147"/>
    <x v="1"/>
    <s v="Casa sólida con vistas panorámicas al lago en Bariloche – Ideal para vivir o invertir"/>
    <s v="Realizado"/>
    <s v="Teléfono"/>
    <n v="240000"/>
    <x v="379"/>
    <x v="1"/>
    <s v="Dólares"/>
    <s v="Dólares"/>
    <s v="Calle Saihueque, Rancho Grande, San Carlos de Bariloche"/>
    <s v="Argentina | Rio Negro | Bariloche | San Carlos De Bariloche | Rancho Grande"/>
    <x v="2"/>
    <n v="2"/>
    <s v="Patagonia Lakes BRC"/>
    <s v="Compartida en Oficina (Dos Asesores)"/>
    <x v="1"/>
    <s v="Venta"/>
    <x v="7"/>
    <s v="Bariloche"/>
  </r>
  <r>
    <d v="2025-02-07T00:00:00"/>
    <x v="1"/>
    <x v="0"/>
    <s v="CAP6242053"/>
    <x v="0"/>
    <s v="COMERCIALIZACION - TIPO DE INMUEBLE - CANT AMBIENTES - UBICACION - DISTINTIVO"/>
    <s v="Realizado"/>
    <s v="AR ZonaProp"/>
    <n v="7"/>
    <x v="379"/>
    <x v="1"/>
    <s v="Dólares"/>
    <s v="Dólares"/>
    <s v="Arenales al 1900"/>
    <s v="Argentina | Capital Federal | Recoleta "/>
    <x v="0"/>
    <n v="2"/>
    <s v="Destino"/>
    <s v="Compartida en Oficina (Dos Asesores)"/>
    <x v="1"/>
    <s v="Venta"/>
    <x v="3"/>
    <s v="Recoleta"/>
  </r>
  <r>
    <d v="2025-09-30T00:00:00"/>
    <x v="1"/>
    <x v="6"/>
    <s v="CHO6920147"/>
    <x v="0"/>
    <s v="Casa sólida con vistas panorámicas al lago en Bariloche – Ideal para vivir o invertir"/>
    <s v="Realizado"/>
    <s v="Teléfono"/>
    <n v="240000"/>
    <x v="379"/>
    <x v="1"/>
    <s v="Dólares"/>
    <s v="Dólares"/>
    <s v="Calle Saihueque, Rancho Grande, San Carlos de Bariloche"/>
    <s v="Argentina | Rio Negro | Bariloche | San Carlos De Bariloche | Rancho Grande"/>
    <x v="2"/>
    <n v="2"/>
    <s v="Patagonia Lakes BRC"/>
    <s v="Compartida en Oficina (Dos Asesores)"/>
    <x v="1"/>
    <s v="Venta"/>
    <x v="7"/>
    <s v="Bariloche"/>
  </r>
  <r>
    <d v="2025-11-18T00:00:00"/>
    <x v="1"/>
    <x v="7"/>
    <s v="VHO5625300"/>
    <x v="0"/>
    <s v="Casa en  venta Aero Club Gral Rodriguez Apto Crédito"/>
    <s v="Realizado"/>
    <s v="AR MercadoLibre"/>
    <n v="230000"/>
    <x v="379"/>
    <x v="1"/>
    <s v="Dólares"/>
    <s v="Dólares"/>
    <s v="ruta 6 y arroyo La Choza - gral Rodriguez"/>
    <s v="Argentina | G.B.A. Zona Oeste | General Rodriguez | Countries/B.Cerrado (G. Rodriguez) | Aero Country Club"/>
    <x v="2"/>
    <n v="2"/>
    <s v="Puerto Norte"/>
    <s v="Compartida en Oficina (Dos Asesores)"/>
    <x v="1"/>
    <s v="Venta"/>
    <x v="6"/>
    <s v="Nordelta"/>
  </r>
  <r>
    <d v="2026-01-14T00:00:00"/>
    <x v="0"/>
    <x v="10"/>
    <s v="CHO6898718"/>
    <x v="0"/>
    <s v="B° Santa Angela III Casa en Venta"/>
    <s v="Realizado"/>
    <s v="AR ZonaProp"/>
    <n v="240000"/>
    <x v="379"/>
    <x v="1"/>
    <s v="Dólares"/>
    <s v="Dólares"/>
    <s v="Santa Angela"/>
    <s v="Argentina | Neuquen | Confluencia | Centenario"/>
    <x v="2"/>
    <n v="2"/>
    <s v="Sensus"/>
    <s v="Compartida en Oficina (Dos Asesores)"/>
    <x v="1"/>
    <s v="Venta"/>
    <x v="1"/>
    <s v="Capital Neuquén"/>
  </r>
  <r>
    <d v="2026-01-20T00:00:00"/>
    <x v="0"/>
    <x v="10"/>
    <s v="CAP6695473"/>
    <x v="1"/>
    <s v="VENTA Departamento 2 ambientes UF9 74m2 Manzano Bay ViewVista al Lago Amenities Villa La Angostura"/>
    <s v="Realizado"/>
    <s v="Repetido"/>
    <n v="245000"/>
    <x v="379"/>
    <x v="1"/>
    <s v="Dólares"/>
    <s v="Dólares"/>
    <s v="Av. Arrayanes al 7000"/>
    <s v="Argentina | Neuquen | Villa La Angostura | Pto.Manzano"/>
    <x v="0"/>
    <n v="2"/>
    <s v="Patagonia Lakes SMA"/>
    <s v="Compartida en Red (50%)"/>
    <x v="1"/>
    <s v="Venta"/>
    <x v="1"/>
    <s v="San Martín de los Andes"/>
  </r>
  <r>
    <d v="2026-01-20T00:00:00"/>
    <x v="0"/>
    <x v="10"/>
    <s v="CAP6695473"/>
    <x v="0"/>
    <s v="VENTA Departamento 2 ambientes UF9 74m2 Manzano Bay ViewVista al Lago Amenities Villa La Angostura"/>
    <s v="Realizado"/>
    <s v="Repetido"/>
    <n v="245000"/>
    <x v="379"/>
    <x v="1"/>
    <s v="Dólares"/>
    <s v="Dólares"/>
    <s v="Av. Arrayanes al 7000"/>
    <s v="Argentina | Neuquen | Villa La Angostura | Pto.Manzano"/>
    <x v="0"/>
    <n v="2"/>
    <s v="Patagonia Lakes VLA"/>
    <s v="Compartida en Red (50%)"/>
    <x v="1"/>
    <s v="Venta"/>
    <x v="1"/>
    <s v="Villa La Angostura"/>
  </r>
  <r>
    <d v="2025-04-04T00:00:00"/>
    <x v="1"/>
    <x v="3"/>
    <n v="10336"/>
    <x v="0"/>
    <n v="10336"/>
    <s v="Realizado"/>
    <s v="AR ZonaProp"/>
    <n v="0"/>
    <x v="379"/>
    <x v="1"/>
    <s v="Dólares"/>
    <s v="Dólares"/>
    <m/>
    <s v="Argentina | G.B.A. Zona Norte | Vicente López | Olivos"/>
    <x v="0"/>
    <n v="1"/>
    <s v="Seniority"/>
    <s v="Compartida Fuera de la Red Búsqueda"/>
    <x v="2"/>
    <s v="Venta"/>
    <x v="3"/>
    <s v="Barrio Parque"/>
  </r>
  <r>
    <d v="2025-10-03T00:00:00"/>
    <x v="1"/>
    <x v="11"/>
    <m/>
    <x v="0"/>
    <s v="Departamento en venta en Coghlan"/>
    <s v="Realizado"/>
    <s v="AR ZonaProp"/>
    <n v="250000"/>
    <x v="379"/>
    <x v="1"/>
    <s v="Dólares"/>
    <s v="Dólares"/>
    <s v="Conde 2546 4to A"/>
    <s v="Argentina | Capital Federal | Capital Federal "/>
    <x v="0"/>
    <n v="1"/>
    <s v="Space BA"/>
    <s v="Compartida Fuera de la Red Búsqueda"/>
    <x v="2"/>
    <s v="Venta"/>
    <x v="3"/>
    <s v="Belgrano"/>
  </r>
  <r>
    <d v="2025-08-18T00:00:00"/>
    <x v="1"/>
    <x v="5"/>
    <s v="CAP7099180"/>
    <x v="0"/>
    <s v="Venta Departamento 3 Ambientes, Dependencia y Cochera en Bahia Grande Nordelta, Puerto Escondido"/>
    <s v="Realizado"/>
    <s v="AR ZonaProp"/>
    <n v="235000"/>
    <x v="379"/>
    <x v="1"/>
    <s v="Dólares"/>
    <s v="Dólares"/>
    <s v="Av del Puerto  al 600 - Puerto Escondido Nordelta"/>
    <s v="Argentina | G.B.A. Zona Norte | Tigre | Countries/B.Cerrado (Tigre) | Nordelta | Bahia Grande"/>
    <x v="0"/>
    <n v="2"/>
    <s v="Seniority Plus"/>
    <s v="Compartida Fuera de la Red Captación Propia"/>
    <x v="0"/>
    <s v="Venta"/>
    <x v="3"/>
    <s v="Palermo"/>
  </r>
  <r>
    <d v="2025-10-09T00:00:00"/>
    <x v="1"/>
    <x v="11"/>
    <s v="CAP6772107"/>
    <x v="0"/>
    <s v="VENTA 3 AMBIENTES GRAN PATIO PLANTA BAJA - APTO CREDITO Y PROFESIONAL PALERMO"/>
    <s v="Realizado"/>
    <s v="AR ZonaProp"/>
    <n v="249500"/>
    <x v="379"/>
    <x v="1"/>
    <s v="Dólares"/>
    <s v="Dólares"/>
    <s v="GORRITI al 4000 "/>
    <s v="Argentina | Capital Federal | Palermo | Palermo Soho"/>
    <x v="0"/>
    <n v="2"/>
    <s v="Seniority"/>
    <s v="Compartida Fuera de la Red Captación Propia"/>
    <x v="0"/>
    <s v="Venta"/>
    <x v="3"/>
    <s v="Barrio Parque"/>
  </r>
  <r>
    <d v="2026-01-14T00:00:00"/>
    <x v="0"/>
    <x v="10"/>
    <s v="CAP6814487"/>
    <x v="0"/>
    <s v="Venta Departamento 3 ambientes balcón frente amenities Palermo"/>
    <s v="Realizado"/>
    <s v="AR ZonaProp"/>
    <n v="235000"/>
    <x v="379"/>
    <x v="1"/>
    <s v="Dólares"/>
    <s v="Dólares"/>
    <s v="Mansilla  al 3000"/>
    <s v="Argentina | Capital Federal | Palermo "/>
    <x v="0"/>
    <n v="2"/>
    <s v="Grupo Elite"/>
    <s v="Compartida Fuera de la Red Captación Propia"/>
    <x v="0"/>
    <s v="Venta"/>
    <x v="3"/>
    <s v="Puerto Madero"/>
  </r>
  <r>
    <d v="2025-09-18T00:00:00"/>
    <x v="1"/>
    <x v="6"/>
    <s v="CHO6742742"/>
    <x v="2"/>
    <s v="VENTA CASA 4 AMBIENTES CON PILETA EN BARRIO PRIVADO LOS TALAS"/>
    <s v="Realizado"/>
    <s v="AR ZonaProp"/>
    <n v="236000"/>
    <x v="379"/>
    <x v="1"/>
    <s v="Dólares"/>
    <s v="Dólares"/>
    <s v="Barrio Los Talas"/>
    <s v="Argentina | G.B.A. Zona Sur | Ezeiza | Canning (Ezeiza) | Los Talas "/>
    <x v="2"/>
    <n v="2"/>
    <s v="Seniority"/>
    <s v="Master"/>
    <x v="1"/>
    <s v="Venta"/>
    <x v="3"/>
    <s v="Barrio Parque"/>
  </r>
  <r>
    <d v="2026-01-27T00:00:00"/>
    <x v="0"/>
    <x v="10"/>
    <s v="CAP7399911"/>
    <x v="2"/>
    <s v="Venta departamento 3 ambientes con balcon y cochera en Belgrano"/>
    <s v="Realizado"/>
    <s v="AR ZonaProp"/>
    <n v="235000"/>
    <x v="379"/>
    <x v="1"/>
    <s v="Dólares"/>
    <s v="Dólares"/>
    <s v="Olzabal  al 1800"/>
    <s v="Argentina | Capital Federal | Belgrano "/>
    <x v="0"/>
    <n v="2"/>
    <s v="Seniority"/>
    <s v="Master"/>
    <x v="1"/>
    <s v="Venta"/>
    <x v="3"/>
    <s v="Barrio Parque"/>
  </r>
  <r>
    <d v="2025-08-01T00:00:00"/>
    <x v="1"/>
    <x v="5"/>
    <s v="VAP7056675"/>
    <x v="0"/>
    <s v="Departamento en venta de 3 dormitorios con cochera fija en Belgrano"/>
    <s v="Realizado"/>
    <s v="AR ZonaProp"/>
    <n v="249000"/>
    <x v="379"/>
    <x v="1"/>
    <s v="Dólares"/>
    <s v="Dólares"/>
    <s v="Aguilar  al 2400"/>
    <s v="Argentina | Capital Federal | Belgrano "/>
    <x v="0"/>
    <n v="2"/>
    <s v="Space BA"/>
    <s v="Propia (Único Asesor)"/>
    <x v="1"/>
    <s v="Venta"/>
    <x v="3"/>
    <s v="Belgrano"/>
  </r>
  <r>
    <d v="2025-12-23T00:00:00"/>
    <x v="1"/>
    <x v="8"/>
    <s v="VAP7005708"/>
    <x v="0"/>
    <s v="Departamento en venta de 2 dormitorios con cochera fija cubierta y amenities en Palermo. Piso alto."/>
    <s v="Realizado"/>
    <s v="AR ZonaProp"/>
    <n v="250000"/>
    <x v="379"/>
    <x v="1"/>
    <s v="Dólares"/>
    <s v="Dólares"/>
    <s v="Av. Cabildo  66"/>
    <s v="Argentina | Capital Federal | Palermo "/>
    <x v="0"/>
    <n v="2"/>
    <s v="Space BA"/>
    <s v="Propia (Único Asesor)"/>
    <x v="1"/>
    <s v="Venta"/>
    <x v="3"/>
    <s v="Belgrano"/>
  </r>
  <r>
    <d v="2026-01-30T00:00:00"/>
    <x v="0"/>
    <x v="10"/>
    <s v="JAP7133395"/>
    <x v="0"/>
    <s v="Departamento 2 ambientes cochera en Torre Vicente Lopez"/>
    <s v="Realizado"/>
    <s v="AR ZonaProp"/>
    <n v="230000"/>
    <x v="379"/>
    <x v="1"/>
    <s v="Dólares"/>
    <s v="Dólares"/>
    <s v="Av del Libertador 1500 Vicente Lopez"/>
    <s v="Argentina | G.B.A. Zona Norte | Vicente López | Barrio Vicente López"/>
    <x v="0"/>
    <n v="2"/>
    <s v="Lion Team Norte"/>
    <s v="Propia (Único Asesor)"/>
    <x v="1"/>
    <s v="Venta"/>
    <x v="6"/>
    <s v="Vicente López"/>
  </r>
  <r>
    <d v="2025-04-07T00:00:00"/>
    <x v="1"/>
    <x v="3"/>
    <s v="CHO3950752"/>
    <x v="0"/>
    <s v="VENTA CASA 5 AMBIENTES - COCHERA - TERRAZA - PARRILLA - MULTIFAMILIAR - Villa Devoto"/>
    <s v="Realizado"/>
    <s v="AR ZonaProp"/>
    <n v="229000"/>
    <x v="380"/>
    <x v="1"/>
    <s v="Dólares"/>
    <s v="Dólares"/>
    <s v="Belfast al 2700"/>
    <s v="Argentina | Capital Federal | Villa Devoto "/>
    <x v="2"/>
    <n v="2"/>
    <s v="Seniority"/>
    <s v="Propia (Único Asesor)"/>
    <x v="1"/>
    <s v="Venta"/>
    <x v="3"/>
    <s v="Barrio Parque"/>
  </r>
  <r>
    <d v="2025-10-14T00:00:00"/>
    <x v="1"/>
    <x v="11"/>
    <s v="CHO6409349"/>
    <x v="0"/>
    <s v="Venta Casa en PH  102m2 Lote 560m2 Barrio Las Nalcas San Martin de los  Andes"/>
    <s v="Realizado"/>
    <s v="Repetido"/>
    <n v="178000"/>
    <x v="381"/>
    <x v="1"/>
    <s v="Dólares"/>
    <s v="Dólares"/>
    <s v="Cerro La Horqueta 852"/>
    <s v="Argentina | Neuquen | Lacar | San Martin De Los Andes"/>
    <x v="2"/>
    <n v="2"/>
    <s v="Patagonia Lakes SMA"/>
    <s v="Compartida en Oficina (Dos Asesores)"/>
    <x v="1"/>
    <s v="Venta"/>
    <x v="1"/>
    <s v="San Martín de los Andes"/>
  </r>
  <r>
    <d v="2025-10-21T00:00:00"/>
    <x v="1"/>
    <x v="11"/>
    <m/>
    <x v="0"/>
    <s v="Irigoyen 717 en venta"/>
    <s v="Realizado"/>
    <s v="AR ZonaProp"/>
    <n v="0"/>
    <x v="382"/>
    <x v="1"/>
    <s v="Dólares"/>
    <s v="Dólares"/>
    <s v="Irigoyen 717"/>
    <s v="Argentina | Capital Federal | Monserrat "/>
    <x v="0"/>
    <n v="1"/>
    <s v="Seniority"/>
    <s v="Compartida Fuera de la Red Búsqueda"/>
    <x v="2"/>
    <s v="Venta"/>
    <x v="3"/>
    <s v="Barrio Parque"/>
  </r>
  <r>
    <d v="2025-10-03T00:00:00"/>
    <x v="1"/>
    <x v="11"/>
    <s v="CHO7066189"/>
    <x v="0"/>
    <s v="Casa en San Rafael"/>
    <s v="Realizado"/>
    <s v="Conocido"/>
    <n v="228000"/>
    <x v="382"/>
    <x v="1"/>
    <s v="Dólares"/>
    <s v="Dólares"/>
    <s v="Blas Parera  al 900"/>
    <s v="Argentina | Mendoza | San Rafael | San Rafael"/>
    <x v="2"/>
    <n v="2"/>
    <s v="Andes"/>
    <s v="Propia (Único Asesor)"/>
    <x v="1"/>
    <s v="Venta"/>
    <x v="2"/>
    <s v="San Rafael"/>
  </r>
  <r>
    <d v="2026-03-12T00:00:00"/>
    <x v="0"/>
    <x v="9"/>
    <s v="CAP7105934"/>
    <x v="0"/>
    <s v="Departamento en  Quartier Nordelta"/>
    <s v="Realizado"/>
    <s v="AR ZonaProp"/>
    <n v="237000"/>
    <x v="382"/>
    <x v="1"/>
    <s v="Dólares"/>
    <s v="Dólares"/>
    <s v="Quartier Nordelta"/>
    <s v="Argentina | G.B.A. Zona Norte | Tigre | Countries/B.Cerrado (Tigre) | Nordelta"/>
    <x v="0"/>
    <n v="2"/>
    <s v="Destino II"/>
    <s v="Propia (Único Asesor)"/>
    <x v="1"/>
    <s v="Venta"/>
    <x v="3"/>
    <s v="Recoleta"/>
  </r>
  <r>
    <d v="2025-04-15T00:00:00"/>
    <x v="1"/>
    <x v="3"/>
    <s v="CGL6373557"/>
    <x v="0"/>
    <s v="Galpón y Cocheras en Temperley centro, galpon, deposito, lomas de zamora, inversion"/>
    <s v="Realizado"/>
    <s v="AR ZonaProp"/>
    <n v="229900"/>
    <x v="383"/>
    <x v="1"/>
    <s v="Dólares"/>
    <s v="Dólares"/>
    <s v="Liniers  al 300"/>
    <s v="Argentina | G.B.A. Zona Sur | Lomas De Zamora (Partido) | Temperley | Temperley Oeste"/>
    <x v="7"/>
    <n v="2"/>
    <s v="Lion Team"/>
    <s v="Propia (Único Asesor)"/>
    <x v="1"/>
    <s v="Venta"/>
    <x v="3"/>
    <s v="Villa Urquiza"/>
  </r>
  <r>
    <d v="2025-07-07T00:00:00"/>
    <x v="1"/>
    <x v="1"/>
    <s v="CAP5189503"/>
    <x v="0"/>
    <s v="Venta Departamento 4 ambientes cochera doble Balcón Palermo Hollywood Colegiales Palermo Permuta"/>
    <s v="Realizado"/>
    <s v="AR ArgenProp"/>
    <n v="240000"/>
    <x v="384"/>
    <x v="1"/>
    <s v="Dólares"/>
    <s v="Dólares"/>
    <s v="Dorrego al 1900"/>
    <s v="Argentina | Capital Federal | Palermo | Palermo Hollywood"/>
    <x v="0"/>
    <n v="2"/>
    <s v="Lion Team"/>
    <s v="Compartida en Oficina (Dos Asesores)"/>
    <x v="1"/>
    <s v="Venta"/>
    <x v="3"/>
    <s v="Villa Urquiza"/>
  </r>
  <r>
    <d v="2025-09-19T00:00:00"/>
    <x v="1"/>
    <x v="6"/>
    <s v="COF7261666"/>
    <x v="0"/>
    <s v="Oficina en Recoleta"/>
    <s v="Realizado"/>
    <s v="Referido"/>
    <n v="1700000"/>
    <x v="384"/>
    <x v="1"/>
    <s v="Dólares"/>
    <s v="Local"/>
    <s v="Propiedad con gran potencial cometcial, en San Martin al 3400"/>
    <s v="Argentina | Santa Fe | La Capital | Santa Fe | Recoleta"/>
    <x v="6"/>
    <n v="2"/>
    <s v="De la Veracruz"/>
    <s v="Compartida en Oficina (Dos Asesores)"/>
    <x v="1"/>
    <s v="Venta"/>
    <x v="5"/>
    <s v="Capital Santa Fe"/>
  </r>
  <r>
    <d v="2026-01-27T00:00:00"/>
    <x v="0"/>
    <x v="10"/>
    <s v="CHO7277233"/>
    <x v="0"/>
    <s v="VENTA Casa 1350 m2 B Ruca Hue sobre lote 1350m2 San Martin de los Andes"/>
    <s v="Realizado"/>
    <s v="Web Coldwell-Banker"/>
    <n v="230000"/>
    <x v="384"/>
    <x v="1"/>
    <s v="Dólares"/>
    <s v="Dólares"/>
    <s v="Lote 11 mza. I, Ruca Hue , San Martin de los Andes"/>
    <s v="Argentina | Neuquen | Lacar | San Martin De Los Andes"/>
    <x v="2"/>
    <n v="2"/>
    <s v="Patagonia Lakes SMA"/>
    <s v="Compartida en Oficina (Dos Asesores)"/>
    <x v="1"/>
    <s v="Venta"/>
    <x v="1"/>
    <s v="San Martín de los Andes"/>
  </r>
  <r>
    <d v="2025-02-20T00:00:00"/>
    <x v="1"/>
    <x v="0"/>
    <n v="10301"/>
    <x v="0"/>
    <s v="gallo 953"/>
    <s v="Realizado"/>
    <s v="AR ZonaProp"/>
    <n v="0"/>
    <x v="384"/>
    <x v="1"/>
    <s v="Dólares"/>
    <s v="Dólares"/>
    <m/>
    <s v="Argentina | Capital Federal | Almagro "/>
    <x v="0"/>
    <n v="1"/>
    <s v="Seniority"/>
    <s v="Compartida Fuera de la Red Búsqueda"/>
    <x v="2"/>
    <s v="Venta"/>
    <x v="3"/>
    <s v="Barrio Parque"/>
  </r>
  <r>
    <d v="2025-03-25T00:00:00"/>
    <x v="1"/>
    <x v="9"/>
    <s v="OP 102"/>
    <x v="0"/>
    <s v="Alicia Moreau de Justo 1840 37"/>
    <s v="Realizado"/>
    <s v="AR ZonaProp"/>
    <n v="230000"/>
    <x v="384"/>
    <x v="1"/>
    <s v="Dólares"/>
    <s v="Dólares"/>
    <s v="Alicia Moreau de Justo 1840 "/>
    <s v="Argentina | Capital Federal | Puerto Madero "/>
    <x v="0"/>
    <n v="1"/>
    <s v="Seniority Plus"/>
    <s v="Compartida Fuera de la Red Búsqueda"/>
    <x v="2"/>
    <s v="Venta"/>
    <x v="3"/>
    <s v="Palermo"/>
  </r>
  <r>
    <d v="2025-10-08T00:00:00"/>
    <x v="1"/>
    <x v="11"/>
    <n v="32"/>
    <x v="0"/>
    <s v="Venta Curapaligue  436"/>
    <s v="Realizado"/>
    <s v="AR ZonaProp"/>
    <n v="230000"/>
    <x v="384"/>
    <x v="1"/>
    <s v="Dólares"/>
    <s v="Dólares"/>
    <s v="Curapaligue 436 "/>
    <s v="Argentina | Capital Federal | Parque Chacabuco "/>
    <x v="1"/>
    <n v="1"/>
    <s v="Grupo Elite"/>
    <s v="Compartida Fuera de la Red Búsqueda"/>
    <x v="2"/>
    <s v="Venta"/>
    <x v="3"/>
    <s v="Puerto Madero"/>
  </r>
  <r>
    <d v="2026-01-15T00:00:00"/>
    <x v="0"/>
    <x v="10"/>
    <m/>
    <x v="0"/>
    <s v="Godoy Cruz 145 - Remax Uno - Sol Lorenzo"/>
    <s v="Realizado"/>
    <s v="AR ZonaProp"/>
    <n v="230000"/>
    <x v="384"/>
    <x v="1"/>
    <s v="Dólares"/>
    <s v="Dólares"/>
    <s v="Godoy Cruz 145 "/>
    <s v="Argentina | Capital Federal | Palermo "/>
    <x v="0"/>
    <n v="1"/>
    <s v="Destino"/>
    <s v="Compartida Fuera de la Red Búsqueda"/>
    <x v="2"/>
    <s v="Venta"/>
    <x v="3"/>
    <s v="Recoleta"/>
  </r>
  <r>
    <d v="2025-05-21T00:00:00"/>
    <x v="1"/>
    <x v="2"/>
    <s v="CAP6637442"/>
    <x v="0"/>
    <s v="Departamento en Villa Devoto 3 ambientes a estrenar con balcón y cochera cubierta."/>
    <s v="Realizado"/>
    <s v="AR ZonaProp"/>
    <n v="242000"/>
    <x v="384"/>
    <x v="1"/>
    <s v="Dólares"/>
    <s v="Dólares"/>
    <s v="Av. Beiro al 4200"/>
    <s v="Argentina | Capital Federal | Villa Devoto "/>
    <x v="0"/>
    <n v="2"/>
    <s v="Puerto Norte"/>
    <s v="Compartida Fuera de la Red Captación Propia"/>
    <x v="0"/>
    <s v="Venta"/>
    <x v="6"/>
    <s v="Nordelta"/>
  </r>
  <r>
    <d v="2025-05-13T00:00:00"/>
    <x v="1"/>
    <x v="2"/>
    <s v="CAP6798221"/>
    <x v="0"/>
    <s v="Venta departamento 3 ambientes en Torre Full amenities en Palermo Hollywood"/>
    <s v="Realizado"/>
    <s v="AR ZonaProp"/>
    <n v="245000"/>
    <x v="384"/>
    <x v="1"/>
    <s v="Dólares"/>
    <s v="Dólares"/>
    <s v="Humboldt al 1900"/>
    <s v="Argentina | Capital Federal | Palermo | Palermo Hollywood"/>
    <x v="0"/>
    <n v="2"/>
    <s v="Seniority"/>
    <s v="Propia (Único Asesor)"/>
    <x v="1"/>
    <s v="Venta"/>
    <x v="3"/>
    <s v="Barrio Parque"/>
  </r>
  <r>
    <d v="2025-06-11T00:00:00"/>
    <x v="1"/>
    <x v="4"/>
    <s v="JAP6807420"/>
    <x v="0"/>
    <s v="Departamento piso en venta 4 ambientes   dependencia RECOLETA"/>
    <s v="Realizado"/>
    <s v="AR ZonaProp"/>
    <n v="259000"/>
    <x v="384"/>
    <x v="1"/>
    <s v="Dólares"/>
    <s v="Dólares"/>
    <s v="Mansilla al 2400"/>
    <s v="Argentina | Capital Federal | Recoleta "/>
    <x v="0"/>
    <n v="2"/>
    <s v="Lion Team Norte"/>
    <s v="Propia (Único Asesor)"/>
    <x v="1"/>
    <s v="Venta"/>
    <x v="6"/>
    <s v="Vicente López"/>
  </r>
  <r>
    <d v="2025-07-14T00:00:00"/>
    <x v="1"/>
    <x v="1"/>
    <s v="CHO5074138"/>
    <x v="0"/>
    <s v="VENTA Casa 165.30m2, terreno/lote 965.60 m2, San Ignacio del Cerro, Bariloche"/>
    <s v="Realizado"/>
    <s v="Teléfono"/>
    <n v="249000"/>
    <x v="384"/>
    <x v="1"/>
    <s v="Dólares"/>
    <s v="Dólares"/>
    <s v="Sivori 500, San Ignacio del Cerro, San Carlos de Bariloche"/>
    <s v="Argentina | Rio Negro | Bariloche | San Carlos De Bariloche | San Ignacio del Cerro"/>
    <x v="2"/>
    <n v="2"/>
    <s v="Patagonia Lakes BRC"/>
    <s v="Propia (Único Asesor)"/>
    <x v="1"/>
    <s v="Venta"/>
    <x v="7"/>
    <s v="Bariloche"/>
  </r>
  <r>
    <d v="2025-09-15T00:00:00"/>
    <x v="1"/>
    <x v="6"/>
    <s v="CAP6791068"/>
    <x v="0"/>
    <s v="Departamento impecable 3 AMB  - Almagro, CABA"/>
    <s v="Realizado"/>
    <s v="AR ZonaProp"/>
    <n v="245000"/>
    <x v="384"/>
    <x v="1"/>
    <s v="Dólares"/>
    <s v="Dólares"/>
    <s v="Departamento  APTO CREDITO 3 AMB en Venta  POSIBILIDAD AMOBLADO - Almagro, CABA"/>
    <s v="Argentina | Capital Federal | Almagro "/>
    <x v="0"/>
    <n v="2"/>
    <s v="Puerto Norte"/>
    <s v="Propia (Único Asesor)"/>
    <x v="1"/>
    <s v="Venta"/>
    <x v="6"/>
    <s v="Nordelta"/>
  </r>
  <r>
    <d v="2025-10-14T00:00:00"/>
    <x v="1"/>
    <x v="11"/>
    <s v="CLA6813712"/>
    <x v="0"/>
    <s v="Terreno en Venta en Caballito. USAB2"/>
    <s v="Realizado"/>
    <s v="AR ZonaProp"/>
    <n v="279000"/>
    <x v="384"/>
    <x v="1"/>
    <s v="Dólares"/>
    <s v="Dólares"/>
    <s v="TERRENO EN VENTA José Juan Biedma al 1000"/>
    <s v="Argentina | Capital Federal | Caballito "/>
    <x v="2"/>
    <n v="2"/>
    <s v="Ser"/>
    <s v="Propia (Único Asesor)"/>
    <x v="1"/>
    <s v="Venta"/>
    <x v="3"/>
    <s v="Belgrano"/>
  </r>
  <r>
    <d v="2025-11-10T00:00:00"/>
    <x v="1"/>
    <x v="7"/>
    <s v="CPH7050004"/>
    <x v="0"/>
    <s v="Venta/PH/4 Ambientes/AptoCredito/Cochera/Patio/Parrilla/Permuta/Liniers"/>
    <s v="Realizado"/>
    <s v="AR ZonaProp"/>
    <n v="240000"/>
    <x v="384"/>
    <x v="1"/>
    <s v="Dólares"/>
    <s v="Dólares"/>
    <s v="Pola 900"/>
    <s v="Argentina | Capital Federal | Liniers "/>
    <x v="3"/>
    <n v="2"/>
    <s v="Lion Team"/>
    <s v="Propia (Único Asesor)"/>
    <x v="1"/>
    <s v="Venta"/>
    <x v="3"/>
    <s v="Villa Urquiza"/>
  </r>
  <r>
    <d v="2025-11-28T00:00:00"/>
    <x v="1"/>
    <x v="7"/>
    <s v="CAP4279155"/>
    <x v="0"/>
    <s v="VENTA DEPARTAMENTO 3 AMBIENTES COCHERA  TODO LUZ NATURAL EN  PALERMO CHICO"/>
    <s v="Realizado"/>
    <s v="AR ZonaProp"/>
    <n v="246000"/>
    <x v="384"/>
    <x v="1"/>
    <s v="Dólares"/>
    <s v="Dólares"/>
    <s v="Av. Las Heras al 2700"/>
    <s v="Argentina | Capital Federal | Palermo | Palermo Chico"/>
    <x v="0"/>
    <n v="2"/>
    <s v="Seniority"/>
    <s v="Propia (Único Asesor)"/>
    <x v="1"/>
    <s v="Venta"/>
    <x v="3"/>
    <s v="Barrio Parque"/>
  </r>
  <r>
    <d v="2026-02-20T00:00:00"/>
    <x v="0"/>
    <x v="0"/>
    <s v="Dpartamento en venta en Aldeana "/>
    <x v="0"/>
    <s v="Townhouse 3 ambientes en Aldeana"/>
    <s v="Realizado"/>
    <s v="Referido"/>
    <n v="235000"/>
    <x v="384"/>
    <x v="1"/>
    <s v="Dólares"/>
    <s v="Dólares"/>
    <s v="Del Viso"/>
    <s v="Argentina | G.B.A. Zona Norte | Pilar | Del Viso | Aldeana Pilar"/>
    <x v="0"/>
    <n v="2"/>
    <s v="North Team"/>
    <s v="Propia (Único Asesor)"/>
    <x v="1"/>
    <s v="Venta"/>
    <x v="6"/>
    <s v="Pilar"/>
  </r>
  <r>
    <d v="2026-03-06T00:00:00"/>
    <x v="0"/>
    <x v="9"/>
    <s v="CPH7575954"/>
    <x v="0"/>
    <s v="PH en Belgrano R"/>
    <s v="Realizado"/>
    <s v="AR ZonaProp"/>
    <n v="240000"/>
    <x v="384"/>
    <x v="1"/>
    <s v="Dólares"/>
    <s v="Dólares"/>
    <s v="Av Melian  al 2200"/>
    <s v="Argentina | Capital Federal | Belgrano | Belgrano R"/>
    <x v="3"/>
    <n v="2"/>
    <s v="Notable"/>
    <s v="Propia (Único Asesor)"/>
    <x v="1"/>
    <s v="Venta"/>
    <x v="3"/>
    <s v="Palermo"/>
  </r>
  <r>
    <d v="2026-03-19T00:00:00"/>
    <x v="0"/>
    <x v="9"/>
    <n v="19032026"/>
    <x v="0"/>
    <s v="Reserva Venta Lucho 2 Dptos mitre "/>
    <s v="Realizado"/>
    <s v="Teléfono"/>
    <n v="231446"/>
    <x v="385"/>
    <x v="1"/>
    <s v="Dólares"/>
    <s v="Dólares"/>
    <s v="Mitre 831"/>
    <s v="Argentina | Rio Negro | Bariloche | San Carlos De Bariloche"/>
    <x v="0"/>
    <n v="2"/>
    <s v="Patagonia Lakes BRC"/>
    <s v="Propia (Único Asesor)"/>
    <x v="1"/>
    <s v="Venta"/>
    <x v="7"/>
    <s v="Bariloche"/>
  </r>
  <r>
    <d v="2025-10-23T00:00:00"/>
    <x v="1"/>
    <x v="11"/>
    <m/>
    <x v="0"/>
    <s v="Lote UF 18 Manzano Bay View 694,93m2- 162106451620000"/>
    <s v="Realizado"/>
    <s v="Salón"/>
    <n v="235000"/>
    <x v="386"/>
    <x v="1"/>
    <s v="Dólares"/>
    <s v="Dólares"/>
    <s v="Av. Arrayanes 10.000"/>
    <s v="Argentina | Neuquen | Villa La Angostura | Puerto Manzano"/>
    <x v="1"/>
    <n v="1"/>
    <s v="Patagonia Lakes VLA"/>
    <s v="(Interior) Compartida Fuera de la Red Búsqueda"/>
    <x v="2"/>
    <s v="Venta"/>
    <x v="1"/>
    <s v="Villa La Angostura"/>
  </r>
  <r>
    <d v="2026-01-19T00:00:00"/>
    <x v="0"/>
    <x v="10"/>
    <s v="Casa Gus-LeoSfeir"/>
    <x v="0"/>
    <s v="Casa Gus-LeoSfeir"/>
    <s v="Realizado"/>
    <s v="AR ZonaProp"/>
    <n v="235000"/>
    <x v="386"/>
    <x v="1"/>
    <s v="Dólares"/>
    <s v="Dólares"/>
    <m/>
    <s v="Argentina | Neuquen | Confluencia | Plottier"/>
    <x v="2"/>
    <n v="1"/>
    <s v="Sensus"/>
    <s v="(Interior) Compartida Fuera de la Red Búsqueda"/>
    <x v="2"/>
    <s v="Venta"/>
    <x v="1"/>
    <s v="Capital Neuquén"/>
  </r>
  <r>
    <d v="2025-12-01T00:00:00"/>
    <x v="1"/>
    <x v="8"/>
    <s v="CAP6981754"/>
    <x v="0"/>
    <s v="VENTA DEPARTAMENTO 4 AMBIENTES RENOVADO SAN TELMO APTO CREDITO"/>
    <s v="Realizado"/>
    <s v="AR ArgenProp"/>
    <n v="249500"/>
    <x v="386"/>
    <x v="1"/>
    <s v="Dólares"/>
    <s v="Dólares"/>
    <s v="Defensa 1700"/>
    <s v="Argentina | Capital Federal | San Telmo "/>
    <x v="0"/>
    <n v="2"/>
    <s v="Destino II"/>
    <s v="Compartida en Oficina (Dos Asesores)"/>
    <x v="1"/>
    <s v="Venta"/>
    <x v="3"/>
    <s v="Recoleta"/>
  </r>
  <r>
    <d v="2025-10-14T00:00:00"/>
    <x v="1"/>
    <x v="11"/>
    <s v="CBTCAB00125"/>
    <x v="0"/>
    <s v="Departamento Libertador 12950"/>
    <s v="Realizado"/>
    <s v="AR ZonaProp"/>
    <n v="235000"/>
    <x v="386"/>
    <x v="1"/>
    <s v="Dólares"/>
    <s v="Dólares"/>
    <s v="Avenida Libertador 12950"/>
    <s v="Argentina | G.B.A. Zona Norte | San Isidro | Martinez"/>
    <x v="0"/>
    <n v="1"/>
    <s v="Titanio"/>
    <s v="Compartida Fuera de la Red Búsqueda"/>
    <x v="2"/>
    <s v="Venta"/>
    <x v="6"/>
    <s v="San Isidro"/>
  </r>
  <r>
    <d v="2026-02-25T00:00:00"/>
    <x v="0"/>
    <x v="0"/>
    <s v="MANSILLA"/>
    <x v="0"/>
    <s v="MANSILLA CABA "/>
    <s v="Realizado"/>
    <s v="AR ZonaProp"/>
    <n v="235000"/>
    <x v="386"/>
    <x v="1"/>
    <s v="Dólares"/>
    <s v="Dólares"/>
    <s v="MANSILLA 2568"/>
    <s v="Argentina | Capital Federal | Palermo "/>
    <x v="0"/>
    <n v="1"/>
    <s v="Puerto Norte"/>
    <s v="Compartida Fuera de la Red Búsqueda"/>
    <x v="2"/>
    <s v="Venta"/>
    <x v="6"/>
    <s v="Nordelta"/>
  </r>
  <r>
    <d v="2026-02-26T00:00:00"/>
    <x v="0"/>
    <x v="0"/>
    <s v="Casa en venta Barrio Santo Tomás"/>
    <x v="2"/>
    <s v="Casa en venta en Barrio Santo Tomás"/>
    <s v="Realizado"/>
    <s v="Referido"/>
    <n v="240000"/>
    <x v="386"/>
    <x v="1"/>
    <s v="Dólares"/>
    <s v="Dólares"/>
    <s v="Mariano Acosta 3098"/>
    <s v="Argentina | G.B.A. Zona Norte | Pilar | Countries/B.Cerrado (Pilar) | Santo Tomás"/>
    <x v="2"/>
    <n v="2"/>
    <s v="North Team"/>
    <s v="Master"/>
    <x v="1"/>
    <s v="Venta"/>
    <x v="6"/>
    <s v="Pilar"/>
  </r>
  <r>
    <d v="2025-07-04T00:00:00"/>
    <x v="1"/>
    <x v="1"/>
    <s v="JAP6804236"/>
    <x v="0"/>
    <s v="Venta Departamento  4 ambientes  en Palermo/ Belgrano /Colegiales"/>
    <s v="Realizado"/>
    <s v="AR ZonaProp"/>
    <n v="235000"/>
    <x v="386"/>
    <x v="1"/>
    <s v="Dólares"/>
    <s v="Dólares"/>
    <s v="Concepcion Arenal  al 2400 "/>
    <s v="Argentina | Capital Federal | Palermo "/>
    <x v="0"/>
    <n v="2"/>
    <s v="Lion Team Norte"/>
    <s v="Propia (Único Asesor)"/>
    <x v="1"/>
    <s v="Venta"/>
    <x v="6"/>
    <s v="Vicente López"/>
  </r>
  <r>
    <d v="2025-11-10T00:00:00"/>
    <x v="1"/>
    <x v="7"/>
    <s v="CAP7208782"/>
    <x v="0"/>
    <s v="Departamento venta duplex Villa Urquiza"/>
    <s v="Realizado"/>
    <s v="AR MercadoLibre"/>
    <n v="98000"/>
    <x v="386"/>
    <x v="1"/>
    <s v="Dólares"/>
    <s v="Dólares"/>
    <s v="Donado  al 2700"/>
    <s v="Argentina | Capital Federal | Villa Urquiza "/>
    <x v="0"/>
    <n v="2"/>
    <s v="Lion Team"/>
    <s v="Propia (Único Asesor)"/>
    <x v="1"/>
    <s v="Venta"/>
    <x v="3"/>
    <s v="Villa Urquiza"/>
  </r>
  <r>
    <d v="2025-12-12T00:00:00"/>
    <x v="1"/>
    <x v="8"/>
    <s v="JAP7450413"/>
    <x v="0"/>
    <s v="Venta Hermoso Departamento de 3 ambientes c/cochera"/>
    <s v="Realizado"/>
    <s v="AR ZonaProp"/>
    <n v="245000"/>
    <x v="386"/>
    <x v="1"/>
    <s v="Dólares"/>
    <s v="Dólares"/>
    <s v="Virrey Loreto  al 2600"/>
    <s v="Argentina | Capital Federal | Belgrano "/>
    <x v="0"/>
    <n v="2"/>
    <s v="Lion Team Norte"/>
    <s v="Propia (Único Asesor)"/>
    <x v="1"/>
    <s v="Venta"/>
    <x v="6"/>
    <s v="Vicente López"/>
  </r>
  <r>
    <d v="2026-02-06T00:00:00"/>
    <x v="0"/>
    <x v="0"/>
    <s v="CHO7104751"/>
    <x v="0"/>
    <s v="Casa en Venta - Barrio Portico del Sol 1 - Mendoza"/>
    <s v="Realizado"/>
    <s v="AR ZonaProp"/>
    <n v="235000"/>
    <x v="386"/>
    <x v="1"/>
    <s v="Dólares"/>
    <s v="Dólares"/>
    <s v="Barrio Portico del Sol 1"/>
    <s v="Argentina | Mendoza | Capital "/>
    <x v="2"/>
    <n v="2"/>
    <s v="Cuyo Real"/>
    <s v="Propia (Único Asesor)"/>
    <x v="1"/>
    <s v="Venta"/>
    <x v="2"/>
    <s v="Capital Mendoza"/>
  </r>
  <r>
    <d v="2025-04-25T00:00:00"/>
    <x v="1"/>
    <x v="3"/>
    <s v="CLA6492706"/>
    <x v="0"/>
    <s v="Terreno  INDEPENDENCIA Y WINTER"/>
    <s v="Realizado"/>
    <s v="AR ZonaProp"/>
    <n v="250000"/>
    <x v="387"/>
    <x v="1"/>
    <s v="Dólares"/>
    <s v="Dólares"/>
    <s v="INDEPENDENCIA Y WINTER"/>
    <s v="Argentina | Neuquen | Confluencia | Neuquen"/>
    <x v="1"/>
    <n v="2"/>
    <s v="Sensus"/>
    <s v="Propia (Único Asesor)"/>
    <x v="1"/>
    <s v="Venta"/>
    <x v="1"/>
    <s v="Capital Neuquén"/>
  </r>
  <r>
    <d v="2025-09-22T00:00:00"/>
    <x v="1"/>
    <x v="6"/>
    <s v="OP 187"/>
    <x v="0"/>
    <s v="Castaños - Las Piedras Departamento 701"/>
    <s v="Realizado"/>
    <s v="AR ZonaProp"/>
    <n v="237000"/>
    <x v="388"/>
    <x v="1"/>
    <s v="Dólares"/>
    <s v="Dólares"/>
    <m/>
    <s v="Argentina | G.B.A. Zona Norte | Tigre | Countries/B.Cerrado (Tigre) | Nordelta"/>
    <x v="0"/>
    <n v="1"/>
    <s v="Seniority Plus"/>
    <s v="Compartida Fuera de la Red Búsqueda"/>
    <x v="2"/>
    <s v="Venta"/>
    <x v="3"/>
    <s v="Palermo"/>
  </r>
  <r>
    <d v="2025-05-08T00:00:00"/>
    <x v="1"/>
    <x v="2"/>
    <s v="CHO4657463"/>
    <x v="0"/>
    <s v="Casa en venta 4 dormitorios calle 487 entre 15 y 15 bis Gonnet Bell La Plata"/>
    <s v="Realizado"/>
    <s v="Teléfono"/>
    <n v="240000"/>
    <x v="388"/>
    <x v="1"/>
    <s v="Dólares"/>
    <s v="Dólares"/>
    <s v="Calle 487 Nº2035 entre 15 y 15 bis, Gonnet"/>
    <s v="Argentina | G.B.A. Zona Sur | La Plata | Manuel B Gonnet"/>
    <x v="2"/>
    <n v="2"/>
    <s v="Golden Team"/>
    <s v="Propia (Único Asesor)"/>
    <x v="1"/>
    <s v="Venta"/>
    <x v="0"/>
    <s v="La Plata"/>
  </r>
  <r>
    <d v="2025-07-29T00:00:00"/>
    <x v="1"/>
    <x v="1"/>
    <s v="VHO6638008"/>
    <x v="0"/>
    <s v="Venta Casa - Club de Campo San Francisco, Manzanares - Apto Credito"/>
    <s v="Realizado"/>
    <s v="AR ZonaProp"/>
    <n v="280000"/>
    <x v="389"/>
    <x v="1"/>
    <s v="Dólares"/>
    <s v="Dólares"/>
    <s v="Rio Hondo al 500"/>
    <s v="Argentina | G.B.A. Zona Norte | Pilar | Manzanares | Countries/B.Cerrado (Manzanares)"/>
    <x v="2"/>
    <n v="1"/>
    <s v="Puerto Norte"/>
    <s v="Compartida Fuera de la Red Búsqueda"/>
    <x v="2"/>
    <s v="Venta"/>
    <x v="6"/>
    <s v="Nordelta"/>
  </r>
  <r>
    <d v="2025-12-19T00:00:00"/>
    <x v="1"/>
    <x v="8"/>
    <m/>
    <x v="0"/>
    <s v="Venta Dpto en Palermo"/>
    <s v="Realizado"/>
    <s v="AR ZonaProp"/>
    <n v="238000"/>
    <x v="389"/>
    <x v="1"/>
    <s v="Dólares"/>
    <s v="Dólares"/>
    <s v="Coronel Diaz 2717"/>
    <s v="Argentina | Capital Federal | Palermo "/>
    <x v="0"/>
    <n v="1"/>
    <s v="Seniority Plus"/>
    <s v="Compartida Fuera de la Red Búsqueda"/>
    <x v="2"/>
    <s v="Venta"/>
    <x v="3"/>
    <s v="Palermo"/>
  </r>
  <r>
    <d v="2025-03-13T00:00:00"/>
    <x v="1"/>
    <x v="9"/>
    <s v="CAP6742712"/>
    <x v="0"/>
    <s v="Departamento en  venta de 3 amb con balcon "/>
    <s v="Realizado"/>
    <s v="AR ZonaProp"/>
    <n v="250000"/>
    <x v="389"/>
    <x v="1"/>
    <s v="Dólares"/>
    <s v="Dólares"/>
    <s v="Ciudad de la Paz  al 1000"/>
    <s v="Argentina | Capital Federal | Colegiales "/>
    <x v="0"/>
    <n v="2"/>
    <s v="Puerto Norte"/>
    <s v="Propia (Único Asesor)"/>
    <x v="1"/>
    <s v="Venta"/>
    <x v="6"/>
    <s v="Nordelta"/>
  </r>
  <r>
    <d v="2025-07-08T00:00:00"/>
    <x v="1"/>
    <x v="1"/>
    <n v="10424"/>
    <x v="1"/>
    <s v="Bordieu 772 1 y 2 mas baulera"/>
    <s v="Realizado"/>
    <s v="Web Coldwell-Banker"/>
    <n v="0"/>
    <x v="390"/>
    <x v="1"/>
    <s v="Dólares"/>
    <s v="Dólares"/>
    <s v="Bordieu 772 1 y 2 mas baulera"/>
    <s v="Argentina | G.B.A. Zona Norte | Tigre | Tigre"/>
    <x v="0"/>
    <n v="2"/>
    <s v="Seniority"/>
    <s v="Compartida en Red (50%)"/>
    <x v="1"/>
    <s v="Venta"/>
    <x v="3"/>
    <s v="Barrio Parque"/>
  </r>
  <r>
    <d v="2025-07-07T00:00:00"/>
    <x v="1"/>
    <x v="1"/>
    <s v="Tigre"/>
    <x v="0"/>
    <s v="Departamento en venta 2 ambientes"/>
    <s v="Realizado"/>
    <s v="Conocido"/>
    <n v="240000"/>
    <x v="390"/>
    <x v="1"/>
    <s v="Dólares"/>
    <s v="Dólares"/>
    <s v="Bordieu 772"/>
    <s v="Argentina | G.B.A. Zona Norte | Tigre | Tigre"/>
    <x v="0"/>
    <n v="2"/>
    <s v="North Team"/>
    <s v="Compartida en Red (50%)"/>
    <x v="1"/>
    <s v="Venta"/>
    <x v="6"/>
    <s v="Pilar"/>
  </r>
  <r>
    <d v="2026-02-13T00:00:00"/>
    <x v="0"/>
    <x v="0"/>
    <s v="CAP7740666"/>
    <x v="0"/>
    <s v="Departamento en Capital"/>
    <s v="Realizado"/>
    <s v="Conocido"/>
    <n v="240000"/>
    <x v="391"/>
    <x v="1"/>
    <s v="Dólares"/>
    <s v="Dólares"/>
    <s v="Tucuman 10"/>
    <s v="Argentina | Neuquen | Capital "/>
    <x v="0"/>
    <n v="2"/>
    <s v="Sensus"/>
    <s v="Compartida en Oficina (Dos Asesores)"/>
    <x v="1"/>
    <s v="Venta"/>
    <x v="1"/>
    <s v="Capital Neuquén"/>
  </r>
  <r>
    <d v="2025-07-18T00:00:00"/>
    <x v="1"/>
    <x v="1"/>
    <n v="10416"/>
    <x v="0"/>
    <s v="11 de septiembre"/>
    <s v="Realizado"/>
    <s v="AR ArgenProp"/>
    <n v="0"/>
    <x v="391"/>
    <x v="1"/>
    <s v="Dólares"/>
    <s v="Dólares"/>
    <m/>
    <s v="Argentina | Capital Federal | Nuñez "/>
    <x v="0"/>
    <n v="1"/>
    <s v="Seniority"/>
    <s v="Compartida Fuera de la Red Búsqueda"/>
    <x v="2"/>
    <s v="Venta"/>
    <x v="3"/>
    <s v="Barrio Parque"/>
  </r>
  <r>
    <d v="2026-02-24T00:00:00"/>
    <x v="0"/>
    <x v="0"/>
    <m/>
    <x v="0"/>
    <s v="Casa a la venta"/>
    <s v="Realizado"/>
    <s v="AR ArgenProp"/>
    <n v="240000"/>
    <x v="391"/>
    <x v="1"/>
    <s v="Dólares"/>
    <s v="Dólares"/>
    <s v="Cuenca 2200 olivos"/>
    <s v="Argentina | G.B.A. Zona Norte | Vicente López | Olivos | Olivos-Maipu/Uzal"/>
    <x v="2"/>
    <n v="1"/>
    <s v="Space BA"/>
    <s v="Compartida Fuera de la Red Búsqueda"/>
    <x v="2"/>
    <s v="Venta"/>
    <x v="3"/>
    <s v="Belgrano"/>
  </r>
  <r>
    <d v="2025-07-25T00:00:00"/>
    <x v="1"/>
    <x v="1"/>
    <s v="CAP6817213"/>
    <x v="0"/>
    <s v="VENTA SEMIPISO 3 DORMITORIOS MAS DEPENDENCIA, BALCÓN CORRIDO"/>
    <s v="Realizado"/>
    <s v="AR ZonaProp"/>
    <n v="250000"/>
    <x v="391"/>
    <x v="1"/>
    <s v="Dólares"/>
    <s v="Dólares"/>
    <s v="MENDOZA  al 1500"/>
    <s v="Argentina | Capital Federal | Belgrano | Belgrano Barrancas"/>
    <x v="0"/>
    <n v="2"/>
    <s v="Seniority"/>
    <s v="Compartida Fuera de la Red Captación Propia"/>
    <x v="0"/>
    <s v="Venta"/>
    <x v="3"/>
    <s v="Barrio Parque"/>
  </r>
  <r>
    <d v="2025-12-04T00:00:00"/>
    <x v="1"/>
    <x v="8"/>
    <s v="CLA7406739"/>
    <x v="0"/>
    <s v="Terreno en Liniers"/>
    <s v="Realizado"/>
    <s v="AR ZonaProp"/>
    <n v="270000"/>
    <x v="391"/>
    <x v="1"/>
    <s v="Dólares"/>
    <s v="Dólares"/>
    <s v="Pieres  al 100"/>
    <s v="Argentina | Capital Federal | Liniers "/>
    <x v="1"/>
    <n v="2"/>
    <s v="Goyena"/>
    <s v="Compartida Fuera de la Red Captación Propia"/>
    <x v="0"/>
    <s v="Venta"/>
    <x v="3"/>
    <s v="Caballito"/>
  </r>
  <r>
    <d v="2025-11-13T00:00:00"/>
    <x v="1"/>
    <x v="7"/>
    <s v="Casa en Barrio Santa Elisa Pilar del Este"/>
    <x v="2"/>
    <s v="Casa en venta Barrio Santa Elisa Pilar del Este"/>
    <s v="Realizado"/>
    <s v="AR ZonaProp"/>
    <n v="240000"/>
    <x v="391"/>
    <x v="1"/>
    <s v="Dólares"/>
    <s v="Dólares"/>
    <s v="Pilar del Este"/>
    <s v="Argentina | G.B.A. Zona Norte | Pilar | Countries/B.Cerrado (Pilar) | Pilar Del Este | Santa Elisa"/>
    <x v="1"/>
    <n v="2"/>
    <s v="North Team"/>
    <s v="Master"/>
    <x v="1"/>
    <s v="Venta"/>
    <x v="6"/>
    <s v="Pilar"/>
  </r>
  <r>
    <d v="2025-02-21T00:00:00"/>
    <x v="1"/>
    <x v="0"/>
    <s v="CHO6053451"/>
    <x v="0"/>
    <s v="VENTA CASA LOTE PROPIO 5 AMBIENTES PATIO TERRAZA USO COMERCIAL Y RESIDENCIAL PERMUTA"/>
    <s v="Realizado"/>
    <s v="AR ZonaProp"/>
    <n v="273000"/>
    <x v="391"/>
    <x v="1"/>
    <s v="Dólares"/>
    <s v="Dólares"/>
    <s v="TERRADA  al 300"/>
    <s v="Argentina | Capital Federal | Flores "/>
    <x v="2"/>
    <n v="2"/>
    <s v="Lion Team"/>
    <s v="Propia (Único Asesor)"/>
    <x v="1"/>
    <s v="Venta"/>
    <x v="3"/>
    <s v="Villa Urquiza"/>
  </r>
  <r>
    <d v="2025-03-11T00:00:00"/>
    <x v="1"/>
    <x v="9"/>
    <s v="CHO6210239"/>
    <x v="0"/>
    <s v="VENTA Casa 9 amb 269m2 Centro Bariloche"/>
    <s v="Realizado"/>
    <s v="Teléfono"/>
    <n v="280000"/>
    <x v="391"/>
    <x v="1"/>
    <s v="Dólares"/>
    <s v="Dólares"/>
    <s v="Centro, San Carlos de Bariloche"/>
    <s v="Argentina | Rio Negro | Bariloche | San Carlos De Bariloche"/>
    <x v="2"/>
    <n v="2"/>
    <s v="Patagonia Lakes BRC"/>
    <s v="Propia (Único Asesor)"/>
    <x v="1"/>
    <s v="Venta"/>
    <x v="7"/>
    <s v="Bariloche"/>
  </r>
  <r>
    <d v="2025-06-13T00:00:00"/>
    <x v="1"/>
    <x v="4"/>
    <s v="CLO6494069"/>
    <x v="0"/>
    <s v="LOCAL COMERCIAL - COWORKING- PALERMO HOLLYWOOD"/>
    <s v="Realizado"/>
    <s v="AR ZonaProp"/>
    <n v="265000"/>
    <x v="391"/>
    <x v="1"/>
    <s v="Dólares"/>
    <s v="Dólares"/>
    <s v="Nicaragua  al 5800"/>
    <s v="Argentina | Capital Federal | Palermo | Palermo Hollywood"/>
    <x v="4"/>
    <n v="2"/>
    <s v="Seniority"/>
    <s v="Propia (Único Asesor)"/>
    <x v="1"/>
    <s v="Venta"/>
    <x v="3"/>
    <s v="Barrio Parque"/>
  </r>
  <r>
    <d v="2025-08-29T00:00:00"/>
    <x v="1"/>
    <x v="5"/>
    <s v="VHO6316636"/>
    <x v="0"/>
    <s v="Venta Casa APTO CREDITO en San Francisco Manzanares Pilar"/>
    <s v="Realizado"/>
    <s v="Referido"/>
    <n v="290000"/>
    <x v="391"/>
    <x v="1"/>
    <s v="Dólares"/>
    <s v="Dólares"/>
    <s v="Club de Campo San Francisco, Manzanares Pilar"/>
    <s v="Argentina | G.B.A. Zona Norte | Pilar | Manzanares | Countries/B.Cerrado (Manzanares) | Club de Campo San Francisco"/>
    <x v="2"/>
    <n v="2"/>
    <s v="Puerto Norte"/>
    <s v="Propia (Único Asesor)"/>
    <x v="1"/>
    <s v="Venta"/>
    <x v="6"/>
    <s v="Nordelta"/>
  </r>
  <r>
    <d v="2025-09-22T00:00:00"/>
    <x v="1"/>
    <x v="6"/>
    <s v="CAP7124540"/>
    <x v="0"/>
    <s v="Espectacular 3 amb con terraza piso alto todo reciclado! "/>
    <s v="Realizado"/>
    <s v="AR ZonaProp"/>
    <n v="265000"/>
    <x v="391"/>
    <x v="1"/>
    <s v="Dólares"/>
    <s v="Dólares"/>
    <s v="Marcelo T de Alvear al 1900"/>
    <s v="Argentina | Capital Federal | Recoleta "/>
    <x v="0"/>
    <n v="2"/>
    <s v="Destino"/>
    <s v="Propia (Único Asesor)"/>
    <x v="1"/>
    <s v="Venta"/>
    <x v="3"/>
    <s v="Recoleta"/>
  </r>
  <r>
    <d v="2026-02-09T00:00:00"/>
    <x v="0"/>
    <x v="0"/>
    <s v="CHO7508348"/>
    <x v="0"/>
    <s v="OPORTUNIDAD APTO CRÉDITO - Casa en Venta a Refaccionar en Santa Teresa"/>
    <s v="Realizado"/>
    <s v="AR ZonaProp"/>
    <n v="240000"/>
    <x v="391"/>
    <x v="1"/>
    <s v="Dólares"/>
    <s v="Dólares"/>
    <s v="OPORTUNIDAD APTO CRÉDITO - Casa en Venta a Refaccionar en Santa Teresa"/>
    <s v="Argentina | G.B.A. Zona Norte | Tigre | Countries/B.Cerrado (Tigre) | Villanueva | Santa Teresa"/>
    <x v="2"/>
    <n v="2"/>
    <s v="Puerto Norte"/>
    <s v="Propia (Único Asesor)"/>
    <x v="1"/>
    <s v="Venta"/>
    <x v="6"/>
    <s v="Nordelta"/>
  </r>
  <r>
    <d v="2026-03-10T00:00:00"/>
    <x v="0"/>
    <x v="9"/>
    <s v="CAP6984474"/>
    <x v="0"/>
    <s v="Departamento 2 Ambientes a Estrenar con Cochera - WE LIVE, Olivos"/>
    <s v="Realizado"/>
    <s v="AR ZonaProp"/>
    <n v="240000"/>
    <x v="391"/>
    <x v="1"/>
    <s v="Dólares"/>
    <s v="Dólares"/>
    <s v="Juan Carlos Cruz al 2200"/>
    <s v="Argentina | G.B.A. Zona Norte | Vicente López | Olivos | Olivos-Vias/Rio"/>
    <x v="0"/>
    <n v="2"/>
    <s v="Puerto Norte"/>
    <s v="Propia (Único Asesor)"/>
    <x v="1"/>
    <s v="Venta"/>
    <x v="6"/>
    <s v="Nordelta"/>
  </r>
  <r>
    <d v="2026-03-26T00:00:00"/>
    <x v="0"/>
    <x v="9"/>
    <s v="CHO7194408"/>
    <x v="0"/>
    <s v="Zona Privilegiada Plaza Francia"/>
    <s v="Realizado"/>
    <s v="AR ZonaProp"/>
    <n v="285000"/>
    <x v="391"/>
    <x v="1"/>
    <s v="Dólares"/>
    <s v="Dólares"/>
    <s v="Plaza Francia"/>
    <s v="Argentina | Mendoza | San Rafael | San Rafael"/>
    <x v="2"/>
    <n v="2"/>
    <s v="Andes"/>
    <s v="Propia (Único Asesor)"/>
    <x v="1"/>
    <s v="Venta"/>
    <x v="2"/>
    <s v="San Rafael"/>
  </r>
  <r>
    <d v="2025-09-30T00:00:00"/>
    <x v="1"/>
    <x v="6"/>
    <s v="CAP6595875"/>
    <x v="0"/>
    <s v="VENTA TRIPLEX TRES AMBIENTES CON TERRAZA Y COCHERA EN NUÑEZ"/>
    <s v="Realizado"/>
    <s v="AR ZonaProp"/>
    <n v="275000"/>
    <x v="392"/>
    <x v="1"/>
    <s v="Dólares"/>
    <s v="Dólares"/>
    <s v="Ramallo al 1700"/>
    <s v="Argentina | Capital Federal | Nuñez "/>
    <x v="0"/>
    <n v="2"/>
    <s v="Seniority"/>
    <s v="Propia (Único Asesor)"/>
    <x v="1"/>
    <s v="Venta"/>
    <x v="3"/>
    <s v="Barrio Parque"/>
  </r>
  <r>
    <d v="2025-07-21T00:00:00"/>
    <x v="1"/>
    <x v="1"/>
    <s v="CAP6694996"/>
    <x v="0"/>
    <s v="VENTA - Departamento 3 Ambientes con balcón -  Palermo - Las Cañitas"/>
    <s v="Realizado"/>
    <s v="AR ZonaProp"/>
    <n v="245000"/>
    <x v="393"/>
    <x v="1"/>
    <s v="Dólares"/>
    <s v="Dólares"/>
    <s v="Teodoro Garcia  al 1900"/>
    <s v="Argentina | Capital Federal | Palermo "/>
    <x v="0"/>
    <n v="2"/>
    <s v="Seniority"/>
    <s v="Compartida Fuera de la Red Captación Propia"/>
    <x v="0"/>
    <s v="Venta"/>
    <x v="3"/>
    <s v="Barrio Parque"/>
  </r>
  <r>
    <d v="2025-06-17T00:00:00"/>
    <x v="1"/>
    <x v="4"/>
    <s v="Magdalena1706"/>
    <x v="0"/>
    <s v="Casa km 13900"/>
    <s v="Realizado"/>
    <s v="AR ZonaProp"/>
    <n v="245000"/>
    <x v="394"/>
    <x v="1"/>
    <s v="Dólares"/>
    <s v="Dólares"/>
    <m/>
    <s v="Argentina | Rio Negro | Bariloche | San Carlos De Bariloche"/>
    <x v="2"/>
    <n v="1"/>
    <s v="Patagonia Lakes BRC"/>
    <s v="(Interior) Compartida Fuera de la Red Búsqueda"/>
    <x v="2"/>
    <s v="Venta"/>
    <x v="7"/>
    <s v="Bariloche"/>
  </r>
  <r>
    <d v="2026-03-17T00:00:00"/>
    <x v="0"/>
    <x v="9"/>
    <s v="CAP7007820"/>
    <x v="0"/>
    <s v="Venta departamento 3 ambientes c/ balcón y cochera - La Bota 400- Benavidez"/>
    <s v="Realizado"/>
    <s v="AR MercadoLibre"/>
    <n v="243000"/>
    <x v="394"/>
    <x v="1"/>
    <s v="Dólares"/>
    <s v="Dólares"/>
    <s v="La Bota al 400"/>
    <s v="Argentina | G.B.A. Zona Norte | Tigre | Benavidez"/>
    <x v="0"/>
    <n v="2"/>
    <s v="Puerto Norte"/>
    <s v="Compartida en Oficina (Dos Asesores)"/>
    <x v="1"/>
    <s v="Venta"/>
    <x v="6"/>
    <s v="Nordelta"/>
  </r>
  <r>
    <d v="2025-12-17T00:00:00"/>
    <x v="1"/>
    <x v="8"/>
    <n v="10647"/>
    <x v="0"/>
    <s v="Pillado 589"/>
    <s v="Realizado"/>
    <s v="AR ZonaProp"/>
    <n v="245000"/>
    <x v="394"/>
    <x v="1"/>
    <s v="Dólares"/>
    <s v="Dólares"/>
    <s v="Pillado 589"/>
    <s v="Argentina | Capital Federal | Balvanera "/>
    <x v="1"/>
    <n v="1"/>
    <s v="Seniority"/>
    <s v="Compartida Fuera de la Red Búsqueda"/>
    <x v="2"/>
    <s v="Venta"/>
    <x v="3"/>
    <s v="Barrio Parque"/>
  </r>
  <r>
    <d v="2026-01-06T00:00:00"/>
    <x v="0"/>
    <x v="10"/>
    <n v="10642"/>
    <x v="0"/>
    <s v="Venta Debenedetti"/>
    <s v="Realizado"/>
    <s v="AR ZonaProp"/>
    <n v="245000"/>
    <x v="394"/>
    <x v="1"/>
    <s v="Dólares"/>
    <s v="Dólares"/>
    <s v="Debenedetti"/>
    <s v="Argentina | G.B.A. Zona Norte | Vicente López | La Lucila"/>
    <x v="0"/>
    <n v="1"/>
    <s v="Seniority"/>
    <s v="Compartida Fuera de la Red Búsqueda"/>
    <x v="2"/>
    <s v="Venta"/>
    <x v="3"/>
    <s v="Barrio Parque"/>
  </r>
  <r>
    <d v="2025-07-14T00:00:00"/>
    <x v="1"/>
    <x v="1"/>
    <s v="CAP6813882"/>
    <x v="0"/>
    <s v="Departamento en  Venta en Recoleta"/>
    <s v="Realizado"/>
    <s v="AR ZonaProp"/>
    <n v="245000"/>
    <x v="394"/>
    <x v="1"/>
    <s v="Dólares"/>
    <s v="Dólares"/>
    <s v="Presidente Ortiz al 1800"/>
    <s v="Argentina | Capital Federal | Recoleta "/>
    <x v="0"/>
    <n v="2"/>
    <s v="Puerto Norte"/>
    <s v="Compartida Fuera de la Red Captación Propia"/>
    <x v="0"/>
    <s v="Venta"/>
    <x v="6"/>
    <s v="Nordelta"/>
  </r>
  <r>
    <d v="2025-07-14T00:00:00"/>
    <x v="1"/>
    <x v="1"/>
    <s v="CHO6993299"/>
    <x v="0"/>
    <s v="Casa en Venta - Santa Clara, Villanueva"/>
    <s v="Realizado"/>
    <s v="AR ZonaProp"/>
    <n v="355000"/>
    <x v="394"/>
    <x v="1"/>
    <s v="Dólares"/>
    <s v="Dólares"/>
    <s v="Casa en Venta - Santa Clara, Villanueva"/>
    <s v="Argentina | G.B.A. Zona Norte | Tigre | Countries/B.Cerrado (Tigre) | Villanueva | Santa Clara"/>
    <x v="2"/>
    <n v="2"/>
    <s v="Puerto Norte"/>
    <s v="Compartida Fuera de la Red Captación Propia"/>
    <x v="0"/>
    <s v="Venta"/>
    <x v="6"/>
    <s v="Nordelta"/>
  </r>
  <r>
    <d v="2025-03-14T00:00:00"/>
    <x v="1"/>
    <x v="9"/>
    <s v="CPH5108136"/>
    <x v="0"/>
    <s v="VENTA PH TIPO CASA EN VILLA CRESPO CON TERRAZA Y QUINCHO"/>
    <s v="Realizado"/>
    <s v="AR ArgenProp"/>
    <n v="255000"/>
    <x v="394"/>
    <x v="1"/>
    <s v="Dólares"/>
    <s v="Dólares"/>
    <s v="Serrano al 700"/>
    <s v="Argentina | Capital Federal | Villa Crespo "/>
    <x v="3"/>
    <n v="2"/>
    <s v="Seniority"/>
    <s v="Propia (Único Asesor)"/>
    <x v="1"/>
    <s v="Venta"/>
    <x v="3"/>
    <s v="Barrio Parque"/>
  </r>
  <r>
    <d v="2025-03-28T00:00:00"/>
    <x v="1"/>
    <x v="9"/>
    <s v="CAP6675858"/>
    <x v="0"/>
    <s v="Venta departamento 3 ambientes en Nuñez con Cochera"/>
    <s v="Realizado"/>
    <s v="AR ZonaProp"/>
    <n v="250000"/>
    <x v="394"/>
    <x v="1"/>
    <s v="Dólares"/>
    <s v="Dólares"/>
    <s v="Manuel ugarte al 1600 3º. Nuñez"/>
    <s v="Argentina | Capital Federal | Nuñez | L.De Nuñez"/>
    <x v="0"/>
    <n v="2"/>
    <s v="Seniority"/>
    <s v="Propia (Único Asesor)"/>
    <x v="1"/>
    <s v="Venta"/>
    <x v="3"/>
    <s v="Barrio Parque"/>
  </r>
  <r>
    <d v="2025-04-09T00:00:00"/>
    <x v="1"/>
    <x v="3"/>
    <s v="CAP6701076"/>
    <x v="0"/>
    <s v="VENTA DEPARTAMENTO DE 3 AMBIENTES EN NUÑEZ CON TERRAZA PROPIA!"/>
    <s v="Realizado"/>
    <s v="AR ZonaProp"/>
    <n v="249500"/>
    <x v="394"/>
    <x v="1"/>
    <s v="Dólares"/>
    <s v="Dólares"/>
    <s v="Pico  al 1900"/>
    <s v="Argentina | Capital Federal | Nuñez "/>
    <x v="0"/>
    <n v="2"/>
    <s v="Seniority"/>
    <s v="Propia (Único Asesor)"/>
    <x v="1"/>
    <s v="Venta"/>
    <x v="3"/>
    <s v="Barrio Parque"/>
  </r>
  <r>
    <d v="2025-09-15T00:00:00"/>
    <x v="1"/>
    <x v="6"/>
    <s v="VHO6764519"/>
    <x v="0"/>
    <s v="Casa en Venta  - Escritura APTO CREDITO! Maschwitz Privado!"/>
    <s v="Realizado"/>
    <s v="AR ZonaProp"/>
    <n v="250000"/>
    <x v="394"/>
    <x v="1"/>
    <s v="Dólares"/>
    <s v="Dólares"/>
    <s v="maschwitz privado"/>
    <s v="Argentina | G.B.A. Zona Norte | Escobar | Countries/B.Cerrado (Escobar) | Maschwitz Privado"/>
    <x v="2"/>
    <n v="2"/>
    <s v="Puerto Norte"/>
    <s v="Propia (Único Asesor)"/>
    <x v="1"/>
    <s v="Venta"/>
    <x v="6"/>
    <s v="Nordelta"/>
  </r>
  <r>
    <d v="2025-09-24T00:00:00"/>
    <x v="1"/>
    <x v="6"/>
    <s v="CAP6937078"/>
    <x v="0"/>
    <s v="VENTA DEPARTAMENTO 4 AMBIENTES EN PALERMO"/>
    <s v="Realizado"/>
    <s v="AR ZonaProp"/>
    <n v="255000"/>
    <x v="394"/>
    <x v="1"/>
    <s v="Dólares"/>
    <s v="Dólares"/>
    <s v="Concepción Arenal al 2400"/>
    <s v="Argentina | Capital Federal | Palermo "/>
    <x v="0"/>
    <n v="2"/>
    <s v="Seniority"/>
    <s v="Propia (Único Asesor)"/>
    <x v="1"/>
    <s v="Venta"/>
    <x v="3"/>
    <s v="Barrio Parque"/>
  </r>
  <r>
    <d v="2025-10-17T00:00:00"/>
    <x v="1"/>
    <x v="11"/>
    <s v="CAP7197860"/>
    <x v="0"/>
    <s v="VENTA DEPARTAMENTO 4 AMBIENTES CABALLITO CON COCHERA Y BAULERA "/>
    <s v="Realizado"/>
    <s v="AR ZonaProp"/>
    <n v="256000"/>
    <x v="394"/>
    <x v="1"/>
    <s v="Dólares"/>
    <s v="Dólares"/>
    <s v="MARTIN DE GAINZA 60"/>
    <s v="Argentina | Capital Federal | Caballito "/>
    <x v="0"/>
    <n v="2"/>
    <s v="Lion Team"/>
    <s v="Propia (Único Asesor)"/>
    <x v="1"/>
    <s v="Venta"/>
    <x v="3"/>
    <s v="Villa Urquiza"/>
  </r>
  <r>
    <d v="2026-02-18T00:00:00"/>
    <x v="0"/>
    <x v="0"/>
    <s v="CAP7466792"/>
    <x v="0"/>
    <s v="VENTA Departamento 70m2  P Alta  Aldea del Golf Chapelco Golf San Martin de los Andes"/>
    <s v="Realizado"/>
    <s v="AR ZonaProp"/>
    <n v="279000"/>
    <x v="394"/>
    <x v="1"/>
    <s v="Dólares"/>
    <s v="Dólares"/>
    <s v="ALDEAS DEL GOLF  Chapelco Golf &amp; Resort"/>
    <s v="Argentina | Neuquen | Lacar | San Martin De Los Andes | Chapelco Golf &amp; Resort"/>
    <x v="0"/>
    <n v="2"/>
    <s v="Patagonia Lakes SMA"/>
    <s v="Propia (Único Asesor)"/>
    <x v="1"/>
    <s v="Venta"/>
    <x v="1"/>
    <s v="San Martín de los Andes"/>
  </r>
  <r>
    <d v="2025-07-11T00:00:00"/>
    <x v="1"/>
    <x v="1"/>
    <s v="CCO55382 AP5983612"/>
    <x v="0"/>
    <s v="Venta Departamento c/ Renta 3 ambientes PB c/jardín y cochera - Vilahaus"/>
    <s v="Realizado"/>
    <s v="Conocido"/>
    <n v="257000"/>
    <x v="395"/>
    <x v="1"/>
    <s v="Dólares"/>
    <s v="Dólares"/>
    <s v="Venta Departamento c/ Renta 3 ambientes PB c/jardín y cochera - Vilahaus"/>
    <s v="Argentina | G.B.A. Zona Norte | Pilar | Manuel Alberti | vilahaus"/>
    <x v="0"/>
    <n v="2"/>
    <s v="North Team"/>
    <s v="Compartida en Oficina (Dos Asesores)"/>
    <x v="1"/>
    <s v="Venta"/>
    <x v="6"/>
    <s v="Pilar"/>
  </r>
  <r>
    <d v="2025-06-27T00:00:00"/>
    <x v="1"/>
    <x v="4"/>
    <s v="VAP5023706"/>
    <x v="0"/>
    <s v="Departamento en Remeros Beach"/>
    <s v="Realizado"/>
    <s v="AR ZonaProp"/>
    <n v="230197"/>
    <x v="395"/>
    <x v="1"/>
    <s v="Dólares"/>
    <s v="Dólares"/>
    <s v="camino de los remeros  al 1600"/>
    <s v="Argentina | G.B.A. Zona Norte | Tigre | Rincon de Milberg | Remeros Beach"/>
    <x v="0"/>
    <n v="2"/>
    <s v="Puerto Norte"/>
    <s v="Propia (Único Asesor)"/>
    <x v="1"/>
    <s v="Venta"/>
    <x v="6"/>
    <s v="Nordelta"/>
  </r>
  <r>
    <d v="2025-11-14T00:00:00"/>
    <x v="1"/>
    <x v="7"/>
    <s v="CAP7282179"/>
    <x v="0"/>
    <s v="Venta Departamento Dúuplex con terraza y cochera - Palermo Soho"/>
    <s v="Realizado"/>
    <s v="AR ZonaProp"/>
    <n v="269000"/>
    <x v="396"/>
    <x v="1"/>
    <s v="Dólares"/>
    <s v="Dólares"/>
    <s v="Uriarte 1300"/>
    <s v="Argentina | Capital Federal | Palermo | Palermo Soho"/>
    <x v="0"/>
    <n v="2"/>
    <s v="Seniority"/>
    <s v="Compartida Fuera de la Red Captación Propia"/>
    <x v="0"/>
    <s v="Venta"/>
    <x v="3"/>
    <s v="Barrio Parque"/>
  </r>
  <r>
    <d v="2025-12-01T00:00:00"/>
    <x v="1"/>
    <x v="8"/>
    <s v="CHO6703424"/>
    <x v="0"/>
    <s v="Venta Casa Diseño, Barrio Laderas, Chacras de Coria "/>
    <s v="Realizado"/>
    <s v="Conocido"/>
    <n v="250000"/>
    <x v="397"/>
    <x v="1"/>
    <s v="Dólares"/>
    <s v="Dólares"/>
    <s v="Casa Diseño Barrio Laderas Chacras de Coria "/>
    <s v="Argentina | Mendoza | Lujan De Cuyo | Chacras De Coria"/>
    <x v="2"/>
    <n v="2"/>
    <s v="Cuyo Real"/>
    <s v="Propia (Único Asesor)"/>
    <x v="1"/>
    <s v="Venta"/>
    <x v="2"/>
    <s v="Capital Mendoza"/>
  </r>
  <r>
    <d v="2026-02-13T00:00:00"/>
    <x v="0"/>
    <x v="0"/>
    <s v="CHO7381993"/>
    <x v="0"/>
    <s v="Casa en venta en Neuquén en Alta Barda con quincho y 4 departamentos para renta"/>
    <s v="Realizado"/>
    <s v="Conocido"/>
    <n v="260000"/>
    <x v="398"/>
    <x v="1"/>
    <s v="Dólares"/>
    <s v="Dólares"/>
    <s v="Los Lirios  al 600 Barrio Alta Barda"/>
    <s v="Argentina | Neuquen | Capital | Alta Barda"/>
    <x v="2"/>
    <n v="1"/>
    <s v="Sensus"/>
    <s v="(Interior) Compartida Fuera de la Red Captación Propia"/>
    <x v="0"/>
    <s v="Venta"/>
    <x v="1"/>
    <s v="Capital Neuquén"/>
  </r>
  <r>
    <d v="2026-03-09T00:00:00"/>
    <x v="0"/>
    <x v="9"/>
    <s v="VHO6592330"/>
    <x v="0"/>
    <s v="Casa en venta en Araucarias Puertos del Lago - A Estrenar"/>
    <s v="Realizado"/>
    <s v="AR ZonaProp"/>
    <n v="270000"/>
    <x v="398"/>
    <x v="1"/>
    <s v="Dólares"/>
    <s v="Dólares"/>
    <s v="Casa en Araucarias Puertos del Lago"/>
    <s v="Argentina | G.B.A. Zona Norte | Escobar | Countries/B.Cerrado (Escobar) | Puertos del Lago | Araucarias"/>
    <x v="2"/>
    <n v="2"/>
    <s v="Puerto Norte"/>
    <s v="Compartida en Oficina (Dos Asesores)"/>
    <x v="1"/>
    <s v="Venta"/>
    <x v="6"/>
    <s v="Nordelta"/>
  </r>
  <r>
    <d v="2025-06-10T00:00:00"/>
    <x v="1"/>
    <x v="4"/>
    <s v="VAP6776441"/>
    <x v="0"/>
    <s v="Departamento en Belgrano 3 ambientes con cochera y amenities "/>
    <s v="Realizado"/>
    <s v="AR ArgenProp"/>
    <n v="265000"/>
    <x v="398"/>
    <x v="1"/>
    <s v="Dólares"/>
    <s v="Dólares"/>
    <s v="Av. Congreso  al 1900"/>
    <s v="Argentina | Capital Federal | Belgrano | Belgrano Chico"/>
    <x v="0"/>
    <n v="2"/>
    <s v="Space BA"/>
    <s v="Propia (Único Asesor)"/>
    <x v="1"/>
    <s v="Venta"/>
    <x v="3"/>
    <s v="Belgrano"/>
  </r>
  <r>
    <d v="2025-03-31T00:00:00"/>
    <x v="1"/>
    <x v="9"/>
    <s v="CAP6747528"/>
    <x v="0"/>
    <s v="Venta depto 3 amb -  palermo"/>
    <s v="Realizado"/>
    <s v="AR MercadoLibre"/>
    <n v="260000"/>
    <x v="399"/>
    <x v="1"/>
    <s v="Dólares"/>
    <s v="Dólares"/>
    <s v="Tagle al 2500"/>
    <s v="Argentina | Capital Federal | Palermo "/>
    <x v="0"/>
    <n v="2"/>
    <s v="Destino"/>
    <s v="Propia (Único Asesor)"/>
    <x v="1"/>
    <s v="Venta"/>
    <x v="3"/>
    <s v="Recoleta"/>
  </r>
  <r>
    <d v="2025-07-01T00:00:00"/>
    <x v="1"/>
    <x v="1"/>
    <s v="CHO5123163"/>
    <x v="0"/>
    <s v="VENTA CASA 4 AMBIENTES CON JARDíN Y PILETA EN ADROGUÉ"/>
    <s v="Realizado"/>
    <s v="AR ZonaProp"/>
    <n v="249000"/>
    <x v="400"/>
    <x v="1"/>
    <s v="Dólares"/>
    <s v="Dólares"/>
    <s v="La Rosa 400"/>
    <s v="Argentina | G.B.A. Zona Sur | Almirante Brown | Adrogue"/>
    <x v="2"/>
    <n v="2"/>
    <s v="Seniority"/>
    <s v="Compartida Fuera de la Red Captación Propia"/>
    <x v="0"/>
    <s v="Venta"/>
    <x v="3"/>
    <s v="Barrio Parque"/>
  </r>
  <r>
    <d v="2025-03-07T00:00:00"/>
    <x v="1"/>
    <x v="9"/>
    <m/>
    <x v="0"/>
    <s v="CASA ubicada en B° Alihuen Bajo P. del Roble al 137 de la ciudad de San Martin de los Andes Pcia. De Neuquén, con todo lo que en ella se encuentre plantado y edificado en un lote de 642.24 m2, nomenclatura catastral: ,15-20-056-4464-0000"/>
    <s v="Realizado"/>
    <s v="Referido"/>
    <n v="250000"/>
    <x v="401"/>
    <x v="1"/>
    <s v="Dólares"/>
    <s v="Dólares"/>
    <s v="Paseo del Roble 137"/>
    <s v="Argentina | Neuquen | Lacar | San Martin De Los Andes | Alihuen Alto y Bajo"/>
    <x v="2"/>
    <n v="1"/>
    <s v="Patagonia Lakes SMA"/>
    <s v="(Interior) Compartida Fuera de la Red Búsqueda"/>
    <x v="2"/>
    <s v="Venta"/>
    <x v="1"/>
    <s v="San Martín de los Andes"/>
  </r>
  <r>
    <d v="2025-05-12T00:00:00"/>
    <x v="1"/>
    <x v="2"/>
    <s v="CHO6985248"/>
    <x v="0"/>
    <s v="Casa en Barrio El Prado Eco Village"/>
    <s v="Realizado"/>
    <s v="Referido"/>
    <n v="250000"/>
    <x v="401"/>
    <x v="1"/>
    <s v="Dólares"/>
    <s v="Dólares"/>
    <s v="Barrio El Prado Eco Village "/>
    <s v="Argentina | Salta | Capital | El Prado"/>
    <x v="2"/>
    <n v="1"/>
    <s v="Realty Group"/>
    <s v="(Interior) Compartida Fuera de la Red Búsqueda"/>
    <x v="2"/>
    <s v="Venta"/>
    <x v="4"/>
    <s v="San Lorenzo Chico"/>
  </r>
  <r>
    <d v="2025-03-07T00:00:00"/>
    <x v="1"/>
    <x v="9"/>
    <s v="CHO6531660"/>
    <x v="0"/>
    <s v="VENTA Casa 117m2 Lote 782m2 Altos del Sol San Martín de los Andes"/>
    <s v="Realizado"/>
    <s v="Conocido"/>
    <n v="250000"/>
    <x v="401"/>
    <x v="1"/>
    <s v="Dólares"/>
    <s v="Dólares"/>
    <s v="Los Robles al 100"/>
    <s v="Argentina | Neuquen | Lacar | San Martin De Los Andes | Centro"/>
    <x v="2"/>
    <n v="1"/>
    <s v="Patagonia Lakes SMA"/>
    <s v="(Interior) Compartida Fuera de la Red Captación Propia"/>
    <x v="0"/>
    <s v="Venta"/>
    <x v="1"/>
    <s v="San Martín de los Andes"/>
  </r>
  <r>
    <d v="2025-04-29T00:00:00"/>
    <x v="1"/>
    <x v="3"/>
    <s v="CBU41464 AP6741850"/>
    <x v="0"/>
    <s v="VENTA Departamento 2 amb Vista al Lago  - A estrenar Baulera y cochera - Puerto Manzano Villa la Angostura"/>
    <s v="Realizado"/>
    <s v="Repetido"/>
    <n v="260000"/>
    <x v="401"/>
    <x v="1"/>
    <s v="Dólares"/>
    <s v="Dólares"/>
    <s v="Avenida Arrayanes al 7000"/>
    <s v="Argentina | Neuquen | Villa La Angostura | Faldeo Manzano"/>
    <x v="0"/>
    <n v="1"/>
    <s v="Patagonia Lakes VLA"/>
    <s v="(Interior) Compartida Fuera de la Red Captación Propia"/>
    <x v="0"/>
    <s v="Venta"/>
    <x v="1"/>
    <s v="Villa La Angostura"/>
  </r>
  <r>
    <d v="2026-01-13T00:00:00"/>
    <x v="0"/>
    <x v="10"/>
    <s v="VHO6939563"/>
    <x v="0"/>
    <s v="Casa en  Barrio San Andres - Apto Crédito"/>
    <s v="Realizado"/>
    <s v="AR ZonaProp"/>
    <n v="265000"/>
    <x v="401"/>
    <x v="1"/>
    <s v="Dólares"/>
    <s v="Dólares"/>
    <s v="Venta Barrio San Andres - APTO CREDITO"/>
    <s v="Argentina | G.B.A. Zona Norte | Tigre | Countries/B.Cerrado (Tigre) | Villanueva | San Andres"/>
    <x v="2"/>
    <n v="2"/>
    <s v="Puerto Norte"/>
    <s v="Compartida en Oficina (Dos Asesores)"/>
    <x v="1"/>
    <s v="Venta"/>
    <x v="6"/>
    <s v="Nordelta"/>
  </r>
  <r>
    <d v="2025-08-08T00:00:00"/>
    <x v="1"/>
    <x v="5"/>
    <s v="op 156"/>
    <x v="0"/>
    <s v="Parera 68"/>
    <s v="Realizado"/>
    <s v="AR ZonaProp"/>
    <n v="250000"/>
    <x v="401"/>
    <x v="1"/>
    <s v="Dólares"/>
    <s v="Dólares"/>
    <s v="parera 65"/>
    <s v="Argentina | Capital Federal | Recoleta "/>
    <x v="0"/>
    <n v="1"/>
    <s v="Seniority Plus"/>
    <s v="Compartida Fuera de la Red Búsqueda"/>
    <x v="2"/>
    <s v="Venta"/>
    <x v="3"/>
    <s v="Palermo"/>
  </r>
  <r>
    <d v="2025-11-17T00:00:00"/>
    <x v="1"/>
    <x v="7"/>
    <n v="10571"/>
    <x v="0"/>
    <s v="Soler 4099 piso 8 dto A"/>
    <s v="Realizado"/>
    <s v="AR ZonaProp"/>
    <n v="250000"/>
    <x v="401"/>
    <x v="1"/>
    <s v="Dólares"/>
    <s v="Dólares"/>
    <s v="Soler 4099 piso 8 dto A"/>
    <s v="Argentina | Capital Federal | Palermo "/>
    <x v="0"/>
    <n v="1"/>
    <s v="Seniority"/>
    <s v="Compartida Fuera de la Red Búsqueda"/>
    <x v="2"/>
    <s v="Venta"/>
    <x v="3"/>
    <s v="Barrio Parque"/>
  </r>
  <r>
    <d v="2026-03-18T00:00:00"/>
    <x v="0"/>
    <x v="9"/>
    <s v="CASA EN VENTA SANTA INES 317"/>
    <x v="0"/>
    <s v="CASA EN VENTA SANTA INES 317"/>
    <s v="Realizado"/>
    <s v="AR ZonaProp"/>
    <n v="250000"/>
    <x v="401"/>
    <x v="1"/>
    <s v="Dólares"/>
    <s v="Dólares"/>
    <m/>
    <s v="Argentina | G.B.A. Zona Sur | Ezeiza | Canning (Ezeiza)"/>
    <x v="2"/>
    <n v="1"/>
    <s v="Livello"/>
    <s v="Compartida Fuera de la Red Búsqueda"/>
    <x v="2"/>
    <s v="Venta"/>
    <x v="3"/>
    <s v="Palermo"/>
  </r>
  <r>
    <d v="2025-11-20T00:00:00"/>
    <x v="1"/>
    <x v="7"/>
    <s v="CAP7205768"/>
    <x v="0"/>
    <s v="VENTA 2 AMBIENTES CON COCHERA EN VICENTE LOPEZ AMENITIES APTO CREDITO"/>
    <s v="Realizado"/>
    <s v="AR ZonaProp"/>
    <n v="260000"/>
    <x v="401"/>
    <x v="1"/>
    <s v="Dólares"/>
    <s v="Dólares"/>
    <s v="ARISTOBULO DEL VALLE al 700 TORRE PREMIUM"/>
    <s v="Argentina | G.B.A. Zona Norte | Vicente López "/>
    <x v="0"/>
    <n v="2"/>
    <s v="Seniority"/>
    <s v="Compartida Fuera de la Red Captación Propia"/>
    <x v="0"/>
    <s v="Venta"/>
    <x v="3"/>
    <s v="Barrio Parque"/>
  </r>
  <r>
    <d v="2025-04-07T00:00:00"/>
    <x v="1"/>
    <x v="3"/>
    <s v="Pilará Tilbury"/>
    <x v="0"/>
    <s v="Terreno en venta Pilará Tilbury"/>
    <s v="Realizado"/>
    <s v="Referido"/>
    <n v="250000"/>
    <x v="401"/>
    <x v="1"/>
    <s v="Dólares"/>
    <s v="Dólares"/>
    <m/>
    <s v="Argentina | G.B.A. Zona Norte | Pilar | Countries/B.Cerrado (Pilar) | Pilara"/>
    <x v="1"/>
    <n v="2"/>
    <s v="North Team"/>
    <s v="Propia (Único Asesor)"/>
    <x v="1"/>
    <s v="Venta"/>
    <x v="6"/>
    <s v="Pilar"/>
  </r>
  <r>
    <d v="2025-05-29T00:00:00"/>
    <x v="1"/>
    <x v="2"/>
    <s v="CAP6769063"/>
    <x v="0"/>
    <s v="VENTA DEPARTAMENTO 4 AMBIENTES + DEPENDENCIA  Y COCHERA "/>
    <s v="Realizado"/>
    <s v="AR ZonaProp"/>
    <n v="290000"/>
    <x v="401"/>
    <x v="1"/>
    <s v="Dólares"/>
    <s v="Dólares"/>
    <s v="Arenales  al 1300"/>
    <s v="Argentina | Capital Federal | Recoleta "/>
    <x v="0"/>
    <n v="2"/>
    <s v="Destino"/>
    <s v="Propia (Único Asesor)"/>
    <x v="1"/>
    <s v="Venta"/>
    <x v="3"/>
    <s v="Recoleta"/>
  </r>
  <r>
    <d v="2025-06-24T00:00:00"/>
    <x v="1"/>
    <x v="4"/>
    <s v="CPH6799043"/>
    <x v="0"/>
    <s v="Espectacular PH 3 Ambientes con Patio y Terraza en Palemo "/>
    <s v="Realizado"/>
    <s v="AR ZonaProp"/>
    <n v="260000"/>
    <x v="401"/>
    <x v="1"/>
    <s v="Dólares"/>
    <s v="Dólares"/>
    <s v="Gascon  al 1300"/>
    <s v="Argentina | Capital Federal | Palermo "/>
    <x v="3"/>
    <n v="2"/>
    <s v="Destino"/>
    <s v="Propia (Único Asesor)"/>
    <x v="1"/>
    <s v="Venta"/>
    <x v="3"/>
    <s v="Recoleta"/>
  </r>
  <r>
    <d v="2025-07-04T00:00:00"/>
    <x v="1"/>
    <x v="1"/>
    <s v="JAP6669609"/>
    <x v="0"/>
    <s v="VENTA DEPARTAMENTO 4/5 AMBIENTES COCHERA CUBIERA LUMINOSO NUÑEZ"/>
    <s v="Realizado"/>
    <s v="AR ZonaProp"/>
    <n v="259000"/>
    <x v="401"/>
    <x v="1"/>
    <s v="Dólares"/>
    <s v="Dólares"/>
    <s v="Manzanares  al 2000"/>
    <s v="Argentina | Capital Federal | Nuñez "/>
    <x v="0"/>
    <n v="2"/>
    <s v="Lion Team Norte"/>
    <s v="Propia (Único Asesor)"/>
    <x v="1"/>
    <s v="Venta"/>
    <x v="6"/>
    <s v="Vicente López"/>
  </r>
  <r>
    <d v="2025-08-21T00:00:00"/>
    <x v="1"/>
    <x v="5"/>
    <s v="CHO6906264"/>
    <x v="0"/>
    <s v="Casa en  enta, Barrio Vista Barda, Av Viterbori, Gral Roca"/>
    <s v="Realizado"/>
    <s v="AR ZonaProp"/>
    <n v="280000"/>
    <x v="401"/>
    <x v="1"/>
    <s v="Dólares"/>
    <s v="Dólares"/>
    <s v="Casa en Venta, Av. Viterbori Barrio Vista Barda, Gral Roca"/>
    <s v="Argentina | Rio Negro | General Roca "/>
    <x v="2"/>
    <n v="2"/>
    <s v="Sensus"/>
    <s v="Propia (Único Asesor)"/>
    <x v="1"/>
    <s v="Venta"/>
    <x v="1"/>
    <s v="Capital Neuquén"/>
  </r>
  <r>
    <d v="2025-10-28T00:00:00"/>
    <x v="1"/>
    <x v="11"/>
    <s v="CAP7295102"/>
    <x v="0"/>
    <s v="Venta departamento 3 ambientes balcón cochera patio Villa Crespo"/>
    <s v="Realizado"/>
    <s v="AR ZonaProp"/>
    <n v="259900"/>
    <x v="401"/>
    <x v="1"/>
    <s v="Dólares"/>
    <s v="Dólares"/>
    <s v="Gurruchaga al 1100"/>
    <s v="Argentina | Capital Federal | Villa Crespo "/>
    <x v="0"/>
    <n v="2"/>
    <s v="Grupo Elite"/>
    <s v="Propia (Único Asesor)"/>
    <x v="1"/>
    <s v="Venta"/>
    <x v="3"/>
    <s v="Puerto Madero"/>
  </r>
  <r>
    <d v="2026-01-21T00:00:00"/>
    <x v="0"/>
    <x v="10"/>
    <s v="Nieves (ex Group Black)"/>
    <x v="0"/>
    <s v="Departamento en Palermo 3 ambientes"/>
    <s v="Realizado"/>
    <s v="AR ZonaProp"/>
    <n v="250000"/>
    <x v="401"/>
    <x v="1"/>
    <s v="Dólares"/>
    <s v="Dólares"/>
    <s v="Sanchez de Bustamante 1818 "/>
    <s v="Argentina | Capital Federal | Palermo "/>
    <x v="0"/>
    <n v="2"/>
    <s v="Wings"/>
    <s v="Propia (Único Asesor)"/>
    <x v="1"/>
    <s v="Venta"/>
    <x v="3"/>
    <s v="Núñez"/>
  </r>
  <r>
    <d v="2025-03-20T00:00:00"/>
    <x v="1"/>
    <x v="9"/>
    <s v="CHO6381410"/>
    <x v="0"/>
    <s v="Venta Casa 3 ambientes   dependencia o estudio con piscina en Martínez"/>
    <s v="Realizado"/>
    <s v="AR ZonaProp"/>
    <n v="265000"/>
    <x v="402"/>
    <x v="1"/>
    <s v="Dólares"/>
    <s v="Dólares"/>
    <s v="Piran al 1100"/>
    <s v="Argentina | G.B.A. Zona Norte | San Isidro | Martinez | Mart.-Santa Fe/Fleming"/>
    <x v="2"/>
    <n v="2"/>
    <s v="Seniority"/>
    <s v="Compartida en Oficina (Dos Asesores)"/>
    <x v="1"/>
    <s v="Venta"/>
    <x v="3"/>
    <s v="Barrio Parque"/>
  </r>
  <r>
    <d v="2025-11-18T00:00:00"/>
    <x v="1"/>
    <x v="7"/>
    <s v="CAP6937218"/>
    <x v="0"/>
    <s v="Venta Departamento 3 Ambientes con terraza propia en Almagro"/>
    <s v="Realizado"/>
    <s v="AR ZonaProp"/>
    <n v="257000"/>
    <x v="403"/>
    <x v="1"/>
    <s v="Dólares"/>
    <s v="Dólares"/>
    <s v="Av Belgrano al 4000"/>
    <s v="Argentina | Capital Federal | Almagro | Almagro Sur"/>
    <x v="0"/>
    <n v="2"/>
    <s v="Seniority"/>
    <s v="Propia (Único Asesor)"/>
    <x v="1"/>
    <s v="Venta"/>
    <x v="3"/>
    <s v="Barrio Parque"/>
  </r>
  <r>
    <d v="2025-04-16T00:00:00"/>
    <x v="1"/>
    <x v="3"/>
    <s v="CBU60233 AP6592888"/>
    <x v="0"/>
    <s v="Venta Departamento Tres Ambientes vista al lago a 5 minutos del centro"/>
    <s v="Realizado"/>
    <s v="Teléfono"/>
    <n v="238023"/>
    <x v="404"/>
    <x v="1"/>
    <s v="Dólares"/>
    <s v="Dólares"/>
    <s v="Avenida Pioneros Km 2, San Carlos de Bariloche"/>
    <s v="Argentina | Rio Negro | Bariloche | San Carlos De Bariloche | Centro"/>
    <x v="0"/>
    <n v="2"/>
    <s v="Patagonia Lakes BRC"/>
    <s v="Propia (Único Asesor)"/>
    <x v="1"/>
    <s v="Venta"/>
    <x v="7"/>
    <s v="Bariloche"/>
  </r>
  <r>
    <d v="2025-01-27T00:00:00"/>
    <x v="1"/>
    <x v="10"/>
    <s v="CBU60233 AP6592888"/>
    <x v="0"/>
    <s v="Venta Departamento Tres Ambientes vista al lago a 5 minutos del centro"/>
    <s v="Realizado"/>
    <s v="Teléfono"/>
    <n v="238023"/>
    <x v="405"/>
    <x v="1"/>
    <s v="Dólares"/>
    <s v="Dólares"/>
    <s v="Avenida Pioneros Km 2, San Carlos de Bariloche"/>
    <s v="Argentina | Rio Negro | Bariloche | San Carlos De Bariloche | Centro"/>
    <x v="0"/>
    <n v="2"/>
    <s v="Patagonia Lakes BRC"/>
    <s v="Compartida en Oficina (Dos Asesores)"/>
    <x v="1"/>
    <s v="Venta"/>
    <x v="7"/>
    <s v="Bariloche"/>
  </r>
  <r>
    <d v="2025-10-09T00:00:00"/>
    <x v="1"/>
    <x v="11"/>
    <s v="OP 192"/>
    <x v="0"/>
    <s v="Araoz 2992"/>
    <s v="Realizado"/>
    <s v="AR ZonaProp"/>
    <n v="255000"/>
    <x v="406"/>
    <x v="1"/>
    <s v="Dólares"/>
    <s v="Dólares"/>
    <s v="Araoz 2992"/>
    <s v="Argentina | Capital Federal | Palermo "/>
    <x v="0"/>
    <n v="1"/>
    <s v="Seniority Plus"/>
    <s v="Compartida Fuera de la Red Búsqueda"/>
    <x v="2"/>
    <s v="Venta"/>
    <x v="3"/>
    <s v="Palermo"/>
  </r>
  <r>
    <d v="2025-12-29T00:00:00"/>
    <x v="1"/>
    <x v="8"/>
    <s v="VHO6090362"/>
    <x v="0"/>
    <s v="NUEVO VALOR! Venta Casa en Chacras de La Reserva, Campana. APTO CREDITO"/>
    <s v="Realizado"/>
    <s v="AR ZonaProp"/>
    <n v="360000"/>
    <x v="406"/>
    <x v="1"/>
    <s v="Dólares"/>
    <s v="Dólares"/>
    <s v="Chacras de la Reserva"/>
    <s v="Argentina | G.B.A. Zona Norte | Campana "/>
    <x v="2"/>
    <n v="1"/>
    <s v="Puerto Norte"/>
    <s v="Compartida Fuera de la Red Búsqueda"/>
    <x v="2"/>
    <s v="Venta"/>
    <x v="6"/>
    <s v="Nordelta"/>
  </r>
  <r>
    <d v="2025-02-04T00:00:00"/>
    <x v="1"/>
    <x v="0"/>
    <s v="Campo Salles"/>
    <x v="0"/>
    <s v="Departamento venta Campo Salles"/>
    <s v="Realizado"/>
    <s v="AR ZonaProp"/>
    <n v="255000"/>
    <x v="406"/>
    <x v="1"/>
    <s v="Dólares"/>
    <s v="Dólares"/>
    <m/>
    <s v="Argentina | Capital Federal | Nuñez "/>
    <x v="0"/>
    <n v="2"/>
    <s v="Livello"/>
    <s v="Propia (Único Asesor)"/>
    <x v="1"/>
    <s v="Venta"/>
    <x v="3"/>
    <s v="Palermo"/>
  </r>
  <r>
    <d v="2025-06-27T00:00:00"/>
    <x v="1"/>
    <x v="4"/>
    <s v="CHO6789468"/>
    <x v="0"/>
    <s v="Venta casa 5 habitaciones Mendoza"/>
    <s v="Realizado"/>
    <s v="AR ZonaProp"/>
    <n v="295000"/>
    <x v="407"/>
    <x v="1"/>
    <s v="Dólares"/>
    <s v="Dólares"/>
    <s v="Barrio Dalvian"/>
    <s v="Argentina | Mendoza | Capital | Mendoza | Dalvian"/>
    <x v="2"/>
    <n v="2"/>
    <s v="Cuyo Real"/>
    <s v="Propia (Único Asesor)"/>
    <x v="1"/>
    <s v="Venta"/>
    <x v="2"/>
    <s v="Capital Mendoza"/>
  </r>
  <r>
    <d v="2026-02-10T00:00:00"/>
    <x v="0"/>
    <x v="0"/>
    <s v="CHO7759756"/>
    <x v="0"/>
    <s v="OPORTUNIDAD CASA EN VENTA LUMINOSA 3 DORM   ESCRITORIO BARRIO CANTON"/>
    <s v="Realizado"/>
    <s v="AR ZonaProp"/>
    <n v="245000"/>
    <x v="408"/>
    <x v="1"/>
    <s v="Dólares"/>
    <s v="Dólares"/>
    <s v="Casa en venta canton norte a estrenar ! 3 dorm + escritorio"/>
    <s v="Argentina | G.B.A. Zona Norte | Escobar | Countries/B.Cerrado (Escobar) | El Canton - Norte"/>
    <x v="2"/>
    <n v="2"/>
    <s v="Puerto Norte"/>
    <s v="Propia (Único Asesor)"/>
    <x v="1"/>
    <s v="Venta"/>
    <x v="6"/>
    <s v="Nordelta"/>
  </r>
  <r>
    <d v="2025-01-26T00:00:00"/>
    <x v="1"/>
    <x v="10"/>
    <s v="VHO6475900"/>
    <x v="0"/>
    <s v="Casa en Venta - Haras Santa María, El Molino Sur - 5 Ambientes"/>
    <s v="Realizado"/>
    <s v="AR ZonaProp"/>
    <n v="279000"/>
    <x v="409"/>
    <x v="1"/>
    <s v="Dólares"/>
    <s v="Dólares"/>
    <s v="Haras Santa Maria, El Molino Sur"/>
    <s v="Argentina | G.B.A. Zona Norte | Escobar | Countries/B.Cerrado (Escobar) | Haras Santa Maria | El Molino Sur"/>
    <x v="2"/>
    <n v="2"/>
    <s v="Puerto Norte"/>
    <s v="Compartida en Oficina (Dos Asesores)"/>
    <x v="1"/>
    <s v="Venta"/>
    <x v="6"/>
    <s v="Nordelta"/>
  </r>
  <r>
    <d v="2025-04-11T00:00:00"/>
    <x v="1"/>
    <x v="3"/>
    <m/>
    <x v="0"/>
    <s v="Venta de Pozo espectacular -2 Amb - Palermo - Paraguay y Humboldt"/>
    <s v="Realizado"/>
    <s v="Referido"/>
    <n v="260000"/>
    <x v="409"/>
    <x v="1"/>
    <s v="Dólares"/>
    <s v="Dólares"/>
    <s v="Paraguay 5075 y Humbolt"/>
    <s v="Argentina | Capital Federal | Palermo "/>
    <x v="0"/>
    <n v="2"/>
    <s v="Space BA"/>
    <s v="Compartida en Oficina (Dos Asesores)"/>
    <x v="1"/>
    <s v="Venta"/>
    <x v="3"/>
    <s v="Belgrano"/>
  </r>
  <r>
    <d v="2025-08-12T00:00:00"/>
    <x v="1"/>
    <x v="5"/>
    <s v="Las Amapolas 455"/>
    <x v="0"/>
    <s v="Departamaneto en venta Vilahaus 4 ambientes"/>
    <s v="Realizado"/>
    <s v="Referido"/>
    <n v="278000"/>
    <x v="409"/>
    <x v="1"/>
    <s v="Dólares"/>
    <s v="Dólares"/>
    <s v="Las amapolas 455 -pilar"/>
    <s v="Argentina | G.B.A. Zona Norte | Pilar | Manuel Alberti | vilahaus"/>
    <x v="0"/>
    <n v="2"/>
    <s v="North Team"/>
    <s v="Compartida en Oficina (Dos Asesores)"/>
    <x v="1"/>
    <s v="Venta"/>
    <x v="6"/>
    <s v="Pilar"/>
  </r>
  <r>
    <d v="2025-11-12T00:00:00"/>
    <x v="1"/>
    <x v="7"/>
    <s v="VHO6039001"/>
    <x v="0"/>
    <s v="Casa en venta Puertos del Lago ACACIAS"/>
    <s v="Realizado"/>
    <s v="AR ZonaProp"/>
    <n v="275000"/>
    <x v="409"/>
    <x v="1"/>
    <s v="Dólares"/>
    <s v="Dólares"/>
    <s v="Puertos del Lago ACACIAS"/>
    <s v="Argentina | G.B.A. Zona Norte | Escobar | Countries/B.Cerrado (Escobar) | Puertos del Lago | Acacias"/>
    <x v="2"/>
    <n v="2"/>
    <s v="Puerto Norte"/>
    <s v="Compartida en Oficina (Dos Asesores)"/>
    <x v="1"/>
    <s v="Venta"/>
    <x v="6"/>
    <s v="Nordelta"/>
  </r>
  <r>
    <d v="2025-06-11T00:00:00"/>
    <x v="1"/>
    <x v="4"/>
    <s v="VAP6770775"/>
    <x v="2"/>
    <s v="Departamento en Venta/Alquiler - 3 ambientes, Portezuelo, Nordelta"/>
    <s v="Realizado"/>
    <s v="AR ZonaProp"/>
    <n v="250000"/>
    <x v="409"/>
    <x v="1"/>
    <s v="Dólares"/>
    <s v="Dólares"/>
    <s v="Avenida de los Lagos al 6500"/>
    <s v="Argentina | G.B.A. Zona Norte | Tigre | Countries/B.Cerrado (Tigre) | Nordelta | Portezuelo | Marinas del Portezuelo"/>
    <x v="0"/>
    <n v="2"/>
    <s v="Puerto Norte"/>
    <s v="Compartida en Red (50%)"/>
    <x v="1"/>
    <s v="Venta"/>
    <x v="6"/>
    <s v="Nordelta"/>
  </r>
  <r>
    <d v="2026-01-07T00:00:00"/>
    <x v="0"/>
    <x v="10"/>
    <s v="CHO6917259"/>
    <x v="2"/>
    <s v="Venta 4 Amb. con Jardín en La Mansa, Islas del Golf Nordelta"/>
    <s v="Realizado"/>
    <s v="AR ZonaProp"/>
    <n v="279000"/>
    <x v="409"/>
    <x v="1"/>
    <s v="Dólares"/>
    <s v="Dólares"/>
    <s v="Av del Golf 1805 La Mansa Nordelta "/>
    <s v="Argentina | G.B.A. Zona Norte | Tigre | Countries/B.Cerrado (Tigre) | Nordelta | Islas del Golf | La Mansa"/>
    <x v="0"/>
    <n v="2"/>
    <s v="Seniority"/>
    <s v="Master"/>
    <x v="1"/>
    <s v="Venta"/>
    <x v="3"/>
    <s v="Barrio Parque"/>
  </r>
  <r>
    <d v="2025-04-01T00:00:00"/>
    <x v="1"/>
    <x v="3"/>
    <s v="CHO6440104"/>
    <x v="0"/>
    <s v="Casa en B° Centro"/>
    <s v="Realizado"/>
    <s v="Cartel"/>
    <n v="280000"/>
    <x v="409"/>
    <x v="1"/>
    <s v="Dólares"/>
    <s v="Dólares"/>
    <s v="BARRIO CENTRO - SENADOR PEREZ E INDEPENDENCIA"/>
    <s v="Argentina | Jujuy | Dr Manuel Belgrano | San Salvador De Jujuy | Centro"/>
    <x v="2"/>
    <n v="2"/>
    <s v="Plaza"/>
    <s v="Propia (Único Asesor)"/>
    <x v="1"/>
    <s v="Venta"/>
    <x v="8"/>
    <s v="Capital Jujuy"/>
  </r>
  <r>
    <d v="2025-05-08T00:00:00"/>
    <x v="1"/>
    <x v="2"/>
    <s v="VHO6570463"/>
    <x v="0"/>
    <s v="Casa en Venta apto credito! Barrio Cerrado Santa Clara Villanueva  4 amb - Piscina - Jardin"/>
    <s v="Realizado"/>
    <s v="AR ZonaProp"/>
    <n v="269000"/>
    <x v="409"/>
    <x v="1"/>
    <s v="Dólares"/>
    <s v="Dólares"/>
    <s v=" -Casa en Venta Barrio Santa Clara Villanueva -B. de todos los santos 5700"/>
    <s v="Argentina | G.B.A. Zona Norte | Tigre | Countries/B.Cerrado (Tigre) | Villanueva | Santa Clara"/>
    <x v="2"/>
    <n v="2"/>
    <s v="Puerto Norte"/>
    <s v="Propia (Único Asesor)"/>
    <x v="1"/>
    <s v="Venta"/>
    <x v="6"/>
    <s v="Nordelta"/>
  </r>
  <r>
    <d v="2025-05-08T00:00:00"/>
    <x v="1"/>
    <x v="2"/>
    <s v="CBU60233 AP6592892"/>
    <x v="0"/>
    <s v="Venta Depto Tres Ambientes vista al lago a 5 minutos del centro"/>
    <s v="Realizado"/>
    <s v="Teléfono"/>
    <n v="253435"/>
    <x v="410"/>
    <x v="1"/>
    <s v="Dólares"/>
    <s v="Dólares"/>
    <s v="Avenida Pioneros Km 2, San Carlos de Bariloche"/>
    <s v="Argentina | Rio Negro | Bariloche | San Carlos De Bariloche | Centro"/>
    <x v="0"/>
    <n v="2"/>
    <s v="Patagonia Lakes BRC"/>
    <s v="Propia (Único Asesor)"/>
    <x v="1"/>
    <s v="Venta"/>
    <x v="7"/>
    <s v="Bariloche"/>
  </r>
  <r>
    <d v="2025-10-28T00:00:00"/>
    <x v="1"/>
    <x v="11"/>
    <s v="CHO6622142"/>
    <x v="0"/>
    <s v="Casa en Venta 3 dormitorios Haras Santa Maria El Molino- Financia "/>
    <s v="Realizado"/>
    <s v="AR MercadoLibre"/>
    <n v="265000"/>
    <x v="411"/>
    <x v="1"/>
    <s v="Dólares"/>
    <s v="Dólares"/>
    <s v="Haras Santa Maria El Molino Escobar"/>
    <s v="Argentina | G.B.A. Zona Norte | Escobar | Countries/B.Cerrado (Escobar) | Haras Santa Maria"/>
    <x v="2"/>
    <n v="2"/>
    <s v="North Team"/>
    <s v="Propia (Único Asesor)"/>
    <x v="1"/>
    <s v="Venta"/>
    <x v="6"/>
    <s v="Pilar"/>
  </r>
  <r>
    <d v="2025-05-07T00:00:00"/>
    <x v="1"/>
    <x v="2"/>
    <s v="VCO50955 AP6447227"/>
    <x v="0"/>
    <s v="Departamento en Venta a Estrenar - Arboris I"/>
    <s v="Realizado"/>
    <s v="AR ZonaProp"/>
    <n v="287173"/>
    <x v="412"/>
    <x v="1"/>
    <s v="Dólares"/>
    <s v="Dólares"/>
    <s v="Árboris I | Angra - Remeros Beach"/>
    <s v="Argentina | G.B.A. Zona Norte | Tigre | Rincon de Milberg | Remeros Beach"/>
    <x v="0"/>
    <n v="2"/>
    <s v="Puerto Norte"/>
    <s v="Compartida en Oficina (Dos Asesores)"/>
    <x v="1"/>
    <s v="Venta"/>
    <x v="6"/>
    <s v="Nordelta"/>
  </r>
  <r>
    <d v="2025-07-07T00:00:00"/>
    <x v="1"/>
    <x v="1"/>
    <n v="7072025"/>
    <x v="0"/>
    <s v="España y Libertad"/>
    <s v="Realizado"/>
    <s v="Teléfono"/>
    <n v="262496"/>
    <x v="413"/>
    <x v="1"/>
    <s v="Dólares"/>
    <s v="Dólares"/>
    <s v="San Carlos de Bariloche"/>
    <s v="Argentina | Rio Negro | Bariloche | San Carlos De Bariloche"/>
    <x v="0"/>
    <n v="1"/>
    <s v="Patagonia Lakes BRC"/>
    <s v="(Interior) Compartida Fuera de la Red Búsqueda"/>
    <x v="2"/>
    <s v="Venta"/>
    <x v="7"/>
    <s v="Bariloche"/>
  </r>
  <r>
    <d v="2025-08-18T00:00:00"/>
    <x v="1"/>
    <x v="5"/>
    <s v="JAP6886546"/>
    <x v="0"/>
    <s v="Venta Departamento Tres ambientes Ayres de San Isidro"/>
    <s v="Realizado"/>
    <s v="AR ZonaProp"/>
    <n v="290000"/>
    <x v="414"/>
    <x v="1"/>
    <s v="Dólares"/>
    <s v="Dólares"/>
    <s v="Roque Saenz Peña al 100"/>
    <s v="Argentina | G.B.A. Zona Norte | San Isidro | San Isidro"/>
    <x v="0"/>
    <n v="2"/>
    <s v="Lion Team Norte"/>
    <s v="Propia (Único Asesor)"/>
    <x v="1"/>
    <s v="Venta"/>
    <x v="6"/>
    <s v="Vicente López"/>
  </r>
  <r>
    <d v="2025-10-03T00:00:00"/>
    <x v="1"/>
    <x v="11"/>
    <s v="CHO6960421"/>
    <x v="0"/>
    <s v="Casa en  Venta 3 dormitorios Haras Santa Maria El Atardecer-Financia o Permuta"/>
    <s v="Realizado"/>
    <s v="Referido"/>
    <n v="280000"/>
    <x v="414"/>
    <x v="1"/>
    <s v="Dólares"/>
    <s v="Dólares"/>
    <s v="Barrio Haras Santa Maria Escobar-El Atardecer"/>
    <s v="Argentina | G.B.A. Zona Norte | Escobar | Countries/B.Cerrado (Escobar) | Haras Santa Maria"/>
    <x v="2"/>
    <n v="2"/>
    <s v="North Team"/>
    <s v="Propia (Único Asesor)"/>
    <x v="1"/>
    <s v="Venta"/>
    <x v="6"/>
    <s v="Pilar"/>
  </r>
  <r>
    <d v="2026-03-06T00:00:00"/>
    <x v="0"/>
    <x v="9"/>
    <s v="CAP7420371"/>
    <x v="0"/>
    <s v="VENTA PISO DE 150 M2 4 AMBIENTES + DEPENDENCIA Y BALCÓN EN PALERMO BOTÁNICO"/>
    <s v="Realizado"/>
    <s v="AR ZonaProp"/>
    <n v="310000"/>
    <x v="415"/>
    <x v="1"/>
    <s v="Dólares"/>
    <s v="Dólares"/>
    <s v="ARAOZ  al 2700"/>
    <s v="Argentina | Capital Federal | Palermo "/>
    <x v="0"/>
    <n v="2"/>
    <s v="Destino"/>
    <s v="Propia (Único Asesor)"/>
    <x v="1"/>
    <s v="Venta"/>
    <x v="3"/>
    <s v="Recoleta"/>
  </r>
  <r>
    <d v="2025-09-16T00:00:00"/>
    <x v="1"/>
    <x v="6"/>
    <s v="CHO6673477"/>
    <x v="0"/>
    <s v="VENTA Casa 2 habitaciones 100m2 Deck vista arroyo B° Altos de Chapelco San Martin de los andes"/>
    <s v="Realizado"/>
    <s v="Conocido"/>
    <n v="285000"/>
    <x v="416"/>
    <x v="1"/>
    <s v="Dólares"/>
    <s v="Dólares"/>
    <s v="Los fresnos 655 Altos de Chapelco"/>
    <s v="Argentina | Neuquen | Lacar | San Martin De Los Andes"/>
    <x v="2"/>
    <n v="1"/>
    <s v="Patagonia Lakes SMA"/>
    <s v="(Interior) Compartida Fuera de la Red Captación Propia"/>
    <x v="0"/>
    <s v="Venta"/>
    <x v="1"/>
    <s v="San Martín de los Andes"/>
  </r>
  <r>
    <d v="2025-11-19T00:00:00"/>
    <x v="1"/>
    <x v="7"/>
    <s v="CAP6412936"/>
    <x v="0"/>
    <s v="VENTA  4 AMB, C/BALCÓN COCHERA OPCIONAL EN PALERMO"/>
    <s v="Realizado"/>
    <s v="AR ZonaProp"/>
    <n v="265000"/>
    <x v="416"/>
    <x v="1"/>
    <s v="Dólares"/>
    <s v="Dólares"/>
    <s v="Gorriti   al 3800"/>
    <s v="Argentina | Capital Federal | Palermo "/>
    <x v="0"/>
    <n v="1"/>
    <s v="Lion Team Norte"/>
    <s v="(Interior) Compartida Fuera de la Red Captación Propia"/>
    <x v="0"/>
    <s v="Venta"/>
    <x v="6"/>
    <s v="Vicente López"/>
  </r>
  <r>
    <d v="2025-10-03T00:00:00"/>
    <x v="1"/>
    <x v="11"/>
    <n v="10546"/>
    <x v="0"/>
    <s v="Rivadavia 5411 A-11 "/>
    <s v="Realizado"/>
    <s v="AR ZonaProp"/>
    <n v="0"/>
    <x v="416"/>
    <x v="1"/>
    <s v="Dólares"/>
    <s v="Dólares"/>
    <m/>
    <s v="Argentina | Capital Federal | Caballito "/>
    <x v="0"/>
    <n v="1"/>
    <s v="Seniority"/>
    <s v="Compartida Fuera de la Red Búsqueda"/>
    <x v="2"/>
    <s v="Venta"/>
    <x v="3"/>
    <s v="Barrio Parque"/>
  </r>
  <r>
    <d v="2025-12-15T00:00:00"/>
    <x v="1"/>
    <x v="8"/>
    <n v="10590"/>
    <x v="0"/>
    <s v="UF 26 Santa Elena de Pilar del Este"/>
    <s v="Realizado"/>
    <s v="AR ZonaProp"/>
    <n v="265000"/>
    <x v="416"/>
    <x v="1"/>
    <s v="Dólares"/>
    <s v="Dólares"/>
    <s v="UF 26 Santa Elena de Pilar del Este"/>
    <s v="Argentina | G.B.A. Zona Norte | Pilar "/>
    <x v="2"/>
    <n v="1"/>
    <s v="Seniority"/>
    <s v="Compartida Fuera de la Red Búsqueda"/>
    <x v="2"/>
    <s v="Venta"/>
    <x v="3"/>
    <s v="Barrio Parque"/>
  </r>
  <r>
    <d v="2025-10-30T00:00:00"/>
    <x v="1"/>
    <x v="11"/>
    <s v="CHO6905977"/>
    <x v="0"/>
    <s v="VENTA CASA TRIPLEX COCHERA PATIO Y PARRILLA EXCELENTE ESTADO APTO CREDITO FLORIDA"/>
    <s v="Realizado"/>
    <s v="AR ZonaProp"/>
    <n v="269000"/>
    <x v="416"/>
    <x v="1"/>
    <s v="Dólares"/>
    <s v="Dólares"/>
    <s v="AYACUCHO al 500"/>
    <s v="Argentina | G.B.A. Zona Norte | Vicente López | Florida"/>
    <x v="2"/>
    <n v="2"/>
    <s v="Seniority"/>
    <s v="Compartida Fuera de la Red Captación Propia"/>
    <x v="0"/>
    <s v="Venta"/>
    <x v="3"/>
    <s v="Barrio Parque"/>
  </r>
  <r>
    <d v="2025-12-17T00:00:00"/>
    <x v="1"/>
    <x v="8"/>
    <s v="yrigoyen 2184"/>
    <x v="0"/>
    <s v="venta casa irigoyen 2184"/>
    <s v="Realizado"/>
    <s v="AR ZonaProp"/>
    <n v="265000"/>
    <x v="416"/>
    <x v="1"/>
    <s v="Dólares"/>
    <s v="Dólares"/>
    <m/>
    <s v="Argentina | Capital Federal | Balvanera "/>
    <x v="2"/>
    <n v="2"/>
    <s v="Livello"/>
    <s v="Compartida Fuera de la Red Captación Propia"/>
    <x v="0"/>
    <s v="Venta"/>
    <x v="3"/>
    <s v="Palermo"/>
  </r>
  <r>
    <d v="2025-03-12T00:00:00"/>
    <x v="1"/>
    <x v="9"/>
    <s v="CHO3821641"/>
    <x v="0"/>
    <s v="Venta de Casa en Beccar -San Isidro"/>
    <s v="Realizado"/>
    <s v="AR ZonaProp"/>
    <n v="290000"/>
    <x v="416"/>
    <x v="1"/>
    <s v="Dólares"/>
    <s v="Dólares"/>
    <s v="Julian Navarro al 2400"/>
    <s v="Argentina | G.B.A. Zona Norte | San Isidro | Beccar"/>
    <x v="2"/>
    <n v="2"/>
    <s v="Seniority"/>
    <s v="Propia (Único Asesor)"/>
    <x v="1"/>
    <s v="Venta"/>
    <x v="3"/>
    <s v="Barrio Parque"/>
  </r>
  <r>
    <d v="2025-04-04T00:00:00"/>
    <x v="1"/>
    <x v="3"/>
    <s v="DAP6658110"/>
    <x v="0"/>
    <s v="Venta Departamento en Saavedra - 3 ambientes - Cochera cubierta - Balcon Aterrazado - Luminoso"/>
    <s v="Realizado"/>
    <s v="AR ZonaProp"/>
    <n v="269000"/>
    <x v="416"/>
    <x v="1"/>
    <s v="Dólares"/>
    <s v="Dólares"/>
    <s v="Av. Melian al 3600"/>
    <s v="Argentina | Capital Federal | Saavedra "/>
    <x v="0"/>
    <n v="2"/>
    <s v="Database"/>
    <s v="Propia (Único Asesor)"/>
    <x v="1"/>
    <s v="Venta"/>
    <x v="3"/>
    <s v="Núñez"/>
  </r>
  <r>
    <d v="2025-05-28T00:00:00"/>
    <x v="1"/>
    <x v="2"/>
    <s v="CAP6842587"/>
    <x v="0"/>
    <s v="Venta Departamento 3 Ambientes - Balcón terraza y dependencia en Recoleta"/>
    <s v="Realizado"/>
    <s v="AR ZonaProp"/>
    <n v="275000"/>
    <x v="416"/>
    <x v="1"/>
    <s v="Dólares"/>
    <s v="Dólares"/>
    <s v="Arenales al 2100"/>
    <s v="Argentina | Capital Federal | Recoleta "/>
    <x v="0"/>
    <n v="2"/>
    <s v="Seniority Plus"/>
    <s v="Propia (Único Asesor)"/>
    <x v="1"/>
    <s v="Venta"/>
    <x v="3"/>
    <s v="Palermo"/>
  </r>
  <r>
    <d v="2026-02-26T00:00:00"/>
    <x v="0"/>
    <x v="0"/>
    <s v="CAP7296145"/>
    <x v="0"/>
    <s v="Venta departamento 4 ambientes dependencia balcones cochera Belgrano"/>
    <s v="Realizado"/>
    <s v="AR ZonaProp"/>
    <n v="285000"/>
    <x v="416"/>
    <x v="1"/>
    <s v="Dólares"/>
    <s v="Dólares"/>
    <s v="Av Congreso al 2700"/>
    <s v="Argentina | Capital Federal | Belgrano "/>
    <x v="0"/>
    <n v="2"/>
    <s v="Grupo Elite"/>
    <s v="Propia (Único Asesor)"/>
    <x v="1"/>
    <s v="Venta"/>
    <x v="3"/>
    <s v="Puerto Madero"/>
  </r>
  <r>
    <d v="2025-03-17T00:00:00"/>
    <x v="1"/>
    <x v="9"/>
    <s v="Av Olazábal Depto"/>
    <x v="0"/>
    <s v="Depto venta Olazabal"/>
    <s v="Realizado"/>
    <s v="AR ZonaProp"/>
    <n v="266000"/>
    <x v="417"/>
    <x v="1"/>
    <s v="Dólares"/>
    <s v="Dólares"/>
    <m/>
    <s v="Argentina | Capital Federal | Colegiales "/>
    <x v="0"/>
    <n v="2"/>
    <s v="Livello"/>
    <s v="Propia (Único Asesor)"/>
    <x v="1"/>
    <s v="Venta"/>
    <x v="3"/>
    <s v="Palermo"/>
  </r>
  <r>
    <d v="2025-03-21T00:00:00"/>
    <x v="1"/>
    <x v="9"/>
    <s v="CAP6626922"/>
    <x v="0"/>
    <s v="VENTA 4 AMBIENTES DEPARTAMENTO EN DUPLEX EN PALERMO - APTO CRÉDITO"/>
    <s v="Realizado"/>
    <s v="AR ZonaProp"/>
    <n v="279000"/>
    <x v="418"/>
    <x v="1"/>
    <s v="Dólares"/>
    <s v="Dólares"/>
    <s v="Julián Álvarez al 2300"/>
    <s v="Argentina | Capital Federal | Palermo | Botanico"/>
    <x v="0"/>
    <n v="2"/>
    <s v="Seniority"/>
    <s v="Propia (Único Asesor)"/>
    <x v="1"/>
    <s v="Venta"/>
    <x v="3"/>
    <s v="Barrio Parque"/>
  </r>
  <r>
    <d v="2025-08-26T00:00:00"/>
    <x v="1"/>
    <x v="5"/>
    <s v="CAP7027480"/>
    <x v="0"/>
    <s v="Venta excelente semi piso 3/4 amb BARRANCAS DE BELGRANO"/>
    <s v="Realizado"/>
    <s v="AR ZonaProp"/>
    <n v="320000"/>
    <x v="419"/>
    <x v="1"/>
    <s v="Dólares"/>
    <s v="Dólares"/>
    <s v="Jose Hernandez  al 1900"/>
    <s v="Argentina | Capital Federal | Belgrano "/>
    <x v="0"/>
    <n v="2"/>
    <s v="Seniority"/>
    <s v="Propia (Único Asesor)"/>
    <x v="1"/>
    <s v="Venta"/>
    <x v="3"/>
    <s v="Barrio Parque"/>
  </r>
  <r>
    <d v="2025-10-24T00:00:00"/>
    <x v="1"/>
    <x v="11"/>
    <s v="BENJAMIN SAENZ VALIENTE 1472"/>
    <x v="0"/>
    <s v="BENJAMIN SAENZ VALIENTE 1472"/>
    <s v="Realizado"/>
    <s v="AR ArgenProp"/>
    <n v="270000"/>
    <x v="420"/>
    <x v="1"/>
    <s v="Dólares"/>
    <s v="Dólares"/>
    <s v="BENJAMIN SAENZ VALIENTE 1472"/>
    <s v="Argentina | G.B.A. Zona Norte | San Isidro | Martinez"/>
    <x v="3"/>
    <n v="1"/>
    <s v="Lion Team Norte"/>
    <s v="(Interior) Compartida Fuera de la Red Búsqueda"/>
    <x v="2"/>
    <s v="Venta"/>
    <x v="6"/>
    <s v="Vicente López"/>
  </r>
  <r>
    <d v="2025-04-08T00:00:00"/>
    <x v="1"/>
    <x v="3"/>
    <s v="VAP6518129"/>
    <x v="0"/>
    <s v="OPORTUNIDAD - Depto 2 AMB en Venta - SKY II"/>
    <s v="Realizado"/>
    <s v="AR ZonaProp"/>
    <n v="235000"/>
    <x v="420"/>
    <x v="1"/>
    <s v="Dólares"/>
    <s v="Dólares"/>
    <s v="OPORTUNIDAD - Depto 2 AMB en Venta - SKY II"/>
    <s v="Argentina | G.B.A. Zona Norte | Tigre | Rincon de Milberg | Remeros Beach"/>
    <x v="0"/>
    <n v="2"/>
    <s v="Puerto Norte"/>
    <s v="Compartida en Oficina (Dos Asesores)"/>
    <x v="1"/>
    <s v="Venta"/>
    <x v="6"/>
    <s v="Nordelta"/>
  </r>
  <r>
    <d v="2025-04-23T00:00:00"/>
    <x v="1"/>
    <x v="3"/>
    <s v="VAP6700935"/>
    <x v="0"/>
    <s v="Departamento en  REMEROS BEACH - 3 ambientes con la mejor vista Crystal Lagoon OPOTUNIDAD INVERSION "/>
    <s v="Realizado"/>
    <s v="AR ZonaProp"/>
    <n v="290000"/>
    <x v="420"/>
    <x v="1"/>
    <s v="Dólares"/>
    <s v="Dólares"/>
    <s v="camino de los remeros al 1500"/>
    <s v="Argentina | G.B.A. Zona Norte | Tigre | Rincon de Milberg | Remeros Beach"/>
    <x v="0"/>
    <n v="2"/>
    <s v="Puerto Norte"/>
    <s v="Compartida en Oficina (Dos Asesores)"/>
    <x v="1"/>
    <s v="Venta"/>
    <x v="6"/>
    <s v="Nordelta"/>
  </r>
  <r>
    <d v="2025-12-30T00:00:00"/>
    <x v="1"/>
    <x v="8"/>
    <s v="VHO6939563"/>
    <x v="0"/>
    <s v="Casa en  Barrio San Andres - Apto Crédito"/>
    <s v="Realizado"/>
    <s v="AR ZonaProp"/>
    <n v="265000"/>
    <x v="420"/>
    <x v="1"/>
    <s v="Dólares"/>
    <s v="Dólares"/>
    <s v="Venta Barrio San Andres - APTO CREDITO"/>
    <s v="Argentina | G.B.A. Zona Norte | Tigre | Countries/B.Cerrado (Tigre) | Villanueva | San Andres"/>
    <x v="2"/>
    <n v="1"/>
    <s v="Puerto Norte"/>
    <s v="Compartida Fuera de la Red Búsqueda"/>
    <x v="2"/>
    <s v="Venta"/>
    <x v="6"/>
    <s v="Nordelta"/>
  </r>
  <r>
    <d v="2025-08-02T00:00:00"/>
    <x v="1"/>
    <x v="5"/>
    <s v="VAP6531767"/>
    <x v="0"/>
    <s v="Departamento en  Venta 3 amb en Vicente López"/>
    <s v="Realizado"/>
    <s v="AR ZonaProp"/>
    <n v="280000"/>
    <x v="420"/>
    <x v="1"/>
    <s v="Dólares"/>
    <s v="Dólares"/>
    <s v="San Martin al 848"/>
    <s v="Argentina | G.B.A. Zona Norte | Vicente López | Barrio Vicente López | V.Lopez-Vias/Rio"/>
    <x v="0"/>
    <n v="2"/>
    <s v="Space BA"/>
    <s v="Compartida Fuera de la Red Captación Propia"/>
    <x v="0"/>
    <s v="Venta"/>
    <x v="3"/>
    <s v="Belgrano"/>
  </r>
  <r>
    <d v="2025-03-11T00:00:00"/>
    <x v="1"/>
    <x v="9"/>
    <m/>
    <x v="0"/>
    <s v="Lote calle Michay nomenclatura catastral 16-20-072-9458-0000"/>
    <s v="Realizado"/>
    <s v="Repetido"/>
    <n v="270000"/>
    <x v="420"/>
    <x v="1"/>
    <s v="Dólares"/>
    <s v="Dólares"/>
    <s v="MIchay y Millaqueo"/>
    <s v="Argentina | Neuquen | Villa La Angostura | Centro"/>
    <x v="1"/>
    <n v="2"/>
    <s v="Patagonia Lakes VLA"/>
    <s v="Propia (Único Asesor)"/>
    <x v="1"/>
    <s v="Venta"/>
    <x v="1"/>
    <s v="Villa La Angostura"/>
  </r>
  <r>
    <d v="2025-09-05T00:00:00"/>
    <x v="1"/>
    <x v="6"/>
    <s v="CAP7112772"/>
    <x v="0"/>
    <s v="HERMOSO DEPARTAMENTO 4 AMBIENTES CABALLITO SUR - COCHERA CUBIERTA"/>
    <s v="Realizado"/>
    <s v="AR ZonaProp"/>
    <n v="290000"/>
    <x v="420"/>
    <x v="1"/>
    <s v="Dólares"/>
    <s v="Dólares"/>
    <s v="THOMPSON  al 800"/>
    <s v="Argentina | Capital Federal | Caballito | Caballito Sur"/>
    <x v="0"/>
    <n v="2"/>
    <s v="Destino"/>
    <s v="Propia (Único Asesor)"/>
    <x v="1"/>
    <s v="Venta"/>
    <x v="3"/>
    <s v="Recoleta"/>
  </r>
  <r>
    <d v="2025-12-09T00:00:00"/>
    <x v="1"/>
    <x v="8"/>
    <s v="CPH7342804"/>
    <x v="0"/>
    <s v="VENTA PH en Palermo Soho con gran terraza"/>
    <s v="Realizado"/>
    <s v="AR ZonaProp"/>
    <n v="275000"/>
    <x v="420"/>
    <x v="1"/>
    <s v="Dólares"/>
    <s v="Dólares"/>
    <s v="soler  al 5000"/>
    <s v="Argentina | Capital Federal | Palermo | Palermo Soho"/>
    <x v="3"/>
    <n v="2"/>
    <s v="Quality"/>
    <s v="Propia (Único Asesor)"/>
    <x v="1"/>
    <s v="Venta"/>
    <x v="6"/>
    <s v="Escobar"/>
  </r>
  <r>
    <d v="2026-02-20T00:00:00"/>
    <x v="0"/>
    <x v="0"/>
    <s v="CAP7206727"/>
    <x v="0"/>
    <s v="VENTA DEPARTAMENTO 4 AMBIENTES CON DEPENDENCIA,  3 BALCONES ATERRAZADOS PATIO y COCHERA en PALERMO"/>
    <s v="Realizado"/>
    <s v="AR ZonaProp"/>
    <n v="295000"/>
    <x v="420"/>
    <x v="1"/>
    <s v="Dólares"/>
    <s v="Dólares"/>
    <s v="ARMENIA al 2400"/>
    <s v="Argentina | Capital Federal | Palermo | Botanico"/>
    <x v="0"/>
    <n v="2"/>
    <s v="Seniority"/>
    <s v="Propia (Único Asesor)"/>
    <x v="1"/>
    <s v="Venta"/>
    <x v="3"/>
    <s v="Barrio Parque"/>
  </r>
  <r>
    <d v="2026-03-11T00:00:00"/>
    <x v="0"/>
    <x v="9"/>
    <s v="ABU61347 AP6727256"/>
    <x v="0"/>
    <s v="Departamento dos ambientes a estrenar en Nuñez"/>
    <s v="Realizado"/>
    <s v="AR ZonaProp"/>
    <n v="190000"/>
    <x v="420"/>
    <x v="1"/>
    <s v="Dólares"/>
    <s v="Dólares"/>
    <s v="Deheza 2300"/>
    <s v="Argentina | Capital Federal | Nuñez "/>
    <x v="0"/>
    <n v="2"/>
    <s v="Desiderio"/>
    <s v="Propia (Único Asesor)"/>
    <x v="1"/>
    <s v="Venta"/>
    <x v="3"/>
    <s v="Caballito"/>
  </r>
  <r>
    <d v="2025-05-29T00:00:00"/>
    <x v="1"/>
    <x v="2"/>
    <s v="CBU60233 AP6592892"/>
    <x v="0"/>
    <s v="Venta Depto Tres Ambientes vista al lago a 5 minutos del centro"/>
    <s v="Realizado"/>
    <s v="Teléfono"/>
    <n v="291964"/>
    <x v="421"/>
    <x v="1"/>
    <s v="Dólares"/>
    <s v="Dólares"/>
    <s v="Avenida Pioneros Km 2, San Carlos de Bariloche"/>
    <s v="Argentina | Rio Negro | Bariloche | San Carlos De Bariloche | Centro"/>
    <x v="0"/>
    <n v="2"/>
    <s v="Patagonia Lakes BRC"/>
    <s v="Propia (Único Asesor)"/>
    <x v="1"/>
    <s v="Venta"/>
    <x v="7"/>
    <s v="Bariloche"/>
  </r>
  <r>
    <d v="2026-03-27T00:00:00"/>
    <x v="0"/>
    <x v="9"/>
    <s v="N/C - HONDURAS 3835"/>
    <x v="0"/>
    <s v="VENTA DPTO 3 AMBIENTES"/>
    <s v="Realizado"/>
    <s v="AR MercadoLibre"/>
    <n v="271000"/>
    <x v="422"/>
    <x v="1"/>
    <s v="Dólares"/>
    <s v="Dólares"/>
    <s v="HONDURAS 3835"/>
    <s v="Argentina | Capital Federal | Palermo "/>
    <x v="0"/>
    <n v="1"/>
    <s v="Destino II"/>
    <s v="Compartida Fuera de la Red Búsqueda"/>
    <x v="2"/>
    <s v="Venta"/>
    <x v="3"/>
    <s v="Recoleta"/>
  </r>
  <r>
    <d v="2025-11-19T00:00:00"/>
    <x v="1"/>
    <x v="7"/>
    <s v="CHO6967932"/>
    <x v="0"/>
    <s v="Muy linda Casa refaccionada a nuevo  - Santa Clara, Villanueva"/>
    <s v="Realizado"/>
    <s v="AR ZonaProp"/>
    <n v="290000"/>
    <x v="423"/>
    <x v="1"/>
    <s v="Dólares"/>
    <s v="Dólares"/>
    <s v="Casa en Venta - 5 AMB en Santa Clara, Villanueva"/>
    <s v="Argentina | G.B.A. Zona Norte | Tigre | Benavidez"/>
    <x v="2"/>
    <n v="1"/>
    <s v="Puerto Norte"/>
    <s v="Compartida Fuera de la Red Búsqueda"/>
    <x v="2"/>
    <s v="Venta"/>
    <x v="6"/>
    <s v="Nordelta"/>
  </r>
  <r>
    <d v="2026-03-17T00:00:00"/>
    <x v="0"/>
    <x v="9"/>
    <s v="CHO7302242"/>
    <x v="0"/>
    <s v="Casa en VENTA CON RENTA - Barrio San Francisco - Villanueva"/>
    <s v="Realizado"/>
    <s v="AR ZonaProp"/>
    <n v="309000"/>
    <x v="424"/>
    <x v="1"/>
    <s v="Dólares"/>
    <s v="Dólares"/>
    <s v="APTA CREDITO - Casa en VENTA  Barrio San Francisco - Villanueva"/>
    <s v="Argentina | G.B.A. Zona Norte | Tigre | Countries/B.Cerrado (Tigre) | Villanueva | San Francisco"/>
    <x v="2"/>
    <n v="1"/>
    <s v="Puerto Norte"/>
    <s v="Compartida Fuera de la Red Búsqueda"/>
    <x v="2"/>
    <s v="Venta"/>
    <x v="6"/>
    <s v="Nordelta"/>
  </r>
  <r>
    <d v="2025-04-16T00:00:00"/>
    <x v="1"/>
    <x v="3"/>
    <s v="CAP6670184"/>
    <x v="0"/>
    <s v="VENTA DEPARTAMENTO 2 AMBIENTES - GARAGE Y BAULERA - AMENITIES - PUERTO MADERO"/>
    <s v="Realizado"/>
    <s v="AR ZonaProp"/>
    <n v="282900"/>
    <x v="424"/>
    <x v="1"/>
    <s v="Dólares"/>
    <s v="Dólares"/>
    <s v="Azucena Villaflor  al 300"/>
    <s v="Argentina | Capital Federal | Puerto Madero "/>
    <x v="0"/>
    <n v="2"/>
    <s v="Seniority Plus"/>
    <s v="Propia (Único Asesor)"/>
    <x v="1"/>
    <s v="Venta"/>
    <x v="3"/>
    <s v="Palermo"/>
  </r>
  <r>
    <d v="2025-06-18T00:00:00"/>
    <x v="1"/>
    <x v="4"/>
    <s v="Villalobos lote 606"/>
    <x v="0"/>
    <s v="casa venta villalobos"/>
    <s v="Realizado"/>
    <s v="AR ZonaProp"/>
    <n v="315000"/>
    <x v="424"/>
    <x v="1"/>
    <s v="Dólares"/>
    <s v="Dólares"/>
    <m/>
    <s v="Argentina | G.B.A. Zona Sur | Berazategui | Guillermo E Hudson"/>
    <x v="2"/>
    <n v="2"/>
    <s v="Livello"/>
    <s v="Propia (Único Asesor)"/>
    <x v="1"/>
    <s v="Venta"/>
    <x v="3"/>
    <s v="Palermo"/>
  </r>
  <r>
    <d v="2025-08-20T00:00:00"/>
    <x v="1"/>
    <x v="5"/>
    <s v="CAP6857435"/>
    <x v="0"/>
    <s v="venta de departamento 4 ambientes en caballito"/>
    <s v="Realizado"/>
    <s v="AR ZonaProp"/>
    <n v="290000"/>
    <x v="424"/>
    <x v="1"/>
    <s v="Dólares"/>
    <s v="Dólares"/>
    <s v="valle al 800"/>
    <s v="Argentina | Capital Federal | Caballito | Caballito Sur"/>
    <x v="0"/>
    <n v="2"/>
    <s v="Grupo Elite"/>
    <s v="Propia (Único Asesor)"/>
    <x v="1"/>
    <s v="Venta"/>
    <x v="3"/>
    <s v="Puerto Madero"/>
  </r>
  <r>
    <d v="2025-04-30T00:00:00"/>
    <x v="1"/>
    <x v="3"/>
    <s v="CBU60233 AP6592896"/>
    <x v="0"/>
    <s v="Venta Depto Tres Ambientes vista al lago a 5 minutos del centro"/>
    <s v="Realizado"/>
    <s v="Salón"/>
    <n v="276124"/>
    <x v="425"/>
    <x v="1"/>
    <s v="Dólares"/>
    <s v="Dólares"/>
    <s v="Avenida Pioneros, San Carlos de Bariloche"/>
    <s v="Argentina | Rio Negro | Bariloche | San Carlos De Bariloche | Centro"/>
    <x v="0"/>
    <n v="2"/>
    <s v="Patagonia Lakes BRC"/>
    <s v="Propia (Único Asesor)"/>
    <x v="1"/>
    <s v="Venta"/>
    <x v="7"/>
    <s v="Bariloche"/>
  </r>
  <r>
    <d v="2025-09-24T00:00:00"/>
    <x v="1"/>
    <x v="6"/>
    <s v="CHO7063530"/>
    <x v="0"/>
    <s v="Casa en Venta - a Estrenar en San Matías - Área 3"/>
    <s v="Realizado"/>
    <s v="AR ZonaProp"/>
    <n v="288000"/>
    <x v="426"/>
    <x v="1"/>
    <s v="Dólares"/>
    <s v="Dólares"/>
    <s v="Casa en Venta - a Estrenar en San Matías - Área 3"/>
    <s v="Argentina | G.B.A. Zona Norte | Escobar | Countries/B.Cerrado (Escobar) | San Matias"/>
    <x v="2"/>
    <n v="1"/>
    <s v="Puerto Norte"/>
    <s v="Compartida Fuera de la Red Búsqueda"/>
    <x v="2"/>
    <s v="Venta"/>
    <x v="6"/>
    <s v="Nordelta"/>
  </r>
  <r>
    <d v="2026-01-05T00:00:00"/>
    <x v="0"/>
    <x v="10"/>
    <s v="CHO7112702"/>
    <x v="0"/>
    <s v="Casa en  Venta"/>
    <s v="Realizado"/>
    <s v="AR ZonaProp"/>
    <n v="309000"/>
    <x v="426"/>
    <x v="1"/>
    <s v="Dólares"/>
    <s v="Dólares"/>
    <s v="Eduardo costas al 2800"/>
    <s v="Argentina | G.B.A. Zona Norte | San Isidro | Martinez | Mart.-Vias/Libert."/>
    <x v="2"/>
    <n v="2"/>
    <s v="Quality"/>
    <s v="Propia (Único Asesor)"/>
    <x v="1"/>
    <s v="Venta"/>
    <x v="6"/>
    <s v="Escobar"/>
  </r>
  <r>
    <d v="2026-01-15T00:00:00"/>
    <x v="0"/>
    <x v="10"/>
    <s v="VHO6339418"/>
    <x v="0"/>
    <s v="Casa en venta Canton Golf en tranquilo cul de sac  5 amb   piscina"/>
    <s v="Realizado"/>
    <s v="AR ZonaProp"/>
    <n v="285000"/>
    <x v="426"/>
    <x v="1"/>
    <s v="Dólares"/>
    <s v="Dólares"/>
    <s v="Libertad al 300"/>
    <s v="Argentina | G.B.A. Zona Norte | Escobar | Countries/B.Cerrado (Escobar) | El Canton - Golf"/>
    <x v="2"/>
    <n v="2"/>
    <s v="Puerto Norte"/>
    <s v="Propia (Único Asesor)"/>
    <x v="1"/>
    <s v="Venta"/>
    <x v="6"/>
    <s v="Nordelta"/>
  </r>
  <r>
    <d v="2026-02-12T00:00:00"/>
    <x v="0"/>
    <x v="0"/>
    <s v="CHO7522654"/>
    <x v="0"/>
    <s v="VENTA- Casa en Rocio del Talar - Pacheco"/>
    <s v="Realizado"/>
    <s v="AR ZonaProp"/>
    <n v="285000"/>
    <x v="426"/>
    <x v="1"/>
    <s v="Dólares"/>
    <s v="Dólares"/>
    <s v="VENTA- Casa en Rocio del Talar - Pacheco - Tigre"/>
    <s v="Argentina | G.B.A. Zona Norte | Tigre | Countries/B.Cerrado (Tigre) | Rocio Del Talar"/>
    <x v="2"/>
    <n v="2"/>
    <s v="Puerto Norte"/>
    <s v="Propia (Único Asesor)"/>
    <x v="1"/>
    <s v="Venta"/>
    <x v="6"/>
    <s v="Nordelta"/>
  </r>
  <r>
    <d v="2025-07-17T00:00:00"/>
    <x v="1"/>
    <x v="1"/>
    <s v="VHO6864687"/>
    <x v="0"/>
    <s v="APTO CREDITO - Casa en venta - 9 ambientes - piscina - Los Olmos, Los Naranjos, Ingeniero Maschwitz"/>
    <s v="Realizado"/>
    <s v="AR ZonaProp"/>
    <n v="275000"/>
    <x v="427"/>
    <x v="1"/>
    <s v="Dólares"/>
    <s v="Dólares"/>
    <s v="APTO CREDITO - Casa en venta - 9 ambientes - piscina - Los Olmos, Los Naranjos, Ingeniero Maschwitz"/>
    <s v="Argentina | G.B.A. Zona Norte | Escobar | Ingeniero Maschwitz"/>
    <x v="2"/>
    <n v="2"/>
    <s v="Puerto Norte"/>
    <s v="Compartida en Oficina (Dos Asesores)"/>
    <x v="1"/>
    <s v="Venta"/>
    <x v="6"/>
    <s v="Nordelta"/>
  </r>
  <r>
    <d v="2025-09-15T00:00:00"/>
    <x v="1"/>
    <x v="6"/>
    <s v="Casa Vicente Gil"/>
    <x v="0"/>
    <s v="Casa en Vicente Gil vendida por Ros a Clientes Americanos"/>
    <s v="Realizado"/>
    <s v="Conocido"/>
    <n v="280000"/>
    <x v="427"/>
    <x v="1"/>
    <s v="Dólares"/>
    <s v="Dólares"/>
    <s v="Vicente Gil s/n"/>
    <s v="Argentina | Mendoza | Capital | Mendoza | Quinta Sección"/>
    <x v="2"/>
    <n v="1"/>
    <s v="Cuyo Real"/>
    <s v="Compartida Fuera de la Red Búsqueda"/>
    <x v="2"/>
    <s v="Venta"/>
    <x v="2"/>
    <s v="Capital Mendoza"/>
  </r>
  <r>
    <d v="2025-12-04T00:00:00"/>
    <x v="1"/>
    <x v="8"/>
    <s v="N/C - ARIAS 3188"/>
    <x v="0"/>
    <s v="VENTA DPTO 3 AMBIENTES "/>
    <s v="Realizado"/>
    <s v="AR ZonaProp"/>
    <n v="280000"/>
    <x v="427"/>
    <x v="1"/>
    <s v="Dólares"/>
    <s v="Dólares"/>
    <s v="ARIAS 3188"/>
    <s v="Argentina | Capital Federal | Saavedra "/>
    <x v="0"/>
    <n v="1"/>
    <s v="Destino II"/>
    <s v="Compartida Fuera de la Red Búsqueda"/>
    <x v="2"/>
    <s v="Venta"/>
    <x v="3"/>
    <s v="Recoleta"/>
  </r>
  <r>
    <d v="2025-12-11T00:00:00"/>
    <x v="1"/>
    <x v="8"/>
    <n v="10634"/>
    <x v="0"/>
    <s v="Pje Del Signo 4042 "/>
    <s v="Realizado"/>
    <s v="AR ZonaProp"/>
    <n v="280000"/>
    <x v="427"/>
    <x v="1"/>
    <s v="Dólares"/>
    <s v="Dólares"/>
    <s v="Pje Del Signo 4042 "/>
    <s v="Argentina | Capital Federal | Palermo "/>
    <x v="0"/>
    <n v="1"/>
    <s v="Seniority"/>
    <s v="Compartida Fuera de la Red Búsqueda"/>
    <x v="2"/>
    <s v="Venta"/>
    <x v="3"/>
    <s v="Barrio Parque"/>
  </r>
  <r>
    <d v="2025-03-28T00:00:00"/>
    <x v="1"/>
    <x v="9"/>
    <s v="CAP6655965"/>
    <x v="0"/>
    <s v="Venta Departamento 3 ambientes en Villa Devoto"/>
    <s v="Realizado"/>
    <s v="AR ZonaProp"/>
    <n v="265000"/>
    <x v="427"/>
    <x v="1"/>
    <s v="Dólares"/>
    <s v="Dólares"/>
    <s v="Cuenca  al 3600"/>
    <s v="Argentina | Capital Federal | Villa Devoto "/>
    <x v="0"/>
    <n v="2"/>
    <s v="Seniority"/>
    <s v="Compartida Fuera de la Red Captación Propia"/>
    <x v="0"/>
    <s v="Venta"/>
    <x v="3"/>
    <s v="Barrio Parque"/>
  </r>
  <r>
    <d v="2025-05-06T00:00:00"/>
    <x v="1"/>
    <x v="2"/>
    <s v="CAP6425498"/>
    <x v="0"/>
    <s v="DEPARTAMENTO EN RECOLETA DE 4 AMBIENTES MAS DEPENDENCIA DE SERVICIO"/>
    <s v="Realizado"/>
    <s v="AR ZonaProp"/>
    <n v="285000"/>
    <x v="427"/>
    <x v="1"/>
    <s v="Dólares"/>
    <s v="Dólares"/>
    <s v="Beruti al 2800"/>
    <s v="Argentina | Capital Federal | Recoleta "/>
    <x v="0"/>
    <n v="2"/>
    <s v="Seniority"/>
    <s v="Compartida Fuera de la Red Captación Propia"/>
    <x v="0"/>
    <s v="Venta"/>
    <x v="3"/>
    <s v="Barrio Parque"/>
  </r>
  <r>
    <d v="2025-08-29T00:00:00"/>
    <x v="1"/>
    <x v="5"/>
    <s v="CAP7032584"/>
    <x v="0"/>
    <s v="Departamento 4 ambientes con cochera en Colegiales  "/>
    <s v="Realizado"/>
    <s v="AR ZonaProp"/>
    <n v="285000"/>
    <x v="427"/>
    <x v="1"/>
    <s v="Dólares"/>
    <s v="Dólares"/>
    <s v="Virrey Olaguer y Feliú  al 3100"/>
    <s v="Argentina | Capital Federal | Colegiales "/>
    <x v="0"/>
    <n v="2"/>
    <s v="Ser"/>
    <s v="Compartida Fuera de la Red Captación Propia"/>
    <x v="0"/>
    <s v="Venta"/>
    <x v="3"/>
    <s v="Belgrano"/>
  </r>
  <r>
    <d v="2025-04-22T00:00:00"/>
    <x v="1"/>
    <x v="3"/>
    <s v="CAP6637315"/>
    <x v="0"/>
    <s v="Increible Dpto. 5 ambientes con escritorio y dependencia en Recoleta con amplios balcones."/>
    <s v="Realizado"/>
    <s v="AR ZonaProp"/>
    <n v="299000"/>
    <x v="427"/>
    <x v="1"/>
    <s v="Dólares"/>
    <s v="Dólares"/>
    <s v="Arenales  al 2300"/>
    <s v="Argentina | Capital Federal | Recoleta "/>
    <x v="0"/>
    <n v="2"/>
    <s v="Puerto Norte"/>
    <s v="Propia (Único Asesor)"/>
    <x v="1"/>
    <s v="Venta"/>
    <x v="6"/>
    <s v="Nordelta"/>
  </r>
  <r>
    <d v="2025-05-22T00:00:00"/>
    <x v="1"/>
    <x v="2"/>
    <s v="CHO5724177"/>
    <x v="0"/>
    <s v="Casa en  venta 4amb +casa 2amb; jardín, patio y cochera p/vs autos"/>
    <s v="Realizado"/>
    <s v="AR ZonaProp"/>
    <n v="295000"/>
    <x v="427"/>
    <x v="1"/>
    <s v="Dólares"/>
    <s v="Dólares"/>
    <s v="Avellaneda al 500"/>
    <s v="Argentina | G.B.A. Zona Norte | San Isidro "/>
    <x v="2"/>
    <n v="2"/>
    <s v="Lion Team"/>
    <s v="Propia (Único Asesor)"/>
    <x v="1"/>
    <s v="Venta"/>
    <x v="3"/>
    <s v="Villa Urquiza"/>
  </r>
  <r>
    <d v="2025-07-15T00:00:00"/>
    <x v="1"/>
    <x v="1"/>
    <s v="CHO7151732"/>
    <x v="0"/>
    <s v="Casa a la laguna  en  Barrio San Francisco, Villanueva"/>
    <s v="Realizado"/>
    <s v="AR ZonaProp"/>
    <n v="495000"/>
    <x v="427"/>
    <x v="1"/>
    <s v="Dólares"/>
    <s v="Dólares"/>
    <s v="San Francisco, Villanueva, Tigre"/>
    <s v="Argentina | G.B.A. Zona Norte | Tigre | Countries/B.Cerrado (Tigre) | Villanueva | San Francisco"/>
    <x v="2"/>
    <n v="2"/>
    <s v="Puerto Norte"/>
    <s v="Propia (Único Asesor)"/>
    <x v="1"/>
    <s v="Venta"/>
    <x v="6"/>
    <s v="Nordelta"/>
  </r>
  <r>
    <d v="2025-08-29T00:00:00"/>
    <x v="1"/>
    <x v="5"/>
    <s v="CHO7117745"/>
    <x v="0"/>
    <s v="Casa en venta en Paternal con local independiente"/>
    <s v="Realizado"/>
    <s v="AR ZonaProp"/>
    <n v="299000"/>
    <x v="427"/>
    <x v="1"/>
    <s v="Dólares"/>
    <s v="Dólares"/>
    <s v="Terrero "/>
    <s v="Argentina | Capital Federal | Paternal "/>
    <x v="2"/>
    <n v="2"/>
    <s v="Grupo Elite"/>
    <s v="Propia (Único Asesor)"/>
    <x v="1"/>
    <s v="Venta"/>
    <x v="3"/>
    <s v="Puerto Madero"/>
  </r>
  <r>
    <d v="2025-10-27T00:00:00"/>
    <x v="1"/>
    <x v="11"/>
    <s v="CHO6931906"/>
    <x v="0"/>
    <s v="Casa lote propio en venta con terraza patio cochera parrilla en Parque Chacabuco"/>
    <s v="Realizado"/>
    <s v="AR ZonaProp"/>
    <n v="299000"/>
    <x v="427"/>
    <x v="1"/>
    <s v="Dólares"/>
    <s v="Dólares"/>
    <s v="Tejedor al 800"/>
    <s v="Argentina | Capital Federal | Parque Chacabuco "/>
    <x v="2"/>
    <n v="2"/>
    <s v="Grupo Elite"/>
    <s v="Propia (Único Asesor)"/>
    <x v="1"/>
    <s v="Venta"/>
    <x v="3"/>
    <s v="Puerto Madero"/>
  </r>
  <r>
    <d v="2026-01-20T00:00:00"/>
    <x v="0"/>
    <x v="10"/>
    <s v="CAP7547179"/>
    <x v="0"/>
    <s v="Departamento - Belgrano - Venta - Apto Credito"/>
    <s v="Realizado"/>
    <s v="AR ZonaProp"/>
    <n v="299000"/>
    <x v="427"/>
    <x v="1"/>
    <s v="Dólares"/>
    <s v="Dólares"/>
    <s v="Cespedes al 2400"/>
    <s v="Argentina | Capital Federal | Belgrano "/>
    <x v="0"/>
    <n v="2"/>
    <s v="Lion Team"/>
    <s v="Propia (Único Asesor)"/>
    <x v="1"/>
    <s v="Venta"/>
    <x v="3"/>
    <s v="Villa Urquiza"/>
  </r>
  <r>
    <d v="2025-01-01T00:00:00"/>
    <x v="1"/>
    <x v="10"/>
    <s v="CLA6158186"/>
    <x v="0"/>
    <s v="¡Terreno para desarrollar en pleno Florida! ¡701 mts construíbles!"/>
    <s v="Realizado"/>
    <s v="AR MercadoLibre"/>
    <n v="320000"/>
    <x v="428"/>
    <x v="1"/>
    <s v="Dólares"/>
    <s v="Dólares"/>
    <s v="Laprida al 2000"/>
    <s v="Argentina | G.B.A. Zona Norte | Vicente López | Florida"/>
    <x v="1"/>
    <n v="2"/>
    <s v="Concept"/>
    <s v="Propia (Único Asesor)"/>
    <x v="1"/>
    <s v="Venta"/>
    <x v="6"/>
    <s v="Tigre"/>
  </r>
  <r>
    <d v="2025-07-14T00:00:00"/>
    <x v="1"/>
    <x v="1"/>
    <s v="CHO6661813"/>
    <x v="0"/>
    <s v="Casa a Estrenar en VENTA 4 DORMITORIOS - MIRALAGOS  1 LOTE 68"/>
    <s v="Realizado"/>
    <s v="AR ZonaProp"/>
    <n v="350000"/>
    <x v="429"/>
    <x v="1"/>
    <s v="Dólares"/>
    <s v="Dólares"/>
    <s v="Casa A ESTRENAR / MIRALAGOS /  VENTA / APTO BANCO"/>
    <s v="Argentina | G.B.A. Zona Sur | La Plata | Countries/B.Cerrado (La Plata) | Club Miralagos"/>
    <x v="2"/>
    <n v="1"/>
    <s v="Golden Team"/>
    <s v="Compartida Fuera de la Red Búsqueda"/>
    <x v="2"/>
    <s v="Venta"/>
    <x v="0"/>
    <s v="La Plata"/>
  </r>
  <r>
    <d v="2026-02-23T00:00:00"/>
    <x v="0"/>
    <x v="0"/>
    <m/>
    <x v="0"/>
    <s v="AV. SANTA FE 3100 - SOL LORENZO - BAIGUN"/>
    <s v="Realizado"/>
    <s v="AR ZonaProp"/>
    <n v="285000"/>
    <x v="429"/>
    <x v="1"/>
    <s v="Dólares"/>
    <s v="Dólares"/>
    <s v="AV. SANTA FE 3100"/>
    <s v="Argentina | Capital Federal | Recoleta "/>
    <x v="0"/>
    <n v="1"/>
    <s v="Destino"/>
    <s v="Compartida Fuera de la Red Búsqueda"/>
    <x v="2"/>
    <s v="Venta"/>
    <x v="3"/>
    <s v="Recoleta"/>
  </r>
  <r>
    <d v="2025-03-27T00:00:00"/>
    <x v="1"/>
    <x v="9"/>
    <s v="AL RIO "/>
    <x v="0"/>
    <s v="DEPARTAMENTO AL RIO "/>
    <s v="Realizado"/>
    <s v="AR ZonaProp"/>
    <n v="285000"/>
    <x v="429"/>
    <x v="1"/>
    <s v="Dólares"/>
    <s v="Dólares"/>
    <m/>
    <s v="Argentina | G.B.A. Zona Norte | Vicente López "/>
    <x v="0"/>
    <n v="2"/>
    <s v="Puerto Norte"/>
    <s v="Compartida Fuera de la Red Captación Propia"/>
    <x v="0"/>
    <s v="Venta"/>
    <x v="6"/>
    <s v="Nordelta"/>
  </r>
  <r>
    <d v="2025-03-26T00:00:00"/>
    <x v="1"/>
    <x v="9"/>
    <s v="Av. Federico Lacroze 2375"/>
    <x v="0"/>
    <s v="Av. Federico Lacroze 2375"/>
    <s v="Realizado"/>
    <s v="AR ZonaProp"/>
    <n v="285000"/>
    <x v="429"/>
    <x v="1"/>
    <s v="Dólares"/>
    <s v="Dólares"/>
    <s v="Av. Federico Lacroze 2375"/>
    <s v="Argentina | Capital Federal | Capital Federal "/>
    <x v="0"/>
    <n v="2"/>
    <s v="Lion Team"/>
    <s v="Propia (Único Asesor)"/>
    <x v="1"/>
    <s v="Venta"/>
    <x v="3"/>
    <s v="Villa Urquiza"/>
  </r>
  <r>
    <d v="2025-06-17T00:00:00"/>
    <x v="1"/>
    <x v="4"/>
    <s v="CAP6742712"/>
    <x v="0"/>
    <s v="Departamento en  venta de 3 amb con balcon "/>
    <s v="Realizado"/>
    <s v="AR ZonaProp"/>
    <n v="250000"/>
    <x v="429"/>
    <x v="1"/>
    <s v="Dólares"/>
    <s v="Dólares"/>
    <s v="Ciudad de la Paz  al 1000"/>
    <s v="Argentina | Capital Federal | Colegiales "/>
    <x v="0"/>
    <n v="2"/>
    <s v="Puerto Norte"/>
    <s v="Propia (Único Asesor)"/>
    <x v="1"/>
    <s v="Venta"/>
    <x v="6"/>
    <s v="Nordelta"/>
  </r>
  <r>
    <d v="2025-11-20T00:00:00"/>
    <x v="1"/>
    <x v="7"/>
    <s v="CHO7335053"/>
    <x v="0"/>
    <s v="VENTA CASA 5 AMBIENTES con GARAGE en Versalles"/>
    <s v="Realizado"/>
    <s v="AR ZonaProp"/>
    <n v="300000"/>
    <x v="429"/>
    <x v="1"/>
    <s v="Dólares"/>
    <s v="Dólares"/>
    <s v="Cuzco 700"/>
    <s v="Argentina | Capital Federal | Versalles "/>
    <x v="2"/>
    <n v="2"/>
    <s v="Seniority"/>
    <s v="Propia (Único Asesor)"/>
    <x v="1"/>
    <s v="Venta"/>
    <x v="3"/>
    <s v="Barrio Parque"/>
  </r>
  <r>
    <d v="2026-03-02T00:00:00"/>
    <x v="0"/>
    <x v="9"/>
    <s v="CHO7511532"/>
    <x v="0"/>
    <s v="Venta Casa en Parque El Faldeo"/>
    <s v="Realizado"/>
    <s v="Teléfono"/>
    <n v="295000"/>
    <x v="430"/>
    <x v="1"/>
    <s v="Dólares"/>
    <s v="Dólares"/>
    <s v="Parque El Faldeo, San Carlos de Bariloche"/>
    <s v="Argentina | Rio Negro | Bariloche | San Carlos De Bariloche | Parque El Faldeo"/>
    <x v="2"/>
    <n v="2"/>
    <s v="Patagonia Lakes BRC"/>
    <s v="Compartida en Oficina (Dos Asesores)"/>
    <x v="1"/>
    <s v="Venta"/>
    <x v="7"/>
    <s v="Bariloche"/>
  </r>
  <r>
    <d v="2026-03-19T00:00:00"/>
    <x v="0"/>
    <x v="9"/>
    <s v="CHO7831090"/>
    <x v="0"/>
    <s v="VENTA - Casa en San Matias Area 3"/>
    <s v="Realizado"/>
    <s v="AR ZonaProp"/>
    <n v="289000"/>
    <x v="430"/>
    <x v="1"/>
    <s v="Dólares"/>
    <s v="Dólares"/>
    <s v="Los Arenales al 1100"/>
    <s v="Argentina | G.B.A. Zona Norte | Escobar | Countries/B.Cerrado (Escobar) | San Matias"/>
    <x v="2"/>
    <n v="1"/>
    <s v="Puerto Norte"/>
    <s v="Compartida Fuera de la Red Búsqueda"/>
    <x v="2"/>
    <s v="Venta"/>
    <x v="6"/>
    <s v="Nordelta"/>
  </r>
  <r>
    <d v="2026-03-17T00:00:00"/>
    <x v="0"/>
    <x v="9"/>
    <s v="FLOREAN PAMPA "/>
    <x v="0"/>
    <s v="DEPARTAMENTO FLOREAN PAMPA"/>
    <s v="Realizado"/>
    <s v="AR ZonaProp"/>
    <n v="402500"/>
    <x v="431"/>
    <x v="1"/>
    <s v="Dólares"/>
    <s v="Dólares"/>
    <s v="FLOREAN PAMPA - LA PAMPA 2975"/>
    <s v="Argentina | Capital Federal | Belgrano | Belgrano R"/>
    <x v="0"/>
    <n v="1"/>
    <s v="Puerto Norte"/>
    <s v="Compartida Fuera de la Red Búsqueda"/>
    <x v="2"/>
    <s v="Venta"/>
    <x v="6"/>
    <s v="Nordelta"/>
  </r>
  <r>
    <d v="2025-04-30T00:00:00"/>
    <x v="1"/>
    <x v="3"/>
    <s v="CAP6570787"/>
    <x v="0"/>
    <s v="VENTA DPTO 4 AMBS RECICLADO EN CABALLITO CON BALCON CORRIDO, TODO LUZ"/>
    <s v="Realizado"/>
    <s v="AR ZonaProp"/>
    <n v="299500"/>
    <x v="432"/>
    <x v="1"/>
    <s v="Dólares"/>
    <s v="Dólares"/>
    <s v="av. Rivadavia  al 5200"/>
    <s v="Argentina | Capital Federal | Caballito "/>
    <x v="0"/>
    <n v="2"/>
    <s v="Seniority"/>
    <s v="Propia (Único Asesor)"/>
    <x v="1"/>
    <s v="Venta"/>
    <x v="3"/>
    <s v="Barrio Parque"/>
  </r>
  <r>
    <d v="2025-01-25T00:00:00"/>
    <x v="1"/>
    <x v="10"/>
    <s v="CPH5961166"/>
    <x v="0"/>
    <s v="Espectacular PH 5 Ambientes Con Patio/Gran Terraza"/>
    <s v="Realizado"/>
    <s v="AR ZonaProp"/>
    <n v="328000"/>
    <x v="433"/>
    <x v="1"/>
    <s v="Dólares"/>
    <s v="Dólares"/>
    <s v="Honduras 4000"/>
    <s v="Argentina | Capital Federal | Palermo "/>
    <x v="3"/>
    <n v="2"/>
    <s v="Destino"/>
    <s v="Propia (Único Asesor)"/>
    <x v="1"/>
    <s v="Venta"/>
    <x v="3"/>
    <s v="Recoleta"/>
  </r>
  <r>
    <d v="2025-07-29T00:00:00"/>
    <x v="1"/>
    <x v="1"/>
    <s v="CAP6871584"/>
    <x v="0"/>
    <s v="Departamento 3 Ambientes con escritorio en Palermo"/>
    <s v="Realizado"/>
    <s v="AR ZonaProp"/>
    <n v="310000"/>
    <x v="434"/>
    <x v="1"/>
    <s v="Dólares"/>
    <s v="Dólares"/>
    <s v="Paraguay al 4100"/>
    <s v="Argentina | Capital Federal | Palermo | Botanico"/>
    <x v="0"/>
    <n v="2"/>
    <s v="Destino II"/>
    <s v="Compartida en Oficina (Dos Asesores)"/>
    <x v="1"/>
    <s v="Venta"/>
    <x v="3"/>
    <s v="Recoleta"/>
  </r>
  <r>
    <d v="2025-05-06T00:00:00"/>
    <x v="1"/>
    <x v="2"/>
    <n v="10333"/>
    <x v="0"/>
    <s v="callao 1330"/>
    <s v="Realizado"/>
    <s v="AR ZonaProp"/>
    <n v="0"/>
    <x v="434"/>
    <x v="1"/>
    <s v="Dólares"/>
    <s v="Dólares"/>
    <m/>
    <s v="Argentina | Capital Federal | Recoleta "/>
    <x v="0"/>
    <n v="1"/>
    <s v="Seniority"/>
    <s v="Compartida Fuera de la Red Búsqueda"/>
    <x v="2"/>
    <s v="Venta"/>
    <x v="3"/>
    <s v="Barrio Parque"/>
  </r>
  <r>
    <d v="2025-06-27T00:00:00"/>
    <x v="1"/>
    <x v="4"/>
    <n v="10429"/>
    <x v="0"/>
    <s v="quintana 40 "/>
    <s v="Realizado"/>
    <s v="AR ZonaProp"/>
    <n v="0"/>
    <x v="434"/>
    <x v="1"/>
    <s v="Dólares"/>
    <s v="Dólares"/>
    <m/>
    <s v="Argentina | Capital Federal | Recoleta "/>
    <x v="0"/>
    <n v="1"/>
    <s v="Seniority"/>
    <s v="Compartida Fuera de la Red Búsqueda"/>
    <x v="2"/>
    <s v="Venta"/>
    <x v="3"/>
    <s v="Barrio Parque"/>
  </r>
  <r>
    <d v="2025-07-11T00:00:00"/>
    <x v="1"/>
    <x v="1"/>
    <s v="CAP6106756"/>
    <x v="0"/>
    <s v="Venta Espectacular Duplex 3 ambientes en complejo MOCA Barracas"/>
    <s v="Realizado"/>
    <s v="AR ZonaProp"/>
    <n v="298000"/>
    <x v="434"/>
    <x v="1"/>
    <s v="Dólares"/>
    <s v="Dólares"/>
    <s v="Av. Montes de Oca al 200"/>
    <s v="Argentina | Capital Federal | Barracas "/>
    <x v="0"/>
    <n v="2"/>
    <s v="Seniority"/>
    <s v="Compartida Fuera de la Red Captación Propia"/>
    <x v="0"/>
    <s v="Venta"/>
    <x v="3"/>
    <s v="Barrio Parque"/>
  </r>
  <r>
    <d v="2025-09-25T00:00:00"/>
    <x v="1"/>
    <x v="6"/>
    <s v="CHO6961982"/>
    <x v="0"/>
    <s v="Casa en  venta San Sebastian Area 1"/>
    <s v="Realizado"/>
    <s v="Conocido"/>
    <n v="189000"/>
    <x v="434"/>
    <x v="1"/>
    <s v="Dólares"/>
    <s v="Dólares"/>
    <s v="Roque Petrochi al 5300"/>
    <s v="Argentina | G.B.A. Zona Norte | Pilar | Countries/B.Cerrado (Pilar) | San Sebastian"/>
    <x v="2"/>
    <n v="2"/>
    <s v="Haka"/>
    <s v="Compartida Fuera de la Red Captación Propia"/>
    <x v="0"/>
    <s v="Venta"/>
    <x v="3"/>
    <s v="Núñez"/>
  </r>
  <r>
    <d v="2025-03-28T00:00:00"/>
    <x v="1"/>
    <x v="9"/>
    <s v="CBU60233 AP6592948"/>
    <x v="1"/>
    <s v="VENTA Depto Monoambiente KM2"/>
    <s v="Realizado"/>
    <s v="Salón"/>
    <n v="292599"/>
    <x v="435"/>
    <x v="1"/>
    <s v="Dólares"/>
    <s v="Dólares"/>
    <s v="Avenida Pioneros  al 2000"/>
    <s v="Argentina | Rio Negro | Bariloche | San Carlos De Bariloche | Centro"/>
    <x v="0"/>
    <n v="2"/>
    <s v="Patagonia Lakes BRC"/>
    <s v="Compartida en Oficina (Dos Asesores)"/>
    <x v="1"/>
    <s v="Venta"/>
    <x v="7"/>
    <s v="Bariloche"/>
  </r>
  <r>
    <d v="2026-02-12T00:00:00"/>
    <x v="0"/>
    <x v="0"/>
    <s v="VHO5084776"/>
    <x v="0"/>
    <s v="Casa en Venta - 5 AMB - Acacias - Puertos del Lago"/>
    <s v="Realizado"/>
    <s v="AR ZonaProp"/>
    <n v="319000"/>
    <x v="436"/>
    <x v="1"/>
    <s v="Dólares"/>
    <s v="Dólares"/>
    <s v="PUERTOS DEL LAGO ACACIAS"/>
    <s v="Argentina | G.B.A. Zona Norte | Escobar | Countries/B.Cerrado (Escobar) | Puertos del Lago | Acacias"/>
    <x v="2"/>
    <n v="1"/>
    <s v="Puerto Norte"/>
    <s v="Compartida Fuera de la Red Búsqueda"/>
    <x v="2"/>
    <s v="Venta"/>
    <x v="6"/>
    <s v="Nordelta"/>
  </r>
  <r>
    <d v="2025-04-25T00:00:00"/>
    <x v="1"/>
    <x v="3"/>
    <s v="CAP6524299"/>
    <x v="0"/>
    <s v="Departamento en Caballito"/>
    <s v="Realizado"/>
    <s v="AR ZonaProp"/>
    <n v="310000"/>
    <x v="436"/>
    <x v="1"/>
    <s v="Dólares"/>
    <s v="Dólares"/>
    <s v="Beauchef al 200"/>
    <s v="Argentina | Capital Federal | Caballito "/>
    <x v="0"/>
    <n v="2"/>
    <s v="Lion Team"/>
    <s v="Propia (Único Asesor)"/>
    <x v="1"/>
    <s v="Venta"/>
    <x v="3"/>
    <s v="Villa Urquiza"/>
  </r>
  <r>
    <d v="2025-12-19T00:00:00"/>
    <x v="1"/>
    <x v="8"/>
    <n v="19122025"/>
    <x v="0"/>
    <s v="Reserva Venta Lucho y Remax Bustillo km13 Pajaros Azules "/>
    <s v="Realizado"/>
    <s v="Teléfono"/>
    <n v="295000"/>
    <x v="437"/>
    <x v="1"/>
    <s v="Dólares"/>
    <s v="Dólares"/>
    <m/>
    <s v="Argentina | Rio Negro | Bariloche "/>
    <x v="2"/>
    <n v="1"/>
    <s v="Patagonia Lakes BRC"/>
    <s v="(Interior) Compartida Fuera de la Red Búsqueda"/>
    <x v="2"/>
    <s v="Venta"/>
    <x v="7"/>
    <s v="Bariloche"/>
  </r>
  <r>
    <d v="2025-12-31T00:00:00"/>
    <x v="1"/>
    <x v="8"/>
    <s v="CBU39270 AP7599187"/>
    <x v="0"/>
    <s v="VENTA Departamento 80,47m2 Premium  vista y costa de lago UF704 Villa La Angostura"/>
    <s v="Realizado"/>
    <s v="AR ZonaProp"/>
    <n v="270000"/>
    <x v="437"/>
    <x v="1"/>
    <s v="Dólares"/>
    <s v="Dólares"/>
    <s v="Bv.  Quetrihue 338, Barrio Tres cerros, Villa La Angostura - Neuquén"/>
    <s v="Argentina | Neuquen | Villa La Angostura | Tres Cerros"/>
    <x v="0"/>
    <n v="2"/>
    <s v="Patagonia Lakes VLA"/>
    <s v="Compartida en Oficina (Dos Asesores)"/>
    <x v="1"/>
    <s v="Venta"/>
    <x v="1"/>
    <s v="Villa La Angostura"/>
  </r>
  <r>
    <d v="2026-01-15T00:00:00"/>
    <x v="0"/>
    <x v="10"/>
    <s v="CLA7016064"/>
    <x v="0"/>
    <s v="LOTE EN VENTA EN BALVANERA, HABILITADO Y FUNCIONANDO COMO HOTEL"/>
    <s v="Realizado"/>
    <s v="AR ZonaProp"/>
    <n v="350000"/>
    <x v="437"/>
    <x v="1"/>
    <s v="Dólares"/>
    <s v="Dólares"/>
    <s v="Alsina  al 2600"/>
    <s v="Argentina | Capital Federal | Balvanera "/>
    <x v="1"/>
    <n v="2"/>
    <s v="Destino"/>
    <s v="Compartida en Oficina (Dos Asesores)"/>
    <x v="1"/>
    <s v="Venta"/>
    <x v="3"/>
    <s v="Recoleta"/>
  </r>
  <r>
    <d v="2025-05-30T00:00:00"/>
    <x v="1"/>
    <x v="2"/>
    <s v="CHO7034649"/>
    <x v="0"/>
    <s v="Casa en  GONNET 14 y 490"/>
    <s v="Realizado"/>
    <s v="Conocido"/>
    <n v="295000"/>
    <x v="437"/>
    <x v="1"/>
    <s v="Dólares"/>
    <s v="Dólares"/>
    <s v="CASA EN GONNET 14 Y 490"/>
    <s v="Argentina | G.B.A. Zona Sur | La Plata | Manuel B Gonnet"/>
    <x v="2"/>
    <n v="1"/>
    <s v="Golden Team"/>
    <s v="Compartida Fuera de la Red Búsqueda"/>
    <x v="2"/>
    <s v="Venta"/>
    <x v="0"/>
    <s v="La Plata"/>
  </r>
  <r>
    <d v="2025-02-27T00:00:00"/>
    <x v="1"/>
    <x v="0"/>
    <s v="CAP6448965"/>
    <x v="0"/>
    <s v="Venta Depto en lo mejor de Palermo. Impecable 3 ambientes c/Dep. Serv. Cochera"/>
    <s v="Realizado"/>
    <s v="AR ZonaProp"/>
    <n v="305000"/>
    <x v="437"/>
    <x v="1"/>
    <s v="Dólares"/>
    <s v="Dólares"/>
    <s v="Cerviño al 3600"/>
    <s v="Argentina | Capital Federal | Palermo | Botanico"/>
    <x v="0"/>
    <n v="2"/>
    <s v="Ser"/>
    <s v="Compartida Fuera de la Red Captación Propia"/>
    <x v="0"/>
    <s v="Venta"/>
    <x v="3"/>
    <s v="Belgrano"/>
  </r>
  <r>
    <d v="2025-09-10T00:00:00"/>
    <x v="1"/>
    <x v="6"/>
    <s v="CAP6588299"/>
    <x v="0"/>
    <s v="Venta Departamento 3 Ambientes  con Balcón en Palermo, Botanico"/>
    <s v="Realizado"/>
    <s v="AR ZonaProp"/>
    <n v="298000"/>
    <x v="437"/>
    <x v="1"/>
    <s v="Dólares"/>
    <s v="Dólares"/>
    <s v="República Árabe Siria al 3200"/>
    <s v="Argentina | Capital Federal | Palermo | Botanico"/>
    <x v="0"/>
    <n v="2"/>
    <s v="Seniority Plus"/>
    <s v="Compartida Fuera de la Red Captación Propia"/>
    <x v="0"/>
    <s v="Venta"/>
    <x v="3"/>
    <s v="Palermo"/>
  </r>
  <r>
    <d v="2026-01-08T00:00:00"/>
    <x v="0"/>
    <x v="10"/>
    <s v="CHO7481969"/>
    <x v="0"/>
    <s v="Venta Casa 4 dormitorios en Villa Marina II"/>
    <s v="Realizado"/>
    <s v="AR ZonaProp"/>
    <n v="299000"/>
    <x v="437"/>
    <x v="1"/>
    <s v="Dólares"/>
    <s v="Dólares"/>
    <s v="Vila Marina II"/>
    <s v="Argentina | G.B.A. Zona Norte | Tigre | Countries/B.Cerrado (Tigre) | Vila Marina II"/>
    <x v="2"/>
    <n v="2"/>
    <s v="Seniority Plus"/>
    <s v="Compartida Fuera de la Red Captación Propia"/>
    <x v="0"/>
    <s v="Venta"/>
    <x v="3"/>
    <s v="Palermo"/>
  </r>
  <r>
    <d v="2025-06-13T00:00:00"/>
    <x v="1"/>
    <x v="4"/>
    <s v="Bouquet Pilar"/>
    <x v="2"/>
    <s v="Departamento 2 ambientes - Vista Central - Bouquet Pilar"/>
    <s v="Realizado"/>
    <s v="Conocido"/>
    <n v="310000"/>
    <x v="437"/>
    <x v="1"/>
    <s v="Dólares"/>
    <s v="Dólares"/>
    <m/>
    <s v="Argentina | G.B.A. Zona Norte | Pilar | Manuel Alberti | Bouquet"/>
    <x v="0"/>
    <n v="2"/>
    <s v="North Team"/>
    <s v="Master"/>
    <x v="1"/>
    <s v="Venta"/>
    <x v="6"/>
    <s v="Pilar"/>
  </r>
  <r>
    <d v="2025-08-11T00:00:00"/>
    <x v="1"/>
    <x v="5"/>
    <s v="CAP3743973"/>
    <x v="2"/>
    <s v="Venta Depto Premium UF102 en Pozo &quot;Casa Grande&quot; Bv. Quetrihue 338 Villa La Angostura - Costa de Lago"/>
    <s v="Realizado"/>
    <s v="Repetido"/>
    <n v="240000"/>
    <x v="437"/>
    <x v="1"/>
    <s v="Dólares"/>
    <s v="Dólares"/>
    <s v="Bv.  Quetrihue 338, Villa La Angostura"/>
    <s v="Argentina | Neuquen | Villa La Angostura | Tres Cerros"/>
    <x v="0"/>
    <n v="2"/>
    <s v="Patagonia Lakes VLA"/>
    <s v="Master"/>
    <x v="1"/>
    <s v="Venta"/>
    <x v="1"/>
    <s v="Villa La Angostura"/>
  </r>
  <r>
    <d v="2025-02-28T00:00:00"/>
    <x v="1"/>
    <x v="0"/>
    <s v="CPH5060465"/>
    <x v="0"/>
    <s v="Venta PH en Flores entrada independiente cochera"/>
    <s v="Realizado"/>
    <s v="AR ZonaProp"/>
    <n v="350000"/>
    <x v="437"/>
    <x v="1"/>
    <s v="Dólares"/>
    <s v="Dólares"/>
    <s v="Helguera al 800"/>
    <s v="Argentina | Capital Federal | Flores "/>
    <x v="4"/>
    <n v="2"/>
    <s v="Seniority"/>
    <s v="Propia (Único Asesor)"/>
    <x v="1"/>
    <s v="Venta"/>
    <x v="3"/>
    <s v="Barrio Parque"/>
  </r>
  <r>
    <d v="2026-01-16T00:00:00"/>
    <x v="0"/>
    <x v="10"/>
    <s v="CAP7135488"/>
    <x v="0"/>
    <s v="Departamento 4 ambientes con dependencia COCHERA y BAULERA en  Villa Urquiza R"/>
    <s v="Realizado"/>
    <s v="AR MercadoLibre"/>
    <n v="419900"/>
    <x v="438"/>
    <x v="1"/>
    <s v="Dólares"/>
    <s v="Dólares"/>
    <s v="Av Olazabal al 4400"/>
    <s v="Argentina | Capital Federal | Villa Urquiza "/>
    <x v="0"/>
    <n v="2"/>
    <s v="Lion Team"/>
    <s v="Propia (Único Asesor)"/>
    <x v="1"/>
    <s v="Venta"/>
    <x v="3"/>
    <s v="Villa Urquiza"/>
  </r>
  <r>
    <d v="2025-10-24T00:00:00"/>
    <x v="1"/>
    <x v="11"/>
    <n v="10508"/>
    <x v="0"/>
    <s v="Felipe Vallese 1353"/>
    <s v="Realizado"/>
    <s v="AR ZonaProp"/>
    <n v="298000"/>
    <x v="439"/>
    <x v="1"/>
    <s v="Dólares"/>
    <s v="Dólares"/>
    <s v="Felipe Vallese"/>
    <s v="Argentina | Capital Federal | Caballito "/>
    <x v="0"/>
    <n v="1"/>
    <s v="Seniority"/>
    <s v="Compartida Fuera de la Red Búsqueda"/>
    <x v="2"/>
    <s v="Venta"/>
    <x v="3"/>
    <s v="Barrio Parque"/>
  </r>
  <r>
    <d v="2025-05-19T00:00:00"/>
    <x v="1"/>
    <x v="2"/>
    <s v="VHO6684937"/>
    <x v="0"/>
    <s v="OPORTUNIDAD Venta casa 4 dormitorios a la laguna - Santa Isabel - Escobar"/>
    <s v="Realizado"/>
    <s v="AR ZonaProp"/>
    <n v="299000"/>
    <x v="440"/>
    <x v="1"/>
    <s v="Dólares"/>
    <s v="Dólares"/>
    <s v="La pista  al 1500"/>
    <s v="Argentina | G.B.A. Zona Norte | Escobar | Countries/B.Cerrado (Escobar) | Santa Isabel"/>
    <x v="2"/>
    <n v="2"/>
    <s v="Puerto Norte"/>
    <s v="Compartida Fuera de la Red Captación Propia"/>
    <x v="0"/>
    <s v="Venta"/>
    <x v="6"/>
    <s v="Nordelta"/>
  </r>
  <r>
    <d v="2025-07-31T00:00:00"/>
    <x v="1"/>
    <x v="1"/>
    <s v="CHO6911420"/>
    <x v="0"/>
    <s v="Casa en  Venta en Puertos del Lago."/>
    <s v="Realizado"/>
    <s v="AR ZonaProp"/>
    <n v="317000"/>
    <x v="440"/>
    <x v="1"/>
    <s v="Dólares"/>
    <s v="Dólares"/>
    <s v="Barrio Puertos del lago - Vistas"/>
    <s v="Argentina | G.B.A. Zona Norte | Escobar | Countries/B.Cerrado (Escobar) | Puertos del Lago | Vistas"/>
    <x v="2"/>
    <n v="2"/>
    <s v="Destino II"/>
    <s v="Propia (Único Asesor)"/>
    <x v="1"/>
    <s v="Venta"/>
    <x v="3"/>
    <s v="Recoleta"/>
  </r>
  <r>
    <d v="2025-08-13T00:00:00"/>
    <x v="1"/>
    <x v="5"/>
    <n v="13082025"/>
    <x v="0"/>
    <s v="Reserva Gus Mike Fede Ghiglione, Dpto España y Libertad UF207 C. 13"/>
    <s v="Realizado"/>
    <s v="Teléfono"/>
    <n v="300000"/>
    <x v="441"/>
    <x v="1"/>
    <s v="Dólares"/>
    <s v="Dólares"/>
    <m/>
    <s v="Argentina | Rio Negro | Bariloche | San Carlos De Bariloche"/>
    <x v="0"/>
    <n v="1"/>
    <s v="Patagonia Lakes BRC"/>
    <s v="(Interior) Compartida Fuera de la Red Búsqueda"/>
    <x v="2"/>
    <s v="Venta"/>
    <x v="7"/>
    <s v="Bariloche"/>
  </r>
  <r>
    <d v="2025-07-08T00:00:00"/>
    <x v="1"/>
    <x v="1"/>
    <s v="OP 148"/>
    <x v="0"/>
    <s v="OP 148 Crámer 1682 5 A"/>
    <s v="Realizado"/>
    <s v="AR ZonaProp"/>
    <n v="300000"/>
    <x v="441"/>
    <x v="1"/>
    <s v="Dólares"/>
    <s v="Dólares"/>
    <s v="Crámer 1682 5 A"/>
    <s v="Argentina | Capital Federal | Colegiales "/>
    <x v="0"/>
    <n v="1"/>
    <s v="Seniority Plus"/>
    <s v="Compartida Fuera de la Red Búsqueda"/>
    <x v="2"/>
    <s v="Venta"/>
    <x v="3"/>
    <s v="Palermo"/>
  </r>
  <r>
    <d v="2025-06-27T00:00:00"/>
    <x v="1"/>
    <x v="4"/>
    <s v="CAP6777661"/>
    <x v="0"/>
    <s v="Venta Departamento 4 ambientes en Belgrano cochera Dependencia refaccionado Apto Crédito"/>
    <s v="Realizado"/>
    <s v="AR ZonaProp"/>
    <n v="300000"/>
    <x v="441"/>
    <x v="1"/>
    <s v="Dólares"/>
    <s v="Dólares"/>
    <s v="Teodoro García al 2200"/>
    <s v="Argentina | Capital Federal | Belgrano "/>
    <x v="0"/>
    <n v="2"/>
    <s v="Seniority"/>
    <s v="Compartida Fuera de la Red Captación Propia"/>
    <x v="0"/>
    <s v="Venta"/>
    <x v="3"/>
    <s v="Barrio Parque"/>
  </r>
  <r>
    <d v="2026-02-24T00:00:00"/>
    <x v="0"/>
    <x v="0"/>
    <s v="CHO7391905"/>
    <x v="0"/>
    <s v="Espectacular casa en San Sebastián, área 11, laguna"/>
    <s v="Realizado"/>
    <s v="AR ZonaProp"/>
    <n v="330000"/>
    <x v="441"/>
    <x v="1"/>
    <s v="Dólares"/>
    <s v="Dólares"/>
    <s v="Espectacular casa en San Sebastián, área 11, laguna"/>
    <s v="Argentina | G.B.A. Zona Norte | Pilar | Countries/B.Cerrado (Pilar) | San Sebastian"/>
    <x v="2"/>
    <n v="2"/>
    <s v="Haka"/>
    <s v="Compartida Fuera de la Red Captación Propia"/>
    <x v="0"/>
    <s v="Venta"/>
    <x v="3"/>
    <s v="Núñez"/>
  </r>
  <r>
    <d v="2025-01-14T00:00:00"/>
    <x v="1"/>
    <x v="10"/>
    <n v="10225"/>
    <x v="0"/>
    <s v="Cramer 2547 9B"/>
    <s v="Realizado"/>
    <s v="AR ZonaProp"/>
    <n v="0"/>
    <x v="441"/>
    <x v="1"/>
    <s v="Dólares"/>
    <s v="Dólares"/>
    <m/>
    <s v="Argentina | Capital Federal | Belgrano "/>
    <x v="0"/>
    <n v="2"/>
    <s v="Seniority"/>
    <s v="Propia (Único Asesor)"/>
    <x v="1"/>
    <s v="Venta"/>
    <x v="3"/>
    <s v="Barrio Parque"/>
  </r>
  <r>
    <d v="2025-02-21T00:00:00"/>
    <x v="1"/>
    <x v="0"/>
    <s v="CHO6611477"/>
    <x v="0"/>
    <s v="Casa en venta -4 ambientes-Mayling CC  "/>
    <s v="Realizado"/>
    <s v="Referido"/>
    <n v="1600"/>
    <x v="441"/>
    <x v="1"/>
    <s v="Dólares"/>
    <s v="Dólares"/>
    <s v="chubut al 400"/>
    <s v="Argentina | G.B.A. Zona Norte | Pilar | Countries/B.Cerrado (Pilar) | Mayling Club De Campo"/>
    <x v="2"/>
    <n v="2"/>
    <s v="North Team"/>
    <s v="Propia (Único Asesor)"/>
    <x v="1"/>
    <s v="Venta"/>
    <x v="6"/>
    <s v="Pilar"/>
  </r>
  <r>
    <d v="2025-05-29T00:00:00"/>
    <x v="1"/>
    <x v="2"/>
    <s v="CAP6872382"/>
    <x v="0"/>
    <s v="Se alquila hermoso departamento a estrenar en Domus Parque - Vicente López"/>
    <s v="Realizado"/>
    <s v="AR ZonaProp"/>
    <n v="330000"/>
    <x v="441"/>
    <x v="1"/>
    <s v="Dólares"/>
    <s v="Dólares"/>
    <s v="Av. Maipú al 1800"/>
    <s v="Argentina | G.B.A. Zona Norte | Vicente López | Barrio Vicente López"/>
    <x v="0"/>
    <n v="2"/>
    <s v="Concept"/>
    <s v="Propia (Único Asesor)"/>
    <x v="1"/>
    <s v="Venta"/>
    <x v="6"/>
    <s v="Tigre"/>
  </r>
  <r>
    <d v="2025-09-09T00:00:00"/>
    <x v="1"/>
    <x v="6"/>
    <s v="VHO6570463"/>
    <x v="0"/>
    <s v="Casa en Venta apto credito! Barrio Cerrado Santa Clara Villanueva  4 amb - Piscina - Jardin"/>
    <s v="Realizado"/>
    <s v="AR ZonaProp"/>
    <n v="269000"/>
    <x v="441"/>
    <x v="1"/>
    <s v="Dólares"/>
    <s v="Dólares"/>
    <s v=" -Casa en Venta Barrio Santa Clara Villanueva -B. de todos los santos 5700"/>
    <s v="Argentina | G.B.A. Zona Norte | Tigre | Countries/B.Cerrado (Tigre) | Villanueva | Santa Clara"/>
    <x v="2"/>
    <n v="2"/>
    <s v="Puerto Norte"/>
    <s v="Propia (Único Asesor)"/>
    <x v="1"/>
    <s v="Venta"/>
    <x v="6"/>
    <s v="Nordelta"/>
  </r>
  <r>
    <d v="2025-09-22T00:00:00"/>
    <x v="1"/>
    <x v="6"/>
    <s v="CAP6291036"/>
    <x v="0"/>
    <s v="Espectacular 4 ambientes reciclado super luminoso!!!! Impecable!!!!"/>
    <s v="Realizado"/>
    <s v="AR ZonaProp"/>
    <n v="320000"/>
    <x v="441"/>
    <x v="1"/>
    <s v="Dólares"/>
    <s v="Dólares"/>
    <s v="Billinghurst al 2400"/>
    <s v="Argentina | Capital Federal | Recoleta "/>
    <x v="0"/>
    <n v="2"/>
    <s v="Destino"/>
    <s v="Propia (Único Asesor)"/>
    <x v="1"/>
    <s v="Venta"/>
    <x v="3"/>
    <s v="Recoleta"/>
  </r>
  <r>
    <d v="2025-09-29T00:00:00"/>
    <x v="1"/>
    <x v="6"/>
    <s v="CAP6913134"/>
    <x v="0"/>
    <s v="Venta dpto NQN ZONA CENTRO"/>
    <s v="Realizado"/>
    <s v="AR ZonaProp"/>
    <n v="340000"/>
    <x v="441"/>
    <x v="1"/>
    <s v="Dólares"/>
    <s v="Dólares"/>
    <s v="Alberdi al 400"/>
    <s v="Argentina | Neuquen | Capital | Área Centro Este"/>
    <x v="0"/>
    <n v="2"/>
    <s v="Sensus"/>
    <s v="Propia (Único Asesor)"/>
    <x v="1"/>
    <s v="Venta"/>
    <x v="1"/>
    <s v="Capital Neuquén"/>
  </r>
  <r>
    <d v="2025-12-12T00:00:00"/>
    <x v="1"/>
    <x v="8"/>
    <s v="CPH7325353"/>
    <x v="0"/>
    <s v="Venta PH en Palermo con Terraza propia"/>
    <s v="Realizado"/>
    <s v="AR ZonaProp"/>
    <n v="349000"/>
    <x v="441"/>
    <x v="1"/>
    <s v="Dólares"/>
    <s v="Dólares"/>
    <s v="Arévalo al 1500"/>
    <s v="Argentina | Capital Federal | Palermo "/>
    <x v="3"/>
    <n v="2"/>
    <s v="Seniority"/>
    <s v="Propia (Único Asesor)"/>
    <x v="1"/>
    <s v="Venta"/>
    <x v="3"/>
    <s v="Barrio Parque"/>
  </r>
  <r>
    <d v="2026-02-27T00:00:00"/>
    <x v="0"/>
    <x v="0"/>
    <s v="CHO6495923"/>
    <x v="0"/>
    <s v="Venta Casa 3 Amb y Dpto 2 Amb Salón, Pileta, Quincho, Parrilla, Garage en Villa Devoto Multifamiliar"/>
    <s v="Realizado"/>
    <s v="AR ArgenProp"/>
    <n v="349000"/>
    <x v="441"/>
    <x v="1"/>
    <s v="Dólares"/>
    <s v="Dólares"/>
    <s v="Simbron al 4100"/>
    <s v="Argentina | Capital Federal | Villa Devoto "/>
    <x v="2"/>
    <n v="2"/>
    <s v="Seniority"/>
    <s v="Propia (Único Asesor)"/>
    <x v="1"/>
    <s v="Venta"/>
    <x v="3"/>
    <s v="Barrio Parque"/>
  </r>
  <r>
    <d v="2025-11-11T00:00:00"/>
    <x v="1"/>
    <x v="7"/>
    <s v="VHO6795238"/>
    <x v="0"/>
    <s v="Casa A Estrenar en San Matias en Venta con Piscina"/>
    <s v="Realizado"/>
    <s v="AR ZonaProp"/>
    <n v="298000"/>
    <x v="442"/>
    <x v="1"/>
    <s v="Dólares"/>
    <s v="Dólares"/>
    <s v="CASA A ESTRENAR EN SAN MATIAS EN VENTA CON PISCINA"/>
    <s v="Argentina | G.B.A. Zona Norte | Escobar | Countries/B.Cerrado (Escobar) | San Matias"/>
    <x v="2"/>
    <n v="1"/>
    <s v="Puerto Norte"/>
    <s v="Compartida Fuera de la Red Búsqueda"/>
    <x v="2"/>
    <s v="Venta"/>
    <x v="6"/>
    <s v="Nordelta"/>
  </r>
  <r>
    <d v="2025-09-25T00:00:00"/>
    <x v="1"/>
    <x v="6"/>
    <s v="CAP6592569"/>
    <x v="0"/>
    <s v="VENTA DEPARTAMENTO 3  AMBIENTES EN PALERMO HOLLYWOOD"/>
    <s v="Realizado"/>
    <s v="AR ZonaProp"/>
    <n v="315000"/>
    <x v="443"/>
    <x v="1"/>
    <s v="Dólares"/>
    <s v="Dólares"/>
    <s v="Nicaragua  al 6000"/>
    <s v="Argentina | Capital Federal | Palermo | Palermo Hollywood"/>
    <x v="0"/>
    <n v="2"/>
    <s v="Seniority"/>
    <s v="Compartida Fuera de la Red Captación Propia"/>
    <x v="0"/>
    <s v="Venta"/>
    <x v="3"/>
    <s v="Barrio Parque"/>
  </r>
  <r>
    <d v="2025-04-04T00:00:00"/>
    <x v="1"/>
    <x v="3"/>
    <s v="Barrio Privado Sausalito"/>
    <x v="2"/>
    <s v="Casa en venta en Barrio Sausalito Pilar"/>
    <s v="Realizado"/>
    <s v="Referido"/>
    <n v="308000"/>
    <x v="443"/>
    <x v="1"/>
    <s v="Dólares"/>
    <s v="Dólares"/>
    <m/>
    <s v="Argentina | G.B.A. Zona Norte | Pilar | Countries/B.Cerrado (Pilar) | Sausalito"/>
    <x v="2"/>
    <n v="2"/>
    <s v="North Team"/>
    <s v="Master"/>
    <x v="1"/>
    <s v="Venta"/>
    <x v="6"/>
    <s v="Pilar"/>
  </r>
  <r>
    <d v="2025-08-11T00:00:00"/>
    <x v="1"/>
    <x v="5"/>
    <n v="11082025"/>
    <x v="0"/>
    <s v="Reserva Venta casa Lago Mascardi 251 "/>
    <s v="Realizado"/>
    <s v="Teléfono"/>
    <n v="305000"/>
    <x v="444"/>
    <x v="1"/>
    <s v="Dólares"/>
    <s v="Dólares"/>
    <m/>
    <s v="Argentina | Rio Negro | Bariloche | San Carlos De Bariloche"/>
    <x v="2"/>
    <n v="1"/>
    <s v="Patagonia Lakes BRC"/>
    <s v="(Interior) Compartida Fuera de la Red Búsqueda"/>
    <x v="2"/>
    <s v="Venta"/>
    <x v="7"/>
    <s v="Bariloche"/>
  </r>
  <r>
    <d v="2025-05-16T00:00:00"/>
    <x v="1"/>
    <x v="2"/>
    <s v="OP 132"/>
    <x v="0"/>
    <s v="Jose Hernandez 1451 B"/>
    <s v="Realizado"/>
    <s v="AR ZonaProp"/>
    <n v="307000"/>
    <x v="445"/>
    <x v="1"/>
    <s v="Dólares"/>
    <s v="Dólares"/>
    <s v="Jose Hernandez 1451 B"/>
    <s v="Argentina | Capital Federal | Belgrano "/>
    <x v="0"/>
    <n v="1"/>
    <s v="Seniority Plus"/>
    <s v="Compartida Fuera de la Red Búsqueda"/>
    <x v="2"/>
    <s v="Venta"/>
    <x v="3"/>
    <s v="Palermo"/>
  </r>
  <r>
    <d v="2025-08-14T00:00:00"/>
    <x v="1"/>
    <x v="5"/>
    <s v="CHO6971036"/>
    <x v="2"/>
    <s v="Venta  Casa de 7 ambientes Apto crédito en Pacheco Sur"/>
    <s v="Realizado"/>
    <s v="AR ArgenProp"/>
    <n v="325000"/>
    <x v="445"/>
    <x v="1"/>
    <s v="Dólares"/>
    <s v="Dólares"/>
    <s v="Aguado  al 300"/>
    <s v="Argentina | G.B.A. Zona Norte | Tigre | General Pacheco"/>
    <x v="2"/>
    <n v="2"/>
    <s v="Acqua"/>
    <s v="Master"/>
    <x v="1"/>
    <s v="Venta"/>
    <x v="6"/>
    <s v="Pilar"/>
  </r>
  <r>
    <d v="2025-01-01T00:00:00"/>
    <x v="1"/>
    <x v="10"/>
    <s v="ZP-ZP-M-43773962"/>
    <x v="0"/>
    <s v="Hermosa casa con piscina en Barrio privado San Francisco - Tigre"/>
    <s v="Realizado"/>
    <s v="AR MercadoLibre"/>
    <n v="315000"/>
    <x v="446"/>
    <x v="1"/>
    <s v="Dólares"/>
    <s v="Dólares"/>
    <s v="Aristóbulo del Valle al 5100"/>
    <s v="Argentina | G.B.A. Zona Norte | Tigre | Countries/B.Cerrado (Tigre) | Villanueva | San Francisco"/>
    <x v="2"/>
    <n v="2"/>
    <s v="Concept"/>
    <s v="Propia (Único Asesor)"/>
    <x v="1"/>
    <s v="Venta"/>
    <x v="6"/>
    <s v="Tigre"/>
  </r>
  <r>
    <d v="2025-08-22T00:00:00"/>
    <x v="1"/>
    <x v="5"/>
    <s v="CLA6668228"/>
    <x v="0"/>
    <s v="Venta Lote 4.283 m² C/vista Parcial de Lago, Zona Puerto, Villa La Angostura"/>
    <s v="Realizado"/>
    <s v="Teléfono"/>
    <n v="340000"/>
    <x v="447"/>
    <x v="1"/>
    <s v="Dólares"/>
    <s v="Dólares"/>
    <s v="Virgen de la Asunción"/>
    <s v="Argentina | Neuquen | Villa La Angostura | Puerto"/>
    <x v="1"/>
    <n v="2"/>
    <s v="Patagonia Lakes VLA"/>
    <s v="Compartida en Oficina (Dos Asesores)"/>
    <x v="1"/>
    <s v="Venta"/>
    <x v="1"/>
    <s v="Villa La Angostura"/>
  </r>
  <r>
    <d v="2025-06-09T00:00:00"/>
    <x v="1"/>
    <x v="4"/>
    <s v="op 134"/>
    <x v="0"/>
    <s v="Velasco 967"/>
    <s v="Realizado"/>
    <s v="AR ZonaProp"/>
    <n v="310000"/>
    <x v="447"/>
    <x v="1"/>
    <s v="Dólares"/>
    <s v="Dólares"/>
    <s v="Velasco 967"/>
    <s v="Argentina | Capital Federal | Villa Crespo "/>
    <x v="0"/>
    <n v="1"/>
    <s v="Seniority Plus"/>
    <s v="Compartida Fuera de la Red Búsqueda"/>
    <x v="2"/>
    <s v="Venta"/>
    <x v="3"/>
    <s v="Palermo"/>
  </r>
  <r>
    <d v="2025-12-11T00:00:00"/>
    <x v="1"/>
    <x v="8"/>
    <n v="10558"/>
    <x v="0"/>
    <s v="Juncal 2388 "/>
    <s v="Realizado"/>
    <s v="AR ZonaProp"/>
    <n v="310000"/>
    <x v="447"/>
    <x v="1"/>
    <s v="Dólares"/>
    <s v="Dólares"/>
    <s v="Juncal 2388 "/>
    <s v="Argentina | Capital Federal | Recoleta "/>
    <x v="0"/>
    <n v="1"/>
    <s v="Seniority"/>
    <s v="Compartida Fuera de la Red Búsqueda"/>
    <x v="2"/>
    <s v="Venta"/>
    <x v="3"/>
    <s v="Barrio Parque"/>
  </r>
  <r>
    <d v="2026-03-17T00:00:00"/>
    <x v="0"/>
    <x v="9"/>
    <m/>
    <x v="0"/>
    <s v="VENEZUELA 55 - Natalia Lemes "/>
    <s v="Realizado"/>
    <s v="AR ZonaProp"/>
    <n v="310000"/>
    <x v="447"/>
    <x v="1"/>
    <s v="Dólares"/>
    <s v="Dólares"/>
    <s v="VENEZUELA 55"/>
    <s v="Argentina | Capital Federal | Puerto Madero "/>
    <x v="0"/>
    <n v="1"/>
    <s v="Destino"/>
    <s v="Compartida Fuera de la Red Búsqueda"/>
    <x v="2"/>
    <s v="Venta"/>
    <x v="3"/>
    <s v="Recoleta"/>
  </r>
  <r>
    <d v="2025-07-23T00:00:00"/>
    <x v="1"/>
    <x v="1"/>
    <s v="CAP7131860"/>
    <x v="0"/>
    <s v="Departamento 3 Ambientes en Venta APTO CREDITO - Quartier Buena Vista, San Fernando"/>
    <s v="Realizado"/>
    <s v="AR ZonaProp"/>
    <n v="377000"/>
    <x v="447"/>
    <x v="1"/>
    <s v="Dólares"/>
    <s v="Dólares"/>
    <s v="Dr. Rene Favaloro  al 3300, Quartier La Horqueta, Victoria"/>
    <s v="Argentina | G.B.A. Zona Norte | San Fernando | Buenavista"/>
    <x v="0"/>
    <n v="2"/>
    <s v="Puerto Norte"/>
    <s v="Compartida Fuera de la Red Captación Propia"/>
    <x v="0"/>
    <s v="Venta"/>
    <x v="6"/>
    <s v="Nordelta"/>
  </r>
  <r>
    <d v="2025-08-18T00:00:00"/>
    <x v="1"/>
    <x v="5"/>
    <s v="CAP6751879"/>
    <x v="0"/>
    <s v="Venta Departamento 4 Ambientes piso alto con imperdible vista en Belgrano C"/>
    <s v="Realizado"/>
    <s v="AR ZonaProp"/>
    <n v="319000"/>
    <x v="447"/>
    <x v="1"/>
    <s v="Dólares"/>
    <s v="Dólares"/>
    <s v="MIGUELETES AL 1600"/>
    <s v="Argentina | Capital Federal | Belgrano | Belgrano C"/>
    <x v="0"/>
    <n v="2"/>
    <s v="Seniority Plus"/>
    <s v="Propia (Único Asesor)"/>
    <x v="1"/>
    <s v="Venta"/>
    <x v="3"/>
    <s v="Palermo"/>
  </r>
  <r>
    <d v="2026-03-20T00:00:00"/>
    <x v="0"/>
    <x v="9"/>
    <s v="CHO7387067"/>
    <x v="0"/>
    <s v="CASA A LA VENTA EN VICENTE LOPEZ"/>
    <s v="Realizado"/>
    <s v="AR ZonaProp"/>
    <n v="348000"/>
    <x v="447"/>
    <x v="1"/>
    <s v="Dólares"/>
    <s v="Dólares"/>
    <s v="Tupac Amaru al 1300"/>
    <s v="Argentina | G.B.A. Zona Norte | Vicente López | Florida"/>
    <x v="2"/>
    <n v="2"/>
    <s v="Destino"/>
    <s v="Propia (Único Asesor)"/>
    <x v="1"/>
    <s v="Venta"/>
    <x v="3"/>
    <s v="Recoleta"/>
  </r>
  <r>
    <d v="2025-02-24T00:00:00"/>
    <x v="1"/>
    <x v="0"/>
    <s v="CHO4029169"/>
    <x v="0"/>
    <s v="VENTA Casa, 3 dormitorios, Pinar de Festa, Bariloche"/>
    <s v="Realizado"/>
    <s v="Teléfono"/>
    <n v="335000"/>
    <x v="448"/>
    <x v="1"/>
    <s v="Dólares"/>
    <s v="Dólares"/>
    <s v="Pinar de Festa, Bariloche"/>
    <s v="Argentina | Rio Negro | Bariloche | San Carlos De Bariloche | Pinar de Festa"/>
    <x v="2"/>
    <n v="2"/>
    <s v="Patagonia Lakes BRC"/>
    <s v="Compartida en Oficina (Dos Asesores)"/>
    <x v="1"/>
    <s v="Venta"/>
    <x v="7"/>
    <s v="Bariloche"/>
  </r>
  <r>
    <d v="2025-02-20T00:00:00"/>
    <x v="1"/>
    <x v="0"/>
    <s v="CHO6475132"/>
    <x v="0"/>
    <s v="Venta Casa 5 dormitorios, piscina, oficina,microcine/sala de grabación -Barrio El Trébol-Ezeiza"/>
    <s v="Realizado"/>
    <s v="AR ZonaProp"/>
    <n v="320000"/>
    <x v="448"/>
    <x v="1"/>
    <s v="Dólares"/>
    <s v="Dólares"/>
    <s v="Las Tipas al 600"/>
    <s v="Argentina | G.B.A. Zona Sur | Ezeiza | La Union | Barrio Parque El Trébol"/>
    <x v="2"/>
    <n v="2"/>
    <s v="Seniority Plus"/>
    <s v="Compartida Fuera de la Red Captación Propia"/>
    <x v="0"/>
    <s v="Venta"/>
    <x v="3"/>
    <s v="Palermo"/>
  </r>
  <r>
    <d v="2025-03-27T00:00:00"/>
    <x v="1"/>
    <x v="9"/>
    <s v="CAP5947829"/>
    <x v="0"/>
    <s v="4 amb. super amplio con lavadero en venta a estrenar en villa santa Rita. Exelente diseño"/>
    <s v="Realizado"/>
    <s v="AR ZonaProp"/>
    <n v="284200"/>
    <x v="448"/>
    <x v="1"/>
    <s v="Dólares"/>
    <s v="Dólares"/>
    <s v="Nazca al 1500"/>
    <s v="Argentina | Capital Federal | Villa Santa Rita "/>
    <x v="0"/>
    <n v="2"/>
    <s v="Ser"/>
    <s v="Propia (Único Asesor)"/>
    <x v="1"/>
    <s v="Venta"/>
    <x v="3"/>
    <s v="Belgrano"/>
  </r>
  <r>
    <d v="2025-08-11T00:00:00"/>
    <x v="1"/>
    <x v="5"/>
    <s v="CHO6901670"/>
    <x v="0"/>
    <s v="Casa en Las Paredes"/>
    <s v="Realizado"/>
    <s v="Conocido"/>
    <n v="350000"/>
    <x v="449"/>
    <x v="1"/>
    <s v="Dólares"/>
    <s v="Dólares"/>
    <s v="Bentos y Sarmiento"/>
    <s v="Argentina | Mendoza | San Rafael | Las Paredes"/>
    <x v="2"/>
    <n v="2"/>
    <s v="Andes"/>
    <s v="Compartida en Oficina (Dos Asesores)"/>
    <x v="1"/>
    <s v="Venta"/>
    <x v="2"/>
    <s v="San Rafael"/>
  </r>
  <r>
    <d v="2025-04-04T00:00:00"/>
    <x v="1"/>
    <x v="3"/>
    <s v="CHO5865626"/>
    <x v="0"/>
    <s v="Casa tipo Duplex 3 dorm en venta en Martinez - Sin expensas"/>
    <s v="Realizado"/>
    <s v="Referido"/>
    <n v="340000"/>
    <x v="450"/>
    <x v="1"/>
    <s v="Dólares"/>
    <s v="Dólares"/>
    <s v="Sáenz Valiente al 1200"/>
    <s v="Argentina | G.B.A. Zona Norte | San Isidro | Martinez | Mart.-Fleming/Panam."/>
    <x v="2"/>
    <n v="2"/>
    <s v="Concept"/>
    <s v="Compartida Fuera de la Red Captación Propia"/>
    <x v="0"/>
    <s v="Venta"/>
    <x v="6"/>
    <s v="Tigre"/>
  </r>
  <r>
    <d v="2025-09-11T00:00:00"/>
    <x v="1"/>
    <x v="6"/>
    <s v="CAP6995943"/>
    <x v="0"/>
    <s v="Departamento en Recoleta 3 AMBIENTES + DEPENDENCIA + COCHERA "/>
    <s v="Realizado"/>
    <s v="Conocido"/>
    <n v="330000"/>
    <x v="451"/>
    <x v="1"/>
    <s v="Dólares"/>
    <s v="Dólares"/>
    <s v="PARANA  al 1045"/>
    <s v="Argentina | Capital Federal | Recoleta "/>
    <x v="0"/>
    <n v="2"/>
    <s v="Destino"/>
    <s v="Compartida en Oficina (Dos Asesores)"/>
    <x v="1"/>
    <s v="Venta"/>
    <x v="3"/>
    <s v="Recoleta"/>
  </r>
  <r>
    <d v="2025-10-08T00:00:00"/>
    <x v="1"/>
    <x v="11"/>
    <s v="CHO6013706"/>
    <x v="0"/>
    <s v="Venta/Casa/Lote Propio/Jardín/AptoCredito/5Amb/MonteCastro/Permuta"/>
    <s v="Realizado"/>
    <s v="AR ArgenProp"/>
    <n v="350000"/>
    <x v="451"/>
    <x v="1"/>
    <s v="Dólares"/>
    <s v="Dólares"/>
    <s v="Cervantes 2000"/>
    <s v="Argentina | Capital Federal | Monte Castro "/>
    <x v="2"/>
    <n v="2"/>
    <s v="Lion Team"/>
    <s v="Compartida en Oficina (Dos Asesores)"/>
    <x v="1"/>
    <s v="Venta"/>
    <x v="3"/>
    <s v="Villa Urquiza"/>
  </r>
  <r>
    <d v="2025-02-13T00:00:00"/>
    <x v="1"/>
    <x v="0"/>
    <n v="10288"/>
    <x v="0"/>
    <s v="Aguilar 2104"/>
    <s v="Realizado"/>
    <s v="AR ZonaProp"/>
    <n v="0"/>
    <x v="451"/>
    <x v="1"/>
    <s v="Dólares"/>
    <s v="Dólares"/>
    <m/>
    <s v="Argentina | Capital Federal | Belgrano "/>
    <x v="0"/>
    <n v="1"/>
    <s v="Seniority"/>
    <s v="Compartida Fuera de la Red Búsqueda"/>
    <x v="2"/>
    <s v="Venta"/>
    <x v="3"/>
    <s v="Barrio Parque"/>
  </r>
  <r>
    <d v="2026-02-05T00:00:00"/>
    <x v="0"/>
    <x v="0"/>
    <s v="N/C - VALDENEGRO"/>
    <x v="0"/>
    <s v="VENTA LOTE VILLA URQUIZA"/>
    <s v="Realizado"/>
    <s v="AR ZonaProp"/>
    <n v="320000"/>
    <x v="451"/>
    <x v="1"/>
    <s v="Dólares"/>
    <s v="Dólares"/>
    <s v="VALDENEGRO 3257"/>
    <s v="Argentina | Capital Federal | Villa Urquiza "/>
    <x v="1"/>
    <n v="1"/>
    <s v="Destino II"/>
    <s v="Compartida Fuera de la Red Búsqueda"/>
    <x v="2"/>
    <s v="Venta"/>
    <x v="3"/>
    <s v="Recoleta"/>
  </r>
  <r>
    <d v="2026-03-03T00:00:00"/>
    <x v="0"/>
    <x v="9"/>
    <s v="COF7589489"/>
    <x v="2"/>
    <s v="Oficina en Belgrano Barrancas"/>
    <s v="Realizado"/>
    <s v="AR ZonaProp"/>
    <n v="350000"/>
    <x v="451"/>
    <x v="1"/>
    <s v="Dólares"/>
    <s v="Dólares"/>
    <s v="Ciudad de la paz  al 2200"/>
    <s v="Argentina | Capital Federal | Belgrano | Belgrano Barrancas"/>
    <x v="6"/>
    <n v="2"/>
    <s v="Haka"/>
    <s v="Master"/>
    <x v="1"/>
    <s v="Venta"/>
    <x v="3"/>
    <s v="Núñez"/>
  </r>
  <r>
    <d v="2025-07-18T00:00:00"/>
    <x v="1"/>
    <x v="1"/>
    <s v="CHO6516313"/>
    <x v="0"/>
    <s v="Chacra de 1.1has, 3 dormitorios en Match Point"/>
    <s v="Realizado"/>
    <s v="AR ZonaProp"/>
    <n v="350000"/>
    <x v="451"/>
    <x v="1"/>
    <s v="Dólares"/>
    <s v="Dólares"/>
    <s v="Chacra de 1.1has, 3 dormitorios en Match Point"/>
    <s v="Argentina | G.B.A. Zona Oeste | Lujan | Countries/B.Cerrado (Lujan) | Match Point"/>
    <x v="2"/>
    <n v="2"/>
    <s v="North Team"/>
    <s v="Propia (Único Asesor)"/>
    <x v="1"/>
    <s v="Venta"/>
    <x v="6"/>
    <s v="Pilar"/>
  </r>
  <r>
    <d v="2025-10-17T00:00:00"/>
    <x v="1"/>
    <x v="11"/>
    <s v="CAP7025062"/>
    <x v="0"/>
    <s v="Venta Departamento 4 ambientes con Jardín en Recoleta"/>
    <s v="Realizado"/>
    <s v="AR ZonaProp"/>
    <n v="369000"/>
    <x v="451"/>
    <x v="1"/>
    <s v="Dólares"/>
    <s v="Dólares"/>
    <s v="Laprida al 1700"/>
    <s v="Argentina | Capital Federal | Recoleta "/>
    <x v="0"/>
    <n v="2"/>
    <s v="Seniority"/>
    <s v="Propia (Único Asesor)"/>
    <x v="1"/>
    <s v="Venta"/>
    <x v="3"/>
    <s v="Barrio Parque"/>
  </r>
  <r>
    <d v="2026-01-05T00:00:00"/>
    <x v="0"/>
    <x v="10"/>
    <s v="CHO7532316"/>
    <x v="0"/>
    <s v="Venta Casa+ departamento- ideal renta  en San Carlos De Bariloche"/>
    <s v="Realizado"/>
    <s v="Teléfono"/>
    <n v="340000"/>
    <x v="451"/>
    <x v="1"/>
    <s v="Dólares"/>
    <s v="Dólares"/>
    <s v="Nahuel Malal, San Carlos de Bariloche"/>
    <s v="Argentina | Rio Negro | Bariloche | San Carlos De Bariloche"/>
    <x v="2"/>
    <n v="2"/>
    <s v="Patagonia Lakes BRC"/>
    <s v="Propia (Único Asesor)"/>
    <x v="1"/>
    <s v="Venta"/>
    <x v="7"/>
    <s v="Bariloche"/>
  </r>
  <r>
    <d v="2025-04-22T00:00:00"/>
    <x v="1"/>
    <x v="3"/>
    <s v="CAP6595074"/>
    <x v="0"/>
    <s v="Venta departamento 4 ambientes en  Greenville Polo"/>
    <s v="Realizado"/>
    <s v="AR ZonaProp"/>
    <n v="340000"/>
    <x v="452"/>
    <x v="1"/>
    <s v="Dólares"/>
    <s v="Dólares"/>
    <s v="Greenville Polo Resort  "/>
    <s v="Argentina | G.B.A. Zona Sur | Berazategui | Guillermo E Hudson | Greenville Polo &amp; Resort"/>
    <x v="0"/>
    <n v="2"/>
    <s v="Seniority"/>
    <s v="Compartida en Oficina (Dos Asesores)"/>
    <x v="1"/>
    <s v="Venta"/>
    <x v="3"/>
    <s v="Barrio Parque"/>
  </r>
  <r>
    <d v="2025-07-11T00:00:00"/>
    <x v="1"/>
    <x v="1"/>
    <s v="CHO6850596"/>
    <x v="0"/>
    <s v="Casa en venta Las Moras Higuerrillas"/>
    <s v="Realizado"/>
    <s v="Conocido"/>
    <n v="330000"/>
    <x v="452"/>
    <x v="1"/>
    <s v="Dólares"/>
    <s v="Dólares"/>
    <s v="Las Moras - higuerillas"/>
    <s v="Argentina | Jujuy | Dr Manuel Belgrano | San Salvador De Jujuy | Las Higuerillas"/>
    <x v="2"/>
    <n v="2"/>
    <s v="Plaza"/>
    <s v="Compartida en Oficina (Dos Asesores)"/>
    <x v="1"/>
    <s v="Venta"/>
    <x v="8"/>
    <s v="Capital Jujuy"/>
  </r>
  <r>
    <d v="2025-02-05T00:00:00"/>
    <x v="1"/>
    <x v="0"/>
    <s v="CHO5663532"/>
    <x v="0"/>
    <s v="VENTA Casa 5 ambientes en Olivos con jardín y cochera"/>
    <s v="Realizado"/>
    <s v="AR ZonaProp"/>
    <n v="339000"/>
    <x v="452"/>
    <x v="1"/>
    <s v="Dólares"/>
    <s v="Dólares"/>
    <s v="Juan Bautista Alberdi al 1900"/>
    <s v="Argentina | G.B.A. Zona Norte | Vicente López | Olivos"/>
    <x v="2"/>
    <n v="2"/>
    <s v="Seniority Plus"/>
    <s v="Compartida Fuera de la Red Captación Propia"/>
    <x v="0"/>
    <s v="Venta"/>
    <x v="3"/>
    <s v="Palermo"/>
  </r>
  <r>
    <d v="2025-12-09T00:00:00"/>
    <x v="1"/>
    <x v="8"/>
    <s v="CHO6944460"/>
    <x v="1"/>
    <s v="Casa en  Vistalca Country"/>
    <s v="Realizado"/>
    <s v="AR ZonaProp"/>
    <n v="340000"/>
    <x v="452"/>
    <x v="1"/>
    <s v="Dólares"/>
    <s v="Dólares"/>
    <s v="Vistalba Country"/>
    <s v="Argentina | Mendoza | Lujan De Cuyo | Vistalba"/>
    <x v="2"/>
    <n v="1"/>
    <s v="Cuyo Real"/>
    <s v="Master"/>
    <x v="1"/>
    <s v="Venta"/>
    <x v="2"/>
    <s v="Capital Mendoza"/>
  </r>
  <r>
    <d v="2025-12-05T00:00:00"/>
    <x v="1"/>
    <x v="8"/>
    <s v="CHO6944460"/>
    <x v="0"/>
    <s v="Casa en  Vistalca Country"/>
    <s v="Realizado"/>
    <s v="Referido"/>
    <n v="340000"/>
    <x v="452"/>
    <x v="1"/>
    <s v="Dólares"/>
    <s v="Dólares"/>
    <s v="Vistalba Country"/>
    <s v="Argentina | Mendoza | Lujan De Cuyo | Vistalba"/>
    <x v="2"/>
    <n v="2"/>
    <s v="Patagonia Lakes VLA"/>
    <s v="Master"/>
    <x v="1"/>
    <s v="Venta"/>
    <x v="1"/>
    <s v="Villa La Angostura"/>
  </r>
  <r>
    <d v="2025-12-17T00:00:00"/>
    <x v="1"/>
    <x v="8"/>
    <s v="CHO7472441"/>
    <x v="0"/>
    <s v="VENTA CASA 4 AMB A LA LAGUNA SAN SEBASTIAN A11"/>
    <s v="Realizado"/>
    <s v="AR ZonaProp"/>
    <n v="334000"/>
    <x v="452"/>
    <x v="1"/>
    <s v="Dólares"/>
    <s v="Dólares"/>
    <s v="Boote y Luis Tagle 1"/>
    <s v="Argentina | G.B.A. Zona Norte | Escobar | Loma Verde | San Sebastian"/>
    <x v="2"/>
    <n v="2"/>
    <s v="Destino II"/>
    <s v="Propia (Único Asesor)"/>
    <x v="1"/>
    <s v="Venta"/>
    <x v="3"/>
    <s v="Recoleta"/>
  </r>
  <r>
    <d v="2025-12-23T00:00:00"/>
    <x v="1"/>
    <x v="8"/>
    <s v="CHO7512914"/>
    <x v="0"/>
    <s v="VENTA CASA con JARDÍN en Agronomía"/>
    <s v="Realizado"/>
    <s v="AR ZonaProp"/>
    <n v="325000"/>
    <x v="452"/>
    <x v="1"/>
    <s v="Dólares"/>
    <s v="Dólares"/>
    <s v="Cuenca  al 4000"/>
    <s v="Argentina | Capital Federal | Agronomia "/>
    <x v="2"/>
    <n v="2"/>
    <s v="Seniority"/>
    <s v="Propia (Único Asesor)"/>
    <x v="1"/>
    <s v="Venta"/>
    <x v="3"/>
    <s v="Barrio Parque"/>
  </r>
  <r>
    <d v="2025-09-08T00:00:00"/>
    <x v="1"/>
    <x v="6"/>
    <s v="CPN64923 LA7144803"/>
    <x v="0"/>
    <s v="Lote en el Sector Isla en el Barrio Privado San Pedro - Villanueva"/>
    <s v="Realizado"/>
    <s v="AR ZonaProp"/>
    <n v="252000"/>
    <x v="453"/>
    <x v="1"/>
    <s v="Dólares"/>
    <s v="Dólares"/>
    <s v="Lote en el Sector Isla en el Barrio Privado San Pedro - Villanueva"/>
    <s v="Argentina | G.B.A. Zona Norte | Tigre | Countries/B.Cerrado (Tigre) | Villanueva | San Pedro"/>
    <x v="1"/>
    <n v="2"/>
    <s v="Puerto Norte"/>
    <s v="Compartida en Oficina (Dos Asesores)"/>
    <x v="1"/>
    <s v="Venta"/>
    <x v="6"/>
    <s v="Nordelta"/>
  </r>
  <r>
    <d v="2026-03-18T00:00:00"/>
    <x v="0"/>
    <x v="9"/>
    <s v="CULLEN 4825"/>
    <x v="0"/>
    <s v="CULLEN 4825"/>
    <s v="Realizado"/>
    <s v="AR ZonaProp"/>
    <n v="355000"/>
    <x v="454"/>
    <x v="1"/>
    <s v="Dólares"/>
    <s v="Dólares"/>
    <s v="CULLEN 4825"/>
    <s v="Argentina | Capital Federal | Villa Urquiza "/>
    <x v="0"/>
    <n v="1"/>
    <s v="Lion Team Norte"/>
    <s v="(Interior) Compartida Fuera de la Red Búsqueda"/>
    <x v="2"/>
    <s v="Venta"/>
    <x v="6"/>
    <s v="Vicente López"/>
  </r>
  <r>
    <d v="2025-05-15T00:00:00"/>
    <x v="1"/>
    <x v="2"/>
    <s v="VAP6336270"/>
    <x v="0"/>
    <s v="Departamento en Venta - Remeros Beach - SKY II"/>
    <s v="Realizado"/>
    <s v="AR ZonaProp"/>
    <n v="330000"/>
    <x v="454"/>
    <x v="1"/>
    <s v="Dólares"/>
    <s v="Dólares"/>
    <s v="Remeros Beach"/>
    <s v="Argentina | G.B.A. Zona Norte | Tigre | Rincon de Milberg | Remeros Beach"/>
    <x v="0"/>
    <n v="2"/>
    <s v="Puerto Norte"/>
    <s v="Compartida en Oficina (Dos Asesores)"/>
    <x v="1"/>
    <s v="Venta"/>
    <x v="6"/>
    <s v="Nordelta"/>
  </r>
  <r>
    <d v="2025-07-22T00:00:00"/>
    <x v="1"/>
    <x v="1"/>
    <s v="VHO4956012"/>
    <x v="0"/>
    <s v="Casa a la venta al Rio 3 Dorm en Barrio El Canal Villanueva"/>
    <s v="Realizado"/>
    <s v="AR ZonaProp"/>
    <n v="430000"/>
    <x v="454"/>
    <x v="1"/>
    <s v="Dólares"/>
    <s v="Dólares"/>
    <s v="Barrio Canal  al 100"/>
    <s v="Argentina | G.B.A. Zona Norte | Tigre | Countries/B.Cerrado (Tigre) | Villanueva | El Canal"/>
    <x v="2"/>
    <n v="2"/>
    <s v="Puerto Norte"/>
    <s v="Compartida en Oficina (Dos Asesores)"/>
    <x v="1"/>
    <s v="Venta"/>
    <x v="6"/>
    <s v="Nordelta"/>
  </r>
  <r>
    <d v="2026-03-27T00:00:00"/>
    <x v="0"/>
    <x v="9"/>
    <s v="op 275"/>
    <x v="0"/>
    <s v="Liniers 1599 302 Prana San Isidro"/>
    <s v="Realizado"/>
    <s v="AR ZonaProp"/>
    <n v="330000"/>
    <x v="454"/>
    <x v="1"/>
    <s v="Dólares"/>
    <s v="Dólares"/>
    <s v="Liniers 1599 302 Prana San Isidro"/>
    <s v="Argentina | G.B.A. Zona Norte | San Isidro "/>
    <x v="0"/>
    <n v="1"/>
    <s v="Seniority Plus"/>
    <s v="Compartida Fuera de la Red Búsqueda"/>
    <x v="2"/>
    <s v="Venta"/>
    <x v="3"/>
    <s v="Palermo"/>
  </r>
  <r>
    <d v="2025-04-15T00:00:00"/>
    <x v="1"/>
    <x v="3"/>
    <s v="CHO6827404"/>
    <x v="0"/>
    <s v="Imponente Casa Estilo Colonial en La Lucila"/>
    <s v="Realizado"/>
    <s v="AR ZonaProp"/>
    <n v="395000"/>
    <x v="454"/>
    <x v="1"/>
    <s v="Dólares"/>
    <s v="Dólares"/>
    <s v="  Imponente Casa Estilo Colonial en La Lucila"/>
    <s v="Argentina | G.B.A. Zona Norte | Vicente López | La Lucila"/>
    <x v="2"/>
    <n v="2"/>
    <s v="Haka"/>
    <s v="Propia (Único Asesor)"/>
    <x v="1"/>
    <s v="Venta"/>
    <x v="3"/>
    <s v="Núñez"/>
  </r>
  <r>
    <d v="2025-05-07T00:00:00"/>
    <x v="1"/>
    <x v="2"/>
    <s v="CAP5158488"/>
    <x v="0"/>
    <s v="Venta Departamento 3 Ambientes y dependencia en Las Cañitas, parrilla y piscina"/>
    <s v="Realizado"/>
    <s v="AR ZonaProp"/>
    <n v="345000"/>
    <x v="454"/>
    <x v="1"/>
    <s v="Dólares"/>
    <s v="Dólares"/>
    <s v="Gorostiaga  al 1700"/>
    <s v="Argentina | Capital Federal | Palermo | Las Cañitas"/>
    <x v="0"/>
    <n v="2"/>
    <s v="Seniority Plus"/>
    <s v="Propia (Único Asesor)"/>
    <x v="1"/>
    <s v="Venta"/>
    <x v="3"/>
    <s v="Palermo"/>
  </r>
  <r>
    <d v="2025-05-14T00:00:00"/>
    <x v="1"/>
    <x v="2"/>
    <s v="CAP6827786"/>
    <x v="0"/>
    <s v="Venta Departamento 3 ambientes con Amenities en Nuñez"/>
    <s v="Realizado"/>
    <s v="AR ZonaProp"/>
    <n v="325000"/>
    <x v="454"/>
    <x v="1"/>
    <s v="Dólares"/>
    <s v="Dólares"/>
    <s v="Tamborini 2600"/>
    <s v="Argentina | Capital Federal | Nuñez | L.De Nuñez"/>
    <x v="0"/>
    <n v="2"/>
    <s v="Seniority Plus"/>
    <s v="Propia (Único Asesor)"/>
    <x v="1"/>
    <s v="Venta"/>
    <x v="3"/>
    <s v="Palermo"/>
  </r>
  <r>
    <d v="2026-03-19T00:00:00"/>
    <x v="0"/>
    <x v="9"/>
    <s v="CHL0001"/>
    <x v="0"/>
    <s v="Venta Depto Nordelta, 120 m2, vista abierta, cochera"/>
    <s v="Realizado"/>
    <s v="AR ZonaProp"/>
    <n v="329000"/>
    <x v="454"/>
    <x v="1"/>
    <s v="Dólares"/>
    <s v="Dólares"/>
    <s v="Avenida del Puerto al 300"/>
    <s v="Argentina | G.B.A. Zona Norte | Tigre | Countries/B.Cerrado (Tigre) | Nordelta | Bahia Grande | Miradores de la Bahia"/>
    <x v="0"/>
    <n v="2"/>
    <s v="Titanio"/>
    <s v="Propia (Único Asesor)"/>
    <x v="1"/>
    <s v="Venta"/>
    <x v="6"/>
    <s v="San Isidro"/>
  </r>
  <r>
    <d v="2025-11-13T00:00:00"/>
    <x v="1"/>
    <x v="7"/>
    <s v="CHO6323790"/>
    <x v="0"/>
    <s v="Venta Casa 6 amb con Pileta Barrio Cerrado Lote  2000 m2 en Lujan"/>
    <s v="Realizado"/>
    <s v="AR ZonaProp"/>
    <n v="350000"/>
    <x v="455"/>
    <x v="1"/>
    <s v="Dólares"/>
    <s v="Dólares"/>
    <s v="Av. Fernandez Beschtedt"/>
    <s v="Argentina | G.B.A. Zona Oeste | Lujan | Countries/B.Cerrado (Lujan) | Santa Ines"/>
    <x v="2"/>
    <n v="1"/>
    <s v="Audacity"/>
    <s v="(Interior) Compartida Fuera de la Red Captación Propia"/>
    <x v="0"/>
    <s v="Venta"/>
    <x v="9"/>
    <s v="Parque Leloir"/>
  </r>
  <r>
    <d v="2025-01-29T00:00:00"/>
    <x v="1"/>
    <x v="10"/>
    <s v="CAP6556808"/>
    <x v="0"/>
    <s v="Departamento 3 ambientes  en ALQUILER en Arboris Las Lomas - San Isidro"/>
    <s v="Realizado"/>
    <s v="Referido"/>
    <n v="360000"/>
    <x v="455"/>
    <x v="1"/>
    <s v="Dólares"/>
    <s v="Dólares"/>
    <s v="don bosco al 1500 ARBORIS LAS LOMAS"/>
    <s v="Argentina | G.B.A. Zona Norte | San Isidro | Arboris Las Lomas"/>
    <x v="0"/>
    <n v="2"/>
    <s v="Concept"/>
    <s v="Compartida Fuera de la Red Captación Propia"/>
    <x v="0"/>
    <s v="Venta"/>
    <x v="6"/>
    <s v="Tigre"/>
  </r>
  <r>
    <d v="2025-04-22T00:00:00"/>
    <x v="1"/>
    <x v="3"/>
    <s v="VAP6068530"/>
    <x v="0"/>
    <s v="Venta departamento 3 ambientes c/ jardin y  cochera - Armony - Puerto Escondido - Nordelta"/>
    <s v="Realizado"/>
    <s v="AR ZonaProp"/>
    <n v="320000"/>
    <x v="455"/>
    <x v="1"/>
    <s v="Dólares"/>
    <s v="Dólares"/>
    <s v="avenida del puerto al 600"/>
    <s v="Argentina | G.B.A. Zona Norte | Tigre | Countries/B.Cerrado (Tigre) | Nordelta | Puerto Escondido"/>
    <x v="0"/>
    <n v="2"/>
    <s v="Puerto Norte"/>
    <s v="Compartida Fuera de la Red Captación Propia"/>
    <x v="0"/>
    <s v="Venta"/>
    <x v="6"/>
    <s v="Nordelta"/>
  </r>
  <r>
    <d v="2025-06-04T00:00:00"/>
    <x v="1"/>
    <x v="4"/>
    <s v="4AMBCCOCHERA"/>
    <x v="0"/>
    <s v="VENTA DEPARTAMENTO 4 AMBIENTES 3 DORMITORIOS  -  BELGRANO"/>
    <s v="Realizado"/>
    <s v="AR ZonaProp"/>
    <n v="349000"/>
    <x v="455"/>
    <x v="1"/>
    <s v="Dólares"/>
    <s v="Dólares"/>
    <s v="MONTAÑESES al 2700"/>
    <s v="Argentina | Capital Federal | Belgrano "/>
    <x v="0"/>
    <n v="2"/>
    <s v="Seniority"/>
    <s v="Compartida Fuera de la Red Captación Propia"/>
    <x v="0"/>
    <s v="Venta"/>
    <x v="3"/>
    <s v="Barrio Parque"/>
  </r>
  <r>
    <d v="2025-04-15T00:00:00"/>
    <x v="1"/>
    <x v="3"/>
    <s v="CHO6832116"/>
    <x v="0"/>
    <s v="Venta casa 5 ambientes con patio Villa Pueyrredon"/>
    <s v="Realizado"/>
    <s v="AR ZonaProp"/>
    <n v="350000"/>
    <x v="455"/>
    <x v="1"/>
    <s v="Dólares"/>
    <s v="Dólares"/>
    <s v="Argerich al 4400"/>
    <s v="Argentina | Capital Federal | Villa Pueyrredon "/>
    <x v="2"/>
    <n v="2"/>
    <s v="Grupo Elite"/>
    <s v="Propia (Único Asesor)"/>
    <x v="1"/>
    <s v="Venta"/>
    <x v="3"/>
    <s v="Puerto Madero"/>
  </r>
  <r>
    <d v="2025-02-04T00:00:00"/>
    <x v="1"/>
    <x v="0"/>
    <s v="Rio Dulce"/>
    <x v="0"/>
    <s v="Casa Rio Dulce"/>
    <s v="Realizado"/>
    <s v="AR ZonaProp"/>
    <n v="340000"/>
    <x v="456"/>
    <x v="1"/>
    <s v="Dólares"/>
    <s v="Dólares"/>
    <m/>
    <s v="Argentina | Neuquen | Capital | Área Centro Este "/>
    <x v="2"/>
    <n v="2"/>
    <s v="Sensus"/>
    <s v="Compartida en Oficina (Dos Asesores)"/>
    <x v="1"/>
    <s v="Venta"/>
    <x v="1"/>
    <s v="Capital Neuquén"/>
  </r>
  <r>
    <d v="2025-12-01T00:00:00"/>
    <x v="1"/>
    <x v="8"/>
    <s v="CHO6617025"/>
    <x v="0"/>
    <s v="Casa en venta en Dalvian, Mendoza"/>
    <s v="Realizado"/>
    <s v="Conocido"/>
    <n v="385000"/>
    <x v="456"/>
    <x v="1"/>
    <s v="Dólares"/>
    <s v="Dólares"/>
    <s v="Barrio Dalvian"/>
    <s v="Argentina | Mendoza | Capital | Mendoza | Dalvian"/>
    <x v="2"/>
    <n v="2"/>
    <s v="Cuyo Real"/>
    <s v="Compartida en Oficina (Dos Asesores)"/>
    <x v="1"/>
    <s v="Venta"/>
    <x v="2"/>
    <s v="Capital Mendoza"/>
  </r>
  <r>
    <d v="2025-07-08T00:00:00"/>
    <x v="1"/>
    <x v="1"/>
    <s v="CHO6677269"/>
    <x v="0"/>
    <s v="VENTA CASA 5 AMBIENTES IMPECABLE TRIPLEX APTO CRÉDITO - JARDIN COCHERA EN COGHLAN"/>
    <s v="Realizado"/>
    <s v="AR ZonaProp"/>
    <n v="350000"/>
    <x v="456"/>
    <x v="1"/>
    <s v="Dólares"/>
    <s v="Dólares"/>
    <s v="Conde  al 3000"/>
    <s v="Argentina | Capital Federal | Coghlan "/>
    <x v="2"/>
    <n v="2"/>
    <s v="Seniority"/>
    <s v="Compartida Fuera de la Red Captación Propia"/>
    <x v="0"/>
    <s v="Venta"/>
    <x v="3"/>
    <s v="Barrio Parque"/>
  </r>
  <r>
    <d v="2025-10-03T00:00:00"/>
    <x v="1"/>
    <x v="11"/>
    <n v="10447"/>
    <x v="0"/>
    <s v="Juan Jose Diaz en venta"/>
    <s v="Realizado"/>
    <s v="AR ZonaProp"/>
    <n v="0"/>
    <x v="456"/>
    <x v="1"/>
    <s v="Dólares"/>
    <s v="Dólares"/>
    <m/>
    <s v="Argentina | G.B.A. Zona Norte | San Isidro "/>
    <x v="0"/>
    <n v="2"/>
    <s v="Seniority"/>
    <s v="Compartida Fuera de la Red Captación Propia"/>
    <x v="0"/>
    <s v="Venta"/>
    <x v="3"/>
    <s v="Barrio Parque"/>
  </r>
  <r>
    <d v="2025-07-16T00:00:00"/>
    <x v="1"/>
    <x v="1"/>
    <s v="CHO6839661"/>
    <x v="2"/>
    <s v="Casa en  venta -4 ambientes-Mayling CC"/>
    <s v="Realizado"/>
    <s v="AR ZonaProp"/>
    <n v="370000"/>
    <x v="456"/>
    <x v="1"/>
    <s v="Dólares"/>
    <s v="Dólares"/>
    <s v="chubut  al 400"/>
    <s v="Argentina | G.B.A. Zona Norte | Pilar | Countries/B.Cerrado (Pilar) | Mayling Club De Campo"/>
    <x v="2"/>
    <n v="2"/>
    <s v="North Team"/>
    <s v="Master"/>
    <x v="1"/>
    <s v="Venta"/>
    <x v="6"/>
    <s v="Pilar"/>
  </r>
  <r>
    <d v="2025-07-18T00:00:00"/>
    <x v="1"/>
    <x v="1"/>
    <s v="CAP6856324"/>
    <x v="0"/>
    <s v=" Departamento 3 ambientes en Colegiales POZO"/>
    <s v="Realizado"/>
    <s v="AR ZonaProp"/>
    <n v="334500"/>
    <x v="456"/>
    <x v="1"/>
    <s v="Dólares"/>
    <s v="Dólares"/>
    <s v="CESPEDES al 3300"/>
    <s v="Argentina | Capital Federal | Colegiales "/>
    <x v="0"/>
    <n v="2"/>
    <s v="Grupo Elite"/>
    <s v="Propia (Único Asesor)"/>
    <x v="1"/>
    <s v="Venta"/>
    <x v="3"/>
    <s v="Puerto Madero"/>
  </r>
  <r>
    <d v="2025-11-19T00:00:00"/>
    <x v="1"/>
    <x v="7"/>
    <s v="DHO1095491"/>
    <x v="0"/>
    <s v="Casa - La Mansa"/>
    <s v="Realizado"/>
    <s v="AR ZonaProp"/>
    <n v="325000"/>
    <x v="457"/>
    <x v="1"/>
    <s v="Dólares"/>
    <s v="Dólares"/>
    <s v="La Mansa"/>
    <s v="Argentina | G.B.A. Zona Norte | Tigre | Countries/B.Cerrado (Tigre) | Nordelta | Islas del Golf | La Mansa"/>
    <x v="2"/>
    <n v="1"/>
    <s v="Puerto Norte"/>
    <s v="Compartida Fuera de la Red Búsqueda"/>
    <x v="2"/>
    <s v="Venta"/>
    <x v="6"/>
    <s v="Nordelta"/>
  </r>
  <r>
    <d v="2025-01-30T00:00:00"/>
    <x v="1"/>
    <x v="10"/>
    <s v="CAP6287723"/>
    <x v="0"/>
    <s v="Departamento 5 Ambientes   Balcon  y Terraza en Belgrano R"/>
    <s v="Realizado"/>
    <s v="AR ZonaProp"/>
    <n v="365000"/>
    <x v="457"/>
    <x v="1"/>
    <s v="Dólares"/>
    <s v="Dólares"/>
    <s v="Av de los Incas  al 3800"/>
    <s v="Argentina | Capital Federal | Belgrano | Belgrano R"/>
    <x v="0"/>
    <n v="2"/>
    <s v="Puerto Norte"/>
    <s v="Propia (Único Asesor)"/>
    <x v="1"/>
    <s v="Venta"/>
    <x v="6"/>
    <s v="Nordelta"/>
  </r>
  <r>
    <d v="2025-05-09T00:00:00"/>
    <x v="1"/>
    <x v="2"/>
    <s v="CAP6472661"/>
    <x v="0"/>
    <s v="VENTA SEMIPISO 4 AMB. C/ DEPENDENCIA, COCHERA Y BAULERA. RECOLETA. APTO CREDITO."/>
    <s v="Realizado"/>
    <s v="AR ZonaProp"/>
    <n v="355000"/>
    <x v="458"/>
    <x v="1"/>
    <s v="Dólares"/>
    <s v="Dólares"/>
    <s v="Vicente Lopez al 1700"/>
    <s v="Argentina | Capital Federal | Recoleta "/>
    <x v="0"/>
    <n v="2"/>
    <s v="Seniority"/>
    <s v="Propia (Único Asesor)"/>
    <x v="1"/>
    <s v="Venta"/>
    <x v="3"/>
    <s v="Barrio Parque"/>
  </r>
  <r>
    <d v="2025-11-12T00:00:00"/>
    <x v="1"/>
    <x v="7"/>
    <s v="CBU63770 AP7012291"/>
    <x v="0"/>
    <s v="Departamento 3 ambientes en Venta al POZO en San Isidro"/>
    <s v="Realizado"/>
    <s v="AR ZonaProp"/>
    <n v="305000"/>
    <x v="458"/>
    <x v="1"/>
    <s v="Dólares"/>
    <s v="Dólares"/>
    <s v="25 de Mayo 96 - 2do Piso"/>
    <s v="Argentina | G.B.A. Zona Norte | San Isidro "/>
    <x v="0"/>
    <n v="2"/>
    <s v="Seniority"/>
    <s v="Propia (Único Asesor)"/>
    <x v="1"/>
    <s v="Venta"/>
    <x v="3"/>
    <s v="Barrio Parque"/>
  </r>
  <r>
    <d v="2025-12-26T00:00:00"/>
    <x v="1"/>
    <x v="8"/>
    <s v="CAP6989347"/>
    <x v="0"/>
    <s v="Venta 3 ambientes Semi Piso Edificio Kavanagh Retiro Plaza San Martin"/>
    <s v="Realizado"/>
    <s v="AR ZonaProp"/>
    <n v="380000"/>
    <x v="458"/>
    <x v="1"/>
    <s v="Dólares"/>
    <s v="Dólares"/>
    <s v="Florida  al 1000"/>
    <s v="Argentina | Capital Federal | Retiro "/>
    <x v="0"/>
    <n v="2"/>
    <s v="Grupo Elite"/>
    <s v="Propia (Único Asesor)"/>
    <x v="1"/>
    <s v="Venta"/>
    <x v="3"/>
    <s v="Puerto Madero"/>
  </r>
  <r>
    <d v="2025-09-05T00:00:00"/>
    <x v="1"/>
    <x v="6"/>
    <s v="CAP7016646"/>
    <x v="0"/>
    <s v="VENTA PH 4 AMBIENTES - TERRAZA, PILETA Y PARRILLA PROPIA EN VILLA URQUIZA - C/COCHERA"/>
    <s v="Realizado"/>
    <s v="AR ZonaProp"/>
    <n v="349000"/>
    <x v="459"/>
    <x v="1"/>
    <s v="Dólares"/>
    <s v="Dólares"/>
    <s v="Galvan al 3100"/>
    <s v="Argentina | Capital Federal | Villa Urquiza "/>
    <x v="3"/>
    <n v="2"/>
    <s v="Seniority Plus"/>
    <s v="Propia (Único Asesor)"/>
    <x v="1"/>
    <s v="Venta"/>
    <x v="3"/>
    <s v="Palermo"/>
  </r>
  <r>
    <d v="2025-04-24T00:00:00"/>
    <x v="1"/>
    <x v="3"/>
    <s v="CAP6085523"/>
    <x v="0"/>
    <s v="Departamento en  4 ambientes en Saavedra con amenities"/>
    <s v="Realizado"/>
    <s v="AR ZonaProp"/>
    <n v="355000"/>
    <x v="460"/>
    <x v="1"/>
    <s v="Dólares"/>
    <s v="Dólares"/>
    <s v="Correa al 2600"/>
    <s v="Argentina | Capital Federal | Saavedra "/>
    <x v="0"/>
    <n v="2"/>
    <s v="Haka"/>
    <s v="Propia (Único Asesor)"/>
    <x v="1"/>
    <s v="Venta"/>
    <x v="3"/>
    <s v="Núñez"/>
  </r>
  <r>
    <d v="2025-05-09T00:00:00"/>
    <x v="1"/>
    <x v="2"/>
    <n v="10322"/>
    <x v="0"/>
    <s v="Av Libertador 5470"/>
    <s v="Realizado"/>
    <s v="AR ZonaProp"/>
    <n v="0"/>
    <x v="461"/>
    <x v="1"/>
    <s v="Dólares"/>
    <s v="Dólares"/>
    <m/>
    <s v="Argentina | Capital Federal | Belgrano "/>
    <x v="0"/>
    <n v="1"/>
    <s v="Seniority"/>
    <s v="Compartida Fuera de la Red Búsqueda"/>
    <x v="2"/>
    <s v="Venta"/>
    <x v="3"/>
    <s v="Barrio Parque"/>
  </r>
  <r>
    <d v="2025-05-13T00:00:00"/>
    <x v="1"/>
    <x v="2"/>
    <s v="CHO6777248"/>
    <x v="0"/>
    <s v="Casa Estilo en 2 plantas zona Villa Pueyrredon"/>
    <s v="Realizado"/>
    <s v="AR ZonaProp"/>
    <n v="360000"/>
    <x v="461"/>
    <x v="1"/>
    <s v="Dólares"/>
    <s v="Dólares"/>
    <s v="Obispo San Alberto al 2700"/>
    <s v="Argentina | Capital Federal | Villa Pueyrredon "/>
    <x v="2"/>
    <n v="2"/>
    <s v="Grupo Elite"/>
    <s v="Compartida Fuera de la Red Captación Propia"/>
    <x v="0"/>
    <s v="Venta"/>
    <x v="3"/>
    <s v="Puerto Madero"/>
  </r>
  <r>
    <d v="2025-07-25T00:00:00"/>
    <x v="1"/>
    <x v="1"/>
    <s v="DHO6628954"/>
    <x v="0"/>
    <s v="Venta Casa en  Martinez - 4 dormitorios - Lavadero - Dependencia de servicio - Pileta - Cochera"/>
    <s v="Realizado"/>
    <s v="AR ZonaProp"/>
    <n v="398000"/>
    <x v="461"/>
    <x v="1"/>
    <s v="Dólares"/>
    <s v="Dólares"/>
    <s v="Juncal  100"/>
    <s v="Argentina | G.B.A. Zona Norte | San Isidro | Martinez"/>
    <x v="2"/>
    <n v="2"/>
    <s v="Database"/>
    <s v="Compartida Fuera de la Red Captación Propia"/>
    <x v="0"/>
    <s v="Venta"/>
    <x v="3"/>
    <s v="Núñez"/>
  </r>
  <r>
    <d v="2025-09-11T00:00:00"/>
    <x v="1"/>
    <x v="6"/>
    <s v="CAP7118591"/>
    <x v="0"/>
    <s v="Departamento en  venta  2 dormitorios con dep. o 3 dormitorios, piso alto"/>
    <s v="Realizado"/>
    <s v="AR ZonaProp"/>
    <n v="375000"/>
    <x v="461"/>
    <x v="1"/>
    <s v="Dólares"/>
    <s v="Dólares"/>
    <s v="Republica de la India al 2700"/>
    <s v="Argentina | Capital Federal | Palermo | Botanico"/>
    <x v="0"/>
    <n v="2"/>
    <s v="Puerto Norte"/>
    <s v="Compartida Fuera de la Red Captación Propia"/>
    <x v="0"/>
    <s v="Venta"/>
    <x v="6"/>
    <s v="Nordelta"/>
  </r>
  <r>
    <d v="2025-08-29T00:00:00"/>
    <x v="1"/>
    <x v="5"/>
    <s v="CCC57608 HO6242587"/>
    <x v="2"/>
    <s v="Permuta/Venta - Casa 5 amb a estrenar - 1 Planta - 4 dormitorios - Altos de Campo Grande"/>
    <s v="Realizado"/>
    <s v="Referido"/>
    <n v="380000"/>
    <x v="461"/>
    <x v="1"/>
    <s v="Dólares"/>
    <s v="Dólares"/>
    <s v="Permuta/Venta - Casa 5 amb a estrenar - 1 Planta - 4 dormitorios - Altos de Campo Grande"/>
    <s v="Argentina | G.B.A. Zona Norte | Pilar | Countries/B.Cerrado (Pilar) | Altos de Campo grande"/>
    <x v="2"/>
    <n v="2"/>
    <s v="North Team"/>
    <s v="Master"/>
    <x v="1"/>
    <s v="Venta"/>
    <x v="6"/>
    <s v="Pilar"/>
  </r>
  <r>
    <d v="2025-05-13T00:00:00"/>
    <x v="1"/>
    <x v="2"/>
    <s v="CHO5087478"/>
    <x v="0"/>
    <s v="Casa en Santos Lugares"/>
    <s v="Realizado"/>
    <s v="AR ZonaProp"/>
    <n v="389000"/>
    <x v="461"/>
    <x v="1"/>
    <s v="Dólares"/>
    <s v="Dólares"/>
    <s v="San Carlos  al 1500"/>
    <s v="Argentina | G.B.A. Zona Oeste | Tres De Febrero | Santos Lugares"/>
    <x v="2"/>
    <n v="2"/>
    <s v="Lion Team"/>
    <s v="Propia (Único Asesor)"/>
    <x v="1"/>
    <s v="Venta"/>
    <x v="3"/>
    <s v="Villa Urquiza"/>
  </r>
  <r>
    <d v="2025-08-31T00:00:00"/>
    <x v="1"/>
    <x v="5"/>
    <s v="CLA6949249"/>
    <x v="0"/>
    <s v="Venta, Terreno, Colegiales, Lote, belgrano"/>
    <s v="Realizado"/>
    <s v="AR MercadoLibre"/>
    <n v="410000"/>
    <x v="461"/>
    <x v="1"/>
    <s v="Dólares"/>
    <s v="Dólares"/>
    <s v="Palpa  al 3100"/>
    <s v="Argentina | Capital Federal | Colegiales "/>
    <x v="1"/>
    <n v="2"/>
    <s v="Lion Team"/>
    <s v="Propia (Único Asesor)"/>
    <x v="1"/>
    <s v="Venta"/>
    <x v="3"/>
    <s v="Villa Urquiza"/>
  </r>
  <r>
    <d v="2025-12-15T00:00:00"/>
    <x v="1"/>
    <x v="8"/>
    <s v="CAP7508003"/>
    <x v="0"/>
    <s v="Venta Departamento 3 Ambientes  Vista al Río con Cochera en Nuñez"/>
    <s v="Realizado"/>
    <s v="AR ZonaProp"/>
    <n v="365000"/>
    <x v="462"/>
    <x v="1"/>
    <s v="Dólares"/>
    <s v="Dólares"/>
    <s v="Libertador  al 7500"/>
    <s v="Argentina | Capital Federal | Nuñez "/>
    <x v="0"/>
    <n v="2"/>
    <s v="Seniority Plus"/>
    <s v="Compartida Fuera de la Red Captación Propia"/>
    <x v="0"/>
    <s v="Venta"/>
    <x v="3"/>
    <s v="Palermo"/>
  </r>
  <r>
    <d v="2025-07-25T00:00:00"/>
    <x v="1"/>
    <x v="1"/>
    <s v="DHO6451689"/>
    <x v="0"/>
    <s v="Venta Casa en  la Lucila -  3 dormitorios - 2 baños - Cochera - Jardin - Excelente ubicacion"/>
    <s v="Realizado"/>
    <s v="AR ZonaProp"/>
    <n v="370000"/>
    <x v="463"/>
    <x v="1"/>
    <s v="Dólares"/>
    <s v="Dólares"/>
    <s v="Rioja al 3400 la Lucila"/>
    <s v="Argentina | G.B.A. Zona Norte | Vicente López | La Lucila | La Lucila-Vias/Maipu"/>
    <x v="2"/>
    <n v="2"/>
    <s v="Database"/>
    <s v="Compartida Fuera de la Red Captación Propia"/>
    <x v="0"/>
    <s v="Venta"/>
    <x v="3"/>
    <s v="Núñez"/>
  </r>
  <r>
    <d v="2026-03-28T00:00:00"/>
    <x v="0"/>
    <x v="9"/>
    <s v="VAP4787641"/>
    <x v="0"/>
    <s v="VENTA DEPTO 4 AMB., CABALLITO, LUMINOSO y COCHERA. FULL AMENITIES"/>
    <s v="Realizado"/>
    <s v="Conocido"/>
    <n v="380000"/>
    <x v="464"/>
    <x v="1"/>
    <s v="Dólares"/>
    <s v="Dólares"/>
    <s v="Acoyte al 500"/>
    <s v="Argentina | Capital Federal | Caballito "/>
    <x v="0"/>
    <n v="2"/>
    <s v="Space BA"/>
    <s v="Propia (Único Asesor)"/>
    <x v="1"/>
    <s v="Venta"/>
    <x v="3"/>
    <s v="Belgrano"/>
  </r>
  <r>
    <d v="2025-08-14T00:00:00"/>
    <x v="1"/>
    <x v="5"/>
    <s v="COF6930889"/>
    <x v="0"/>
    <s v="VENTA OFICINA NUÑEZ - PREMIUM , PICO Y AV. DEL LIBERTADOR, BARRIO NUÑEZ - CIUDAD DE BUENOS AIRES"/>
    <s v="Realizado"/>
    <s v="AR ZonaProp"/>
    <n v="380000"/>
    <x v="465"/>
    <x v="1"/>
    <s v="Dólares"/>
    <s v="Dólares"/>
    <s v="Pico 1600 y Av.  Del Libertador, Nuñez , CABA, Argentina "/>
    <s v="Argentina | Capital Federal | Nuñez "/>
    <x v="6"/>
    <n v="2"/>
    <s v="Destino"/>
    <s v="Compartida Fuera de la Red Captación Propia"/>
    <x v="0"/>
    <s v="Venta"/>
    <x v="3"/>
    <s v="Recoleta"/>
  </r>
  <r>
    <d v="2025-10-06T00:00:00"/>
    <x v="1"/>
    <x v="11"/>
    <s v="VAP6718492"/>
    <x v="0"/>
    <s v="Departamento en  Venta - 4 AMB en La Balconada, Los Castaños"/>
    <s v="Realizado"/>
    <s v="AR ZonaProp"/>
    <n v="380000"/>
    <x v="466"/>
    <x v="1"/>
    <s v="Dólares"/>
    <s v="Dólares"/>
    <s v="Departamento en  Venta - 4 AMB en La Balconada, Los Castaños"/>
    <s v="Argentina | G.B.A. Zona Norte | Tigre | Countries/B.Cerrado (Tigre) | Nordelta | Los Castaños"/>
    <x v="0"/>
    <n v="1"/>
    <s v="Puerto Norte"/>
    <s v="Compartida Fuera de la Red Búsqueda"/>
    <x v="2"/>
    <s v="Venta"/>
    <x v="6"/>
    <s v="Nordelta"/>
  </r>
  <r>
    <d v="2025-03-20T00:00:00"/>
    <x v="1"/>
    <x v="9"/>
    <s v="CAP6535533"/>
    <x v="0"/>
    <s v="VENTA DEPARTAMENTO 4 AMBIENTES + DEPENDENCIA CON BAULERA Y COCHERA"/>
    <s v="Realizado"/>
    <s v="Teléfono"/>
    <n v="395000"/>
    <x v="466"/>
    <x v="1"/>
    <s v="Dólares"/>
    <s v="Dólares"/>
    <s v="MONTEVIDEO 1500 al 1500"/>
    <s v="Argentina | Capital Federal | Recoleta "/>
    <x v="0"/>
    <n v="2"/>
    <s v="Destino"/>
    <s v="Compartida Fuera de la Red Captación Propia"/>
    <x v="0"/>
    <s v="Venta"/>
    <x v="3"/>
    <s v="Recoleta"/>
  </r>
  <r>
    <d v="2025-05-20T00:00:00"/>
    <x v="1"/>
    <x v="2"/>
    <s v="CEREZOS 2 "/>
    <x v="0"/>
    <s v="CEREZOS 2 "/>
    <s v="Realizado"/>
    <s v="AR ArgenProp"/>
    <n v="360000"/>
    <x v="466"/>
    <x v="1"/>
    <s v="Dólares"/>
    <s v="Dólares"/>
    <s v="CEREZOS 2 "/>
    <s v="Argentina | G.B.A. Zona Norte | Tigre | Tigre"/>
    <x v="0"/>
    <n v="2"/>
    <s v="Lion Team Norte"/>
    <s v="Propia (Único Asesor)"/>
    <x v="1"/>
    <s v="Venta"/>
    <x v="6"/>
    <s v="Vicente López"/>
  </r>
  <r>
    <d v="2025-07-09T00:00:00"/>
    <x v="1"/>
    <x v="1"/>
    <s v="Pinto 4425"/>
    <x v="0"/>
    <s v="Pinto 4425"/>
    <s v="Realizado"/>
    <s v="AR ZonaProp"/>
    <n v="360000"/>
    <x v="466"/>
    <x v="1"/>
    <s v="Dólares"/>
    <s v="Dólares"/>
    <s v="Pinto 4425"/>
    <s v="Argentina | Capital Federal | Capital Federal "/>
    <x v="2"/>
    <n v="2"/>
    <s v="Lion Team"/>
    <s v="Propia (Único Asesor)"/>
    <x v="1"/>
    <s v="Venta"/>
    <x v="3"/>
    <s v="Villa Urquiza"/>
  </r>
  <r>
    <d v="2025-04-13T00:00:00"/>
    <x v="1"/>
    <x v="3"/>
    <n v="500760"/>
    <x v="0"/>
    <s v="Casa - Las Tipas"/>
    <s v="Realizado"/>
    <s v="AR ZonaProp"/>
    <n v="370000"/>
    <x v="467"/>
    <x v="1"/>
    <s v="Dólares"/>
    <s v="Dólares"/>
    <s v="LAS TIPAS al 100"/>
    <s v="Argentina | G.B.A. Zona Norte | Tigre | Countries/B.Cerrado (Tigre) | Nordelta | Las Tipas"/>
    <x v="2"/>
    <n v="2"/>
    <s v="Puerto Norte"/>
    <s v="Compartida Fuera de la Red Captación Propia"/>
    <x v="0"/>
    <s v="Venta"/>
    <x v="6"/>
    <s v="Nordelta"/>
  </r>
  <r>
    <d v="2026-02-25T00:00:00"/>
    <x v="0"/>
    <x v="0"/>
    <s v="CHO7330250"/>
    <x v="0"/>
    <s v="Casa en Venta, a la Laguna en San Benito - Villanueva"/>
    <s v="Realizado"/>
    <s v="AR ZonaProp"/>
    <n v="440000"/>
    <x v="468"/>
    <x v="1"/>
    <s v="Dólares"/>
    <s v="Dólares"/>
    <s v="Casa en Venta, a la Laguna en San Benito - Villanueva"/>
    <s v="Argentina | G.B.A. Zona Norte | Tigre | Countries/B.Cerrado (Tigre) | Villanueva | San Benito"/>
    <x v="2"/>
    <n v="1"/>
    <s v="Puerto Norte"/>
    <s v="Compartida Fuera de la Red Búsqueda"/>
    <x v="2"/>
    <s v="Venta"/>
    <x v="6"/>
    <s v="Nordelta"/>
  </r>
  <r>
    <d v="2026-03-27T00:00:00"/>
    <x v="0"/>
    <x v="9"/>
    <s v="CAP7442189"/>
    <x v="0"/>
    <s v="Dúplex Tipo Casa de 6 Amb. con Dependencia y Balcones – Súper Luminoso – Núñez"/>
    <s v="Realizado"/>
    <s v="AR ZonaProp"/>
    <n v="385000"/>
    <x v="468"/>
    <x v="1"/>
    <s v="Dólares"/>
    <s v="Dólares"/>
    <s v="Arribeños  al 3600"/>
    <s v="Argentina | Capital Federal | Nuñez "/>
    <x v="0"/>
    <n v="2"/>
    <s v="Seniority"/>
    <s v="Compartida Fuera de la Red Captación Propia"/>
    <x v="0"/>
    <s v="Venta"/>
    <x v="3"/>
    <s v="Barrio Parque"/>
  </r>
  <r>
    <d v="2025-02-14T00:00:00"/>
    <x v="1"/>
    <x v="0"/>
    <s v="VHO5826521"/>
    <x v="0"/>
    <s v="Casa al rio en venta en Naudir Aguas Privadas - Con Piscina - Amarra - A Estrenar"/>
    <s v="Realizado"/>
    <s v="AR ZonaProp"/>
    <n v="375000"/>
    <x v="468"/>
    <x v="1"/>
    <s v="Dólares"/>
    <s v="Dólares"/>
    <s v="Casa al rio en venta en Naudir Aguas Privadas"/>
    <s v="Argentina | G.B.A. Zona Norte | Escobar | Countries/B.Cerrado (Escobar) | El Naudir"/>
    <x v="2"/>
    <n v="2"/>
    <s v="Puerto Norte"/>
    <s v="Propia (Único Asesor)"/>
    <x v="1"/>
    <s v="Venta"/>
    <x v="6"/>
    <s v="Nordelta"/>
  </r>
  <r>
    <d v="2025-07-17T00:00:00"/>
    <x v="1"/>
    <x v="1"/>
    <s v="VHO5263230"/>
    <x v="0"/>
    <s v="venta Casa - Apto crédito Talar Chico - GRAL PACHECO"/>
    <s v="Realizado"/>
    <s v="AR ZonaProp"/>
    <n v="2300"/>
    <x v="468"/>
    <x v="1"/>
    <s v="Dólares"/>
    <s v="Dólares"/>
    <s v="TALAR CHICO"/>
    <s v="Argentina | G.B.A. Zona Norte | Tigre | Countries/B.Cerrado (Tigre) | Talar Chico"/>
    <x v="2"/>
    <n v="2"/>
    <s v="Puerto Norte"/>
    <s v="Propia (Único Asesor)"/>
    <x v="1"/>
    <s v="Venta"/>
    <x v="6"/>
    <s v="Nordelta"/>
  </r>
  <r>
    <d v="2025-10-03T00:00:00"/>
    <x v="1"/>
    <x v="11"/>
    <s v="VAP7166680"/>
    <x v="0"/>
    <s v="Piso a la venta en Belgrano 3 dormitorios con dependencia y cochera fija cubierta baulera SUM"/>
    <s v="Realizado"/>
    <s v="AR ZonaProp"/>
    <n v="390000"/>
    <x v="468"/>
    <x v="1"/>
    <s v="Dólares"/>
    <s v="Dólares"/>
    <s v="Av. Cramer  al 2500"/>
    <s v="Argentina | Capital Federal | Belgrano "/>
    <x v="0"/>
    <n v="2"/>
    <s v="Space BA"/>
    <s v="Propia (Único Asesor)"/>
    <x v="1"/>
    <s v="Venta"/>
    <x v="3"/>
    <s v="Belgrano"/>
  </r>
  <r>
    <d v="2025-10-14T00:00:00"/>
    <x v="1"/>
    <x v="11"/>
    <n v="531383"/>
    <x v="0"/>
    <s v="CASA DE 6 AMBIENTES LOTE INTERNO Talar del Lago II al 300"/>
    <s v="Realizado"/>
    <s v="AR ZonaProp"/>
    <n v="475000"/>
    <x v="469"/>
    <x v="1"/>
    <s v="Dólares"/>
    <s v="Dólares"/>
    <s v="CASA DE 6 AMBIENTES LOTE INTERNO Talar del Lago II al 300"/>
    <s v="Argentina | G.B.A. Zona Norte | Tigre | General Pacheco | Countries/B. Cerrado (General Pacheco) | Talar Del Lago II"/>
    <x v="2"/>
    <n v="1"/>
    <s v="Puerto Norte"/>
    <s v="Compartida Fuera de la Red Búsqueda"/>
    <x v="2"/>
    <s v="Venta"/>
    <x v="6"/>
    <s v="Nordelta"/>
  </r>
  <r>
    <d v="2025-04-01T00:00:00"/>
    <x v="1"/>
    <x v="3"/>
    <s v="CHO4058449"/>
    <x v="0"/>
    <s v="Venta CON RENTA de Casa en La Comarca barrio cerrado - General Pacheco - Tigre"/>
    <s v="Realizado"/>
    <s v="AR MercadoLibre"/>
    <n v="394900"/>
    <x v="469"/>
    <x v="1"/>
    <s v="Dólares"/>
    <s v="Dólares"/>
    <s v="La Comarca"/>
    <s v="Argentina | G.B.A. Zona Norte | Tigre | General Pacheco | Countries/B. Cerrado (General Pacheco) | La Comarca"/>
    <x v="2"/>
    <n v="2"/>
    <s v="Concept"/>
    <s v="Compartida Fuera de la Red Captación Propia"/>
    <x v="0"/>
    <s v="Venta"/>
    <x v="6"/>
    <s v="Tigre"/>
  </r>
  <r>
    <d v="2025-05-28T00:00:00"/>
    <x v="1"/>
    <x v="2"/>
    <s v="CHO4058449"/>
    <x v="0"/>
    <s v="Venta CON RENTA de Casa en La Comarca barrio cerrado - General Pacheco - Tigre"/>
    <s v="Realizado"/>
    <s v="Referido"/>
    <n v="394900"/>
    <x v="469"/>
    <x v="1"/>
    <s v="Dólares"/>
    <s v="Dólares"/>
    <s v="La Comarca"/>
    <s v="Argentina | G.B.A. Zona Norte | Tigre | General Pacheco | Countries/B. Cerrado (General Pacheco) | La Comarca"/>
    <x v="2"/>
    <n v="2"/>
    <s v="Concept"/>
    <s v="Compartida Fuera de la Red Captación Propia"/>
    <x v="0"/>
    <s v="Venta"/>
    <x v="6"/>
    <s v="Tigre"/>
  </r>
  <r>
    <d v="2025-02-27T00:00:00"/>
    <x v="1"/>
    <x v="0"/>
    <s v="CAP6446293"/>
    <x v="0"/>
    <s v="Venta Departamento 3 amb. a estrenar vista al Golf y Laguna C/ cochera subt.  en Yoo Nordelta"/>
    <s v="Realizado"/>
    <s v="AR ZonaProp"/>
    <n v="385000"/>
    <x v="469"/>
    <x v="1"/>
    <s v="Dólares"/>
    <s v="Dólares"/>
    <s v="Venta Departamento 3 amb. a estrenar vista al Golf y Laguna C/ cochera subt.  en Yoo Nordelta"/>
    <s v="Argentina | G.B.A. Zona Norte | Tigre | Countries/B.Cerrado (Tigre) | Nordelta | Yoo Nordelta"/>
    <x v="0"/>
    <n v="2"/>
    <s v="North Team"/>
    <s v="Propia (Único Asesor)"/>
    <x v="1"/>
    <s v="Venta"/>
    <x v="6"/>
    <s v="Pilar"/>
  </r>
  <r>
    <d v="2026-02-04T00:00:00"/>
    <x v="0"/>
    <x v="0"/>
    <s v="OP 219"/>
    <x v="0"/>
    <s v="Bouchard"/>
    <s v="Realizado"/>
    <s v="AR ZonaProp"/>
    <n v="374000"/>
    <x v="470"/>
    <x v="1"/>
    <s v="Dólares"/>
    <s v="Dólares"/>
    <m/>
    <s v="Argentina | G.B.A. Zona Norte | Vicente López | La Lucila"/>
    <x v="0"/>
    <n v="1"/>
    <s v="Seniority Plus"/>
    <s v="Compartida Fuera de la Red Búsqueda"/>
    <x v="2"/>
    <s v="Venta"/>
    <x v="3"/>
    <s v="Palermo"/>
  </r>
  <r>
    <d v="2025-02-13T00:00:00"/>
    <x v="1"/>
    <x v="0"/>
    <s v="CHO6581295"/>
    <x v="0"/>
    <s v="VENTA casa principal   casa de Hues- Península San Pedro, S. C. de Bariloche"/>
    <s v="Realizado"/>
    <s v="Salón"/>
    <n v="375000"/>
    <x v="471"/>
    <x v="1"/>
    <s v="Dólares"/>
    <s v="Dólares"/>
    <s v="Península San Pedro, San Carlos de  Bariloche"/>
    <s v="Argentina | Rio Negro | Bariloche | San Carlos De Bariloche | Península de San Pedro"/>
    <x v="2"/>
    <n v="2"/>
    <s v="Patagonia Lakes BRC"/>
    <s v="Compartida en Oficina (Dos Asesores)"/>
    <x v="1"/>
    <s v="Venta"/>
    <x v="7"/>
    <s v="Bariloche"/>
  </r>
  <r>
    <d v="2025-04-15T00:00:00"/>
    <x v="1"/>
    <x v="3"/>
    <s v="DAP4067573"/>
    <x v="0"/>
    <s v="Departamento de esquina muy luminoso -  2 ambientes - Saavedra"/>
    <s v="Realizado"/>
    <s v="AR ZonaProp"/>
    <n v="60000"/>
    <x v="471"/>
    <x v="1"/>
    <s v="Dólares"/>
    <s v="Dólares"/>
    <s v="Ruiz Huidobro al 3400"/>
    <s v="Argentina | Capital Federal | Saavedra "/>
    <x v="0"/>
    <n v="2"/>
    <s v="Puerto Norte"/>
    <s v="Compartida Fuera de la Red Captación Propia"/>
    <x v="0"/>
    <s v="Venta"/>
    <x v="6"/>
    <s v="Nordelta"/>
  </r>
  <r>
    <d v="2025-08-13T00:00:00"/>
    <x v="1"/>
    <x v="5"/>
    <s v="CAP2653770"/>
    <x v="0"/>
    <s v="Depto. en Palermo Chico!  Cochera. Impecable! Oportunidad"/>
    <s v="Realizado"/>
    <s v="AR ZonaProp"/>
    <n v="370000"/>
    <x v="472"/>
    <x v="1"/>
    <s v="Dólares"/>
    <s v="Dólares"/>
    <s v="Lafinur 3300 "/>
    <s v="Argentina | Capital Federal | Palermo | Palermo Chico"/>
    <x v="0"/>
    <n v="2"/>
    <s v="Seniority"/>
    <s v="Compartida Fuera de la Red Captación Propia"/>
    <x v="0"/>
    <s v="Venta"/>
    <x v="3"/>
    <s v="Barrio Parque"/>
  </r>
  <r>
    <d v="2025-12-16T00:00:00"/>
    <x v="1"/>
    <x v="8"/>
    <s v="CAP7240446"/>
    <x v="0"/>
    <s v="VENTA DEPTO 5 AMB DE CATEGORIA COCHERA Y  BAULERA"/>
    <s v="Realizado"/>
    <s v="AR ZonaProp"/>
    <n v="395000"/>
    <x v="472"/>
    <x v="1"/>
    <s v="Dólares"/>
    <s v="Dólares"/>
    <s v="Cerrito  al 1300"/>
    <s v="Argentina | Capital Federal | Retiro "/>
    <x v="0"/>
    <n v="2"/>
    <s v="Destino"/>
    <s v="Compartida Fuera de la Red Captación Propia"/>
    <x v="0"/>
    <s v="Venta"/>
    <x v="3"/>
    <s v="Recoleta"/>
  </r>
  <r>
    <d v="2025-04-04T00:00:00"/>
    <x v="1"/>
    <x v="3"/>
    <s v="Ayres Plaza"/>
    <x v="0"/>
    <s v="Casa en venta Ayres Plaza 4 ambietes"/>
    <s v="Realizado"/>
    <s v="Referido"/>
    <n v="420000"/>
    <x v="472"/>
    <x v="1"/>
    <s v="Dólares"/>
    <s v="Dólares"/>
    <s v="Chile 849 - La Lonja"/>
    <s v="Argentina | G.B.A. Zona Norte | Pilar | Countries/B.Cerrado (Pilar) | Ayres Plaza"/>
    <x v="2"/>
    <n v="2"/>
    <s v="North Team"/>
    <s v="Propia (Único Asesor)"/>
    <x v="1"/>
    <s v="Venta"/>
    <x v="6"/>
    <s v="Pilar"/>
  </r>
  <r>
    <d v="2025-08-21T00:00:00"/>
    <x v="1"/>
    <x v="5"/>
    <s v="VHO6825953"/>
    <x v="0"/>
    <s v="Casa en  venta en Colegiales. Esquina"/>
    <s v="Realizado"/>
    <s v="AR ZonaProp"/>
    <n v="450000"/>
    <x v="472"/>
    <x v="1"/>
    <s v="Dólares"/>
    <s v="Dólares"/>
    <s v="Amenabar 1000"/>
    <s v="Argentina | Capital Federal | Colegiales "/>
    <x v="2"/>
    <n v="2"/>
    <s v="Space BA"/>
    <s v="Propia (Único Asesor)"/>
    <x v="1"/>
    <s v="Venta"/>
    <x v="3"/>
    <s v="Belgrano"/>
  </r>
  <r>
    <d v="2025-09-18T00:00:00"/>
    <x v="1"/>
    <x v="6"/>
    <s v="CPH7001732"/>
    <x v="0"/>
    <s v="VENTA PH CON COCHERA, PARQUE, PARRILLA Y PILETA, CHACARITA"/>
    <s v="Realizado"/>
    <s v="AR ZonaProp"/>
    <n v="440000"/>
    <x v="472"/>
    <x v="1"/>
    <s v="Dólares"/>
    <s v="Dólares"/>
    <s v="Dorrego al 1400"/>
    <s v="Argentina | Capital Federal | Chacarita "/>
    <x v="3"/>
    <n v="2"/>
    <s v="Seniority Plus"/>
    <s v="Propia (Único Asesor)"/>
    <x v="1"/>
    <s v="Venta"/>
    <x v="3"/>
    <s v="Palermo"/>
  </r>
  <r>
    <d v="2025-07-16T00:00:00"/>
    <x v="1"/>
    <x v="1"/>
    <s v="CAP6917340"/>
    <x v="0"/>
    <s v="VENTA DEPTO 4 AMBIENTES CON COCHERA Y BAULERA - PALERMO HOLLYWOOD"/>
    <s v="Realizado"/>
    <s v="AR ZonaProp"/>
    <n v="450000"/>
    <x v="473"/>
    <x v="1"/>
    <s v="Dólares"/>
    <s v="Dólares"/>
    <s v="Avenida Santa Fe al 5000"/>
    <s v="Argentina | Capital Federal | Palermo | Palermo Hollywood"/>
    <x v="0"/>
    <n v="2"/>
    <s v="Destino II"/>
    <s v="Propia (Único Asesor)"/>
    <x v="1"/>
    <s v="Venta"/>
    <x v="3"/>
    <s v="Recoleta"/>
  </r>
  <r>
    <d v="2025-01-31T00:00:00"/>
    <x v="1"/>
    <x v="10"/>
    <n v="10227"/>
    <x v="0"/>
    <s v="Migueletes 524"/>
    <s v="Realizado"/>
    <s v="Instagram"/>
    <n v="0"/>
    <x v="474"/>
    <x v="1"/>
    <s v="Dólares"/>
    <s v="Dólares"/>
    <m/>
    <s v="Argentina | Capital Federal | Belgrano "/>
    <x v="0"/>
    <n v="1"/>
    <s v="Seniority"/>
    <s v="Compartida Fuera de la Red Búsqueda"/>
    <x v="2"/>
    <s v="Venta"/>
    <x v="3"/>
    <s v="Barrio Parque"/>
  </r>
  <r>
    <d v="2025-08-08T00:00:00"/>
    <x v="1"/>
    <x v="5"/>
    <s v="SANCHEZ DE BUSTAMANTE"/>
    <x v="0"/>
    <s v="DEPARTAMENTO SANCHEZ DE BUSTAMANTE "/>
    <s v="Realizado"/>
    <s v="AR ZonaProp"/>
    <n v="385000"/>
    <x v="474"/>
    <x v="1"/>
    <s v="Dólares"/>
    <s v="Dólares"/>
    <s v="SANCHEZ DE BUSTAMANTE "/>
    <s v="Argentina | Capital Federal | Palermo "/>
    <x v="0"/>
    <n v="1"/>
    <s v="Puerto Norte"/>
    <s v="Compartida Fuera de la Red Búsqueda"/>
    <x v="2"/>
    <s v="Venta"/>
    <x v="6"/>
    <s v="Nordelta"/>
  </r>
  <r>
    <d v="2025-02-27T00:00:00"/>
    <x v="1"/>
    <x v="0"/>
    <s v="CAP5671791"/>
    <x v="0"/>
    <s v="VENTA DEPARTAMENTO 4 AMBIENTES EN BELGRANO-TERRAZA PROPIA-AMENITIES-COCHERA"/>
    <s v="Realizado"/>
    <s v="AR ZonaProp"/>
    <n v="390000"/>
    <x v="475"/>
    <x v="1"/>
    <s v="Dólares"/>
    <s v="Dólares"/>
    <s v="3 de Febrero  al 2300"/>
    <s v="Argentina | Capital Federal | Belgrano "/>
    <x v="0"/>
    <n v="2"/>
    <s v="Seniority Plus"/>
    <s v="Compartida Fuera de la Red Captación Propia"/>
    <x v="0"/>
    <s v="Venta"/>
    <x v="3"/>
    <s v="Palermo"/>
  </r>
  <r>
    <d v="2025-05-13T00:00:00"/>
    <x v="1"/>
    <x v="2"/>
    <s v="VAP6772192"/>
    <x v="0"/>
    <s v="Venta Departamento 3 ambientes con amenities y cochera- Torre Wave Libertador - Vicente López"/>
    <s v="Realizado"/>
    <s v="AR ZonaProp"/>
    <n v="410000"/>
    <x v="475"/>
    <x v="1"/>
    <s v="Dólares"/>
    <s v="Dólares"/>
    <s v="Av. del libertador  al 1200"/>
    <s v="Argentina | G.B.A. Zona Norte | Vicente López | Libertador al Río"/>
    <x v="0"/>
    <n v="2"/>
    <s v="Space BA"/>
    <s v="Propia (Único Asesor)"/>
    <x v="1"/>
    <s v="Venta"/>
    <x v="3"/>
    <s v="Belgrano"/>
  </r>
  <r>
    <d v="2026-01-14T00:00:00"/>
    <x v="0"/>
    <x v="10"/>
    <s v="CAP7508422"/>
    <x v="0"/>
    <s v="VENTA DEPARTAMENTO DUPLEX 4 AMBIENTES CON COCHERA EN BELGRANO"/>
    <s v="Realizado"/>
    <s v="AR ZonaProp"/>
    <n v="390000"/>
    <x v="475"/>
    <x v="1"/>
    <s v="Dólares"/>
    <s v="Dólares"/>
    <s v="leopoldo basavilvaso al 900"/>
    <s v="Argentina | Capital Federal | Belgrano "/>
    <x v="0"/>
    <n v="2"/>
    <s v="Seniority Plus"/>
    <s v="Propia (Único Asesor)"/>
    <x v="1"/>
    <s v="Venta"/>
    <x v="3"/>
    <s v="Palermo"/>
  </r>
  <r>
    <d v="2025-04-08T00:00:00"/>
    <x v="1"/>
    <x v="3"/>
    <s v="DAP6624064"/>
    <x v="0"/>
    <s v="Venta Departamento en Caballito,  6 ambientes, Piso Alto, 2 Cocheras, Seguridad 24hs, Luminoso"/>
    <s v="Realizado"/>
    <s v="Instagram"/>
    <n v="459000"/>
    <x v="476"/>
    <x v="1"/>
    <s v="Dólares"/>
    <s v="Dólares"/>
    <s v="Beauchef  al 400"/>
    <s v="Argentina | Capital Federal | Caballito "/>
    <x v="0"/>
    <n v="2"/>
    <s v="Database"/>
    <s v="Compartida en Oficina (Dos Asesores)"/>
    <x v="1"/>
    <s v="Venta"/>
    <x v="3"/>
    <s v="Núñez"/>
  </r>
  <r>
    <d v="2025-09-23T00:00:00"/>
    <x v="1"/>
    <x v="6"/>
    <s v="VLA6589913"/>
    <x v="0"/>
    <s v="OPORTUNIDAD! Ultimo Lote a la Laguna en Los Lagos - Nordelta"/>
    <s v="Realizado"/>
    <s v="AR ZonaProp"/>
    <n v="410000"/>
    <x v="476"/>
    <x v="1"/>
    <s v="Dólares"/>
    <s v="Dólares"/>
    <s v="OPORTUNIDAD! Ultimo Lote a la Laguna en Los Lagos - Nordelta"/>
    <s v="Argentina | G.B.A. Zona Norte | Tigre | Countries/B.Cerrado (Tigre) | Nordelta | Los Lagos"/>
    <x v="1"/>
    <n v="1"/>
    <s v="Puerto Norte"/>
    <s v="Compartida Fuera de la Red Búsqueda"/>
    <x v="2"/>
    <s v="Venta"/>
    <x v="6"/>
    <s v="Nordelta"/>
  </r>
  <r>
    <d v="2026-03-05T00:00:00"/>
    <x v="0"/>
    <x v="9"/>
    <s v="CCO55415 AP7031058"/>
    <x v="2"/>
    <s v="Departamento tipo duplex 3 amb   playroom y terraza propia - Bouquet Pilar"/>
    <s v="Realizado"/>
    <s v="Referido"/>
    <n v="430000"/>
    <x v="476"/>
    <x v="1"/>
    <s v="Dólares"/>
    <s v="Dólares"/>
    <s v="Departamento tipo duplex 3 amb + playroom y terraza propia - Bouquet Pilar"/>
    <s v="Argentina | G.B.A. Zona Norte | Pilar | Manuel Alberti | Bouquet"/>
    <x v="0"/>
    <n v="2"/>
    <s v="North Team"/>
    <s v="Master"/>
    <x v="1"/>
    <s v="Venta"/>
    <x v="6"/>
    <s v="Pilar"/>
  </r>
  <r>
    <d v="2025-12-03T00:00:00"/>
    <x v="1"/>
    <x v="8"/>
    <s v="CAP6827786"/>
    <x v="0"/>
    <s v="Venta Departamento 3 ambientes con Amenities en Nuñez"/>
    <s v="Realizado"/>
    <s v="AR ZonaProp"/>
    <n v="350000"/>
    <x v="477"/>
    <x v="1"/>
    <s v="Dólares"/>
    <s v="Dólares"/>
    <s v="Tamborini 2600"/>
    <s v="Argentina | Capital Federal | Nuñez | L.De Nuñez"/>
    <x v="0"/>
    <n v="2"/>
    <s v="Seniority Plus"/>
    <s v="Compartida Fuera de la Red Captación Propia"/>
    <x v="0"/>
    <s v="Venta"/>
    <x v="3"/>
    <s v="Palermo"/>
  </r>
  <r>
    <d v="2026-03-09T00:00:00"/>
    <x v="0"/>
    <x v="9"/>
    <n v="9032026"/>
    <x v="0"/>
    <s v="Reserva Venta Tomi Remax Casa- reserva en remax "/>
    <s v="Realizado"/>
    <s v="Teléfono"/>
    <n v="400000"/>
    <x v="478"/>
    <x v="1"/>
    <s v="Dólares"/>
    <s v="Dólares"/>
    <m/>
    <s v="Argentina | Rio Negro | Bariloche "/>
    <x v="2"/>
    <n v="1"/>
    <s v="Patagonia Lakes BRC"/>
    <s v="(Interior) Compartida Fuera de la Red Búsqueda"/>
    <x v="2"/>
    <s v="Venta"/>
    <x v="7"/>
    <s v="Bariloche"/>
  </r>
  <r>
    <d v="2025-10-30T00:00:00"/>
    <x v="1"/>
    <x v="11"/>
    <s v="CLA6884160"/>
    <x v="0"/>
    <s v="Terreno en  en pleno centro apto desarrollo locales comerciales mas 2 viviendas a reformar."/>
    <s v="Realizado"/>
    <s v="AR ZonaProp"/>
    <n v="430000"/>
    <x v="478"/>
    <x v="1"/>
    <s v="Dólares"/>
    <s v="Dólares"/>
    <s v="San Martin  al 121"/>
    <s v="Argentina | Neuquen | Capital | Área Centro Oeste"/>
    <x v="1"/>
    <n v="2"/>
    <s v="Sensus"/>
    <s v="Compartida en Oficina (Dos Asesores)"/>
    <x v="1"/>
    <s v="Venta"/>
    <x v="1"/>
    <s v="Capital Neuquén"/>
  </r>
  <r>
    <d v="2025-10-29T00:00:00"/>
    <x v="1"/>
    <x v="11"/>
    <n v="10582"/>
    <x v="0"/>
    <s v="Virrey Vertiz 2400 "/>
    <s v="Realizado"/>
    <s v="AR ZonaProp"/>
    <n v="400000"/>
    <x v="478"/>
    <x v="1"/>
    <s v="Dólares"/>
    <s v="Dólares"/>
    <s v="Virrey Vertiz 2400 "/>
    <s v="Argentina | Capital Federal | Belgrano "/>
    <x v="0"/>
    <n v="1"/>
    <s v="Seniority"/>
    <s v="Compartida Fuera de la Red Búsqueda"/>
    <x v="2"/>
    <s v="Venta"/>
    <x v="3"/>
    <s v="Barrio Parque"/>
  </r>
  <r>
    <d v="2026-01-27T00:00:00"/>
    <x v="0"/>
    <x v="10"/>
    <s v="N/C - BILLINGHURST 1935"/>
    <x v="0"/>
    <s v="VENTA DPTO 4 AMBIENTES RECICLADO "/>
    <s v="Realizado"/>
    <s v="AR ZonaProp"/>
    <n v="400000"/>
    <x v="478"/>
    <x v="1"/>
    <s v="Dólares"/>
    <s v="Dólares"/>
    <s v="Billinghurst 1935"/>
    <s v="Argentina | Capital Federal | Palermo "/>
    <x v="0"/>
    <n v="1"/>
    <s v="Destino II"/>
    <s v="Compartida Fuera de la Red Búsqueda"/>
    <x v="2"/>
    <s v="Venta"/>
    <x v="3"/>
    <s v="Recoleta"/>
  </r>
  <r>
    <d v="2025-03-27T00:00:00"/>
    <x v="1"/>
    <x v="9"/>
    <s v="VHO4086477"/>
    <x v="0"/>
    <s v="IMPERDIBLE CASA A LA LAGUNA EN PUERTOS DEL LAGO - BARRIO COSTAS"/>
    <s v="Realizado"/>
    <s v="AR ZonaProp"/>
    <n v="450000"/>
    <x v="478"/>
    <x v="1"/>
    <s v="Dólares"/>
    <s v="Dólares"/>
    <s v="CASA A LA LAGUNA EN PUERTOS DEL LAGO - BARRIO COSTAS"/>
    <s v="Argentina | G.B.A. Zona Norte | Escobar | Countries/B.Cerrado (Escobar) | Puertos del Lago"/>
    <x v="2"/>
    <n v="2"/>
    <s v="Puerto Norte"/>
    <s v="Compartida Fuera de la Red Captación Propia"/>
    <x v="0"/>
    <s v="Venta"/>
    <x v="6"/>
    <s v="Nordelta"/>
  </r>
  <r>
    <d v="2025-12-22T00:00:00"/>
    <x v="1"/>
    <x v="8"/>
    <s v="CHO7480698"/>
    <x v="0"/>
    <s v="Venta Casa 3 ambientes Terraza, Quincho Bajo  Belgrano"/>
    <s v="Realizado"/>
    <s v="AR ZonaProp"/>
    <n v="445000"/>
    <x v="478"/>
    <x v="1"/>
    <s v="Dólares"/>
    <s v="Dólares"/>
    <s v="Miñones al 2100"/>
    <s v="Argentina | Capital Federal | Belgrano "/>
    <x v="2"/>
    <n v="2"/>
    <s v="Seniority Plus"/>
    <s v="Compartida Fuera de la Red Captación Propia"/>
    <x v="0"/>
    <s v="Venta"/>
    <x v="3"/>
    <s v="Palermo"/>
  </r>
  <r>
    <d v="2026-03-27T00:00:00"/>
    <x v="0"/>
    <x v="9"/>
    <s v="CHO5816235"/>
    <x v="0"/>
    <s v="Venta Casa en El Principado"/>
    <s v="Realizado"/>
    <s v="AR ZonaProp"/>
    <n v="420000"/>
    <x v="478"/>
    <x v="1"/>
    <s v="Dólares"/>
    <s v="Dólares"/>
    <s v="El Deslinde  al 1300"/>
    <s v="Argentina | G.B.A. Zona Sur | San Vicente | Countries/B.Cerrado (San Vicente) | El Principado"/>
    <x v="2"/>
    <n v="2"/>
    <s v="Seniority"/>
    <s v="Compartida Fuera de la Red Captación Propia"/>
    <x v="0"/>
    <s v="Venta"/>
    <x v="3"/>
    <s v="Barrio Parque"/>
  </r>
  <r>
    <d v="2025-03-31T00:00:00"/>
    <x v="1"/>
    <x v="9"/>
    <s v="VAP4856071"/>
    <x v="0"/>
    <s v="Departamento a la venta - 3 dormitorios con dependencia - Palermo Chico"/>
    <s v="Realizado"/>
    <s v="Teléfono"/>
    <n v="470000"/>
    <x v="478"/>
    <x v="1"/>
    <s v="Dólares"/>
    <s v="Dólares"/>
    <s v="Gelly al 3500"/>
    <s v="Argentina | Capital Federal | Palermo | Palermo Chico"/>
    <x v="0"/>
    <n v="2"/>
    <s v="Space BA"/>
    <s v="Propia (Único Asesor)"/>
    <x v="1"/>
    <s v="Venta"/>
    <x v="3"/>
    <s v="Belgrano"/>
  </r>
  <r>
    <d v="2025-05-16T00:00:00"/>
    <x v="1"/>
    <x v="2"/>
    <s v="CAP6816403"/>
    <x v="0"/>
    <s v="Venta Dpto en ¨La Porteña - FAENA¨-Puerto Madero"/>
    <s v="Realizado"/>
    <s v="AR ZonaProp"/>
    <n v="390000"/>
    <x v="478"/>
    <x v="1"/>
    <s v="Dólares"/>
    <s v="Dólares"/>
    <s v="Martha Salotti al 400"/>
    <s v="Argentina | Capital Federal | Puerto Madero "/>
    <x v="0"/>
    <n v="2"/>
    <s v="Destino II"/>
    <s v="Propia (Único Asesor)"/>
    <x v="1"/>
    <s v="Venta"/>
    <x v="3"/>
    <s v="Recoleta"/>
  </r>
  <r>
    <d v="2025-08-29T00:00:00"/>
    <x v="1"/>
    <x v="5"/>
    <s v="CAP7064252"/>
    <x v="0"/>
    <s v="VENTA DEPARTAMENTO 6 AMBIENTES MAS DEPENDENCIA CON BALCÓN TERRAZA y COCHERA en BELGRANO"/>
    <s v="Realizado"/>
    <s v="AR ZonaProp"/>
    <n v="430000"/>
    <x v="478"/>
    <x v="1"/>
    <s v="Dólares"/>
    <s v="Dólares"/>
    <s v="Av Federico Lacroze al 2300"/>
    <s v="Argentina | Capital Federal | Belgrano "/>
    <x v="0"/>
    <n v="2"/>
    <s v="Seniority Plus"/>
    <s v="Propia (Único Asesor)"/>
    <x v="1"/>
    <s v="Venta"/>
    <x v="3"/>
    <s v="Palermo"/>
  </r>
  <r>
    <d v="2025-10-28T00:00:00"/>
    <x v="1"/>
    <x v="11"/>
    <s v="FLOREAN PAMPA "/>
    <x v="0"/>
    <s v="DEPARTAMENTO FLOREAN PAMPA"/>
    <s v="Realizado"/>
    <s v="AR MercadoLibre"/>
    <n v="402500"/>
    <x v="479"/>
    <x v="1"/>
    <s v="Dólares"/>
    <s v="Dólares"/>
    <s v="FLOREAN PAMPA - LA PAMPA 2975"/>
    <s v="Argentina | Capital Federal | Belgrano | Belgrano R"/>
    <x v="0"/>
    <n v="1"/>
    <s v="Puerto Norte"/>
    <s v="Compartida Fuera de la Red Búsqueda"/>
    <x v="2"/>
    <s v="Venta"/>
    <x v="6"/>
    <s v="Nordelta"/>
  </r>
  <r>
    <d v="2025-01-02T00:00:00"/>
    <x v="1"/>
    <x v="10"/>
    <s v="CAP6363861"/>
    <x v="0"/>
    <s v="Venta Departamento 3 Ambientes en Complejo Al Río c/ cochera - baulera - balcón"/>
    <s v="Realizado"/>
    <s v="AR ZonaProp"/>
    <n v="420000"/>
    <x v="480"/>
    <x v="1"/>
    <s v="Dólares"/>
    <s v="Dólares"/>
    <s v="Juan Carlos Cruz 100"/>
    <s v="Argentina | G.B.A. Zona Norte | Vicente López | Libertador al Río"/>
    <x v="0"/>
    <n v="1"/>
    <s v="Seniority Plus"/>
    <s v="Compartida Fuera de la Red Búsqueda"/>
    <x v="2"/>
    <s v="Venta"/>
    <x v="3"/>
    <s v="Palermo"/>
  </r>
  <r>
    <d v="2026-03-11T00:00:00"/>
    <x v="0"/>
    <x v="9"/>
    <s v="CAP7629432"/>
    <x v="0"/>
    <s v="Venta Duplex en Belgrano para Remodelar. Vista Abierta!"/>
    <s v="Realizado"/>
    <s v="AR ZonaProp"/>
    <n v="449000"/>
    <x v="480"/>
    <x v="1"/>
    <s v="Dólares"/>
    <s v="Dólares"/>
    <s v="11 de septiembre al 900"/>
    <s v="Argentina | Capital Federal | Palermo "/>
    <x v="0"/>
    <n v="1"/>
    <s v="Seniority"/>
    <s v="Compartida Fuera de la Red Búsqueda"/>
    <x v="2"/>
    <s v="Venta"/>
    <x v="3"/>
    <s v="Barrio Parque"/>
  </r>
  <r>
    <d v="2026-03-30T00:00:00"/>
    <x v="0"/>
    <x v="9"/>
    <s v="Aguaribay balcones"/>
    <x v="0"/>
    <s v="Casa en aguaribay balcones"/>
    <s v="Realizado"/>
    <s v="AR ZonaProp"/>
    <n v="410000"/>
    <x v="481"/>
    <x v="1"/>
    <s v="Dólares"/>
    <s v="Dólares"/>
    <m/>
    <s v="Argentina | Mendoza | Lujan De Cuyo | Chacras De Coria"/>
    <x v="2"/>
    <n v="1"/>
    <s v="Cuyo Real"/>
    <s v="(Interior) Compartida Fuera de la Red Búsqueda"/>
    <x v="2"/>
    <s v="Venta"/>
    <x v="2"/>
    <s v="Capital Mendoza"/>
  </r>
  <r>
    <d v="2025-04-30T00:00:00"/>
    <x v="1"/>
    <x v="3"/>
    <n v="6"/>
    <x v="0"/>
    <s v="Venta departamento Belgrano 11 de Septiembre"/>
    <s v="Realizado"/>
    <s v="Instagram"/>
    <n v="400000"/>
    <x v="481"/>
    <x v="1"/>
    <s v="Dólares"/>
    <s v="Dólares"/>
    <s v="11 de Septiembre 1888"/>
    <s v="Argentina | Capital Federal | Belgrano "/>
    <x v="0"/>
    <n v="1"/>
    <s v="Grupo Elite"/>
    <s v="Compartida Fuera de la Red Búsqueda"/>
    <x v="2"/>
    <s v="Venta"/>
    <x v="3"/>
    <s v="Puerto Madero"/>
  </r>
  <r>
    <d v="2026-02-18T00:00:00"/>
    <x v="0"/>
    <x v="0"/>
    <s v="CLA7420038"/>
    <x v="0"/>
    <s v="VENTA Lote Terreno 420 m2 Centro San Martin de los Andes"/>
    <s v="Realizado"/>
    <s v="Conocido"/>
    <n v="499000"/>
    <x v="482"/>
    <x v="1"/>
    <s v="Dólares"/>
    <s v="Dólares"/>
    <s v="Villegas 800"/>
    <s v="Argentina | Neuquen | Lacar | San Martin De Los Andes | Centro"/>
    <x v="2"/>
    <n v="1"/>
    <s v="Patagonia Lakes SMA"/>
    <s v="(Interior) Compartida Fuera de la Red Captación Propia"/>
    <x v="0"/>
    <s v="Venta"/>
    <x v="1"/>
    <s v="San Martín de los Andes"/>
  </r>
  <r>
    <d v="2025-12-16T00:00:00"/>
    <x v="1"/>
    <x v="8"/>
    <s v="CAP6883446"/>
    <x v="0"/>
    <s v="Venta. Departamento 4 ambientes con jardin, San Isidro"/>
    <s v="Realizado"/>
    <s v="AR ZonaProp"/>
    <n v="425000"/>
    <x v="483"/>
    <x v="1"/>
    <s v="Dólares"/>
    <s v="Dólares"/>
    <s v="Juan Jose Diaz  al 800"/>
    <s v="Argentina | G.B.A. Zona Norte | San Isidro | San Isidro | S.Isi.-Vias/Libert."/>
    <x v="0"/>
    <n v="2"/>
    <s v="Seniority"/>
    <s v="Propia (Único Asesor)"/>
    <x v="1"/>
    <s v="Venta"/>
    <x v="3"/>
    <s v="Barrio Parque"/>
  </r>
  <r>
    <d v="2025-07-15T00:00:00"/>
    <x v="1"/>
    <x v="1"/>
    <s v="CAP7051075"/>
    <x v="0"/>
    <s v="Departamento en  venta 4amb más dep con balcón 2coch y 2 baul"/>
    <s v="Realizado"/>
    <s v="AR ArgenProp"/>
    <n v="440000"/>
    <x v="484"/>
    <x v="1"/>
    <s v="Dólares"/>
    <s v="Dólares"/>
    <s v="Arcos al 1600"/>
    <s v="Argentina | Capital Federal | Belgrano "/>
    <x v="0"/>
    <n v="2"/>
    <s v="Lion Team"/>
    <s v="Propia (Único Asesor)"/>
    <x v="1"/>
    <s v="Venta"/>
    <x v="3"/>
    <s v="Villa Urquiza"/>
  </r>
  <r>
    <d v="2025-10-13T00:00:00"/>
    <x v="1"/>
    <x v="11"/>
    <s v="CHO6870424"/>
    <x v="0"/>
    <s v="VENTA CASA EN BELGRANO R, 3 DORMITORIOS, GRAN PLAYROOM, GARAGE PARA 2 AUTOS."/>
    <s v="Realizado"/>
    <s v="AR ZonaProp"/>
    <n v="470000"/>
    <x v="484"/>
    <x v="1"/>
    <s v="Dólares"/>
    <s v="Dólares"/>
    <s v="Carbajal al 3600"/>
    <s v="Argentina | Capital Federal | Belgrano | Belgrano R"/>
    <x v="2"/>
    <n v="2"/>
    <s v="Seniority"/>
    <s v="Propia (Único Asesor)"/>
    <x v="1"/>
    <s v="Venta"/>
    <x v="3"/>
    <s v="Barrio Parque"/>
  </r>
  <r>
    <d v="2025-11-27T00:00:00"/>
    <x v="1"/>
    <x v="7"/>
    <s v="CHO6880418"/>
    <x v="0"/>
    <s v="Casa  Cabaña en  venta Bariloche"/>
    <s v="Realizado"/>
    <s v="Salón"/>
    <n v="425000"/>
    <x v="484"/>
    <x v="1"/>
    <s v="Dólares"/>
    <s v="Dólares"/>
    <s v="Melipal, San Carlos de Bariloche"/>
    <s v="Argentina | Rio Negro | Bariloche | San Carlos De Bariloche | Melipal"/>
    <x v="2"/>
    <n v="2"/>
    <s v="Patagonia Lakes BRC"/>
    <s v="Propia (Único Asesor)"/>
    <x v="1"/>
    <s v="Venta"/>
    <x v="7"/>
    <s v="Bariloche"/>
  </r>
  <r>
    <d v="2025-06-06T00:00:00"/>
    <x v="1"/>
    <x v="4"/>
    <s v="CHO6190343"/>
    <x v="0"/>
    <s v="Casa 5 Dormitorios - Haras La Pradera - Pilar"/>
    <s v="Realizado"/>
    <s v="Referido"/>
    <n v="454500"/>
    <x v="485"/>
    <x v="1"/>
    <s v="Dólares"/>
    <s v="Dólares"/>
    <s v="Casa 5 Dormitorios - La Pradera Barrio Privado - Pilar "/>
    <s v="Argentina | G.B.A. Zona Norte | Pilar | Countries/B.Cerrado (Pilar) | La Pradera I"/>
    <x v="2"/>
    <n v="2"/>
    <s v="North Team"/>
    <s v="Propia (Único Asesor)"/>
    <x v="1"/>
    <s v="Venta"/>
    <x v="6"/>
    <s v="Pilar"/>
  </r>
  <r>
    <d v="2026-02-11T00:00:00"/>
    <x v="0"/>
    <x v="0"/>
    <s v="CHO7484778"/>
    <x v="0"/>
    <s v="Casa en Venta 5 dormitorios con amplios espacios y comodidades, luminosa! Ceibos puertos del Lago"/>
    <s v="Realizado"/>
    <s v="AR ZonaProp"/>
    <n v="458000"/>
    <x v="486"/>
    <x v="1"/>
    <s v="Dólares"/>
    <s v="Dólares"/>
    <s v="Casa en Venta 5 dormitorios con amplios espacios y comodidades, luminosa! Puertos del Lago Ceibos"/>
    <s v="Argentina | G.B.A. Zona Norte | Escobar | Countries/B.Cerrado (Escobar) | Puertos del Lago | Ceibos"/>
    <x v="2"/>
    <n v="2"/>
    <s v="Puerto Norte"/>
    <s v="Compartida en Oficina (Dos Asesores)"/>
    <x v="1"/>
    <s v="Venta"/>
    <x v="6"/>
    <s v="Nordelta"/>
  </r>
  <r>
    <d v="2025-12-25T00:00:00"/>
    <x v="1"/>
    <x v="8"/>
    <s v="VHO6518561"/>
    <x v="0"/>
    <s v="Casa en venta en San Matias a la laguna - A estrenar"/>
    <s v="Realizado"/>
    <s v="AR MercadoLibre"/>
    <n v="450000"/>
    <x v="486"/>
    <x v="1"/>
    <s v="Dólares"/>
    <s v="Dólares"/>
    <s v="Area 1 - San Matias - Maschwitz - Escobar"/>
    <s v="Argentina | G.B.A. Zona Norte | Escobar | Countries/B.Cerrado (Escobar) | San Matias"/>
    <x v="2"/>
    <n v="2"/>
    <s v="Puerto Norte"/>
    <s v="Propia (Único Asesor)"/>
    <x v="1"/>
    <s v="Venta"/>
    <x v="6"/>
    <s v="Nordelta"/>
  </r>
  <r>
    <d v="2026-01-06T00:00:00"/>
    <x v="0"/>
    <x v="10"/>
    <s v="CPH7289966"/>
    <x v="0"/>
    <s v="VENTA CASA en La Lucila 6 ambientes con jardin parrilla cocheras"/>
    <s v="Realizado"/>
    <s v="AR ZonaProp"/>
    <n v="470000"/>
    <x v="486"/>
    <x v="1"/>
    <s v="Dólares"/>
    <s v="Dólares"/>
    <s v="Jose ingenieros al 1000"/>
    <s v="Argentina | G.B.A. Zona Norte | Vicente López | La Lucila"/>
    <x v="2"/>
    <n v="2"/>
    <s v="Seniority"/>
    <s v="Propia (Único Asesor)"/>
    <x v="1"/>
    <s v="Venta"/>
    <x v="3"/>
    <s v="Barrio Parque"/>
  </r>
  <r>
    <d v="2025-04-29T00:00:00"/>
    <x v="1"/>
    <x v="3"/>
    <s v="Venta "/>
    <x v="0"/>
    <s v="DOMUS LIBERTADOR"/>
    <s v="Realizado"/>
    <s v="AR ZonaProp"/>
    <n v="440000"/>
    <x v="487"/>
    <x v="1"/>
    <s v="Dólares"/>
    <s v="Dólares"/>
    <s v="Av. Libertador 2899 Piso 4"/>
    <s v="Argentina | G.B.A. Zona Norte | Vicente López | Olivos"/>
    <x v="0"/>
    <n v="1"/>
    <s v="Space BA"/>
    <s v="Compartida Fuera de la Red Búsqueda"/>
    <x v="2"/>
    <s v="Venta"/>
    <x v="3"/>
    <s v="Belgrano"/>
  </r>
  <r>
    <d v="2025-12-18T00:00:00"/>
    <x v="1"/>
    <x v="8"/>
    <m/>
    <x v="0"/>
    <s v="Juncal 1635 -  Irazoft - sol Lorenzo"/>
    <s v="Realizado"/>
    <s v="AR ZonaProp"/>
    <n v="440000"/>
    <x v="487"/>
    <x v="1"/>
    <s v="Dólares"/>
    <s v="Dólares"/>
    <s v="Juncal 1635"/>
    <s v="Argentina | Capital Federal | Recoleta "/>
    <x v="0"/>
    <n v="1"/>
    <s v="Destino"/>
    <s v="Compartida Fuera de la Red Búsqueda"/>
    <x v="2"/>
    <s v="Venta"/>
    <x v="3"/>
    <s v="Recoleta"/>
  </r>
  <r>
    <d v="2026-01-08T00:00:00"/>
    <x v="0"/>
    <x v="10"/>
    <s v="JAP7480601"/>
    <x v="0"/>
    <s v="VENTA DEPARTAMENTO 3 AMBIENTES - COCHERA - AMENITIES - ASTOR PALERMO"/>
    <s v="Realizado"/>
    <s v="AR ZonaProp"/>
    <n v="465000"/>
    <x v="488"/>
    <x v="1"/>
    <s v="Dólares"/>
    <s v="Dólares"/>
    <s v="Beruti  al 3300"/>
    <s v="Argentina | Capital Federal | Palermo "/>
    <x v="0"/>
    <n v="2"/>
    <s v="Lion Team Norte"/>
    <s v="Propia (Único Asesor)"/>
    <x v="1"/>
    <s v="Venta"/>
    <x v="6"/>
    <s v="Vicente López"/>
  </r>
  <r>
    <d v="2026-01-16T00:00:00"/>
    <x v="0"/>
    <x v="10"/>
    <s v="AAA6577559"/>
    <x v="0"/>
    <s v="Casa en VENTA de 3 habitaciones | Barrio Las Tipas, Nordelta | Tigre"/>
    <s v="Realizado"/>
    <s v="AR ZonaProp"/>
    <n v="500000"/>
    <x v="489"/>
    <x v="1"/>
    <s v="Dólares"/>
    <s v="Dólares"/>
    <s v="Casa en venta de 3 habitaciones | Las Tipas, Nordelta | Tigre"/>
    <s v="Argentina | G.B.A. Zona Norte | Tigre | Countries/B.Cerrado (Tigre) | Nordelta | Las Tipas"/>
    <x v="2"/>
    <n v="1"/>
    <s v="Puerto Norte"/>
    <s v="Compartida Fuera de la Red Búsqueda"/>
    <x v="2"/>
    <s v="Venta"/>
    <x v="6"/>
    <s v="Nordelta"/>
  </r>
  <r>
    <d v="2025-04-30T00:00:00"/>
    <x v="1"/>
    <x v="3"/>
    <s v="CLA4693523"/>
    <x v="0"/>
    <s v="VENTA Lote/Terreno 10 Has Genoveva Beveraggi Colonia Suiza Bariloche"/>
    <s v="Realizado"/>
    <s v="Teléfono"/>
    <n v="490000"/>
    <x v="490"/>
    <x v="1"/>
    <s v="Dólares"/>
    <s v="Dólares"/>
    <s v="Genoveva Bevergagi, Bariloche"/>
    <s v="Argentina | Rio Negro | Bariloche | Colonia Suiza"/>
    <x v="1"/>
    <n v="1"/>
    <s v="Patagonia Lakes BRC"/>
    <s v="(Interior) Compartida Fuera de la Red Captación Propia"/>
    <x v="0"/>
    <s v="Venta"/>
    <x v="7"/>
    <s v="Bariloche"/>
  </r>
  <r>
    <d v="2025-06-27T00:00:00"/>
    <x v="1"/>
    <x v="4"/>
    <s v="CAP6913963"/>
    <x v="0"/>
    <s v="VENTA DEPARTAMENTO 4 AMBIENTES EN RECOLETA"/>
    <s v="Realizado"/>
    <s v="AR ZonaProp"/>
    <n v="450000"/>
    <x v="490"/>
    <x v="1"/>
    <s v="Dólares"/>
    <s v="Dólares"/>
    <s v="Av. Presidente Manuel Quintana  50"/>
    <s v="Argentina | Capital Federal | Recoleta "/>
    <x v="0"/>
    <n v="2"/>
    <s v="Seniority"/>
    <s v="Propia (Único Asesor)"/>
    <x v="1"/>
    <s v="Venta"/>
    <x v="3"/>
    <s v="Barrio Parque"/>
  </r>
  <r>
    <d v="2025-07-11T00:00:00"/>
    <x v="1"/>
    <x v="1"/>
    <s v="CHO6908951"/>
    <x v="0"/>
    <s v="Venta casa triplex 5 ambientes cocheras pileta Caballito"/>
    <s v="Realizado"/>
    <s v="AR MercadoLibre"/>
    <n v="480000"/>
    <x v="490"/>
    <x v="1"/>
    <s v="Dólares"/>
    <s v="Dólares"/>
    <s v="Viel al 800"/>
    <s v="Argentina | Capital Federal | Caballito | Caballito Sur"/>
    <x v="2"/>
    <n v="2"/>
    <s v="Grupo Elite"/>
    <s v="Propia (Único Asesor)"/>
    <x v="1"/>
    <s v="Venta"/>
    <x v="3"/>
    <s v="Puerto Madero"/>
  </r>
  <r>
    <d v="2025-08-22T00:00:00"/>
    <x v="1"/>
    <x v="5"/>
    <s v="CAP7020570"/>
    <x v="0"/>
    <s v="Venta Departamento en  2 ambientes con balcon Recoleta"/>
    <s v="Realizado"/>
    <s v="AR ZonaProp"/>
    <n v="120000"/>
    <x v="491"/>
    <x v="1"/>
    <s v="Dólares"/>
    <s v="Dólares"/>
    <s v="Las Heras al 1800"/>
    <s v="Argentina | Capital Federal | Recoleta "/>
    <x v="0"/>
    <n v="1"/>
    <s v="Puerto Norte"/>
    <s v="Compartida Fuera de la Red Búsqueda"/>
    <x v="2"/>
    <s v="Venta"/>
    <x v="6"/>
    <s v="Nordelta"/>
  </r>
  <r>
    <d v="2025-10-24T00:00:00"/>
    <x v="1"/>
    <x v="11"/>
    <n v="10574"/>
    <x v="0"/>
    <s v="Tejedor"/>
    <s v="Realizado"/>
    <s v="AR ZonaProp"/>
    <n v="460000"/>
    <x v="491"/>
    <x v="1"/>
    <s v="Dólares"/>
    <s v="Dólares"/>
    <s v="tejedor"/>
    <s v="Argentina | G.B.A. Zona Norte | San Isidro "/>
    <x v="2"/>
    <n v="1"/>
    <s v="Seniority"/>
    <s v="Compartida Fuera de la Red Búsqueda"/>
    <x v="2"/>
    <s v="Venta"/>
    <x v="3"/>
    <s v="Barrio Parque"/>
  </r>
  <r>
    <d v="2025-06-11T00:00:00"/>
    <x v="1"/>
    <x v="4"/>
    <s v="CAP6498409"/>
    <x v="0"/>
    <s v="Departamento en venta en Recoleta - Bajas expensas!!!"/>
    <s v="Realizado"/>
    <s v="AR ZonaProp"/>
    <n v="490000"/>
    <x v="491"/>
    <x v="1"/>
    <s v="Dólares"/>
    <s v="Dólares"/>
    <s v="CALLAO Y GUIDO"/>
    <s v="Argentina | Capital Federal | Recoleta "/>
    <x v="0"/>
    <n v="2"/>
    <s v="Puerto Norte"/>
    <s v="Propia (Único Asesor)"/>
    <x v="1"/>
    <s v="Venta"/>
    <x v="6"/>
    <s v="Nordelta"/>
  </r>
  <r>
    <d v="2025-09-26T00:00:00"/>
    <x v="1"/>
    <x v="6"/>
    <s v="CHO7110062"/>
    <x v="0"/>
    <s v="RESERVADO---VENTA casa en San Isidro, 3 dormitorios, jardín y pileta."/>
    <s v="Realizado"/>
    <s v="AR ZonaProp"/>
    <n v="525000"/>
    <x v="491"/>
    <x v="1"/>
    <s v="Dólares"/>
    <s v="Dólares"/>
    <s v="Carlos Tejedor  al 400"/>
    <s v="Argentina | G.B.A. Zona Norte | San Isidro | Boulogne Sur Mer"/>
    <x v="2"/>
    <n v="2"/>
    <s v="Seniority"/>
    <s v="Propia (Único Asesor)"/>
    <x v="1"/>
    <s v="Venta"/>
    <x v="3"/>
    <s v="Barrio Parque"/>
  </r>
  <r>
    <d v="2025-10-30T00:00:00"/>
    <x v="1"/>
    <x v="11"/>
    <s v="CAP6845163"/>
    <x v="0"/>
    <s v="Departamento en venta 4 dormitorios"/>
    <s v="Realizado"/>
    <s v="AR ZonaProp"/>
    <n v="490000"/>
    <x v="492"/>
    <x v="1"/>
    <s v="Dólares"/>
    <s v="Dólares"/>
    <s v="Santa fe  al 900"/>
    <s v="Argentina | Capital Federal | Retiro "/>
    <x v="0"/>
    <n v="1"/>
    <s v="Puerto Norte"/>
    <s v="Compartida Fuera de la Red Búsqueda"/>
    <x v="2"/>
    <s v="Venta"/>
    <x v="6"/>
    <s v="Nordelta"/>
  </r>
  <r>
    <d v="2025-06-11T00:00:00"/>
    <x v="1"/>
    <x v="4"/>
    <s v="IAP1176434"/>
    <x v="0"/>
    <s v="Montevideo 1950 Piso 5 Contrafrente muy Luminoso"/>
    <s v="Realizado"/>
    <s v="AR ZonaProp"/>
    <n v="590000"/>
    <x v="493"/>
    <x v="1"/>
    <s v="Dólares"/>
    <s v="Dólares"/>
    <s v="Montevideo al 1900"/>
    <s v="Argentina | Capital Federal | Recoleta "/>
    <x v="0"/>
    <n v="2"/>
    <s v="Puerto Norte"/>
    <s v="Compartida Fuera de la Red Captación Propia"/>
    <x v="0"/>
    <s v="Venta"/>
    <x v="6"/>
    <s v="Nordelta"/>
  </r>
  <r>
    <d v="2025-06-11T00:00:00"/>
    <x v="1"/>
    <x v="4"/>
    <m/>
    <x v="0"/>
    <s v="Casa 3 dormitorios en suite una planta"/>
    <s v="Realizado"/>
    <s v="Conocido"/>
    <n v="549000"/>
    <x v="494"/>
    <x v="1"/>
    <s v="Dólares"/>
    <s v="Dólares"/>
    <m/>
    <s v="Argentina | G.B.A. Zona Norte | Pilar | Countries/B.Cerrado (Pilar) | Ayres Plaza"/>
    <x v="2"/>
    <n v="2"/>
    <s v="North Team"/>
    <s v="Propia (Único Asesor)"/>
    <x v="1"/>
    <s v="Venta"/>
    <x v="6"/>
    <s v="Pilar"/>
  </r>
  <r>
    <d v="2026-03-31T00:00:00"/>
    <x v="0"/>
    <x v="9"/>
    <s v="CHO7685979"/>
    <x v="0"/>
    <s v="VENTA CASA 5 AMBIENTES RECICLADA CON DEPENDENCIA, JARDIN Y PILETA MARTINEZ, SAN ISIDRO"/>
    <s v="Realizado"/>
    <s v="AR ZonaProp"/>
    <n v="475000"/>
    <x v="494"/>
    <x v="1"/>
    <s v="Dólares"/>
    <s v="Dólares"/>
    <s v="ARENALES al 2400"/>
    <s v="Argentina | G.B.A. Zona Norte | San Isidro | Martinez"/>
    <x v="2"/>
    <n v="2"/>
    <s v="Seniority"/>
    <s v="Propia (Único Asesor)"/>
    <x v="1"/>
    <s v="Venta"/>
    <x v="3"/>
    <s v="Barrio Parque"/>
  </r>
  <r>
    <d v="2025-10-29T00:00:00"/>
    <x v="1"/>
    <x v="11"/>
    <s v="JHO7016937"/>
    <x v="0"/>
    <s v="Casa en  Ayres de PIlar"/>
    <s v="Realizado"/>
    <s v="AR ZonaProp"/>
    <n v="490000"/>
    <x v="495"/>
    <x v="1"/>
    <s v="Dólares"/>
    <s v="Dólares"/>
    <s v="Ruta Panamericana km 43.5"/>
    <s v="Argentina | G.B.A. Zona Norte | Pilar | Countries/B.Cerrado (Pilar) | Ayres de Pilar"/>
    <x v="2"/>
    <n v="1"/>
    <s v="Lion Team Norte"/>
    <s v="(Interior) Compartida Fuera de la Red Búsqueda"/>
    <x v="2"/>
    <s v="Venta"/>
    <x v="6"/>
    <s v="Vicente López"/>
  </r>
  <r>
    <d v="2025-03-21T00:00:00"/>
    <x v="1"/>
    <x v="9"/>
    <s v="JAP6310392"/>
    <x v="0"/>
    <s v="Venta Oportunidad 4 ambientes vista unica al rio con cochera "/>
    <s v="Realizado"/>
    <s v="AR ZonaProp"/>
    <n v="489000"/>
    <x v="495"/>
    <x v="1"/>
    <s v="Dólares"/>
    <s v="Dólares"/>
    <s v="Avenida del Libertador  al 100"/>
    <s v="Argentina | G.B.A. Zona Norte | Vicente López | Barrio Vicente López | V.Lopez-Vias/Rio"/>
    <x v="0"/>
    <n v="2"/>
    <s v="Lion Team Norte"/>
    <s v="Propia (Único Asesor)"/>
    <x v="1"/>
    <s v="Venta"/>
    <x v="6"/>
    <s v="Vicente López"/>
  </r>
  <r>
    <d v="2025-07-29T00:00:00"/>
    <x v="1"/>
    <x v="1"/>
    <s v="CAP6592313"/>
    <x v="0"/>
    <s v="VENTA DEPARTAMENTO 4 AMBIENTES EN PALERMO, LAS CAÑITAS"/>
    <s v="Realizado"/>
    <s v="AR ZonaProp"/>
    <n v="559000"/>
    <x v="496"/>
    <x v="1"/>
    <s v="Dólares"/>
    <s v="Dólares"/>
    <s v="Jorge Newbery al 1600"/>
    <s v="Argentina | Capital Federal | Palermo | Las Cañitas"/>
    <x v="0"/>
    <n v="2"/>
    <s v="Seniority"/>
    <s v="Propia (Único Asesor)"/>
    <x v="1"/>
    <s v="Venta"/>
    <x v="3"/>
    <s v="Barrio Parque"/>
  </r>
  <r>
    <d v="2025-06-11T00:00:00"/>
    <x v="1"/>
    <x v="4"/>
    <s v="CHO6780447"/>
    <x v="0"/>
    <s v="Casa en venta 5 dormitorios mas play mas estudio Haras Santa Maria El Molino Norte"/>
    <s v="Realizado"/>
    <s v="Referido"/>
    <n v="520000"/>
    <x v="497"/>
    <x v="1"/>
    <s v="Dólares"/>
    <s v="Dólares"/>
    <s v="Barrio Haras Santa Maria Loma Verde Escobar"/>
    <s v="Argentina | G.B.A. Zona Norte | Escobar | Countries/B.Cerrado (Escobar) | Haras Santa Maria"/>
    <x v="2"/>
    <n v="2"/>
    <s v="North Team"/>
    <s v="Propia (Único Asesor)"/>
    <x v="1"/>
    <s v="Venta"/>
    <x v="6"/>
    <s v="Pilar"/>
  </r>
  <r>
    <d v="2026-03-12T00:00:00"/>
    <x v="0"/>
    <x v="9"/>
    <s v="CHO7592112"/>
    <x v="0"/>
    <s v="Casa en San Martin De Los Andes"/>
    <s v="Realizado"/>
    <s v="Conocido"/>
    <n v="525000"/>
    <x v="498"/>
    <x v="1"/>
    <s v="Dólares"/>
    <s v="Dólares"/>
    <s v="VENTA DE CASA EN B° VEGA CHICA,  SAN MARTIN DE LOS ANDES"/>
    <s v="Argentina | Neuquen | Lacar | San Martin De Los Andes"/>
    <x v="2"/>
    <n v="2"/>
    <s v="Patagonia Lakes SMA"/>
    <s v="Compartida en Oficina (Dos Asesores)"/>
    <x v="1"/>
    <s v="Venta"/>
    <x v="1"/>
    <s v="San Martín de los Andes"/>
  </r>
  <r>
    <d v="2025-03-20T00:00:00"/>
    <x v="1"/>
    <x v="9"/>
    <s v="CLA6163575"/>
    <x v="0"/>
    <s v="VENTA TERRENO RECOLETA 1200 M2 VENDIBLES"/>
    <s v="Realizado"/>
    <s v="AR ZonaProp"/>
    <n v="650000"/>
    <x v="499"/>
    <x v="1"/>
    <s v="Dólares"/>
    <s v="Dólares"/>
    <s v="Billinghurst 1361"/>
    <s v="Argentina | Capital Federal | Recoleta "/>
    <x v="1"/>
    <n v="2"/>
    <s v="Seniority"/>
    <s v="Propia (Único Asesor)"/>
    <x v="1"/>
    <s v="Venta"/>
    <x v="3"/>
    <s v="Barrio Parque"/>
  </r>
  <r>
    <d v="2025-03-28T00:00:00"/>
    <x v="1"/>
    <x v="9"/>
    <s v="Forest 1236"/>
    <x v="0"/>
    <s v="Forest 1236"/>
    <s v="Realizado"/>
    <s v="AR ZonaProp"/>
    <n v="500000"/>
    <x v="499"/>
    <x v="1"/>
    <s v="Dólares"/>
    <s v="Dólares"/>
    <s v="Forest 1236"/>
    <s v="Argentina | Capital Federal | Colegiales "/>
    <x v="1"/>
    <n v="2"/>
    <s v="Lion Team Norte"/>
    <s v="Propia (Único Asesor)"/>
    <x v="1"/>
    <s v="Venta"/>
    <x v="6"/>
    <s v="Vicente López"/>
  </r>
  <r>
    <d v="2026-03-16T00:00:00"/>
    <x v="0"/>
    <x v="9"/>
    <s v="CHO7728122"/>
    <x v="0"/>
    <s v="Casa en venta en Barrio Santa Barbara "/>
    <s v="Realizado"/>
    <s v="AR MercadoLibre"/>
    <n v="990000"/>
    <x v="500"/>
    <x v="1"/>
    <s v="Dólares"/>
    <s v="Dólares"/>
    <s v="Barrio Santa Barbara"/>
    <s v="Argentina | G.B.A. Zona Norte | Tigre | Countries/B.Cerrado (Tigre) | Santa Barbara"/>
    <x v="2"/>
    <n v="1"/>
    <s v="Puerto Norte"/>
    <s v="Compartida Fuera de la Red Búsqueda"/>
    <x v="2"/>
    <s v="Venta"/>
    <x v="6"/>
    <s v="Nordelta"/>
  </r>
  <r>
    <d v="2025-10-15T00:00:00"/>
    <x v="1"/>
    <x v="11"/>
    <m/>
    <x v="0"/>
    <s v="DEPARTAMENTO BERUTI "/>
    <s v="Realizado"/>
    <s v="AR ArgenProp"/>
    <n v="515000"/>
    <x v="501"/>
    <x v="1"/>
    <s v="Dólares"/>
    <s v="Dólares"/>
    <s v="BERUTI 4642"/>
    <s v="Argentina | Capital Federal | Palermo "/>
    <x v="0"/>
    <n v="1"/>
    <s v="Haka"/>
    <s v="Compartida Fuera de la Red Búsqueda"/>
    <x v="2"/>
    <s v="Venta"/>
    <x v="3"/>
    <s v="Núñez"/>
  </r>
  <r>
    <d v="2026-03-10T00:00:00"/>
    <x v="0"/>
    <x v="9"/>
    <n v="10722"/>
    <x v="0"/>
    <s v="Osten Tower I"/>
    <s v="Realizado"/>
    <s v="AR ZonaProp"/>
    <n v="515000"/>
    <x v="501"/>
    <x v="1"/>
    <s v="Dólares"/>
    <s v="Dólares"/>
    <s v="Julieta Lanteri"/>
    <s v="Argentina | Capital Federal | Puerto Madero "/>
    <x v="0"/>
    <n v="1"/>
    <s v="Seniority"/>
    <s v="Compartida Fuera de la Red Búsqueda"/>
    <x v="2"/>
    <s v="Venta"/>
    <x v="3"/>
    <s v="Barrio Parque"/>
  </r>
  <r>
    <d v="2025-11-18T00:00:00"/>
    <x v="1"/>
    <x v="7"/>
    <n v="14112025"/>
    <x v="0"/>
    <s v="Reserva Venta Gustavo Campo Ñorquinco Remax Mike "/>
    <s v="Realizado"/>
    <s v="Salón"/>
    <n v="520000"/>
    <x v="502"/>
    <x v="1"/>
    <s v="Dólares"/>
    <s v="Dólares"/>
    <m/>
    <s v="Argentina | Rio Negro | Ñorquinco | Rio Chico"/>
    <x v="1"/>
    <n v="1"/>
    <s v="Patagonia Lakes BRC"/>
    <s v="(Interior) Compartida Fuera de la Red Búsqueda"/>
    <x v="2"/>
    <s v="Venta"/>
    <x v="7"/>
    <s v="Bariloche"/>
  </r>
  <r>
    <d v="2025-06-11T00:00:00"/>
    <x v="1"/>
    <x v="4"/>
    <n v="15"/>
    <x v="0"/>
    <s v="Venta Lumiere"/>
    <s v="Realizado"/>
    <s v="Conocido"/>
    <n v="520000"/>
    <x v="502"/>
    <x v="1"/>
    <s v="Dólares"/>
    <s v="Dólares"/>
    <s v="Juana manso 1551  "/>
    <s v="Argentina | Capital Federal | Puerto Madero "/>
    <x v="0"/>
    <n v="1"/>
    <s v="Grupo Elite"/>
    <s v="Compartida Fuera de la Red Búsqueda"/>
    <x v="2"/>
    <s v="Venta"/>
    <x v="3"/>
    <s v="Puerto Madero"/>
  </r>
  <r>
    <d v="2025-09-24T00:00:00"/>
    <x v="1"/>
    <x v="6"/>
    <s v="CLA6679923"/>
    <x v="0"/>
    <s v="VENTA Lote/Terreno 1 Hectárea uf 55 - Muelle de Piedra Villa La Angostura"/>
    <s v="Realizado"/>
    <s v="Conocido"/>
    <n v="590000"/>
    <x v="503"/>
    <x v="1"/>
    <s v="Dólares"/>
    <s v="Dólares"/>
    <s v="RN 40 Muelle de Piedra"/>
    <s v="Argentina | Neuquen | Villa La Angostura | Muelle De Piedra"/>
    <x v="1"/>
    <n v="1"/>
    <s v="Patagonia Lakes VLA"/>
    <s v="(Interior) Compartida Fuera de la Red Captación Propia"/>
    <x v="0"/>
    <s v="Venta"/>
    <x v="1"/>
    <s v="Villa La Angostura"/>
  </r>
  <r>
    <d v="2025-06-11T00:00:00"/>
    <x v="1"/>
    <x v="4"/>
    <s v="CAP6763112"/>
    <x v="0"/>
    <s v="VENTA RECOLETA 5 AMB TERRAZA VISTA A JARDINES JOCKEY CLUB"/>
    <s v="Realizado"/>
    <s v="AR ZonaProp"/>
    <n v="650000"/>
    <x v="503"/>
    <x v="1"/>
    <s v="Dólares"/>
    <s v="Dólares"/>
    <s v="Libertad  al 1500"/>
    <s v="Argentina | Capital Federal | Recoleta "/>
    <x v="0"/>
    <n v="2"/>
    <s v="Destino II"/>
    <s v="Compartida Fuera de la Red Captación Propia"/>
    <x v="0"/>
    <s v="Venta"/>
    <x v="3"/>
    <s v="Recoleta"/>
  </r>
  <r>
    <d v="2025-08-07T00:00:00"/>
    <x v="1"/>
    <x v="5"/>
    <m/>
    <x v="2"/>
    <s v="Impactante departamento reciclado de 2 ambientes en Recoleta"/>
    <s v="Realizado"/>
    <s v="AR ZonaProp"/>
    <n v="530000"/>
    <x v="503"/>
    <x v="1"/>
    <s v="Dólares"/>
    <s v="Dólares"/>
    <s v="Av. Callao 2075"/>
    <s v="Argentina | Capital Federal | Recoleta "/>
    <x v="0"/>
    <n v="2"/>
    <s v="Space BA"/>
    <s v="Master"/>
    <x v="1"/>
    <s v="Venta"/>
    <x v="3"/>
    <s v="Belgrano"/>
  </r>
  <r>
    <d v="2025-06-11T00:00:00"/>
    <x v="1"/>
    <x v="4"/>
    <s v="VHO6804601"/>
    <x v="0"/>
    <s v="ACEPTA FINANCIACION - Casa al agua en Carpinchos - Nordelta"/>
    <s v="Realizado"/>
    <s v="AR ZonaProp"/>
    <n v="900000"/>
    <x v="503"/>
    <x v="1"/>
    <s v="Dólares"/>
    <s v="Dólares"/>
    <s v="Casa a la laguna"/>
    <s v="Argentina | G.B.A. Zona Norte | Tigre | Countries/B.Cerrado (Tigre) | Nordelta | Carpinchos"/>
    <x v="2"/>
    <n v="2"/>
    <s v="Puerto Norte"/>
    <s v="Propia (Único Asesor)"/>
    <x v="1"/>
    <s v="Venta"/>
    <x v="6"/>
    <s v="Nordelta"/>
  </r>
  <r>
    <d v="2026-03-30T00:00:00"/>
    <x v="0"/>
    <x v="9"/>
    <s v="Casa en Aguaribay etapa I"/>
    <x v="0"/>
    <s v="Casa en Aguaribay etapa I"/>
    <s v="Realizado"/>
    <s v="AR ZonaProp"/>
    <n v="530000"/>
    <x v="504"/>
    <x v="1"/>
    <s v="Dólares"/>
    <s v="Dólares"/>
    <m/>
    <s v="Argentina | Mendoza | Lujan De Cuyo | Chacras De Coria"/>
    <x v="2"/>
    <n v="2"/>
    <s v="Cuyo Real"/>
    <s v="Propia (Único Asesor)"/>
    <x v="1"/>
    <s v="Venta"/>
    <x v="2"/>
    <s v="Capital Mendoza"/>
  </r>
  <r>
    <d v="2025-07-23T00:00:00"/>
    <x v="1"/>
    <x v="1"/>
    <n v="10445"/>
    <x v="1"/>
    <s v="Venta Dpto en Tigre"/>
    <s v="Realizado"/>
    <s v="AR ZonaProp"/>
    <n v="540000"/>
    <x v="505"/>
    <x v="1"/>
    <s v="Dólares"/>
    <s v="Dólares"/>
    <m/>
    <s v="Argentina | G.B.A. Zona Norte | Tigre | Tigre"/>
    <x v="0"/>
    <n v="2"/>
    <s v="Seniority"/>
    <s v="Compartida en Red (50%)"/>
    <x v="1"/>
    <s v="Venta"/>
    <x v="3"/>
    <s v="Barrio Parque"/>
  </r>
  <r>
    <d v="2025-07-23T00:00:00"/>
    <x v="1"/>
    <x v="1"/>
    <s v="VHO6783169"/>
    <x v="0"/>
    <s v="CASA EN LOS CASTAÑOS - NORDELTA - OPORTUNIDAD"/>
    <s v="Realizado"/>
    <s v="AR ZonaProp"/>
    <n v="560000"/>
    <x v="505"/>
    <x v="1"/>
    <s v="Dólares"/>
    <s v="Dólares"/>
    <s v="CASA EN LOS CASTAÑOS - NORDELTA - OPORTUNIDAD"/>
    <s v="Argentina | G.B.A. Zona Norte | Tigre | Countries/B.Cerrado (Tigre) | Nordelta | Los Castaños"/>
    <x v="2"/>
    <n v="2"/>
    <s v="Puerto Norte"/>
    <s v="Compartida en Red (50%)"/>
    <x v="1"/>
    <s v="Venta"/>
    <x v="6"/>
    <s v="Nordelta"/>
  </r>
  <r>
    <d v="2025-08-08T00:00:00"/>
    <x v="1"/>
    <x v="5"/>
    <s v="CAP6516567"/>
    <x v="0"/>
    <s v="Venta departamento 4 ambientes en  Belgrano 2 cocheras Parrilla Triplex Dependencia OPORTUNIDAD"/>
    <s v="Realizado"/>
    <s v="AR ZonaProp"/>
    <n v="570000"/>
    <x v="505"/>
    <x v="1"/>
    <s v="Dólares"/>
    <s v="Dólares"/>
    <s v="Montañeses al 2300"/>
    <s v="Argentina | Capital Federal | Nuñez "/>
    <x v="0"/>
    <n v="2"/>
    <s v="Seniority"/>
    <s v="Compartida Fuera de la Red Captación Propia"/>
    <x v="0"/>
    <s v="Venta"/>
    <x v="3"/>
    <s v="Barrio Parque"/>
  </r>
  <r>
    <d v="2025-05-30T00:00:00"/>
    <x v="1"/>
    <x v="2"/>
    <n v="10342"/>
    <x v="0"/>
    <s v="juana manso 1351"/>
    <s v="Realizado"/>
    <s v="Conocido"/>
    <n v="0"/>
    <x v="505"/>
    <x v="1"/>
    <s v="Dólares"/>
    <s v="Dólares"/>
    <s v="juana manso 1351"/>
    <s v="Argentina | Capital Federal | Puerto Madero "/>
    <x v="0"/>
    <n v="2"/>
    <s v="Seniority"/>
    <s v="Propia (Único Asesor)"/>
    <x v="1"/>
    <s v="Venta"/>
    <x v="3"/>
    <s v="Barrio Parque"/>
  </r>
  <r>
    <d v="2025-11-12T00:00:00"/>
    <x v="1"/>
    <x v="7"/>
    <s v="CLA7061233"/>
    <x v="0"/>
    <s v="VENTA TERRENO EN CABALLITO - IDEAL EMPRENDIMIENTO."/>
    <s v="Realizado"/>
    <s v="Web Coldwell-Banker"/>
    <n v="700000"/>
    <x v="506"/>
    <x v="1"/>
    <s v="Dólares"/>
    <s v="Dólares"/>
    <s v="Aranguren  al 600"/>
    <s v="Argentina | Capital Federal | Caballito "/>
    <x v="1"/>
    <n v="2"/>
    <s v="Seniority"/>
    <s v="Compartida en Oficina (Dos Asesores)"/>
    <x v="1"/>
    <s v="Venta"/>
    <x v="3"/>
    <s v="Barrio Parque"/>
  </r>
  <r>
    <d v="2025-04-08T00:00:00"/>
    <x v="1"/>
    <x v="3"/>
    <s v="Casa en Mayling CC"/>
    <x v="0"/>
    <s v="Casa en venta Mayling CC 5 ambientes"/>
    <s v="Realizado"/>
    <s v="AR ZonaProp"/>
    <n v="560000"/>
    <x v="506"/>
    <x v="1"/>
    <s v="Dólares"/>
    <s v="Dólares"/>
    <s v="Chubut 415"/>
    <s v="Argentina | G.B.A. Zona Norte | Pilar | Countries/B.Cerrado (Pilar) | Mayling Club De Campo"/>
    <x v="2"/>
    <n v="2"/>
    <s v="North Team"/>
    <s v="Propia (Único Asesor)"/>
    <x v="1"/>
    <s v="Venta"/>
    <x v="6"/>
    <s v="Pilar"/>
  </r>
  <r>
    <d v="2026-02-23T00:00:00"/>
    <x v="0"/>
    <x v="0"/>
    <s v="CAP7531799"/>
    <x v="0"/>
    <s v="VENTA DEPARTAMENTO 6 AMBIENTES C/DEPENDENCIA Y COCHERA EN RECOLETA"/>
    <s v="Realizado"/>
    <s v="AR ZonaProp"/>
    <n v="590000"/>
    <x v="507"/>
    <x v="1"/>
    <s v="Dólares"/>
    <s v="Dólares"/>
    <s v="AV LAS HERAS  al 1800"/>
    <s v="Argentina | Capital Federal | Recoleta "/>
    <x v="0"/>
    <n v="2"/>
    <s v="Seniority Plus"/>
    <s v="Propia (Único Asesor)"/>
    <x v="1"/>
    <s v="Venta"/>
    <x v="3"/>
    <s v="Palermo"/>
  </r>
  <r>
    <d v="2025-04-01T00:00:00"/>
    <x v="1"/>
    <x v="3"/>
    <s v="castanos castex"/>
    <x v="0"/>
    <s v="casa en castanos"/>
    <s v="Realizado"/>
    <s v="Referido"/>
    <n v="590000"/>
    <x v="508"/>
    <x v="1"/>
    <s v="Dólares"/>
    <s v="Dólares"/>
    <s v="los castanos 322 nordelta lote 227"/>
    <s v="Argentina | G.B.A. Zona Norte | Tigre | Countries/B.Cerrado (Tigre) | Nordelta | Los Castaños"/>
    <x v="2"/>
    <n v="1"/>
    <s v="Concept"/>
    <s v="Compartida Fuera de la Red Búsqueda"/>
    <x v="2"/>
    <s v="Venta"/>
    <x v="6"/>
    <s v="Tigre"/>
  </r>
  <r>
    <d v="2025-10-08T00:00:00"/>
    <x v="1"/>
    <x v="11"/>
    <s v="CLA6840403"/>
    <x v="0"/>
    <s v="Terreno en VENTA o Alquiler COMERCIAL a 100m de Panamericana - Don Torcuato"/>
    <s v="Realizado"/>
    <s v="AR ZonaProp"/>
    <n v="630000"/>
    <x v="509"/>
    <x v="1"/>
    <s v="Dólares"/>
    <s v="Dólares"/>
    <s v="Belgrano al 2300"/>
    <s v="Argentina | G.B.A. Zona Norte | Tigre | Don Torcuato"/>
    <x v="1"/>
    <n v="2"/>
    <s v="Concept"/>
    <s v="Compartida Fuera de la Red Captación Propia"/>
    <x v="0"/>
    <s v="Venta"/>
    <x v="6"/>
    <s v="Tigre"/>
  </r>
  <r>
    <d v="2025-01-31T00:00:00"/>
    <x v="1"/>
    <x v="10"/>
    <s v="CHO6608939"/>
    <x v="0"/>
    <s v="Venta Espectacular Casa de 5 ambientes en  Palermo Hollywood"/>
    <s v="Realizado"/>
    <s v="AR ZonaProp"/>
    <n v="600000"/>
    <x v="509"/>
    <x v="1"/>
    <s v="Dólares"/>
    <s v="Dólares"/>
    <s v="Angel Carranza al 1700"/>
    <s v="Argentina | Capital Federal | Palermo | Palermo Hollywood"/>
    <x v="2"/>
    <n v="2"/>
    <s v="Seniority"/>
    <s v="Propia (Único Asesor)"/>
    <x v="1"/>
    <s v="Venta"/>
    <x v="3"/>
    <s v="Barrio Parque"/>
  </r>
  <r>
    <d v="2025-08-20T00:00:00"/>
    <x v="1"/>
    <x v="5"/>
    <s v="CAP7119854"/>
    <x v="0"/>
    <s v="Venta Departamento 3 Habitaciones, 5 ambientes con 2 dependencias 3 baños y lavadero en Recoleta"/>
    <s v="Realizado"/>
    <s v="AR ZonaProp"/>
    <n v="595000"/>
    <x v="510"/>
    <x v="1"/>
    <s v="Dólares"/>
    <s v="Dólares"/>
    <s v="Posadas 1120 -22A- "/>
    <s v="Argentina | Capital Federal | Recoleta "/>
    <x v="0"/>
    <n v="2"/>
    <s v="Seniority"/>
    <s v="Compartida Fuera de la Red Captación Propia"/>
    <x v="0"/>
    <s v="Venta"/>
    <x v="3"/>
    <s v="Barrio Parque"/>
  </r>
  <r>
    <d v="2025-12-16T00:00:00"/>
    <x v="1"/>
    <x v="8"/>
    <s v="VHO6779670"/>
    <x v="0"/>
    <s v="Casa en Venta y Alquiler en Santa Barbara"/>
    <s v="Realizado"/>
    <s v="AR ZonaProp"/>
    <n v="590000"/>
    <x v="511"/>
    <x v="1"/>
    <s v="Dólares"/>
    <s v="Dólares"/>
    <s v="Casa en Venta en el Barrio Santa Barbara"/>
    <s v="Argentina | G.B.A. Zona Norte | Tigre | Countries/B.Cerrado (Tigre) | Santa Barbara"/>
    <x v="2"/>
    <n v="1"/>
    <s v="Puerto Norte"/>
    <s v="Compartida Fuera de la Red Búsqueda"/>
    <x v="2"/>
    <s v="Venta"/>
    <x v="6"/>
    <s v="Nordelta"/>
  </r>
  <r>
    <d v="2026-02-19T00:00:00"/>
    <x v="0"/>
    <x v="0"/>
    <s v="CAP7364115"/>
    <x v="0"/>
    <s v="VENTA RECOLETA PISO 5 AMB - COCHERA Y BALCON"/>
    <s v="Realizado"/>
    <s v="AR ZonaProp"/>
    <n v="680000"/>
    <x v="512"/>
    <x v="1"/>
    <s v="Dólares"/>
    <s v="Dólares"/>
    <s v="Av Las Heras al 1970"/>
    <s v="Argentina | Capital Federal | Recoleta "/>
    <x v="0"/>
    <n v="2"/>
    <s v="Destino II"/>
    <s v="Propia (Único Asesor)"/>
    <x v="1"/>
    <s v="Venta"/>
    <x v="3"/>
    <s v="Recoleta"/>
  </r>
  <r>
    <d v="2025-08-21T00:00:00"/>
    <x v="1"/>
    <x v="5"/>
    <s v="CLA7014600"/>
    <x v="0"/>
    <s v="Terreno en  venta Grand Bourg"/>
    <s v="Realizado"/>
    <s v="UY ZonaProp"/>
    <n v="620000"/>
    <x v="513"/>
    <x v="1"/>
    <s v="Dólares"/>
    <s v="Dólares"/>
    <s v="Mirador Oeste"/>
    <s v="Argentina | Salta | Capital | Salta"/>
    <x v="1"/>
    <n v="1"/>
    <s v="Realty Group"/>
    <s v="(Interior) Compartida Fuera de la Red Captación Propia"/>
    <x v="0"/>
    <s v="Venta"/>
    <x v="4"/>
    <s v="San Lorenzo Chico"/>
  </r>
  <r>
    <d v="2025-09-12T00:00:00"/>
    <x v="1"/>
    <x v="6"/>
    <s v="CAP6724401"/>
    <x v="0"/>
    <s v="Venta Departamento Triplex 3 ambientes Super Luminoso con 3 cocheras y baulera en Villa Urquiza"/>
    <s v="Realizado"/>
    <s v="AR ZonaProp"/>
    <n v="719900"/>
    <x v="514"/>
    <x v="1"/>
    <s v="Dólares"/>
    <s v="Dólares"/>
    <s v="Andonaegui al 2000"/>
    <s v="Argentina | Capital Federal | Villa Urquiza "/>
    <x v="0"/>
    <n v="2"/>
    <s v="Seniority"/>
    <s v="Compartida Fuera de la Red Captación Propia"/>
    <x v="0"/>
    <s v="Venta"/>
    <x v="3"/>
    <s v="Barrio Parque"/>
  </r>
  <r>
    <d v="2026-01-12T00:00:00"/>
    <x v="0"/>
    <x v="10"/>
    <m/>
    <x v="1"/>
    <s v="Venta Departamento piso de 5 ambientes con 3 habitaciones de servicio y 2 cocheras"/>
    <s v="Realizado"/>
    <s v="AR ZonaProp"/>
    <n v="640000"/>
    <x v="515"/>
    <x v="1"/>
    <s v="Dólares"/>
    <s v="Dólares"/>
    <s v="Federico Lacroze 2339, piso 4to"/>
    <s v="Argentina | Capital Federal | Palermo "/>
    <x v="0"/>
    <n v="2"/>
    <s v="Space BA"/>
    <s v="Compartida en Red (50%)"/>
    <x v="1"/>
    <s v="Venta"/>
    <x v="3"/>
    <s v="Belgrano"/>
  </r>
  <r>
    <d v="2026-01-12T00:00:00"/>
    <x v="0"/>
    <x v="10"/>
    <s v="CAP7448605"/>
    <x v="0"/>
    <s v="Venta Departamento Piso de 5 Ambientes con 3 Hab de Servicio y 2 Cocheras - Imponente"/>
    <s v="Realizado"/>
    <s v="AR ZonaProp"/>
    <n v="690000"/>
    <x v="515"/>
    <x v="1"/>
    <s v="Dólares"/>
    <s v="Dólares"/>
    <s v="Federico Lacroze al 2300"/>
    <s v="Argentina | Capital Federal | Belgrano "/>
    <x v="0"/>
    <n v="2"/>
    <s v="Seniority"/>
    <s v="Compartida en Red (50%)"/>
    <x v="1"/>
    <s v="Venta"/>
    <x v="3"/>
    <s v="Barrio Parque"/>
  </r>
  <r>
    <d v="2025-07-11T00:00:00"/>
    <x v="1"/>
    <x v="1"/>
    <s v="CHO7042878"/>
    <x v="0"/>
    <s v="Venta casa 6 ambientes parque pileta cocheras San Isidro Casco Historico Libertador al Rio"/>
    <s v="Realizado"/>
    <s v="AR ArgenProp"/>
    <n v="695000"/>
    <x v="516"/>
    <x v="1"/>
    <s v="Dólares"/>
    <s v="Dólares"/>
    <s v="Roque Saenz Peña al 700"/>
    <s v="Argentina | G.B.A. Zona Norte | San Isidro "/>
    <x v="2"/>
    <n v="2"/>
    <s v="Grupo Elite"/>
    <s v="Propia (Único Asesor)"/>
    <x v="1"/>
    <s v="Venta"/>
    <x v="3"/>
    <s v="Puerto Madero"/>
  </r>
  <r>
    <d v="2025-08-07T00:00:00"/>
    <x v="1"/>
    <x v="5"/>
    <s v="Ayres Plaza"/>
    <x v="2"/>
    <s v="Casa en venta Ayes Plaza 6 ambientes "/>
    <s v="Realizado"/>
    <s v="Referido"/>
    <n v="630000"/>
    <x v="517"/>
    <x v="1"/>
    <s v="Dólares"/>
    <s v="Dólares"/>
    <s v="Chile 849 - La Lonja"/>
    <s v="Argentina | G.B.A. Zona Norte | Pilar | Countries/B.Cerrado (Pilar) | Ayres Plaza"/>
    <x v="2"/>
    <n v="2"/>
    <s v="North Team"/>
    <s v="Master"/>
    <x v="1"/>
    <s v="Venta"/>
    <x v="6"/>
    <s v="Pilar"/>
  </r>
  <r>
    <d v="2025-12-15T00:00:00"/>
    <x v="1"/>
    <x v="8"/>
    <s v="CAP7063122"/>
    <x v="0"/>
    <s v="Departamento de 3 ambientes con cochera y baulera en COMPLEJO ALRIO"/>
    <s v="Realizado"/>
    <s v="AR ZonaProp"/>
    <n v="679000"/>
    <x v="517"/>
    <x v="1"/>
    <s v="Dólares"/>
    <s v="Dólares"/>
    <s v="Juan carlos Cruz al 100"/>
    <s v="Argentina | G.B.A. Zona Norte | Vicente López | Barrio Vicente López"/>
    <x v="0"/>
    <n v="2"/>
    <s v="Lion Team"/>
    <s v="Propia (Único Asesor)"/>
    <x v="1"/>
    <s v="Venta"/>
    <x v="3"/>
    <s v="Villa Urquiza"/>
  </r>
  <r>
    <d v="2025-11-04T00:00:00"/>
    <x v="1"/>
    <x v="7"/>
    <s v="OP 194"/>
    <x v="0"/>
    <s v="Tempus Colon Av. Libertador 13185 1"/>
    <s v="Realizado"/>
    <s v="AR ZonaProp"/>
    <n v="635000"/>
    <x v="518"/>
    <x v="1"/>
    <s v="Dólares"/>
    <s v="Dólares"/>
    <s v="Tempus Colon Av. Libertador 13185 1"/>
    <s v="Argentina | G.B.A. Zona Norte | San Isidro | Martinez"/>
    <x v="0"/>
    <n v="1"/>
    <s v="Seniority Plus"/>
    <s v="Compartida Fuera de la Red Búsqueda"/>
    <x v="2"/>
    <s v="Venta"/>
    <x v="3"/>
    <s v="Palermo"/>
  </r>
  <r>
    <d v="2026-01-30T00:00:00"/>
    <x v="0"/>
    <x v="10"/>
    <s v="CHO7440485"/>
    <x v="0"/>
    <s v="VENTA CASA 4 AMBIENTES PREMIUM CON PATIO Y QUINCHO"/>
    <s v="Realizado"/>
    <s v="AR ZonaProp"/>
    <n v="750000"/>
    <x v="519"/>
    <x v="1"/>
    <s v="Dólares"/>
    <s v="Dólares"/>
    <s v="Fragata Presidente Sarmiento al 600"/>
    <s v="Argentina | Capital Federal | Caballito "/>
    <x v="2"/>
    <n v="2"/>
    <s v="Destino"/>
    <s v="Propia (Único Asesor)"/>
    <x v="1"/>
    <s v="Venta"/>
    <x v="3"/>
    <s v="Recoleta"/>
  </r>
  <r>
    <d v="2025-05-26T00:00:00"/>
    <x v="1"/>
    <x v="2"/>
    <s v="CHO3788078"/>
    <x v="0"/>
    <s v="VENTA Casa de 3994 m2 de lote y 220 m2 cubiertos, con Costa de Lago, en Villa Verde, Bariloche"/>
    <s v="Realizado"/>
    <s v="Salón"/>
    <n v="650000"/>
    <x v="520"/>
    <x v="1"/>
    <s v="Dólares"/>
    <s v="Dólares"/>
    <s v="Lancha Correntoso al 5000"/>
    <s v="Argentina | Rio Negro | Bariloche | San Carlos De Bariloche | Villa Verde"/>
    <x v="2"/>
    <n v="2"/>
    <s v="Patagonia Lakes BRC"/>
    <s v="Compartida en Oficina (Dos Asesores)"/>
    <x v="1"/>
    <s v="Venta"/>
    <x v="7"/>
    <s v="Bariloche"/>
  </r>
  <r>
    <d v="2025-12-18T00:00:00"/>
    <x v="1"/>
    <x v="8"/>
    <s v="N/C - GALILEO 2475"/>
    <x v="0"/>
    <s v="VENTA DPTO 4 AMB + DEP "/>
    <s v="Realizado"/>
    <s v="AR ZonaProp"/>
    <n v="650000"/>
    <x v="520"/>
    <x v="1"/>
    <s v="Dólares"/>
    <s v="Dólares"/>
    <s v="GALILEO 2475"/>
    <s v="Argentina | Capital Federal | Recoleta "/>
    <x v="0"/>
    <n v="1"/>
    <s v="Destino II"/>
    <s v="Compartida Fuera de la Red Búsqueda"/>
    <x v="2"/>
    <s v="Venta"/>
    <x v="3"/>
    <s v="Recoleta"/>
  </r>
  <r>
    <d v="2025-07-04T00:00:00"/>
    <x v="1"/>
    <x v="1"/>
    <s v="CAP6939577"/>
    <x v="0"/>
    <s v="Departamento - 5 ambientes con dependencia -Recoleta"/>
    <s v="Realizado"/>
    <s v="AR ZonaProp"/>
    <n v="750000"/>
    <x v="520"/>
    <x v="1"/>
    <s v="Dólares"/>
    <s v="Dólares"/>
    <s v="Departamento de 5 ambientes en venta "/>
    <s v="Argentina | Capital Federal | Recoleta "/>
    <x v="0"/>
    <n v="2"/>
    <s v="North Team"/>
    <s v="Propia (Único Asesor)"/>
    <x v="1"/>
    <s v="Venta"/>
    <x v="6"/>
    <s v="Pilar"/>
  </r>
  <r>
    <d v="2025-02-19T00:00:00"/>
    <x v="1"/>
    <x v="0"/>
    <s v="Av Del Libertador 1137 "/>
    <x v="0"/>
    <s v="Av Del Libertador 1137 "/>
    <s v="Realizado"/>
    <s v="AR ZonaProp"/>
    <n v="665000"/>
    <x v="521"/>
    <x v="1"/>
    <s v="Dólares"/>
    <s v="Dólares"/>
    <s v="Av Del Libertador 1137 "/>
    <s v="Argentina | G.B.A. Zona Norte | Vicente López "/>
    <x v="1"/>
    <n v="2"/>
    <s v="Lion Team Norte"/>
    <s v="Propia (Único Asesor)"/>
    <x v="1"/>
    <s v="Venta"/>
    <x v="6"/>
    <s v="Vicente López"/>
  </r>
  <r>
    <d v="2025-04-09T00:00:00"/>
    <x v="1"/>
    <x v="3"/>
    <s v="Av Del Libertador 1137 "/>
    <x v="0"/>
    <s v="Av Del Libertador 1137 "/>
    <s v="Realizado"/>
    <s v="AR ZonaProp"/>
    <n v="665000"/>
    <x v="521"/>
    <x v="1"/>
    <s v="Dólares"/>
    <s v="Dólares"/>
    <s v="Av Del Libertador 1137 "/>
    <s v="Argentina | G.B.A. Zona Norte | Vicente López "/>
    <x v="1"/>
    <n v="2"/>
    <s v="Lion Team Norte"/>
    <s v="Propia (Único Asesor)"/>
    <x v="1"/>
    <s v="Venta"/>
    <x v="6"/>
    <s v="Vicente López"/>
  </r>
  <r>
    <d v="2025-12-18T00:00:00"/>
    <x v="1"/>
    <x v="8"/>
    <s v="CAP6117015"/>
    <x v="0"/>
    <s v="Duplex Palacio Alcorta - Quincho y pileta privada"/>
    <s v="Realizado"/>
    <s v="AR ZonaProp"/>
    <n v="790000"/>
    <x v="522"/>
    <x v="1"/>
    <s v="Dólares"/>
    <s v="Dólares"/>
    <s v="Duplex Palacio Alcorta - Quincho y pileta privada"/>
    <s v="Argentina | Capital Federal | Palermo | Palermo Chico"/>
    <x v="0"/>
    <n v="2"/>
    <s v="North Team"/>
    <s v="Propia (Único Asesor)"/>
    <x v="1"/>
    <s v="Venta"/>
    <x v="6"/>
    <s v="Pilar"/>
  </r>
  <r>
    <d v="2025-02-18T00:00:00"/>
    <x v="1"/>
    <x v="0"/>
    <s v="CAP6167344"/>
    <x v="0"/>
    <s v="Departamento con pileta propia  - OSTEN TOWER - Puerto Madero "/>
    <s v="Realizado"/>
    <s v="AR ZonaProp"/>
    <n v="605000"/>
    <x v="523"/>
    <x v="1"/>
    <s v="Dólares"/>
    <s v="Dólares"/>
    <s v="Camila O'Gorman  al 400"/>
    <s v="Argentina | Capital Federal | Puerto Madero "/>
    <x v="0"/>
    <n v="2"/>
    <s v="Destino"/>
    <s v="Propia (Único Asesor)"/>
    <x v="1"/>
    <s v="Venta"/>
    <x v="3"/>
    <s v="Recoleta"/>
  </r>
  <r>
    <d v="2025-09-10T00:00:00"/>
    <x v="1"/>
    <x v="6"/>
    <s v="JLA7326370"/>
    <x v="0"/>
    <s v="Venta Terreno en Nuñez"/>
    <s v="Realizado"/>
    <s v="AR ZonaProp"/>
    <n v="700000"/>
    <x v="524"/>
    <x v="1"/>
    <s v="Dólares"/>
    <s v="Dólares"/>
    <s v="Moldes al 2900"/>
    <s v="Argentina | Capital Federal | Nuñez "/>
    <x v="1"/>
    <n v="2"/>
    <s v="Lion Team Norte"/>
    <s v="Compartida en Oficina (Dos Asesores)"/>
    <x v="1"/>
    <s v="Venta"/>
    <x v="6"/>
    <s v="Vicente López"/>
  </r>
  <r>
    <d v="2025-07-14T00:00:00"/>
    <x v="1"/>
    <x v="1"/>
    <n v="19"/>
    <x v="0"/>
    <s v="Torres del Yacht  venta departamento"/>
    <s v="Realizado"/>
    <s v="Conocido"/>
    <n v="675000"/>
    <x v="525"/>
    <x v="1"/>
    <s v="Dólares"/>
    <s v="Dólares"/>
    <s v="Juana Manso 501"/>
    <s v="Argentina | Capital Federal | Puerto Madero "/>
    <x v="0"/>
    <n v="1"/>
    <s v="Grupo Elite"/>
    <s v="Compartida Fuera de la Red Búsqueda"/>
    <x v="2"/>
    <s v="Venta"/>
    <x v="3"/>
    <s v="Puerto Madero"/>
  </r>
  <r>
    <d v="2025-06-24T00:00:00"/>
    <x v="1"/>
    <x v="4"/>
    <s v="CHO6752139"/>
    <x v="0"/>
    <s v="VENTA Casa 320m2 Lote 1875m2 B° Las Balsas Villa La Angostura"/>
    <s v="Realizado"/>
    <s v="AR ZonaProp"/>
    <n v="750000"/>
    <x v="526"/>
    <x v="1"/>
    <s v="Dólares"/>
    <s v="Dólares"/>
    <s v="Osa Mayor  al 400"/>
    <s v="Argentina | Neuquen | Villa La Angostura | Las Balsas"/>
    <x v="2"/>
    <n v="2"/>
    <s v="Patagonia Lakes VLA"/>
    <s v="Propia (Único Asesor)"/>
    <x v="1"/>
    <s v="Venta"/>
    <x v="1"/>
    <s v="Villa La Angostura"/>
  </r>
  <r>
    <d v="2025-09-08T00:00:00"/>
    <x v="1"/>
    <x v="6"/>
    <m/>
    <x v="0"/>
    <s v="Venta de casa 5 ambientes con pileta en Saavedra"/>
    <s v="Realizado"/>
    <s v="Conocido"/>
    <n v="730000"/>
    <x v="527"/>
    <x v="1"/>
    <s v="Dólares"/>
    <s v="Dólares"/>
    <s v="Alfonsina Storni 3622"/>
    <s v="Argentina | Capital Federal | Saavedra "/>
    <x v="2"/>
    <n v="1"/>
    <s v="Acqua"/>
    <s v="(Interior) Compartida Fuera de la Red Búsqueda"/>
    <x v="2"/>
    <s v="Venta"/>
    <x v="6"/>
    <s v="Pilar"/>
  </r>
  <r>
    <d v="2025-06-24T00:00:00"/>
    <x v="1"/>
    <x v="4"/>
    <s v="CLA5808814"/>
    <x v="0"/>
    <s v="VENTA TERRENO DOBLE FRENTE EN COGHLAN"/>
    <s v="Realizado"/>
    <s v="Conocido"/>
    <n v="790000"/>
    <x v="528"/>
    <x v="1"/>
    <s v="Dólares"/>
    <s v="Dólares"/>
    <s v="Nahuel Huapi al 4300"/>
    <s v="Argentina | Capital Federal | Coghlan "/>
    <x v="1"/>
    <n v="2"/>
    <s v="Seniority"/>
    <s v="Compartida en Oficina (Dos Asesores)"/>
    <x v="1"/>
    <s v="Venta"/>
    <x v="3"/>
    <s v="Barrio Parque"/>
  </r>
  <r>
    <d v="2025-03-25T00:00:00"/>
    <x v="1"/>
    <x v="9"/>
    <s v="JAP6677791"/>
    <x v="0"/>
    <s v="ALQUILER P. Madero  Azucena Villaflor 300 4 ambientes con doble cochera"/>
    <s v="Realizado"/>
    <s v="AR ZonaProp"/>
    <n v="3200"/>
    <x v="529"/>
    <x v="1"/>
    <s v="Dólares"/>
    <s v="Dólares"/>
    <s v="Azucena Villaflor al 300"/>
    <s v="Argentina | Capital Federal | Puerto Madero "/>
    <x v="0"/>
    <n v="2"/>
    <s v="Lion Team Norte"/>
    <s v="Propia (Único Asesor)"/>
    <x v="1"/>
    <s v="Venta"/>
    <x v="6"/>
    <s v="Vicente López"/>
  </r>
  <r>
    <d v="2025-10-14T00:00:00"/>
    <x v="1"/>
    <x v="11"/>
    <s v="CAP6407812"/>
    <x v="0"/>
    <s v="Venta exclusiva propiedad de 6 dormitorios en Recoleta"/>
    <s v="Realizado"/>
    <s v="AR ZonaProp"/>
    <n v="900000"/>
    <x v="530"/>
    <x v="1"/>
    <s v="Dólares"/>
    <s v="Dólares"/>
    <s v="Av. Santa Fe al 1500"/>
    <s v="Argentina | Capital Federal | Recoleta "/>
    <x v="0"/>
    <n v="2"/>
    <s v="Seniority"/>
    <s v="Propia (Único Asesor)"/>
    <x v="1"/>
    <s v="Venta"/>
    <x v="3"/>
    <s v="Barrio Parque"/>
  </r>
  <r>
    <d v="2025-11-04T00:00:00"/>
    <x v="1"/>
    <x v="7"/>
    <s v="CHO3827568"/>
    <x v="0"/>
    <s v="VENTA CASA 7 AMBIENTES CON JARDÍN Y PILETA EN MARTINEZ"/>
    <s v="Realizado"/>
    <s v="AR ZonaProp"/>
    <n v="870000"/>
    <x v="531"/>
    <x v="1"/>
    <s v="Dólares"/>
    <s v="Dólares"/>
    <s v="Colon al 100"/>
    <s v="Argentina | G.B.A. Zona Norte | San Isidro | Martinez"/>
    <x v="2"/>
    <n v="2"/>
    <s v="Seniority Plus"/>
    <s v="Compartida Fuera de la Red Captación Propia"/>
    <x v="0"/>
    <s v="Venta"/>
    <x v="3"/>
    <s v="Palermo"/>
  </r>
  <r>
    <d v="2025-06-06T00:00:00"/>
    <x v="1"/>
    <x v="4"/>
    <s v="CAP6775601"/>
    <x v="0"/>
    <s v="Venta Departamento 4 ambientes en Art Tower, con cochera y baulera zona Alto Palermo"/>
    <s v="Realizado"/>
    <s v="AR ZonaProp"/>
    <n v="839000"/>
    <x v="532"/>
    <x v="1"/>
    <s v="Dólares"/>
    <s v="Dólares"/>
    <s v="Coronel Diaz  al 2100"/>
    <s v="Argentina | Capital Federal | Palermo | Botanico"/>
    <x v="0"/>
    <n v="2"/>
    <s v="Seniority"/>
    <s v="Compartida en Oficina (Dos Asesores)"/>
    <x v="1"/>
    <s v="Venta"/>
    <x v="3"/>
    <s v="Barrio Parque"/>
  </r>
  <r>
    <d v="2026-03-17T00:00:00"/>
    <x v="0"/>
    <x v="9"/>
    <s v="CHO7728122"/>
    <x v="0"/>
    <s v="Casa en venta en Barrio Santa Barbara "/>
    <s v="Realizado"/>
    <s v="AR MercadoLibre"/>
    <n v="990000"/>
    <x v="533"/>
    <x v="1"/>
    <s v="Dólares"/>
    <s v="Dólares"/>
    <s v="Barrio Santa Barbara"/>
    <s v="Argentina | G.B.A. Zona Norte | Tigre | Countries/B.Cerrado (Tigre) | Santa Barbara"/>
    <x v="2"/>
    <n v="1"/>
    <s v="Puerto Norte"/>
    <s v="Compartida Fuera de la Red Búsqueda"/>
    <x v="2"/>
    <s v="Venta"/>
    <x v="6"/>
    <s v="Nordelta"/>
  </r>
  <r>
    <d v="2025-01-02T00:00:00"/>
    <x v="1"/>
    <x v="10"/>
    <s v="OP 85"/>
    <x v="0"/>
    <s v="Gelly  y Obes 2243 5"/>
    <s v="Realizado"/>
    <s v="AR ZonaProp"/>
    <n v="900000"/>
    <x v="534"/>
    <x v="1"/>
    <s v="Dólares"/>
    <s v="Dólares"/>
    <s v="Gelly  y Obes 2243 5"/>
    <s v="Argentina | Capital Federal | Recoleta "/>
    <x v="0"/>
    <n v="1"/>
    <s v="Seniority Plus"/>
    <s v="Compartida Fuera de la Red Búsqueda"/>
    <x v="2"/>
    <s v="Venta"/>
    <x v="3"/>
    <s v="Palermo"/>
  </r>
  <r>
    <d v="2025-03-31T00:00:00"/>
    <x v="1"/>
    <x v="9"/>
    <n v="10313"/>
    <x v="0"/>
    <s v="club acohaj"/>
    <s v="Realizado"/>
    <s v="Instagram"/>
    <n v="0"/>
    <x v="534"/>
    <x v="1"/>
    <s v="Dólares"/>
    <s v="Dólares"/>
    <m/>
    <s v="Argentina | G.B.A. Zona Norte | Tigre | Rincon de Milberg"/>
    <x v="2"/>
    <n v="2"/>
    <s v="Seniority"/>
    <s v="Propia (Único Asesor)"/>
    <x v="1"/>
    <s v="Venta"/>
    <x v="3"/>
    <s v="Barrio Parque"/>
  </r>
  <r>
    <d v="2025-06-05T00:00:00"/>
    <x v="1"/>
    <x v="4"/>
    <n v="10313"/>
    <x v="0"/>
    <s v="club acohaj"/>
    <s v="Realizado"/>
    <s v="Instagram"/>
    <n v="0"/>
    <x v="534"/>
    <x v="1"/>
    <s v="Dólares"/>
    <s v="Dólares"/>
    <m/>
    <s v="Argentina | G.B.A. Zona Norte | Tigre | Rincon de Milberg"/>
    <x v="2"/>
    <n v="2"/>
    <s v="Seniority"/>
    <s v="Propia (Único Asesor)"/>
    <x v="1"/>
    <s v="Venta"/>
    <x v="3"/>
    <s v="Barrio Parque"/>
  </r>
  <r>
    <d v="2025-09-08T00:00:00"/>
    <x v="1"/>
    <x v="6"/>
    <s v="CLA6519113"/>
    <x v="0"/>
    <s v="Venta Terreno en Caballito"/>
    <s v="Realizado"/>
    <s v="Conocido"/>
    <n v="1000000"/>
    <x v="535"/>
    <x v="1"/>
    <s v="Dólares"/>
    <s v="Dólares"/>
    <s v="Senillosa al 800"/>
    <s v="Argentina | Capital Federal | Caballito "/>
    <x v="1"/>
    <n v="2"/>
    <s v="Ser"/>
    <s v="Compartida Fuera de la Red Captación Propia"/>
    <x v="0"/>
    <s v="Venta"/>
    <x v="3"/>
    <s v="Belgrano"/>
  </r>
  <r>
    <d v="2025-08-20T00:00:00"/>
    <x v="1"/>
    <x v="5"/>
    <n v="29"/>
    <x v="0"/>
    <s v="River View"/>
    <s v="Realizado"/>
    <s v="AR ZonaProp"/>
    <n v="1000000"/>
    <x v="536"/>
    <x v="1"/>
    <s v="Dólares"/>
    <s v="Dólares"/>
    <s v="Manuela Saenz 446"/>
    <s v="Argentina | Capital Federal | Puerto Madero "/>
    <x v="0"/>
    <n v="1"/>
    <s v="Grupo Elite"/>
    <s v="Compartida Fuera de la Red Búsqueda"/>
    <x v="2"/>
    <s v="Venta"/>
    <x v="3"/>
    <s v="Puerto Madero"/>
  </r>
  <r>
    <d v="2025-08-12T00:00:00"/>
    <x v="1"/>
    <x v="5"/>
    <s v="CCS7118993"/>
    <x v="0"/>
    <s v="EXCELENTE CAMPO AGRICOLA EN BUSTINZA-SANTA FE"/>
    <s v="Realizado"/>
    <s v="Conocido"/>
    <n v="1230000"/>
    <x v="537"/>
    <x v="0"/>
    <s v="Dólares"/>
    <s v="Dólares"/>
    <s v="BUSTINZA-DEPTO IRIONDO-SANTA FE"/>
    <s v="Argentina | Santa Fe | Iriondo | Bustinza"/>
    <x v="11"/>
    <n v="2"/>
    <s v="De la Veracruz"/>
    <s v="Compartida en Oficina (Dos Asesores)"/>
    <x v="1"/>
    <s v="Venta"/>
    <x v="5"/>
    <s v="Capital Santa Fe"/>
  </r>
  <r>
    <d v="2025-06-27T00:00:00"/>
    <x v="1"/>
    <x v="4"/>
    <s v="CHO6709913"/>
    <x v="0"/>
    <s v="Venta Casa 7 Ambientes en  OLIVOS GOLF CLUB"/>
    <s v="Realizado"/>
    <s v="AR ZonaProp"/>
    <n v="1145000"/>
    <x v="538"/>
    <x v="0"/>
    <s v="Dólares"/>
    <s v="Dólares"/>
    <s v="OLIVOS GOLF CLUB"/>
    <s v="Argentina | G.B.A. Zona Norte | Malvinas Argentinas | Countries/B.Cerrado (Malvinas) | Olivos Golf Club"/>
    <x v="2"/>
    <n v="2"/>
    <s v="Seniority Plus"/>
    <s v="Compartida en Oficina (Dos Asesores)"/>
    <x v="1"/>
    <s v="Venta"/>
    <x v="3"/>
    <s v="Palermo"/>
  </r>
  <r>
    <d v="2025-12-29T00:00:00"/>
    <x v="1"/>
    <x v="8"/>
    <s v="CAP6928578"/>
    <x v="0"/>
    <s v="Venta Depto Tipo Casa con Piscina SUM Propios - Villa Devoto"/>
    <s v="Realizado"/>
    <s v="AR ZonaProp"/>
    <n v="1350000"/>
    <x v="539"/>
    <x v="0"/>
    <s v="Dólares"/>
    <s v="Dólares"/>
    <s v="José Cubas al 3900"/>
    <s v="Argentina | Capital Federal | Villa Devoto "/>
    <x v="0"/>
    <n v="2"/>
    <s v="Seniority Plus"/>
    <s v="Propia (Único Asesor)"/>
    <x v="1"/>
    <s v="Venta"/>
    <x v="3"/>
    <s v="Palermo"/>
  </r>
  <r>
    <d v="2025-09-25T00:00:00"/>
    <x v="1"/>
    <x v="6"/>
    <m/>
    <x v="0"/>
    <s v="Dos terrenos ubicado en Av. Arrayanes y calle Cerro Bayo, nomenclatura catastral: 16-20-070-4383 con una superficie aproximada de 1.167m2 y 16-20-070-4082 con una superficie aproximada de 1372m2, de la ciudad de Villa la Angostura, Pcia. De Neuquén"/>
    <s v="Realizado"/>
    <s v="Repetido"/>
    <n v="1250000"/>
    <x v="540"/>
    <x v="0"/>
    <s v="Dólares"/>
    <s v="Dólares"/>
    <s v="Cerro Bayo y Av. Arrayanes"/>
    <s v="Argentina | Neuquen | Villa La Angostura | Centro"/>
    <x v="1"/>
    <n v="2"/>
    <s v="Patagonia Lakes VLA"/>
    <s v="Propia (Único Asesor)"/>
    <x v="1"/>
    <s v="Venta"/>
    <x v="1"/>
    <s v="Villa La Angostura"/>
  </r>
  <r>
    <d v="2025-09-25T00:00:00"/>
    <x v="1"/>
    <x v="6"/>
    <m/>
    <x v="0"/>
    <s v="Dos terrenos ubicado en Av. Arrayanes y calle Cerro Bayo, nomenclatura catastral: 16-20-070-4383 con una superficie aproximada de 1.167m2 y 16-20-070-4082 con una superficie aproximada de 1372m2, de la ciudad de Villa la Angostura, Pcia. De Neuquén"/>
    <s v="Realizado"/>
    <s v="Repetido"/>
    <n v="1250000"/>
    <x v="540"/>
    <x v="0"/>
    <s v="Dólares"/>
    <s v="Dólares"/>
    <s v="Cerro Bayo esquina Av. Arrayanes"/>
    <s v="Argentina | Neuquen | Villa La Angostura | Centro"/>
    <x v="1"/>
    <n v="2"/>
    <s v="Patagonia Lakes VLA"/>
    <s v="Propia (Único Asesor)"/>
    <x v="1"/>
    <s v="Venta"/>
    <x v="1"/>
    <s v="Villa La Angostura"/>
  </r>
  <r>
    <d v="2026-03-09T00:00:00"/>
    <x v="0"/>
    <x v="9"/>
    <s v="CLA7246145"/>
    <x v="0"/>
    <s v="Venta Terreno en venta en Recoleta"/>
    <s v="Realizado"/>
    <s v="AR ZonaProp"/>
    <n v="1479246"/>
    <x v="541"/>
    <x v="0"/>
    <s v="Dólares"/>
    <s v="Dólares"/>
    <s v="Soler al 3500"/>
    <s v="Argentina | Capital Federal | Recoleta "/>
    <x v="1"/>
    <n v="2"/>
    <s v="Seniority"/>
    <s v="Propia (Único Asesor)"/>
    <x v="1"/>
    <s v="Venta"/>
    <x v="3"/>
    <s v="Barrio Parque"/>
  </r>
  <r>
    <d v="2025-05-20T00:00:00"/>
    <x v="1"/>
    <x v="2"/>
    <m/>
    <x v="2"/>
    <s v="Akol Casa 8"/>
    <s v="Realizado"/>
    <s v="Teléfono"/>
    <n v="3200000"/>
    <x v="542"/>
    <x v="0"/>
    <s v="Dólares"/>
    <s v="Dólares"/>
    <s v="Blvd. Quetrihue 448"/>
    <s v="Argentina | Neuquen | Villa La Angostura | Tres Cerros"/>
    <x v="2"/>
    <n v="2"/>
    <s v="Patagonia Lakes VLA"/>
    <s v="Master"/>
    <x v="1"/>
    <s v="Venta"/>
    <x v="1"/>
    <s v="Villa La Angostu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5D566F-8515-8540-AE9D-80F7BA613154}" name="TablaDinámica2"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45:U80"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Cuenta de Precio Cierre Total" fld="9" subtotal="count" baseField="0" baseItem="0" numFmtId="3"/>
  </dataFields>
  <formats count="38">
    <format dxfId="1133">
      <pivotArea type="all" dataOnly="0" outline="0" fieldPosition="0"/>
    </format>
    <format dxfId="1132">
      <pivotArea outline="0" collapsedLevelsAreSubtotals="1" fieldPosition="0"/>
    </format>
    <format dxfId="1131">
      <pivotArea type="origin" dataOnly="0" labelOnly="1" outline="0" fieldPosition="0"/>
    </format>
    <format dxfId="1130">
      <pivotArea field="1" type="button" dataOnly="0" labelOnly="1" outline="0" axis="axisCol" fieldPosition="0"/>
    </format>
    <format dxfId="1129">
      <pivotArea field="2" type="button" dataOnly="0" labelOnly="1" outline="0" axis="axisCol" fieldPosition="1"/>
    </format>
    <format dxfId="1128">
      <pivotArea type="topRight" dataOnly="0" labelOnly="1" outline="0" fieldPosition="0"/>
    </format>
    <format dxfId="1127">
      <pivotArea field="19" type="button" dataOnly="0" labelOnly="1" outline="0" axis="axisRow" fieldPosition="0"/>
    </format>
    <format dxfId="1126">
      <pivotArea field="21" type="button" dataOnly="0" labelOnly="1" outline="0" axis="axisRow" fieldPosition="1"/>
    </format>
    <format dxfId="1125">
      <pivotArea dataOnly="0" labelOnly="1" outline="0" fieldPosition="0">
        <references count="1">
          <reference field="19" count="0"/>
        </references>
      </pivotArea>
    </format>
    <format dxfId="1124">
      <pivotArea dataOnly="0" labelOnly="1" outline="0" fieldPosition="0">
        <references count="1">
          <reference field="19" count="0" defaultSubtotal="1"/>
        </references>
      </pivotArea>
    </format>
    <format dxfId="1123">
      <pivotArea dataOnly="0" labelOnly="1" grandRow="1" outline="0" fieldPosition="0"/>
    </format>
    <format dxfId="1122">
      <pivotArea dataOnly="0" labelOnly="1" outline="0" fieldPosition="0">
        <references count="2">
          <reference field="19" count="1" selected="0">
            <x v="0"/>
          </reference>
          <reference field="21" count="0"/>
        </references>
      </pivotArea>
    </format>
    <format dxfId="1121">
      <pivotArea dataOnly="0" labelOnly="1" outline="0" fieldPosition="0">
        <references count="2">
          <reference field="19" count="1" selected="0">
            <x v="1"/>
          </reference>
          <reference field="21" count="9">
            <x v="0"/>
            <x v="2"/>
            <x v="3"/>
            <x v="4"/>
            <x v="5"/>
            <x v="7"/>
            <x v="8"/>
            <x v="9"/>
            <x v="10"/>
          </reference>
        </references>
      </pivotArea>
    </format>
    <format dxfId="1120">
      <pivotArea dataOnly="0" labelOnly="1" outline="0" fieldPosition="0">
        <references count="2">
          <reference field="19" count="1" selected="0">
            <x v="2"/>
          </reference>
          <reference field="21" count="9">
            <x v="0"/>
            <x v="2"/>
            <x v="3"/>
            <x v="4"/>
            <x v="5"/>
            <x v="7"/>
            <x v="8"/>
            <x v="9"/>
            <x v="10"/>
          </reference>
        </references>
      </pivotArea>
    </format>
    <format dxfId="1119">
      <pivotArea dataOnly="0" labelOnly="1" outline="0" fieldPosition="0">
        <references count="1">
          <reference field="1" count="0"/>
        </references>
      </pivotArea>
    </format>
    <format dxfId="1118">
      <pivotArea dataOnly="0" labelOnly="1" outline="0" fieldPosition="0">
        <references count="1">
          <reference field="1" count="0" defaultSubtotal="1"/>
        </references>
      </pivotArea>
    </format>
    <format dxfId="1117">
      <pivotArea dataOnly="0" labelOnly="1" grandCol="1" outline="0" fieldPosition="0"/>
    </format>
    <format dxfId="1116">
      <pivotArea dataOnly="0" labelOnly="1" outline="0" fieldPosition="0">
        <references count="2">
          <reference field="1" count="1" selected="0">
            <x v="0"/>
          </reference>
          <reference field="2" count="0"/>
        </references>
      </pivotArea>
    </format>
    <format dxfId="1115">
      <pivotArea dataOnly="0" labelOnly="1" outline="0" fieldPosition="0">
        <references count="2">
          <reference field="1" count="1" selected="0">
            <x v="1"/>
          </reference>
          <reference field="2" count="3">
            <x v="0"/>
            <x v="1"/>
            <x v="2"/>
          </reference>
        </references>
      </pivotArea>
    </format>
    <format dxfId="1114">
      <pivotArea type="all" dataOnly="0" outline="0" fieldPosition="0"/>
    </format>
    <format dxfId="1113">
      <pivotArea outline="0" collapsedLevelsAreSubtotals="1" fieldPosition="0"/>
    </format>
    <format dxfId="1112">
      <pivotArea type="origin" dataOnly="0" labelOnly="1" outline="0" fieldPosition="0"/>
    </format>
    <format dxfId="1111">
      <pivotArea field="1" type="button" dataOnly="0" labelOnly="1" outline="0" axis="axisCol" fieldPosition="0"/>
    </format>
    <format dxfId="1110">
      <pivotArea field="2" type="button" dataOnly="0" labelOnly="1" outline="0" axis="axisCol" fieldPosition="1"/>
    </format>
    <format dxfId="1109">
      <pivotArea type="topRight" dataOnly="0" labelOnly="1" outline="0" fieldPosition="0"/>
    </format>
    <format dxfId="1108">
      <pivotArea field="19" type="button" dataOnly="0" labelOnly="1" outline="0" axis="axisRow" fieldPosition="0"/>
    </format>
    <format dxfId="1107">
      <pivotArea field="21" type="button" dataOnly="0" labelOnly="1" outline="0" axis="axisRow" fieldPosition="1"/>
    </format>
    <format dxfId="1106">
      <pivotArea dataOnly="0" labelOnly="1" outline="0" fieldPosition="0">
        <references count="1">
          <reference field="19" count="0"/>
        </references>
      </pivotArea>
    </format>
    <format dxfId="1105">
      <pivotArea dataOnly="0" labelOnly="1" outline="0" fieldPosition="0">
        <references count="1">
          <reference field="19" count="0" defaultSubtotal="1"/>
        </references>
      </pivotArea>
    </format>
    <format dxfId="1104">
      <pivotArea dataOnly="0" labelOnly="1" grandRow="1" outline="0" fieldPosition="0"/>
    </format>
    <format dxfId="1103">
      <pivotArea dataOnly="0" labelOnly="1" outline="0" fieldPosition="0">
        <references count="2">
          <reference field="19" count="1" selected="0">
            <x v="0"/>
          </reference>
          <reference field="21" count="0"/>
        </references>
      </pivotArea>
    </format>
    <format dxfId="1102">
      <pivotArea dataOnly="0" labelOnly="1" outline="0" fieldPosition="0">
        <references count="2">
          <reference field="19" count="1" selected="0">
            <x v="1"/>
          </reference>
          <reference field="21" count="9">
            <x v="0"/>
            <x v="2"/>
            <x v="3"/>
            <x v="4"/>
            <x v="5"/>
            <x v="7"/>
            <x v="8"/>
            <x v="9"/>
            <x v="10"/>
          </reference>
        </references>
      </pivotArea>
    </format>
    <format dxfId="1101">
      <pivotArea dataOnly="0" labelOnly="1" outline="0" fieldPosition="0">
        <references count="2">
          <reference field="19" count="1" selected="0">
            <x v="2"/>
          </reference>
          <reference field="21" count="9">
            <x v="0"/>
            <x v="2"/>
            <x v="3"/>
            <x v="4"/>
            <x v="5"/>
            <x v="7"/>
            <x v="8"/>
            <x v="9"/>
            <x v="10"/>
          </reference>
        </references>
      </pivotArea>
    </format>
    <format dxfId="1100">
      <pivotArea dataOnly="0" labelOnly="1" outline="0" fieldPosition="0">
        <references count="1">
          <reference field="1" count="0"/>
        </references>
      </pivotArea>
    </format>
    <format dxfId="1099">
      <pivotArea dataOnly="0" labelOnly="1" outline="0" fieldPosition="0">
        <references count="1">
          <reference field="1" count="0" defaultSubtotal="1"/>
        </references>
      </pivotArea>
    </format>
    <format dxfId="1098">
      <pivotArea dataOnly="0" labelOnly="1" grandCol="1" outline="0" fieldPosition="0"/>
    </format>
    <format dxfId="1097">
      <pivotArea dataOnly="0" labelOnly="1" outline="0" fieldPosition="0">
        <references count="2">
          <reference field="1" count="1" selected="0">
            <x v="0"/>
          </reference>
          <reference field="2" count="0"/>
        </references>
      </pivotArea>
    </format>
    <format dxfId="1096">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926FE-B7A3-A745-B688-FF0E84A41365}" name="TablaDinámica6"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X5:AQ40"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axis="axisPage"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3">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r="1">
      <x v="9"/>
    </i>
    <i r="1">
      <x v="10"/>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9" hier="-1"/>
    <pageField fld="19" hier="-1"/>
  </pageFields>
  <dataFields count="1">
    <dataField name="Suma de Precio Cierre Total" fld="9" baseField="0" baseItem="0" numFmtId="3"/>
  </dataFields>
  <formats count="40">
    <format dxfId="1173">
      <pivotArea type="all" dataOnly="0" outline="0" fieldPosition="0"/>
    </format>
    <format dxfId="1172">
      <pivotArea outline="0" collapsedLevelsAreSubtotals="1" fieldPosition="0"/>
    </format>
    <format dxfId="1171">
      <pivotArea type="origin" dataOnly="0" labelOnly="1" outline="0" fieldPosition="0"/>
    </format>
    <format dxfId="1170">
      <pivotArea field="1" type="button" dataOnly="0" labelOnly="1" outline="0" axis="axisCol" fieldPosition="0"/>
    </format>
    <format dxfId="1169">
      <pivotArea field="2" type="button" dataOnly="0" labelOnly="1" outline="0" axis="axisCol" fieldPosition="1"/>
    </format>
    <format dxfId="1168">
      <pivotArea type="topRight" dataOnly="0" labelOnly="1" outline="0" fieldPosition="0"/>
    </format>
    <format dxfId="1167">
      <pivotArea field="19" type="button" dataOnly="0" labelOnly="1" outline="0" axis="axisPage" fieldPosition="2"/>
    </format>
    <format dxfId="1166">
      <pivotArea field="21" type="button" dataOnly="0" labelOnly="1" outline="0" axis="axisRow" fieldPosition="1"/>
    </format>
    <format dxfId="1165">
      <pivotArea dataOnly="0" labelOnly="1" outline="0" fieldPosition="0">
        <references count="1">
          <reference field="19" count="0"/>
        </references>
      </pivotArea>
    </format>
    <format dxfId="1164">
      <pivotArea dataOnly="0" labelOnly="1" outline="0" fieldPosition="0">
        <references count="1">
          <reference field="19" count="0" defaultSubtotal="1"/>
        </references>
      </pivotArea>
    </format>
    <format dxfId="1163">
      <pivotArea dataOnly="0" labelOnly="1" grandRow="1" outline="0" fieldPosition="0"/>
    </format>
    <format dxfId="1162">
      <pivotArea dataOnly="0" labelOnly="1" outline="0" fieldPosition="0">
        <references count="2">
          <reference field="19" count="1" selected="0">
            <x v="0"/>
          </reference>
          <reference field="21" count="0"/>
        </references>
      </pivotArea>
    </format>
    <format dxfId="1161">
      <pivotArea dataOnly="0" labelOnly="1" outline="0" fieldPosition="0">
        <references count="2">
          <reference field="19" count="1" selected="0">
            <x v="1"/>
          </reference>
          <reference field="21" count="9">
            <x v="0"/>
            <x v="2"/>
            <x v="3"/>
            <x v="4"/>
            <x v="5"/>
            <x v="7"/>
            <x v="8"/>
            <x v="9"/>
            <x v="10"/>
          </reference>
        </references>
      </pivotArea>
    </format>
    <format dxfId="1160">
      <pivotArea dataOnly="0" labelOnly="1" outline="0" fieldPosition="0">
        <references count="2">
          <reference field="19" count="1" selected="0">
            <x v="2"/>
          </reference>
          <reference field="21" count="9">
            <x v="0"/>
            <x v="2"/>
            <x v="3"/>
            <x v="4"/>
            <x v="5"/>
            <x v="7"/>
            <x v="8"/>
            <x v="9"/>
            <x v="10"/>
          </reference>
        </references>
      </pivotArea>
    </format>
    <format dxfId="1159">
      <pivotArea dataOnly="0" labelOnly="1" outline="0" fieldPosition="0">
        <references count="1">
          <reference field="1" count="0"/>
        </references>
      </pivotArea>
    </format>
    <format dxfId="1158">
      <pivotArea dataOnly="0" labelOnly="1" outline="0" fieldPosition="0">
        <references count="1">
          <reference field="1" count="0" defaultSubtotal="1"/>
        </references>
      </pivotArea>
    </format>
    <format dxfId="1157">
      <pivotArea dataOnly="0" labelOnly="1" grandCol="1" outline="0" fieldPosition="0"/>
    </format>
    <format dxfId="1156">
      <pivotArea dataOnly="0" labelOnly="1" outline="0" fieldPosition="0">
        <references count="2">
          <reference field="1" count="1" selected="0">
            <x v="0"/>
          </reference>
          <reference field="2" count="0"/>
        </references>
      </pivotArea>
    </format>
    <format dxfId="1155">
      <pivotArea dataOnly="0" labelOnly="1" outline="0" fieldPosition="0">
        <references count="2">
          <reference field="1" count="1" selected="0">
            <x v="1"/>
          </reference>
          <reference field="2" count="3">
            <x v="0"/>
            <x v="1"/>
            <x v="2"/>
          </reference>
        </references>
      </pivotArea>
    </format>
    <format dxfId="1154">
      <pivotArea type="all" dataOnly="0" outline="0" fieldPosition="0"/>
    </format>
    <format dxfId="1153">
      <pivotArea outline="0" collapsedLevelsAreSubtotals="1" fieldPosition="0"/>
    </format>
    <format dxfId="1152">
      <pivotArea field="1" type="button" dataOnly="0" labelOnly="1" outline="0" axis="axisCol" fieldPosition="0"/>
    </format>
    <format dxfId="1151">
      <pivotArea field="2" type="button" dataOnly="0" labelOnly="1" outline="0" axis="axisCol" fieldPosition="1"/>
    </format>
    <format dxfId="1150">
      <pivotArea type="topRight" dataOnly="0" labelOnly="1" outline="0" fieldPosition="0"/>
    </format>
    <format dxfId="1149">
      <pivotArea dataOnly="0" labelOnly="1" outline="0" fieldPosition="0">
        <references count="1">
          <reference field="1" count="0"/>
        </references>
      </pivotArea>
    </format>
    <format dxfId="1148">
      <pivotArea dataOnly="0" labelOnly="1" outline="0" fieldPosition="0">
        <references count="1">
          <reference field="1" count="0" defaultSubtotal="1"/>
        </references>
      </pivotArea>
    </format>
    <format dxfId="1147">
      <pivotArea dataOnly="0" labelOnly="1" grandCol="1" outline="0" fieldPosition="0"/>
    </format>
    <format dxfId="1146">
      <pivotArea dataOnly="0" labelOnly="1" outline="0" fieldPosition="0">
        <references count="2">
          <reference field="1" count="1" selected="0">
            <x v="0"/>
          </reference>
          <reference field="2" count="0"/>
        </references>
      </pivotArea>
    </format>
    <format dxfId="1145">
      <pivotArea dataOnly="0" labelOnly="1" outline="0" fieldPosition="0">
        <references count="2">
          <reference field="1" count="1" selected="0">
            <x v="1"/>
          </reference>
          <reference field="2" count="3">
            <x v="0"/>
            <x v="1"/>
            <x v="2"/>
          </reference>
        </references>
      </pivotArea>
    </format>
    <format dxfId="1144">
      <pivotArea type="origin" dataOnly="0" labelOnly="1" outline="0" fieldPosition="0"/>
    </format>
    <format dxfId="1143">
      <pivotArea field="19" type="button" dataOnly="0" labelOnly="1" outline="0" axis="axisPage" fieldPosition="2"/>
    </format>
    <format dxfId="1142">
      <pivotArea field="21" type="button" dataOnly="0" labelOnly="1" outline="0" axis="axisRow" fieldPosition="1"/>
    </format>
    <format dxfId="1141">
      <pivotArea dataOnly="0" labelOnly="1" outline="0" fieldPosition="0">
        <references count="1">
          <reference field="19" count="0"/>
        </references>
      </pivotArea>
    </format>
    <format dxfId="1140">
      <pivotArea dataOnly="0" labelOnly="1" outline="0" fieldPosition="0">
        <references count="1">
          <reference field="19" count="0" defaultSubtotal="1"/>
        </references>
      </pivotArea>
    </format>
    <format dxfId="1139">
      <pivotArea dataOnly="0" labelOnly="1" grandRow="1" outline="0" fieldPosition="0"/>
    </format>
    <format dxfId="1138">
      <pivotArea dataOnly="0" labelOnly="1" outline="0" fieldPosition="0">
        <references count="2">
          <reference field="19" count="1" selected="0">
            <x v="0"/>
          </reference>
          <reference field="21" count="0"/>
        </references>
      </pivotArea>
    </format>
    <format dxfId="1137">
      <pivotArea dataOnly="0" labelOnly="1" outline="0" fieldPosition="0">
        <references count="2">
          <reference field="19" count="1" selected="0">
            <x v="1"/>
          </reference>
          <reference field="21" count="0"/>
        </references>
      </pivotArea>
    </format>
    <format dxfId="1136">
      <pivotArea dataOnly="0" labelOnly="1" outline="0" fieldPosition="0">
        <references count="2">
          <reference field="19" count="1" selected="0">
            <x v="2"/>
          </reference>
          <reference field="21" count="0"/>
        </references>
      </pivotArea>
    </format>
    <format dxfId="1135">
      <pivotArea outline="0" fieldPosition="0">
        <references count="1">
          <reference field="19" count="1" selected="0" defaultSubtotal="1">
            <x v="0"/>
          </reference>
        </references>
      </pivotArea>
    </format>
    <format dxfId="1134">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765FD-87E0-6E4E-B1A4-FDB712B91336}" name="TablaDinámica11"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S88:BL121"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dataField="1" compact="0" numFmtId="3" outline="0" subtotalTop="0" showAll="0">
      <extLst>
        <ext xmlns:x14="http://schemas.microsoft.com/office/spreadsheetml/2009/9/main" uri="{2946ED86-A175-432a-8AC1-64E0C546D7DE}">
          <x14:pivotField fillDownLabels="1"/>
        </ext>
      </extLst>
    </pivotField>
    <pivotField axis="axisPage" compact="0" numFmtId="3" outline="0" subtotalTop="0" multipleItemSelectionAllowed="1" showAll="0">
      <items count="3">
        <item h="1" x="0"/>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1">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19" hier="-1"/>
    <pageField fld="10" hier="-1"/>
  </pageFields>
  <dataFields count="1">
    <dataField name="Cuenta de Precio Cierre Total" fld="9" subtotal="count" baseField="0" baseItem="0" numFmtId="3"/>
  </dataFields>
  <formats count="40">
    <format dxfId="1213">
      <pivotArea type="all" dataOnly="0" outline="0" fieldPosition="0"/>
    </format>
    <format dxfId="1212">
      <pivotArea outline="0" collapsedLevelsAreSubtotals="1" fieldPosition="0"/>
    </format>
    <format dxfId="1211">
      <pivotArea type="origin" dataOnly="0" labelOnly="1" outline="0" fieldPosition="0"/>
    </format>
    <format dxfId="1210">
      <pivotArea field="1" type="button" dataOnly="0" labelOnly="1" outline="0" axis="axisCol" fieldPosition="0"/>
    </format>
    <format dxfId="1209">
      <pivotArea field="2" type="button" dataOnly="0" labelOnly="1" outline="0" axis="axisCol" fieldPosition="1"/>
    </format>
    <format dxfId="1208">
      <pivotArea type="topRight" dataOnly="0" labelOnly="1" outline="0" fieldPosition="0"/>
    </format>
    <format dxfId="1207">
      <pivotArea field="19" type="button" dataOnly="0" labelOnly="1" outline="0" axis="axisPage" fieldPosition="1"/>
    </format>
    <format dxfId="1206">
      <pivotArea field="21" type="button" dataOnly="0" labelOnly="1" outline="0" axis="axisRow" fieldPosition="1"/>
    </format>
    <format dxfId="1205">
      <pivotArea dataOnly="0" labelOnly="1" outline="0" fieldPosition="0">
        <references count="1">
          <reference field="19" count="0"/>
        </references>
      </pivotArea>
    </format>
    <format dxfId="1204">
      <pivotArea dataOnly="0" labelOnly="1" outline="0" fieldPosition="0">
        <references count="1">
          <reference field="19" count="0" defaultSubtotal="1"/>
        </references>
      </pivotArea>
    </format>
    <format dxfId="1203">
      <pivotArea dataOnly="0" labelOnly="1" grandRow="1" outline="0" fieldPosition="0"/>
    </format>
    <format dxfId="1202">
      <pivotArea dataOnly="0" labelOnly="1" outline="0" fieldPosition="0">
        <references count="2">
          <reference field="19" count="1" selected="0">
            <x v="0"/>
          </reference>
          <reference field="21" count="0"/>
        </references>
      </pivotArea>
    </format>
    <format dxfId="1201">
      <pivotArea dataOnly="0" labelOnly="1" outline="0" fieldPosition="0">
        <references count="2">
          <reference field="19" count="1" selected="0">
            <x v="1"/>
          </reference>
          <reference field="21" count="9">
            <x v="0"/>
            <x v="2"/>
            <x v="3"/>
            <x v="4"/>
            <x v="5"/>
            <x v="7"/>
            <x v="8"/>
            <x v="9"/>
            <x v="10"/>
          </reference>
        </references>
      </pivotArea>
    </format>
    <format dxfId="1200">
      <pivotArea dataOnly="0" labelOnly="1" outline="0" fieldPosition="0">
        <references count="2">
          <reference field="19" count="1" selected="0">
            <x v="2"/>
          </reference>
          <reference field="21" count="9">
            <x v="0"/>
            <x v="2"/>
            <x v="3"/>
            <x v="4"/>
            <x v="5"/>
            <x v="7"/>
            <x v="8"/>
            <x v="9"/>
            <x v="10"/>
          </reference>
        </references>
      </pivotArea>
    </format>
    <format dxfId="1199">
      <pivotArea dataOnly="0" labelOnly="1" outline="0" fieldPosition="0">
        <references count="1">
          <reference field="1" count="0"/>
        </references>
      </pivotArea>
    </format>
    <format dxfId="1198">
      <pivotArea dataOnly="0" labelOnly="1" outline="0" fieldPosition="0">
        <references count="1">
          <reference field="1" count="0" defaultSubtotal="1"/>
        </references>
      </pivotArea>
    </format>
    <format dxfId="1197">
      <pivotArea dataOnly="0" labelOnly="1" grandCol="1" outline="0" fieldPosition="0"/>
    </format>
    <format dxfId="1196">
      <pivotArea dataOnly="0" labelOnly="1" outline="0" fieldPosition="0">
        <references count="2">
          <reference field="1" count="1" selected="0">
            <x v="0"/>
          </reference>
          <reference field="2" count="0"/>
        </references>
      </pivotArea>
    </format>
    <format dxfId="1195">
      <pivotArea dataOnly="0" labelOnly="1" outline="0" fieldPosition="0">
        <references count="2">
          <reference field="1" count="1" selected="0">
            <x v="1"/>
          </reference>
          <reference field="2" count="3">
            <x v="0"/>
            <x v="1"/>
            <x v="2"/>
          </reference>
        </references>
      </pivotArea>
    </format>
    <format dxfId="1194">
      <pivotArea type="all" dataOnly="0" outline="0" fieldPosition="0"/>
    </format>
    <format dxfId="1193">
      <pivotArea outline="0" collapsedLevelsAreSubtotals="1" fieldPosition="0"/>
    </format>
    <format dxfId="1192">
      <pivotArea field="1" type="button" dataOnly="0" labelOnly="1" outline="0" axis="axisCol" fieldPosition="0"/>
    </format>
    <format dxfId="1191">
      <pivotArea field="2" type="button" dataOnly="0" labelOnly="1" outline="0" axis="axisCol" fieldPosition="1"/>
    </format>
    <format dxfId="1190">
      <pivotArea type="topRight" dataOnly="0" labelOnly="1" outline="0" fieldPosition="0"/>
    </format>
    <format dxfId="1189">
      <pivotArea dataOnly="0" labelOnly="1" outline="0" fieldPosition="0">
        <references count="1">
          <reference field="1" count="0"/>
        </references>
      </pivotArea>
    </format>
    <format dxfId="1188">
      <pivotArea dataOnly="0" labelOnly="1" outline="0" fieldPosition="0">
        <references count="1">
          <reference field="1" count="0" defaultSubtotal="1"/>
        </references>
      </pivotArea>
    </format>
    <format dxfId="1187">
      <pivotArea dataOnly="0" labelOnly="1" grandCol="1" outline="0" fieldPosition="0"/>
    </format>
    <format dxfId="1186">
      <pivotArea dataOnly="0" labelOnly="1" outline="0" fieldPosition="0">
        <references count="2">
          <reference field="1" count="1" selected="0">
            <x v="0"/>
          </reference>
          <reference field="2" count="0"/>
        </references>
      </pivotArea>
    </format>
    <format dxfId="1185">
      <pivotArea dataOnly="0" labelOnly="1" outline="0" fieldPosition="0">
        <references count="2">
          <reference field="1" count="1" selected="0">
            <x v="1"/>
          </reference>
          <reference field="2" count="3">
            <x v="0"/>
            <x v="1"/>
            <x v="2"/>
          </reference>
        </references>
      </pivotArea>
    </format>
    <format dxfId="1184">
      <pivotArea type="origin" dataOnly="0" labelOnly="1" outline="0" fieldPosition="0"/>
    </format>
    <format dxfId="1183">
      <pivotArea field="19" type="button" dataOnly="0" labelOnly="1" outline="0" axis="axisPage" fieldPosition="1"/>
    </format>
    <format dxfId="1182">
      <pivotArea field="21" type="button" dataOnly="0" labelOnly="1" outline="0" axis="axisRow" fieldPosition="1"/>
    </format>
    <format dxfId="1181">
      <pivotArea dataOnly="0" labelOnly="1" outline="0" fieldPosition="0">
        <references count="1">
          <reference field="19" count="0"/>
        </references>
      </pivotArea>
    </format>
    <format dxfId="1180">
      <pivotArea dataOnly="0" labelOnly="1" outline="0" fieldPosition="0">
        <references count="1">
          <reference field="19" count="0" defaultSubtotal="1"/>
        </references>
      </pivotArea>
    </format>
    <format dxfId="1179">
      <pivotArea dataOnly="0" labelOnly="1" grandRow="1" outline="0" fieldPosition="0"/>
    </format>
    <format dxfId="1178">
      <pivotArea dataOnly="0" labelOnly="1" outline="0" fieldPosition="0">
        <references count="2">
          <reference field="19" count="1" selected="0">
            <x v="0"/>
          </reference>
          <reference field="21" count="0"/>
        </references>
      </pivotArea>
    </format>
    <format dxfId="1177">
      <pivotArea dataOnly="0" labelOnly="1" outline="0" fieldPosition="0">
        <references count="2">
          <reference field="19" count="1" selected="0">
            <x v="1"/>
          </reference>
          <reference field="21" count="0"/>
        </references>
      </pivotArea>
    </format>
    <format dxfId="1176">
      <pivotArea dataOnly="0" labelOnly="1" outline="0" fieldPosition="0">
        <references count="2">
          <reference field="19" count="1" selected="0">
            <x v="2"/>
          </reference>
          <reference field="21" count="0"/>
        </references>
      </pivotArea>
    </format>
    <format dxfId="1175">
      <pivotArea outline="0" fieldPosition="0">
        <references count="1">
          <reference field="19" count="1" selected="0" defaultSubtotal="1">
            <x v="0"/>
          </reference>
        </references>
      </pivotArea>
    </format>
    <format dxfId="1174">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CBCD21-2499-834D-876B-DD6043D17FA1}" name="TablaDinámica7"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X88:AQ123"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axis="axisPage" dataField="1" compact="0" numFmtId="3" outline="0" subtotalTop="0" showAll="0">
      <items count="5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t="default"/>
      </items>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3">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r="1">
      <x v="9"/>
    </i>
    <i r="1">
      <x v="10"/>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9" hier="-1"/>
    <pageField fld="19" hier="-1"/>
  </pageFields>
  <dataFields count="1">
    <dataField name="Cuenta de Precio Cierre Total" fld="9" subtotal="count" baseField="0" baseItem="0" numFmtId="3"/>
  </dataFields>
  <formats count="40">
    <format dxfId="1253">
      <pivotArea type="all" dataOnly="0" outline="0" fieldPosition="0"/>
    </format>
    <format dxfId="1252">
      <pivotArea outline="0" collapsedLevelsAreSubtotals="1" fieldPosition="0"/>
    </format>
    <format dxfId="1251">
      <pivotArea type="origin" dataOnly="0" labelOnly="1" outline="0" fieldPosition="0"/>
    </format>
    <format dxfId="1250">
      <pivotArea field="1" type="button" dataOnly="0" labelOnly="1" outline="0" axis="axisCol" fieldPosition="0"/>
    </format>
    <format dxfId="1249">
      <pivotArea field="2" type="button" dataOnly="0" labelOnly="1" outline="0" axis="axisCol" fieldPosition="1"/>
    </format>
    <format dxfId="1248">
      <pivotArea type="topRight" dataOnly="0" labelOnly="1" outline="0" fieldPosition="0"/>
    </format>
    <format dxfId="1247">
      <pivotArea field="19" type="button" dataOnly="0" labelOnly="1" outline="0" axis="axisPage" fieldPosition="2"/>
    </format>
    <format dxfId="1246">
      <pivotArea field="21" type="button" dataOnly="0" labelOnly="1" outline="0" axis="axisRow" fieldPosition="1"/>
    </format>
    <format dxfId="1245">
      <pivotArea dataOnly="0" labelOnly="1" outline="0" fieldPosition="0">
        <references count="1">
          <reference field="19" count="0"/>
        </references>
      </pivotArea>
    </format>
    <format dxfId="1244">
      <pivotArea dataOnly="0" labelOnly="1" outline="0" fieldPosition="0">
        <references count="1">
          <reference field="19" count="0" defaultSubtotal="1"/>
        </references>
      </pivotArea>
    </format>
    <format dxfId="1243">
      <pivotArea dataOnly="0" labelOnly="1" grandRow="1" outline="0" fieldPosition="0"/>
    </format>
    <format dxfId="1242">
      <pivotArea dataOnly="0" labelOnly="1" outline="0" fieldPosition="0">
        <references count="2">
          <reference field="19" count="1" selected="0">
            <x v="0"/>
          </reference>
          <reference field="21" count="0"/>
        </references>
      </pivotArea>
    </format>
    <format dxfId="1241">
      <pivotArea dataOnly="0" labelOnly="1" outline="0" fieldPosition="0">
        <references count="2">
          <reference field="19" count="1" selected="0">
            <x v="1"/>
          </reference>
          <reference field="21" count="9">
            <x v="0"/>
            <x v="2"/>
            <x v="3"/>
            <x v="4"/>
            <x v="5"/>
            <x v="7"/>
            <x v="8"/>
            <x v="9"/>
            <x v="10"/>
          </reference>
        </references>
      </pivotArea>
    </format>
    <format dxfId="1240">
      <pivotArea dataOnly="0" labelOnly="1" outline="0" fieldPosition="0">
        <references count="2">
          <reference field="19" count="1" selected="0">
            <x v="2"/>
          </reference>
          <reference field="21" count="9">
            <x v="0"/>
            <x v="2"/>
            <x v="3"/>
            <x v="4"/>
            <x v="5"/>
            <x v="7"/>
            <x v="8"/>
            <x v="9"/>
            <x v="10"/>
          </reference>
        </references>
      </pivotArea>
    </format>
    <format dxfId="1239">
      <pivotArea dataOnly="0" labelOnly="1" outline="0" fieldPosition="0">
        <references count="1">
          <reference field="1" count="0"/>
        </references>
      </pivotArea>
    </format>
    <format dxfId="1238">
      <pivotArea dataOnly="0" labelOnly="1" outline="0" fieldPosition="0">
        <references count="1">
          <reference field="1" count="0" defaultSubtotal="1"/>
        </references>
      </pivotArea>
    </format>
    <format dxfId="1237">
      <pivotArea dataOnly="0" labelOnly="1" grandCol="1" outline="0" fieldPosition="0"/>
    </format>
    <format dxfId="1236">
      <pivotArea dataOnly="0" labelOnly="1" outline="0" fieldPosition="0">
        <references count="2">
          <reference field="1" count="1" selected="0">
            <x v="0"/>
          </reference>
          <reference field="2" count="0"/>
        </references>
      </pivotArea>
    </format>
    <format dxfId="1235">
      <pivotArea dataOnly="0" labelOnly="1" outline="0" fieldPosition="0">
        <references count="2">
          <reference field="1" count="1" selected="0">
            <x v="1"/>
          </reference>
          <reference field="2" count="3">
            <x v="0"/>
            <x v="1"/>
            <x v="2"/>
          </reference>
        </references>
      </pivotArea>
    </format>
    <format dxfId="1234">
      <pivotArea type="all" dataOnly="0" outline="0" fieldPosition="0"/>
    </format>
    <format dxfId="1233">
      <pivotArea outline="0" collapsedLevelsAreSubtotals="1" fieldPosition="0"/>
    </format>
    <format dxfId="1232">
      <pivotArea field="1" type="button" dataOnly="0" labelOnly="1" outline="0" axis="axisCol" fieldPosition="0"/>
    </format>
    <format dxfId="1231">
      <pivotArea field="2" type="button" dataOnly="0" labelOnly="1" outline="0" axis="axisCol" fieldPosition="1"/>
    </format>
    <format dxfId="1230">
      <pivotArea type="topRight" dataOnly="0" labelOnly="1" outline="0" fieldPosition="0"/>
    </format>
    <format dxfId="1229">
      <pivotArea dataOnly="0" labelOnly="1" outline="0" fieldPosition="0">
        <references count="1">
          <reference field="1" count="0"/>
        </references>
      </pivotArea>
    </format>
    <format dxfId="1228">
      <pivotArea dataOnly="0" labelOnly="1" outline="0" fieldPosition="0">
        <references count="1">
          <reference field="1" count="0" defaultSubtotal="1"/>
        </references>
      </pivotArea>
    </format>
    <format dxfId="1227">
      <pivotArea dataOnly="0" labelOnly="1" grandCol="1" outline="0" fieldPosition="0"/>
    </format>
    <format dxfId="1226">
      <pivotArea dataOnly="0" labelOnly="1" outline="0" fieldPosition="0">
        <references count="2">
          <reference field="1" count="1" selected="0">
            <x v="0"/>
          </reference>
          <reference field="2" count="0"/>
        </references>
      </pivotArea>
    </format>
    <format dxfId="1225">
      <pivotArea dataOnly="0" labelOnly="1" outline="0" fieldPosition="0">
        <references count="2">
          <reference field="1" count="1" selected="0">
            <x v="1"/>
          </reference>
          <reference field="2" count="3">
            <x v="0"/>
            <x v="1"/>
            <x v="2"/>
          </reference>
        </references>
      </pivotArea>
    </format>
    <format dxfId="1224">
      <pivotArea type="origin" dataOnly="0" labelOnly="1" outline="0" fieldPosition="0"/>
    </format>
    <format dxfId="1223">
      <pivotArea field="19" type="button" dataOnly="0" labelOnly="1" outline="0" axis="axisPage" fieldPosition="2"/>
    </format>
    <format dxfId="1222">
      <pivotArea field="21" type="button" dataOnly="0" labelOnly="1" outline="0" axis="axisRow" fieldPosition="1"/>
    </format>
    <format dxfId="1221">
      <pivotArea dataOnly="0" labelOnly="1" outline="0" fieldPosition="0">
        <references count="1">
          <reference field="19" count="0"/>
        </references>
      </pivotArea>
    </format>
    <format dxfId="1220">
      <pivotArea dataOnly="0" labelOnly="1" outline="0" fieldPosition="0">
        <references count="1">
          <reference field="19" count="0" defaultSubtotal="1"/>
        </references>
      </pivotArea>
    </format>
    <format dxfId="1219">
      <pivotArea dataOnly="0" labelOnly="1" grandRow="1" outline="0" fieldPosition="0"/>
    </format>
    <format dxfId="1218">
      <pivotArea dataOnly="0" labelOnly="1" outline="0" fieldPosition="0">
        <references count="2">
          <reference field="19" count="1" selected="0">
            <x v="0"/>
          </reference>
          <reference field="21" count="0"/>
        </references>
      </pivotArea>
    </format>
    <format dxfId="1217">
      <pivotArea dataOnly="0" labelOnly="1" outline="0" fieldPosition="0">
        <references count="2">
          <reference field="19" count="1" selected="0">
            <x v="1"/>
          </reference>
          <reference field="21" count="0"/>
        </references>
      </pivotArea>
    </format>
    <format dxfId="1216">
      <pivotArea dataOnly="0" labelOnly="1" outline="0" fieldPosition="0">
        <references count="2">
          <reference field="19" count="1" selected="0">
            <x v="2"/>
          </reference>
          <reference field="21" count="0"/>
        </references>
      </pivotArea>
    </format>
    <format dxfId="1215">
      <pivotArea outline="0" fieldPosition="0">
        <references count="1">
          <reference field="19" count="1" selected="0" defaultSubtotal="1">
            <x v="0"/>
          </reference>
        </references>
      </pivotArea>
    </format>
    <format dxfId="1214">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9858E-BE56-5945-8E47-AB7CED492EE8}" name="TablaDinámica10"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S5:BL38" firstHeaderRow="1" firstDataRow="3" firstDataCol="2" rowPageCount="3" colPageCount="1"/>
  <pivotFields count="23">
    <pivotField compact="0" numFmtId="14" outline="0" subtotalTop="0" showAll="0">
      <extLst>
        <ext xmlns:x14="http://schemas.microsoft.com/office/spreadsheetml/2009/9/main" uri="{2946ED86-A175-432a-8AC1-64E0C546D7DE}">
          <x14:pivotField fillDownLabels="1"/>
        </ext>
      </extLst>
    </pivotField>
    <pivotField axis="axisCol" compact="0" numFmtId="1" outline="0" subtotalTop="0" showAll="0">
      <items count="3">
        <item x="1"/>
        <item x="0"/>
        <item t="default"/>
      </items>
      <extLst>
        <ext xmlns:x14="http://schemas.microsoft.com/office/spreadsheetml/2009/9/main" uri="{2946ED86-A175-432a-8AC1-64E0C546D7DE}">
          <x14:pivotField fillDownLabels="1"/>
        </ext>
      </extLst>
    </pivotField>
    <pivotField axis="axisCol" compact="0" numFmtId="1" outline="0" subtotalTop="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3" outline="0" subtotalTop="0" showAll="0">
      <extLst>
        <ext xmlns:x14="http://schemas.microsoft.com/office/spreadsheetml/2009/9/main" uri="{2946ED86-A175-432a-8AC1-64E0C546D7DE}">
          <x14:pivotField fillDownLabels="1"/>
        </ext>
      </extLst>
    </pivotField>
    <pivotField dataField="1" compact="0" numFmtId="3" outline="0" subtotalTop="0" showAll="0">
      <extLst>
        <ext xmlns:x14="http://schemas.microsoft.com/office/spreadsheetml/2009/9/main" uri="{2946ED86-A175-432a-8AC1-64E0C546D7DE}">
          <x14:pivotField fillDownLabels="1"/>
        </ext>
      </extLst>
    </pivotField>
    <pivotField axis="axisPage" compact="0" numFmtId="3" outline="0" subtotalTop="0" multipleItemSelectionAllowed="1" showAll="0">
      <items count="3">
        <item h="1" x="0"/>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x="11"/>
        <item x="2"/>
        <item m="1" x="12"/>
        <item x="0"/>
        <item x="8"/>
        <item x="5"/>
        <item x="10"/>
        <item x="4"/>
        <item x="6"/>
        <item x="3"/>
        <item x="7"/>
        <item x="1"/>
        <item m="1" x="13"/>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multipleItemSelectionAllowed="1" showAll="0">
      <items count="4">
        <item x="1"/>
        <item h="1" x="2"/>
        <item h="1"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2">
        <item x="3"/>
        <item h="1" x="8"/>
        <item h="1" x="2"/>
        <item h="1" x="1"/>
        <item h="1" x="7"/>
        <item h="1" x="4"/>
        <item h="1" x="10"/>
        <item h="1" x="5"/>
        <item x="6"/>
        <item x="9"/>
        <item x="0"/>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s>
  <rowFields count="2">
    <field x="15"/>
    <field x="21"/>
  </rowFields>
  <rowItems count="31">
    <i>
      <x v="1"/>
      <x/>
    </i>
    <i r="1">
      <x v="8"/>
    </i>
    <i r="1">
      <x v="9"/>
    </i>
    <i r="1">
      <x v="10"/>
    </i>
    <i t="default">
      <x v="1"/>
    </i>
    <i>
      <x v="3"/>
      <x/>
    </i>
    <i r="1">
      <x v="8"/>
    </i>
    <i r="1">
      <x v="9"/>
    </i>
    <i r="1">
      <x v="10"/>
    </i>
    <i t="default">
      <x v="3"/>
    </i>
    <i>
      <x v="4"/>
      <x/>
    </i>
    <i t="default">
      <x v="4"/>
    </i>
    <i>
      <x v="6"/>
      <x/>
    </i>
    <i t="default">
      <x v="6"/>
    </i>
    <i>
      <x v="7"/>
      <x/>
    </i>
    <i r="1">
      <x v="8"/>
    </i>
    <i r="1">
      <x v="9"/>
    </i>
    <i t="default">
      <x v="7"/>
    </i>
    <i>
      <x v="8"/>
      <x/>
    </i>
    <i r="1">
      <x v="8"/>
    </i>
    <i t="default">
      <x v="8"/>
    </i>
    <i>
      <x v="9"/>
      <x/>
    </i>
    <i r="1">
      <x v="8"/>
    </i>
    <i t="default">
      <x v="9"/>
    </i>
    <i>
      <x v="10"/>
      <x/>
    </i>
    <i r="1">
      <x v="8"/>
    </i>
    <i t="default">
      <x v="10"/>
    </i>
    <i>
      <x v="11"/>
      <x/>
    </i>
    <i r="1">
      <x v="8"/>
    </i>
    <i t="default">
      <x v="11"/>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3">
    <pageField fld="4" hier="-1"/>
    <pageField fld="10" hier="-1"/>
    <pageField fld="19" hier="-1"/>
  </pageFields>
  <dataFields count="1">
    <dataField name="Suma de Precio Cierre Total" fld="9" baseField="0" baseItem="0" numFmtId="3"/>
  </dataFields>
  <formats count="40">
    <format dxfId="1293">
      <pivotArea type="all" dataOnly="0" outline="0" fieldPosition="0"/>
    </format>
    <format dxfId="1292">
      <pivotArea outline="0" collapsedLevelsAreSubtotals="1" fieldPosition="0"/>
    </format>
    <format dxfId="1291">
      <pivotArea type="origin" dataOnly="0" labelOnly="1" outline="0" fieldPosition="0"/>
    </format>
    <format dxfId="1290">
      <pivotArea field="1" type="button" dataOnly="0" labelOnly="1" outline="0" axis="axisCol" fieldPosition="0"/>
    </format>
    <format dxfId="1289">
      <pivotArea field="2" type="button" dataOnly="0" labelOnly="1" outline="0" axis="axisCol" fieldPosition="1"/>
    </format>
    <format dxfId="1288">
      <pivotArea type="topRight" dataOnly="0" labelOnly="1" outline="0" fieldPosition="0"/>
    </format>
    <format dxfId="1287">
      <pivotArea field="19" type="button" dataOnly="0" labelOnly="1" outline="0" axis="axisPage" fieldPosition="2"/>
    </format>
    <format dxfId="1286">
      <pivotArea field="21" type="button" dataOnly="0" labelOnly="1" outline="0" axis="axisRow" fieldPosition="1"/>
    </format>
    <format dxfId="1285">
      <pivotArea dataOnly="0" labelOnly="1" outline="0" fieldPosition="0">
        <references count="1">
          <reference field="19" count="0"/>
        </references>
      </pivotArea>
    </format>
    <format dxfId="1284">
      <pivotArea dataOnly="0" labelOnly="1" outline="0" fieldPosition="0">
        <references count="1">
          <reference field="19" count="0" defaultSubtotal="1"/>
        </references>
      </pivotArea>
    </format>
    <format dxfId="1283">
      <pivotArea dataOnly="0" labelOnly="1" grandRow="1" outline="0" fieldPosition="0"/>
    </format>
    <format dxfId="1282">
      <pivotArea dataOnly="0" labelOnly="1" outline="0" fieldPosition="0">
        <references count="2">
          <reference field="19" count="1" selected="0">
            <x v="0"/>
          </reference>
          <reference field="21" count="0"/>
        </references>
      </pivotArea>
    </format>
    <format dxfId="1281">
      <pivotArea dataOnly="0" labelOnly="1" outline="0" fieldPosition="0">
        <references count="2">
          <reference field="19" count="1" selected="0">
            <x v="1"/>
          </reference>
          <reference field="21" count="9">
            <x v="0"/>
            <x v="2"/>
            <x v="3"/>
            <x v="4"/>
            <x v="5"/>
            <x v="7"/>
            <x v="8"/>
            <x v="9"/>
            <x v="10"/>
          </reference>
        </references>
      </pivotArea>
    </format>
    <format dxfId="1280">
      <pivotArea dataOnly="0" labelOnly="1" outline="0" fieldPosition="0">
        <references count="2">
          <reference field="19" count="1" selected="0">
            <x v="2"/>
          </reference>
          <reference field="21" count="9">
            <x v="0"/>
            <x v="2"/>
            <x v="3"/>
            <x v="4"/>
            <x v="5"/>
            <x v="7"/>
            <x v="8"/>
            <x v="9"/>
            <x v="10"/>
          </reference>
        </references>
      </pivotArea>
    </format>
    <format dxfId="1279">
      <pivotArea dataOnly="0" labelOnly="1" outline="0" fieldPosition="0">
        <references count="1">
          <reference field="1" count="0"/>
        </references>
      </pivotArea>
    </format>
    <format dxfId="1278">
      <pivotArea dataOnly="0" labelOnly="1" outline="0" fieldPosition="0">
        <references count="1">
          <reference field="1" count="0" defaultSubtotal="1"/>
        </references>
      </pivotArea>
    </format>
    <format dxfId="1277">
      <pivotArea dataOnly="0" labelOnly="1" grandCol="1" outline="0" fieldPosition="0"/>
    </format>
    <format dxfId="1276">
      <pivotArea dataOnly="0" labelOnly="1" outline="0" fieldPosition="0">
        <references count="2">
          <reference field="1" count="1" selected="0">
            <x v="0"/>
          </reference>
          <reference field="2" count="0"/>
        </references>
      </pivotArea>
    </format>
    <format dxfId="1275">
      <pivotArea dataOnly="0" labelOnly="1" outline="0" fieldPosition="0">
        <references count="2">
          <reference field="1" count="1" selected="0">
            <x v="1"/>
          </reference>
          <reference field="2" count="3">
            <x v="0"/>
            <x v="1"/>
            <x v="2"/>
          </reference>
        </references>
      </pivotArea>
    </format>
    <format dxfId="1274">
      <pivotArea type="all" dataOnly="0" outline="0" fieldPosition="0"/>
    </format>
    <format dxfId="1273">
      <pivotArea outline="0" collapsedLevelsAreSubtotals="1" fieldPosition="0"/>
    </format>
    <format dxfId="1272">
      <pivotArea field="1" type="button" dataOnly="0" labelOnly="1" outline="0" axis="axisCol" fieldPosition="0"/>
    </format>
    <format dxfId="1271">
      <pivotArea field="2" type="button" dataOnly="0" labelOnly="1" outline="0" axis="axisCol" fieldPosition="1"/>
    </format>
    <format dxfId="1270">
      <pivotArea type="topRight" dataOnly="0" labelOnly="1" outline="0" fieldPosition="0"/>
    </format>
    <format dxfId="1269">
      <pivotArea dataOnly="0" labelOnly="1" outline="0" fieldPosition="0">
        <references count="1">
          <reference field="1" count="0"/>
        </references>
      </pivotArea>
    </format>
    <format dxfId="1268">
      <pivotArea dataOnly="0" labelOnly="1" outline="0" fieldPosition="0">
        <references count="1">
          <reference field="1" count="0" defaultSubtotal="1"/>
        </references>
      </pivotArea>
    </format>
    <format dxfId="1267">
      <pivotArea dataOnly="0" labelOnly="1" grandCol="1" outline="0" fieldPosition="0"/>
    </format>
    <format dxfId="1266">
      <pivotArea dataOnly="0" labelOnly="1" outline="0" fieldPosition="0">
        <references count="2">
          <reference field="1" count="1" selected="0">
            <x v="0"/>
          </reference>
          <reference field="2" count="0"/>
        </references>
      </pivotArea>
    </format>
    <format dxfId="1265">
      <pivotArea dataOnly="0" labelOnly="1" outline="0" fieldPosition="0">
        <references count="2">
          <reference field="1" count="1" selected="0">
            <x v="1"/>
          </reference>
          <reference field="2" count="3">
            <x v="0"/>
            <x v="1"/>
            <x v="2"/>
          </reference>
        </references>
      </pivotArea>
    </format>
    <format dxfId="1264">
      <pivotArea type="origin" dataOnly="0" labelOnly="1" outline="0" fieldPosition="0"/>
    </format>
    <format dxfId="1263">
      <pivotArea field="19" type="button" dataOnly="0" labelOnly="1" outline="0" axis="axisPage" fieldPosition="2"/>
    </format>
    <format dxfId="1262">
      <pivotArea field="21" type="button" dataOnly="0" labelOnly="1" outline="0" axis="axisRow" fieldPosition="1"/>
    </format>
    <format dxfId="1261">
      <pivotArea dataOnly="0" labelOnly="1" outline="0" fieldPosition="0">
        <references count="1">
          <reference field="19" count="0"/>
        </references>
      </pivotArea>
    </format>
    <format dxfId="1260">
      <pivotArea dataOnly="0" labelOnly="1" outline="0" fieldPosition="0">
        <references count="1">
          <reference field="19" count="0" defaultSubtotal="1"/>
        </references>
      </pivotArea>
    </format>
    <format dxfId="1259">
      <pivotArea dataOnly="0" labelOnly="1" grandRow="1" outline="0" fieldPosition="0"/>
    </format>
    <format dxfId="1258">
      <pivotArea dataOnly="0" labelOnly="1" outline="0" fieldPosition="0">
        <references count="2">
          <reference field="19" count="1" selected="0">
            <x v="0"/>
          </reference>
          <reference field="21" count="0"/>
        </references>
      </pivotArea>
    </format>
    <format dxfId="1257">
      <pivotArea dataOnly="0" labelOnly="1" outline="0" fieldPosition="0">
        <references count="2">
          <reference field="19" count="1" selected="0">
            <x v="1"/>
          </reference>
          <reference field="21" count="0"/>
        </references>
      </pivotArea>
    </format>
    <format dxfId="1256">
      <pivotArea dataOnly="0" labelOnly="1" outline="0" fieldPosition="0">
        <references count="2">
          <reference field="19" count="1" selected="0">
            <x v="2"/>
          </reference>
          <reference field="21" count="0"/>
        </references>
      </pivotArea>
    </format>
    <format dxfId="1255">
      <pivotArea outline="0" fieldPosition="0">
        <references count="1">
          <reference field="19" count="1" selected="0" defaultSubtotal="1">
            <x v="0"/>
          </reference>
        </references>
      </pivotArea>
    </format>
    <format dxfId="1254">
      <pivotArea dataOnly="0" labelOnly="1" outline="0" fieldPosition="0">
        <references count="1">
          <reference field="19" count="1"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B04726-A5FA-CD41-A613-D7F1A1A80DA6}" name="TablaDinámica1"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4:U39"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Suma de Precio Cierre Total" fld="9" baseField="0" baseItem="0" numFmtId="3"/>
  </dataFields>
  <formats count="38">
    <format dxfId="1331">
      <pivotArea type="all" dataOnly="0" outline="0" fieldPosition="0"/>
    </format>
    <format dxfId="1330">
      <pivotArea outline="0" collapsedLevelsAreSubtotals="1" fieldPosition="0"/>
    </format>
    <format dxfId="1329">
      <pivotArea type="origin" dataOnly="0" labelOnly="1" outline="0" fieldPosition="0"/>
    </format>
    <format dxfId="1328">
      <pivotArea field="1" type="button" dataOnly="0" labelOnly="1" outline="0" axis="axisCol" fieldPosition="0"/>
    </format>
    <format dxfId="1327">
      <pivotArea field="2" type="button" dataOnly="0" labelOnly="1" outline="0" axis="axisCol" fieldPosition="1"/>
    </format>
    <format dxfId="1326">
      <pivotArea type="topRight" dataOnly="0" labelOnly="1" outline="0" fieldPosition="0"/>
    </format>
    <format dxfId="1325">
      <pivotArea field="19" type="button" dataOnly="0" labelOnly="1" outline="0" axis="axisRow" fieldPosition="0"/>
    </format>
    <format dxfId="1324">
      <pivotArea field="21" type="button" dataOnly="0" labelOnly="1" outline="0" axis="axisRow" fieldPosition="1"/>
    </format>
    <format dxfId="1323">
      <pivotArea dataOnly="0" labelOnly="1" outline="0" fieldPosition="0">
        <references count="1">
          <reference field="19" count="0"/>
        </references>
      </pivotArea>
    </format>
    <format dxfId="1322">
      <pivotArea dataOnly="0" labelOnly="1" outline="0" fieldPosition="0">
        <references count="1">
          <reference field="19" count="0" defaultSubtotal="1"/>
        </references>
      </pivotArea>
    </format>
    <format dxfId="1321">
      <pivotArea dataOnly="0" labelOnly="1" grandRow="1" outline="0" fieldPosition="0"/>
    </format>
    <format dxfId="1320">
      <pivotArea dataOnly="0" labelOnly="1" outline="0" fieldPosition="0">
        <references count="2">
          <reference field="19" count="1" selected="0">
            <x v="0"/>
          </reference>
          <reference field="21" count="0"/>
        </references>
      </pivotArea>
    </format>
    <format dxfId="1319">
      <pivotArea dataOnly="0" labelOnly="1" outline="0" fieldPosition="0">
        <references count="2">
          <reference field="19" count="1" selected="0">
            <x v="1"/>
          </reference>
          <reference field="21" count="9">
            <x v="0"/>
            <x v="2"/>
            <x v="3"/>
            <x v="4"/>
            <x v="5"/>
            <x v="7"/>
            <x v="8"/>
            <x v="9"/>
            <x v="10"/>
          </reference>
        </references>
      </pivotArea>
    </format>
    <format dxfId="1318">
      <pivotArea dataOnly="0" labelOnly="1" outline="0" fieldPosition="0">
        <references count="2">
          <reference field="19" count="1" selected="0">
            <x v="2"/>
          </reference>
          <reference field="21" count="9">
            <x v="0"/>
            <x v="2"/>
            <x v="3"/>
            <x v="4"/>
            <x v="5"/>
            <x v="7"/>
            <x v="8"/>
            <x v="9"/>
            <x v="10"/>
          </reference>
        </references>
      </pivotArea>
    </format>
    <format dxfId="1317">
      <pivotArea dataOnly="0" labelOnly="1" outline="0" fieldPosition="0">
        <references count="1">
          <reference field="1" count="0"/>
        </references>
      </pivotArea>
    </format>
    <format dxfId="1316">
      <pivotArea dataOnly="0" labelOnly="1" outline="0" fieldPosition="0">
        <references count="1">
          <reference field="1" count="0" defaultSubtotal="1"/>
        </references>
      </pivotArea>
    </format>
    <format dxfId="1315">
      <pivotArea dataOnly="0" labelOnly="1" grandCol="1" outline="0" fieldPosition="0"/>
    </format>
    <format dxfId="1314">
      <pivotArea dataOnly="0" labelOnly="1" outline="0" fieldPosition="0">
        <references count="2">
          <reference field="1" count="1" selected="0">
            <x v="0"/>
          </reference>
          <reference field="2" count="0"/>
        </references>
      </pivotArea>
    </format>
    <format dxfId="1313">
      <pivotArea dataOnly="0" labelOnly="1" outline="0" fieldPosition="0">
        <references count="2">
          <reference field="1" count="1" selected="0">
            <x v="1"/>
          </reference>
          <reference field="2" count="3">
            <x v="0"/>
            <x v="1"/>
            <x v="2"/>
          </reference>
        </references>
      </pivotArea>
    </format>
    <format dxfId="1312">
      <pivotArea type="all" dataOnly="0" outline="0" fieldPosition="0"/>
    </format>
    <format dxfId="1311">
      <pivotArea outline="0" collapsedLevelsAreSubtotals="1" fieldPosition="0"/>
    </format>
    <format dxfId="1310">
      <pivotArea type="origin" dataOnly="0" labelOnly="1" outline="0" fieldPosition="0"/>
    </format>
    <format dxfId="1309">
      <pivotArea field="1" type="button" dataOnly="0" labelOnly="1" outline="0" axis="axisCol" fieldPosition="0"/>
    </format>
    <format dxfId="1308">
      <pivotArea field="2" type="button" dataOnly="0" labelOnly="1" outline="0" axis="axisCol" fieldPosition="1"/>
    </format>
    <format dxfId="1307">
      <pivotArea type="topRight" dataOnly="0" labelOnly="1" outline="0" fieldPosition="0"/>
    </format>
    <format dxfId="1306">
      <pivotArea field="19" type="button" dataOnly="0" labelOnly="1" outline="0" axis="axisRow" fieldPosition="0"/>
    </format>
    <format dxfId="1305">
      <pivotArea field="21" type="button" dataOnly="0" labelOnly="1" outline="0" axis="axisRow" fieldPosition="1"/>
    </format>
    <format dxfId="1304">
      <pivotArea dataOnly="0" labelOnly="1" outline="0" fieldPosition="0">
        <references count="1">
          <reference field="19" count="0"/>
        </references>
      </pivotArea>
    </format>
    <format dxfId="1303">
      <pivotArea dataOnly="0" labelOnly="1" outline="0" fieldPosition="0">
        <references count="1">
          <reference field="19" count="0" defaultSubtotal="1"/>
        </references>
      </pivotArea>
    </format>
    <format dxfId="1302">
      <pivotArea dataOnly="0" labelOnly="1" grandRow="1" outline="0" fieldPosition="0"/>
    </format>
    <format dxfId="1301">
      <pivotArea dataOnly="0" labelOnly="1" outline="0" fieldPosition="0">
        <references count="2">
          <reference field="19" count="1" selected="0">
            <x v="0"/>
          </reference>
          <reference field="21" count="0"/>
        </references>
      </pivotArea>
    </format>
    <format dxfId="1300">
      <pivotArea dataOnly="0" labelOnly="1" outline="0" fieldPosition="0">
        <references count="2">
          <reference field="19" count="1" selected="0">
            <x v="1"/>
          </reference>
          <reference field="21" count="9">
            <x v="0"/>
            <x v="2"/>
            <x v="3"/>
            <x v="4"/>
            <x v="5"/>
            <x v="7"/>
            <x v="8"/>
            <x v="9"/>
            <x v="10"/>
          </reference>
        </references>
      </pivotArea>
    </format>
    <format dxfId="1299">
      <pivotArea dataOnly="0" labelOnly="1" outline="0" fieldPosition="0">
        <references count="2">
          <reference field="19" count="1" selected="0">
            <x v="2"/>
          </reference>
          <reference field="21" count="9">
            <x v="0"/>
            <x v="2"/>
            <x v="3"/>
            <x v="4"/>
            <x v="5"/>
            <x v="7"/>
            <x v="8"/>
            <x v="9"/>
            <x v="10"/>
          </reference>
        </references>
      </pivotArea>
    </format>
    <format dxfId="1298">
      <pivotArea dataOnly="0" labelOnly="1" outline="0" fieldPosition="0">
        <references count="1">
          <reference field="1" count="0"/>
        </references>
      </pivotArea>
    </format>
    <format dxfId="1297">
      <pivotArea dataOnly="0" labelOnly="1" outline="0" fieldPosition="0">
        <references count="1">
          <reference field="1" count="0" defaultSubtotal="1"/>
        </references>
      </pivotArea>
    </format>
    <format dxfId="1296">
      <pivotArea dataOnly="0" labelOnly="1" grandCol="1" outline="0" fieldPosition="0"/>
    </format>
    <format dxfId="1295">
      <pivotArea dataOnly="0" labelOnly="1" outline="0" fieldPosition="0">
        <references count="2">
          <reference field="1" count="1" selected="0">
            <x v="0"/>
          </reference>
          <reference field="2" count="0"/>
        </references>
      </pivotArea>
    </format>
    <format dxfId="1294">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03745-3006-C44C-9EB5-48CC1DED6326}" name="TablaDinámica3" cacheId="45"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B87:U122" firstHeaderRow="1" firstDataRow="3" firstDataCol="2" rowPageCount="2" colPageCount="1"/>
  <pivotFields count="23">
    <pivotField compact="0" numFmtId="14" outline="0" showAll="0">
      <extLst>
        <ext xmlns:x14="http://schemas.microsoft.com/office/spreadsheetml/2009/9/main" uri="{2946ED86-A175-432a-8AC1-64E0C546D7DE}">
          <x14:pivotField fillDownLabels="1"/>
        </ext>
      </extLst>
    </pivotField>
    <pivotField axis="axisCol" compact="0" numFmtId="1" outline="0" showAll="0">
      <items count="3">
        <item x="1"/>
        <item x="0"/>
        <item t="default"/>
      </items>
      <extLst>
        <ext xmlns:x14="http://schemas.microsoft.com/office/spreadsheetml/2009/9/main" uri="{2946ED86-A175-432a-8AC1-64E0C546D7DE}">
          <x14:pivotField fillDownLabels="1"/>
        </ext>
      </extLst>
    </pivotField>
    <pivotField axis="axisCol" compact="0" numFmtId="1" outline="0" showAll="0">
      <items count="13">
        <item x="10"/>
        <item x="0"/>
        <item x="9"/>
        <item x="3"/>
        <item x="2"/>
        <item x="4"/>
        <item x="1"/>
        <item x="5"/>
        <item x="6"/>
        <item x="11"/>
        <item x="7"/>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h="1"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extLst>
        <ext xmlns:x14="http://schemas.microsoft.com/office/spreadsheetml/2009/9/main" uri="{2946ED86-A175-432a-8AC1-64E0C546D7DE}">
          <x14:pivotField fillDownLabels="1"/>
        </ext>
      </extLst>
    </pivotField>
    <pivotField axis="axisPage" compact="0" numFmtId="3"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3"/>
        <item x="8"/>
        <item x="2"/>
        <item x="1"/>
        <item x="7"/>
        <item x="4"/>
        <item x="10"/>
        <item x="5"/>
        <item x="6"/>
        <item x="9"/>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9"/>
    <field x="21"/>
  </rowFields>
  <rowItems count="33">
    <i>
      <x/>
      <x/>
    </i>
    <i r="1">
      <x v="1"/>
    </i>
    <i r="1">
      <x v="2"/>
    </i>
    <i r="1">
      <x v="3"/>
    </i>
    <i r="1">
      <x v="4"/>
    </i>
    <i r="1">
      <x v="5"/>
    </i>
    <i r="1">
      <x v="6"/>
    </i>
    <i r="1">
      <x v="7"/>
    </i>
    <i r="1">
      <x v="8"/>
    </i>
    <i r="1">
      <x v="9"/>
    </i>
    <i r="1">
      <x v="10"/>
    </i>
    <i t="default">
      <x/>
    </i>
    <i>
      <x v="1"/>
      <x/>
    </i>
    <i r="1">
      <x v="2"/>
    </i>
    <i r="1">
      <x v="3"/>
    </i>
    <i r="1">
      <x v="4"/>
    </i>
    <i r="1">
      <x v="5"/>
    </i>
    <i r="1">
      <x v="7"/>
    </i>
    <i r="1">
      <x v="8"/>
    </i>
    <i r="1">
      <x v="9"/>
    </i>
    <i r="1">
      <x v="10"/>
    </i>
    <i t="default">
      <x v="1"/>
    </i>
    <i>
      <x v="2"/>
      <x/>
    </i>
    <i r="1">
      <x v="2"/>
    </i>
    <i r="1">
      <x v="3"/>
    </i>
    <i r="1">
      <x v="4"/>
    </i>
    <i r="1">
      <x v="5"/>
    </i>
    <i r="1">
      <x v="7"/>
    </i>
    <i r="1">
      <x v="8"/>
    </i>
    <i r="1">
      <x v="9"/>
    </i>
    <i r="1">
      <x v="10"/>
    </i>
    <i t="default">
      <x v="2"/>
    </i>
    <i t="grand">
      <x/>
    </i>
  </rowItems>
  <colFields count="2">
    <field x="1"/>
    <field x="2"/>
  </colFields>
  <colItems count="18">
    <i>
      <x/>
      <x/>
    </i>
    <i r="1">
      <x v="1"/>
    </i>
    <i r="1">
      <x v="2"/>
    </i>
    <i r="1">
      <x v="3"/>
    </i>
    <i r="1">
      <x v="4"/>
    </i>
    <i r="1">
      <x v="5"/>
    </i>
    <i r="1">
      <x v="6"/>
    </i>
    <i r="1">
      <x v="7"/>
    </i>
    <i r="1">
      <x v="8"/>
    </i>
    <i r="1">
      <x v="9"/>
    </i>
    <i r="1">
      <x v="10"/>
    </i>
    <i r="1">
      <x v="11"/>
    </i>
    <i t="default">
      <x/>
    </i>
    <i>
      <x v="1"/>
      <x/>
    </i>
    <i r="1">
      <x v="1"/>
    </i>
    <i r="1">
      <x v="2"/>
    </i>
    <i t="default">
      <x v="1"/>
    </i>
    <i t="grand">
      <x/>
    </i>
  </colItems>
  <pageFields count="2">
    <pageField fld="4" hier="-1"/>
    <pageField fld="10" hier="-1"/>
  </pageFields>
  <dataFields count="1">
    <dataField name="Promedio de Precio Cierre Total" fld="9" subtotal="average" baseField="0" baseItem="0" numFmtId="3"/>
  </dataFields>
  <formats count="38">
    <format dxfId="1369">
      <pivotArea type="all" dataOnly="0" outline="0" fieldPosition="0"/>
    </format>
    <format dxfId="1368">
      <pivotArea outline="0" collapsedLevelsAreSubtotals="1" fieldPosition="0"/>
    </format>
    <format dxfId="1367">
      <pivotArea type="origin" dataOnly="0" labelOnly="1" outline="0" fieldPosition="0"/>
    </format>
    <format dxfId="1366">
      <pivotArea field="1" type="button" dataOnly="0" labelOnly="1" outline="0" axis="axisCol" fieldPosition="0"/>
    </format>
    <format dxfId="1365">
      <pivotArea field="2" type="button" dataOnly="0" labelOnly="1" outline="0" axis="axisCol" fieldPosition="1"/>
    </format>
    <format dxfId="1364">
      <pivotArea type="topRight" dataOnly="0" labelOnly="1" outline="0" fieldPosition="0"/>
    </format>
    <format dxfId="1363">
      <pivotArea field="19" type="button" dataOnly="0" labelOnly="1" outline="0" axis="axisRow" fieldPosition="0"/>
    </format>
    <format dxfId="1362">
      <pivotArea field="21" type="button" dataOnly="0" labelOnly="1" outline="0" axis="axisRow" fieldPosition="1"/>
    </format>
    <format dxfId="1361">
      <pivotArea dataOnly="0" labelOnly="1" outline="0" fieldPosition="0">
        <references count="1">
          <reference field="19" count="0"/>
        </references>
      </pivotArea>
    </format>
    <format dxfId="1360">
      <pivotArea dataOnly="0" labelOnly="1" outline="0" fieldPosition="0">
        <references count="1">
          <reference field="19" count="0" defaultSubtotal="1"/>
        </references>
      </pivotArea>
    </format>
    <format dxfId="1359">
      <pivotArea dataOnly="0" labelOnly="1" grandRow="1" outline="0" fieldPosition="0"/>
    </format>
    <format dxfId="1358">
      <pivotArea dataOnly="0" labelOnly="1" outline="0" fieldPosition="0">
        <references count="2">
          <reference field="19" count="1" selected="0">
            <x v="0"/>
          </reference>
          <reference field="21" count="0"/>
        </references>
      </pivotArea>
    </format>
    <format dxfId="1357">
      <pivotArea dataOnly="0" labelOnly="1" outline="0" fieldPosition="0">
        <references count="2">
          <reference field="19" count="1" selected="0">
            <x v="1"/>
          </reference>
          <reference field="21" count="9">
            <x v="0"/>
            <x v="2"/>
            <x v="3"/>
            <x v="4"/>
            <x v="5"/>
            <x v="7"/>
            <x v="8"/>
            <x v="9"/>
            <x v="10"/>
          </reference>
        </references>
      </pivotArea>
    </format>
    <format dxfId="1356">
      <pivotArea dataOnly="0" labelOnly="1" outline="0" fieldPosition="0">
        <references count="2">
          <reference field="19" count="1" selected="0">
            <x v="2"/>
          </reference>
          <reference field="21" count="9">
            <x v="0"/>
            <x v="2"/>
            <x v="3"/>
            <x v="4"/>
            <x v="5"/>
            <x v="7"/>
            <x v="8"/>
            <x v="9"/>
            <x v="10"/>
          </reference>
        </references>
      </pivotArea>
    </format>
    <format dxfId="1355">
      <pivotArea dataOnly="0" labelOnly="1" outline="0" fieldPosition="0">
        <references count="1">
          <reference field="1" count="0"/>
        </references>
      </pivotArea>
    </format>
    <format dxfId="1354">
      <pivotArea dataOnly="0" labelOnly="1" outline="0" fieldPosition="0">
        <references count="1">
          <reference field="1" count="0" defaultSubtotal="1"/>
        </references>
      </pivotArea>
    </format>
    <format dxfId="1353">
      <pivotArea dataOnly="0" labelOnly="1" grandCol="1" outline="0" fieldPosition="0"/>
    </format>
    <format dxfId="1352">
      <pivotArea dataOnly="0" labelOnly="1" outline="0" fieldPosition="0">
        <references count="2">
          <reference field="1" count="1" selected="0">
            <x v="0"/>
          </reference>
          <reference field="2" count="0"/>
        </references>
      </pivotArea>
    </format>
    <format dxfId="1351">
      <pivotArea dataOnly="0" labelOnly="1" outline="0" fieldPosition="0">
        <references count="2">
          <reference field="1" count="1" selected="0">
            <x v="1"/>
          </reference>
          <reference field="2" count="3">
            <x v="0"/>
            <x v="1"/>
            <x v="2"/>
          </reference>
        </references>
      </pivotArea>
    </format>
    <format dxfId="1350">
      <pivotArea type="all" dataOnly="0" outline="0" fieldPosition="0"/>
    </format>
    <format dxfId="1349">
      <pivotArea outline="0" collapsedLevelsAreSubtotals="1" fieldPosition="0"/>
    </format>
    <format dxfId="1348">
      <pivotArea type="origin" dataOnly="0" labelOnly="1" outline="0" fieldPosition="0"/>
    </format>
    <format dxfId="1347">
      <pivotArea field="1" type="button" dataOnly="0" labelOnly="1" outline="0" axis="axisCol" fieldPosition="0"/>
    </format>
    <format dxfId="1346">
      <pivotArea field="2" type="button" dataOnly="0" labelOnly="1" outline="0" axis="axisCol" fieldPosition="1"/>
    </format>
    <format dxfId="1345">
      <pivotArea type="topRight" dataOnly="0" labelOnly="1" outline="0" fieldPosition="0"/>
    </format>
    <format dxfId="1344">
      <pivotArea field="19" type="button" dataOnly="0" labelOnly="1" outline="0" axis="axisRow" fieldPosition="0"/>
    </format>
    <format dxfId="1343">
      <pivotArea field="21" type="button" dataOnly="0" labelOnly="1" outline="0" axis="axisRow" fieldPosition="1"/>
    </format>
    <format dxfId="1342">
      <pivotArea dataOnly="0" labelOnly="1" outline="0" fieldPosition="0">
        <references count="1">
          <reference field="19" count="0"/>
        </references>
      </pivotArea>
    </format>
    <format dxfId="1341">
      <pivotArea dataOnly="0" labelOnly="1" outline="0" fieldPosition="0">
        <references count="1">
          <reference field="19" count="0" defaultSubtotal="1"/>
        </references>
      </pivotArea>
    </format>
    <format dxfId="1340">
      <pivotArea dataOnly="0" labelOnly="1" grandRow="1" outline="0" fieldPosition="0"/>
    </format>
    <format dxfId="1339">
      <pivotArea dataOnly="0" labelOnly="1" outline="0" fieldPosition="0">
        <references count="2">
          <reference field="19" count="1" selected="0">
            <x v="0"/>
          </reference>
          <reference field="21" count="0"/>
        </references>
      </pivotArea>
    </format>
    <format dxfId="1338">
      <pivotArea dataOnly="0" labelOnly="1" outline="0" fieldPosition="0">
        <references count="2">
          <reference field="19" count="1" selected="0">
            <x v="1"/>
          </reference>
          <reference field="21" count="9">
            <x v="0"/>
            <x v="2"/>
            <x v="3"/>
            <x v="4"/>
            <x v="5"/>
            <x v="7"/>
            <x v="8"/>
            <x v="9"/>
            <x v="10"/>
          </reference>
        </references>
      </pivotArea>
    </format>
    <format dxfId="1337">
      <pivotArea dataOnly="0" labelOnly="1" outline="0" fieldPosition="0">
        <references count="2">
          <reference field="19" count="1" selected="0">
            <x v="2"/>
          </reference>
          <reference field="21" count="9">
            <x v="0"/>
            <x v="2"/>
            <x v="3"/>
            <x v="4"/>
            <x v="5"/>
            <x v="7"/>
            <x v="8"/>
            <x v="9"/>
            <x v="10"/>
          </reference>
        </references>
      </pivotArea>
    </format>
    <format dxfId="1336">
      <pivotArea dataOnly="0" labelOnly="1" outline="0" fieldPosition="0">
        <references count="1">
          <reference field="1" count="0"/>
        </references>
      </pivotArea>
    </format>
    <format dxfId="1335">
      <pivotArea dataOnly="0" labelOnly="1" outline="0" fieldPosition="0">
        <references count="1">
          <reference field="1" count="0" defaultSubtotal="1"/>
        </references>
      </pivotArea>
    </format>
    <format dxfId="1334">
      <pivotArea dataOnly="0" labelOnly="1" grandCol="1" outline="0" fieldPosition="0"/>
    </format>
    <format dxfId="1333">
      <pivotArea dataOnly="0" labelOnly="1" outline="0" fieldPosition="0">
        <references count="2">
          <reference field="1" count="1" selected="0">
            <x v="0"/>
          </reference>
          <reference field="2" count="0"/>
        </references>
      </pivotArea>
    </format>
    <format dxfId="1332">
      <pivotArea dataOnly="0" labelOnly="1" outline="0" fieldPosition="0">
        <references count="2">
          <reference field="1" count="1" selected="0">
            <x v="1"/>
          </reference>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4-23T17:57:48.66" personId="{E481C9BC-23AA-AC43-856F-45265DEAEDB7}" id="{AB11E32C-D1C1-A248-ABB2-493489305C10}">
    <text>Incluye compartido otra RED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99A15-A357-F04C-8A37-CBAB7F9DA662}">
  <dimension ref="B4:H47"/>
  <sheetViews>
    <sheetView showGridLines="0" tabSelected="1" zoomScale="120" zoomScaleNormal="120" workbookViewId="0">
      <selection activeCell="J35" sqref="J35"/>
    </sheetView>
  </sheetViews>
  <sheetFormatPr baseColWidth="10" defaultRowHeight="15" x14ac:dyDescent="0.2"/>
  <cols>
    <col min="2" max="2" width="17.6640625" customWidth="1"/>
    <col min="3" max="3" width="14.1640625" customWidth="1"/>
    <col min="4" max="4" width="16" style="37" customWidth="1"/>
    <col min="5" max="5" width="7" style="9" bestFit="1" customWidth="1"/>
    <col min="6" max="6" width="2.83203125" customWidth="1"/>
    <col min="7" max="7" width="19.1640625" style="9" bestFit="1" customWidth="1"/>
  </cols>
  <sheetData>
    <row r="4" spans="2:7" x14ac:dyDescent="0.2">
      <c r="B4" s="35" t="s">
        <v>8612</v>
      </c>
      <c r="D4" s="37" t="s">
        <v>8597</v>
      </c>
      <c r="G4" s="37" t="s">
        <v>8601</v>
      </c>
    </row>
    <row r="5" spans="2:7" x14ac:dyDescent="0.2">
      <c r="B5" s="38" t="s">
        <v>8588</v>
      </c>
      <c r="C5" s="38" t="s">
        <v>8595</v>
      </c>
      <c r="D5" s="48">
        <v>399136299</v>
      </c>
      <c r="E5" s="29">
        <f>D5/D$5</f>
        <v>1</v>
      </c>
      <c r="G5" s="39">
        <f>D5/15</f>
        <v>26609086.600000001</v>
      </c>
    </row>
    <row r="6" spans="2:7" x14ac:dyDescent="0.2">
      <c r="B6" s="38" t="s">
        <v>8588</v>
      </c>
      <c r="C6" s="38" t="s">
        <v>8596</v>
      </c>
      <c r="D6" s="48">
        <v>2695</v>
      </c>
      <c r="E6" s="29">
        <f>D6/D$6</f>
        <v>1</v>
      </c>
      <c r="G6" s="39">
        <f>D6/15</f>
        <v>179.66666666666666</v>
      </c>
    </row>
    <row r="7" spans="2:7" x14ac:dyDescent="0.2">
      <c r="B7" s="38" t="s">
        <v>8588</v>
      </c>
      <c r="C7" s="38" t="s">
        <v>8600</v>
      </c>
      <c r="D7" s="39">
        <f>D5/D6</f>
        <v>148102.52282003712</v>
      </c>
      <c r="E7" s="29">
        <f>D7/D$7</f>
        <v>1</v>
      </c>
      <c r="G7" s="39">
        <f>G5/G6</f>
        <v>148102.52282003712</v>
      </c>
    </row>
    <row r="8" spans="2:7" x14ac:dyDescent="0.2">
      <c r="B8" s="36" t="s">
        <v>8611</v>
      </c>
    </row>
    <row r="9" spans="2:7" x14ac:dyDescent="0.2">
      <c r="B9" s="38" t="s">
        <v>8567</v>
      </c>
      <c r="C9" s="38" t="s">
        <v>8595</v>
      </c>
      <c r="D9" s="39">
        <v>261332623</v>
      </c>
      <c r="E9" s="29">
        <f>D9/D$5</f>
        <v>0.6547453179646785</v>
      </c>
      <c r="G9" s="39">
        <f>D9/15</f>
        <v>17422174.866666667</v>
      </c>
    </row>
    <row r="10" spans="2:7" x14ac:dyDescent="0.2">
      <c r="B10" s="38" t="s">
        <v>8567</v>
      </c>
      <c r="C10" s="38" t="s">
        <v>8596</v>
      </c>
      <c r="D10" s="39">
        <v>1852</v>
      </c>
      <c r="E10" s="29">
        <f>D10/D$6</f>
        <v>0.6871985157699444</v>
      </c>
      <c r="G10" s="39">
        <f>D10/15</f>
        <v>123.46666666666667</v>
      </c>
    </row>
    <row r="11" spans="2:7" x14ac:dyDescent="0.2">
      <c r="B11" s="38" t="s">
        <v>8567</v>
      </c>
      <c r="C11" s="38" t="s">
        <v>8600</v>
      </c>
      <c r="D11" s="39">
        <f>D9/D10</f>
        <v>141108.32775377971</v>
      </c>
      <c r="E11" s="29">
        <f>D11/D$7</f>
        <v>0.95277463926285566</v>
      </c>
      <c r="G11" s="39">
        <f>G9/G10</f>
        <v>141108.32775377971</v>
      </c>
    </row>
    <row r="14" spans="2:7" x14ac:dyDescent="0.2">
      <c r="B14" s="38" t="s">
        <v>8598</v>
      </c>
      <c r="C14" s="38" t="s">
        <v>8595</v>
      </c>
      <c r="D14" s="39">
        <v>201806790</v>
      </c>
      <c r="E14" s="29">
        <f>D14/D$5</f>
        <v>0.50560871187513812</v>
      </c>
      <c r="G14" s="39">
        <f>D14/15</f>
        <v>13453786</v>
      </c>
    </row>
    <row r="15" spans="2:7" x14ac:dyDescent="0.2">
      <c r="B15" s="38" t="s">
        <v>8598</v>
      </c>
      <c r="C15" s="38" t="s">
        <v>8596</v>
      </c>
      <c r="D15" s="39">
        <v>1357</v>
      </c>
      <c r="E15" s="29">
        <f>D15/D$6</f>
        <v>0.5035250463821892</v>
      </c>
      <c r="G15" s="39">
        <f>D15/15</f>
        <v>90.466666666666669</v>
      </c>
    </row>
    <row r="16" spans="2:7" x14ac:dyDescent="0.2">
      <c r="B16" s="38" t="s">
        <v>8598</v>
      </c>
      <c r="C16" s="38" t="s">
        <v>8600</v>
      </c>
      <c r="D16" s="39">
        <f>D14/D15</f>
        <v>148715.39425202654</v>
      </c>
      <c r="E16" s="29">
        <f>D16/D$7</f>
        <v>1.0041381565980083</v>
      </c>
      <c r="G16" s="39">
        <f>G14/G15</f>
        <v>148715.39425202651</v>
      </c>
    </row>
    <row r="18" spans="2:8" x14ac:dyDescent="0.2">
      <c r="B18" s="36" t="s">
        <v>8599</v>
      </c>
    </row>
    <row r="19" spans="2:8" x14ac:dyDescent="0.2">
      <c r="B19" s="38" t="s">
        <v>8598</v>
      </c>
      <c r="C19" s="38" t="s">
        <v>8595</v>
      </c>
      <c r="D19" s="39">
        <v>185256641</v>
      </c>
      <c r="E19" s="29">
        <f>D19/D$5</f>
        <v>0.46414380617384038</v>
      </c>
      <c r="G19" s="39">
        <f>D19/15</f>
        <v>12350442.733333332</v>
      </c>
    </row>
    <row r="20" spans="2:8" x14ac:dyDescent="0.2">
      <c r="B20" s="38" t="s">
        <v>8598</v>
      </c>
      <c r="C20" s="38" t="s">
        <v>8596</v>
      </c>
      <c r="D20" s="39">
        <v>1255</v>
      </c>
      <c r="E20" s="29">
        <f>D20/D$6</f>
        <v>0.46567717996289426</v>
      </c>
      <c r="G20" s="39">
        <f>D20/15</f>
        <v>83.666666666666671</v>
      </c>
    </row>
    <row r="21" spans="2:8" x14ac:dyDescent="0.2">
      <c r="B21" s="38" t="s">
        <v>8598</v>
      </c>
      <c r="C21" s="38" t="s">
        <v>8600</v>
      </c>
      <c r="D21" s="39">
        <f>D19/D20</f>
        <v>147614.8533864542</v>
      </c>
      <c r="E21" s="29">
        <f>D21/D$7</f>
        <v>0.99670721724183253</v>
      </c>
      <c r="G21" s="39">
        <f>G19/G20</f>
        <v>147614.85338645417</v>
      </c>
    </row>
    <row r="22" spans="2:8" ht="16" thickBot="1" x14ac:dyDescent="0.25">
      <c r="B22" s="40"/>
      <c r="C22" s="40"/>
      <c r="D22" s="41"/>
      <c r="E22" s="42"/>
      <c r="F22" s="40"/>
      <c r="G22" s="42"/>
    </row>
    <row r="23" spans="2:8" x14ac:dyDescent="0.2">
      <c r="B23" s="35" t="str">
        <f>CONCATENATE("Con Rango de Precio &gt; ",'Mapa Oficinas'!I21," y &lt; ",'Mapa Oficinas'!I20)</f>
        <v>Con Rango de Precio &gt; 69999 y &lt; 1000000</v>
      </c>
    </row>
    <row r="24" spans="2:8" x14ac:dyDescent="0.2">
      <c r="B24" s="38" t="s">
        <v>8598</v>
      </c>
      <c r="C24" s="38" t="s">
        <v>8595</v>
      </c>
      <c r="D24" s="39">
        <f>DINAMICA!BL50</f>
        <v>170271805</v>
      </c>
      <c r="E24" s="29">
        <f>D24/D$5</f>
        <v>0.42660065102222133</v>
      </c>
      <c r="G24" s="39">
        <f>D24/15</f>
        <v>11351453.666666666</v>
      </c>
    </row>
    <row r="25" spans="2:8" x14ac:dyDescent="0.2">
      <c r="B25" s="38" t="s">
        <v>8598</v>
      </c>
      <c r="C25" s="38" t="s">
        <v>8596</v>
      </c>
      <c r="D25" s="39">
        <f>DINAMICA!BL58</f>
        <v>1016</v>
      </c>
      <c r="E25" s="29">
        <f>D25/D$6</f>
        <v>0.37699443413729128</v>
      </c>
      <c r="G25" s="39">
        <f>D25/15</f>
        <v>67.733333333333334</v>
      </c>
    </row>
    <row r="26" spans="2:8" x14ac:dyDescent="0.2">
      <c r="B26" s="38" t="s">
        <v>8598</v>
      </c>
      <c r="C26" s="38" t="s">
        <v>8600</v>
      </c>
      <c r="D26" s="39">
        <f>D24/D25</f>
        <v>167590.3592519685</v>
      </c>
      <c r="E26" s="29">
        <f>D26/D$7</f>
        <v>1.1315834197882741</v>
      </c>
      <c r="G26" s="39">
        <f>G24/G25</f>
        <v>167590.3592519685</v>
      </c>
    </row>
    <row r="27" spans="2:8" x14ac:dyDescent="0.2">
      <c r="B27" s="43"/>
    </row>
    <row r="28" spans="2:8" x14ac:dyDescent="0.2">
      <c r="B28" t="s">
        <v>8602</v>
      </c>
    </row>
    <row r="29" spans="2:8" x14ac:dyDescent="0.2">
      <c r="B29" s="38" t="s">
        <v>7594</v>
      </c>
      <c r="C29" s="38" t="s">
        <v>8595</v>
      </c>
      <c r="D29" s="39">
        <f>DINAMICA!BL69</f>
        <v>109991127</v>
      </c>
      <c r="E29" s="29">
        <f>D29/D$5</f>
        <v>0.27557284886283923</v>
      </c>
      <c r="G29" s="39">
        <f>D29/15</f>
        <v>7332741.7999999998</v>
      </c>
    </row>
    <row r="30" spans="2:8" x14ac:dyDescent="0.2">
      <c r="B30" s="38" t="s">
        <v>7594</v>
      </c>
      <c r="C30" s="38" t="s">
        <v>8596</v>
      </c>
      <c r="D30" s="39">
        <f>DINAMICA!BL70</f>
        <v>677</v>
      </c>
      <c r="E30" s="29">
        <f>D30/D$6</f>
        <v>0.25120593692022264</v>
      </c>
      <c r="G30" s="39">
        <f>D30/15</f>
        <v>45.133333333333333</v>
      </c>
    </row>
    <row r="31" spans="2:8" x14ac:dyDescent="0.2">
      <c r="B31" s="38" t="s">
        <v>7594</v>
      </c>
      <c r="C31" s="38" t="s">
        <v>8600</v>
      </c>
      <c r="D31" s="39">
        <f>D29/D30</f>
        <v>162468.42983751846</v>
      </c>
      <c r="E31" s="29">
        <f>D31/D$7</f>
        <v>1.0969997454731928</v>
      </c>
      <c r="G31" s="39">
        <f>G29/G30</f>
        <v>162468.42983751846</v>
      </c>
      <c r="H31" s="28"/>
    </row>
    <row r="35" spans="2:7" x14ac:dyDescent="0.2">
      <c r="B35" t="s">
        <v>8603</v>
      </c>
      <c r="D35" s="52">
        <v>3000000</v>
      </c>
    </row>
    <row r="36" spans="2:7" x14ac:dyDescent="0.2">
      <c r="B36" t="s">
        <v>8604</v>
      </c>
      <c r="C36" s="44">
        <v>1.7500000000000002E-2</v>
      </c>
      <c r="D36" s="53">
        <f>(1-C36)*D35</f>
        <v>2947500</v>
      </c>
    </row>
    <row r="37" spans="2:7" x14ac:dyDescent="0.2">
      <c r="B37" t="s">
        <v>8605</v>
      </c>
      <c r="C37" s="45">
        <v>0.95</v>
      </c>
      <c r="D37" s="53">
        <f>D36*C37</f>
        <v>2800125</v>
      </c>
      <c r="E37" s="29">
        <f>D37/D24</f>
        <v>1.6445030344278081E-2</v>
      </c>
    </row>
    <row r="38" spans="2:7" x14ac:dyDescent="0.2">
      <c r="B38" t="s">
        <v>8606</v>
      </c>
      <c r="C38" s="23">
        <v>40000</v>
      </c>
      <c r="D38" s="39">
        <f>ROUND(D37/C38,0)</f>
        <v>70</v>
      </c>
      <c r="E38" s="29">
        <f>D38/D25</f>
        <v>6.8897637795275593E-2</v>
      </c>
    </row>
    <row r="40" spans="2:7" x14ac:dyDescent="0.2">
      <c r="B40" s="46" t="s">
        <v>8607</v>
      </c>
      <c r="C40" s="46" t="s">
        <v>8608</v>
      </c>
      <c r="D40" s="47" t="s">
        <v>8609</v>
      </c>
      <c r="E40" s="46"/>
      <c r="F40" s="46"/>
      <c r="G40" s="47" t="s">
        <v>8610</v>
      </c>
    </row>
    <row r="41" spans="2:7" x14ac:dyDescent="0.2">
      <c r="B41" s="45" t="str">
        <f>B24</f>
        <v>CABA + GBA</v>
      </c>
      <c r="C41" s="45">
        <v>0.1</v>
      </c>
      <c r="D41" s="37">
        <f>ROUND(C41*G$25,0)</f>
        <v>7</v>
      </c>
      <c r="G41" s="25">
        <f>$D$38/D41</f>
        <v>10</v>
      </c>
    </row>
    <row r="42" spans="2:7" x14ac:dyDescent="0.2">
      <c r="B42" s="45" t="str">
        <f>B25</f>
        <v>CABA + GBA</v>
      </c>
      <c r="C42" s="45">
        <v>0.15</v>
      </c>
      <c r="D42" s="37">
        <f>ROUND(C42*G$25,0)</f>
        <v>10</v>
      </c>
      <c r="G42" s="25">
        <f>$D$38/D42</f>
        <v>7</v>
      </c>
    </row>
    <row r="43" spans="2:7" x14ac:dyDescent="0.2">
      <c r="B43" s="45" t="str">
        <f>B26</f>
        <v>CABA + GBA</v>
      </c>
      <c r="C43" s="45">
        <v>0.25</v>
      </c>
      <c r="D43" s="37">
        <f>ROUND(C43*G$25,0)</f>
        <v>17</v>
      </c>
      <c r="G43" s="25">
        <f>$D$38/D43</f>
        <v>4.117647058823529</v>
      </c>
    </row>
    <row r="45" spans="2:7" x14ac:dyDescent="0.2">
      <c r="B45" t="str">
        <f>B29</f>
        <v>CABA</v>
      </c>
      <c r="C45" s="45">
        <v>0.1</v>
      </c>
      <c r="D45" s="37">
        <f>ROUND(C45*G$30,0)</f>
        <v>5</v>
      </c>
      <c r="G45" s="25">
        <f>$D$38/D45</f>
        <v>14</v>
      </c>
    </row>
    <row r="46" spans="2:7" x14ac:dyDescent="0.2">
      <c r="B46" s="45" t="str">
        <f>B29</f>
        <v>CABA</v>
      </c>
      <c r="C46" s="45">
        <v>0.15</v>
      </c>
      <c r="D46" s="37">
        <f>ROUND(C46*G$30,0)</f>
        <v>7</v>
      </c>
      <c r="G46" s="25">
        <f>$D$38/D46</f>
        <v>10</v>
      </c>
    </row>
    <row r="47" spans="2:7" x14ac:dyDescent="0.2">
      <c r="B47" s="45" t="str">
        <f>B30</f>
        <v>CABA</v>
      </c>
      <c r="C47" s="45">
        <v>0.25</v>
      </c>
      <c r="D47" s="37">
        <f>ROUND(C47*G$30,0)</f>
        <v>11</v>
      </c>
      <c r="G47" s="25">
        <f>$D$38/D47</f>
        <v>6.3636363636363633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1264-8FF8-234E-BECF-2F4437290C65}">
  <dimension ref="B1:BL124"/>
  <sheetViews>
    <sheetView showGridLines="0" topLeftCell="B66" workbookViewId="0">
      <selection activeCell="J96" sqref="J96"/>
    </sheetView>
  </sheetViews>
  <sheetFormatPr baseColWidth="10" defaultRowHeight="15" x14ac:dyDescent="0.2"/>
  <cols>
    <col min="2" max="2" width="26.33203125" style="9" bestFit="1" customWidth="1"/>
    <col min="3" max="3" width="19.83203125" style="9" bestFit="1" customWidth="1"/>
    <col min="4" max="15" width="9.5" style="9" bestFit="1" customWidth="1"/>
    <col min="16" max="16" width="9.33203125" style="9" bestFit="1" customWidth="1"/>
    <col min="17" max="19" width="7.6640625" style="9" bestFit="1" customWidth="1"/>
    <col min="20" max="20" width="9.33203125" style="9" bestFit="1" customWidth="1"/>
    <col min="21" max="21" width="11.1640625" style="9" bestFit="1" customWidth="1"/>
    <col min="24" max="24" width="24.33203125" style="27" bestFit="1" customWidth="1"/>
    <col min="25" max="25" width="19.83203125" style="27" bestFit="1" customWidth="1"/>
    <col min="26" max="37" width="9.5" style="9" bestFit="1" customWidth="1"/>
    <col min="38" max="38" width="9.33203125" style="9" bestFit="1" customWidth="1"/>
    <col min="39" max="41" width="5.1640625" style="9" bestFit="1" customWidth="1"/>
    <col min="42" max="42" width="9.33203125" style="9" bestFit="1" customWidth="1"/>
    <col min="43" max="43" width="11.1640625" style="9" bestFit="1" customWidth="1"/>
    <col min="44" max="44" width="11.1640625" bestFit="1" customWidth="1"/>
    <col min="45" max="45" width="24.33203125" style="27" bestFit="1" customWidth="1"/>
    <col min="46" max="46" width="19.83203125" style="27" bestFit="1" customWidth="1"/>
    <col min="47" max="58" width="10.1640625" style="9" bestFit="1" customWidth="1"/>
    <col min="59" max="59" width="11.1640625" style="9" bestFit="1" customWidth="1"/>
    <col min="60" max="63" width="10.1640625" style="9" bestFit="1" customWidth="1"/>
    <col min="64" max="64" width="11.1640625" style="9" bestFit="1" customWidth="1"/>
    <col min="65" max="70" width="24.33203125" bestFit="1" customWidth="1"/>
    <col min="71" max="71" width="23.5" bestFit="1" customWidth="1"/>
    <col min="72" max="72" width="28.83203125" bestFit="1" customWidth="1"/>
    <col min="73" max="78" width="24.33203125" bestFit="1" customWidth="1"/>
    <col min="79" max="79" width="23.5" bestFit="1" customWidth="1"/>
    <col min="80" max="80" width="28.83203125" bestFit="1" customWidth="1"/>
    <col min="81" max="81" width="23.33203125" bestFit="1" customWidth="1"/>
    <col min="82" max="82" width="28.6640625" bestFit="1" customWidth="1"/>
  </cols>
  <sheetData>
    <row r="1" spans="2:64" x14ac:dyDescent="0.2">
      <c r="B1" s="24" t="s">
        <v>2</v>
      </c>
      <c r="C1" s="9" t="s">
        <v>8573</v>
      </c>
      <c r="X1" s="24" t="s">
        <v>2</v>
      </c>
      <c r="Y1" s="9" t="s">
        <v>8573</v>
      </c>
      <c r="AS1" s="24" t="s">
        <v>2</v>
      </c>
      <c r="AT1" s="9" t="s">
        <v>8573</v>
      </c>
    </row>
    <row r="2" spans="2:64" x14ac:dyDescent="0.2">
      <c r="B2" s="24" t="s">
        <v>8592</v>
      </c>
      <c r="C2" s="9" t="s">
        <v>8572</v>
      </c>
      <c r="X2" s="24" t="s">
        <v>7</v>
      </c>
      <c r="Y2" s="9" t="s">
        <v>8572</v>
      </c>
      <c r="AS2" s="24" t="s">
        <v>8592</v>
      </c>
      <c r="AT2" s="13">
        <v>1</v>
      </c>
    </row>
    <row r="3" spans="2:64" x14ac:dyDescent="0.2">
      <c r="X3" s="26" t="s">
        <v>8568</v>
      </c>
      <c r="Y3" s="27" t="s">
        <v>8567</v>
      </c>
      <c r="AS3" s="26" t="s">
        <v>8568</v>
      </c>
      <c r="AT3" s="27" t="s">
        <v>8567</v>
      </c>
    </row>
    <row r="4" spans="2:64" x14ac:dyDescent="0.2">
      <c r="B4" s="24" t="s">
        <v>8574</v>
      </c>
      <c r="D4" s="24" t="s">
        <v>8560</v>
      </c>
      <c r="E4" s="24" t="s">
        <v>8561</v>
      </c>
      <c r="X4"/>
      <c r="Y4"/>
      <c r="Z4" s="13">
        <v>3</v>
      </c>
      <c r="AA4">
        <v>4</v>
      </c>
      <c r="AB4" s="13">
        <v>5</v>
      </c>
      <c r="AC4">
        <v>6</v>
      </c>
      <c r="AD4" s="13">
        <v>7</v>
      </c>
      <c r="AE4">
        <v>8</v>
      </c>
      <c r="AF4" s="13">
        <v>9</v>
      </c>
      <c r="AG4">
        <v>10</v>
      </c>
      <c r="AH4" s="13">
        <v>11</v>
      </c>
      <c r="AI4">
        <v>12</v>
      </c>
      <c r="AJ4" s="13">
        <v>13</v>
      </c>
      <c r="AK4">
        <v>14</v>
      </c>
      <c r="AL4" s="13">
        <v>15</v>
      </c>
      <c r="AM4">
        <v>16</v>
      </c>
      <c r="AN4" s="13">
        <v>17</v>
      </c>
      <c r="AO4">
        <v>18</v>
      </c>
      <c r="AP4" s="13">
        <v>19</v>
      </c>
      <c r="AQ4">
        <v>20</v>
      </c>
      <c r="AS4"/>
      <c r="AT4"/>
      <c r="AU4" s="13">
        <v>3</v>
      </c>
      <c r="AV4">
        <v>4</v>
      </c>
      <c r="AW4" s="13">
        <v>5</v>
      </c>
      <c r="AX4">
        <v>6</v>
      </c>
      <c r="AY4" s="13">
        <v>7</v>
      </c>
      <c r="AZ4">
        <v>8</v>
      </c>
      <c r="BA4" s="13">
        <v>9</v>
      </c>
      <c r="BB4">
        <v>10</v>
      </c>
      <c r="BC4" s="13">
        <v>11</v>
      </c>
      <c r="BD4">
        <v>12</v>
      </c>
      <c r="BE4" s="13">
        <v>13</v>
      </c>
      <c r="BF4">
        <v>14</v>
      </c>
      <c r="BG4" s="13">
        <v>15</v>
      </c>
      <c r="BH4">
        <v>16</v>
      </c>
      <c r="BI4" s="13">
        <v>17</v>
      </c>
      <c r="BJ4">
        <v>18</v>
      </c>
      <c r="BK4" s="13">
        <v>19</v>
      </c>
      <c r="BL4">
        <v>20</v>
      </c>
    </row>
    <row r="5" spans="2:64" x14ac:dyDescent="0.2">
      <c r="D5" s="25">
        <v>2025</v>
      </c>
      <c r="E5" s="25">
        <v>2025</v>
      </c>
      <c r="F5" s="25">
        <v>2025</v>
      </c>
      <c r="G5" s="25">
        <v>2025</v>
      </c>
      <c r="H5" s="25">
        <v>2025</v>
      </c>
      <c r="I5" s="25">
        <v>2025</v>
      </c>
      <c r="J5" s="25">
        <v>2025</v>
      </c>
      <c r="K5" s="25">
        <v>2025</v>
      </c>
      <c r="L5" s="25">
        <v>2025</v>
      </c>
      <c r="M5" s="25">
        <v>2025</v>
      </c>
      <c r="N5" s="25">
        <v>2025</v>
      </c>
      <c r="O5" s="25">
        <v>2025</v>
      </c>
      <c r="P5" s="25" t="s">
        <v>8563</v>
      </c>
      <c r="Q5" s="25">
        <v>2026</v>
      </c>
      <c r="R5" s="25">
        <v>2026</v>
      </c>
      <c r="S5" s="25">
        <v>2026</v>
      </c>
      <c r="T5" s="25" t="s">
        <v>8564</v>
      </c>
      <c r="U5" s="25" t="s">
        <v>8562</v>
      </c>
      <c r="X5" s="26" t="s">
        <v>8574</v>
      </c>
      <c r="Z5" s="24" t="s">
        <v>8560</v>
      </c>
      <c r="AA5" s="24" t="s">
        <v>8561</v>
      </c>
      <c r="AS5" s="26" t="s">
        <v>8574</v>
      </c>
      <c r="AU5" s="24" t="s">
        <v>8560</v>
      </c>
      <c r="AV5" s="24" t="s">
        <v>8561</v>
      </c>
    </row>
    <row r="6" spans="2:64" x14ac:dyDescent="0.2">
      <c r="B6" s="24" t="s">
        <v>8568</v>
      </c>
      <c r="C6" s="24" t="s">
        <v>17</v>
      </c>
      <c r="D6" s="25">
        <v>1</v>
      </c>
      <c r="E6" s="25">
        <v>2</v>
      </c>
      <c r="F6" s="25">
        <v>3</v>
      </c>
      <c r="G6" s="25">
        <v>4</v>
      </c>
      <c r="H6" s="25">
        <v>5</v>
      </c>
      <c r="I6" s="25">
        <v>6</v>
      </c>
      <c r="J6" s="25">
        <v>7</v>
      </c>
      <c r="K6" s="25">
        <v>8</v>
      </c>
      <c r="L6" s="25">
        <v>9</v>
      </c>
      <c r="M6" s="25">
        <v>10</v>
      </c>
      <c r="N6" s="25">
        <v>11</v>
      </c>
      <c r="O6" s="25">
        <v>12</v>
      </c>
      <c r="Q6" s="25">
        <v>1</v>
      </c>
      <c r="R6" s="25">
        <v>2</v>
      </c>
      <c r="S6" s="25">
        <v>3</v>
      </c>
      <c r="Z6" s="25">
        <v>2025</v>
      </c>
      <c r="AA6" s="25">
        <v>2025</v>
      </c>
      <c r="AB6" s="25">
        <v>2025</v>
      </c>
      <c r="AC6" s="25">
        <v>2025</v>
      </c>
      <c r="AD6" s="25">
        <v>2025</v>
      </c>
      <c r="AE6" s="25">
        <v>2025</v>
      </c>
      <c r="AF6" s="25">
        <v>2025</v>
      </c>
      <c r="AG6" s="25">
        <v>2025</v>
      </c>
      <c r="AH6" s="25">
        <v>2025</v>
      </c>
      <c r="AI6" s="25">
        <v>2025</v>
      </c>
      <c r="AJ6" s="25">
        <v>2025</v>
      </c>
      <c r="AK6" s="25">
        <v>2025</v>
      </c>
      <c r="AL6" s="25" t="s">
        <v>8563</v>
      </c>
      <c r="AM6" s="25">
        <v>2026</v>
      </c>
      <c r="AN6" s="25">
        <v>2026</v>
      </c>
      <c r="AO6" s="25">
        <v>2026</v>
      </c>
      <c r="AP6" s="25" t="s">
        <v>8564</v>
      </c>
      <c r="AQ6" s="25" t="s">
        <v>8562</v>
      </c>
      <c r="AU6" s="25">
        <v>2025</v>
      </c>
      <c r="AV6" s="25">
        <v>2025</v>
      </c>
      <c r="AW6" s="25">
        <v>2025</v>
      </c>
      <c r="AX6" s="25">
        <v>2025</v>
      </c>
      <c r="AY6" s="25">
        <v>2025</v>
      </c>
      <c r="AZ6" s="25">
        <v>2025</v>
      </c>
      <c r="BA6" s="25">
        <v>2025</v>
      </c>
      <c r="BB6" s="25">
        <v>2025</v>
      </c>
      <c r="BC6" s="25">
        <v>2025</v>
      </c>
      <c r="BD6" s="25">
        <v>2025</v>
      </c>
      <c r="BE6" s="25">
        <v>2025</v>
      </c>
      <c r="BF6" s="25">
        <v>2025</v>
      </c>
      <c r="BG6" s="25" t="s">
        <v>8563</v>
      </c>
      <c r="BH6" s="25">
        <v>2026</v>
      </c>
      <c r="BI6" s="25">
        <v>2026</v>
      </c>
      <c r="BJ6" s="25">
        <v>2026</v>
      </c>
      <c r="BK6" s="25" t="s">
        <v>8564</v>
      </c>
      <c r="BL6" s="25" t="s">
        <v>8562</v>
      </c>
    </row>
    <row r="7" spans="2:64" x14ac:dyDescent="0.2">
      <c r="B7" s="9" t="s">
        <v>8567</v>
      </c>
      <c r="C7" s="9" t="s">
        <v>7594</v>
      </c>
      <c r="D7" s="13">
        <v>5716689</v>
      </c>
      <c r="E7" s="13">
        <v>5667000</v>
      </c>
      <c r="F7" s="13">
        <v>7765900</v>
      </c>
      <c r="G7" s="13">
        <v>10044500</v>
      </c>
      <c r="H7" s="13">
        <v>9498070</v>
      </c>
      <c r="I7" s="13">
        <v>9536000</v>
      </c>
      <c r="J7" s="13">
        <v>9727250</v>
      </c>
      <c r="K7" s="13">
        <v>10229000</v>
      </c>
      <c r="L7" s="13">
        <v>8158380</v>
      </c>
      <c r="M7" s="13">
        <v>10522326</v>
      </c>
      <c r="N7" s="13">
        <v>6506466</v>
      </c>
      <c r="O7" s="13">
        <v>8897282</v>
      </c>
      <c r="P7" s="13">
        <v>102268863</v>
      </c>
      <c r="Q7" s="13">
        <v>7653250</v>
      </c>
      <c r="R7" s="13">
        <v>7308500</v>
      </c>
      <c r="S7" s="13">
        <v>11938406</v>
      </c>
      <c r="T7" s="13">
        <v>26900156</v>
      </c>
      <c r="U7" s="13">
        <v>129169019</v>
      </c>
      <c r="X7" s="24" t="s">
        <v>12</v>
      </c>
      <c r="Y7" s="26" t="s">
        <v>17</v>
      </c>
      <c r="Z7" s="25">
        <v>1</v>
      </c>
      <c r="AA7" s="25">
        <v>2</v>
      </c>
      <c r="AB7" s="25">
        <v>3</v>
      </c>
      <c r="AC7" s="25">
        <v>4</v>
      </c>
      <c r="AD7" s="25">
        <v>5</v>
      </c>
      <c r="AE7" s="25">
        <v>6</v>
      </c>
      <c r="AF7" s="25">
        <v>7</v>
      </c>
      <c r="AG7" s="25">
        <v>8</v>
      </c>
      <c r="AH7" s="25">
        <v>9</v>
      </c>
      <c r="AI7" s="25">
        <v>10</v>
      </c>
      <c r="AJ7" s="25">
        <v>11</v>
      </c>
      <c r="AK7" s="25">
        <v>12</v>
      </c>
      <c r="AM7" s="25">
        <v>1</v>
      </c>
      <c r="AN7" s="25">
        <v>2</v>
      </c>
      <c r="AO7" s="25">
        <v>3</v>
      </c>
      <c r="AS7" s="24" t="s">
        <v>12</v>
      </c>
      <c r="AT7" s="26" t="s">
        <v>17</v>
      </c>
      <c r="AU7" s="25">
        <v>1</v>
      </c>
      <c r="AV7" s="25">
        <v>2</v>
      </c>
      <c r="AW7" s="25">
        <v>3</v>
      </c>
      <c r="AX7" s="25">
        <v>4</v>
      </c>
      <c r="AY7" s="25">
        <v>5</v>
      </c>
      <c r="AZ7" s="25">
        <v>6</v>
      </c>
      <c r="BA7" s="25">
        <v>7</v>
      </c>
      <c r="BB7" s="25">
        <v>8</v>
      </c>
      <c r="BC7" s="25">
        <v>9</v>
      </c>
      <c r="BD7" s="25">
        <v>10</v>
      </c>
      <c r="BE7" s="25">
        <v>11</v>
      </c>
      <c r="BF7" s="25">
        <v>12</v>
      </c>
      <c r="BH7" s="25">
        <v>1</v>
      </c>
      <c r="BI7" s="25">
        <v>2</v>
      </c>
      <c r="BJ7" s="25">
        <v>3</v>
      </c>
    </row>
    <row r="8" spans="2:64" x14ac:dyDescent="0.2">
      <c r="B8" s="9" t="s">
        <v>8567</v>
      </c>
      <c r="C8" s="9" t="s">
        <v>7604</v>
      </c>
      <c r="D8" s="13"/>
      <c r="E8" s="13">
        <v>144000</v>
      </c>
      <c r="F8" s="13"/>
      <c r="G8" s="13">
        <v>498900</v>
      </c>
      <c r="H8" s="13">
        <v>70000</v>
      </c>
      <c r="I8" s="13">
        <v>186000</v>
      </c>
      <c r="J8" s="13">
        <v>493350</v>
      </c>
      <c r="K8" s="13">
        <v>38000</v>
      </c>
      <c r="L8" s="13">
        <v>62000</v>
      </c>
      <c r="M8" s="13"/>
      <c r="N8" s="13"/>
      <c r="O8" s="13">
        <v>242500</v>
      </c>
      <c r="P8" s="13">
        <v>1734750</v>
      </c>
      <c r="Q8" s="13">
        <v>120000</v>
      </c>
      <c r="R8" s="13">
        <v>232000</v>
      </c>
      <c r="S8" s="13">
        <v>590000</v>
      </c>
      <c r="T8" s="13">
        <v>942000</v>
      </c>
      <c r="U8" s="13">
        <v>2676750</v>
      </c>
      <c r="X8" s="9" t="s">
        <v>34</v>
      </c>
      <c r="Y8" s="9" t="s">
        <v>7594</v>
      </c>
      <c r="Z8" s="13">
        <v>1900000</v>
      </c>
      <c r="AA8" s="13">
        <v>523000</v>
      </c>
      <c r="AB8" s="13">
        <v>1744000</v>
      </c>
      <c r="AC8" s="13">
        <v>1803000</v>
      </c>
      <c r="AD8" s="13">
        <v>1002000</v>
      </c>
      <c r="AE8" s="13">
        <v>3093000</v>
      </c>
      <c r="AF8" s="13">
        <v>2269000</v>
      </c>
      <c r="AG8" s="13">
        <v>2111500</v>
      </c>
      <c r="AH8" s="13">
        <v>1259880</v>
      </c>
      <c r="AI8" s="13">
        <v>1682000</v>
      </c>
      <c r="AJ8" s="13">
        <v>801730</v>
      </c>
      <c r="AK8" s="13">
        <v>929000</v>
      </c>
      <c r="AL8" s="13">
        <v>19118110</v>
      </c>
      <c r="AM8" s="13">
        <v>1287000</v>
      </c>
      <c r="AN8" s="13">
        <v>970000</v>
      </c>
      <c r="AO8" s="13">
        <v>1403500</v>
      </c>
      <c r="AP8" s="13">
        <v>3660500</v>
      </c>
      <c r="AQ8" s="13">
        <v>22778610</v>
      </c>
      <c r="AS8" s="9" t="s">
        <v>34</v>
      </c>
      <c r="AT8" s="9" t="s">
        <v>7594</v>
      </c>
      <c r="AU8" s="13">
        <v>1900000</v>
      </c>
      <c r="AV8" s="13">
        <v>458000</v>
      </c>
      <c r="AW8" s="13">
        <v>1744000</v>
      </c>
      <c r="AX8" s="13">
        <v>1803000</v>
      </c>
      <c r="AY8" s="13">
        <v>1002000</v>
      </c>
      <c r="AZ8" s="13">
        <v>1875000</v>
      </c>
      <c r="BA8" s="13">
        <v>2269000</v>
      </c>
      <c r="BB8" s="13">
        <v>2111500</v>
      </c>
      <c r="BC8" s="13">
        <v>1153880</v>
      </c>
      <c r="BD8" s="13">
        <v>1682000</v>
      </c>
      <c r="BE8" s="13">
        <v>746730</v>
      </c>
      <c r="BF8" s="13">
        <v>879000</v>
      </c>
      <c r="BG8" s="13">
        <v>17624110</v>
      </c>
      <c r="BH8" s="13">
        <v>1287000</v>
      </c>
      <c r="BI8" s="13">
        <v>905000</v>
      </c>
      <c r="BJ8" s="13">
        <v>1179500</v>
      </c>
      <c r="BK8" s="13">
        <v>3371500</v>
      </c>
      <c r="BL8" s="13">
        <v>20995610</v>
      </c>
    </row>
    <row r="9" spans="2:64" x14ac:dyDescent="0.2">
      <c r="B9" s="9" t="s">
        <v>8567</v>
      </c>
      <c r="C9" s="9" t="s">
        <v>7606</v>
      </c>
      <c r="D9" s="13">
        <v>55000</v>
      </c>
      <c r="E9" s="13">
        <v>156000</v>
      </c>
      <c r="F9" s="13">
        <v>67800</v>
      </c>
      <c r="G9" s="13">
        <v>331900</v>
      </c>
      <c r="H9" s="13">
        <v>251000</v>
      </c>
      <c r="I9" s="13">
        <v>786500</v>
      </c>
      <c r="J9" s="13">
        <v>668000</v>
      </c>
      <c r="K9" s="13">
        <v>375000</v>
      </c>
      <c r="L9" s="13">
        <v>238000</v>
      </c>
      <c r="M9" s="13">
        <v>734000</v>
      </c>
      <c r="N9" s="13">
        <v>290000</v>
      </c>
      <c r="O9" s="13">
        <v>2525800</v>
      </c>
      <c r="P9" s="13">
        <v>6479000</v>
      </c>
      <c r="Q9" s="13">
        <v>771500</v>
      </c>
      <c r="R9" s="13">
        <v>551000</v>
      </c>
      <c r="S9" s="13">
        <v>1158000</v>
      </c>
      <c r="T9" s="13">
        <v>2480500</v>
      </c>
      <c r="U9" s="13">
        <v>8959500</v>
      </c>
      <c r="X9" s="9" t="s">
        <v>34</v>
      </c>
      <c r="Y9" s="9" t="s">
        <v>7626</v>
      </c>
      <c r="Z9" s="13">
        <v>1192000</v>
      </c>
      <c r="AA9" s="13">
        <v>842000</v>
      </c>
      <c r="AB9" s="13">
        <v>1284100</v>
      </c>
      <c r="AC9" s="13">
        <v>1898400</v>
      </c>
      <c r="AD9" s="13">
        <v>1562000</v>
      </c>
      <c r="AE9" s="13">
        <v>3185000</v>
      </c>
      <c r="AF9" s="13">
        <v>3090000</v>
      </c>
      <c r="AG9" s="13">
        <v>1817000</v>
      </c>
      <c r="AH9" s="13">
        <v>1386000</v>
      </c>
      <c r="AI9" s="13">
        <v>1001000</v>
      </c>
      <c r="AJ9" s="13">
        <v>1401000</v>
      </c>
      <c r="AK9" s="13">
        <v>1078000</v>
      </c>
      <c r="AL9" s="13">
        <v>19736500</v>
      </c>
      <c r="AM9" s="13">
        <v>2254000</v>
      </c>
      <c r="AN9" s="13">
        <v>2080850</v>
      </c>
      <c r="AO9" s="13">
        <v>1632000</v>
      </c>
      <c r="AP9" s="13">
        <v>5966850</v>
      </c>
      <c r="AQ9" s="13">
        <v>25703350</v>
      </c>
      <c r="AS9" s="9" t="s">
        <v>34</v>
      </c>
      <c r="AT9" s="9" t="s">
        <v>7626</v>
      </c>
      <c r="AU9" s="13">
        <v>1192000</v>
      </c>
      <c r="AV9" s="13">
        <v>842000</v>
      </c>
      <c r="AW9" s="13">
        <v>1284100</v>
      </c>
      <c r="AX9" s="13">
        <v>1898400</v>
      </c>
      <c r="AY9" s="13">
        <v>1562000</v>
      </c>
      <c r="AZ9" s="13">
        <v>3185000</v>
      </c>
      <c r="BA9" s="13">
        <v>3090000</v>
      </c>
      <c r="BB9" s="13">
        <v>1817000</v>
      </c>
      <c r="BC9" s="13">
        <v>1336000</v>
      </c>
      <c r="BD9" s="13">
        <v>1001000</v>
      </c>
      <c r="BE9" s="13">
        <v>1401000</v>
      </c>
      <c r="BF9" s="13">
        <v>1078000</v>
      </c>
      <c r="BG9" s="13">
        <v>19686500</v>
      </c>
      <c r="BH9" s="13">
        <v>2254000</v>
      </c>
      <c r="BI9" s="13">
        <v>2080850</v>
      </c>
      <c r="BJ9" s="13">
        <v>1632000</v>
      </c>
      <c r="BK9" s="13">
        <v>5966850</v>
      </c>
      <c r="BL9" s="13">
        <v>25653350</v>
      </c>
    </row>
    <row r="10" spans="2:64" x14ac:dyDescent="0.2">
      <c r="B10" s="9" t="s">
        <v>8567</v>
      </c>
      <c r="C10" s="9" t="s">
        <v>7611</v>
      </c>
      <c r="D10" s="13">
        <v>1469379</v>
      </c>
      <c r="E10" s="13">
        <v>1120650</v>
      </c>
      <c r="F10" s="13">
        <v>1397800</v>
      </c>
      <c r="G10" s="13">
        <v>1514000</v>
      </c>
      <c r="H10" s="13">
        <v>4732813</v>
      </c>
      <c r="I10" s="13">
        <v>2050714</v>
      </c>
      <c r="J10" s="13">
        <v>659500</v>
      </c>
      <c r="K10" s="13">
        <v>2377000</v>
      </c>
      <c r="L10" s="13">
        <v>3757000</v>
      </c>
      <c r="M10" s="13">
        <v>1950900</v>
      </c>
      <c r="N10" s="13">
        <v>288000</v>
      </c>
      <c r="O10" s="13">
        <v>1177000</v>
      </c>
      <c r="P10" s="13">
        <v>22494756</v>
      </c>
      <c r="Q10" s="13">
        <v>1438000</v>
      </c>
      <c r="R10" s="13">
        <v>1149200</v>
      </c>
      <c r="S10" s="13">
        <v>2157583</v>
      </c>
      <c r="T10" s="13">
        <v>4744783</v>
      </c>
      <c r="U10" s="13">
        <v>27239539</v>
      </c>
      <c r="X10" s="9" t="s">
        <v>34</v>
      </c>
      <c r="Y10" s="9" t="s">
        <v>7630</v>
      </c>
      <c r="Z10" s="13"/>
      <c r="AA10" s="13"/>
      <c r="AB10" s="13">
        <v>137000</v>
      </c>
      <c r="AC10" s="13">
        <v>50000</v>
      </c>
      <c r="AD10" s="13">
        <v>256000</v>
      </c>
      <c r="AE10" s="13">
        <v>57000</v>
      </c>
      <c r="AF10" s="13"/>
      <c r="AG10" s="13"/>
      <c r="AH10" s="13">
        <v>170000</v>
      </c>
      <c r="AI10" s="13"/>
      <c r="AJ10" s="13">
        <v>42000</v>
      </c>
      <c r="AK10" s="13"/>
      <c r="AL10" s="13">
        <v>712000</v>
      </c>
      <c r="AM10" s="13">
        <v>72500</v>
      </c>
      <c r="AN10" s="13">
        <v>89000</v>
      </c>
      <c r="AO10" s="13">
        <v>195000</v>
      </c>
      <c r="AP10" s="13">
        <v>356500</v>
      </c>
      <c r="AQ10" s="13">
        <v>1068500</v>
      </c>
      <c r="AS10" s="9" t="s">
        <v>34</v>
      </c>
      <c r="AT10" s="9" t="s">
        <v>7630</v>
      </c>
      <c r="AU10" s="13"/>
      <c r="AV10" s="13"/>
      <c r="AW10" s="13">
        <v>72000</v>
      </c>
      <c r="AX10" s="13"/>
      <c r="AY10" s="13">
        <v>210000</v>
      </c>
      <c r="AZ10" s="13"/>
      <c r="BA10" s="13"/>
      <c r="BB10" s="13"/>
      <c r="BC10" s="13">
        <v>115000</v>
      </c>
      <c r="BD10" s="13"/>
      <c r="BE10" s="13"/>
      <c r="BF10" s="13"/>
      <c r="BG10" s="13">
        <v>397000</v>
      </c>
      <c r="BH10" s="13">
        <v>72500</v>
      </c>
      <c r="BI10" s="13">
        <v>89000</v>
      </c>
      <c r="BJ10" s="13">
        <v>195000</v>
      </c>
      <c r="BK10" s="13">
        <v>356500</v>
      </c>
      <c r="BL10" s="13">
        <v>753500</v>
      </c>
    </row>
    <row r="11" spans="2:64" x14ac:dyDescent="0.2">
      <c r="B11" s="9" t="s">
        <v>8567</v>
      </c>
      <c r="C11" s="9" t="s">
        <v>7615</v>
      </c>
      <c r="D11" s="13">
        <v>705343</v>
      </c>
      <c r="E11" s="13">
        <v>1424694</v>
      </c>
      <c r="F11" s="13">
        <v>656210</v>
      </c>
      <c r="G11" s="13">
        <v>1060959</v>
      </c>
      <c r="H11" s="13">
        <v>1688689</v>
      </c>
      <c r="I11" s="13">
        <v>455753</v>
      </c>
      <c r="J11" s="13">
        <v>1128750</v>
      </c>
      <c r="K11" s="13">
        <v>425080</v>
      </c>
      <c r="L11" s="13">
        <v>435000</v>
      </c>
      <c r="M11" s="13">
        <v>693000</v>
      </c>
      <c r="N11" s="13">
        <v>558000</v>
      </c>
      <c r="O11" s="13">
        <v>958985</v>
      </c>
      <c r="P11" s="13">
        <v>10190463</v>
      </c>
      <c r="Q11" s="13">
        <v>753125</v>
      </c>
      <c r="R11" s="13">
        <v>525700</v>
      </c>
      <c r="S11" s="13">
        <v>1342756</v>
      </c>
      <c r="T11" s="13">
        <v>2621581</v>
      </c>
      <c r="U11" s="13">
        <v>12812044</v>
      </c>
      <c r="X11" s="9" t="s">
        <v>34</v>
      </c>
      <c r="Y11" s="9" t="s">
        <v>7632</v>
      </c>
      <c r="Z11" s="13">
        <v>47000</v>
      </c>
      <c r="AA11" s="13">
        <v>228000</v>
      </c>
      <c r="AB11" s="13"/>
      <c r="AC11" s="13">
        <v>158000</v>
      </c>
      <c r="AD11" s="13">
        <v>317000</v>
      </c>
      <c r="AE11" s="13">
        <v>185000</v>
      </c>
      <c r="AF11" s="13"/>
      <c r="AG11" s="13">
        <v>47000</v>
      </c>
      <c r="AH11" s="13"/>
      <c r="AI11" s="13">
        <v>160000</v>
      </c>
      <c r="AJ11" s="13">
        <v>36000</v>
      </c>
      <c r="AK11" s="13">
        <v>146500</v>
      </c>
      <c r="AL11" s="13">
        <v>1324500</v>
      </c>
      <c r="AM11" s="13"/>
      <c r="AN11" s="13">
        <v>175000</v>
      </c>
      <c r="AO11" s="13">
        <v>175000</v>
      </c>
      <c r="AP11" s="13">
        <v>350000</v>
      </c>
      <c r="AQ11" s="13">
        <v>1674500</v>
      </c>
      <c r="AS11" s="9" t="s">
        <v>34</v>
      </c>
      <c r="AT11" s="9" t="s">
        <v>7632</v>
      </c>
      <c r="AU11" s="13"/>
      <c r="AV11" s="13">
        <v>112000</v>
      </c>
      <c r="AW11" s="13"/>
      <c r="AX11" s="13">
        <v>158000</v>
      </c>
      <c r="AY11" s="13">
        <v>317000</v>
      </c>
      <c r="AZ11" s="13">
        <v>185000</v>
      </c>
      <c r="BA11" s="13"/>
      <c r="BB11" s="13"/>
      <c r="BC11" s="13"/>
      <c r="BD11" s="13">
        <v>160000</v>
      </c>
      <c r="BE11" s="13"/>
      <c r="BF11" s="13">
        <v>95000</v>
      </c>
      <c r="BG11" s="13">
        <v>1027000</v>
      </c>
      <c r="BH11" s="13"/>
      <c r="BI11" s="13">
        <v>175000</v>
      </c>
      <c r="BJ11" s="13">
        <v>175000</v>
      </c>
      <c r="BK11" s="13">
        <v>350000</v>
      </c>
      <c r="BL11" s="13">
        <v>1377000</v>
      </c>
    </row>
    <row r="12" spans="2:64" x14ac:dyDescent="0.2">
      <c r="B12" s="9" t="s">
        <v>8567</v>
      </c>
      <c r="C12" s="9" t="s">
        <v>7617</v>
      </c>
      <c r="D12" s="13">
        <v>176000</v>
      </c>
      <c r="E12" s="13">
        <v>330000</v>
      </c>
      <c r="F12" s="13">
        <v>258500</v>
      </c>
      <c r="G12" s="13">
        <v>401000</v>
      </c>
      <c r="H12" s="13">
        <v>201500</v>
      </c>
      <c r="I12" s="13">
        <v>149000</v>
      </c>
      <c r="J12" s="13">
        <v>781000</v>
      </c>
      <c r="K12" s="13">
        <v>385000</v>
      </c>
      <c r="L12" s="13">
        <v>90000</v>
      </c>
      <c r="M12" s="13">
        <v>527500</v>
      </c>
      <c r="N12" s="13">
        <v>104000</v>
      </c>
      <c r="O12" s="13">
        <v>204000</v>
      </c>
      <c r="P12" s="13">
        <v>3607500</v>
      </c>
      <c r="Q12" s="13">
        <v>47000</v>
      </c>
      <c r="R12" s="13">
        <v>120000</v>
      </c>
      <c r="S12" s="13">
        <v>343000</v>
      </c>
      <c r="T12" s="13">
        <v>510000</v>
      </c>
      <c r="U12" s="13">
        <v>4117500</v>
      </c>
      <c r="X12" s="9" t="s">
        <v>8577</v>
      </c>
      <c r="Y12" s="9"/>
      <c r="Z12" s="13">
        <v>3139000</v>
      </c>
      <c r="AA12" s="13">
        <v>1593000</v>
      </c>
      <c r="AB12" s="13">
        <v>3165100</v>
      </c>
      <c r="AC12" s="13">
        <v>3909400</v>
      </c>
      <c r="AD12" s="13">
        <v>3137000</v>
      </c>
      <c r="AE12" s="13">
        <v>6520000</v>
      </c>
      <c r="AF12" s="13">
        <v>5359000</v>
      </c>
      <c r="AG12" s="13">
        <v>3975500</v>
      </c>
      <c r="AH12" s="13">
        <v>2815880</v>
      </c>
      <c r="AI12" s="13">
        <v>2843000</v>
      </c>
      <c r="AJ12" s="13">
        <v>2280730</v>
      </c>
      <c r="AK12" s="13">
        <v>2153500</v>
      </c>
      <c r="AL12" s="13">
        <v>40891110</v>
      </c>
      <c r="AM12" s="13">
        <v>3613500</v>
      </c>
      <c r="AN12" s="13">
        <v>3314850</v>
      </c>
      <c r="AO12" s="13">
        <v>3405500</v>
      </c>
      <c r="AP12" s="13">
        <v>10333850</v>
      </c>
      <c r="AQ12" s="13">
        <v>51224960</v>
      </c>
      <c r="AS12" s="9" t="s">
        <v>8577</v>
      </c>
      <c r="AT12" s="9"/>
      <c r="AU12" s="13">
        <v>3092000</v>
      </c>
      <c r="AV12" s="13">
        <v>1412000</v>
      </c>
      <c r="AW12" s="13">
        <v>3100100</v>
      </c>
      <c r="AX12" s="13">
        <v>3859400</v>
      </c>
      <c r="AY12" s="13">
        <v>3091000</v>
      </c>
      <c r="AZ12" s="13">
        <v>5245000</v>
      </c>
      <c r="BA12" s="13">
        <v>5359000</v>
      </c>
      <c r="BB12" s="13">
        <v>3928500</v>
      </c>
      <c r="BC12" s="13">
        <v>2604880</v>
      </c>
      <c r="BD12" s="13">
        <v>2843000</v>
      </c>
      <c r="BE12" s="13">
        <v>2147730</v>
      </c>
      <c r="BF12" s="13">
        <v>2052000</v>
      </c>
      <c r="BG12" s="13">
        <v>38734610</v>
      </c>
      <c r="BH12" s="13">
        <v>3613500</v>
      </c>
      <c r="BI12" s="13">
        <v>3249850</v>
      </c>
      <c r="BJ12" s="13">
        <v>3181500</v>
      </c>
      <c r="BK12" s="13">
        <v>10044850</v>
      </c>
      <c r="BL12" s="13">
        <v>48779460</v>
      </c>
    </row>
    <row r="13" spans="2:64" x14ac:dyDescent="0.2">
      <c r="B13" s="9" t="s">
        <v>8567</v>
      </c>
      <c r="C13" s="9" t="s">
        <v>7619</v>
      </c>
      <c r="D13" s="13"/>
      <c r="E13" s="13"/>
      <c r="F13" s="13"/>
      <c r="G13" s="13"/>
      <c r="H13" s="13"/>
      <c r="I13" s="13"/>
      <c r="J13" s="13"/>
      <c r="K13" s="13"/>
      <c r="L13" s="13"/>
      <c r="M13" s="13"/>
      <c r="N13" s="13"/>
      <c r="O13" s="13">
        <v>65000</v>
      </c>
      <c r="P13" s="13">
        <v>65000</v>
      </c>
      <c r="Q13" s="13"/>
      <c r="R13" s="13"/>
      <c r="S13" s="13"/>
      <c r="T13" s="13"/>
      <c r="U13" s="13">
        <v>65000</v>
      </c>
      <c r="X13" s="9" t="s">
        <v>45</v>
      </c>
      <c r="Y13" s="9" t="s">
        <v>7594</v>
      </c>
      <c r="Z13" s="13">
        <v>2917689</v>
      </c>
      <c r="AA13" s="13">
        <v>4177500</v>
      </c>
      <c r="AB13" s="13">
        <v>4855900</v>
      </c>
      <c r="AC13" s="13">
        <v>6831000</v>
      </c>
      <c r="AD13" s="13">
        <v>7618570</v>
      </c>
      <c r="AE13" s="13">
        <v>4528000</v>
      </c>
      <c r="AF13" s="13">
        <v>6082000</v>
      </c>
      <c r="AG13" s="13">
        <v>6968700</v>
      </c>
      <c r="AH13" s="13">
        <v>5348000</v>
      </c>
      <c r="AI13" s="13">
        <v>7249456</v>
      </c>
      <c r="AJ13" s="13">
        <v>4316736</v>
      </c>
      <c r="AK13" s="13">
        <v>6243882</v>
      </c>
      <c r="AL13" s="13">
        <v>67137433</v>
      </c>
      <c r="AM13" s="13">
        <v>5304150</v>
      </c>
      <c r="AN13" s="13">
        <v>5660500</v>
      </c>
      <c r="AO13" s="13">
        <v>6735500</v>
      </c>
      <c r="AP13" s="13">
        <v>17700150</v>
      </c>
      <c r="AQ13" s="13">
        <v>84837583</v>
      </c>
      <c r="AS13" s="9" t="s">
        <v>45</v>
      </c>
      <c r="AT13" s="9" t="s">
        <v>7594</v>
      </c>
      <c r="AU13" s="13">
        <v>2797689</v>
      </c>
      <c r="AV13" s="13">
        <v>3892500</v>
      </c>
      <c r="AW13" s="13">
        <v>4667900</v>
      </c>
      <c r="AX13" s="13">
        <v>6315000</v>
      </c>
      <c r="AY13" s="13">
        <v>7182070</v>
      </c>
      <c r="AZ13" s="13">
        <v>4275000</v>
      </c>
      <c r="BA13" s="13">
        <v>5273000</v>
      </c>
      <c r="BB13" s="13">
        <v>6664200</v>
      </c>
      <c r="BC13" s="13">
        <v>4956500</v>
      </c>
      <c r="BD13" s="13">
        <v>6457456</v>
      </c>
      <c r="BE13" s="13">
        <v>3761500</v>
      </c>
      <c r="BF13" s="13">
        <v>4460682</v>
      </c>
      <c r="BG13" s="13">
        <v>60703497</v>
      </c>
      <c r="BH13" s="13">
        <v>4848250</v>
      </c>
      <c r="BI13" s="13">
        <v>5134500</v>
      </c>
      <c r="BJ13" s="13">
        <v>6326000</v>
      </c>
      <c r="BK13" s="13">
        <v>16308750</v>
      </c>
      <c r="BL13" s="13">
        <v>77012247</v>
      </c>
    </row>
    <row r="14" spans="2:64" x14ac:dyDescent="0.2">
      <c r="B14" s="9" t="s">
        <v>8567</v>
      </c>
      <c r="C14" s="9" t="s">
        <v>7621</v>
      </c>
      <c r="D14" s="13">
        <v>90000</v>
      </c>
      <c r="E14" s="13"/>
      <c r="F14" s="13">
        <v>42000</v>
      </c>
      <c r="G14" s="13">
        <v>81500</v>
      </c>
      <c r="H14" s="13"/>
      <c r="I14" s="13">
        <v>130000</v>
      </c>
      <c r="J14" s="13">
        <v>80000</v>
      </c>
      <c r="K14" s="13">
        <v>1400000</v>
      </c>
      <c r="L14" s="13">
        <v>337000</v>
      </c>
      <c r="M14" s="13">
        <v>265000</v>
      </c>
      <c r="N14" s="13">
        <v>58000</v>
      </c>
      <c r="O14" s="13"/>
      <c r="P14" s="13">
        <v>2483500</v>
      </c>
      <c r="Q14" s="13">
        <v>252000</v>
      </c>
      <c r="R14" s="13">
        <v>380000</v>
      </c>
      <c r="S14" s="13">
        <v>540000</v>
      </c>
      <c r="T14" s="13">
        <v>1172000</v>
      </c>
      <c r="U14" s="13">
        <v>3655500</v>
      </c>
      <c r="X14" s="9" t="s">
        <v>45</v>
      </c>
      <c r="Y14" s="9" t="s">
        <v>7626</v>
      </c>
      <c r="Z14" s="13">
        <v>1127000</v>
      </c>
      <c r="AA14" s="13">
        <v>1435484</v>
      </c>
      <c r="AB14" s="13">
        <v>2765089</v>
      </c>
      <c r="AC14" s="13">
        <v>2538500</v>
      </c>
      <c r="AD14" s="13">
        <v>2096000</v>
      </c>
      <c r="AE14" s="13">
        <v>3029750</v>
      </c>
      <c r="AF14" s="13">
        <v>2778128</v>
      </c>
      <c r="AG14" s="13">
        <v>1881000</v>
      </c>
      <c r="AH14" s="13">
        <v>1376000</v>
      </c>
      <c r="AI14" s="13">
        <v>1879500</v>
      </c>
      <c r="AJ14" s="13">
        <v>1085300</v>
      </c>
      <c r="AK14" s="13">
        <v>2255000</v>
      </c>
      <c r="AL14" s="13">
        <v>24246751</v>
      </c>
      <c r="AM14" s="13">
        <v>1862500</v>
      </c>
      <c r="AN14" s="13">
        <v>1423447</v>
      </c>
      <c r="AO14" s="13">
        <v>3200000</v>
      </c>
      <c r="AP14" s="13">
        <v>6485947</v>
      </c>
      <c r="AQ14" s="13">
        <v>30732698</v>
      </c>
      <c r="AS14" s="9" t="s">
        <v>45</v>
      </c>
      <c r="AT14" s="9" t="s">
        <v>7626</v>
      </c>
      <c r="AU14" s="13">
        <v>1127000</v>
      </c>
      <c r="AV14" s="13">
        <v>1435484</v>
      </c>
      <c r="AW14" s="13">
        <v>2527589</v>
      </c>
      <c r="AX14" s="13">
        <v>2395000</v>
      </c>
      <c r="AY14" s="13">
        <v>2051000</v>
      </c>
      <c r="AZ14" s="13">
        <v>2968750</v>
      </c>
      <c r="BA14" s="13">
        <v>2362128</v>
      </c>
      <c r="BB14" s="13">
        <v>1881000</v>
      </c>
      <c r="BC14" s="13">
        <v>1312000</v>
      </c>
      <c r="BD14" s="13">
        <v>1829500</v>
      </c>
      <c r="BE14" s="13">
        <v>878300</v>
      </c>
      <c r="BF14" s="13">
        <v>2211000</v>
      </c>
      <c r="BG14" s="13">
        <v>22978751</v>
      </c>
      <c r="BH14" s="13">
        <v>1798500</v>
      </c>
      <c r="BI14" s="13">
        <v>1247447</v>
      </c>
      <c r="BJ14" s="13">
        <v>3076000</v>
      </c>
      <c r="BK14" s="13">
        <v>6121947</v>
      </c>
      <c r="BL14" s="13">
        <v>29100698</v>
      </c>
    </row>
    <row r="15" spans="2:64" x14ac:dyDescent="0.2">
      <c r="B15" s="9" t="s">
        <v>8567</v>
      </c>
      <c r="C15" s="9" t="s">
        <v>7626</v>
      </c>
      <c r="D15" s="13">
        <v>3135830</v>
      </c>
      <c r="E15" s="13">
        <v>3151484</v>
      </c>
      <c r="F15" s="13">
        <v>4635189</v>
      </c>
      <c r="G15" s="13">
        <v>5728900</v>
      </c>
      <c r="H15" s="13">
        <v>4074540</v>
      </c>
      <c r="I15" s="13">
        <v>6926750</v>
      </c>
      <c r="J15" s="13">
        <v>6062128</v>
      </c>
      <c r="K15" s="13">
        <v>4503330</v>
      </c>
      <c r="L15" s="13">
        <v>4823650</v>
      </c>
      <c r="M15" s="13">
        <v>3014850</v>
      </c>
      <c r="N15" s="13">
        <v>3457323</v>
      </c>
      <c r="O15" s="13">
        <v>3747000</v>
      </c>
      <c r="P15" s="13">
        <v>53260974</v>
      </c>
      <c r="Q15" s="13">
        <v>4689000</v>
      </c>
      <c r="R15" s="13">
        <v>3827297</v>
      </c>
      <c r="S15" s="13">
        <v>5286000</v>
      </c>
      <c r="T15" s="13">
        <v>13802297</v>
      </c>
      <c r="U15" s="13">
        <v>67063271</v>
      </c>
      <c r="X15" s="9" t="s">
        <v>45</v>
      </c>
      <c r="Y15" s="9" t="s">
        <v>7630</v>
      </c>
      <c r="Z15" s="13">
        <v>50000</v>
      </c>
      <c r="AA15" s="13"/>
      <c r="AB15" s="13">
        <v>69000</v>
      </c>
      <c r="AC15" s="13"/>
      <c r="AD15" s="13"/>
      <c r="AE15" s="13"/>
      <c r="AF15" s="13">
        <v>291000</v>
      </c>
      <c r="AG15" s="13">
        <v>168000</v>
      </c>
      <c r="AH15" s="13">
        <v>118500</v>
      </c>
      <c r="AI15" s="13">
        <v>48000</v>
      </c>
      <c r="AJ15" s="13">
        <v>41200</v>
      </c>
      <c r="AK15" s="13">
        <v>275500</v>
      </c>
      <c r="AL15" s="13">
        <v>1061200</v>
      </c>
      <c r="AM15" s="13"/>
      <c r="AN15" s="13">
        <v>71500</v>
      </c>
      <c r="AO15" s="13">
        <v>102000</v>
      </c>
      <c r="AP15" s="13">
        <v>173500</v>
      </c>
      <c r="AQ15" s="13">
        <v>1234700</v>
      </c>
      <c r="AS15" s="9" t="s">
        <v>45</v>
      </c>
      <c r="AT15" s="9" t="s">
        <v>7630</v>
      </c>
      <c r="AU15" s="13"/>
      <c r="AV15" s="13"/>
      <c r="AW15" s="13"/>
      <c r="AX15" s="13"/>
      <c r="AY15" s="13"/>
      <c r="AZ15" s="13"/>
      <c r="BA15" s="13">
        <v>180000</v>
      </c>
      <c r="BB15" s="13"/>
      <c r="BC15" s="13">
        <v>118500</v>
      </c>
      <c r="BD15" s="13"/>
      <c r="BE15" s="13"/>
      <c r="BF15" s="13">
        <v>275500</v>
      </c>
      <c r="BG15" s="13">
        <v>574000</v>
      </c>
      <c r="BH15" s="13"/>
      <c r="BI15" s="13">
        <v>71500</v>
      </c>
      <c r="BJ15" s="13">
        <v>102000</v>
      </c>
      <c r="BK15" s="13">
        <v>173500</v>
      </c>
      <c r="BL15" s="13">
        <v>747500</v>
      </c>
    </row>
    <row r="16" spans="2:64" x14ac:dyDescent="0.2">
      <c r="B16" s="9" t="s">
        <v>8567</v>
      </c>
      <c r="C16" s="9" t="s">
        <v>7630</v>
      </c>
      <c r="D16" s="13">
        <v>50000</v>
      </c>
      <c r="E16" s="13"/>
      <c r="F16" s="13">
        <v>206000</v>
      </c>
      <c r="G16" s="13">
        <v>50000</v>
      </c>
      <c r="H16" s="13">
        <v>406000</v>
      </c>
      <c r="I16" s="13">
        <v>57000</v>
      </c>
      <c r="J16" s="13">
        <v>339500</v>
      </c>
      <c r="K16" s="13">
        <v>280000</v>
      </c>
      <c r="L16" s="13">
        <v>288500</v>
      </c>
      <c r="M16" s="13">
        <v>48000</v>
      </c>
      <c r="N16" s="13">
        <v>83200</v>
      </c>
      <c r="O16" s="13">
        <v>275500</v>
      </c>
      <c r="P16" s="13">
        <v>2083700</v>
      </c>
      <c r="Q16" s="13">
        <v>112500</v>
      </c>
      <c r="R16" s="13">
        <v>160500</v>
      </c>
      <c r="S16" s="13">
        <v>297000</v>
      </c>
      <c r="T16" s="13">
        <v>570000</v>
      </c>
      <c r="U16" s="13">
        <v>2653700</v>
      </c>
      <c r="X16" s="9" t="s">
        <v>45</v>
      </c>
      <c r="Y16" s="9" t="s">
        <v>7632</v>
      </c>
      <c r="Z16" s="13">
        <v>113400</v>
      </c>
      <c r="AA16" s="13"/>
      <c r="AB16" s="13"/>
      <c r="AC16" s="13"/>
      <c r="AD16" s="13">
        <v>62000</v>
      </c>
      <c r="AE16" s="13">
        <v>82000</v>
      </c>
      <c r="AF16" s="13">
        <v>82000</v>
      </c>
      <c r="AG16" s="13">
        <v>223400</v>
      </c>
      <c r="AH16" s="13">
        <v>235000</v>
      </c>
      <c r="AI16" s="13">
        <v>204000</v>
      </c>
      <c r="AJ16" s="13"/>
      <c r="AK16" s="13">
        <v>74000</v>
      </c>
      <c r="AL16" s="13">
        <v>1075800</v>
      </c>
      <c r="AM16" s="13">
        <v>45000</v>
      </c>
      <c r="AN16" s="13">
        <v>67500</v>
      </c>
      <c r="AO16" s="13"/>
      <c r="AP16" s="13">
        <v>112500</v>
      </c>
      <c r="AQ16" s="13">
        <v>1188300</v>
      </c>
      <c r="AS16" s="9" t="s">
        <v>45</v>
      </c>
      <c r="AT16" s="9" t="s">
        <v>7632</v>
      </c>
      <c r="AU16" s="13">
        <v>73400</v>
      </c>
      <c r="AV16" s="13"/>
      <c r="AW16" s="13"/>
      <c r="AX16" s="13"/>
      <c r="AY16" s="13"/>
      <c r="AZ16" s="13"/>
      <c r="BA16" s="13">
        <v>82000</v>
      </c>
      <c r="BB16" s="13">
        <v>151400</v>
      </c>
      <c r="BC16" s="13">
        <v>87500</v>
      </c>
      <c r="BD16" s="13">
        <v>140000</v>
      </c>
      <c r="BE16" s="13"/>
      <c r="BF16" s="13">
        <v>74000</v>
      </c>
      <c r="BG16" s="13">
        <v>608300</v>
      </c>
      <c r="BH16" s="13"/>
      <c r="BI16" s="13"/>
      <c r="BJ16" s="13"/>
      <c r="BK16" s="13"/>
      <c r="BL16" s="13">
        <v>608300</v>
      </c>
    </row>
    <row r="17" spans="2:64" x14ac:dyDescent="0.2">
      <c r="B17" s="9" t="s">
        <v>8567</v>
      </c>
      <c r="C17" s="9" t="s">
        <v>7632</v>
      </c>
      <c r="D17" s="13">
        <v>160400</v>
      </c>
      <c r="E17" s="13">
        <v>228000</v>
      </c>
      <c r="F17" s="13"/>
      <c r="G17" s="13">
        <v>158000</v>
      </c>
      <c r="H17" s="13">
        <v>379000</v>
      </c>
      <c r="I17" s="13">
        <v>325000</v>
      </c>
      <c r="J17" s="13">
        <v>82000</v>
      </c>
      <c r="K17" s="13">
        <v>270400</v>
      </c>
      <c r="L17" s="13">
        <v>235000</v>
      </c>
      <c r="M17" s="13">
        <v>364000</v>
      </c>
      <c r="N17" s="13">
        <v>36000</v>
      </c>
      <c r="O17" s="13">
        <v>220500</v>
      </c>
      <c r="P17" s="13">
        <v>2458300</v>
      </c>
      <c r="Q17" s="13">
        <v>45000</v>
      </c>
      <c r="R17" s="13">
        <v>242500</v>
      </c>
      <c r="S17" s="13">
        <v>175000</v>
      </c>
      <c r="T17" s="13">
        <v>462500</v>
      </c>
      <c r="U17" s="13">
        <v>2920800</v>
      </c>
      <c r="X17" s="9" t="s">
        <v>8578</v>
      </c>
      <c r="Y17" s="9"/>
      <c r="Z17" s="13">
        <v>4208089</v>
      </c>
      <c r="AA17" s="13">
        <v>5612984</v>
      </c>
      <c r="AB17" s="13">
        <v>7689989</v>
      </c>
      <c r="AC17" s="13">
        <v>9369500</v>
      </c>
      <c r="AD17" s="13">
        <v>9776570</v>
      </c>
      <c r="AE17" s="13">
        <v>7639750</v>
      </c>
      <c r="AF17" s="13">
        <v>9233128</v>
      </c>
      <c r="AG17" s="13">
        <v>9241100</v>
      </c>
      <c r="AH17" s="13">
        <v>7077500</v>
      </c>
      <c r="AI17" s="13">
        <v>9380956</v>
      </c>
      <c r="AJ17" s="13">
        <v>5443236</v>
      </c>
      <c r="AK17" s="13">
        <v>8848382</v>
      </c>
      <c r="AL17" s="13">
        <v>93521184</v>
      </c>
      <c r="AM17" s="13">
        <v>7211650</v>
      </c>
      <c r="AN17" s="13">
        <v>7222947</v>
      </c>
      <c r="AO17" s="13">
        <v>10037500</v>
      </c>
      <c r="AP17" s="13">
        <v>24472097</v>
      </c>
      <c r="AQ17" s="13">
        <v>117993281</v>
      </c>
      <c r="AS17" s="9" t="s">
        <v>8578</v>
      </c>
      <c r="AT17" s="9"/>
      <c r="AU17" s="13">
        <v>3998089</v>
      </c>
      <c r="AV17" s="13">
        <v>5327984</v>
      </c>
      <c r="AW17" s="13">
        <v>7195489</v>
      </c>
      <c r="AX17" s="13">
        <v>8710000</v>
      </c>
      <c r="AY17" s="13">
        <v>9233070</v>
      </c>
      <c r="AZ17" s="13">
        <v>7243750</v>
      </c>
      <c r="BA17" s="13">
        <v>7897128</v>
      </c>
      <c r="BB17" s="13">
        <v>8696600</v>
      </c>
      <c r="BC17" s="13">
        <v>6474500</v>
      </c>
      <c r="BD17" s="13">
        <v>8426956</v>
      </c>
      <c r="BE17" s="13">
        <v>4639800</v>
      </c>
      <c r="BF17" s="13">
        <v>7021182</v>
      </c>
      <c r="BG17" s="13">
        <v>84864548</v>
      </c>
      <c r="BH17" s="13">
        <v>6646750</v>
      </c>
      <c r="BI17" s="13">
        <v>6453447</v>
      </c>
      <c r="BJ17" s="13">
        <v>9504000</v>
      </c>
      <c r="BK17" s="13">
        <v>22604197</v>
      </c>
      <c r="BL17" s="13">
        <v>107468745</v>
      </c>
    </row>
    <row r="18" spans="2:64" x14ac:dyDescent="0.2">
      <c r="B18" s="9" t="s">
        <v>8569</v>
      </c>
      <c r="D18" s="13">
        <v>11558641</v>
      </c>
      <c r="E18" s="13">
        <v>12221828</v>
      </c>
      <c r="F18" s="13">
        <v>15029399</v>
      </c>
      <c r="G18" s="13">
        <v>19869659</v>
      </c>
      <c r="H18" s="13">
        <v>21301612</v>
      </c>
      <c r="I18" s="13">
        <v>20602717</v>
      </c>
      <c r="J18" s="13">
        <v>20021478</v>
      </c>
      <c r="K18" s="13">
        <v>20282810</v>
      </c>
      <c r="L18" s="13">
        <v>18424530</v>
      </c>
      <c r="M18" s="13">
        <v>18119576</v>
      </c>
      <c r="N18" s="13">
        <v>11380989</v>
      </c>
      <c r="O18" s="13">
        <v>18313567</v>
      </c>
      <c r="P18" s="13">
        <v>207126806</v>
      </c>
      <c r="Q18" s="13">
        <v>15881375</v>
      </c>
      <c r="R18" s="13">
        <v>14496697</v>
      </c>
      <c r="S18" s="13">
        <v>23827745</v>
      </c>
      <c r="T18" s="13">
        <v>54205817</v>
      </c>
      <c r="U18" s="13">
        <v>261332623</v>
      </c>
      <c r="X18" s="9" t="s">
        <v>1625</v>
      </c>
      <c r="Y18" s="9" t="s">
        <v>7594</v>
      </c>
      <c r="Z18" s="13"/>
      <c r="AA18" s="13"/>
      <c r="AB18" s="13"/>
      <c r="AC18" s="13">
        <v>90000</v>
      </c>
      <c r="AD18" s="13"/>
      <c r="AE18" s="13"/>
      <c r="AF18" s="13"/>
      <c r="AG18" s="13"/>
      <c r="AH18" s="13"/>
      <c r="AI18" s="13"/>
      <c r="AJ18" s="13">
        <v>50000</v>
      </c>
      <c r="AK18" s="13"/>
      <c r="AL18" s="13">
        <v>140000</v>
      </c>
      <c r="AM18" s="13"/>
      <c r="AN18" s="13"/>
      <c r="AO18" s="13"/>
      <c r="AP18" s="13"/>
      <c r="AQ18" s="13">
        <v>140000</v>
      </c>
      <c r="AS18" s="9" t="s">
        <v>1625</v>
      </c>
      <c r="AT18" s="9" t="s">
        <v>7594</v>
      </c>
      <c r="AU18" s="13"/>
      <c r="AV18" s="13"/>
      <c r="AW18" s="13"/>
      <c r="AX18" s="13">
        <v>90000</v>
      </c>
      <c r="AY18" s="13"/>
      <c r="AZ18" s="13"/>
      <c r="BA18" s="13"/>
      <c r="BB18" s="13"/>
      <c r="BC18" s="13"/>
      <c r="BD18" s="13"/>
      <c r="BE18" s="13"/>
      <c r="BF18" s="13"/>
      <c r="BG18" s="13">
        <v>90000</v>
      </c>
      <c r="BH18" s="13"/>
      <c r="BI18" s="13"/>
      <c r="BJ18" s="13"/>
      <c r="BK18" s="13"/>
      <c r="BL18" s="13">
        <v>90000</v>
      </c>
    </row>
    <row r="19" spans="2:64" x14ac:dyDescent="0.2">
      <c r="B19" s="9" t="s">
        <v>8565</v>
      </c>
      <c r="C19" s="9" t="s">
        <v>7594</v>
      </c>
      <c r="D19" s="13">
        <v>2585000</v>
      </c>
      <c r="E19" s="13">
        <v>970000</v>
      </c>
      <c r="F19" s="13">
        <v>1084000</v>
      </c>
      <c r="G19" s="13">
        <v>1714000</v>
      </c>
      <c r="H19" s="13">
        <v>1793500</v>
      </c>
      <c r="I19" s="13">
        <v>1801000</v>
      </c>
      <c r="J19" s="13">
        <v>2084500</v>
      </c>
      <c r="K19" s="13">
        <v>3130000</v>
      </c>
      <c r="L19" s="13">
        <v>1866000</v>
      </c>
      <c r="M19" s="13">
        <v>5472400</v>
      </c>
      <c r="N19" s="13">
        <v>3576000</v>
      </c>
      <c r="O19" s="13">
        <v>4195000</v>
      </c>
      <c r="P19" s="13">
        <v>30271400</v>
      </c>
      <c r="Q19" s="13">
        <v>1666500</v>
      </c>
      <c r="R19" s="13">
        <v>2374000</v>
      </c>
      <c r="S19" s="13">
        <v>3873250</v>
      </c>
      <c r="T19" s="13">
        <v>7913750</v>
      </c>
      <c r="U19" s="13">
        <v>38185150</v>
      </c>
      <c r="X19" s="9" t="s">
        <v>8579</v>
      </c>
      <c r="Y19" s="9"/>
      <c r="Z19" s="13"/>
      <c r="AA19" s="13"/>
      <c r="AB19" s="13"/>
      <c r="AC19" s="13">
        <v>90000</v>
      </c>
      <c r="AD19" s="13"/>
      <c r="AE19" s="13"/>
      <c r="AF19" s="13"/>
      <c r="AG19" s="13"/>
      <c r="AH19" s="13"/>
      <c r="AI19" s="13"/>
      <c r="AJ19" s="13">
        <v>50000</v>
      </c>
      <c r="AK19" s="13"/>
      <c r="AL19" s="13">
        <v>140000</v>
      </c>
      <c r="AM19" s="13"/>
      <c r="AN19" s="13"/>
      <c r="AO19" s="13"/>
      <c r="AP19" s="13"/>
      <c r="AQ19" s="13">
        <v>140000</v>
      </c>
      <c r="AS19" s="9" t="s">
        <v>8579</v>
      </c>
      <c r="AT19" s="9"/>
      <c r="AU19" s="13"/>
      <c r="AV19" s="13"/>
      <c r="AW19" s="13"/>
      <c r="AX19" s="13">
        <v>90000</v>
      </c>
      <c r="AY19" s="13"/>
      <c r="AZ19" s="13"/>
      <c r="BA19" s="13"/>
      <c r="BB19" s="13"/>
      <c r="BC19" s="13"/>
      <c r="BD19" s="13"/>
      <c r="BE19" s="13"/>
      <c r="BF19" s="13"/>
      <c r="BG19" s="13">
        <v>90000</v>
      </c>
      <c r="BH19" s="13"/>
      <c r="BI19" s="13"/>
      <c r="BJ19" s="13"/>
      <c r="BK19" s="13"/>
      <c r="BL19" s="13">
        <v>90000</v>
      </c>
    </row>
    <row r="20" spans="2:64" x14ac:dyDescent="0.2">
      <c r="B20" s="9" t="s">
        <v>8565</v>
      </c>
      <c r="C20" s="9" t="s">
        <v>7606</v>
      </c>
      <c r="D20" s="13"/>
      <c r="E20" s="13"/>
      <c r="F20" s="13">
        <v>36500</v>
      </c>
      <c r="G20" s="13">
        <v>169000</v>
      </c>
      <c r="H20" s="13"/>
      <c r="I20" s="13">
        <v>276000</v>
      </c>
      <c r="J20" s="13">
        <v>65000</v>
      </c>
      <c r="K20" s="13"/>
      <c r="L20" s="13">
        <v>280000</v>
      </c>
      <c r="M20" s="13">
        <v>55000</v>
      </c>
      <c r="N20" s="13"/>
      <c r="O20" s="13">
        <v>966500</v>
      </c>
      <c r="P20" s="13">
        <v>1848000</v>
      </c>
      <c r="Q20" s="13"/>
      <c r="R20" s="13">
        <v>73000</v>
      </c>
      <c r="S20" s="13">
        <v>752000</v>
      </c>
      <c r="T20" s="13">
        <v>825000</v>
      </c>
      <c r="U20" s="13">
        <v>2673000</v>
      </c>
      <c r="X20" s="9" t="s">
        <v>7512</v>
      </c>
      <c r="Y20" s="9" t="s">
        <v>7594</v>
      </c>
      <c r="Z20" s="13"/>
      <c r="AA20" s="13"/>
      <c r="AB20" s="13"/>
      <c r="AC20" s="13"/>
      <c r="AD20" s="13"/>
      <c r="AE20" s="13"/>
      <c r="AF20" s="13"/>
      <c r="AG20" s="13"/>
      <c r="AH20" s="13"/>
      <c r="AI20" s="13"/>
      <c r="AJ20" s="13"/>
      <c r="AK20" s="13"/>
      <c r="AL20" s="13"/>
      <c r="AM20" s="13"/>
      <c r="AN20" s="13"/>
      <c r="AO20" s="13">
        <v>70000</v>
      </c>
      <c r="AP20" s="13">
        <v>70000</v>
      </c>
      <c r="AQ20" s="13">
        <v>70000</v>
      </c>
      <c r="AS20" s="9" t="s">
        <v>7512</v>
      </c>
      <c r="AT20" s="9" t="s">
        <v>7594</v>
      </c>
      <c r="AU20" s="13"/>
      <c r="AV20" s="13"/>
      <c r="AW20" s="13"/>
      <c r="AX20" s="13"/>
      <c r="AY20" s="13"/>
      <c r="AZ20" s="13"/>
      <c r="BA20" s="13"/>
      <c r="BB20" s="13"/>
      <c r="BC20" s="13"/>
      <c r="BD20" s="13"/>
      <c r="BE20" s="13"/>
      <c r="BF20" s="13"/>
      <c r="BG20" s="13"/>
      <c r="BH20" s="13"/>
      <c r="BI20" s="13"/>
      <c r="BJ20" s="13">
        <v>70000</v>
      </c>
      <c r="BK20" s="13">
        <v>70000</v>
      </c>
      <c r="BL20" s="13">
        <v>70000</v>
      </c>
    </row>
    <row r="21" spans="2:64" x14ac:dyDescent="0.2">
      <c r="B21" s="9" t="s">
        <v>8565</v>
      </c>
      <c r="C21" s="9" t="s">
        <v>7611</v>
      </c>
      <c r="D21" s="13"/>
      <c r="E21" s="13">
        <v>507300</v>
      </c>
      <c r="F21" s="13">
        <v>334000</v>
      </c>
      <c r="G21" s="13">
        <v>169000</v>
      </c>
      <c r="H21" s="13">
        <v>144000</v>
      </c>
      <c r="I21" s="13">
        <v>179500</v>
      </c>
      <c r="J21" s="13">
        <v>182000</v>
      </c>
      <c r="K21" s="13">
        <v>93000</v>
      </c>
      <c r="L21" s="13">
        <v>448000</v>
      </c>
      <c r="M21" s="13">
        <v>668000</v>
      </c>
      <c r="N21" s="13"/>
      <c r="O21" s="13">
        <v>100000</v>
      </c>
      <c r="P21" s="13">
        <v>2824800</v>
      </c>
      <c r="Q21" s="13">
        <v>325000</v>
      </c>
      <c r="R21" s="13">
        <v>379000</v>
      </c>
      <c r="S21" s="13">
        <v>129200</v>
      </c>
      <c r="T21" s="13">
        <v>833200</v>
      </c>
      <c r="U21" s="13">
        <v>3658000</v>
      </c>
      <c r="X21" s="9" t="s">
        <v>8580</v>
      </c>
      <c r="Y21" s="9"/>
      <c r="Z21" s="13"/>
      <c r="AA21" s="13"/>
      <c r="AB21" s="13"/>
      <c r="AC21" s="13"/>
      <c r="AD21" s="13"/>
      <c r="AE21" s="13"/>
      <c r="AF21" s="13"/>
      <c r="AG21" s="13"/>
      <c r="AH21" s="13"/>
      <c r="AI21" s="13"/>
      <c r="AJ21" s="13"/>
      <c r="AK21" s="13"/>
      <c r="AL21" s="13"/>
      <c r="AM21" s="13"/>
      <c r="AN21" s="13"/>
      <c r="AO21" s="13">
        <v>70000</v>
      </c>
      <c r="AP21" s="13">
        <v>70000</v>
      </c>
      <c r="AQ21" s="13">
        <v>70000</v>
      </c>
      <c r="AS21" s="9" t="s">
        <v>8580</v>
      </c>
      <c r="AT21" s="9"/>
      <c r="AU21" s="13"/>
      <c r="AV21" s="13"/>
      <c r="AW21" s="13"/>
      <c r="AX21" s="13"/>
      <c r="AY21" s="13"/>
      <c r="AZ21" s="13"/>
      <c r="BA21" s="13"/>
      <c r="BB21" s="13"/>
      <c r="BC21" s="13"/>
      <c r="BD21" s="13"/>
      <c r="BE21" s="13"/>
      <c r="BF21" s="13"/>
      <c r="BG21" s="13"/>
      <c r="BH21" s="13"/>
      <c r="BI21" s="13"/>
      <c r="BJ21" s="13">
        <v>70000</v>
      </c>
      <c r="BK21" s="13">
        <v>70000</v>
      </c>
      <c r="BL21" s="13">
        <v>70000</v>
      </c>
    </row>
    <row r="22" spans="2:64" x14ac:dyDescent="0.2">
      <c r="B22" s="9" t="s">
        <v>8565</v>
      </c>
      <c r="C22" s="9" t="s">
        <v>7615</v>
      </c>
      <c r="D22" s="13">
        <v>52500</v>
      </c>
      <c r="E22" s="13">
        <v>122000</v>
      </c>
      <c r="F22" s="13">
        <v>129000</v>
      </c>
      <c r="G22" s="13">
        <v>255000</v>
      </c>
      <c r="H22" s="13">
        <v>218000</v>
      </c>
      <c r="I22" s="13">
        <v>518000</v>
      </c>
      <c r="J22" s="13">
        <v>796260</v>
      </c>
      <c r="K22" s="13">
        <v>784000</v>
      </c>
      <c r="L22" s="13">
        <v>220000</v>
      </c>
      <c r="M22" s="13"/>
      <c r="N22" s="13">
        <v>746000</v>
      </c>
      <c r="O22" s="13">
        <v>565000</v>
      </c>
      <c r="P22" s="13">
        <v>4405760</v>
      </c>
      <c r="Q22" s="13"/>
      <c r="R22" s="13">
        <v>185000</v>
      </c>
      <c r="S22" s="13">
        <v>493000</v>
      </c>
      <c r="T22" s="13">
        <v>678000</v>
      </c>
      <c r="U22" s="13">
        <v>5083760</v>
      </c>
      <c r="V22" s="22"/>
      <c r="X22" s="9" t="s">
        <v>55</v>
      </c>
      <c r="Y22" s="9" t="s">
        <v>7594</v>
      </c>
      <c r="Z22" s="13">
        <v>83000</v>
      </c>
      <c r="AA22" s="13">
        <v>295000</v>
      </c>
      <c r="AB22" s="13"/>
      <c r="AC22" s="13"/>
      <c r="AD22" s="13"/>
      <c r="AE22" s="13">
        <v>240000</v>
      </c>
      <c r="AF22" s="13">
        <v>125000</v>
      </c>
      <c r="AG22" s="13"/>
      <c r="AH22" s="13">
        <v>45000</v>
      </c>
      <c r="AI22" s="13">
        <v>118000</v>
      </c>
      <c r="AJ22" s="13">
        <v>180000</v>
      </c>
      <c r="AK22" s="13"/>
      <c r="AL22" s="13">
        <v>1086000</v>
      </c>
      <c r="AM22" s="13"/>
      <c r="AN22" s="13"/>
      <c r="AO22" s="13"/>
      <c r="AP22" s="13"/>
      <c r="AQ22" s="13">
        <v>1086000</v>
      </c>
      <c r="AS22" s="9" t="s">
        <v>55</v>
      </c>
      <c r="AT22" s="9" t="s">
        <v>7594</v>
      </c>
      <c r="AU22" s="13">
        <v>83000</v>
      </c>
      <c r="AV22" s="13">
        <v>295000</v>
      </c>
      <c r="AW22" s="13"/>
      <c r="AX22" s="13"/>
      <c r="AY22" s="13"/>
      <c r="AZ22" s="13">
        <v>240000</v>
      </c>
      <c r="BA22" s="13">
        <v>125000</v>
      </c>
      <c r="BB22" s="13"/>
      <c r="BC22" s="13"/>
      <c r="BD22" s="13">
        <v>118000</v>
      </c>
      <c r="BE22" s="13">
        <v>180000</v>
      </c>
      <c r="BF22" s="13"/>
      <c r="BG22" s="13">
        <v>1041000</v>
      </c>
      <c r="BH22" s="13"/>
      <c r="BI22" s="13"/>
      <c r="BJ22" s="13"/>
      <c r="BK22" s="13"/>
      <c r="BL22" s="13">
        <v>1041000</v>
      </c>
    </row>
    <row r="23" spans="2:64" x14ac:dyDescent="0.2">
      <c r="B23" s="9" t="s">
        <v>8565</v>
      </c>
      <c r="C23" s="9" t="s">
        <v>7617</v>
      </c>
      <c r="D23" s="13">
        <v>47000</v>
      </c>
      <c r="E23" s="13"/>
      <c r="F23" s="13">
        <v>66000</v>
      </c>
      <c r="G23" s="13"/>
      <c r="H23" s="13">
        <v>440000</v>
      </c>
      <c r="I23" s="13"/>
      <c r="J23" s="13">
        <v>190000</v>
      </c>
      <c r="K23" s="13"/>
      <c r="L23" s="13"/>
      <c r="M23" s="13"/>
      <c r="N23" s="13"/>
      <c r="O23" s="13">
        <v>134000</v>
      </c>
      <c r="P23" s="13">
        <v>877000</v>
      </c>
      <c r="Q23" s="13"/>
      <c r="R23" s="13"/>
      <c r="S23" s="13"/>
      <c r="T23" s="13"/>
      <c r="U23" s="13">
        <v>877000</v>
      </c>
      <c r="X23" s="9" t="s">
        <v>55</v>
      </c>
      <c r="Y23" s="9" t="s">
        <v>7626</v>
      </c>
      <c r="Z23" s="13">
        <v>42000</v>
      </c>
      <c r="AA23" s="13"/>
      <c r="AB23" s="13"/>
      <c r="AC23" s="13">
        <v>37500</v>
      </c>
      <c r="AD23" s="13"/>
      <c r="AE23" s="13"/>
      <c r="AF23" s="13"/>
      <c r="AG23" s="13">
        <v>95000</v>
      </c>
      <c r="AH23" s="13">
        <v>111000</v>
      </c>
      <c r="AI23" s="13"/>
      <c r="AJ23" s="13"/>
      <c r="AK23" s="13">
        <v>144000</v>
      </c>
      <c r="AL23" s="13">
        <v>429500</v>
      </c>
      <c r="AM23" s="13"/>
      <c r="AN23" s="13"/>
      <c r="AO23" s="13"/>
      <c r="AP23" s="13"/>
      <c r="AQ23" s="13">
        <v>429500</v>
      </c>
      <c r="AS23" s="9" t="s">
        <v>55</v>
      </c>
      <c r="AT23" s="9" t="s">
        <v>7626</v>
      </c>
      <c r="AU23" s="13"/>
      <c r="AV23" s="13"/>
      <c r="AW23" s="13"/>
      <c r="AX23" s="13"/>
      <c r="AY23" s="13"/>
      <c r="AZ23" s="13"/>
      <c r="BA23" s="13"/>
      <c r="BB23" s="13"/>
      <c r="BC23" s="13"/>
      <c r="BD23" s="13"/>
      <c r="BE23" s="13"/>
      <c r="BF23" s="13">
        <v>92000</v>
      </c>
      <c r="BG23" s="13">
        <v>92000</v>
      </c>
      <c r="BH23" s="13"/>
      <c r="BI23" s="13"/>
      <c r="BJ23" s="13"/>
      <c r="BK23" s="13"/>
      <c r="BL23" s="13">
        <v>92000</v>
      </c>
    </row>
    <row r="24" spans="2:64" x14ac:dyDescent="0.2">
      <c r="B24" s="9" t="s">
        <v>8565</v>
      </c>
      <c r="C24" s="9" t="s">
        <v>7621</v>
      </c>
      <c r="D24" s="13">
        <v>145000</v>
      </c>
      <c r="E24" s="13"/>
      <c r="F24" s="13">
        <v>49500</v>
      </c>
      <c r="G24" s="13">
        <v>100000</v>
      </c>
      <c r="H24" s="13"/>
      <c r="I24" s="13">
        <v>98500</v>
      </c>
      <c r="J24" s="13">
        <v>285600</v>
      </c>
      <c r="K24" s="13">
        <v>353000</v>
      </c>
      <c r="L24" s="13">
        <v>259000</v>
      </c>
      <c r="M24" s="13">
        <v>373000</v>
      </c>
      <c r="N24" s="13">
        <v>591500</v>
      </c>
      <c r="O24" s="13">
        <v>263000</v>
      </c>
      <c r="P24" s="13">
        <v>2518100</v>
      </c>
      <c r="Q24" s="13"/>
      <c r="R24" s="13">
        <v>262000</v>
      </c>
      <c r="S24" s="13">
        <v>177500</v>
      </c>
      <c r="T24" s="13">
        <v>439500</v>
      </c>
      <c r="U24" s="13">
        <v>2957600</v>
      </c>
      <c r="X24" s="9" t="s">
        <v>55</v>
      </c>
      <c r="Y24" s="9" t="s">
        <v>7630</v>
      </c>
      <c r="Z24" s="13"/>
      <c r="AA24" s="13"/>
      <c r="AB24" s="13"/>
      <c r="AC24" s="13"/>
      <c r="AD24" s="13">
        <v>150000</v>
      </c>
      <c r="AE24" s="13"/>
      <c r="AF24" s="13"/>
      <c r="AG24" s="13"/>
      <c r="AH24" s="13"/>
      <c r="AI24" s="13"/>
      <c r="AJ24" s="13"/>
      <c r="AK24" s="13"/>
      <c r="AL24" s="13">
        <v>150000</v>
      </c>
      <c r="AM24" s="13"/>
      <c r="AN24" s="13"/>
      <c r="AO24" s="13"/>
      <c r="AP24" s="13"/>
      <c r="AQ24" s="13">
        <v>150000</v>
      </c>
      <c r="AS24" s="9" t="s">
        <v>55</v>
      </c>
      <c r="AT24" s="9" t="s">
        <v>7630</v>
      </c>
      <c r="AU24" s="13"/>
      <c r="AV24" s="13"/>
      <c r="AW24" s="13"/>
      <c r="AX24" s="13"/>
      <c r="AY24" s="13">
        <v>150000</v>
      </c>
      <c r="AZ24" s="13"/>
      <c r="BA24" s="13"/>
      <c r="BB24" s="13"/>
      <c r="BC24" s="13"/>
      <c r="BD24" s="13"/>
      <c r="BE24" s="13"/>
      <c r="BF24" s="13"/>
      <c r="BG24" s="13">
        <v>150000</v>
      </c>
      <c r="BH24" s="13"/>
      <c r="BI24" s="13"/>
      <c r="BJ24" s="13"/>
      <c r="BK24" s="13"/>
      <c r="BL24" s="13">
        <v>150000</v>
      </c>
    </row>
    <row r="25" spans="2:64" x14ac:dyDescent="0.2">
      <c r="B25" s="9" t="s">
        <v>8565</v>
      </c>
      <c r="C25" s="9" t="s">
        <v>7626</v>
      </c>
      <c r="D25" s="13"/>
      <c r="E25" s="13"/>
      <c r="F25" s="13"/>
      <c r="G25" s="13">
        <v>575000</v>
      </c>
      <c r="H25" s="13">
        <v>58000</v>
      </c>
      <c r="I25" s="13"/>
      <c r="J25" s="13">
        <v>636650</v>
      </c>
      <c r="K25" s="13">
        <v>1407500</v>
      </c>
      <c r="L25" s="13">
        <v>1985000</v>
      </c>
      <c r="M25" s="13">
        <v>4158050</v>
      </c>
      <c r="N25" s="13">
        <v>1646230</v>
      </c>
      <c r="O25" s="13">
        <v>2041500</v>
      </c>
      <c r="P25" s="13">
        <v>12507930</v>
      </c>
      <c r="Q25" s="13">
        <v>728000</v>
      </c>
      <c r="R25" s="13">
        <v>1175000</v>
      </c>
      <c r="S25" s="13">
        <v>3474500</v>
      </c>
      <c r="T25" s="13">
        <v>5377500</v>
      </c>
      <c r="U25" s="13">
        <v>17885430</v>
      </c>
      <c r="X25" s="9" t="s">
        <v>8581</v>
      </c>
      <c r="Y25" s="9"/>
      <c r="Z25" s="13">
        <v>125000</v>
      </c>
      <c r="AA25" s="13">
        <v>295000</v>
      </c>
      <c r="AB25" s="13"/>
      <c r="AC25" s="13">
        <v>37500</v>
      </c>
      <c r="AD25" s="13">
        <v>150000</v>
      </c>
      <c r="AE25" s="13">
        <v>240000</v>
      </c>
      <c r="AF25" s="13">
        <v>125000</v>
      </c>
      <c r="AG25" s="13">
        <v>95000</v>
      </c>
      <c r="AH25" s="13">
        <v>156000</v>
      </c>
      <c r="AI25" s="13">
        <v>118000</v>
      </c>
      <c r="AJ25" s="13">
        <v>180000</v>
      </c>
      <c r="AK25" s="13">
        <v>144000</v>
      </c>
      <c r="AL25" s="13">
        <v>1665500</v>
      </c>
      <c r="AM25" s="13"/>
      <c r="AN25" s="13"/>
      <c r="AO25" s="13"/>
      <c r="AP25" s="13"/>
      <c r="AQ25" s="13">
        <v>1665500</v>
      </c>
      <c r="AS25" s="9" t="s">
        <v>8581</v>
      </c>
      <c r="AT25" s="9"/>
      <c r="AU25" s="13">
        <v>83000</v>
      </c>
      <c r="AV25" s="13">
        <v>295000</v>
      </c>
      <c r="AW25" s="13"/>
      <c r="AX25" s="13"/>
      <c r="AY25" s="13">
        <v>150000</v>
      </c>
      <c r="AZ25" s="13">
        <v>240000</v>
      </c>
      <c r="BA25" s="13">
        <v>125000</v>
      </c>
      <c r="BB25" s="13"/>
      <c r="BC25" s="13"/>
      <c r="BD25" s="13">
        <v>118000</v>
      </c>
      <c r="BE25" s="13">
        <v>180000</v>
      </c>
      <c r="BF25" s="13">
        <v>92000</v>
      </c>
      <c r="BG25" s="13">
        <v>1283000</v>
      </c>
      <c r="BH25" s="13"/>
      <c r="BI25" s="13"/>
      <c r="BJ25" s="13"/>
      <c r="BK25" s="13"/>
      <c r="BL25" s="13">
        <v>1283000</v>
      </c>
    </row>
    <row r="26" spans="2:64" x14ac:dyDescent="0.2">
      <c r="B26" s="9" t="s">
        <v>8565</v>
      </c>
      <c r="C26" s="9" t="s">
        <v>7630</v>
      </c>
      <c r="D26" s="13"/>
      <c r="E26" s="13"/>
      <c r="F26" s="13">
        <v>216000</v>
      </c>
      <c r="G26" s="13"/>
      <c r="H26" s="13"/>
      <c r="I26" s="13"/>
      <c r="J26" s="13">
        <v>176000</v>
      </c>
      <c r="K26" s="13">
        <v>65000</v>
      </c>
      <c r="L26" s="13"/>
      <c r="M26" s="13">
        <v>132000</v>
      </c>
      <c r="N26" s="13"/>
      <c r="O26" s="13"/>
      <c r="P26" s="13">
        <v>589000</v>
      </c>
      <c r="Q26" s="13"/>
      <c r="R26" s="13"/>
      <c r="S26" s="13">
        <v>63000</v>
      </c>
      <c r="T26" s="13">
        <v>63000</v>
      </c>
      <c r="U26" s="13">
        <v>652000</v>
      </c>
      <c r="X26" s="9" t="s">
        <v>14</v>
      </c>
      <c r="Y26" s="9" t="s">
        <v>7594</v>
      </c>
      <c r="Z26" s="13"/>
      <c r="AA26" s="13">
        <v>132500</v>
      </c>
      <c r="AB26" s="13"/>
      <c r="AC26" s="13"/>
      <c r="AD26" s="13">
        <v>85000</v>
      </c>
      <c r="AE26" s="13"/>
      <c r="AF26" s="13">
        <v>105000</v>
      </c>
      <c r="AG26" s="13"/>
      <c r="AH26" s="13"/>
      <c r="AI26" s="13"/>
      <c r="AJ26" s="13"/>
      <c r="AK26" s="13">
        <v>42000</v>
      </c>
      <c r="AL26" s="13">
        <v>364500</v>
      </c>
      <c r="AM26" s="13">
        <v>55500</v>
      </c>
      <c r="AN26" s="13"/>
      <c r="AO26" s="13">
        <v>320000</v>
      </c>
      <c r="AP26" s="13">
        <v>375500</v>
      </c>
      <c r="AQ26" s="13">
        <v>740000</v>
      </c>
      <c r="AS26" s="9" t="s">
        <v>14</v>
      </c>
      <c r="AT26" s="9" t="s">
        <v>7594</v>
      </c>
      <c r="AU26" s="13"/>
      <c r="AV26" s="13">
        <v>132500</v>
      </c>
      <c r="AW26" s="13"/>
      <c r="AX26" s="13"/>
      <c r="AY26" s="13">
        <v>85000</v>
      </c>
      <c r="AZ26" s="13"/>
      <c r="BA26" s="13">
        <v>105000</v>
      </c>
      <c r="BB26" s="13"/>
      <c r="BC26" s="13"/>
      <c r="BD26" s="13"/>
      <c r="BE26" s="13"/>
      <c r="BF26" s="13"/>
      <c r="BG26" s="13">
        <v>322500</v>
      </c>
      <c r="BH26" s="13"/>
      <c r="BI26" s="13"/>
      <c r="BJ26" s="13">
        <v>320000</v>
      </c>
      <c r="BK26" s="13">
        <v>320000</v>
      </c>
      <c r="BL26" s="13">
        <v>642500</v>
      </c>
    </row>
    <row r="27" spans="2:64" x14ac:dyDescent="0.2">
      <c r="B27" s="9" t="s">
        <v>8565</v>
      </c>
      <c r="C27" s="9" t="s">
        <v>7632</v>
      </c>
      <c r="D27" s="13">
        <v>114000</v>
      </c>
      <c r="E27" s="13">
        <v>160000</v>
      </c>
      <c r="F27" s="13"/>
      <c r="G27" s="13">
        <v>195000</v>
      </c>
      <c r="H27" s="13">
        <v>378500</v>
      </c>
      <c r="I27" s="13">
        <v>107000</v>
      </c>
      <c r="J27" s="13">
        <v>493000</v>
      </c>
      <c r="K27" s="13">
        <v>634000</v>
      </c>
      <c r="L27" s="13">
        <v>145266</v>
      </c>
      <c r="M27" s="13">
        <v>45000</v>
      </c>
      <c r="N27" s="13"/>
      <c r="O27" s="13">
        <v>104500</v>
      </c>
      <c r="P27" s="13">
        <v>2376266</v>
      </c>
      <c r="Q27" s="13"/>
      <c r="R27" s="13"/>
      <c r="S27" s="13"/>
      <c r="T27" s="13"/>
      <c r="U27" s="13">
        <v>2376266</v>
      </c>
      <c r="X27" s="9" t="s">
        <v>14</v>
      </c>
      <c r="Y27" s="9" t="s">
        <v>7626</v>
      </c>
      <c r="Z27" s="13"/>
      <c r="AA27" s="13"/>
      <c r="AB27" s="13"/>
      <c r="AC27" s="13"/>
      <c r="AD27" s="13"/>
      <c r="AE27" s="13"/>
      <c r="AF27" s="13"/>
      <c r="AG27" s="13">
        <v>88830</v>
      </c>
      <c r="AH27" s="13"/>
      <c r="AI27" s="13"/>
      <c r="AJ27" s="13">
        <v>152000</v>
      </c>
      <c r="AK27" s="13"/>
      <c r="AL27" s="13">
        <v>240830</v>
      </c>
      <c r="AM27" s="13">
        <v>89000</v>
      </c>
      <c r="AN27" s="13"/>
      <c r="AO27" s="13">
        <v>81000</v>
      </c>
      <c r="AP27" s="13">
        <v>170000</v>
      </c>
      <c r="AQ27" s="13">
        <v>410830</v>
      </c>
      <c r="AS27" s="9" t="s">
        <v>14</v>
      </c>
      <c r="AT27" s="9" t="s">
        <v>7626</v>
      </c>
      <c r="AU27" s="13"/>
      <c r="AV27" s="13"/>
      <c r="AW27" s="13"/>
      <c r="AX27" s="13"/>
      <c r="AY27" s="13"/>
      <c r="AZ27" s="13"/>
      <c r="BA27" s="13"/>
      <c r="BB27" s="13">
        <v>88830</v>
      </c>
      <c r="BC27" s="13"/>
      <c r="BD27" s="13"/>
      <c r="BE27" s="13">
        <v>152000</v>
      </c>
      <c r="BF27" s="13"/>
      <c r="BG27" s="13">
        <v>240830</v>
      </c>
      <c r="BH27" s="13">
        <v>89000</v>
      </c>
      <c r="BI27" s="13"/>
      <c r="BJ27" s="13">
        <v>81000</v>
      </c>
      <c r="BK27" s="13">
        <v>170000</v>
      </c>
      <c r="BL27" s="13">
        <v>410830</v>
      </c>
    </row>
    <row r="28" spans="2:64" x14ac:dyDescent="0.2">
      <c r="B28" s="9" t="s">
        <v>8570</v>
      </c>
      <c r="D28" s="13">
        <v>2943500</v>
      </c>
      <c r="E28" s="13">
        <v>1759300</v>
      </c>
      <c r="F28" s="13">
        <v>1915000</v>
      </c>
      <c r="G28" s="13">
        <v>3177000</v>
      </c>
      <c r="H28" s="13">
        <v>3032000</v>
      </c>
      <c r="I28" s="13">
        <v>2980000</v>
      </c>
      <c r="J28" s="13">
        <v>4909010</v>
      </c>
      <c r="K28" s="13">
        <v>6466500</v>
      </c>
      <c r="L28" s="13">
        <v>5203266</v>
      </c>
      <c r="M28" s="13">
        <v>10903450</v>
      </c>
      <c r="N28" s="13">
        <v>6559730</v>
      </c>
      <c r="O28" s="13">
        <v>8369500</v>
      </c>
      <c r="P28" s="13">
        <v>58218256</v>
      </c>
      <c r="Q28" s="13">
        <v>2719500</v>
      </c>
      <c r="R28" s="13">
        <v>4448000</v>
      </c>
      <c r="S28" s="13">
        <v>8962450</v>
      </c>
      <c r="T28" s="13">
        <v>16129950</v>
      </c>
      <c r="U28" s="13">
        <v>74348206</v>
      </c>
      <c r="X28" s="9" t="s">
        <v>8582</v>
      </c>
      <c r="Y28" s="9"/>
      <c r="Z28" s="13"/>
      <c r="AA28" s="13">
        <v>132500</v>
      </c>
      <c r="AB28" s="13"/>
      <c r="AC28" s="13"/>
      <c r="AD28" s="13">
        <v>85000</v>
      </c>
      <c r="AE28" s="13"/>
      <c r="AF28" s="13">
        <v>105000</v>
      </c>
      <c r="AG28" s="13">
        <v>88830</v>
      </c>
      <c r="AH28" s="13"/>
      <c r="AI28" s="13"/>
      <c r="AJ28" s="13">
        <v>152000</v>
      </c>
      <c r="AK28" s="13">
        <v>42000</v>
      </c>
      <c r="AL28" s="13">
        <v>605330</v>
      </c>
      <c r="AM28" s="13">
        <v>144500</v>
      </c>
      <c r="AN28" s="13"/>
      <c r="AO28" s="13">
        <v>401000</v>
      </c>
      <c r="AP28" s="13">
        <v>545500</v>
      </c>
      <c r="AQ28" s="13">
        <v>1150830</v>
      </c>
      <c r="AS28" s="9" t="s">
        <v>8582</v>
      </c>
      <c r="AT28" s="9"/>
      <c r="AU28" s="13"/>
      <c r="AV28" s="13">
        <v>132500</v>
      </c>
      <c r="AW28" s="13"/>
      <c r="AX28" s="13"/>
      <c r="AY28" s="13">
        <v>85000</v>
      </c>
      <c r="AZ28" s="13"/>
      <c r="BA28" s="13">
        <v>105000</v>
      </c>
      <c r="BB28" s="13">
        <v>88830</v>
      </c>
      <c r="BC28" s="13"/>
      <c r="BD28" s="13"/>
      <c r="BE28" s="13">
        <v>152000</v>
      </c>
      <c r="BF28" s="13"/>
      <c r="BG28" s="13">
        <v>563330</v>
      </c>
      <c r="BH28" s="13">
        <v>89000</v>
      </c>
      <c r="BI28" s="13"/>
      <c r="BJ28" s="13">
        <v>401000</v>
      </c>
      <c r="BK28" s="13">
        <v>490000</v>
      </c>
      <c r="BL28" s="13">
        <v>1053330</v>
      </c>
    </row>
    <row r="29" spans="2:64" x14ac:dyDescent="0.2">
      <c r="B29" s="9" t="s">
        <v>8566</v>
      </c>
      <c r="C29" s="9" t="s">
        <v>7594</v>
      </c>
      <c r="D29" s="13">
        <v>619000</v>
      </c>
      <c r="E29" s="13">
        <v>2282000</v>
      </c>
      <c r="F29" s="13">
        <v>1476500</v>
      </c>
      <c r="G29" s="13">
        <v>1630500</v>
      </c>
      <c r="H29" s="13">
        <v>2193000</v>
      </c>
      <c r="I29" s="13">
        <v>2326500</v>
      </c>
      <c r="J29" s="13">
        <v>3359500</v>
      </c>
      <c r="K29" s="13">
        <v>3443000</v>
      </c>
      <c r="L29" s="13">
        <v>4349815</v>
      </c>
      <c r="M29" s="13">
        <v>3235000</v>
      </c>
      <c r="N29" s="13">
        <v>2545000</v>
      </c>
      <c r="O29" s="13">
        <v>4134200</v>
      </c>
      <c r="P29" s="13">
        <v>31594015</v>
      </c>
      <c r="Q29" s="13">
        <v>1450500</v>
      </c>
      <c r="R29" s="13">
        <v>1745000</v>
      </c>
      <c r="S29" s="13">
        <v>2451000</v>
      </c>
      <c r="T29" s="13">
        <v>5646500</v>
      </c>
      <c r="U29" s="13">
        <v>37240515</v>
      </c>
      <c r="X29" s="9" t="s">
        <v>61</v>
      </c>
      <c r="Y29" s="9" t="s">
        <v>7594</v>
      </c>
      <c r="Z29" s="13">
        <v>399000</v>
      </c>
      <c r="AA29" s="13">
        <v>148000</v>
      </c>
      <c r="AB29" s="13">
        <v>446000</v>
      </c>
      <c r="AC29" s="13">
        <v>658000</v>
      </c>
      <c r="AD29" s="13">
        <v>581000</v>
      </c>
      <c r="AE29" s="13">
        <v>925000</v>
      </c>
      <c r="AF29" s="13">
        <v>529500</v>
      </c>
      <c r="AG29" s="13">
        <v>798800</v>
      </c>
      <c r="AH29" s="13">
        <v>1385000</v>
      </c>
      <c r="AI29" s="13">
        <v>1248870</v>
      </c>
      <c r="AJ29" s="13">
        <v>608000</v>
      </c>
      <c r="AK29" s="13">
        <v>1361400</v>
      </c>
      <c r="AL29" s="13">
        <v>9088570</v>
      </c>
      <c r="AM29" s="13">
        <v>331000</v>
      </c>
      <c r="AN29" s="13">
        <v>593000</v>
      </c>
      <c r="AO29" s="13">
        <v>1459500</v>
      </c>
      <c r="AP29" s="13">
        <v>2383500</v>
      </c>
      <c r="AQ29" s="13">
        <v>11472070</v>
      </c>
      <c r="AS29" s="9" t="s">
        <v>61</v>
      </c>
      <c r="AT29" s="9" t="s">
        <v>7594</v>
      </c>
      <c r="AU29" s="13">
        <v>399000</v>
      </c>
      <c r="AV29" s="13">
        <v>148000</v>
      </c>
      <c r="AW29" s="13">
        <v>245000</v>
      </c>
      <c r="AX29" s="13">
        <v>611000</v>
      </c>
      <c r="AY29" s="13">
        <v>581000</v>
      </c>
      <c r="AZ29" s="13">
        <v>879000</v>
      </c>
      <c r="BA29" s="13">
        <v>423000</v>
      </c>
      <c r="BB29" s="13">
        <v>573000</v>
      </c>
      <c r="BC29" s="13">
        <v>1254000</v>
      </c>
      <c r="BD29" s="13">
        <v>1119870</v>
      </c>
      <c r="BE29" s="13">
        <v>608000</v>
      </c>
      <c r="BF29" s="13">
        <v>1296400</v>
      </c>
      <c r="BG29" s="13">
        <v>8137270</v>
      </c>
      <c r="BH29" s="13">
        <v>217000</v>
      </c>
      <c r="BI29" s="13">
        <v>593000</v>
      </c>
      <c r="BJ29" s="13">
        <v>1352500</v>
      </c>
      <c r="BK29" s="13">
        <v>2162500</v>
      </c>
      <c r="BL29" s="13">
        <v>10299770</v>
      </c>
    </row>
    <row r="30" spans="2:64" x14ac:dyDescent="0.2">
      <c r="B30" s="9" t="s">
        <v>8566</v>
      </c>
      <c r="C30" s="9" t="s">
        <v>7606</v>
      </c>
      <c r="D30" s="13">
        <v>45000</v>
      </c>
      <c r="E30" s="13">
        <v>45000</v>
      </c>
      <c r="F30" s="13"/>
      <c r="G30" s="13">
        <v>175000</v>
      </c>
      <c r="H30" s="13"/>
      <c r="I30" s="13">
        <v>66600</v>
      </c>
      <c r="J30" s="13">
        <v>220000</v>
      </c>
      <c r="K30" s="13"/>
      <c r="L30" s="13"/>
      <c r="M30" s="13"/>
      <c r="N30" s="13">
        <v>53000</v>
      </c>
      <c r="O30" s="13">
        <v>966700</v>
      </c>
      <c r="P30" s="13">
        <v>1571300</v>
      </c>
      <c r="Q30" s="13">
        <v>67000</v>
      </c>
      <c r="R30" s="13">
        <v>278000</v>
      </c>
      <c r="S30" s="13">
        <v>155000</v>
      </c>
      <c r="T30" s="13">
        <v>500000</v>
      </c>
      <c r="U30" s="13">
        <v>2071300</v>
      </c>
      <c r="X30" s="9" t="s">
        <v>61</v>
      </c>
      <c r="Y30" s="9" t="s">
        <v>7626</v>
      </c>
      <c r="Z30" s="13">
        <v>201500</v>
      </c>
      <c r="AA30" s="13">
        <v>209000</v>
      </c>
      <c r="AB30" s="13">
        <v>49000</v>
      </c>
      <c r="AC30" s="13">
        <v>250000</v>
      </c>
      <c r="AD30" s="13">
        <v>195000</v>
      </c>
      <c r="AE30" s="13">
        <v>443000</v>
      </c>
      <c r="AF30" s="13">
        <v>152000</v>
      </c>
      <c r="AG30" s="13">
        <v>404500</v>
      </c>
      <c r="AH30" s="13">
        <v>356000</v>
      </c>
      <c r="AI30" s="13">
        <v>52000</v>
      </c>
      <c r="AJ30" s="13">
        <v>252000</v>
      </c>
      <c r="AK30" s="13">
        <v>270000</v>
      </c>
      <c r="AL30" s="13">
        <v>2834000</v>
      </c>
      <c r="AM30" s="13">
        <v>55000</v>
      </c>
      <c r="AN30" s="13">
        <v>118000</v>
      </c>
      <c r="AO30" s="13">
        <v>150000</v>
      </c>
      <c r="AP30" s="13">
        <v>323000</v>
      </c>
      <c r="AQ30" s="13">
        <v>3157000</v>
      </c>
      <c r="AS30" s="9" t="s">
        <v>61</v>
      </c>
      <c r="AT30" s="9" t="s">
        <v>7626</v>
      </c>
      <c r="AU30" s="13">
        <v>165000</v>
      </c>
      <c r="AV30" s="13">
        <v>145000</v>
      </c>
      <c r="AW30" s="13"/>
      <c r="AX30" s="13">
        <v>250000</v>
      </c>
      <c r="AY30" s="13">
        <v>130000</v>
      </c>
      <c r="AZ30" s="13">
        <v>443000</v>
      </c>
      <c r="BA30" s="13">
        <v>84000</v>
      </c>
      <c r="BB30" s="13">
        <v>354500</v>
      </c>
      <c r="BC30" s="13">
        <v>356000</v>
      </c>
      <c r="BD30" s="13"/>
      <c r="BE30" s="13">
        <v>252000</v>
      </c>
      <c r="BF30" s="13">
        <v>270000</v>
      </c>
      <c r="BG30" s="13">
        <v>2449500</v>
      </c>
      <c r="BH30" s="13"/>
      <c r="BI30" s="13">
        <v>118000</v>
      </c>
      <c r="BJ30" s="13">
        <v>103000</v>
      </c>
      <c r="BK30" s="13">
        <v>221000</v>
      </c>
      <c r="BL30" s="13">
        <v>2670500</v>
      </c>
    </row>
    <row r="31" spans="2:64" x14ac:dyDescent="0.2">
      <c r="B31" s="9" t="s">
        <v>8566</v>
      </c>
      <c r="C31" s="9" t="s">
        <v>7611</v>
      </c>
      <c r="D31" s="13">
        <v>224000</v>
      </c>
      <c r="E31" s="13">
        <v>185000</v>
      </c>
      <c r="F31" s="13">
        <v>380000</v>
      </c>
      <c r="G31" s="13">
        <v>333000</v>
      </c>
      <c r="H31" s="13">
        <v>90000</v>
      </c>
      <c r="I31" s="13">
        <v>376000</v>
      </c>
      <c r="J31" s="13">
        <v>63000</v>
      </c>
      <c r="K31" s="13">
        <v>220000</v>
      </c>
      <c r="L31" s="13">
        <v>1104000</v>
      </c>
      <c r="M31" s="13"/>
      <c r="N31" s="13"/>
      <c r="O31" s="13">
        <v>162000</v>
      </c>
      <c r="P31" s="13">
        <v>3137000</v>
      </c>
      <c r="Q31" s="13"/>
      <c r="R31" s="13">
        <v>706000</v>
      </c>
      <c r="S31" s="13">
        <v>165000</v>
      </c>
      <c r="T31" s="13">
        <v>871000</v>
      </c>
      <c r="U31" s="13">
        <v>4008000</v>
      </c>
      <c r="X31" s="9" t="s">
        <v>61</v>
      </c>
      <c r="Y31" s="9" t="s">
        <v>7630</v>
      </c>
      <c r="Z31" s="13"/>
      <c r="AA31" s="13"/>
      <c r="AB31" s="13"/>
      <c r="AC31" s="13"/>
      <c r="AD31" s="13"/>
      <c r="AE31" s="13"/>
      <c r="AF31" s="13">
        <v>48500</v>
      </c>
      <c r="AG31" s="13">
        <v>112000</v>
      </c>
      <c r="AH31" s="13"/>
      <c r="AI31" s="13"/>
      <c r="AJ31" s="13"/>
      <c r="AK31" s="13"/>
      <c r="AL31" s="13">
        <v>160500</v>
      </c>
      <c r="AM31" s="13">
        <v>40000</v>
      </c>
      <c r="AN31" s="13"/>
      <c r="AO31" s="13"/>
      <c r="AP31" s="13">
        <v>40000</v>
      </c>
      <c r="AQ31" s="13">
        <v>200500</v>
      </c>
      <c r="AS31" s="9" t="s">
        <v>8583</v>
      </c>
      <c r="AT31" s="9"/>
      <c r="AU31" s="13">
        <v>564000</v>
      </c>
      <c r="AV31" s="13">
        <v>293000</v>
      </c>
      <c r="AW31" s="13">
        <v>245000</v>
      </c>
      <c r="AX31" s="13">
        <v>861000</v>
      </c>
      <c r="AY31" s="13">
        <v>711000</v>
      </c>
      <c r="AZ31" s="13">
        <v>1322000</v>
      </c>
      <c r="BA31" s="13">
        <v>507000</v>
      </c>
      <c r="BB31" s="13">
        <v>927500</v>
      </c>
      <c r="BC31" s="13">
        <v>1610000</v>
      </c>
      <c r="BD31" s="13">
        <v>1119870</v>
      </c>
      <c r="BE31" s="13">
        <v>860000</v>
      </c>
      <c r="BF31" s="13">
        <v>1566400</v>
      </c>
      <c r="BG31" s="13">
        <v>10586770</v>
      </c>
      <c r="BH31" s="13">
        <v>217000</v>
      </c>
      <c r="BI31" s="13">
        <v>711000</v>
      </c>
      <c r="BJ31" s="13">
        <v>1455500</v>
      </c>
      <c r="BK31" s="13">
        <v>2383500</v>
      </c>
      <c r="BL31" s="13">
        <v>12970270</v>
      </c>
    </row>
    <row r="32" spans="2:64" x14ac:dyDescent="0.2">
      <c r="B32" s="9" t="s">
        <v>8566</v>
      </c>
      <c r="C32" s="9" t="s">
        <v>7615</v>
      </c>
      <c r="D32" s="13"/>
      <c r="E32" s="13"/>
      <c r="F32" s="13"/>
      <c r="G32" s="13">
        <v>615000</v>
      </c>
      <c r="H32" s="13">
        <v>133000</v>
      </c>
      <c r="I32" s="13">
        <v>45000</v>
      </c>
      <c r="J32" s="13">
        <v>98000</v>
      </c>
      <c r="K32" s="13">
        <v>55000</v>
      </c>
      <c r="L32" s="13">
        <v>318000</v>
      </c>
      <c r="M32" s="13"/>
      <c r="N32" s="13">
        <v>170000</v>
      </c>
      <c r="O32" s="13">
        <v>361000</v>
      </c>
      <c r="P32" s="13">
        <v>1795000</v>
      </c>
      <c r="Q32" s="13">
        <v>181000</v>
      </c>
      <c r="R32" s="13"/>
      <c r="S32" s="13">
        <v>93000</v>
      </c>
      <c r="T32" s="13">
        <v>274000</v>
      </c>
      <c r="U32" s="13">
        <v>2069000</v>
      </c>
      <c r="X32" s="9" t="s">
        <v>61</v>
      </c>
      <c r="Y32" s="9" t="s">
        <v>7632</v>
      </c>
      <c r="Z32" s="13"/>
      <c r="AA32" s="13"/>
      <c r="AB32" s="13"/>
      <c r="AC32" s="13"/>
      <c r="AD32" s="13"/>
      <c r="AE32" s="13">
        <v>58000</v>
      </c>
      <c r="AF32" s="13"/>
      <c r="AG32" s="13"/>
      <c r="AH32" s="13"/>
      <c r="AI32" s="13"/>
      <c r="AJ32" s="13"/>
      <c r="AK32" s="13"/>
      <c r="AL32" s="13">
        <v>58000</v>
      </c>
      <c r="AM32" s="13"/>
      <c r="AN32" s="13"/>
      <c r="AO32" s="13"/>
      <c r="AP32" s="13"/>
      <c r="AQ32" s="13">
        <v>58000</v>
      </c>
      <c r="AS32" s="9" t="s">
        <v>2934</v>
      </c>
      <c r="AT32" s="9" t="s">
        <v>7594</v>
      </c>
      <c r="AU32" s="13"/>
      <c r="AV32" s="13"/>
      <c r="AW32" s="13"/>
      <c r="AX32" s="13">
        <v>229000</v>
      </c>
      <c r="AY32" s="13"/>
      <c r="AZ32" s="13"/>
      <c r="BA32" s="13">
        <v>190000</v>
      </c>
      <c r="BB32" s="13"/>
      <c r="BC32" s="13"/>
      <c r="BD32" s="13"/>
      <c r="BE32" s="13"/>
      <c r="BF32" s="13">
        <v>135000</v>
      </c>
      <c r="BG32" s="13">
        <v>554000</v>
      </c>
      <c r="BH32" s="13"/>
      <c r="BI32" s="13"/>
      <c r="BJ32" s="13"/>
      <c r="BK32" s="13"/>
      <c r="BL32" s="13">
        <v>554000</v>
      </c>
    </row>
    <row r="33" spans="2:64" x14ac:dyDescent="0.2">
      <c r="B33" s="9" t="s">
        <v>8566</v>
      </c>
      <c r="C33" s="9" t="s">
        <v>7617</v>
      </c>
      <c r="D33" s="13"/>
      <c r="E33" s="13">
        <v>157500</v>
      </c>
      <c r="F33" s="13"/>
      <c r="G33" s="13"/>
      <c r="H33" s="13">
        <v>72000</v>
      </c>
      <c r="I33" s="13">
        <v>241000</v>
      </c>
      <c r="J33" s="13"/>
      <c r="K33" s="13">
        <v>620000</v>
      </c>
      <c r="L33" s="13">
        <v>66000</v>
      </c>
      <c r="M33" s="13">
        <v>40000</v>
      </c>
      <c r="N33" s="13">
        <v>115000</v>
      </c>
      <c r="O33" s="13">
        <v>187000</v>
      </c>
      <c r="P33" s="13">
        <v>1498500</v>
      </c>
      <c r="Q33" s="13">
        <v>100000</v>
      </c>
      <c r="R33" s="13"/>
      <c r="S33" s="13">
        <v>89000</v>
      </c>
      <c r="T33" s="13">
        <v>189000</v>
      </c>
      <c r="U33" s="13">
        <v>1687500</v>
      </c>
      <c r="X33" s="9" t="s">
        <v>8583</v>
      </c>
      <c r="Y33" s="9"/>
      <c r="Z33" s="13">
        <v>600500</v>
      </c>
      <c r="AA33" s="13">
        <v>357000</v>
      </c>
      <c r="AB33" s="13">
        <v>495000</v>
      </c>
      <c r="AC33" s="13">
        <v>908000</v>
      </c>
      <c r="AD33" s="13">
        <v>776000</v>
      </c>
      <c r="AE33" s="13">
        <v>1426000</v>
      </c>
      <c r="AF33" s="13">
        <v>730000</v>
      </c>
      <c r="AG33" s="13">
        <v>1315300</v>
      </c>
      <c r="AH33" s="13">
        <v>1741000</v>
      </c>
      <c r="AI33" s="13">
        <v>1300870</v>
      </c>
      <c r="AJ33" s="13">
        <v>860000</v>
      </c>
      <c r="AK33" s="13">
        <v>1631400</v>
      </c>
      <c r="AL33" s="13">
        <v>12141070</v>
      </c>
      <c r="AM33" s="13">
        <v>426000</v>
      </c>
      <c r="AN33" s="13">
        <v>711000</v>
      </c>
      <c r="AO33" s="13">
        <v>1609500</v>
      </c>
      <c r="AP33" s="13">
        <v>2746500</v>
      </c>
      <c r="AQ33" s="13">
        <v>14887570</v>
      </c>
      <c r="AS33" s="9" t="s">
        <v>2934</v>
      </c>
      <c r="AT33" s="9" t="s">
        <v>7626</v>
      </c>
      <c r="AU33" s="13"/>
      <c r="AV33" s="13"/>
      <c r="AW33" s="13"/>
      <c r="AX33" s="13"/>
      <c r="AY33" s="13"/>
      <c r="AZ33" s="13">
        <v>99000</v>
      </c>
      <c r="BA33" s="13"/>
      <c r="BB33" s="13"/>
      <c r="BC33" s="13"/>
      <c r="BD33" s="13"/>
      <c r="BE33" s="13"/>
      <c r="BF33" s="13"/>
      <c r="BG33" s="13">
        <v>99000</v>
      </c>
      <c r="BH33" s="13"/>
      <c r="BI33" s="13"/>
      <c r="BJ33" s="13"/>
      <c r="BK33" s="13"/>
      <c r="BL33" s="13">
        <v>99000</v>
      </c>
    </row>
    <row r="34" spans="2:64" x14ac:dyDescent="0.2">
      <c r="B34" s="9" t="s">
        <v>8566</v>
      </c>
      <c r="C34" s="9" t="s">
        <v>7621</v>
      </c>
      <c r="D34" s="13">
        <v>152000</v>
      </c>
      <c r="E34" s="13">
        <v>180000</v>
      </c>
      <c r="F34" s="13"/>
      <c r="G34" s="13">
        <v>53000</v>
      </c>
      <c r="H34" s="13"/>
      <c r="I34" s="13">
        <v>90000</v>
      </c>
      <c r="J34" s="13">
        <v>40000</v>
      </c>
      <c r="K34" s="13">
        <v>204000</v>
      </c>
      <c r="L34" s="13">
        <v>60000</v>
      </c>
      <c r="M34" s="13"/>
      <c r="N34" s="13"/>
      <c r="O34" s="13">
        <v>135200</v>
      </c>
      <c r="P34" s="13">
        <v>914200</v>
      </c>
      <c r="Q34" s="13">
        <v>266000</v>
      </c>
      <c r="R34" s="13">
        <v>93000</v>
      </c>
      <c r="S34" s="13">
        <v>124500</v>
      </c>
      <c r="T34" s="13">
        <v>483500</v>
      </c>
      <c r="U34" s="13">
        <v>1397700</v>
      </c>
      <c r="X34" s="9" t="s">
        <v>2934</v>
      </c>
      <c r="Y34" s="9" t="s">
        <v>7594</v>
      </c>
      <c r="Z34" s="13">
        <v>45000</v>
      </c>
      <c r="AA34" s="13"/>
      <c r="AB34" s="13"/>
      <c r="AC34" s="13">
        <v>229000</v>
      </c>
      <c r="AD34" s="13"/>
      <c r="AE34" s="13"/>
      <c r="AF34" s="13">
        <v>190000</v>
      </c>
      <c r="AG34" s="13"/>
      <c r="AH34" s="13"/>
      <c r="AI34" s="13"/>
      <c r="AJ34" s="13"/>
      <c r="AK34" s="13">
        <v>135000</v>
      </c>
      <c r="AL34" s="13">
        <v>599000</v>
      </c>
      <c r="AM34" s="13"/>
      <c r="AN34" s="13"/>
      <c r="AO34" s="13">
        <v>58000</v>
      </c>
      <c r="AP34" s="13">
        <v>58000</v>
      </c>
      <c r="AQ34" s="13">
        <v>657000</v>
      </c>
      <c r="AS34" s="9" t="s">
        <v>8584</v>
      </c>
      <c r="AT34" s="9"/>
      <c r="AU34" s="13"/>
      <c r="AV34" s="13"/>
      <c r="AW34" s="13"/>
      <c r="AX34" s="13">
        <v>229000</v>
      </c>
      <c r="AY34" s="13"/>
      <c r="AZ34" s="13">
        <v>99000</v>
      </c>
      <c r="BA34" s="13">
        <v>190000</v>
      </c>
      <c r="BB34" s="13"/>
      <c r="BC34" s="13"/>
      <c r="BD34" s="13"/>
      <c r="BE34" s="13"/>
      <c r="BF34" s="13">
        <v>135000</v>
      </c>
      <c r="BG34" s="13">
        <v>653000</v>
      </c>
      <c r="BH34" s="13"/>
      <c r="BI34" s="13"/>
      <c r="BJ34" s="13"/>
      <c r="BK34" s="13"/>
      <c r="BL34" s="13">
        <v>653000</v>
      </c>
    </row>
    <row r="35" spans="2:64" x14ac:dyDescent="0.2">
      <c r="B35" s="9" t="s">
        <v>8566</v>
      </c>
      <c r="C35" s="9" t="s">
        <v>7626</v>
      </c>
      <c r="D35" s="13">
        <v>860200</v>
      </c>
      <c r="E35" s="13">
        <v>562000</v>
      </c>
      <c r="F35" s="13">
        <v>1622000</v>
      </c>
      <c r="G35" s="13">
        <v>2362500</v>
      </c>
      <c r="H35" s="13">
        <v>1550622</v>
      </c>
      <c r="I35" s="13">
        <v>994500</v>
      </c>
      <c r="J35" s="13">
        <v>1010733</v>
      </c>
      <c r="K35" s="13">
        <v>525500</v>
      </c>
      <c r="L35" s="13">
        <v>963000</v>
      </c>
      <c r="M35" s="13">
        <v>771000</v>
      </c>
      <c r="N35" s="13">
        <v>431000</v>
      </c>
      <c r="O35" s="13">
        <v>50000</v>
      </c>
      <c r="P35" s="13">
        <v>11703055</v>
      </c>
      <c r="Q35" s="13">
        <v>290000</v>
      </c>
      <c r="R35" s="13">
        <v>238000</v>
      </c>
      <c r="S35" s="13">
        <v>97000</v>
      </c>
      <c r="T35" s="13">
        <v>625000</v>
      </c>
      <c r="U35" s="13">
        <v>12328055</v>
      </c>
      <c r="X35" s="9" t="s">
        <v>2934</v>
      </c>
      <c r="Y35" s="9" t="s">
        <v>7626</v>
      </c>
      <c r="Z35" s="13"/>
      <c r="AA35" s="13"/>
      <c r="AB35" s="13"/>
      <c r="AC35" s="13"/>
      <c r="AD35" s="13"/>
      <c r="AE35" s="13">
        <v>99000</v>
      </c>
      <c r="AF35" s="13"/>
      <c r="AG35" s="13"/>
      <c r="AH35" s="13"/>
      <c r="AI35" s="13"/>
      <c r="AJ35" s="13"/>
      <c r="AK35" s="13"/>
      <c r="AL35" s="13">
        <v>99000</v>
      </c>
      <c r="AM35" s="13"/>
      <c r="AN35" s="13"/>
      <c r="AO35" s="13"/>
      <c r="AP35" s="13"/>
      <c r="AQ35" s="13">
        <v>99000</v>
      </c>
      <c r="AS35" s="9" t="s">
        <v>26</v>
      </c>
      <c r="AT35" s="9" t="s">
        <v>7594</v>
      </c>
      <c r="AU35" s="13">
        <v>372000</v>
      </c>
      <c r="AV35" s="13">
        <v>327000</v>
      </c>
      <c r="AW35" s="13">
        <v>669000</v>
      </c>
      <c r="AX35" s="13">
        <v>385000</v>
      </c>
      <c r="AY35" s="13">
        <v>148000</v>
      </c>
      <c r="AZ35" s="13">
        <v>750000</v>
      </c>
      <c r="BA35" s="13">
        <v>371800</v>
      </c>
      <c r="BB35" s="13">
        <v>350000</v>
      </c>
      <c r="BC35" s="13">
        <v>71500</v>
      </c>
      <c r="BD35" s="13">
        <v>167000</v>
      </c>
      <c r="BE35" s="13">
        <v>550000</v>
      </c>
      <c r="BF35" s="13">
        <v>150000</v>
      </c>
      <c r="BG35" s="13">
        <v>4311300</v>
      </c>
      <c r="BH35" s="13">
        <v>675600</v>
      </c>
      <c r="BI35" s="13">
        <v>85000</v>
      </c>
      <c r="BJ35" s="13">
        <v>426000</v>
      </c>
      <c r="BK35" s="13">
        <v>1186600</v>
      </c>
      <c r="BL35" s="13">
        <v>5497900</v>
      </c>
    </row>
    <row r="36" spans="2:64" x14ac:dyDescent="0.2">
      <c r="B36" s="9" t="s">
        <v>8566</v>
      </c>
      <c r="C36" s="9" t="s">
        <v>7630</v>
      </c>
      <c r="D36" s="13"/>
      <c r="E36" s="13"/>
      <c r="F36" s="13">
        <v>150000</v>
      </c>
      <c r="G36" s="13"/>
      <c r="H36" s="13"/>
      <c r="I36" s="13"/>
      <c r="J36" s="13"/>
      <c r="K36" s="13">
        <v>172000</v>
      </c>
      <c r="L36" s="13"/>
      <c r="M36" s="13"/>
      <c r="N36" s="13">
        <v>335000</v>
      </c>
      <c r="O36" s="13">
        <v>131000</v>
      </c>
      <c r="P36" s="13">
        <v>788000</v>
      </c>
      <c r="Q36" s="13"/>
      <c r="R36" s="13"/>
      <c r="S36" s="13">
        <v>69000</v>
      </c>
      <c r="T36" s="13">
        <v>69000</v>
      </c>
      <c r="U36" s="13">
        <v>857000</v>
      </c>
      <c r="X36" s="9" t="s">
        <v>8584</v>
      </c>
      <c r="Y36" s="9"/>
      <c r="Z36" s="13">
        <v>45000</v>
      </c>
      <c r="AA36" s="13"/>
      <c r="AB36" s="13"/>
      <c r="AC36" s="13">
        <v>229000</v>
      </c>
      <c r="AD36" s="13"/>
      <c r="AE36" s="13">
        <v>99000</v>
      </c>
      <c r="AF36" s="13">
        <v>190000</v>
      </c>
      <c r="AG36" s="13"/>
      <c r="AH36" s="13"/>
      <c r="AI36" s="13"/>
      <c r="AJ36" s="13"/>
      <c r="AK36" s="13">
        <v>135000</v>
      </c>
      <c r="AL36" s="13">
        <v>698000</v>
      </c>
      <c r="AM36" s="13"/>
      <c r="AN36" s="13"/>
      <c r="AO36" s="13">
        <v>58000</v>
      </c>
      <c r="AP36" s="13">
        <v>58000</v>
      </c>
      <c r="AQ36" s="13">
        <v>756000</v>
      </c>
      <c r="AS36" s="9" t="s">
        <v>26</v>
      </c>
      <c r="AT36" s="9" t="s">
        <v>7626</v>
      </c>
      <c r="AU36" s="13">
        <v>530010</v>
      </c>
      <c r="AV36" s="13">
        <v>665000</v>
      </c>
      <c r="AW36" s="13">
        <v>500000</v>
      </c>
      <c r="AX36" s="13">
        <v>915000</v>
      </c>
      <c r="AY36" s="13">
        <v>134540</v>
      </c>
      <c r="AZ36" s="13">
        <v>170000</v>
      </c>
      <c r="BA36" s="13"/>
      <c r="BB36" s="13">
        <v>160000</v>
      </c>
      <c r="BC36" s="13">
        <v>1547100</v>
      </c>
      <c r="BD36" s="13">
        <v>82350</v>
      </c>
      <c r="BE36" s="13">
        <v>508578</v>
      </c>
      <c r="BF36" s="13"/>
      <c r="BG36" s="13">
        <v>5212578</v>
      </c>
      <c r="BH36" s="13">
        <v>428500</v>
      </c>
      <c r="BI36" s="13">
        <v>205000</v>
      </c>
      <c r="BJ36" s="13">
        <v>125000</v>
      </c>
      <c r="BK36" s="13">
        <v>758500</v>
      </c>
      <c r="BL36" s="13">
        <v>5971078</v>
      </c>
    </row>
    <row r="37" spans="2:64" x14ac:dyDescent="0.2">
      <c r="B37" s="9" t="s">
        <v>8566</v>
      </c>
      <c r="C37" s="9" t="s">
        <v>7632</v>
      </c>
      <c r="D37" s="13"/>
      <c r="E37" s="13"/>
      <c r="F37" s="13">
        <v>221000</v>
      </c>
      <c r="G37" s="13">
        <v>46500</v>
      </c>
      <c r="H37" s="13">
        <v>355000</v>
      </c>
      <c r="I37" s="13">
        <v>240500</v>
      </c>
      <c r="J37" s="13"/>
      <c r="K37" s="13"/>
      <c r="L37" s="13"/>
      <c r="M37" s="13">
        <v>462500</v>
      </c>
      <c r="N37" s="13"/>
      <c r="O37" s="13">
        <v>179000</v>
      </c>
      <c r="P37" s="13">
        <v>1504500</v>
      </c>
      <c r="Q37" s="13"/>
      <c r="R37" s="13">
        <v>36000</v>
      </c>
      <c r="S37" s="13">
        <v>255900</v>
      </c>
      <c r="T37" s="13">
        <v>291900</v>
      </c>
      <c r="U37" s="13">
        <v>1796400</v>
      </c>
      <c r="X37" s="9" t="s">
        <v>26</v>
      </c>
      <c r="Y37" s="9" t="s">
        <v>7594</v>
      </c>
      <c r="Z37" s="13">
        <v>372000</v>
      </c>
      <c r="AA37" s="13">
        <v>391000</v>
      </c>
      <c r="AB37" s="13">
        <v>720000</v>
      </c>
      <c r="AC37" s="13">
        <v>433500</v>
      </c>
      <c r="AD37" s="13">
        <v>211500</v>
      </c>
      <c r="AE37" s="13">
        <v>750000</v>
      </c>
      <c r="AF37" s="13">
        <v>426750</v>
      </c>
      <c r="AG37" s="13">
        <v>350000</v>
      </c>
      <c r="AH37" s="13">
        <v>120500</v>
      </c>
      <c r="AI37" s="13">
        <v>224000</v>
      </c>
      <c r="AJ37" s="13">
        <v>550000</v>
      </c>
      <c r="AK37" s="13">
        <v>186000</v>
      </c>
      <c r="AL37" s="13">
        <v>4735250</v>
      </c>
      <c r="AM37" s="13">
        <v>675600</v>
      </c>
      <c r="AN37" s="13">
        <v>85000</v>
      </c>
      <c r="AO37" s="13">
        <v>1891906</v>
      </c>
      <c r="AP37" s="13">
        <v>2652506</v>
      </c>
      <c r="AQ37" s="13">
        <v>7387756</v>
      </c>
      <c r="AS37" s="9" t="s">
        <v>8585</v>
      </c>
      <c r="AT37" s="9"/>
      <c r="AU37" s="13">
        <v>902010</v>
      </c>
      <c r="AV37" s="13">
        <v>992000</v>
      </c>
      <c r="AW37" s="13">
        <v>1169000</v>
      </c>
      <c r="AX37" s="13">
        <v>1300000</v>
      </c>
      <c r="AY37" s="13">
        <v>282540</v>
      </c>
      <c r="AZ37" s="13">
        <v>920000</v>
      </c>
      <c r="BA37" s="13">
        <v>371800</v>
      </c>
      <c r="BB37" s="13">
        <v>510000</v>
      </c>
      <c r="BC37" s="13">
        <v>1618600</v>
      </c>
      <c r="BD37" s="13">
        <v>249350</v>
      </c>
      <c r="BE37" s="13">
        <v>1058578</v>
      </c>
      <c r="BF37" s="13">
        <v>150000</v>
      </c>
      <c r="BG37" s="13">
        <v>9523878</v>
      </c>
      <c r="BH37" s="13">
        <v>1104100</v>
      </c>
      <c r="BI37" s="13">
        <v>290000</v>
      </c>
      <c r="BJ37" s="13">
        <v>551000</v>
      </c>
      <c r="BK37" s="13">
        <v>1945100</v>
      </c>
      <c r="BL37" s="13">
        <v>11468978</v>
      </c>
    </row>
    <row r="38" spans="2:64" x14ac:dyDescent="0.2">
      <c r="B38" s="9" t="s">
        <v>8571</v>
      </c>
      <c r="D38" s="13">
        <v>1900200</v>
      </c>
      <c r="E38" s="13">
        <v>3411500</v>
      </c>
      <c r="F38" s="13">
        <v>3849500</v>
      </c>
      <c r="G38" s="13">
        <v>5215500</v>
      </c>
      <c r="H38" s="13">
        <v>4393622</v>
      </c>
      <c r="I38" s="13">
        <v>4380100</v>
      </c>
      <c r="J38" s="13">
        <v>4791233</v>
      </c>
      <c r="K38" s="13">
        <v>5239500</v>
      </c>
      <c r="L38" s="13">
        <v>6860815</v>
      </c>
      <c r="M38" s="13">
        <v>4508500</v>
      </c>
      <c r="N38" s="13">
        <v>3649000</v>
      </c>
      <c r="O38" s="13">
        <v>6306100</v>
      </c>
      <c r="P38" s="13">
        <v>54505570</v>
      </c>
      <c r="Q38" s="13">
        <v>2354500</v>
      </c>
      <c r="R38" s="13">
        <v>3096000</v>
      </c>
      <c r="S38" s="13">
        <v>3499400</v>
      </c>
      <c r="T38" s="13">
        <v>8949900</v>
      </c>
      <c r="U38" s="13">
        <v>63455470</v>
      </c>
      <c r="X38" s="9" t="s">
        <v>26</v>
      </c>
      <c r="Y38" s="9" t="s">
        <v>7626</v>
      </c>
      <c r="Z38" s="13">
        <v>573330</v>
      </c>
      <c r="AA38" s="13">
        <v>665000</v>
      </c>
      <c r="AB38" s="13">
        <v>537000</v>
      </c>
      <c r="AC38" s="13">
        <v>1004500</v>
      </c>
      <c r="AD38" s="13">
        <v>221540</v>
      </c>
      <c r="AE38" s="13">
        <v>170000</v>
      </c>
      <c r="AF38" s="13">
        <v>42000</v>
      </c>
      <c r="AG38" s="13">
        <v>217000</v>
      </c>
      <c r="AH38" s="13">
        <v>1594650</v>
      </c>
      <c r="AI38" s="13">
        <v>82350</v>
      </c>
      <c r="AJ38" s="13">
        <v>567023</v>
      </c>
      <c r="AK38" s="13"/>
      <c r="AL38" s="13">
        <v>5674393</v>
      </c>
      <c r="AM38" s="13">
        <v>428500</v>
      </c>
      <c r="AN38" s="13">
        <v>205000</v>
      </c>
      <c r="AO38" s="13">
        <v>223000</v>
      </c>
      <c r="AP38" s="13">
        <v>856500</v>
      </c>
      <c r="AQ38" s="13">
        <v>6530893</v>
      </c>
      <c r="AS38" s="27" t="s">
        <v>8562</v>
      </c>
      <c r="AU38" s="13">
        <v>8639099</v>
      </c>
      <c r="AV38" s="13">
        <v>8452484</v>
      </c>
      <c r="AW38" s="13">
        <v>11709589</v>
      </c>
      <c r="AX38" s="13">
        <v>15049400</v>
      </c>
      <c r="AY38" s="13">
        <v>13552610</v>
      </c>
      <c r="AZ38" s="13">
        <v>15069750</v>
      </c>
      <c r="BA38" s="13">
        <v>14554928</v>
      </c>
      <c r="BB38" s="13">
        <v>14151430</v>
      </c>
      <c r="BC38" s="13">
        <v>12307980</v>
      </c>
      <c r="BD38" s="13">
        <v>12757176</v>
      </c>
      <c r="BE38" s="13">
        <v>9038108</v>
      </c>
      <c r="BF38" s="13">
        <v>11016582</v>
      </c>
      <c r="BG38" s="13">
        <v>146299136</v>
      </c>
      <c r="BH38" s="13">
        <v>11670350</v>
      </c>
      <c r="BI38" s="13">
        <v>10704297</v>
      </c>
      <c r="BJ38" s="13">
        <v>15163000</v>
      </c>
      <c r="BK38" s="13">
        <v>37537647</v>
      </c>
      <c r="BL38" s="13">
        <v>183836783</v>
      </c>
    </row>
    <row r="39" spans="2:64" x14ac:dyDescent="0.2">
      <c r="B39" s="9" t="s">
        <v>8562</v>
      </c>
      <c r="D39" s="13">
        <v>16402341</v>
      </c>
      <c r="E39" s="13">
        <v>17392628</v>
      </c>
      <c r="F39" s="13">
        <v>20793899</v>
      </c>
      <c r="G39" s="13">
        <v>28262159</v>
      </c>
      <c r="H39" s="13">
        <v>28727234</v>
      </c>
      <c r="I39" s="13">
        <v>27962817</v>
      </c>
      <c r="J39" s="13">
        <v>29721721</v>
      </c>
      <c r="K39" s="13">
        <v>31988810</v>
      </c>
      <c r="L39" s="13">
        <v>30488611</v>
      </c>
      <c r="M39" s="13">
        <v>33531526</v>
      </c>
      <c r="N39" s="13">
        <v>21589719</v>
      </c>
      <c r="O39" s="13">
        <v>32989167</v>
      </c>
      <c r="P39" s="13">
        <v>319850632</v>
      </c>
      <c r="Q39" s="13">
        <v>20955375</v>
      </c>
      <c r="R39" s="13">
        <v>22040697</v>
      </c>
      <c r="S39" s="13">
        <v>36289595</v>
      </c>
      <c r="T39" s="13">
        <v>79285667</v>
      </c>
      <c r="U39" s="13">
        <v>399136299</v>
      </c>
      <c r="X39" s="9" t="s">
        <v>8585</v>
      </c>
      <c r="Y39" s="9"/>
      <c r="Z39" s="13">
        <v>945330</v>
      </c>
      <c r="AA39" s="13">
        <v>1056000</v>
      </c>
      <c r="AB39" s="13">
        <v>1257000</v>
      </c>
      <c r="AC39" s="13">
        <v>1438000</v>
      </c>
      <c r="AD39" s="13">
        <v>433040</v>
      </c>
      <c r="AE39" s="13">
        <v>920000</v>
      </c>
      <c r="AF39" s="13">
        <v>468750</v>
      </c>
      <c r="AG39" s="13">
        <v>567000</v>
      </c>
      <c r="AH39" s="13">
        <v>1715150</v>
      </c>
      <c r="AI39" s="13">
        <v>306350</v>
      </c>
      <c r="AJ39" s="13">
        <v>1117023</v>
      </c>
      <c r="AK39" s="13">
        <v>186000</v>
      </c>
      <c r="AL39" s="13">
        <v>10409643</v>
      </c>
      <c r="AM39" s="13">
        <v>1104100</v>
      </c>
      <c r="AN39" s="13">
        <v>290000</v>
      </c>
      <c r="AO39" s="13">
        <v>2114906</v>
      </c>
      <c r="AP39" s="13">
        <v>3509006</v>
      </c>
      <c r="AQ39" s="13">
        <v>13918649</v>
      </c>
      <c r="AS39"/>
      <c r="AT39"/>
      <c r="AU39"/>
      <c r="AV39"/>
      <c r="AW39"/>
      <c r="AX39"/>
      <c r="AY39"/>
      <c r="AZ39"/>
      <c r="BA39"/>
      <c r="BB39"/>
      <c r="BC39"/>
      <c r="BD39"/>
      <c r="BE39"/>
      <c r="BF39"/>
      <c r="BG39"/>
      <c r="BH39"/>
      <c r="BI39"/>
      <c r="BJ39"/>
      <c r="BK39"/>
      <c r="BL39"/>
    </row>
    <row r="40" spans="2:64" x14ac:dyDescent="0.2">
      <c r="X40" s="27" t="s">
        <v>8562</v>
      </c>
      <c r="Z40" s="13">
        <v>9062919</v>
      </c>
      <c r="AA40" s="13">
        <v>9046484</v>
      </c>
      <c r="AB40" s="13">
        <v>12607089</v>
      </c>
      <c r="AC40" s="13">
        <v>15981400</v>
      </c>
      <c r="AD40" s="13">
        <v>14357610</v>
      </c>
      <c r="AE40" s="13">
        <v>16844750</v>
      </c>
      <c r="AF40" s="13">
        <v>16210878</v>
      </c>
      <c r="AG40" s="13">
        <v>15282730</v>
      </c>
      <c r="AH40" s="13">
        <v>13505530</v>
      </c>
      <c r="AI40" s="13">
        <v>13949176</v>
      </c>
      <c r="AJ40" s="13">
        <v>10082989</v>
      </c>
      <c r="AK40" s="13">
        <v>13140282</v>
      </c>
      <c r="AL40" s="13">
        <v>160071837</v>
      </c>
      <c r="AM40" s="13">
        <v>12499750</v>
      </c>
      <c r="AN40" s="13">
        <v>11538797</v>
      </c>
      <c r="AO40" s="13">
        <v>17696406</v>
      </c>
      <c r="AP40" s="13">
        <v>41734953</v>
      </c>
      <c r="AQ40" s="13">
        <v>201806790</v>
      </c>
      <c r="AS40"/>
      <c r="AT40"/>
      <c r="AU40"/>
      <c r="AV40"/>
      <c r="AW40"/>
      <c r="AX40"/>
      <c r="AY40"/>
      <c r="AZ40"/>
      <c r="BA40"/>
      <c r="BB40"/>
      <c r="BC40"/>
      <c r="BD40"/>
      <c r="BE40"/>
      <c r="BF40"/>
      <c r="BG40"/>
      <c r="BH40"/>
      <c r="BI40"/>
      <c r="BJ40"/>
      <c r="BK40"/>
      <c r="BL40"/>
    </row>
    <row r="42" spans="2:64" x14ac:dyDescent="0.2">
      <c r="B42" s="24" t="s">
        <v>2</v>
      </c>
      <c r="C42" s="9" t="s">
        <v>8573</v>
      </c>
    </row>
    <row r="43" spans="2:64" x14ac:dyDescent="0.2">
      <c r="B43" s="24" t="s">
        <v>8592</v>
      </c>
      <c r="C43" s="9" t="s">
        <v>8572</v>
      </c>
    </row>
    <row r="44" spans="2:64" x14ac:dyDescent="0.2">
      <c r="Z44" s="25">
        <f>Z6</f>
        <v>2025</v>
      </c>
      <c r="AA44" s="25">
        <f t="shared" ref="AA44:AQ44" si="0">AA6</f>
        <v>2025</v>
      </c>
      <c r="AB44" s="25">
        <f t="shared" si="0"/>
        <v>2025</v>
      </c>
      <c r="AC44" s="25">
        <f t="shared" si="0"/>
        <v>2025</v>
      </c>
      <c r="AD44" s="25">
        <f t="shared" si="0"/>
        <v>2025</v>
      </c>
      <c r="AE44" s="25">
        <f t="shared" si="0"/>
        <v>2025</v>
      </c>
      <c r="AF44" s="25">
        <f t="shared" si="0"/>
        <v>2025</v>
      </c>
      <c r="AG44" s="25">
        <f t="shared" si="0"/>
        <v>2025</v>
      </c>
      <c r="AH44" s="25">
        <f t="shared" si="0"/>
        <v>2025</v>
      </c>
      <c r="AI44" s="25">
        <f t="shared" si="0"/>
        <v>2025</v>
      </c>
      <c r="AJ44" s="25">
        <f t="shared" si="0"/>
        <v>2025</v>
      </c>
      <c r="AK44" s="25">
        <f t="shared" si="0"/>
        <v>2025</v>
      </c>
      <c r="AL44" s="31" t="str">
        <f t="shared" si="0"/>
        <v>Total 2025</v>
      </c>
      <c r="AM44" s="25">
        <f t="shared" si="0"/>
        <v>2026</v>
      </c>
      <c r="AN44" s="25">
        <f t="shared" si="0"/>
        <v>2026</v>
      </c>
      <c r="AO44" s="25">
        <f t="shared" si="0"/>
        <v>2026</v>
      </c>
      <c r="AP44" s="31" t="str">
        <f t="shared" si="0"/>
        <v>Total 2026</v>
      </c>
      <c r="AQ44" s="31" t="str">
        <f t="shared" si="0"/>
        <v>Total general</v>
      </c>
      <c r="AU44" s="25">
        <f>AU6</f>
        <v>2025</v>
      </c>
      <c r="AV44" s="25">
        <f t="shared" ref="AV44:BL44" si="1">AV6</f>
        <v>2025</v>
      </c>
      <c r="AW44" s="25">
        <f t="shared" si="1"/>
        <v>2025</v>
      </c>
      <c r="AX44" s="25">
        <f t="shared" si="1"/>
        <v>2025</v>
      </c>
      <c r="AY44" s="25">
        <f t="shared" si="1"/>
        <v>2025</v>
      </c>
      <c r="AZ44" s="25">
        <f t="shared" si="1"/>
        <v>2025</v>
      </c>
      <c r="BA44" s="25">
        <f t="shared" si="1"/>
        <v>2025</v>
      </c>
      <c r="BB44" s="25">
        <f t="shared" si="1"/>
        <v>2025</v>
      </c>
      <c r="BC44" s="25">
        <f t="shared" si="1"/>
        <v>2025</v>
      </c>
      <c r="BD44" s="25">
        <f t="shared" si="1"/>
        <v>2025</v>
      </c>
      <c r="BE44" s="25">
        <f t="shared" si="1"/>
        <v>2025</v>
      </c>
      <c r="BF44" s="25">
        <f t="shared" si="1"/>
        <v>2025</v>
      </c>
      <c r="BG44" s="31" t="str">
        <f t="shared" si="1"/>
        <v>Total 2025</v>
      </c>
      <c r="BH44" s="25">
        <f t="shared" si="1"/>
        <v>2026</v>
      </c>
      <c r="BI44" s="25">
        <f t="shared" si="1"/>
        <v>2026</v>
      </c>
      <c r="BJ44" s="25">
        <f t="shared" si="1"/>
        <v>2026</v>
      </c>
      <c r="BK44" s="31" t="str">
        <f t="shared" si="1"/>
        <v>Total 2026</v>
      </c>
      <c r="BL44" s="31" t="str">
        <f t="shared" si="1"/>
        <v>Total general</v>
      </c>
    </row>
    <row r="45" spans="2:64" x14ac:dyDescent="0.2">
      <c r="B45" s="24" t="s">
        <v>8575</v>
      </c>
      <c r="D45" s="24" t="s">
        <v>8560</v>
      </c>
      <c r="E45" s="24" t="s">
        <v>8561</v>
      </c>
      <c r="X45" t="s">
        <v>8589</v>
      </c>
      <c r="Y45"/>
      <c r="Z45" s="25">
        <f>Z7</f>
        <v>1</v>
      </c>
      <c r="AA45" s="25">
        <f t="shared" ref="AA45:AQ45" si="2">AA7</f>
        <v>2</v>
      </c>
      <c r="AB45" s="25">
        <f t="shared" si="2"/>
        <v>3</v>
      </c>
      <c r="AC45" s="25">
        <f t="shared" si="2"/>
        <v>4</v>
      </c>
      <c r="AD45" s="25">
        <f t="shared" si="2"/>
        <v>5</v>
      </c>
      <c r="AE45" s="25">
        <f t="shared" si="2"/>
        <v>6</v>
      </c>
      <c r="AF45" s="25">
        <f t="shared" si="2"/>
        <v>7</v>
      </c>
      <c r="AG45" s="25">
        <f t="shared" si="2"/>
        <v>8</v>
      </c>
      <c r="AH45" s="25">
        <f t="shared" si="2"/>
        <v>9</v>
      </c>
      <c r="AI45" s="25">
        <f t="shared" si="2"/>
        <v>10</v>
      </c>
      <c r="AJ45" s="25">
        <f t="shared" si="2"/>
        <v>11</v>
      </c>
      <c r="AK45" s="25">
        <f t="shared" si="2"/>
        <v>12</v>
      </c>
      <c r="AL45" s="31">
        <f t="shared" si="2"/>
        <v>0</v>
      </c>
      <c r="AM45" s="25">
        <f t="shared" si="2"/>
        <v>1</v>
      </c>
      <c r="AN45" s="25">
        <f t="shared" si="2"/>
        <v>2</v>
      </c>
      <c r="AO45" s="25">
        <f t="shared" si="2"/>
        <v>3</v>
      </c>
      <c r="AP45" s="31">
        <f t="shared" si="2"/>
        <v>0</v>
      </c>
      <c r="AQ45" s="31">
        <f t="shared" si="2"/>
        <v>0</v>
      </c>
      <c r="AS45" t="s">
        <v>8589</v>
      </c>
      <c r="AT45"/>
      <c r="AU45" s="25">
        <f>AU7</f>
        <v>1</v>
      </c>
      <c r="AV45" s="25">
        <f t="shared" ref="AV45:BL45" si="3">AV7</f>
        <v>2</v>
      </c>
      <c r="AW45" s="25">
        <f t="shared" si="3"/>
        <v>3</v>
      </c>
      <c r="AX45" s="25">
        <f t="shared" si="3"/>
        <v>4</v>
      </c>
      <c r="AY45" s="25">
        <f t="shared" si="3"/>
        <v>5</v>
      </c>
      <c r="AZ45" s="25">
        <f t="shared" si="3"/>
        <v>6</v>
      </c>
      <c r="BA45" s="25">
        <f t="shared" si="3"/>
        <v>7</v>
      </c>
      <c r="BB45" s="25">
        <f t="shared" si="3"/>
        <v>8</v>
      </c>
      <c r="BC45" s="25">
        <f t="shared" si="3"/>
        <v>9</v>
      </c>
      <c r="BD45" s="25">
        <f t="shared" si="3"/>
        <v>10</v>
      </c>
      <c r="BE45" s="25">
        <f t="shared" si="3"/>
        <v>11</v>
      </c>
      <c r="BF45" s="25">
        <f t="shared" si="3"/>
        <v>12</v>
      </c>
      <c r="BG45" s="31">
        <f t="shared" si="3"/>
        <v>0</v>
      </c>
      <c r="BH45" s="25">
        <f t="shared" si="3"/>
        <v>1</v>
      </c>
      <c r="BI45" s="25">
        <f t="shared" si="3"/>
        <v>2</v>
      </c>
      <c r="BJ45" s="25">
        <f t="shared" si="3"/>
        <v>3</v>
      </c>
      <c r="BK45" s="31">
        <f t="shared" si="3"/>
        <v>0</v>
      </c>
      <c r="BL45" s="31">
        <f t="shared" si="3"/>
        <v>0</v>
      </c>
    </row>
    <row r="46" spans="2:64" x14ac:dyDescent="0.2">
      <c r="D46" s="25">
        <v>2025</v>
      </c>
      <c r="E46" s="25">
        <v>2025</v>
      </c>
      <c r="F46" s="25">
        <v>2025</v>
      </c>
      <c r="G46" s="25">
        <v>2025</v>
      </c>
      <c r="H46" s="25">
        <v>2025</v>
      </c>
      <c r="I46" s="25">
        <v>2025</v>
      </c>
      <c r="J46" s="25">
        <v>2025</v>
      </c>
      <c r="K46" s="25">
        <v>2025</v>
      </c>
      <c r="L46" s="25">
        <v>2025</v>
      </c>
      <c r="M46" s="25">
        <v>2025</v>
      </c>
      <c r="N46" s="25">
        <v>2025</v>
      </c>
      <c r="O46" s="25">
        <v>2025</v>
      </c>
      <c r="P46" s="25" t="s">
        <v>8563</v>
      </c>
      <c r="Q46" s="25">
        <v>2026</v>
      </c>
      <c r="R46" s="25">
        <v>2026</v>
      </c>
      <c r="S46" s="25">
        <v>2026</v>
      </c>
      <c r="T46" s="25" t="s">
        <v>8564</v>
      </c>
      <c r="U46" s="25" t="s">
        <v>8562</v>
      </c>
      <c r="X46" s="30" t="s">
        <v>8577</v>
      </c>
      <c r="Y46"/>
      <c r="Z46" s="13">
        <f t="shared" ref="Z46:AI49" si="4">VLOOKUP($X46,$X$8:$AQ$39,Z$4,FALSE)</f>
        <v>3139000</v>
      </c>
      <c r="AA46" s="13">
        <f t="shared" si="4"/>
        <v>1593000</v>
      </c>
      <c r="AB46" s="13">
        <f t="shared" si="4"/>
        <v>3165100</v>
      </c>
      <c r="AC46" s="13">
        <f t="shared" si="4"/>
        <v>3909400</v>
      </c>
      <c r="AD46" s="13">
        <f t="shared" si="4"/>
        <v>3137000</v>
      </c>
      <c r="AE46" s="13">
        <f t="shared" si="4"/>
        <v>6520000</v>
      </c>
      <c r="AF46" s="13">
        <f t="shared" si="4"/>
        <v>5359000</v>
      </c>
      <c r="AG46" s="13">
        <f t="shared" si="4"/>
        <v>3975500</v>
      </c>
      <c r="AH46" s="13">
        <f t="shared" si="4"/>
        <v>2815880</v>
      </c>
      <c r="AI46" s="13">
        <f t="shared" si="4"/>
        <v>2843000</v>
      </c>
      <c r="AJ46" s="13">
        <f t="shared" ref="AJ46:AQ49" si="5">VLOOKUP($X46,$X$8:$AQ$39,AJ$4,FALSE)</f>
        <v>2280730</v>
      </c>
      <c r="AK46" s="13">
        <f t="shared" si="5"/>
        <v>2153500</v>
      </c>
      <c r="AL46" s="32">
        <f t="shared" si="5"/>
        <v>40891110</v>
      </c>
      <c r="AM46" s="13">
        <f t="shared" si="5"/>
        <v>3613500</v>
      </c>
      <c r="AN46" s="13">
        <f t="shared" si="5"/>
        <v>3314850</v>
      </c>
      <c r="AO46" s="13">
        <f t="shared" si="5"/>
        <v>3405500</v>
      </c>
      <c r="AP46" s="32">
        <f t="shared" si="5"/>
        <v>10333850</v>
      </c>
      <c r="AQ46" s="32">
        <f t="shared" si="5"/>
        <v>51224960</v>
      </c>
      <c r="AS46" s="30" t="s">
        <v>8577</v>
      </c>
      <c r="AT46"/>
      <c r="AU46" s="13">
        <f>VLOOKUP($X46,$AS$8:$BL$39,AU$4,FALSE)</f>
        <v>3092000</v>
      </c>
      <c r="AV46" s="13">
        <f t="shared" ref="AV46:BK49" si="6">VLOOKUP($X46,$AS$8:$BL$39,AV$4,FALSE)</f>
        <v>1412000</v>
      </c>
      <c r="AW46" s="13">
        <f t="shared" si="6"/>
        <v>3100100</v>
      </c>
      <c r="AX46" s="13">
        <f t="shared" si="6"/>
        <v>3859400</v>
      </c>
      <c r="AY46" s="13">
        <f t="shared" si="6"/>
        <v>3091000</v>
      </c>
      <c r="AZ46" s="13">
        <f t="shared" si="6"/>
        <v>5245000</v>
      </c>
      <c r="BA46" s="13">
        <f t="shared" si="6"/>
        <v>5359000</v>
      </c>
      <c r="BB46" s="13">
        <f t="shared" si="6"/>
        <v>3928500</v>
      </c>
      <c r="BC46" s="13">
        <f t="shared" si="6"/>
        <v>2604880</v>
      </c>
      <c r="BD46" s="13">
        <f t="shared" si="6"/>
        <v>2843000</v>
      </c>
      <c r="BE46" s="13">
        <f t="shared" si="6"/>
        <v>2147730</v>
      </c>
      <c r="BF46" s="13">
        <f t="shared" si="6"/>
        <v>2052000</v>
      </c>
      <c r="BG46" s="32">
        <f t="shared" si="6"/>
        <v>38734610</v>
      </c>
      <c r="BH46" s="13">
        <f t="shared" si="6"/>
        <v>3613500</v>
      </c>
      <c r="BI46" s="13">
        <f t="shared" si="6"/>
        <v>3249850</v>
      </c>
      <c r="BJ46" s="13">
        <f t="shared" si="6"/>
        <v>3181500</v>
      </c>
      <c r="BK46" s="32">
        <f t="shared" si="6"/>
        <v>10044850</v>
      </c>
      <c r="BL46" s="32">
        <f t="shared" ref="BL46:BL49" si="7">VLOOKUP($X46,$AS$8:$BL$39,BL$4,FALSE)</f>
        <v>48779460</v>
      </c>
    </row>
    <row r="47" spans="2:64" x14ac:dyDescent="0.2">
      <c r="B47" s="24" t="s">
        <v>8568</v>
      </c>
      <c r="C47" s="24" t="s">
        <v>17</v>
      </c>
      <c r="D47" s="25">
        <v>1</v>
      </c>
      <c r="E47" s="25">
        <v>2</v>
      </c>
      <c r="F47" s="25">
        <v>3</v>
      </c>
      <c r="G47" s="25">
        <v>4</v>
      </c>
      <c r="H47" s="25">
        <v>5</v>
      </c>
      <c r="I47" s="25">
        <v>6</v>
      </c>
      <c r="J47" s="25">
        <v>7</v>
      </c>
      <c r="K47" s="25">
        <v>8</v>
      </c>
      <c r="L47" s="25">
        <v>9</v>
      </c>
      <c r="M47" s="25">
        <v>10</v>
      </c>
      <c r="N47" s="25">
        <v>11</v>
      </c>
      <c r="O47" s="25">
        <v>12</v>
      </c>
      <c r="Q47" s="25">
        <v>1</v>
      </c>
      <c r="R47" s="25">
        <v>2</v>
      </c>
      <c r="S47" s="25">
        <v>3</v>
      </c>
      <c r="X47" s="30" t="s">
        <v>8578</v>
      </c>
      <c r="Y47"/>
      <c r="Z47" s="13">
        <f t="shared" si="4"/>
        <v>4208089</v>
      </c>
      <c r="AA47" s="13">
        <f t="shared" si="4"/>
        <v>5612984</v>
      </c>
      <c r="AB47" s="13">
        <f t="shared" si="4"/>
        <v>7689989</v>
      </c>
      <c r="AC47" s="13">
        <f t="shared" si="4"/>
        <v>9369500</v>
      </c>
      <c r="AD47" s="13">
        <f t="shared" si="4"/>
        <v>9776570</v>
      </c>
      <c r="AE47" s="13">
        <f t="shared" si="4"/>
        <v>7639750</v>
      </c>
      <c r="AF47" s="13">
        <f t="shared" si="4"/>
        <v>9233128</v>
      </c>
      <c r="AG47" s="13">
        <f t="shared" si="4"/>
        <v>9241100</v>
      </c>
      <c r="AH47" s="13">
        <f t="shared" si="4"/>
        <v>7077500</v>
      </c>
      <c r="AI47" s="13">
        <f t="shared" si="4"/>
        <v>9380956</v>
      </c>
      <c r="AJ47" s="13">
        <f t="shared" si="5"/>
        <v>5443236</v>
      </c>
      <c r="AK47" s="13">
        <f t="shared" si="5"/>
        <v>8848382</v>
      </c>
      <c r="AL47" s="32">
        <f t="shared" si="5"/>
        <v>93521184</v>
      </c>
      <c r="AM47" s="13">
        <f t="shared" si="5"/>
        <v>7211650</v>
      </c>
      <c r="AN47" s="13">
        <f t="shared" si="5"/>
        <v>7222947</v>
      </c>
      <c r="AO47" s="13">
        <f t="shared" si="5"/>
        <v>10037500</v>
      </c>
      <c r="AP47" s="32">
        <f t="shared" si="5"/>
        <v>24472097</v>
      </c>
      <c r="AQ47" s="32">
        <f t="shared" si="5"/>
        <v>117993281</v>
      </c>
      <c r="AS47" s="30" t="s">
        <v>8578</v>
      </c>
      <c r="AT47"/>
      <c r="AU47" s="13">
        <f t="shared" ref="AU47:AU49" si="8">VLOOKUP($X47,$AS$8:$BL$39,AU$4,FALSE)</f>
        <v>3998089</v>
      </c>
      <c r="AV47" s="13">
        <f t="shared" si="6"/>
        <v>5327984</v>
      </c>
      <c r="AW47" s="13">
        <f t="shared" si="6"/>
        <v>7195489</v>
      </c>
      <c r="AX47" s="13">
        <f t="shared" si="6"/>
        <v>8710000</v>
      </c>
      <c r="AY47" s="13">
        <f t="shared" si="6"/>
        <v>9233070</v>
      </c>
      <c r="AZ47" s="13">
        <f t="shared" si="6"/>
        <v>7243750</v>
      </c>
      <c r="BA47" s="13">
        <f t="shared" si="6"/>
        <v>7897128</v>
      </c>
      <c r="BB47" s="13">
        <f t="shared" si="6"/>
        <v>8696600</v>
      </c>
      <c r="BC47" s="13">
        <f t="shared" si="6"/>
        <v>6474500</v>
      </c>
      <c r="BD47" s="13">
        <f t="shared" si="6"/>
        <v>8426956</v>
      </c>
      <c r="BE47" s="13">
        <f t="shared" si="6"/>
        <v>4639800</v>
      </c>
      <c r="BF47" s="13">
        <f t="shared" si="6"/>
        <v>7021182</v>
      </c>
      <c r="BG47" s="32">
        <f t="shared" si="6"/>
        <v>84864548</v>
      </c>
      <c r="BH47" s="13">
        <f t="shared" si="6"/>
        <v>6646750</v>
      </c>
      <c r="BI47" s="13">
        <f t="shared" si="6"/>
        <v>6453447</v>
      </c>
      <c r="BJ47" s="13">
        <f t="shared" si="6"/>
        <v>9504000</v>
      </c>
      <c r="BK47" s="32">
        <f t="shared" si="6"/>
        <v>22604197</v>
      </c>
      <c r="BL47" s="32">
        <f t="shared" si="7"/>
        <v>107468745</v>
      </c>
    </row>
    <row r="48" spans="2:64" x14ac:dyDescent="0.2">
      <c r="B48" s="9" t="s">
        <v>8567</v>
      </c>
      <c r="C48" s="9" t="s">
        <v>7594</v>
      </c>
      <c r="D48" s="13">
        <v>42</v>
      </c>
      <c r="E48" s="13">
        <v>40</v>
      </c>
      <c r="F48" s="13">
        <v>45</v>
      </c>
      <c r="G48" s="13">
        <v>66</v>
      </c>
      <c r="H48" s="13">
        <v>66</v>
      </c>
      <c r="I48" s="13">
        <v>51</v>
      </c>
      <c r="J48" s="13">
        <v>68</v>
      </c>
      <c r="K48" s="13">
        <v>74</v>
      </c>
      <c r="L48" s="13">
        <v>62</v>
      </c>
      <c r="M48" s="13">
        <v>77</v>
      </c>
      <c r="N48" s="13">
        <v>49</v>
      </c>
      <c r="O48" s="13">
        <v>60</v>
      </c>
      <c r="P48" s="13">
        <v>700</v>
      </c>
      <c r="Q48" s="13">
        <v>50</v>
      </c>
      <c r="R48" s="13">
        <v>53</v>
      </c>
      <c r="S48" s="13">
        <v>86</v>
      </c>
      <c r="T48" s="13">
        <v>189</v>
      </c>
      <c r="U48" s="13">
        <v>889</v>
      </c>
      <c r="X48" s="30" t="s">
        <v>8582</v>
      </c>
      <c r="Y48"/>
      <c r="Z48" s="13">
        <f t="shared" si="4"/>
        <v>0</v>
      </c>
      <c r="AA48" s="13">
        <f t="shared" si="4"/>
        <v>132500</v>
      </c>
      <c r="AB48" s="13">
        <f t="shared" si="4"/>
        <v>0</v>
      </c>
      <c r="AC48" s="13">
        <f t="shared" si="4"/>
        <v>0</v>
      </c>
      <c r="AD48" s="13">
        <f t="shared" si="4"/>
        <v>85000</v>
      </c>
      <c r="AE48" s="13">
        <f t="shared" si="4"/>
        <v>0</v>
      </c>
      <c r="AF48" s="13">
        <f t="shared" si="4"/>
        <v>105000</v>
      </c>
      <c r="AG48" s="13">
        <f t="shared" si="4"/>
        <v>88830</v>
      </c>
      <c r="AH48" s="13">
        <f t="shared" si="4"/>
        <v>0</v>
      </c>
      <c r="AI48" s="13">
        <f t="shared" si="4"/>
        <v>0</v>
      </c>
      <c r="AJ48" s="13">
        <f t="shared" si="5"/>
        <v>152000</v>
      </c>
      <c r="AK48" s="13">
        <f t="shared" si="5"/>
        <v>42000</v>
      </c>
      <c r="AL48" s="32">
        <f t="shared" si="5"/>
        <v>605330</v>
      </c>
      <c r="AM48" s="13">
        <f t="shared" si="5"/>
        <v>144500</v>
      </c>
      <c r="AN48" s="13">
        <f t="shared" si="5"/>
        <v>0</v>
      </c>
      <c r="AO48" s="13">
        <f t="shared" si="5"/>
        <v>401000</v>
      </c>
      <c r="AP48" s="32">
        <f t="shared" si="5"/>
        <v>545500</v>
      </c>
      <c r="AQ48" s="32">
        <f t="shared" si="5"/>
        <v>1150830</v>
      </c>
      <c r="AS48" s="30" t="s">
        <v>8582</v>
      </c>
      <c r="AT48"/>
      <c r="AU48" s="13">
        <f t="shared" si="8"/>
        <v>0</v>
      </c>
      <c r="AV48" s="13">
        <f t="shared" si="6"/>
        <v>132500</v>
      </c>
      <c r="AW48" s="13">
        <f t="shared" si="6"/>
        <v>0</v>
      </c>
      <c r="AX48" s="13">
        <f t="shared" si="6"/>
        <v>0</v>
      </c>
      <c r="AY48" s="13">
        <f t="shared" si="6"/>
        <v>85000</v>
      </c>
      <c r="AZ48" s="13">
        <f t="shared" si="6"/>
        <v>0</v>
      </c>
      <c r="BA48" s="13">
        <f t="shared" si="6"/>
        <v>105000</v>
      </c>
      <c r="BB48" s="13">
        <f t="shared" si="6"/>
        <v>88830</v>
      </c>
      <c r="BC48" s="13">
        <f t="shared" si="6"/>
        <v>0</v>
      </c>
      <c r="BD48" s="13">
        <f t="shared" si="6"/>
        <v>0</v>
      </c>
      <c r="BE48" s="13">
        <f t="shared" si="6"/>
        <v>152000</v>
      </c>
      <c r="BF48" s="13">
        <f t="shared" si="6"/>
        <v>0</v>
      </c>
      <c r="BG48" s="32">
        <f t="shared" si="6"/>
        <v>563330</v>
      </c>
      <c r="BH48" s="13">
        <f t="shared" si="6"/>
        <v>89000</v>
      </c>
      <c r="BI48" s="13">
        <f t="shared" si="6"/>
        <v>0</v>
      </c>
      <c r="BJ48" s="13">
        <f t="shared" si="6"/>
        <v>401000</v>
      </c>
      <c r="BK48" s="32">
        <f t="shared" si="6"/>
        <v>490000</v>
      </c>
      <c r="BL48" s="32">
        <f t="shared" si="7"/>
        <v>1053330</v>
      </c>
    </row>
    <row r="49" spans="2:64" x14ac:dyDescent="0.2">
      <c r="B49" s="9" t="s">
        <v>8567</v>
      </c>
      <c r="C49" s="9" t="s">
        <v>7604</v>
      </c>
      <c r="D49" s="13"/>
      <c r="E49" s="13">
        <v>1</v>
      </c>
      <c r="F49" s="13"/>
      <c r="G49" s="13">
        <v>5</v>
      </c>
      <c r="H49" s="13">
        <v>1</v>
      </c>
      <c r="I49" s="13">
        <v>3</v>
      </c>
      <c r="J49" s="13">
        <v>3</v>
      </c>
      <c r="K49" s="13">
        <v>1</v>
      </c>
      <c r="L49" s="13">
        <v>1</v>
      </c>
      <c r="M49" s="13"/>
      <c r="N49" s="13"/>
      <c r="O49" s="13">
        <v>4</v>
      </c>
      <c r="P49" s="13">
        <v>19</v>
      </c>
      <c r="Q49" s="13">
        <v>2</v>
      </c>
      <c r="R49" s="13">
        <v>2</v>
      </c>
      <c r="S49" s="13">
        <v>6</v>
      </c>
      <c r="T49" s="13">
        <v>10</v>
      </c>
      <c r="U49" s="13">
        <v>29</v>
      </c>
      <c r="X49" s="30" t="s">
        <v>8583</v>
      </c>
      <c r="Z49" s="13">
        <f t="shared" si="4"/>
        <v>600500</v>
      </c>
      <c r="AA49" s="13">
        <f t="shared" si="4"/>
        <v>357000</v>
      </c>
      <c r="AB49" s="13">
        <f t="shared" si="4"/>
        <v>495000</v>
      </c>
      <c r="AC49" s="13">
        <f t="shared" si="4"/>
        <v>908000</v>
      </c>
      <c r="AD49" s="13">
        <f t="shared" si="4"/>
        <v>776000</v>
      </c>
      <c r="AE49" s="13">
        <f t="shared" si="4"/>
        <v>1426000</v>
      </c>
      <c r="AF49" s="13">
        <f t="shared" si="4"/>
        <v>730000</v>
      </c>
      <c r="AG49" s="13">
        <f t="shared" si="4"/>
        <v>1315300</v>
      </c>
      <c r="AH49" s="13">
        <f t="shared" si="4"/>
        <v>1741000</v>
      </c>
      <c r="AI49" s="13">
        <f t="shared" si="4"/>
        <v>1300870</v>
      </c>
      <c r="AJ49" s="13">
        <f t="shared" si="5"/>
        <v>860000</v>
      </c>
      <c r="AK49" s="13">
        <f t="shared" si="5"/>
        <v>1631400</v>
      </c>
      <c r="AL49" s="32">
        <f t="shared" si="5"/>
        <v>12141070</v>
      </c>
      <c r="AM49" s="13">
        <f t="shared" si="5"/>
        <v>426000</v>
      </c>
      <c r="AN49" s="13">
        <f t="shared" si="5"/>
        <v>711000</v>
      </c>
      <c r="AO49" s="13">
        <f t="shared" si="5"/>
        <v>1609500</v>
      </c>
      <c r="AP49" s="32">
        <f t="shared" si="5"/>
        <v>2746500</v>
      </c>
      <c r="AQ49" s="32">
        <f t="shared" si="5"/>
        <v>14887570</v>
      </c>
      <c r="AS49" s="30" t="s">
        <v>8583</v>
      </c>
      <c r="AU49" s="13">
        <f t="shared" si="8"/>
        <v>564000</v>
      </c>
      <c r="AV49" s="13">
        <f t="shared" si="6"/>
        <v>293000</v>
      </c>
      <c r="AW49" s="13">
        <f t="shared" si="6"/>
        <v>245000</v>
      </c>
      <c r="AX49" s="13">
        <f t="shared" si="6"/>
        <v>861000</v>
      </c>
      <c r="AY49" s="13">
        <f t="shared" si="6"/>
        <v>711000</v>
      </c>
      <c r="AZ49" s="13">
        <f t="shared" si="6"/>
        <v>1322000</v>
      </c>
      <c r="BA49" s="13">
        <f t="shared" si="6"/>
        <v>507000</v>
      </c>
      <c r="BB49" s="13">
        <f t="shared" si="6"/>
        <v>927500</v>
      </c>
      <c r="BC49" s="13">
        <f t="shared" si="6"/>
        <v>1610000</v>
      </c>
      <c r="BD49" s="13">
        <f t="shared" si="6"/>
        <v>1119870</v>
      </c>
      <c r="BE49" s="13">
        <f t="shared" si="6"/>
        <v>860000</v>
      </c>
      <c r="BF49" s="13">
        <f t="shared" si="6"/>
        <v>1566400</v>
      </c>
      <c r="BG49" s="32">
        <f t="shared" si="6"/>
        <v>10586770</v>
      </c>
      <c r="BH49" s="13">
        <f t="shared" si="6"/>
        <v>217000</v>
      </c>
      <c r="BI49" s="13">
        <f t="shared" si="6"/>
        <v>711000</v>
      </c>
      <c r="BJ49" s="13">
        <f t="shared" si="6"/>
        <v>1455500</v>
      </c>
      <c r="BK49" s="32">
        <f t="shared" si="6"/>
        <v>2383500</v>
      </c>
      <c r="BL49" s="32">
        <f t="shared" si="7"/>
        <v>12970270</v>
      </c>
    </row>
    <row r="50" spans="2:64" x14ac:dyDescent="0.2">
      <c r="B50" s="9" t="s">
        <v>8567</v>
      </c>
      <c r="C50" s="9" t="s">
        <v>7606</v>
      </c>
      <c r="D50" s="13">
        <v>1</v>
      </c>
      <c r="E50" s="13">
        <v>2</v>
      </c>
      <c r="F50" s="13">
        <v>1</v>
      </c>
      <c r="G50" s="13">
        <v>3</v>
      </c>
      <c r="H50" s="13">
        <v>3</v>
      </c>
      <c r="I50" s="13">
        <v>7</v>
      </c>
      <c r="J50" s="13">
        <v>9</v>
      </c>
      <c r="K50" s="13">
        <v>2</v>
      </c>
      <c r="L50" s="13">
        <v>3</v>
      </c>
      <c r="M50" s="13">
        <v>7</v>
      </c>
      <c r="N50" s="13">
        <v>4</v>
      </c>
      <c r="O50" s="13">
        <v>29</v>
      </c>
      <c r="P50" s="13">
        <v>71</v>
      </c>
      <c r="Q50" s="13">
        <v>7</v>
      </c>
      <c r="R50" s="13">
        <v>6</v>
      </c>
      <c r="S50" s="13">
        <v>8</v>
      </c>
      <c r="T50" s="13">
        <v>21</v>
      </c>
      <c r="U50" s="13">
        <v>92</v>
      </c>
      <c r="X50" s="27" t="s">
        <v>8588</v>
      </c>
      <c r="Z50" s="13">
        <f>SUM(Z46:Z49)</f>
        <v>7947589</v>
      </c>
      <c r="AA50" s="13">
        <f t="shared" ref="AA50:AQ50" si="9">SUM(AA46:AA49)</f>
        <v>7695484</v>
      </c>
      <c r="AB50" s="13">
        <f t="shared" si="9"/>
        <v>11350089</v>
      </c>
      <c r="AC50" s="13">
        <f t="shared" si="9"/>
        <v>14186900</v>
      </c>
      <c r="AD50" s="13">
        <f t="shared" si="9"/>
        <v>13774570</v>
      </c>
      <c r="AE50" s="13">
        <f t="shared" si="9"/>
        <v>15585750</v>
      </c>
      <c r="AF50" s="13">
        <f t="shared" si="9"/>
        <v>15427128</v>
      </c>
      <c r="AG50" s="13">
        <f t="shared" si="9"/>
        <v>14620730</v>
      </c>
      <c r="AH50" s="13">
        <f t="shared" si="9"/>
        <v>11634380</v>
      </c>
      <c r="AI50" s="13">
        <f t="shared" si="9"/>
        <v>13524826</v>
      </c>
      <c r="AJ50" s="13">
        <f t="shared" si="9"/>
        <v>8735966</v>
      </c>
      <c r="AK50" s="13">
        <f t="shared" si="9"/>
        <v>12675282</v>
      </c>
      <c r="AL50" s="32">
        <f t="shared" si="9"/>
        <v>147158694</v>
      </c>
      <c r="AM50" s="13">
        <f t="shared" si="9"/>
        <v>11395650</v>
      </c>
      <c r="AN50" s="13">
        <f t="shared" si="9"/>
        <v>11248797</v>
      </c>
      <c r="AO50" s="13">
        <f t="shared" si="9"/>
        <v>15453500</v>
      </c>
      <c r="AP50" s="32">
        <f t="shared" si="9"/>
        <v>38097947</v>
      </c>
      <c r="AQ50" s="32">
        <f t="shared" si="9"/>
        <v>185256641</v>
      </c>
      <c r="AS50" s="27" t="s">
        <v>8588</v>
      </c>
      <c r="AU50" s="13">
        <f>SUM(AU46:AU49)</f>
        <v>7654089</v>
      </c>
      <c r="AV50" s="13">
        <f t="shared" ref="AV50" si="10">SUM(AV46:AV49)</f>
        <v>7165484</v>
      </c>
      <c r="AW50" s="13">
        <f t="shared" ref="AW50" si="11">SUM(AW46:AW49)</f>
        <v>10540589</v>
      </c>
      <c r="AX50" s="13">
        <f t="shared" ref="AX50" si="12">SUM(AX46:AX49)</f>
        <v>13430400</v>
      </c>
      <c r="AY50" s="13">
        <f t="shared" ref="AY50" si="13">SUM(AY46:AY49)</f>
        <v>13120070</v>
      </c>
      <c r="AZ50" s="13">
        <f t="shared" ref="AZ50" si="14">SUM(AZ46:AZ49)</f>
        <v>13810750</v>
      </c>
      <c r="BA50" s="13">
        <f t="shared" ref="BA50" si="15">SUM(BA46:BA49)</f>
        <v>13868128</v>
      </c>
      <c r="BB50" s="13">
        <f t="shared" ref="BB50" si="16">SUM(BB46:BB49)</f>
        <v>13641430</v>
      </c>
      <c r="BC50" s="13">
        <f t="shared" ref="BC50" si="17">SUM(BC46:BC49)</f>
        <v>10689380</v>
      </c>
      <c r="BD50" s="13">
        <f t="shared" ref="BD50" si="18">SUM(BD46:BD49)</f>
        <v>12389826</v>
      </c>
      <c r="BE50" s="13">
        <f t="shared" ref="BE50" si="19">SUM(BE46:BE49)</f>
        <v>7799530</v>
      </c>
      <c r="BF50" s="13">
        <f t="shared" ref="BF50" si="20">SUM(BF46:BF49)</f>
        <v>10639582</v>
      </c>
      <c r="BG50" s="32">
        <f t="shared" ref="BG50" si="21">SUM(BG46:BG49)</f>
        <v>134749258</v>
      </c>
      <c r="BH50" s="13">
        <f t="shared" ref="BH50" si="22">SUM(BH46:BH49)</f>
        <v>10566250</v>
      </c>
      <c r="BI50" s="13">
        <f t="shared" ref="BI50" si="23">SUM(BI46:BI49)</f>
        <v>10414297</v>
      </c>
      <c r="BJ50" s="13">
        <f t="shared" ref="BJ50" si="24">SUM(BJ46:BJ49)</f>
        <v>14542000</v>
      </c>
      <c r="BK50" s="32">
        <f t="shared" ref="BK50" si="25">SUM(BK46:BK49)</f>
        <v>35522547</v>
      </c>
      <c r="BL50" s="32">
        <f t="shared" ref="BL50" si="26">SUM(BL46:BL49)</f>
        <v>170271805</v>
      </c>
    </row>
    <row r="51" spans="2:64" x14ac:dyDescent="0.2">
      <c r="B51" s="9" t="s">
        <v>8567</v>
      </c>
      <c r="C51" s="9" t="s">
        <v>7611</v>
      </c>
      <c r="D51" s="13">
        <v>15</v>
      </c>
      <c r="E51" s="13">
        <v>12</v>
      </c>
      <c r="F51" s="13">
        <v>14</v>
      </c>
      <c r="G51" s="13">
        <v>13</v>
      </c>
      <c r="H51" s="13">
        <v>21</v>
      </c>
      <c r="I51" s="13">
        <v>19</v>
      </c>
      <c r="J51" s="13">
        <v>8</v>
      </c>
      <c r="K51" s="13">
        <v>18</v>
      </c>
      <c r="L51" s="13">
        <v>12</v>
      </c>
      <c r="M51" s="13">
        <v>15</v>
      </c>
      <c r="N51" s="13">
        <v>3</v>
      </c>
      <c r="O51" s="13">
        <v>8</v>
      </c>
      <c r="P51" s="13">
        <v>158</v>
      </c>
      <c r="Q51" s="13">
        <v>15</v>
      </c>
      <c r="R51" s="13">
        <v>10</v>
      </c>
      <c r="S51" s="13">
        <v>16</v>
      </c>
      <c r="T51" s="13">
        <v>41</v>
      </c>
      <c r="U51" s="13">
        <v>199</v>
      </c>
    </row>
    <row r="52" spans="2:64" x14ac:dyDescent="0.2">
      <c r="B52" s="9" t="s">
        <v>8567</v>
      </c>
      <c r="C52" s="9" t="s">
        <v>7615</v>
      </c>
      <c r="D52" s="13">
        <v>6</v>
      </c>
      <c r="E52" s="13">
        <v>8</v>
      </c>
      <c r="F52" s="13">
        <v>6</v>
      </c>
      <c r="G52" s="13">
        <v>8</v>
      </c>
      <c r="H52" s="13">
        <v>9</v>
      </c>
      <c r="I52" s="13">
        <v>7</v>
      </c>
      <c r="J52" s="13">
        <v>8</v>
      </c>
      <c r="K52" s="13">
        <v>4</v>
      </c>
      <c r="L52" s="13">
        <v>4</v>
      </c>
      <c r="M52" s="13">
        <v>4</v>
      </c>
      <c r="N52" s="13">
        <v>2</v>
      </c>
      <c r="O52" s="13">
        <v>8</v>
      </c>
      <c r="P52" s="13">
        <v>74</v>
      </c>
      <c r="Q52" s="13">
        <v>6</v>
      </c>
      <c r="R52" s="13">
        <v>5</v>
      </c>
      <c r="S52" s="13">
        <v>9</v>
      </c>
      <c r="T52" s="13">
        <v>20</v>
      </c>
      <c r="U52" s="13">
        <v>94</v>
      </c>
      <c r="Z52" s="25">
        <f>Z44</f>
        <v>2025</v>
      </c>
      <c r="AA52" s="25">
        <f t="shared" ref="AA52:AQ52" si="27">AA44</f>
        <v>2025</v>
      </c>
      <c r="AB52" s="25">
        <f t="shared" si="27"/>
        <v>2025</v>
      </c>
      <c r="AC52" s="25">
        <f t="shared" si="27"/>
        <v>2025</v>
      </c>
      <c r="AD52" s="25">
        <f t="shared" si="27"/>
        <v>2025</v>
      </c>
      <c r="AE52" s="25">
        <f t="shared" si="27"/>
        <v>2025</v>
      </c>
      <c r="AF52" s="25">
        <f t="shared" si="27"/>
        <v>2025</v>
      </c>
      <c r="AG52" s="25">
        <f t="shared" si="27"/>
        <v>2025</v>
      </c>
      <c r="AH52" s="25">
        <f t="shared" si="27"/>
        <v>2025</v>
      </c>
      <c r="AI52" s="25">
        <f t="shared" si="27"/>
        <v>2025</v>
      </c>
      <c r="AJ52" s="25">
        <f t="shared" si="27"/>
        <v>2025</v>
      </c>
      <c r="AK52" s="25">
        <f t="shared" si="27"/>
        <v>2025</v>
      </c>
      <c r="AL52" s="25" t="str">
        <f t="shared" si="27"/>
        <v>Total 2025</v>
      </c>
      <c r="AM52" s="25">
        <f t="shared" si="27"/>
        <v>2026</v>
      </c>
      <c r="AN52" s="25">
        <f t="shared" si="27"/>
        <v>2026</v>
      </c>
      <c r="AO52" s="25">
        <f t="shared" si="27"/>
        <v>2026</v>
      </c>
      <c r="AP52" s="25" t="str">
        <f t="shared" si="27"/>
        <v>Total 2026</v>
      </c>
      <c r="AQ52" s="25" t="str">
        <f t="shared" si="27"/>
        <v>Total general</v>
      </c>
      <c r="AU52" s="25">
        <f>AU44</f>
        <v>2025</v>
      </c>
      <c r="AV52" s="25">
        <f t="shared" ref="AV52:BL52" si="28">AV44</f>
        <v>2025</v>
      </c>
      <c r="AW52" s="25">
        <f t="shared" si="28"/>
        <v>2025</v>
      </c>
      <c r="AX52" s="25">
        <f t="shared" si="28"/>
        <v>2025</v>
      </c>
      <c r="AY52" s="25">
        <f t="shared" si="28"/>
        <v>2025</v>
      </c>
      <c r="AZ52" s="25">
        <f t="shared" si="28"/>
        <v>2025</v>
      </c>
      <c r="BA52" s="25">
        <f t="shared" si="28"/>
        <v>2025</v>
      </c>
      <c r="BB52" s="25">
        <f t="shared" si="28"/>
        <v>2025</v>
      </c>
      <c r="BC52" s="25">
        <f t="shared" si="28"/>
        <v>2025</v>
      </c>
      <c r="BD52" s="25">
        <f t="shared" si="28"/>
        <v>2025</v>
      </c>
      <c r="BE52" s="25">
        <f t="shared" si="28"/>
        <v>2025</v>
      </c>
      <c r="BF52" s="25">
        <f t="shared" si="28"/>
        <v>2025</v>
      </c>
      <c r="BG52" s="25" t="str">
        <f t="shared" si="28"/>
        <v>Total 2025</v>
      </c>
      <c r="BH52" s="25">
        <f t="shared" si="28"/>
        <v>2026</v>
      </c>
      <c r="BI52" s="25">
        <f t="shared" si="28"/>
        <v>2026</v>
      </c>
      <c r="BJ52" s="25">
        <f t="shared" si="28"/>
        <v>2026</v>
      </c>
      <c r="BK52" s="25" t="str">
        <f t="shared" si="28"/>
        <v>Total 2026</v>
      </c>
      <c r="BL52" s="25" t="str">
        <f t="shared" si="28"/>
        <v>Total general</v>
      </c>
    </row>
    <row r="53" spans="2:64" x14ac:dyDescent="0.2">
      <c r="B53" s="9" t="s">
        <v>8567</v>
      </c>
      <c r="C53" s="9" t="s">
        <v>7617</v>
      </c>
      <c r="D53" s="13">
        <v>3</v>
      </c>
      <c r="E53" s="13">
        <v>3</v>
      </c>
      <c r="F53" s="13">
        <v>3</v>
      </c>
      <c r="G53" s="13">
        <v>6</v>
      </c>
      <c r="H53" s="13">
        <v>2</v>
      </c>
      <c r="I53" s="13">
        <v>3</v>
      </c>
      <c r="J53" s="13">
        <v>9</v>
      </c>
      <c r="K53" s="13">
        <v>5</v>
      </c>
      <c r="L53" s="13">
        <v>1</v>
      </c>
      <c r="M53" s="13">
        <v>4</v>
      </c>
      <c r="N53" s="13">
        <v>2</v>
      </c>
      <c r="O53" s="13">
        <v>3</v>
      </c>
      <c r="P53" s="13">
        <v>44</v>
      </c>
      <c r="Q53" s="13">
        <v>1</v>
      </c>
      <c r="R53" s="13">
        <v>1</v>
      </c>
      <c r="S53" s="13">
        <v>3</v>
      </c>
      <c r="T53" s="13">
        <v>5</v>
      </c>
      <c r="U53" s="13">
        <v>49</v>
      </c>
      <c r="X53" t="s">
        <v>8590</v>
      </c>
      <c r="Z53" s="25">
        <f>Z45</f>
        <v>1</v>
      </c>
      <c r="AA53" s="25">
        <f t="shared" ref="AA53:AQ53" si="29">AA45</f>
        <v>2</v>
      </c>
      <c r="AB53" s="25">
        <f t="shared" si="29"/>
        <v>3</v>
      </c>
      <c r="AC53" s="25">
        <f t="shared" si="29"/>
        <v>4</v>
      </c>
      <c r="AD53" s="25">
        <f t="shared" si="29"/>
        <v>5</v>
      </c>
      <c r="AE53" s="25">
        <f t="shared" si="29"/>
        <v>6</v>
      </c>
      <c r="AF53" s="25">
        <f t="shared" si="29"/>
        <v>7</v>
      </c>
      <c r="AG53" s="25">
        <f t="shared" si="29"/>
        <v>8</v>
      </c>
      <c r="AH53" s="25">
        <f t="shared" si="29"/>
        <v>9</v>
      </c>
      <c r="AI53" s="25">
        <f t="shared" si="29"/>
        <v>10</v>
      </c>
      <c r="AJ53" s="25">
        <f t="shared" si="29"/>
        <v>11</v>
      </c>
      <c r="AK53" s="25">
        <f t="shared" si="29"/>
        <v>12</v>
      </c>
      <c r="AL53" s="25">
        <f t="shared" si="29"/>
        <v>0</v>
      </c>
      <c r="AM53" s="25">
        <f t="shared" si="29"/>
        <v>1</v>
      </c>
      <c r="AN53" s="25">
        <f t="shared" si="29"/>
        <v>2</v>
      </c>
      <c r="AO53" s="25">
        <f t="shared" si="29"/>
        <v>3</v>
      </c>
      <c r="AP53" s="25">
        <f t="shared" si="29"/>
        <v>0</v>
      </c>
      <c r="AQ53" s="25">
        <f t="shared" si="29"/>
        <v>0</v>
      </c>
      <c r="AS53" t="s">
        <v>8590</v>
      </c>
      <c r="AU53" s="25">
        <f>AU45</f>
        <v>1</v>
      </c>
      <c r="AV53" s="25">
        <f t="shared" ref="AV53:BL53" si="30">AV45</f>
        <v>2</v>
      </c>
      <c r="AW53" s="25">
        <f t="shared" si="30"/>
        <v>3</v>
      </c>
      <c r="AX53" s="25">
        <f t="shared" si="30"/>
        <v>4</v>
      </c>
      <c r="AY53" s="25">
        <f t="shared" si="30"/>
        <v>5</v>
      </c>
      <c r="AZ53" s="25">
        <f t="shared" si="30"/>
        <v>6</v>
      </c>
      <c r="BA53" s="25">
        <f t="shared" si="30"/>
        <v>7</v>
      </c>
      <c r="BB53" s="25">
        <f t="shared" si="30"/>
        <v>8</v>
      </c>
      <c r="BC53" s="25">
        <f t="shared" si="30"/>
        <v>9</v>
      </c>
      <c r="BD53" s="25">
        <f t="shared" si="30"/>
        <v>10</v>
      </c>
      <c r="BE53" s="25">
        <f t="shared" si="30"/>
        <v>11</v>
      </c>
      <c r="BF53" s="25">
        <f t="shared" si="30"/>
        <v>12</v>
      </c>
      <c r="BG53" s="25">
        <f t="shared" si="30"/>
        <v>0</v>
      </c>
      <c r="BH53" s="25">
        <f t="shared" si="30"/>
        <v>1</v>
      </c>
      <c r="BI53" s="25">
        <f t="shared" si="30"/>
        <v>2</v>
      </c>
      <c r="BJ53" s="25">
        <f t="shared" si="30"/>
        <v>3</v>
      </c>
      <c r="BK53" s="25">
        <f t="shared" si="30"/>
        <v>0</v>
      </c>
      <c r="BL53" s="25">
        <f t="shared" si="30"/>
        <v>0</v>
      </c>
    </row>
    <row r="54" spans="2:64" x14ac:dyDescent="0.2">
      <c r="B54" s="9" t="s">
        <v>8567</v>
      </c>
      <c r="C54" s="9" t="s">
        <v>7619</v>
      </c>
      <c r="D54" s="13"/>
      <c r="E54" s="13"/>
      <c r="F54" s="13"/>
      <c r="G54" s="13"/>
      <c r="H54" s="13"/>
      <c r="I54" s="13"/>
      <c r="J54" s="13"/>
      <c r="K54" s="13"/>
      <c r="L54" s="13"/>
      <c r="M54" s="13"/>
      <c r="N54" s="13"/>
      <c r="O54" s="13">
        <v>1</v>
      </c>
      <c r="P54" s="13">
        <v>1</v>
      </c>
      <c r="Q54" s="13"/>
      <c r="R54" s="13"/>
      <c r="S54" s="13"/>
      <c r="T54" s="13"/>
      <c r="U54" s="13">
        <v>1</v>
      </c>
      <c r="X54" s="30" t="s">
        <v>8577</v>
      </c>
      <c r="Y54"/>
      <c r="Z54" s="13">
        <f>VLOOKUP($X54,$X$91:$AQ$122,Z$4,FALSE)</f>
        <v>18</v>
      </c>
      <c r="AA54" s="13">
        <f t="shared" ref="AA54:AP57" si="31">VLOOKUP($X54,$X$91:$AQ$122,AA$4,FALSE)</f>
        <v>10</v>
      </c>
      <c r="AB54" s="13">
        <f t="shared" si="31"/>
        <v>15</v>
      </c>
      <c r="AC54" s="13">
        <f t="shared" si="31"/>
        <v>20</v>
      </c>
      <c r="AD54" s="13">
        <f t="shared" si="31"/>
        <v>18</v>
      </c>
      <c r="AE54" s="13">
        <f t="shared" si="31"/>
        <v>25</v>
      </c>
      <c r="AF54" s="13">
        <f t="shared" si="31"/>
        <v>19</v>
      </c>
      <c r="AG54" s="13">
        <f t="shared" si="31"/>
        <v>20</v>
      </c>
      <c r="AH54" s="13">
        <f t="shared" si="31"/>
        <v>18</v>
      </c>
      <c r="AI54" s="13">
        <f t="shared" si="31"/>
        <v>13</v>
      </c>
      <c r="AJ54" s="13">
        <f t="shared" si="31"/>
        <v>16</v>
      </c>
      <c r="AK54" s="13">
        <f t="shared" si="31"/>
        <v>12</v>
      </c>
      <c r="AL54" s="13">
        <f t="shared" si="31"/>
        <v>204</v>
      </c>
      <c r="AM54" s="13">
        <f t="shared" si="31"/>
        <v>16</v>
      </c>
      <c r="AN54" s="13">
        <f t="shared" si="31"/>
        <v>17</v>
      </c>
      <c r="AO54" s="13">
        <f t="shared" si="31"/>
        <v>21</v>
      </c>
      <c r="AP54" s="13">
        <f t="shared" si="31"/>
        <v>54</v>
      </c>
      <c r="AQ54" s="13">
        <f t="shared" ref="AQ54:AQ57" si="32">VLOOKUP($X54,$X$91:$AQ$122,AQ$4,FALSE)</f>
        <v>258</v>
      </c>
      <c r="AS54" s="30" t="s">
        <v>8577</v>
      </c>
      <c r="AT54"/>
      <c r="AU54" s="13">
        <f>VLOOKUP($X54,$AS$91:$BL$122,AU$4,FALSE)</f>
        <v>17</v>
      </c>
      <c r="AV54" s="13">
        <f t="shared" ref="AV54:BK57" si="33">VLOOKUP($X54,$AS$91:$BL$122,AV$4,FALSE)</f>
        <v>7</v>
      </c>
      <c r="AW54" s="13">
        <f t="shared" si="33"/>
        <v>14</v>
      </c>
      <c r="AX54" s="13">
        <f t="shared" si="33"/>
        <v>19</v>
      </c>
      <c r="AY54" s="13">
        <f t="shared" si="33"/>
        <v>17</v>
      </c>
      <c r="AZ54" s="13">
        <f t="shared" si="33"/>
        <v>22</v>
      </c>
      <c r="BA54" s="13">
        <f t="shared" si="33"/>
        <v>19</v>
      </c>
      <c r="BB54" s="13">
        <f t="shared" si="33"/>
        <v>19</v>
      </c>
      <c r="BC54" s="13">
        <f t="shared" si="33"/>
        <v>14</v>
      </c>
      <c r="BD54" s="13">
        <f t="shared" si="33"/>
        <v>13</v>
      </c>
      <c r="BE54" s="13">
        <f t="shared" si="33"/>
        <v>13</v>
      </c>
      <c r="BF54" s="13">
        <f t="shared" si="33"/>
        <v>10</v>
      </c>
      <c r="BG54" s="13">
        <f t="shared" si="33"/>
        <v>184</v>
      </c>
      <c r="BH54" s="13">
        <f t="shared" si="33"/>
        <v>16</v>
      </c>
      <c r="BI54" s="13">
        <f t="shared" si="33"/>
        <v>16</v>
      </c>
      <c r="BJ54" s="13">
        <f t="shared" si="33"/>
        <v>17</v>
      </c>
      <c r="BK54" s="13">
        <f t="shared" si="33"/>
        <v>49</v>
      </c>
      <c r="BL54" s="13">
        <f t="shared" ref="BL54:BL57" si="34">VLOOKUP($X54,$AS$91:$BL$122,BL$4,FALSE)</f>
        <v>233</v>
      </c>
    </row>
    <row r="55" spans="2:64" x14ac:dyDescent="0.2">
      <c r="B55" s="9" t="s">
        <v>8567</v>
      </c>
      <c r="C55" s="9" t="s">
        <v>7621</v>
      </c>
      <c r="D55" s="13">
        <v>1</v>
      </c>
      <c r="E55" s="13"/>
      <c r="F55" s="13">
        <v>1</v>
      </c>
      <c r="G55" s="13">
        <v>2</v>
      </c>
      <c r="H55" s="13"/>
      <c r="I55" s="13">
        <v>2</v>
      </c>
      <c r="J55" s="13">
        <v>1</v>
      </c>
      <c r="K55" s="13">
        <v>3</v>
      </c>
      <c r="L55" s="13">
        <v>3</v>
      </c>
      <c r="M55" s="13">
        <v>2</v>
      </c>
      <c r="N55" s="13">
        <v>1</v>
      </c>
      <c r="O55" s="13"/>
      <c r="P55" s="13">
        <v>16</v>
      </c>
      <c r="Q55" s="13">
        <v>4</v>
      </c>
      <c r="R55" s="13">
        <v>4</v>
      </c>
      <c r="S55" s="13">
        <v>7</v>
      </c>
      <c r="T55" s="13">
        <v>15</v>
      </c>
      <c r="U55" s="13">
        <v>31</v>
      </c>
      <c r="X55" s="30" t="s">
        <v>8578</v>
      </c>
      <c r="Y55"/>
      <c r="Z55" s="13">
        <f t="shared" ref="Z55:Z57" si="35">VLOOKUP($X55,$X$91:$AQ$122,Z$4,FALSE)</f>
        <v>35</v>
      </c>
      <c r="AA55" s="13">
        <f t="shared" si="31"/>
        <v>39</v>
      </c>
      <c r="AB55" s="13">
        <f t="shared" si="31"/>
        <v>48</v>
      </c>
      <c r="AC55" s="13">
        <f t="shared" si="31"/>
        <v>61</v>
      </c>
      <c r="AD55" s="13">
        <f t="shared" si="31"/>
        <v>65</v>
      </c>
      <c r="AE55" s="13">
        <f t="shared" si="31"/>
        <v>51</v>
      </c>
      <c r="AF55" s="13">
        <f t="shared" si="31"/>
        <v>69</v>
      </c>
      <c r="AG55" s="13">
        <f t="shared" si="31"/>
        <v>71</v>
      </c>
      <c r="AH55" s="13">
        <f t="shared" si="31"/>
        <v>58</v>
      </c>
      <c r="AI55" s="13">
        <f t="shared" si="31"/>
        <v>74</v>
      </c>
      <c r="AJ55" s="13">
        <f t="shared" si="31"/>
        <v>48</v>
      </c>
      <c r="AK55" s="13">
        <f t="shared" si="31"/>
        <v>56</v>
      </c>
      <c r="AL55" s="13">
        <f t="shared" si="31"/>
        <v>675</v>
      </c>
      <c r="AM55" s="13">
        <f t="shared" si="31"/>
        <v>51</v>
      </c>
      <c r="AN55" s="13">
        <f t="shared" si="31"/>
        <v>55</v>
      </c>
      <c r="AO55" s="13">
        <f t="shared" si="31"/>
        <v>78</v>
      </c>
      <c r="AP55" s="13">
        <f t="shared" si="31"/>
        <v>184</v>
      </c>
      <c r="AQ55" s="13">
        <f t="shared" si="32"/>
        <v>859</v>
      </c>
      <c r="AS55" s="30" t="s">
        <v>8578</v>
      </c>
      <c r="AT55"/>
      <c r="AU55" s="13">
        <f t="shared" ref="AU55:AU57" si="36">VLOOKUP($X55,$AS$91:$BL$122,AU$4,FALSE)</f>
        <v>31</v>
      </c>
      <c r="AV55" s="13">
        <f t="shared" si="33"/>
        <v>34</v>
      </c>
      <c r="AW55" s="13">
        <f t="shared" si="33"/>
        <v>40</v>
      </c>
      <c r="AX55" s="13">
        <f t="shared" si="33"/>
        <v>49</v>
      </c>
      <c r="AY55" s="13">
        <f t="shared" si="33"/>
        <v>55</v>
      </c>
      <c r="AZ55" s="13">
        <f t="shared" si="33"/>
        <v>43</v>
      </c>
      <c r="BA55" s="13">
        <f t="shared" si="33"/>
        <v>44</v>
      </c>
      <c r="BB55" s="13">
        <f t="shared" si="33"/>
        <v>60</v>
      </c>
      <c r="BC55" s="13">
        <f t="shared" si="33"/>
        <v>47</v>
      </c>
      <c r="BD55" s="13">
        <f t="shared" si="33"/>
        <v>55</v>
      </c>
      <c r="BE55" s="13">
        <f t="shared" si="33"/>
        <v>34</v>
      </c>
      <c r="BF55" s="13">
        <f t="shared" si="33"/>
        <v>43</v>
      </c>
      <c r="BG55" s="13">
        <f t="shared" si="33"/>
        <v>535</v>
      </c>
      <c r="BH55" s="13">
        <f t="shared" si="33"/>
        <v>40</v>
      </c>
      <c r="BI55" s="13">
        <f t="shared" si="33"/>
        <v>41</v>
      </c>
      <c r="BJ55" s="13">
        <f t="shared" si="33"/>
        <v>68</v>
      </c>
      <c r="BK55" s="13">
        <f t="shared" si="33"/>
        <v>149</v>
      </c>
      <c r="BL55" s="13">
        <f t="shared" si="34"/>
        <v>684</v>
      </c>
    </row>
    <row r="56" spans="2:64" x14ac:dyDescent="0.2">
      <c r="B56" s="9" t="s">
        <v>8567</v>
      </c>
      <c r="C56" s="9" t="s">
        <v>7626</v>
      </c>
      <c r="D56" s="13">
        <v>21</v>
      </c>
      <c r="E56" s="13">
        <v>16</v>
      </c>
      <c r="F56" s="13">
        <v>27</v>
      </c>
      <c r="G56" s="13">
        <v>32</v>
      </c>
      <c r="H56" s="13">
        <v>25</v>
      </c>
      <c r="I56" s="13">
        <v>34</v>
      </c>
      <c r="J56" s="13">
        <v>31</v>
      </c>
      <c r="K56" s="13">
        <v>27</v>
      </c>
      <c r="L56" s="13">
        <v>31</v>
      </c>
      <c r="M56" s="13">
        <v>22</v>
      </c>
      <c r="N56" s="13">
        <v>26</v>
      </c>
      <c r="O56" s="13">
        <v>21</v>
      </c>
      <c r="P56" s="13">
        <v>313</v>
      </c>
      <c r="Q56" s="13">
        <v>29</v>
      </c>
      <c r="R56" s="13">
        <v>22</v>
      </c>
      <c r="S56" s="13">
        <v>36</v>
      </c>
      <c r="T56" s="13">
        <v>87</v>
      </c>
      <c r="U56" s="13">
        <v>400</v>
      </c>
      <c r="X56" s="30" t="s">
        <v>8582</v>
      </c>
      <c r="Y56"/>
      <c r="Z56" s="13">
        <f t="shared" si="35"/>
        <v>0</v>
      </c>
      <c r="AA56" s="13">
        <f t="shared" si="31"/>
        <v>1</v>
      </c>
      <c r="AB56" s="13">
        <f t="shared" si="31"/>
        <v>0</v>
      </c>
      <c r="AC56" s="13">
        <f t="shared" si="31"/>
        <v>0</v>
      </c>
      <c r="AD56" s="13">
        <f t="shared" si="31"/>
        <v>1</v>
      </c>
      <c r="AE56" s="13">
        <f t="shared" si="31"/>
        <v>0</v>
      </c>
      <c r="AF56" s="13">
        <f t="shared" si="31"/>
        <v>1</v>
      </c>
      <c r="AG56" s="13">
        <f t="shared" si="31"/>
        <v>1</v>
      </c>
      <c r="AH56" s="13">
        <f t="shared" si="31"/>
        <v>0</v>
      </c>
      <c r="AI56" s="13">
        <f t="shared" si="31"/>
        <v>0</v>
      </c>
      <c r="AJ56" s="13">
        <f t="shared" si="31"/>
        <v>1</v>
      </c>
      <c r="AK56" s="13">
        <f t="shared" si="31"/>
        <v>1</v>
      </c>
      <c r="AL56" s="13">
        <f t="shared" si="31"/>
        <v>6</v>
      </c>
      <c r="AM56" s="13">
        <f t="shared" si="31"/>
        <v>2</v>
      </c>
      <c r="AN56" s="13">
        <f t="shared" si="31"/>
        <v>0</v>
      </c>
      <c r="AO56" s="13">
        <f t="shared" si="31"/>
        <v>2</v>
      </c>
      <c r="AP56" s="13">
        <f t="shared" si="31"/>
        <v>4</v>
      </c>
      <c r="AQ56" s="13">
        <f t="shared" si="32"/>
        <v>10</v>
      </c>
      <c r="AS56" s="30" t="s">
        <v>8582</v>
      </c>
      <c r="AT56"/>
      <c r="AU56" s="13">
        <f t="shared" si="36"/>
        <v>0</v>
      </c>
      <c r="AV56" s="13">
        <f t="shared" si="33"/>
        <v>1</v>
      </c>
      <c r="AW56" s="13">
        <f t="shared" si="33"/>
        <v>0</v>
      </c>
      <c r="AX56" s="13">
        <f t="shared" si="33"/>
        <v>0</v>
      </c>
      <c r="AY56" s="13">
        <f t="shared" si="33"/>
        <v>1</v>
      </c>
      <c r="AZ56" s="13">
        <f t="shared" si="33"/>
        <v>0</v>
      </c>
      <c r="BA56" s="13">
        <f t="shared" si="33"/>
        <v>1</v>
      </c>
      <c r="BB56" s="13">
        <f t="shared" si="33"/>
        <v>1</v>
      </c>
      <c r="BC56" s="13">
        <f t="shared" si="33"/>
        <v>0</v>
      </c>
      <c r="BD56" s="13">
        <f t="shared" si="33"/>
        <v>0</v>
      </c>
      <c r="BE56" s="13">
        <f t="shared" si="33"/>
        <v>1</v>
      </c>
      <c r="BF56" s="13">
        <f t="shared" si="33"/>
        <v>0</v>
      </c>
      <c r="BG56" s="13">
        <f t="shared" si="33"/>
        <v>5</v>
      </c>
      <c r="BH56" s="13">
        <f t="shared" si="33"/>
        <v>1</v>
      </c>
      <c r="BI56" s="13">
        <f t="shared" si="33"/>
        <v>0</v>
      </c>
      <c r="BJ56" s="13">
        <f t="shared" si="33"/>
        <v>2</v>
      </c>
      <c r="BK56" s="13">
        <f t="shared" si="33"/>
        <v>3</v>
      </c>
      <c r="BL56" s="13">
        <f t="shared" si="34"/>
        <v>8</v>
      </c>
    </row>
    <row r="57" spans="2:64" x14ac:dyDescent="0.2">
      <c r="B57" s="9" t="s">
        <v>8567</v>
      </c>
      <c r="C57" s="9" t="s">
        <v>7630</v>
      </c>
      <c r="D57" s="13">
        <v>1</v>
      </c>
      <c r="E57" s="13"/>
      <c r="F57" s="13">
        <v>3</v>
      </c>
      <c r="G57" s="13">
        <v>1</v>
      </c>
      <c r="H57" s="13">
        <v>3</v>
      </c>
      <c r="I57" s="13">
        <v>1</v>
      </c>
      <c r="J57" s="13">
        <v>4</v>
      </c>
      <c r="K57" s="13">
        <v>5</v>
      </c>
      <c r="L57" s="13">
        <v>3</v>
      </c>
      <c r="M57" s="13">
        <v>1</v>
      </c>
      <c r="N57" s="13">
        <v>2</v>
      </c>
      <c r="O57" s="13">
        <v>2</v>
      </c>
      <c r="P57" s="13">
        <v>26</v>
      </c>
      <c r="Q57" s="13">
        <v>2</v>
      </c>
      <c r="R57" s="13">
        <v>2</v>
      </c>
      <c r="S57" s="13">
        <v>2</v>
      </c>
      <c r="T57" s="13">
        <v>6</v>
      </c>
      <c r="U57" s="13">
        <v>32</v>
      </c>
      <c r="X57" s="30" t="s">
        <v>8583</v>
      </c>
      <c r="Z57" s="13">
        <f t="shared" si="35"/>
        <v>4</v>
      </c>
      <c r="AA57" s="13">
        <f t="shared" si="31"/>
        <v>3</v>
      </c>
      <c r="AB57" s="13">
        <f t="shared" si="31"/>
        <v>6</v>
      </c>
      <c r="AC57" s="13">
        <f t="shared" si="31"/>
        <v>8</v>
      </c>
      <c r="AD57" s="13">
        <f t="shared" si="31"/>
        <v>7</v>
      </c>
      <c r="AE57" s="13">
        <f t="shared" si="31"/>
        <v>11</v>
      </c>
      <c r="AF57" s="13">
        <f t="shared" si="31"/>
        <v>8</v>
      </c>
      <c r="AG57" s="13">
        <f t="shared" si="31"/>
        <v>14</v>
      </c>
      <c r="AH57" s="13">
        <f t="shared" si="31"/>
        <v>13</v>
      </c>
      <c r="AI57" s="13">
        <f t="shared" si="31"/>
        <v>12</v>
      </c>
      <c r="AJ57" s="13">
        <f t="shared" si="31"/>
        <v>6</v>
      </c>
      <c r="AK57" s="13">
        <f t="shared" si="31"/>
        <v>12</v>
      </c>
      <c r="AL57" s="13">
        <f t="shared" si="31"/>
        <v>104</v>
      </c>
      <c r="AM57" s="13">
        <f t="shared" si="31"/>
        <v>6</v>
      </c>
      <c r="AN57" s="13">
        <f t="shared" si="31"/>
        <v>5</v>
      </c>
      <c r="AO57" s="13">
        <f t="shared" si="31"/>
        <v>13</v>
      </c>
      <c r="AP57" s="13">
        <f t="shared" si="31"/>
        <v>24</v>
      </c>
      <c r="AQ57" s="13">
        <f t="shared" si="32"/>
        <v>128</v>
      </c>
      <c r="AS57" s="30" t="s">
        <v>8583</v>
      </c>
      <c r="AU57" s="13">
        <f t="shared" si="36"/>
        <v>3</v>
      </c>
      <c r="AV57" s="13">
        <f t="shared" si="33"/>
        <v>2</v>
      </c>
      <c r="AW57" s="13">
        <f t="shared" si="33"/>
        <v>1</v>
      </c>
      <c r="AX57" s="13">
        <f t="shared" si="33"/>
        <v>7</v>
      </c>
      <c r="AY57" s="13">
        <f t="shared" si="33"/>
        <v>6</v>
      </c>
      <c r="AZ57" s="13">
        <f t="shared" si="33"/>
        <v>9</v>
      </c>
      <c r="BA57" s="13">
        <f t="shared" si="33"/>
        <v>4</v>
      </c>
      <c r="BB57" s="13">
        <f t="shared" si="33"/>
        <v>7</v>
      </c>
      <c r="BC57" s="13">
        <f t="shared" si="33"/>
        <v>10</v>
      </c>
      <c r="BD57" s="13">
        <f t="shared" si="33"/>
        <v>8</v>
      </c>
      <c r="BE57" s="13">
        <f t="shared" si="33"/>
        <v>6</v>
      </c>
      <c r="BF57" s="13">
        <f t="shared" si="33"/>
        <v>11</v>
      </c>
      <c r="BG57" s="13">
        <f t="shared" si="33"/>
        <v>74</v>
      </c>
      <c r="BH57" s="13">
        <f t="shared" si="33"/>
        <v>2</v>
      </c>
      <c r="BI57" s="13">
        <f t="shared" si="33"/>
        <v>5</v>
      </c>
      <c r="BJ57" s="13">
        <f t="shared" si="33"/>
        <v>10</v>
      </c>
      <c r="BK57" s="13">
        <f t="shared" si="33"/>
        <v>17</v>
      </c>
      <c r="BL57" s="13">
        <f t="shared" si="34"/>
        <v>91</v>
      </c>
    </row>
    <row r="58" spans="2:64" x14ac:dyDescent="0.2">
      <c r="B58" s="9" t="s">
        <v>8567</v>
      </c>
      <c r="C58" s="9" t="s">
        <v>7632</v>
      </c>
      <c r="D58" s="13">
        <v>3</v>
      </c>
      <c r="E58" s="13">
        <v>3</v>
      </c>
      <c r="F58" s="13"/>
      <c r="G58" s="13">
        <v>1</v>
      </c>
      <c r="H58" s="13">
        <v>3</v>
      </c>
      <c r="I58" s="13">
        <v>5</v>
      </c>
      <c r="J58" s="13">
        <v>1</v>
      </c>
      <c r="K58" s="13">
        <v>5</v>
      </c>
      <c r="L58" s="13">
        <v>4</v>
      </c>
      <c r="M58" s="13">
        <v>3</v>
      </c>
      <c r="N58" s="13">
        <v>1</v>
      </c>
      <c r="O58" s="13">
        <v>3</v>
      </c>
      <c r="P58" s="13">
        <v>32</v>
      </c>
      <c r="Q58" s="13">
        <v>1</v>
      </c>
      <c r="R58" s="13">
        <v>2</v>
      </c>
      <c r="S58" s="13">
        <v>1</v>
      </c>
      <c r="T58" s="13">
        <v>4</v>
      </c>
      <c r="U58" s="13">
        <v>36</v>
      </c>
      <c r="X58" s="27" t="s">
        <v>8588</v>
      </c>
      <c r="Z58" s="13">
        <f>SUM(Z54:Z57)</f>
        <v>57</v>
      </c>
      <c r="AA58" s="13">
        <f t="shared" ref="AA58" si="37">SUM(AA54:AA57)</f>
        <v>53</v>
      </c>
      <c r="AB58" s="13">
        <f t="shared" ref="AB58" si="38">SUM(AB54:AB57)</f>
        <v>69</v>
      </c>
      <c r="AC58" s="13">
        <f t="shared" ref="AC58" si="39">SUM(AC54:AC57)</f>
        <v>89</v>
      </c>
      <c r="AD58" s="13">
        <f t="shared" ref="AD58" si="40">SUM(AD54:AD57)</f>
        <v>91</v>
      </c>
      <c r="AE58" s="13">
        <f t="shared" ref="AE58" si="41">SUM(AE54:AE57)</f>
        <v>87</v>
      </c>
      <c r="AF58" s="13">
        <f t="shared" ref="AF58" si="42">SUM(AF54:AF57)</f>
        <v>97</v>
      </c>
      <c r="AG58" s="13">
        <f t="shared" ref="AG58" si="43">SUM(AG54:AG57)</f>
        <v>106</v>
      </c>
      <c r="AH58" s="13">
        <f t="shared" ref="AH58" si="44">SUM(AH54:AH57)</f>
        <v>89</v>
      </c>
      <c r="AI58" s="13">
        <f t="shared" ref="AI58" si="45">SUM(AI54:AI57)</f>
        <v>99</v>
      </c>
      <c r="AJ58" s="13">
        <f t="shared" ref="AJ58" si="46">SUM(AJ54:AJ57)</f>
        <v>71</v>
      </c>
      <c r="AK58" s="13">
        <f t="shared" ref="AK58" si="47">SUM(AK54:AK57)</f>
        <v>81</v>
      </c>
      <c r="AL58" s="32">
        <f t="shared" ref="AL58" si="48">SUM(AL54:AL57)</f>
        <v>989</v>
      </c>
      <c r="AM58" s="13">
        <f t="shared" ref="AM58" si="49">SUM(AM54:AM57)</f>
        <v>75</v>
      </c>
      <c r="AN58" s="13">
        <f t="shared" ref="AN58" si="50">SUM(AN54:AN57)</f>
        <v>77</v>
      </c>
      <c r="AO58" s="13">
        <f t="shared" ref="AO58" si="51">SUM(AO54:AO57)</f>
        <v>114</v>
      </c>
      <c r="AP58" s="32">
        <f t="shared" ref="AP58" si="52">SUM(AP54:AP57)</f>
        <v>266</v>
      </c>
      <c r="AQ58" s="32">
        <f t="shared" ref="AQ58" si="53">SUM(AQ54:AQ57)</f>
        <v>1255</v>
      </c>
      <c r="AS58" s="27" t="s">
        <v>8588</v>
      </c>
      <c r="AU58" s="13">
        <f>SUM(AU54:AU57)</f>
        <v>51</v>
      </c>
      <c r="AV58" s="13">
        <f t="shared" ref="AV58" si="54">SUM(AV54:AV57)</f>
        <v>44</v>
      </c>
      <c r="AW58" s="13">
        <f t="shared" ref="AW58" si="55">SUM(AW54:AW57)</f>
        <v>55</v>
      </c>
      <c r="AX58" s="13">
        <f t="shared" ref="AX58" si="56">SUM(AX54:AX57)</f>
        <v>75</v>
      </c>
      <c r="AY58" s="13">
        <f t="shared" ref="AY58" si="57">SUM(AY54:AY57)</f>
        <v>79</v>
      </c>
      <c r="AZ58" s="13">
        <f t="shared" ref="AZ58" si="58">SUM(AZ54:AZ57)</f>
        <v>74</v>
      </c>
      <c r="BA58" s="13">
        <f t="shared" ref="BA58" si="59">SUM(BA54:BA57)</f>
        <v>68</v>
      </c>
      <c r="BB58" s="13">
        <f t="shared" ref="BB58" si="60">SUM(BB54:BB57)</f>
        <v>87</v>
      </c>
      <c r="BC58" s="13">
        <f t="shared" ref="BC58" si="61">SUM(BC54:BC57)</f>
        <v>71</v>
      </c>
      <c r="BD58" s="13">
        <f t="shared" ref="BD58" si="62">SUM(BD54:BD57)</f>
        <v>76</v>
      </c>
      <c r="BE58" s="13">
        <f t="shared" ref="BE58" si="63">SUM(BE54:BE57)</f>
        <v>54</v>
      </c>
      <c r="BF58" s="13">
        <f t="shared" ref="BF58" si="64">SUM(BF54:BF57)</f>
        <v>64</v>
      </c>
      <c r="BG58" s="32">
        <f t="shared" ref="BG58" si="65">SUM(BG54:BG57)</f>
        <v>798</v>
      </c>
      <c r="BH58" s="13">
        <f t="shared" ref="BH58" si="66">SUM(BH54:BH57)</f>
        <v>59</v>
      </c>
      <c r="BI58" s="13">
        <f t="shared" ref="BI58" si="67">SUM(BI54:BI57)</f>
        <v>62</v>
      </c>
      <c r="BJ58" s="13">
        <f t="shared" ref="BJ58" si="68">SUM(BJ54:BJ57)</f>
        <v>97</v>
      </c>
      <c r="BK58" s="32">
        <f t="shared" ref="BK58" si="69">SUM(BK54:BK57)</f>
        <v>218</v>
      </c>
      <c r="BL58" s="32">
        <f t="shared" ref="BL58" si="70">SUM(BL54:BL57)</f>
        <v>1016</v>
      </c>
    </row>
    <row r="59" spans="2:64" x14ac:dyDescent="0.2">
      <c r="B59" s="9" t="s">
        <v>8569</v>
      </c>
      <c r="D59" s="13">
        <v>93</v>
      </c>
      <c r="E59" s="13">
        <v>85</v>
      </c>
      <c r="F59" s="13">
        <v>100</v>
      </c>
      <c r="G59" s="13">
        <v>137</v>
      </c>
      <c r="H59" s="13">
        <v>133</v>
      </c>
      <c r="I59" s="13">
        <v>132</v>
      </c>
      <c r="J59" s="13">
        <v>142</v>
      </c>
      <c r="K59" s="13">
        <v>144</v>
      </c>
      <c r="L59" s="13">
        <v>124</v>
      </c>
      <c r="M59" s="13">
        <v>135</v>
      </c>
      <c r="N59" s="13">
        <v>90</v>
      </c>
      <c r="O59" s="13">
        <v>139</v>
      </c>
      <c r="P59" s="13">
        <v>1454</v>
      </c>
      <c r="Q59" s="13">
        <v>117</v>
      </c>
      <c r="R59" s="13">
        <v>107</v>
      </c>
      <c r="S59" s="13">
        <v>174</v>
      </c>
      <c r="T59" s="13">
        <v>398</v>
      </c>
      <c r="U59" s="13">
        <v>1852</v>
      </c>
      <c r="X59" s="9"/>
      <c r="Y59" s="9"/>
      <c r="AS59" s="9"/>
      <c r="AT59" s="9"/>
    </row>
    <row r="60" spans="2:64" x14ac:dyDescent="0.2">
      <c r="B60" s="9" t="s">
        <v>8565</v>
      </c>
      <c r="C60" s="9" t="s">
        <v>7594</v>
      </c>
      <c r="D60" s="13">
        <v>9</v>
      </c>
      <c r="E60" s="13">
        <v>4</v>
      </c>
      <c r="F60" s="13">
        <v>7</v>
      </c>
      <c r="G60" s="13">
        <v>11</v>
      </c>
      <c r="H60" s="13">
        <v>11</v>
      </c>
      <c r="I60" s="13">
        <v>10</v>
      </c>
      <c r="J60" s="13">
        <v>10</v>
      </c>
      <c r="K60" s="13">
        <v>17</v>
      </c>
      <c r="L60" s="13">
        <v>13</v>
      </c>
      <c r="M60" s="13">
        <v>31</v>
      </c>
      <c r="N60" s="13">
        <v>25</v>
      </c>
      <c r="O60" s="13">
        <v>19</v>
      </c>
      <c r="P60" s="13">
        <v>167</v>
      </c>
      <c r="Q60" s="13">
        <v>9</v>
      </c>
      <c r="R60" s="13">
        <v>13</v>
      </c>
      <c r="S60" s="13">
        <v>21</v>
      </c>
      <c r="T60" s="13">
        <v>43</v>
      </c>
      <c r="U60" s="13">
        <v>210</v>
      </c>
    </row>
    <row r="61" spans="2:64" x14ac:dyDescent="0.2">
      <c r="B61" s="9" t="s">
        <v>8565</v>
      </c>
      <c r="C61" s="9" t="s">
        <v>7606</v>
      </c>
      <c r="D61" s="13"/>
      <c r="E61" s="13"/>
      <c r="F61" s="13">
        <v>1</v>
      </c>
      <c r="G61" s="13">
        <v>2</v>
      </c>
      <c r="H61" s="13"/>
      <c r="I61" s="13">
        <v>2</v>
      </c>
      <c r="J61" s="13">
        <v>1</v>
      </c>
      <c r="K61" s="13"/>
      <c r="L61" s="13">
        <v>1</v>
      </c>
      <c r="M61" s="13">
        <v>1</v>
      </c>
      <c r="N61" s="13"/>
      <c r="O61" s="13">
        <v>8</v>
      </c>
      <c r="P61" s="13">
        <v>16</v>
      </c>
      <c r="Q61" s="13"/>
      <c r="R61" s="13">
        <v>1</v>
      </c>
      <c r="S61" s="13">
        <v>3</v>
      </c>
      <c r="T61" s="13">
        <v>4</v>
      </c>
      <c r="U61" s="13">
        <v>20</v>
      </c>
      <c r="X61" t="s">
        <v>8591</v>
      </c>
      <c r="Y61"/>
      <c r="AS61" t="s">
        <v>8591</v>
      </c>
      <c r="AT61"/>
    </row>
    <row r="62" spans="2:64" x14ac:dyDescent="0.2">
      <c r="B62" s="9" t="s">
        <v>8565</v>
      </c>
      <c r="C62" s="9" t="s">
        <v>7611</v>
      </c>
      <c r="D62" s="13"/>
      <c r="E62" s="13">
        <v>5</v>
      </c>
      <c r="F62" s="13">
        <v>2</v>
      </c>
      <c r="G62" s="13">
        <v>2</v>
      </c>
      <c r="H62" s="13">
        <v>2</v>
      </c>
      <c r="I62" s="13">
        <v>2</v>
      </c>
      <c r="J62" s="13">
        <v>2</v>
      </c>
      <c r="K62" s="13">
        <v>1</v>
      </c>
      <c r="L62" s="13">
        <v>4</v>
      </c>
      <c r="M62" s="13">
        <v>5</v>
      </c>
      <c r="N62" s="13"/>
      <c r="O62" s="13">
        <v>1</v>
      </c>
      <c r="P62" s="13">
        <v>26</v>
      </c>
      <c r="Q62" s="13">
        <v>2</v>
      </c>
      <c r="R62" s="13">
        <v>3</v>
      </c>
      <c r="S62" s="13">
        <v>2</v>
      </c>
      <c r="T62" s="13">
        <v>7</v>
      </c>
      <c r="U62" s="13">
        <v>33</v>
      </c>
      <c r="X62" s="30" t="s">
        <v>8577</v>
      </c>
      <c r="Y62"/>
      <c r="Z62" s="13">
        <f>IFERROR(Z46/Z54,0)</f>
        <v>174388.88888888888</v>
      </c>
      <c r="AA62" s="13">
        <f t="shared" ref="AA62:AQ62" si="71">IFERROR(AA46/AA54,0)</f>
        <v>159300</v>
      </c>
      <c r="AB62" s="13">
        <f t="shared" si="71"/>
        <v>211006.66666666666</v>
      </c>
      <c r="AC62" s="13">
        <f t="shared" si="71"/>
        <v>195470</v>
      </c>
      <c r="AD62" s="13">
        <f t="shared" si="71"/>
        <v>174277.77777777778</v>
      </c>
      <c r="AE62" s="13">
        <f t="shared" si="71"/>
        <v>260800</v>
      </c>
      <c r="AF62" s="13">
        <f t="shared" si="71"/>
        <v>282052.63157894736</v>
      </c>
      <c r="AG62" s="13">
        <f t="shared" si="71"/>
        <v>198775</v>
      </c>
      <c r="AH62" s="13">
        <f t="shared" si="71"/>
        <v>156437.77777777778</v>
      </c>
      <c r="AI62" s="13">
        <f t="shared" si="71"/>
        <v>218692.30769230769</v>
      </c>
      <c r="AJ62" s="13">
        <f t="shared" si="71"/>
        <v>142545.625</v>
      </c>
      <c r="AK62" s="13">
        <f t="shared" si="71"/>
        <v>179458.33333333334</v>
      </c>
      <c r="AL62" s="32">
        <f t="shared" si="71"/>
        <v>200446.61764705883</v>
      </c>
      <c r="AM62" s="13">
        <f t="shared" si="71"/>
        <v>225843.75</v>
      </c>
      <c r="AN62" s="13">
        <f t="shared" si="71"/>
        <v>194991.17647058822</v>
      </c>
      <c r="AO62" s="13">
        <f t="shared" si="71"/>
        <v>162166.66666666666</v>
      </c>
      <c r="AP62" s="32">
        <f t="shared" si="71"/>
        <v>191367.59259259258</v>
      </c>
      <c r="AQ62" s="32">
        <f t="shared" si="71"/>
        <v>198546.3565891473</v>
      </c>
      <c r="AS62" s="30" t="s">
        <v>8577</v>
      </c>
      <c r="AT62"/>
      <c r="AU62" s="13">
        <f>IFERROR(AU46/AU54,0)</f>
        <v>181882.35294117648</v>
      </c>
      <c r="AV62" s="13">
        <f t="shared" ref="AV62:BL62" si="72">IFERROR(AV46/AV54,0)</f>
        <v>201714.28571428571</v>
      </c>
      <c r="AW62" s="13">
        <f t="shared" si="72"/>
        <v>221435.71428571429</v>
      </c>
      <c r="AX62" s="13">
        <f t="shared" si="72"/>
        <v>203126.31578947368</v>
      </c>
      <c r="AY62" s="13">
        <f t="shared" si="72"/>
        <v>181823.5294117647</v>
      </c>
      <c r="AZ62" s="13">
        <f t="shared" si="72"/>
        <v>238409.09090909091</v>
      </c>
      <c r="BA62" s="13">
        <f t="shared" si="72"/>
        <v>282052.63157894736</v>
      </c>
      <c r="BB62" s="13">
        <f t="shared" si="72"/>
        <v>206763.15789473685</v>
      </c>
      <c r="BC62" s="13">
        <f t="shared" si="72"/>
        <v>186062.85714285713</v>
      </c>
      <c r="BD62" s="13">
        <f t="shared" si="72"/>
        <v>218692.30769230769</v>
      </c>
      <c r="BE62" s="13">
        <f t="shared" si="72"/>
        <v>165210</v>
      </c>
      <c r="BF62" s="13">
        <f t="shared" si="72"/>
        <v>205200</v>
      </c>
      <c r="BG62" s="32">
        <f t="shared" si="72"/>
        <v>210514.1847826087</v>
      </c>
      <c r="BH62" s="13">
        <f t="shared" si="72"/>
        <v>225843.75</v>
      </c>
      <c r="BI62" s="13">
        <f t="shared" si="72"/>
        <v>203115.625</v>
      </c>
      <c r="BJ62" s="13">
        <f t="shared" si="72"/>
        <v>187147.0588235294</v>
      </c>
      <c r="BK62" s="32">
        <f t="shared" si="72"/>
        <v>204996.93877551021</v>
      </c>
      <c r="BL62" s="32">
        <f t="shared" si="72"/>
        <v>209353.90557939914</v>
      </c>
    </row>
    <row r="63" spans="2:64" x14ac:dyDescent="0.2">
      <c r="B63" s="9" t="s">
        <v>8565</v>
      </c>
      <c r="C63" s="9" t="s">
        <v>7615</v>
      </c>
      <c r="D63" s="13">
        <v>1</v>
      </c>
      <c r="E63" s="13">
        <v>1</v>
      </c>
      <c r="F63" s="13">
        <v>2</v>
      </c>
      <c r="G63" s="13">
        <v>2</v>
      </c>
      <c r="H63" s="13">
        <v>2</v>
      </c>
      <c r="I63" s="13">
        <v>3</v>
      </c>
      <c r="J63" s="13">
        <v>6</v>
      </c>
      <c r="K63" s="13">
        <v>4</v>
      </c>
      <c r="L63" s="13">
        <v>2</v>
      </c>
      <c r="M63" s="13"/>
      <c r="N63" s="13">
        <v>4</v>
      </c>
      <c r="O63" s="13">
        <v>4</v>
      </c>
      <c r="P63" s="13">
        <v>31</v>
      </c>
      <c r="Q63" s="13"/>
      <c r="R63" s="13">
        <v>1</v>
      </c>
      <c r="S63" s="13">
        <v>2</v>
      </c>
      <c r="T63" s="13">
        <v>3</v>
      </c>
      <c r="U63" s="13">
        <v>34</v>
      </c>
      <c r="X63" s="30" t="s">
        <v>8578</v>
      </c>
      <c r="Y63"/>
      <c r="Z63" s="13">
        <f t="shared" ref="Z63:AQ63" si="73">IFERROR(Z47/Z55,0)</f>
        <v>120231.11428571428</v>
      </c>
      <c r="AA63" s="13">
        <f t="shared" si="73"/>
        <v>143922.66666666666</v>
      </c>
      <c r="AB63" s="13">
        <f t="shared" si="73"/>
        <v>160208.10416666666</v>
      </c>
      <c r="AC63" s="13">
        <f t="shared" si="73"/>
        <v>153598.36065573769</v>
      </c>
      <c r="AD63" s="13">
        <f t="shared" si="73"/>
        <v>150408.76923076922</v>
      </c>
      <c r="AE63" s="13">
        <f t="shared" si="73"/>
        <v>149799.01960784313</v>
      </c>
      <c r="AF63" s="13">
        <f t="shared" si="73"/>
        <v>133813.44927536231</v>
      </c>
      <c r="AG63" s="13">
        <f t="shared" si="73"/>
        <v>130156.33802816902</v>
      </c>
      <c r="AH63" s="13">
        <f t="shared" si="73"/>
        <v>122025.86206896552</v>
      </c>
      <c r="AI63" s="13">
        <f t="shared" si="73"/>
        <v>126769.67567567568</v>
      </c>
      <c r="AJ63" s="13">
        <f t="shared" si="73"/>
        <v>113400.75</v>
      </c>
      <c r="AK63" s="13">
        <f t="shared" si="73"/>
        <v>158006.82142857142</v>
      </c>
      <c r="AL63" s="32">
        <f t="shared" si="73"/>
        <v>138549.90222222221</v>
      </c>
      <c r="AM63" s="13">
        <f t="shared" si="73"/>
        <v>141404.90196078431</v>
      </c>
      <c r="AN63" s="13">
        <f t="shared" si="73"/>
        <v>131326.30909090908</v>
      </c>
      <c r="AO63" s="13">
        <f t="shared" si="73"/>
        <v>128685.89743589744</v>
      </c>
      <c r="AP63" s="32">
        <f t="shared" si="73"/>
        <v>133000.52717391305</v>
      </c>
      <c r="AQ63" s="32">
        <f t="shared" si="73"/>
        <v>137361.21187427241</v>
      </c>
      <c r="AS63" s="30" t="s">
        <v>8578</v>
      </c>
      <c r="AT63"/>
      <c r="AU63" s="13">
        <f t="shared" ref="AU63:BL63" si="74">IFERROR(AU47/AU55,0)</f>
        <v>128970.6129032258</v>
      </c>
      <c r="AV63" s="13">
        <f t="shared" si="74"/>
        <v>156705.41176470587</v>
      </c>
      <c r="AW63" s="13">
        <f t="shared" si="74"/>
        <v>179887.22500000001</v>
      </c>
      <c r="AX63" s="13">
        <f t="shared" si="74"/>
        <v>177755.10204081633</v>
      </c>
      <c r="AY63" s="13">
        <f t="shared" si="74"/>
        <v>167874</v>
      </c>
      <c r="AZ63" s="13">
        <f t="shared" si="74"/>
        <v>168459.3023255814</v>
      </c>
      <c r="BA63" s="13">
        <f t="shared" si="74"/>
        <v>179480.18181818182</v>
      </c>
      <c r="BB63" s="13">
        <f t="shared" si="74"/>
        <v>144943.33333333334</v>
      </c>
      <c r="BC63" s="13">
        <f t="shared" si="74"/>
        <v>137755.31914893616</v>
      </c>
      <c r="BD63" s="13">
        <f t="shared" si="74"/>
        <v>153217.38181818181</v>
      </c>
      <c r="BE63" s="13">
        <f t="shared" si="74"/>
        <v>136464.70588235295</v>
      </c>
      <c r="BF63" s="13">
        <f t="shared" si="74"/>
        <v>163283.3023255814</v>
      </c>
      <c r="BG63" s="32">
        <f t="shared" si="74"/>
        <v>158625.32336448599</v>
      </c>
      <c r="BH63" s="13">
        <f t="shared" si="74"/>
        <v>166168.75</v>
      </c>
      <c r="BI63" s="13">
        <f t="shared" si="74"/>
        <v>157401.14634146341</v>
      </c>
      <c r="BJ63" s="13">
        <f t="shared" si="74"/>
        <v>139764.70588235295</v>
      </c>
      <c r="BK63" s="32">
        <f t="shared" si="74"/>
        <v>151706.02013422819</v>
      </c>
      <c r="BL63" s="32">
        <f t="shared" si="74"/>
        <v>157118.04824561405</v>
      </c>
    </row>
    <row r="64" spans="2:64" x14ac:dyDescent="0.2">
      <c r="B64" s="9" t="s">
        <v>8565</v>
      </c>
      <c r="C64" s="9" t="s">
        <v>7617</v>
      </c>
      <c r="D64" s="13">
        <v>1</v>
      </c>
      <c r="E64" s="13"/>
      <c r="F64" s="13">
        <v>1</v>
      </c>
      <c r="G64" s="13"/>
      <c r="H64" s="13">
        <v>2</v>
      </c>
      <c r="I64" s="13"/>
      <c r="J64" s="13">
        <v>1</v>
      </c>
      <c r="K64" s="13"/>
      <c r="L64" s="13"/>
      <c r="M64" s="13"/>
      <c r="N64" s="13"/>
      <c r="O64" s="13">
        <v>1</v>
      </c>
      <c r="P64" s="13">
        <v>6</v>
      </c>
      <c r="Q64" s="13"/>
      <c r="R64" s="13"/>
      <c r="S64" s="13"/>
      <c r="T64" s="13"/>
      <c r="U64" s="13">
        <v>6</v>
      </c>
      <c r="X64" s="30" t="s">
        <v>8582</v>
      </c>
      <c r="Y64"/>
      <c r="Z64" s="13">
        <f t="shared" ref="Z64:AQ64" si="75">IFERROR(Z48/Z56,0)</f>
        <v>0</v>
      </c>
      <c r="AA64" s="13">
        <f t="shared" si="75"/>
        <v>132500</v>
      </c>
      <c r="AB64" s="13">
        <f t="shared" si="75"/>
        <v>0</v>
      </c>
      <c r="AC64" s="13">
        <f t="shared" si="75"/>
        <v>0</v>
      </c>
      <c r="AD64" s="13">
        <f t="shared" si="75"/>
        <v>85000</v>
      </c>
      <c r="AE64" s="13">
        <f t="shared" si="75"/>
        <v>0</v>
      </c>
      <c r="AF64" s="13">
        <f t="shared" si="75"/>
        <v>105000</v>
      </c>
      <c r="AG64" s="13">
        <f t="shared" si="75"/>
        <v>88830</v>
      </c>
      <c r="AH64" s="13">
        <f t="shared" si="75"/>
        <v>0</v>
      </c>
      <c r="AI64" s="13">
        <f t="shared" si="75"/>
        <v>0</v>
      </c>
      <c r="AJ64" s="13">
        <f t="shared" si="75"/>
        <v>152000</v>
      </c>
      <c r="AK64" s="13">
        <f t="shared" si="75"/>
        <v>42000</v>
      </c>
      <c r="AL64" s="32">
        <f t="shared" si="75"/>
        <v>100888.33333333333</v>
      </c>
      <c r="AM64" s="13">
        <f t="shared" si="75"/>
        <v>72250</v>
      </c>
      <c r="AN64" s="13">
        <f t="shared" si="75"/>
        <v>0</v>
      </c>
      <c r="AO64" s="13">
        <f t="shared" si="75"/>
        <v>200500</v>
      </c>
      <c r="AP64" s="32">
        <f t="shared" si="75"/>
        <v>136375</v>
      </c>
      <c r="AQ64" s="32">
        <f t="shared" si="75"/>
        <v>115083</v>
      </c>
      <c r="AS64" s="30" t="s">
        <v>8582</v>
      </c>
      <c r="AT64"/>
      <c r="AU64" s="13">
        <f t="shared" ref="AU64:BL64" si="76">IFERROR(AU48/AU56,0)</f>
        <v>0</v>
      </c>
      <c r="AV64" s="13">
        <f t="shared" si="76"/>
        <v>132500</v>
      </c>
      <c r="AW64" s="13">
        <f t="shared" si="76"/>
        <v>0</v>
      </c>
      <c r="AX64" s="13">
        <f t="shared" si="76"/>
        <v>0</v>
      </c>
      <c r="AY64" s="13">
        <f t="shared" si="76"/>
        <v>85000</v>
      </c>
      <c r="AZ64" s="13">
        <f t="shared" si="76"/>
        <v>0</v>
      </c>
      <c r="BA64" s="13">
        <f t="shared" si="76"/>
        <v>105000</v>
      </c>
      <c r="BB64" s="13">
        <f t="shared" si="76"/>
        <v>88830</v>
      </c>
      <c r="BC64" s="13">
        <f t="shared" si="76"/>
        <v>0</v>
      </c>
      <c r="BD64" s="13">
        <f t="shared" si="76"/>
        <v>0</v>
      </c>
      <c r="BE64" s="13">
        <f t="shared" si="76"/>
        <v>152000</v>
      </c>
      <c r="BF64" s="13">
        <f t="shared" si="76"/>
        <v>0</v>
      </c>
      <c r="BG64" s="32">
        <f t="shared" si="76"/>
        <v>112666</v>
      </c>
      <c r="BH64" s="13">
        <f t="shared" si="76"/>
        <v>89000</v>
      </c>
      <c r="BI64" s="13">
        <f t="shared" si="76"/>
        <v>0</v>
      </c>
      <c r="BJ64" s="13">
        <f t="shared" si="76"/>
        <v>200500</v>
      </c>
      <c r="BK64" s="32">
        <f t="shared" si="76"/>
        <v>163333.33333333334</v>
      </c>
      <c r="BL64" s="32">
        <f t="shared" si="76"/>
        <v>131666.25</v>
      </c>
    </row>
    <row r="65" spans="2:64" x14ac:dyDescent="0.2">
      <c r="B65" s="9" t="s">
        <v>8565</v>
      </c>
      <c r="C65" s="9" t="s">
        <v>7621</v>
      </c>
      <c r="D65" s="13">
        <v>1</v>
      </c>
      <c r="E65" s="13"/>
      <c r="F65" s="13">
        <v>1</v>
      </c>
      <c r="G65" s="13">
        <v>1</v>
      </c>
      <c r="H65" s="13"/>
      <c r="I65" s="13">
        <v>2</v>
      </c>
      <c r="J65" s="13">
        <v>4</v>
      </c>
      <c r="K65" s="13">
        <v>4</v>
      </c>
      <c r="L65" s="13">
        <v>2</v>
      </c>
      <c r="M65" s="13">
        <v>4</v>
      </c>
      <c r="N65" s="13">
        <v>7</v>
      </c>
      <c r="O65" s="13">
        <v>3</v>
      </c>
      <c r="P65" s="13">
        <v>29</v>
      </c>
      <c r="Q65" s="13"/>
      <c r="R65" s="13">
        <v>3</v>
      </c>
      <c r="S65" s="13">
        <v>2</v>
      </c>
      <c r="T65" s="13">
        <v>5</v>
      </c>
      <c r="U65" s="13">
        <v>34</v>
      </c>
      <c r="X65" s="30" t="s">
        <v>8583</v>
      </c>
      <c r="Y65"/>
      <c r="Z65" s="13">
        <f t="shared" ref="Z65:AQ65" si="77">IFERROR(Z49/Z57,0)</f>
        <v>150125</v>
      </c>
      <c r="AA65" s="13">
        <f t="shared" si="77"/>
        <v>119000</v>
      </c>
      <c r="AB65" s="13">
        <f t="shared" si="77"/>
        <v>82500</v>
      </c>
      <c r="AC65" s="13">
        <f t="shared" si="77"/>
        <v>113500</v>
      </c>
      <c r="AD65" s="13">
        <f t="shared" si="77"/>
        <v>110857.14285714286</v>
      </c>
      <c r="AE65" s="13">
        <f t="shared" si="77"/>
        <v>129636.36363636363</v>
      </c>
      <c r="AF65" s="13">
        <f t="shared" si="77"/>
        <v>91250</v>
      </c>
      <c r="AG65" s="13">
        <f t="shared" si="77"/>
        <v>93950</v>
      </c>
      <c r="AH65" s="13">
        <f t="shared" si="77"/>
        <v>133923.07692307694</v>
      </c>
      <c r="AI65" s="13">
        <f t="shared" si="77"/>
        <v>108405.83333333333</v>
      </c>
      <c r="AJ65" s="13">
        <f t="shared" si="77"/>
        <v>143333.33333333334</v>
      </c>
      <c r="AK65" s="13">
        <f t="shared" si="77"/>
        <v>135950</v>
      </c>
      <c r="AL65" s="32">
        <f t="shared" si="77"/>
        <v>116741.05769230769</v>
      </c>
      <c r="AM65" s="13">
        <f t="shared" si="77"/>
        <v>71000</v>
      </c>
      <c r="AN65" s="13">
        <f t="shared" si="77"/>
        <v>142200</v>
      </c>
      <c r="AO65" s="13">
        <f t="shared" si="77"/>
        <v>123807.69230769231</v>
      </c>
      <c r="AP65" s="32">
        <f t="shared" si="77"/>
        <v>114437.5</v>
      </c>
      <c r="AQ65" s="32">
        <f t="shared" si="77"/>
        <v>116309.140625</v>
      </c>
      <c r="AS65" s="30" t="s">
        <v>8583</v>
      </c>
      <c r="AT65"/>
      <c r="AU65" s="13">
        <f t="shared" ref="AU65:BL65" si="78">IFERROR(AU49/AU57,0)</f>
        <v>188000</v>
      </c>
      <c r="AV65" s="13">
        <f t="shared" si="78"/>
        <v>146500</v>
      </c>
      <c r="AW65" s="13">
        <f t="shared" si="78"/>
        <v>245000</v>
      </c>
      <c r="AX65" s="13">
        <f t="shared" si="78"/>
        <v>123000</v>
      </c>
      <c r="AY65" s="13">
        <f t="shared" si="78"/>
        <v>118500</v>
      </c>
      <c r="AZ65" s="13">
        <f t="shared" si="78"/>
        <v>146888.88888888888</v>
      </c>
      <c r="BA65" s="13">
        <f t="shared" si="78"/>
        <v>126750</v>
      </c>
      <c r="BB65" s="13">
        <f t="shared" si="78"/>
        <v>132500</v>
      </c>
      <c r="BC65" s="13">
        <f t="shared" si="78"/>
        <v>161000</v>
      </c>
      <c r="BD65" s="13">
        <f t="shared" si="78"/>
        <v>139983.75</v>
      </c>
      <c r="BE65" s="13">
        <f t="shared" si="78"/>
        <v>143333.33333333334</v>
      </c>
      <c r="BF65" s="13">
        <f t="shared" si="78"/>
        <v>142400</v>
      </c>
      <c r="BG65" s="32">
        <f t="shared" si="78"/>
        <v>143064.45945945947</v>
      </c>
      <c r="BH65" s="13">
        <f t="shared" si="78"/>
        <v>108500</v>
      </c>
      <c r="BI65" s="13">
        <f t="shared" si="78"/>
        <v>142200</v>
      </c>
      <c r="BJ65" s="13">
        <f t="shared" si="78"/>
        <v>145550</v>
      </c>
      <c r="BK65" s="32">
        <f t="shared" si="78"/>
        <v>140205.88235294117</v>
      </c>
      <c r="BL65" s="32">
        <f t="shared" si="78"/>
        <v>142530.43956043955</v>
      </c>
    </row>
    <row r="66" spans="2:64" x14ac:dyDescent="0.2">
      <c r="B66" s="9" t="s">
        <v>8565</v>
      </c>
      <c r="C66" s="9" t="s">
        <v>7626</v>
      </c>
      <c r="D66" s="13"/>
      <c r="E66" s="13"/>
      <c r="F66" s="13"/>
      <c r="G66" s="13">
        <v>1</v>
      </c>
      <c r="H66" s="13">
        <v>1</v>
      </c>
      <c r="I66" s="13"/>
      <c r="J66" s="13">
        <v>4</v>
      </c>
      <c r="K66" s="13">
        <v>6</v>
      </c>
      <c r="L66" s="13">
        <v>7</v>
      </c>
      <c r="M66" s="13">
        <v>19</v>
      </c>
      <c r="N66" s="13">
        <v>9</v>
      </c>
      <c r="O66" s="13">
        <v>12</v>
      </c>
      <c r="P66" s="13">
        <v>59</v>
      </c>
      <c r="Q66" s="13">
        <v>3</v>
      </c>
      <c r="R66" s="13">
        <v>5</v>
      </c>
      <c r="S66" s="13">
        <v>14</v>
      </c>
      <c r="T66" s="13">
        <v>22</v>
      </c>
      <c r="U66" s="13">
        <v>81</v>
      </c>
      <c r="X66" s="27" t="s">
        <v>8588</v>
      </c>
      <c r="Y66"/>
      <c r="Z66" s="13">
        <f t="shared" ref="Z66:AQ66" si="79">IFERROR(Z50/Z58,0)</f>
        <v>139431.38596491228</v>
      </c>
      <c r="AA66" s="13">
        <f t="shared" si="79"/>
        <v>145197.81132075473</v>
      </c>
      <c r="AB66" s="13">
        <f t="shared" si="79"/>
        <v>164494.04347826086</v>
      </c>
      <c r="AC66" s="13">
        <f t="shared" si="79"/>
        <v>159403.37078651684</v>
      </c>
      <c r="AD66" s="13">
        <f t="shared" si="79"/>
        <v>151368.90109890109</v>
      </c>
      <c r="AE66" s="13">
        <f t="shared" si="79"/>
        <v>179146.55172413794</v>
      </c>
      <c r="AF66" s="13">
        <f t="shared" si="79"/>
        <v>159042.55670103093</v>
      </c>
      <c r="AG66" s="13">
        <f t="shared" si="79"/>
        <v>137931.41509433961</v>
      </c>
      <c r="AH66" s="13">
        <f t="shared" si="79"/>
        <v>130723.37078651685</v>
      </c>
      <c r="AI66" s="13">
        <f t="shared" si="79"/>
        <v>136614.40404040404</v>
      </c>
      <c r="AJ66" s="13">
        <f t="shared" si="79"/>
        <v>123041.77464788733</v>
      </c>
      <c r="AK66" s="13">
        <f t="shared" si="79"/>
        <v>156484.96296296295</v>
      </c>
      <c r="AL66" s="32">
        <f t="shared" si="79"/>
        <v>148795.44388270981</v>
      </c>
      <c r="AM66" s="13">
        <f t="shared" si="79"/>
        <v>151942</v>
      </c>
      <c r="AN66" s="13">
        <f t="shared" si="79"/>
        <v>146088.27272727274</v>
      </c>
      <c r="AO66" s="13">
        <f t="shared" si="79"/>
        <v>135557.01754385966</v>
      </c>
      <c r="AP66" s="32">
        <f t="shared" si="79"/>
        <v>143225.36466165414</v>
      </c>
      <c r="AQ66" s="32">
        <f t="shared" si="79"/>
        <v>147614.8533864542</v>
      </c>
      <c r="AS66" s="27" t="s">
        <v>8588</v>
      </c>
      <c r="AT66"/>
      <c r="AU66" s="13">
        <f t="shared" ref="AU66:BL66" si="80">IFERROR(AU50/AU58,0)</f>
        <v>150080.17647058822</v>
      </c>
      <c r="AV66" s="13">
        <f t="shared" si="80"/>
        <v>162851.90909090909</v>
      </c>
      <c r="AW66" s="13">
        <f t="shared" si="80"/>
        <v>191647.07272727272</v>
      </c>
      <c r="AX66" s="13">
        <f t="shared" si="80"/>
        <v>179072</v>
      </c>
      <c r="AY66" s="13">
        <f t="shared" si="80"/>
        <v>166076.83544303797</v>
      </c>
      <c r="AZ66" s="13">
        <f t="shared" si="80"/>
        <v>186631.75675675675</v>
      </c>
      <c r="BA66" s="13">
        <f t="shared" si="80"/>
        <v>203943.0588235294</v>
      </c>
      <c r="BB66" s="13">
        <f t="shared" si="80"/>
        <v>156798.0459770115</v>
      </c>
      <c r="BC66" s="13">
        <f t="shared" si="80"/>
        <v>150554.64788732395</v>
      </c>
      <c r="BD66" s="13">
        <f t="shared" si="80"/>
        <v>163024.02631578947</v>
      </c>
      <c r="BE66" s="13">
        <f t="shared" si="80"/>
        <v>144435.74074074073</v>
      </c>
      <c r="BF66" s="13">
        <f t="shared" si="80"/>
        <v>166243.46875</v>
      </c>
      <c r="BG66" s="32">
        <f t="shared" si="80"/>
        <v>168858.71929824562</v>
      </c>
      <c r="BH66" s="13">
        <f t="shared" si="80"/>
        <v>179088.98305084746</v>
      </c>
      <c r="BI66" s="13">
        <f t="shared" si="80"/>
        <v>167972.53225806452</v>
      </c>
      <c r="BJ66" s="13">
        <f t="shared" si="80"/>
        <v>149917.52577319587</v>
      </c>
      <c r="BK66" s="32">
        <f t="shared" si="80"/>
        <v>162947.46330275229</v>
      </c>
      <c r="BL66" s="32">
        <f t="shared" si="80"/>
        <v>167590.3592519685</v>
      </c>
    </row>
    <row r="67" spans="2:64" x14ac:dyDescent="0.2">
      <c r="B67" s="9" t="s">
        <v>8565</v>
      </c>
      <c r="C67" s="9" t="s">
        <v>7630</v>
      </c>
      <c r="D67" s="13"/>
      <c r="E67" s="13"/>
      <c r="F67" s="13">
        <v>1</v>
      </c>
      <c r="G67" s="13"/>
      <c r="H67" s="13"/>
      <c r="I67" s="13"/>
      <c r="J67" s="13">
        <v>1</v>
      </c>
      <c r="K67" s="13">
        <v>1</v>
      </c>
      <c r="L67" s="13"/>
      <c r="M67" s="13">
        <v>1</v>
      </c>
      <c r="N67" s="13"/>
      <c r="O67" s="13"/>
      <c r="P67" s="13">
        <v>4</v>
      </c>
      <c r="Q67" s="13"/>
      <c r="R67" s="13"/>
      <c r="S67" s="13">
        <v>1</v>
      </c>
      <c r="T67" s="13">
        <v>1</v>
      </c>
      <c r="U67" s="13">
        <v>5</v>
      </c>
      <c r="X67"/>
      <c r="Y67"/>
      <c r="Z67"/>
      <c r="AA67"/>
      <c r="AB67"/>
      <c r="AC67"/>
      <c r="AD67"/>
      <c r="AE67"/>
      <c r="AF67"/>
      <c r="AG67"/>
      <c r="AH67"/>
      <c r="AI67"/>
      <c r="AJ67"/>
      <c r="AK67"/>
      <c r="AL67"/>
      <c r="AM67"/>
      <c r="AN67"/>
      <c r="AO67"/>
      <c r="AP67"/>
      <c r="AQ67"/>
      <c r="AS67"/>
      <c r="AT67"/>
      <c r="AU67"/>
      <c r="AV67"/>
      <c r="AW67"/>
      <c r="AX67"/>
      <c r="AY67"/>
      <c r="AZ67"/>
      <c r="BA67"/>
      <c r="BB67"/>
      <c r="BC67"/>
      <c r="BD67"/>
      <c r="BE67"/>
      <c r="BF67"/>
      <c r="BG67"/>
      <c r="BH67"/>
      <c r="BI67"/>
      <c r="BJ67"/>
      <c r="BK67"/>
      <c r="BL67"/>
    </row>
    <row r="68" spans="2:64" x14ac:dyDescent="0.2">
      <c r="B68" s="9" t="s">
        <v>8565</v>
      </c>
      <c r="C68" s="9" t="s">
        <v>7632</v>
      </c>
      <c r="D68" s="13">
        <v>1</v>
      </c>
      <c r="E68" s="13">
        <v>2</v>
      </c>
      <c r="F68" s="13"/>
      <c r="G68" s="13">
        <v>1</v>
      </c>
      <c r="H68" s="13">
        <v>2</v>
      </c>
      <c r="I68" s="13">
        <v>2</v>
      </c>
      <c r="J68" s="13">
        <v>4</v>
      </c>
      <c r="K68" s="13">
        <v>5</v>
      </c>
      <c r="L68" s="13">
        <v>2</v>
      </c>
      <c r="M68" s="13">
        <v>1</v>
      </c>
      <c r="N68" s="13"/>
      <c r="O68" s="13">
        <v>2</v>
      </c>
      <c r="P68" s="13">
        <v>22</v>
      </c>
      <c r="Q68" s="13"/>
      <c r="R68" s="13"/>
      <c r="S68" s="13"/>
      <c r="T68" s="13"/>
      <c r="U68" s="13">
        <v>22</v>
      </c>
      <c r="X68"/>
      <c r="Y68"/>
      <c r="Z68"/>
      <c r="AA68"/>
      <c r="AB68"/>
      <c r="AC68"/>
      <c r="AD68"/>
      <c r="AE68"/>
      <c r="AF68"/>
      <c r="AG68"/>
      <c r="AH68"/>
      <c r="AI68"/>
      <c r="AJ68"/>
      <c r="AK68"/>
      <c r="AL68"/>
      <c r="AM68"/>
      <c r="AN68"/>
      <c r="AO68"/>
      <c r="AP68"/>
      <c r="AQ68"/>
      <c r="AS68"/>
      <c r="AT68"/>
      <c r="AU68"/>
      <c r="AV68"/>
      <c r="AW68"/>
      <c r="AX68"/>
      <c r="AY68"/>
      <c r="AZ68"/>
      <c r="BA68"/>
      <c r="BB68"/>
      <c r="BC68"/>
      <c r="BD68"/>
      <c r="BE68"/>
      <c r="BF68"/>
      <c r="BG68"/>
      <c r="BH68"/>
      <c r="BI68"/>
      <c r="BJ68"/>
      <c r="BK68"/>
      <c r="BL68"/>
    </row>
    <row r="69" spans="2:64" x14ac:dyDescent="0.2">
      <c r="B69" s="9" t="s">
        <v>8570</v>
      </c>
      <c r="D69" s="13">
        <v>13</v>
      </c>
      <c r="E69" s="13">
        <v>12</v>
      </c>
      <c r="F69" s="13">
        <v>15</v>
      </c>
      <c r="G69" s="13">
        <v>20</v>
      </c>
      <c r="H69" s="13">
        <v>20</v>
      </c>
      <c r="I69" s="13">
        <v>21</v>
      </c>
      <c r="J69" s="13">
        <v>33</v>
      </c>
      <c r="K69" s="13">
        <v>38</v>
      </c>
      <c r="L69" s="13">
        <v>31</v>
      </c>
      <c r="M69" s="13">
        <v>62</v>
      </c>
      <c r="N69" s="13">
        <v>45</v>
      </c>
      <c r="O69" s="13">
        <v>50</v>
      </c>
      <c r="P69" s="13">
        <v>360</v>
      </c>
      <c r="Q69" s="13">
        <v>14</v>
      </c>
      <c r="R69" s="13">
        <v>26</v>
      </c>
      <c r="S69" s="13">
        <v>45</v>
      </c>
      <c r="T69" s="13">
        <v>85</v>
      </c>
      <c r="U69" s="13">
        <v>445</v>
      </c>
      <c r="X69"/>
      <c r="Y69"/>
      <c r="Z69"/>
      <c r="AA69"/>
      <c r="AB69"/>
      <c r="AC69"/>
      <c r="AD69"/>
      <c r="AE69"/>
      <c r="AF69"/>
      <c r="AG69"/>
      <c r="AH69"/>
      <c r="AI69"/>
      <c r="AJ69"/>
      <c r="AK69"/>
      <c r="AL69"/>
      <c r="AM69"/>
      <c r="AN69"/>
      <c r="AO69"/>
      <c r="AP69"/>
      <c r="AQ69"/>
      <c r="AS69" t="s">
        <v>7594</v>
      </c>
      <c r="AT69"/>
      <c r="AU69" s="23">
        <f>AU8+AU13+AU22+AU26+AU29</f>
        <v>5179689</v>
      </c>
      <c r="AV69" s="23">
        <f t="shared" ref="AV69:BL69" si="81">AV8+AV13+AV22+AV26+AV29</f>
        <v>4926000</v>
      </c>
      <c r="AW69" s="23">
        <f t="shared" si="81"/>
        <v>6656900</v>
      </c>
      <c r="AX69" s="23">
        <f t="shared" si="81"/>
        <v>8729000</v>
      </c>
      <c r="AY69" s="23">
        <f t="shared" si="81"/>
        <v>8850070</v>
      </c>
      <c r="AZ69" s="23">
        <f t="shared" si="81"/>
        <v>7269000</v>
      </c>
      <c r="BA69" s="23">
        <f t="shared" si="81"/>
        <v>8195000</v>
      </c>
      <c r="BB69" s="23">
        <f t="shared" si="81"/>
        <v>9348700</v>
      </c>
      <c r="BC69" s="23">
        <f t="shared" si="81"/>
        <v>7364380</v>
      </c>
      <c r="BD69" s="23">
        <f t="shared" si="81"/>
        <v>9377326</v>
      </c>
      <c r="BE69" s="23">
        <f t="shared" si="81"/>
        <v>5296230</v>
      </c>
      <c r="BF69" s="23">
        <f t="shared" si="81"/>
        <v>6636082</v>
      </c>
      <c r="BG69" s="23">
        <f t="shared" si="81"/>
        <v>87828377</v>
      </c>
      <c r="BH69" s="23">
        <f t="shared" si="81"/>
        <v>6352250</v>
      </c>
      <c r="BI69" s="23">
        <f t="shared" si="81"/>
        <v>6632500</v>
      </c>
      <c r="BJ69" s="23">
        <f t="shared" si="81"/>
        <v>9178000</v>
      </c>
      <c r="BK69" s="23">
        <f t="shared" si="81"/>
        <v>22162750</v>
      </c>
      <c r="BL69" s="23">
        <f t="shared" si="81"/>
        <v>109991127</v>
      </c>
    </row>
    <row r="70" spans="2:64" x14ac:dyDescent="0.2">
      <c r="B70" s="9" t="s">
        <v>8566</v>
      </c>
      <c r="C70" s="9" t="s">
        <v>7594</v>
      </c>
      <c r="D70" s="13">
        <v>6</v>
      </c>
      <c r="E70" s="13">
        <v>11</v>
      </c>
      <c r="F70" s="13">
        <v>9</v>
      </c>
      <c r="G70" s="13">
        <v>11</v>
      </c>
      <c r="H70" s="13">
        <v>14</v>
      </c>
      <c r="I70" s="13">
        <v>13</v>
      </c>
      <c r="J70" s="13">
        <v>19</v>
      </c>
      <c r="K70" s="13">
        <v>14</v>
      </c>
      <c r="L70" s="13">
        <v>21</v>
      </c>
      <c r="M70" s="13">
        <v>22</v>
      </c>
      <c r="N70" s="13">
        <v>14</v>
      </c>
      <c r="O70" s="13">
        <v>23</v>
      </c>
      <c r="P70" s="13">
        <v>177</v>
      </c>
      <c r="Q70" s="13">
        <v>8</v>
      </c>
      <c r="R70" s="13">
        <v>15</v>
      </c>
      <c r="S70" s="13">
        <v>16</v>
      </c>
      <c r="T70" s="13">
        <v>39</v>
      </c>
      <c r="U70" s="13">
        <v>216</v>
      </c>
      <c r="X70" s="21"/>
      <c r="Y70" s="21"/>
      <c r="Z70"/>
      <c r="AA70"/>
      <c r="AB70"/>
      <c r="AC70"/>
      <c r="AD70"/>
      <c r="AE70"/>
      <c r="AF70"/>
      <c r="AG70"/>
      <c r="AH70"/>
      <c r="AI70"/>
      <c r="AJ70"/>
      <c r="AK70"/>
      <c r="AL70"/>
      <c r="AM70"/>
      <c r="AN70"/>
      <c r="AO70"/>
      <c r="AP70"/>
      <c r="AQ70"/>
      <c r="AS70" s="21" t="s">
        <v>7594</v>
      </c>
      <c r="AT70" s="21"/>
      <c r="AU70" s="23">
        <f>AU91+AU96+AU105+AU109+AU112</f>
        <v>36</v>
      </c>
      <c r="AV70" s="23">
        <f t="shared" ref="AV70:BL70" si="82">AV91+AV96+AV105+AV109+AV112</f>
        <v>30</v>
      </c>
      <c r="AW70" s="23">
        <f t="shared" si="82"/>
        <v>34</v>
      </c>
      <c r="AX70" s="23">
        <f t="shared" si="82"/>
        <v>50</v>
      </c>
      <c r="AY70" s="23">
        <f t="shared" si="82"/>
        <v>56</v>
      </c>
      <c r="AZ70" s="23">
        <f t="shared" si="82"/>
        <v>42</v>
      </c>
      <c r="BA70" s="23">
        <f t="shared" si="82"/>
        <v>45</v>
      </c>
      <c r="BB70" s="23">
        <f t="shared" si="82"/>
        <v>63</v>
      </c>
      <c r="BC70" s="23">
        <f t="shared" si="82"/>
        <v>47</v>
      </c>
      <c r="BD70" s="23">
        <f t="shared" si="82"/>
        <v>56</v>
      </c>
      <c r="BE70" s="23">
        <f t="shared" si="82"/>
        <v>37</v>
      </c>
      <c r="BF70" s="23">
        <f t="shared" si="82"/>
        <v>42</v>
      </c>
      <c r="BG70" s="23">
        <f t="shared" si="82"/>
        <v>538</v>
      </c>
      <c r="BH70" s="23">
        <f t="shared" si="82"/>
        <v>34</v>
      </c>
      <c r="BI70" s="23">
        <f t="shared" si="82"/>
        <v>41</v>
      </c>
      <c r="BJ70" s="23">
        <f t="shared" si="82"/>
        <v>64</v>
      </c>
      <c r="BK70" s="23">
        <f t="shared" si="82"/>
        <v>139</v>
      </c>
      <c r="BL70" s="23">
        <f t="shared" si="82"/>
        <v>677</v>
      </c>
    </row>
    <row r="71" spans="2:64" x14ac:dyDescent="0.2">
      <c r="B71" s="9" t="s">
        <v>8566</v>
      </c>
      <c r="C71" s="9" t="s">
        <v>7606</v>
      </c>
      <c r="D71" s="13">
        <v>1</v>
      </c>
      <c r="E71" s="13">
        <v>1</v>
      </c>
      <c r="F71" s="13"/>
      <c r="G71" s="13">
        <v>1</v>
      </c>
      <c r="H71" s="13"/>
      <c r="I71" s="13">
        <v>1</v>
      </c>
      <c r="J71" s="13">
        <v>2</v>
      </c>
      <c r="K71" s="13"/>
      <c r="L71" s="13"/>
      <c r="M71" s="13"/>
      <c r="N71" s="13">
        <v>1</v>
      </c>
      <c r="O71" s="13">
        <v>11</v>
      </c>
      <c r="P71" s="13">
        <v>18</v>
      </c>
      <c r="Q71" s="13">
        <v>1</v>
      </c>
      <c r="R71" s="13">
        <v>2</v>
      </c>
      <c r="S71" s="13">
        <v>2</v>
      </c>
      <c r="T71" s="13">
        <v>5</v>
      </c>
      <c r="U71" s="13">
        <v>23</v>
      </c>
      <c r="X71" s="21"/>
      <c r="Y71" s="21"/>
      <c r="Z71"/>
      <c r="AA71"/>
      <c r="AB71"/>
      <c r="AC71"/>
      <c r="AD71"/>
      <c r="AE71"/>
      <c r="AF71"/>
      <c r="AG71"/>
      <c r="AH71"/>
      <c r="AI71"/>
      <c r="AJ71"/>
      <c r="AK71"/>
      <c r="AL71"/>
      <c r="AM71"/>
      <c r="AN71"/>
      <c r="AO71"/>
      <c r="AP71"/>
      <c r="AQ71"/>
      <c r="AS71" s="21"/>
      <c r="AT71" s="21"/>
      <c r="AU71"/>
      <c r="AV71"/>
      <c r="AW71"/>
      <c r="AX71"/>
      <c r="AY71"/>
      <c r="AZ71"/>
      <c r="BA71"/>
      <c r="BB71"/>
      <c r="BC71"/>
      <c r="BD71"/>
      <c r="BE71"/>
      <c r="BF71"/>
      <c r="BG71"/>
      <c r="BH71"/>
      <c r="BI71"/>
      <c r="BJ71"/>
      <c r="BK71"/>
      <c r="BL71"/>
    </row>
    <row r="72" spans="2:64" x14ac:dyDescent="0.2">
      <c r="B72" s="9" t="s">
        <v>8566</v>
      </c>
      <c r="C72" s="9" t="s">
        <v>7611</v>
      </c>
      <c r="D72" s="13">
        <v>3</v>
      </c>
      <c r="E72" s="13">
        <v>1</v>
      </c>
      <c r="F72" s="13">
        <v>2</v>
      </c>
      <c r="G72" s="13">
        <v>2</v>
      </c>
      <c r="H72" s="13">
        <v>1</v>
      </c>
      <c r="I72" s="13">
        <v>4</v>
      </c>
      <c r="J72" s="13">
        <v>1</v>
      </c>
      <c r="K72" s="13">
        <v>2</v>
      </c>
      <c r="L72" s="13">
        <v>5</v>
      </c>
      <c r="M72" s="13"/>
      <c r="N72" s="13"/>
      <c r="O72" s="13">
        <v>1</v>
      </c>
      <c r="P72" s="13">
        <v>22</v>
      </c>
      <c r="Q72" s="13"/>
      <c r="R72" s="13">
        <v>3</v>
      </c>
      <c r="S72" s="13">
        <v>1</v>
      </c>
      <c r="T72" s="13">
        <v>4</v>
      </c>
      <c r="U72" s="13">
        <v>26</v>
      </c>
      <c r="X72" s="21"/>
      <c r="Y72" s="21"/>
      <c r="Z72"/>
      <c r="AA72"/>
      <c r="AB72"/>
      <c r="AC72"/>
      <c r="AD72"/>
      <c r="AE72"/>
      <c r="AF72"/>
      <c r="AG72"/>
      <c r="AH72"/>
      <c r="AI72"/>
      <c r="AJ72"/>
      <c r="AK72"/>
      <c r="AL72"/>
      <c r="AM72"/>
      <c r="AN72"/>
      <c r="AO72"/>
      <c r="AP72"/>
      <c r="AQ72"/>
      <c r="AS72" s="21"/>
      <c r="AT72" s="21"/>
      <c r="AU72"/>
      <c r="AV72"/>
      <c r="AW72"/>
      <c r="AX72"/>
      <c r="AY72"/>
      <c r="AZ72"/>
      <c r="BA72"/>
      <c r="BB72"/>
      <c r="BC72"/>
      <c r="BD72"/>
      <c r="BE72"/>
      <c r="BF72"/>
      <c r="BG72"/>
      <c r="BH72"/>
      <c r="BI72"/>
      <c r="BJ72"/>
      <c r="BK72"/>
      <c r="BL72"/>
    </row>
    <row r="73" spans="2:64" x14ac:dyDescent="0.2">
      <c r="B73" s="9" t="s">
        <v>8566</v>
      </c>
      <c r="C73" s="9" t="s">
        <v>7615</v>
      </c>
      <c r="D73" s="13"/>
      <c r="E73" s="13"/>
      <c r="F73" s="13"/>
      <c r="G73" s="13">
        <v>2</v>
      </c>
      <c r="H73" s="13">
        <v>1</v>
      </c>
      <c r="I73" s="13">
        <v>1</v>
      </c>
      <c r="J73" s="13">
        <v>1</v>
      </c>
      <c r="K73" s="13">
        <v>1</v>
      </c>
      <c r="L73" s="13">
        <v>2</v>
      </c>
      <c r="M73" s="13"/>
      <c r="N73" s="13">
        <v>1</v>
      </c>
      <c r="O73" s="13">
        <v>3</v>
      </c>
      <c r="P73" s="13">
        <v>12</v>
      </c>
      <c r="Q73" s="13">
        <v>1</v>
      </c>
      <c r="R73" s="13"/>
      <c r="S73" s="13">
        <v>1</v>
      </c>
      <c r="T73" s="13">
        <v>2</v>
      </c>
      <c r="U73" s="13">
        <v>14</v>
      </c>
      <c r="X73" s="21"/>
      <c r="Y73" s="21"/>
      <c r="Z73"/>
      <c r="AA73"/>
      <c r="AB73"/>
      <c r="AC73"/>
      <c r="AD73"/>
      <c r="AE73"/>
      <c r="AF73"/>
      <c r="AG73"/>
      <c r="AH73"/>
      <c r="AI73"/>
      <c r="AJ73"/>
      <c r="AK73"/>
      <c r="AL73"/>
      <c r="AM73"/>
      <c r="AN73"/>
      <c r="AO73"/>
      <c r="AP73"/>
      <c r="AQ73"/>
      <c r="AS73" s="21"/>
      <c r="AT73" s="21"/>
      <c r="AU73"/>
      <c r="AV73"/>
      <c r="AW73"/>
      <c r="AX73"/>
      <c r="AY73"/>
      <c r="AZ73"/>
      <c r="BA73"/>
      <c r="BB73"/>
      <c r="BC73"/>
      <c r="BD73"/>
      <c r="BE73"/>
      <c r="BF73"/>
      <c r="BG73"/>
      <c r="BH73"/>
      <c r="BI73"/>
      <c r="BJ73"/>
      <c r="BK73"/>
      <c r="BL73"/>
    </row>
    <row r="74" spans="2:64" x14ac:dyDescent="0.2">
      <c r="B74" s="9" t="s">
        <v>8566</v>
      </c>
      <c r="C74" s="9" t="s">
        <v>7617</v>
      </c>
      <c r="D74" s="13"/>
      <c r="E74" s="13">
        <v>1</v>
      </c>
      <c r="F74" s="13"/>
      <c r="G74" s="13"/>
      <c r="H74" s="13">
        <v>1</v>
      </c>
      <c r="I74" s="13">
        <v>3</v>
      </c>
      <c r="J74" s="13"/>
      <c r="K74" s="13">
        <v>1</v>
      </c>
      <c r="L74" s="13">
        <v>1</v>
      </c>
      <c r="M74" s="13">
        <v>1</v>
      </c>
      <c r="N74" s="13">
        <v>1</v>
      </c>
      <c r="O74" s="13">
        <v>2</v>
      </c>
      <c r="P74" s="13">
        <v>11</v>
      </c>
      <c r="Q74" s="13">
        <v>1</v>
      </c>
      <c r="R74" s="13"/>
      <c r="S74" s="13">
        <v>1</v>
      </c>
      <c r="T74" s="13">
        <v>2</v>
      </c>
      <c r="U74" s="13">
        <v>13</v>
      </c>
      <c r="X74" s="21"/>
      <c r="Y74" s="21"/>
      <c r="Z74"/>
      <c r="AA74"/>
      <c r="AB74"/>
      <c r="AC74"/>
      <c r="AD74"/>
      <c r="AE74"/>
      <c r="AF74"/>
      <c r="AG74"/>
      <c r="AH74"/>
      <c r="AI74"/>
      <c r="AJ74"/>
      <c r="AK74"/>
      <c r="AL74"/>
      <c r="AM74"/>
      <c r="AN74"/>
      <c r="AO74"/>
      <c r="AP74"/>
      <c r="AQ74"/>
      <c r="AS74" s="21"/>
      <c r="AT74" s="21"/>
      <c r="AU74"/>
      <c r="AV74"/>
      <c r="AW74"/>
      <c r="AX74"/>
      <c r="AY74"/>
      <c r="AZ74"/>
      <c r="BA74"/>
      <c r="BB74"/>
      <c r="BC74"/>
      <c r="BD74"/>
      <c r="BE74"/>
      <c r="BF74"/>
      <c r="BG74"/>
      <c r="BH74"/>
      <c r="BI74"/>
      <c r="BJ74"/>
      <c r="BK74"/>
      <c r="BL74"/>
    </row>
    <row r="75" spans="2:64" x14ac:dyDescent="0.2">
      <c r="B75" s="9" t="s">
        <v>8566</v>
      </c>
      <c r="C75" s="9" t="s">
        <v>7621</v>
      </c>
      <c r="D75" s="13">
        <v>2</v>
      </c>
      <c r="E75" s="13">
        <v>1</v>
      </c>
      <c r="F75" s="13"/>
      <c r="G75" s="13">
        <v>1</v>
      </c>
      <c r="H75" s="13"/>
      <c r="I75" s="13">
        <v>1</v>
      </c>
      <c r="J75" s="13">
        <v>1</v>
      </c>
      <c r="K75" s="13">
        <v>3</v>
      </c>
      <c r="L75" s="13">
        <v>1</v>
      </c>
      <c r="M75" s="13"/>
      <c r="N75" s="13"/>
      <c r="O75" s="13">
        <v>3</v>
      </c>
      <c r="P75" s="13">
        <v>13</v>
      </c>
      <c r="Q75" s="13">
        <v>3</v>
      </c>
      <c r="R75" s="13">
        <v>1</v>
      </c>
      <c r="S75" s="13">
        <v>2</v>
      </c>
      <c r="T75" s="13">
        <v>6</v>
      </c>
      <c r="U75" s="13">
        <v>19</v>
      </c>
      <c r="X75" s="21"/>
      <c r="Y75" s="21"/>
      <c r="Z75"/>
      <c r="AA75"/>
      <c r="AB75"/>
      <c r="AC75"/>
      <c r="AD75"/>
      <c r="AE75"/>
      <c r="AF75"/>
      <c r="AG75"/>
      <c r="AH75"/>
      <c r="AI75"/>
      <c r="AJ75"/>
      <c r="AK75"/>
      <c r="AL75"/>
      <c r="AM75"/>
      <c r="AN75"/>
      <c r="AO75"/>
      <c r="AP75"/>
      <c r="AQ75"/>
      <c r="AS75" s="21"/>
      <c r="AT75" s="21"/>
      <c r="AU75"/>
      <c r="AV75"/>
      <c r="AW75"/>
      <c r="AX75"/>
      <c r="AY75"/>
      <c r="AZ75"/>
      <c r="BA75"/>
      <c r="BB75"/>
      <c r="BC75"/>
      <c r="BD75"/>
      <c r="BE75"/>
      <c r="BF75"/>
      <c r="BG75"/>
      <c r="BH75"/>
      <c r="BI75"/>
      <c r="BJ75"/>
      <c r="BK75"/>
      <c r="BL75"/>
    </row>
    <row r="76" spans="2:64" x14ac:dyDescent="0.2">
      <c r="B76" s="9" t="s">
        <v>8566</v>
      </c>
      <c r="C76" s="9" t="s">
        <v>7626</v>
      </c>
      <c r="D76" s="13">
        <v>4</v>
      </c>
      <c r="E76" s="13">
        <v>3</v>
      </c>
      <c r="F76" s="13">
        <v>10</v>
      </c>
      <c r="G76" s="13">
        <v>8</v>
      </c>
      <c r="H76" s="13">
        <v>6</v>
      </c>
      <c r="I76" s="13">
        <v>6</v>
      </c>
      <c r="J76" s="13">
        <v>5</v>
      </c>
      <c r="K76" s="13">
        <v>3</v>
      </c>
      <c r="L76" s="13">
        <v>5</v>
      </c>
      <c r="M76" s="13">
        <v>3</v>
      </c>
      <c r="N76" s="13">
        <v>2</v>
      </c>
      <c r="O76" s="13">
        <v>1</v>
      </c>
      <c r="P76" s="13">
        <v>56</v>
      </c>
      <c r="Q76" s="13">
        <v>2</v>
      </c>
      <c r="R76" s="13">
        <v>2</v>
      </c>
      <c r="S76" s="13">
        <v>1</v>
      </c>
      <c r="T76" s="13">
        <v>5</v>
      </c>
      <c r="U76" s="13">
        <v>61</v>
      </c>
      <c r="X76" s="21"/>
      <c r="Y76" s="21"/>
      <c r="Z76"/>
      <c r="AA76"/>
      <c r="AB76"/>
      <c r="AC76"/>
      <c r="AD76"/>
      <c r="AE76"/>
      <c r="AF76"/>
      <c r="AG76"/>
      <c r="AH76"/>
      <c r="AI76"/>
      <c r="AJ76"/>
      <c r="AK76"/>
      <c r="AL76"/>
      <c r="AM76"/>
      <c r="AN76"/>
      <c r="AO76"/>
      <c r="AP76"/>
      <c r="AQ76"/>
      <c r="AS76" s="21"/>
      <c r="AT76" s="21"/>
      <c r="AU76"/>
      <c r="AV76"/>
      <c r="AW76"/>
      <c r="AX76"/>
      <c r="AY76"/>
      <c r="AZ76"/>
      <c r="BA76"/>
      <c r="BB76"/>
      <c r="BC76"/>
      <c r="BD76"/>
      <c r="BE76"/>
      <c r="BF76"/>
      <c r="BG76"/>
      <c r="BH76"/>
      <c r="BI76"/>
      <c r="BJ76"/>
      <c r="BK76"/>
      <c r="BL76"/>
    </row>
    <row r="77" spans="2:64" x14ac:dyDescent="0.2">
      <c r="B77" s="9" t="s">
        <v>8566</v>
      </c>
      <c r="C77" s="9" t="s">
        <v>7630</v>
      </c>
      <c r="D77" s="13"/>
      <c r="E77" s="13"/>
      <c r="F77" s="13">
        <v>1</v>
      </c>
      <c r="G77" s="13"/>
      <c r="H77" s="13"/>
      <c r="I77" s="13"/>
      <c r="J77" s="13"/>
      <c r="K77" s="13">
        <v>1</v>
      </c>
      <c r="L77" s="13"/>
      <c r="M77" s="13"/>
      <c r="N77" s="13">
        <v>1</v>
      </c>
      <c r="O77" s="13">
        <v>1</v>
      </c>
      <c r="P77" s="13">
        <v>4</v>
      </c>
      <c r="Q77" s="13"/>
      <c r="R77" s="13"/>
      <c r="S77" s="13">
        <v>1</v>
      </c>
      <c r="T77" s="13">
        <v>1</v>
      </c>
      <c r="U77" s="13">
        <v>5</v>
      </c>
      <c r="X77" s="21"/>
      <c r="Y77" s="21"/>
      <c r="Z77"/>
      <c r="AA77"/>
      <c r="AB77"/>
      <c r="AC77"/>
      <c r="AD77"/>
      <c r="AE77"/>
      <c r="AF77"/>
      <c r="AG77"/>
      <c r="AH77"/>
      <c r="AI77"/>
      <c r="AJ77"/>
      <c r="AK77"/>
      <c r="AL77"/>
      <c r="AM77"/>
      <c r="AN77"/>
      <c r="AO77"/>
      <c r="AP77"/>
      <c r="AQ77"/>
      <c r="AS77" s="21"/>
      <c r="AT77" s="21"/>
      <c r="AU77"/>
      <c r="AV77"/>
      <c r="AW77"/>
      <c r="AX77"/>
      <c r="AY77"/>
      <c r="AZ77"/>
      <c r="BA77"/>
      <c r="BB77"/>
      <c r="BC77"/>
      <c r="BD77"/>
      <c r="BE77"/>
      <c r="BF77"/>
      <c r="BG77"/>
      <c r="BH77"/>
      <c r="BI77"/>
      <c r="BJ77"/>
      <c r="BK77"/>
      <c r="BL77"/>
    </row>
    <row r="78" spans="2:64" x14ac:dyDescent="0.2">
      <c r="B78" s="9" t="s">
        <v>8566</v>
      </c>
      <c r="C78" s="9" t="s">
        <v>7632</v>
      </c>
      <c r="D78" s="13"/>
      <c r="E78" s="13"/>
      <c r="F78" s="13">
        <v>2</v>
      </c>
      <c r="G78" s="13">
        <v>1</v>
      </c>
      <c r="H78" s="13">
        <v>3</v>
      </c>
      <c r="I78" s="13">
        <v>3</v>
      </c>
      <c r="J78" s="13"/>
      <c r="K78" s="13"/>
      <c r="L78" s="13"/>
      <c r="M78" s="13">
        <v>5</v>
      </c>
      <c r="N78" s="13"/>
      <c r="O78" s="13">
        <v>3</v>
      </c>
      <c r="P78" s="13">
        <v>17</v>
      </c>
      <c r="Q78" s="13"/>
      <c r="R78" s="13">
        <v>1</v>
      </c>
      <c r="S78" s="13">
        <v>3</v>
      </c>
      <c r="T78" s="13">
        <v>4</v>
      </c>
      <c r="U78" s="13">
        <v>21</v>
      </c>
      <c r="X78" s="21"/>
      <c r="Y78" s="21"/>
      <c r="Z78"/>
      <c r="AA78"/>
      <c r="AB78"/>
      <c r="AC78"/>
      <c r="AD78"/>
      <c r="AE78"/>
      <c r="AF78"/>
      <c r="AG78"/>
      <c r="AH78"/>
      <c r="AI78"/>
      <c r="AJ78"/>
      <c r="AK78"/>
      <c r="AL78"/>
      <c r="AM78"/>
      <c r="AN78"/>
      <c r="AO78"/>
      <c r="AP78"/>
      <c r="AQ78"/>
      <c r="AS78" s="21"/>
      <c r="AT78" s="21"/>
      <c r="AU78"/>
      <c r="AV78"/>
      <c r="AW78"/>
      <c r="AX78"/>
      <c r="AY78"/>
      <c r="AZ78"/>
      <c r="BA78"/>
      <c r="BB78"/>
      <c r="BC78"/>
      <c r="BD78"/>
      <c r="BE78"/>
      <c r="BF78"/>
      <c r="BG78"/>
      <c r="BH78"/>
      <c r="BI78"/>
      <c r="BJ78"/>
      <c r="BK78"/>
      <c r="BL78"/>
    </row>
    <row r="79" spans="2:64" x14ac:dyDescent="0.2">
      <c r="B79" s="9" t="s">
        <v>8571</v>
      </c>
      <c r="D79" s="13">
        <v>16</v>
      </c>
      <c r="E79" s="13">
        <v>18</v>
      </c>
      <c r="F79" s="13">
        <v>24</v>
      </c>
      <c r="G79" s="13">
        <v>26</v>
      </c>
      <c r="H79" s="13">
        <v>26</v>
      </c>
      <c r="I79" s="13">
        <v>32</v>
      </c>
      <c r="J79" s="13">
        <v>29</v>
      </c>
      <c r="K79" s="13">
        <v>25</v>
      </c>
      <c r="L79" s="13">
        <v>35</v>
      </c>
      <c r="M79" s="13">
        <v>31</v>
      </c>
      <c r="N79" s="13">
        <v>20</v>
      </c>
      <c r="O79" s="13">
        <v>48</v>
      </c>
      <c r="P79" s="13">
        <v>330</v>
      </c>
      <c r="Q79" s="13">
        <v>16</v>
      </c>
      <c r="R79" s="13">
        <v>24</v>
      </c>
      <c r="S79" s="13">
        <v>28</v>
      </c>
      <c r="T79" s="13">
        <v>68</v>
      </c>
      <c r="U79" s="13">
        <v>398</v>
      </c>
      <c r="X79" s="21"/>
      <c r="Y79" s="21"/>
      <c r="Z79"/>
      <c r="AA79"/>
      <c r="AB79"/>
      <c r="AC79"/>
      <c r="AD79"/>
      <c r="AE79"/>
      <c r="AF79"/>
      <c r="AG79"/>
      <c r="AH79"/>
      <c r="AI79"/>
      <c r="AJ79"/>
      <c r="AK79"/>
      <c r="AL79"/>
      <c r="AM79"/>
      <c r="AN79"/>
      <c r="AO79"/>
      <c r="AP79"/>
      <c r="AQ79"/>
      <c r="AS79" s="21"/>
      <c r="AT79" s="21"/>
      <c r="AU79"/>
      <c r="AV79"/>
      <c r="AW79"/>
      <c r="AX79"/>
      <c r="AY79"/>
      <c r="AZ79"/>
      <c r="BA79"/>
      <c r="BB79"/>
      <c r="BC79"/>
      <c r="BD79"/>
      <c r="BE79"/>
      <c r="BF79"/>
      <c r="BG79"/>
      <c r="BH79"/>
      <c r="BI79"/>
      <c r="BJ79"/>
      <c r="BK79"/>
      <c r="BL79"/>
    </row>
    <row r="80" spans="2:64" x14ac:dyDescent="0.2">
      <c r="B80" s="9" t="s">
        <v>8562</v>
      </c>
      <c r="D80" s="13">
        <v>122</v>
      </c>
      <c r="E80" s="13">
        <v>115</v>
      </c>
      <c r="F80" s="13">
        <v>139</v>
      </c>
      <c r="G80" s="13">
        <v>183</v>
      </c>
      <c r="H80" s="13">
        <v>179</v>
      </c>
      <c r="I80" s="13">
        <v>185</v>
      </c>
      <c r="J80" s="13">
        <v>204</v>
      </c>
      <c r="K80" s="13">
        <v>207</v>
      </c>
      <c r="L80" s="13">
        <v>190</v>
      </c>
      <c r="M80" s="13">
        <v>228</v>
      </c>
      <c r="N80" s="13">
        <v>155</v>
      </c>
      <c r="O80" s="13">
        <v>237</v>
      </c>
      <c r="P80" s="13">
        <v>2144</v>
      </c>
      <c r="Q80" s="13">
        <v>147</v>
      </c>
      <c r="R80" s="13">
        <v>157</v>
      </c>
      <c r="S80" s="13">
        <v>247</v>
      </c>
      <c r="T80" s="13">
        <v>551</v>
      </c>
      <c r="U80" s="13">
        <v>2695</v>
      </c>
      <c r="X80" s="21"/>
      <c r="Y80" s="21"/>
      <c r="Z80"/>
      <c r="AA80"/>
      <c r="AB80"/>
      <c r="AC80"/>
      <c r="AD80"/>
      <c r="AE80"/>
      <c r="AF80"/>
      <c r="AG80"/>
      <c r="AH80"/>
      <c r="AI80"/>
      <c r="AJ80"/>
      <c r="AK80"/>
      <c r="AL80"/>
      <c r="AM80"/>
      <c r="AN80"/>
      <c r="AO80"/>
      <c r="AP80"/>
      <c r="AQ80"/>
      <c r="AS80" s="21"/>
      <c r="AT80" s="21"/>
      <c r="AU80"/>
      <c r="AV80"/>
      <c r="AW80"/>
      <c r="AX80"/>
      <c r="AY80"/>
      <c r="AZ80"/>
      <c r="BA80"/>
      <c r="BB80"/>
      <c r="BC80"/>
      <c r="BD80"/>
      <c r="BE80"/>
      <c r="BF80"/>
      <c r="BG80"/>
      <c r="BH80"/>
      <c r="BI80"/>
      <c r="BJ80"/>
      <c r="BK80"/>
      <c r="BL80"/>
    </row>
    <row r="84" spans="2:64" x14ac:dyDescent="0.2">
      <c r="B84" s="24" t="s">
        <v>2</v>
      </c>
      <c r="C84" s="9" t="s">
        <v>8573</v>
      </c>
      <c r="X84" s="24" t="s">
        <v>2</v>
      </c>
      <c r="Y84" s="9" t="s">
        <v>8573</v>
      </c>
      <c r="AS84" s="24" t="s">
        <v>2</v>
      </c>
      <c r="AT84" s="9" t="s">
        <v>8573</v>
      </c>
    </row>
    <row r="85" spans="2:64" x14ac:dyDescent="0.2">
      <c r="B85" s="24" t="s">
        <v>8592</v>
      </c>
      <c r="C85" s="9" t="s">
        <v>8572</v>
      </c>
      <c r="X85" s="24" t="s">
        <v>7</v>
      </c>
      <c r="Y85" s="9" t="s">
        <v>8572</v>
      </c>
      <c r="AS85" s="26" t="s">
        <v>8568</v>
      </c>
      <c r="AT85" s="27" t="s">
        <v>8567</v>
      </c>
    </row>
    <row r="86" spans="2:64" x14ac:dyDescent="0.2">
      <c r="X86" s="26" t="s">
        <v>8568</v>
      </c>
      <c r="Y86" s="27" t="s">
        <v>8567</v>
      </c>
      <c r="AS86" s="24" t="s">
        <v>8592</v>
      </c>
      <c r="AT86" s="13">
        <v>1</v>
      </c>
    </row>
    <row r="87" spans="2:64" x14ac:dyDescent="0.2">
      <c r="B87" s="24" t="s">
        <v>8576</v>
      </c>
      <c r="D87" s="24" t="s">
        <v>8560</v>
      </c>
      <c r="E87" s="24" t="s">
        <v>8561</v>
      </c>
      <c r="X87"/>
      <c r="Y87"/>
      <c r="Z87" s="13">
        <v>3</v>
      </c>
      <c r="AA87">
        <v>4</v>
      </c>
      <c r="AB87" s="13">
        <v>5</v>
      </c>
      <c r="AC87">
        <v>6</v>
      </c>
      <c r="AD87" s="13">
        <v>7</v>
      </c>
      <c r="AE87">
        <v>8</v>
      </c>
      <c r="AF87" s="13">
        <v>9</v>
      </c>
      <c r="AG87">
        <v>10</v>
      </c>
      <c r="AH87" s="13">
        <v>11</v>
      </c>
      <c r="AI87">
        <v>12</v>
      </c>
      <c r="AJ87" s="13">
        <v>13</v>
      </c>
      <c r="AK87">
        <v>14</v>
      </c>
      <c r="AL87" s="13">
        <v>15</v>
      </c>
      <c r="AM87">
        <v>16</v>
      </c>
      <c r="AN87" s="13">
        <v>17</v>
      </c>
      <c r="AO87">
        <v>18</v>
      </c>
      <c r="AP87" s="13">
        <v>19</v>
      </c>
      <c r="AQ87">
        <v>20</v>
      </c>
      <c r="AS87"/>
      <c r="AT87"/>
      <c r="AU87" s="13">
        <v>3</v>
      </c>
      <c r="AV87">
        <v>4</v>
      </c>
      <c r="AW87" s="13">
        <v>5</v>
      </c>
      <c r="AX87">
        <v>6</v>
      </c>
      <c r="AY87" s="13">
        <v>7</v>
      </c>
      <c r="AZ87">
        <v>8</v>
      </c>
      <c r="BA87" s="13">
        <v>9</v>
      </c>
      <c r="BB87">
        <v>10</v>
      </c>
      <c r="BC87" s="13">
        <v>11</v>
      </c>
      <c r="BD87">
        <v>12</v>
      </c>
      <c r="BE87" s="13">
        <v>13</v>
      </c>
      <c r="BF87">
        <v>14</v>
      </c>
      <c r="BG87" s="13">
        <v>15</v>
      </c>
      <c r="BH87">
        <v>16</v>
      </c>
      <c r="BI87" s="13">
        <v>17</v>
      </c>
      <c r="BJ87">
        <v>18</v>
      </c>
      <c r="BK87" s="13">
        <v>19</v>
      </c>
      <c r="BL87">
        <v>20</v>
      </c>
    </row>
    <row r="88" spans="2:64" x14ac:dyDescent="0.2">
      <c r="D88" s="25">
        <v>2025</v>
      </c>
      <c r="E88" s="25">
        <v>2025</v>
      </c>
      <c r="F88" s="25">
        <v>2025</v>
      </c>
      <c r="G88" s="25">
        <v>2025</v>
      </c>
      <c r="H88" s="25">
        <v>2025</v>
      </c>
      <c r="I88" s="25">
        <v>2025</v>
      </c>
      <c r="J88" s="25">
        <v>2025</v>
      </c>
      <c r="K88" s="25">
        <v>2025</v>
      </c>
      <c r="L88" s="25">
        <v>2025</v>
      </c>
      <c r="M88" s="25">
        <v>2025</v>
      </c>
      <c r="N88" s="25">
        <v>2025</v>
      </c>
      <c r="O88" s="25">
        <v>2025</v>
      </c>
      <c r="P88" s="25" t="s">
        <v>8563</v>
      </c>
      <c r="Q88" s="25">
        <v>2026</v>
      </c>
      <c r="R88" s="25">
        <v>2026</v>
      </c>
      <c r="S88" s="25">
        <v>2026</v>
      </c>
      <c r="T88" s="25" t="s">
        <v>8564</v>
      </c>
      <c r="U88" s="25" t="s">
        <v>8562</v>
      </c>
      <c r="X88" s="26" t="s">
        <v>8575</v>
      </c>
      <c r="Z88" s="24" t="s">
        <v>8560</v>
      </c>
      <c r="AA88" s="24" t="s">
        <v>8561</v>
      </c>
      <c r="AS88" s="26" t="s">
        <v>8575</v>
      </c>
      <c r="AU88" s="24" t="s">
        <v>8560</v>
      </c>
      <c r="AV88" s="24" t="s">
        <v>8561</v>
      </c>
    </row>
    <row r="89" spans="2:64" x14ac:dyDescent="0.2">
      <c r="B89" s="24" t="s">
        <v>8568</v>
      </c>
      <c r="C89" s="24" t="s">
        <v>17</v>
      </c>
      <c r="D89" s="25">
        <v>1</v>
      </c>
      <c r="E89" s="25">
        <v>2</v>
      </c>
      <c r="F89" s="25">
        <v>3</v>
      </c>
      <c r="G89" s="25">
        <v>4</v>
      </c>
      <c r="H89" s="25">
        <v>5</v>
      </c>
      <c r="I89" s="25">
        <v>6</v>
      </c>
      <c r="J89" s="25">
        <v>7</v>
      </c>
      <c r="K89" s="25">
        <v>8</v>
      </c>
      <c r="L89" s="25">
        <v>9</v>
      </c>
      <c r="M89" s="25">
        <v>10</v>
      </c>
      <c r="N89" s="25">
        <v>11</v>
      </c>
      <c r="O89" s="25">
        <v>12</v>
      </c>
      <c r="Q89" s="25">
        <v>1</v>
      </c>
      <c r="R89" s="25">
        <v>2</v>
      </c>
      <c r="S89" s="25">
        <v>3</v>
      </c>
      <c r="Z89" s="25">
        <v>2025</v>
      </c>
      <c r="AA89" s="25">
        <v>2025</v>
      </c>
      <c r="AB89" s="25">
        <v>2025</v>
      </c>
      <c r="AC89" s="25">
        <v>2025</v>
      </c>
      <c r="AD89" s="25">
        <v>2025</v>
      </c>
      <c r="AE89" s="25">
        <v>2025</v>
      </c>
      <c r="AF89" s="25">
        <v>2025</v>
      </c>
      <c r="AG89" s="25">
        <v>2025</v>
      </c>
      <c r="AH89" s="25">
        <v>2025</v>
      </c>
      <c r="AI89" s="25">
        <v>2025</v>
      </c>
      <c r="AJ89" s="25">
        <v>2025</v>
      </c>
      <c r="AK89" s="25">
        <v>2025</v>
      </c>
      <c r="AL89" s="25" t="s">
        <v>8563</v>
      </c>
      <c r="AM89" s="25">
        <v>2026</v>
      </c>
      <c r="AN89" s="25">
        <v>2026</v>
      </c>
      <c r="AO89" s="25">
        <v>2026</v>
      </c>
      <c r="AP89" s="25" t="s">
        <v>8564</v>
      </c>
      <c r="AQ89" s="25" t="s">
        <v>8562</v>
      </c>
      <c r="AU89" s="25">
        <v>2025</v>
      </c>
      <c r="AV89" s="25">
        <v>2025</v>
      </c>
      <c r="AW89" s="25">
        <v>2025</v>
      </c>
      <c r="AX89" s="25">
        <v>2025</v>
      </c>
      <c r="AY89" s="25">
        <v>2025</v>
      </c>
      <c r="AZ89" s="25">
        <v>2025</v>
      </c>
      <c r="BA89" s="25">
        <v>2025</v>
      </c>
      <c r="BB89" s="25">
        <v>2025</v>
      </c>
      <c r="BC89" s="25">
        <v>2025</v>
      </c>
      <c r="BD89" s="25">
        <v>2025</v>
      </c>
      <c r="BE89" s="25">
        <v>2025</v>
      </c>
      <c r="BF89" s="25">
        <v>2025</v>
      </c>
      <c r="BG89" s="25" t="s">
        <v>8563</v>
      </c>
      <c r="BH89" s="25">
        <v>2026</v>
      </c>
      <c r="BI89" s="25">
        <v>2026</v>
      </c>
      <c r="BJ89" s="25">
        <v>2026</v>
      </c>
      <c r="BK89" s="25" t="s">
        <v>8564</v>
      </c>
      <c r="BL89" s="25" t="s">
        <v>8562</v>
      </c>
    </row>
    <row r="90" spans="2:64" x14ac:dyDescent="0.2">
      <c r="B90" s="9" t="s">
        <v>8567</v>
      </c>
      <c r="C90" s="9" t="s">
        <v>7594</v>
      </c>
      <c r="D90" s="13">
        <v>136111.64285714287</v>
      </c>
      <c r="E90" s="13">
        <v>141675</v>
      </c>
      <c r="F90" s="13">
        <v>172575.55555555556</v>
      </c>
      <c r="G90" s="13">
        <v>152189.39393939395</v>
      </c>
      <c r="H90" s="13">
        <v>143910.15151515152</v>
      </c>
      <c r="I90" s="13">
        <v>186980.39215686274</v>
      </c>
      <c r="J90" s="13">
        <v>143047.79411764705</v>
      </c>
      <c r="K90" s="13">
        <v>138229.72972972973</v>
      </c>
      <c r="L90" s="13">
        <v>131586.77419354839</v>
      </c>
      <c r="M90" s="13">
        <v>136653.58441558442</v>
      </c>
      <c r="N90" s="13">
        <v>132785.02040816325</v>
      </c>
      <c r="O90" s="13">
        <v>148288.03333333333</v>
      </c>
      <c r="P90" s="13">
        <v>146098.37571428571</v>
      </c>
      <c r="Q90" s="13">
        <v>153065</v>
      </c>
      <c r="R90" s="13">
        <v>137896.22641509434</v>
      </c>
      <c r="S90" s="13">
        <v>138818.67441860464</v>
      </c>
      <c r="T90" s="13">
        <v>142328.86772486771</v>
      </c>
      <c r="U90" s="13">
        <v>145296.9842519685</v>
      </c>
      <c r="X90" s="24" t="s">
        <v>12</v>
      </c>
      <c r="Y90" s="26" t="s">
        <v>17</v>
      </c>
      <c r="Z90" s="25">
        <v>1</v>
      </c>
      <c r="AA90" s="25">
        <v>2</v>
      </c>
      <c r="AB90" s="25">
        <v>3</v>
      </c>
      <c r="AC90" s="25">
        <v>4</v>
      </c>
      <c r="AD90" s="25">
        <v>5</v>
      </c>
      <c r="AE90" s="25">
        <v>6</v>
      </c>
      <c r="AF90" s="25">
        <v>7</v>
      </c>
      <c r="AG90" s="25">
        <v>8</v>
      </c>
      <c r="AH90" s="25">
        <v>9</v>
      </c>
      <c r="AI90" s="25">
        <v>10</v>
      </c>
      <c r="AJ90" s="25">
        <v>11</v>
      </c>
      <c r="AK90" s="25">
        <v>12</v>
      </c>
      <c r="AM90" s="25">
        <v>1</v>
      </c>
      <c r="AN90" s="25">
        <v>2</v>
      </c>
      <c r="AO90" s="25">
        <v>3</v>
      </c>
      <c r="AS90" s="24" t="s">
        <v>12</v>
      </c>
      <c r="AT90" s="26" t="s">
        <v>17</v>
      </c>
      <c r="AU90" s="25">
        <v>1</v>
      </c>
      <c r="AV90" s="25">
        <v>2</v>
      </c>
      <c r="AW90" s="25">
        <v>3</v>
      </c>
      <c r="AX90" s="25">
        <v>4</v>
      </c>
      <c r="AY90" s="25">
        <v>5</v>
      </c>
      <c r="AZ90" s="25">
        <v>6</v>
      </c>
      <c r="BA90" s="25">
        <v>7</v>
      </c>
      <c r="BB90" s="25">
        <v>8</v>
      </c>
      <c r="BC90" s="25">
        <v>9</v>
      </c>
      <c r="BD90" s="25">
        <v>10</v>
      </c>
      <c r="BE90" s="25">
        <v>11</v>
      </c>
      <c r="BF90" s="25">
        <v>12</v>
      </c>
      <c r="BH90" s="25">
        <v>1</v>
      </c>
      <c r="BI90" s="25">
        <v>2</v>
      </c>
      <c r="BJ90" s="25">
        <v>3</v>
      </c>
    </row>
    <row r="91" spans="2:64" x14ac:dyDescent="0.2">
      <c r="B91" s="9" t="s">
        <v>8567</v>
      </c>
      <c r="C91" s="9" t="s">
        <v>7604</v>
      </c>
      <c r="D91" s="13"/>
      <c r="E91" s="13">
        <v>144000</v>
      </c>
      <c r="F91" s="13"/>
      <c r="G91" s="13">
        <v>99780</v>
      </c>
      <c r="H91" s="13">
        <v>70000</v>
      </c>
      <c r="I91" s="13">
        <v>62000</v>
      </c>
      <c r="J91" s="13">
        <v>164450</v>
      </c>
      <c r="K91" s="13">
        <v>38000</v>
      </c>
      <c r="L91" s="13">
        <v>62000</v>
      </c>
      <c r="M91" s="13"/>
      <c r="N91" s="13"/>
      <c r="O91" s="13">
        <v>60625</v>
      </c>
      <c r="P91" s="13">
        <v>91302.631578947374</v>
      </c>
      <c r="Q91" s="13">
        <v>60000</v>
      </c>
      <c r="R91" s="13">
        <v>116000</v>
      </c>
      <c r="S91" s="13">
        <v>98333.333333333328</v>
      </c>
      <c r="T91" s="13">
        <v>94200</v>
      </c>
      <c r="U91" s="13">
        <v>92301.724137931029</v>
      </c>
      <c r="X91" s="9" t="s">
        <v>34</v>
      </c>
      <c r="Y91" s="9" t="s">
        <v>7594</v>
      </c>
      <c r="Z91" s="13">
        <v>11</v>
      </c>
      <c r="AA91" s="13">
        <v>4</v>
      </c>
      <c r="AB91" s="13">
        <v>5</v>
      </c>
      <c r="AC91" s="13">
        <v>10</v>
      </c>
      <c r="AD91" s="13">
        <v>5</v>
      </c>
      <c r="AE91" s="13">
        <v>10</v>
      </c>
      <c r="AF91" s="13">
        <v>8</v>
      </c>
      <c r="AG91" s="13">
        <v>13</v>
      </c>
      <c r="AH91" s="13">
        <v>8</v>
      </c>
      <c r="AI91" s="13">
        <v>7</v>
      </c>
      <c r="AJ91" s="13">
        <v>6</v>
      </c>
      <c r="AK91" s="13">
        <v>5</v>
      </c>
      <c r="AL91" s="13">
        <v>92</v>
      </c>
      <c r="AM91" s="13">
        <v>3</v>
      </c>
      <c r="AN91" s="13">
        <v>6</v>
      </c>
      <c r="AO91" s="13">
        <v>10</v>
      </c>
      <c r="AP91" s="13">
        <v>19</v>
      </c>
      <c r="AQ91" s="13">
        <v>111</v>
      </c>
      <c r="AS91" s="9" t="s">
        <v>34</v>
      </c>
      <c r="AT91" s="9" t="s">
        <v>7594</v>
      </c>
      <c r="AU91" s="13">
        <v>11</v>
      </c>
      <c r="AV91" s="13">
        <v>3</v>
      </c>
      <c r="AW91" s="13">
        <v>5</v>
      </c>
      <c r="AX91" s="13">
        <v>10</v>
      </c>
      <c r="AY91" s="13">
        <v>5</v>
      </c>
      <c r="AZ91" s="13">
        <v>8</v>
      </c>
      <c r="BA91" s="13">
        <v>8</v>
      </c>
      <c r="BB91" s="13">
        <v>13</v>
      </c>
      <c r="BC91" s="13">
        <v>6</v>
      </c>
      <c r="BD91" s="13">
        <v>7</v>
      </c>
      <c r="BE91" s="13">
        <v>5</v>
      </c>
      <c r="BF91" s="13">
        <v>4</v>
      </c>
      <c r="BG91" s="13">
        <v>85</v>
      </c>
      <c r="BH91" s="13">
        <v>3</v>
      </c>
      <c r="BI91" s="13">
        <v>5</v>
      </c>
      <c r="BJ91" s="13">
        <v>6</v>
      </c>
      <c r="BK91" s="13">
        <v>14</v>
      </c>
      <c r="BL91" s="13">
        <v>99</v>
      </c>
    </row>
    <row r="92" spans="2:64" x14ac:dyDescent="0.2">
      <c r="B92" s="9" t="s">
        <v>8567</v>
      </c>
      <c r="C92" s="9" t="s">
        <v>7606</v>
      </c>
      <c r="D92" s="13">
        <v>55000</v>
      </c>
      <c r="E92" s="13">
        <v>78000</v>
      </c>
      <c r="F92" s="13">
        <v>67800</v>
      </c>
      <c r="G92" s="13">
        <v>110633.33333333333</v>
      </c>
      <c r="H92" s="13">
        <v>83666.666666666672</v>
      </c>
      <c r="I92" s="13">
        <v>112357.14285714286</v>
      </c>
      <c r="J92" s="13">
        <v>74222.222222222219</v>
      </c>
      <c r="K92" s="13">
        <v>187500</v>
      </c>
      <c r="L92" s="13">
        <v>79333.333333333328</v>
      </c>
      <c r="M92" s="13">
        <v>104857.14285714286</v>
      </c>
      <c r="N92" s="13">
        <v>72500</v>
      </c>
      <c r="O92" s="13">
        <v>87096.551724137928</v>
      </c>
      <c r="P92" s="13">
        <v>91253.521126760563</v>
      </c>
      <c r="Q92" s="13">
        <v>110214.28571428571</v>
      </c>
      <c r="R92" s="13">
        <v>91833.333333333328</v>
      </c>
      <c r="S92" s="13">
        <v>144750</v>
      </c>
      <c r="T92" s="13">
        <v>118119.04761904762</v>
      </c>
      <c r="U92" s="13">
        <v>97385.869565217392</v>
      </c>
      <c r="X92" s="9" t="s">
        <v>34</v>
      </c>
      <c r="Y92" s="9" t="s">
        <v>7626</v>
      </c>
      <c r="Z92" s="13">
        <v>6</v>
      </c>
      <c r="AA92" s="13">
        <v>3</v>
      </c>
      <c r="AB92" s="13">
        <v>8</v>
      </c>
      <c r="AC92" s="13">
        <v>8</v>
      </c>
      <c r="AD92" s="13">
        <v>9</v>
      </c>
      <c r="AE92" s="13">
        <v>12</v>
      </c>
      <c r="AF92" s="13">
        <v>11</v>
      </c>
      <c r="AG92" s="13">
        <v>6</v>
      </c>
      <c r="AH92" s="13">
        <v>8</v>
      </c>
      <c r="AI92" s="13">
        <v>5</v>
      </c>
      <c r="AJ92" s="13">
        <v>8</v>
      </c>
      <c r="AK92" s="13">
        <v>5</v>
      </c>
      <c r="AL92" s="13">
        <v>89</v>
      </c>
      <c r="AM92" s="13">
        <v>12</v>
      </c>
      <c r="AN92" s="13">
        <v>9</v>
      </c>
      <c r="AO92" s="13">
        <v>9</v>
      </c>
      <c r="AP92" s="13">
        <v>30</v>
      </c>
      <c r="AQ92" s="13">
        <v>119</v>
      </c>
      <c r="AS92" s="9" t="s">
        <v>34</v>
      </c>
      <c r="AT92" s="9" t="s">
        <v>7626</v>
      </c>
      <c r="AU92" s="13">
        <v>6</v>
      </c>
      <c r="AV92" s="13">
        <v>3</v>
      </c>
      <c r="AW92" s="13">
        <v>8</v>
      </c>
      <c r="AX92" s="13">
        <v>8</v>
      </c>
      <c r="AY92" s="13">
        <v>9</v>
      </c>
      <c r="AZ92" s="13">
        <v>12</v>
      </c>
      <c r="BA92" s="13">
        <v>11</v>
      </c>
      <c r="BB92" s="13">
        <v>6</v>
      </c>
      <c r="BC92" s="13">
        <v>7</v>
      </c>
      <c r="BD92" s="13">
        <v>5</v>
      </c>
      <c r="BE92" s="13">
        <v>8</v>
      </c>
      <c r="BF92" s="13">
        <v>5</v>
      </c>
      <c r="BG92" s="13">
        <v>88</v>
      </c>
      <c r="BH92" s="13">
        <v>12</v>
      </c>
      <c r="BI92" s="13">
        <v>9</v>
      </c>
      <c r="BJ92" s="13">
        <v>9</v>
      </c>
      <c r="BK92" s="13">
        <v>30</v>
      </c>
      <c r="BL92" s="13">
        <v>118</v>
      </c>
    </row>
    <row r="93" spans="2:64" x14ac:dyDescent="0.2">
      <c r="B93" s="9" t="s">
        <v>8567</v>
      </c>
      <c r="C93" s="9" t="s">
        <v>7611</v>
      </c>
      <c r="D93" s="13">
        <v>97958.6</v>
      </c>
      <c r="E93" s="13">
        <v>93387.5</v>
      </c>
      <c r="F93" s="13">
        <v>99842.857142857145</v>
      </c>
      <c r="G93" s="13">
        <v>116461.53846153847</v>
      </c>
      <c r="H93" s="13">
        <v>225372.04761904763</v>
      </c>
      <c r="I93" s="13">
        <v>107932.31578947368</v>
      </c>
      <c r="J93" s="13">
        <v>82437.5</v>
      </c>
      <c r="K93" s="13">
        <v>132055.55555555556</v>
      </c>
      <c r="L93" s="13">
        <v>313083.33333333331</v>
      </c>
      <c r="M93" s="13">
        <v>130060</v>
      </c>
      <c r="N93" s="13">
        <v>96000</v>
      </c>
      <c r="O93" s="13">
        <v>147125</v>
      </c>
      <c r="P93" s="13">
        <v>142371.87341772151</v>
      </c>
      <c r="Q93" s="13">
        <v>95866.666666666672</v>
      </c>
      <c r="R93" s="13">
        <v>114920</v>
      </c>
      <c r="S93" s="13">
        <v>134848.9375</v>
      </c>
      <c r="T93" s="13">
        <v>115726.41463414633</v>
      </c>
      <c r="U93" s="13">
        <v>136882.1055276382</v>
      </c>
      <c r="X93" s="9" t="s">
        <v>34</v>
      </c>
      <c r="Y93" s="9" t="s">
        <v>7630</v>
      </c>
      <c r="Z93" s="13"/>
      <c r="AA93" s="13"/>
      <c r="AB93" s="13">
        <v>2</v>
      </c>
      <c r="AC93" s="13">
        <v>1</v>
      </c>
      <c r="AD93" s="13">
        <v>2</v>
      </c>
      <c r="AE93" s="13">
        <v>1</v>
      </c>
      <c r="AF93" s="13"/>
      <c r="AG93" s="13"/>
      <c r="AH93" s="13">
        <v>2</v>
      </c>
      <c r="AI93" s="13"/>
      <c r="AJ93" s="13">
        <v>1</v>
      </c>
      <c r="AK93" s="13"/>
      <c r="AL93" s="13">
        <v>9</v>
      </c>
      <c r="AM93" s="13">
        <v>1</v>
      </c>
      <c r="AN93" s="13">
        <v>1</v>
      </c>
      <c r="AO93" s="13">
        <v>1</v>
      </c>
      <c r="AP93" s="13">
        <v>3</v>
      </c>
      <c r="AQ93" s="13">
        <v>12</v>
      </c>
      <c r="AS93" s="9" t="s">
        <v>34</v>
      </c>
      <c r="AT93" s="9" t="s">
        <v>7630</v>
      </c>
      <c r="AU93" s="13"/>
      <c r="AV93" s="13"/>
      <c r="AW93" s="13">
        <v>1</v>
      </c>
      <c r="AX93" s="13"/>
      <c r="AY93" s="13">
        <v>1</v>
      </c>
      <c r="AZ93" s="13"/>
      <c r="BA93" s="13"/>
      <c r="BB93" s="13"/>
      <c r="BC93" s="13">
        <v>1</v>
      </c>
      <c r="BD93" s="13"/>
      <c r="BE93" s="13"/>
      <c r="BF93" s="13"/>
      <c r="BG93" s="13">
        <v>3</v>
      </c>
      <c r="BH93" s="13">
        <v>1</v>
      </c>
      <c r="BI93" s="13">
        <v>1</v>
      </c>
      <c r="BJ93" s="13">
        <v>1</v>
      </c>
      <c r="BK93" s="13">
        <v>3</v>
      </c>
      <c r="BL93" s="13">
        <v>6</v>
      </c>
    </row>
    <row r="94" spans="2:64" x14ac:dyDescent="0.2">
      <c r="B94" s="9" t="s">
        <v>8567</v>
      </c>
      <c r="C94" s="9" t="s">
        <v>7615</v>
      </c>
      <c r="D94" s="13">
        <v>117557.16666666667</v>
      </c>
      <c r="E94" s="13">
        <v>178086.75</v>
      </c>
      <c r="F94" s="13">
        <v>109368.33333333333</v>
      </c>
      <c r="G94" s="13">
        <v>132619.875</v>
      </c>
      <c r="H94" s="13">
        <v>187632.11111111112</v>
      </c>
      <c r="I94" s="13">
        <v>65107.571428571428</v>
      </c>
      <c r="J94" s="13">
        <v>141093.75</v>
      </c>
      <c r="K94" s="13">
        <v>106270</v>
      </c>
      <c r="L94" s="13">
        <v>108750</v>
      </c>
      <c r="M94" s="13">
        <v>173250</v>
      </c>
      <c r="N94" s="13">
        <v>279000</v>
      </c>
      <c r="O94" s="13">
        <v>119873.125</v>
      </c>
      <c r="P94" s="13">
        <v>137708.95945945947</v>
      </c>
      <c r="Q94" s="13">
        <v>125520.83333333333</v>
      </c>
      <c r="R94" s="13">
        <v>105140</v>
      </c>
      <c r="S94" s="13">
        <v>149195.11111111112</v>
      </c>
      <c r="T94" s="13">
        <v>131079.04999999999</v>
      </c>
      <c r="U94" s="13">
        <v>136298.3404255319</v>
      </c>
      <c r="X94" s="9" t="s">
        <v>34</v>
      </c>
      <c r="Y94" s="9" t="s">
        <v>7632</v>
      </c>
      <c r="Z94" s="13">
        <v>1</v>
      </c>
      <c r="AA94" s="13">
        <v>3</v>
      </c>
      <c r="AB94" s="13"/>
      <c r="AC94" s="13">
        <v>1</v>
      </c>
      <c r="AD94" s="13">
        <v>2</v>
      </c>
      <c r="AE94" s="13">
        <v>2</v>
      </c>
      <c r="AF94" s="13"/>
      <c r="AG94" s="13">
        <v>1</v>
      </c>
      <c r="AH94" s="13"/>
      <c r="AI94" s="13">
        <v>1</v>
      </c>
      <c r="AJ94" s="13">
        <v>1</v>
      </c>
      <c r="AK94" s="13">
        <v>2</v>
      </c>
      <c r="AL94" s="13">
        <v>14</v>
      </c>
      <c r="AM94" s="13"/>
      <c r="AN94" s="13">
        <v>1</v>
      </c>
      <c r="AO94" s="13">
        <v>1</v>
      </c>
      <c r="AP94" s="13">
        <v>2</v>
      </c>
      <c r="AQ94" s="13">
        <v>16</v>
      </c>
      <c r="AS94" s="9" t="s">
        <v>34</v>
      </c>
      <c r="AT94" s="9" t="s">
        <v>7632</v>
      </c>
      <c r="AU94" s="13"/>
      <c r="AV94" s="13">
        <v>1</v>
      </c>
      <c r="AW94" s="13"/>
      <c r="AX94" s="13">
        <v>1</v>
      </c>
      <c r="AY94" s="13">
        <v>2</v>
      </c>
      <c r="AZ94" s="13">
        <v>2</v>
      </c>
      <c r="BA94" s="13"/>
      <c r="BB94" s="13"/>
      <c r="BC94" s="13"/>
      <c r="BD94" s="13">
        <v>1</v>
      </c>
      <c r="BE94" s="13"/>
      <c r="BF94" s="13">
        <v>1</v>
      </c>
      <c r="BG94" s="13">
        <v>8</v>
      </c>
      <c r="BH94" s="13"/>
      <c r="BI94" s="13">
        <v>1</v>
      </c>
      <c r="BJ94" s="13">
        <v>1</v>
      </c>
      <c r="BK94" s="13">
        <v>2</v>
      </c>
      <c r="BL94" s="13">
        <v>10</v>
      </c>
    </row>
    <row r="95" spans="2:64" x14ac:dyDescent="0.2">
      <c r="B95" s="9" t="s">
        <v>8567</v>
      </c>
      <c r="C95" s="9" t="s">
        <v>7617</v>
      </c>
      <c r="D95" s="13">
        <v>58666.666666666664</v>
      </c>
      <c r="E95" s="13">
        <v>110000</v>
      </c>
      <c r="F95" s="13">
        <v>86166.666666666672</v>
      </c>
      <c r="G95" s="13">
        <v>66833.333333333328</v>
      </c>
      <c r="H95" s="13">
        <v>100750</v>
      </c>
      <c r="I95" s="13">
        <v>49666.666666666664</v>
      </c>
      <c r="J95" s="13">
        <v>86777.777777777781</v>
      </c>
      <c r="K95" s="13">
        <v>77000</v>
      </c>
      <c r="L95" s="13">
        <v>90000</v>
      </c>
      <c r="M95" s="13">
        <v>131875</v>
      </c>
      <c r="N95" s="13">
        <v>52000</v>
      </c>
      <c r="O95" s="13">
        <v>68000</v>
      </c>
      <c r="P95" s="13">
        <v>81988.636363636368</v>
      </c>
      <c r="Q95" s="13">
        <v>47000</v>
      </c>
      <c r="R95" s="13">
        <v>120000</v>
      </c>
      <c r="S95" s="13">
        <v>114333.33333333333</v>
      </c>
      <c r="T95" s="13">
        <v>102000</v>
      </c>
      <c r="U95" s="13">
        <v>84030.612244897959</v>
      </c>
      <c r="X95" s="9" t="s">
        <v>8577</v>
      </c>
      <c r="Y95" s="9"/>
      <c r="Z95" s="13">
        <v>18</v>
      </c>
      <c r="AA95" s="13">
        <v>10</v>
      </c>
      <c r="AB95" s="13">
        <v>15</v>
      </c>
      <c r="AC95" s="13">
        <v>20</v>
      </c>
      <c r="AD95" s="13">
        <v>18</v>
      </c>
      <c r="AE95" s="13">
        <v>25</v>
      </c>
      <c r="AF95" s="13">
        <v>19</v>
      </c>
      <c r="AG95" s="13">
        <v>20</v>
      </c>
      <c r="AH95" s="13">
        <v>18</v>
      </c>
      <c r="AI95" s="13">
        <v>13</v>
      </c>
      <c r="AJ95" s="13">
        <v>16</v>
      </c>
      <c r="AK95" s="13">
        <v>12</v>
      </c>
      <c r="AL95" s="13">
        <v>204</v>
      </c>
      <c r="AM95" s="13">
        <v>16</v>
      </c>
      <c r="AN95" s="13">
        <v>17</v>
      </c>
      <c r="AO95" s="13">
        <v>21</v>
      </c>
      <c r="AP95" s="13">
        <v>54</v>
      </c>
      <c r="AQ95" s="13">
        <v>258</v>
      </c>
      <c r="AS95" s="9" t="s">
        <v>8577</v>
      </c>
      <c r="AT95" s="9"/>
      <c r="AU95" s="13">
        <v>17</v>
      </c>
      <c r="AV95" s="13">
        <v>7</v>
      </c>
      <c r="AW95" s="13">
        <v>14</v>
      </c>
      <c r="AX95" s="13">
        <v>19</v>
      </c>
      <c r="AY95" s="13">
        <v>17</v>
      </c>
      <c r="AZ95" s="13">
        <v>22</v>
      </c>
      <c r="BA95" s="13">
        <v>19</v>
      </c>
      <c r="BB95" s="13">
        <v>19</v>
      </c>
      <c r="BC95" s="13">
        <v>14</v>
      </c>
      <c r="BD95" s="13">
        <v>13</v>
      </c>
      <c r="BE95" s="13">
        <v>13</v>
      </c>
      <c r="BF95" s="13">
        <v>10</v>
      </c>
      <c r="BG95" s="13">
        <v>184</v>
      </c>
      <c r="BH95" s="13">
        <v>16</v>
      </c>
      <c r="BI95" s="13">
        <v>16</v>
      </c>
      <c r="BJ95" s="13">
        <v>17</v>
      </c>
      <c r="BK95" s="13">
        <v>49</v>
      </c>
      <c r="BL95" s="13">
        <v>233</v>
      </c>
    </row>
    <row r="96" spans="2:64" x14ac:dyDescent="0.2">
      <c r="B96" s="9" t="s">
        <v>8567</v>
      </c>
      <c r="C96" s="9" t="s">
        <v>7619</v>
      </c>
      <c r="D96" s="13"/>
      <c r="E96" s="13"/>
      <c r="F96" s="13"/>
      <c r="G96" s="13"/>
      <c r="H96" s="13"/>
      <c r="I96" s="13"/>
      <c r="J96" s="13"/>
      <c r="K96" s="13"/>
      <c r="L96" s="13"/>
      <c r="M96" s="13"/>
      <c r="N96" s="13"/>
      <c r="O96" s="13">
        <v>65000</v>
      </c>
      <c r="P96" s="13">
        <v>65000</v>
      </c>
      <c r="Q96" s="13"/>
      <c r="R96" s="13"/>
      <c r="S96" s="13"/>
      <c r="T96" s="13"/>
      <c r="U96" s="13">
        <v>65000</v>
      </c>
      <c r="X96" s="9" t="s">
        <v>45</v>
      </c>
      <c r="Y96" s="9" t="s">
        <v>7594</v>
      </c>
      <c r="Z96" s="13">
        <v>24</v>
      </c>
      <c r="AA96" s="13">
        <v>29</v>
      </c>
      <c r="AB96" s="13">
        <v>31</v>
      </c>
      <c r="AC96" s="13">
        <v>44</v>
      </c>
      <c r="AD96" s="13">
        <v>53</v>
      </c>
      <c r="AE96" s="13">
        <v>32</v>
      </c>
      <c r="AF96" s="13">
        <v>48</v>
      </c>
      <c r="AG96" s="13">
        <v>52</v>
      </c>
      <c r="AH96" s="13">
        <v>41</v>
      </c>
      <c r="AI96" s="13">
        <v>56</v>
      </c>
      <c r="AJ96" s="13">
        <v>36</v>
      </c>
      <c r="AK96" s="13">
        <v>40</v>
      </c>
      <c r="AL96" s="13">
        <v>486</v>
      </c>
      <c r="AM96" s="13">
        <v>38</v>
      </c>
      <c r="AN96" s="13">
        <v>42</v>
      </c>
      <c r="AO96" s="13">
        <v>56</v>
      </c>
      <c r="AP96" s="13">
        <v>136</v>
      </c>
      <c r="AQ96" s="13">
        <v>622</v>
      </c>
      <c r="AS96" s="9" t="s">
        <v>45</v>
      </c>
      <c r="AT96" s="9" t="s">
        <v>7594</v>
      </c>
      <c r="AU96" s="13">
        <v>22</v>
      </c>
      <c r="AV96" s="13">
        <v>24</v>
      </c>
      <c r="AW96" s="13">
        <v>28</v>
      </c>
      <c r="AX96" s="13">
        <v>35</v>
      </c>
      <c r="AY96" s="13">
        <v>45</v>
      </c>
      <c r="AZ96" s="13">
        <v>27</v>
      </c>
      <c r="BA96" s="13">
        <v>32</v>
      </c>
      <c r="BB96" s="13">
        <v>46</v>
      </c>
      <c r="BC96" s="13">
        <v>34</v>
      </c>
      <c r="BD96" s="13">
        <v>40</v>
      </c>
      <c r="BE96" s="13">
        <v>27</v>
      </c>
      <c r="BF96" s="13">
        <v>28</v>
      </c>
      <c r="BG96" s="13">
        <v>388</v>
      </c>
      <c r="BH96" s="13">
        <v>29</v>
      </c>
      <c r="BI96" s="13">
        <v>32</v>
      </c>
      <c r="BJ96" s="13">
        <v>48</v>
      </c>
      <c r="BK96" s="13">
        <v>109</v>
      </c>
      <c r="BL96" s="13">
        <v>497</v>
      </c>
    </row>
    <row r="97" spans="2:64" x14ac:dyDescent="0.2">
      <c r="B97" s="9" t="s">
        <v>8567</v>
      </c>
      <c r="C97" s="9" t="s">
        <v>7621</v>
      </c>
      <c r="D97" s="13">
        <v>90000</v>
      </c>
      <c r="E97" s="13"/>
      <c r="F97" s="13">
        <v>42000</v>
      </c>
      <c r="G97" s="13">
        <v>40750</v>
      </c>
      <c r="H97" s="13"/>
      <c r="I97" s="13">
        <v>65000</v>
      </c>
      <c r="J97" s="13">
        <v>80000</v>
      </c>
      <c r="K97" s="13">
        <v>466666.66666666669</v>
      </c>
      <c r="L97" s="13">
        <v>112333.33333333333</v>
      </c>
      <c r="M97" s="13">
        <v>132500</v>
      </c>
      <c r="N97" s="13">
        <v>58000</v>
      </c>
      <c r="O97" s="13"/>
      <c r="P97" s="13">
        <v>155218.75</v>
      </c>
      <c r="Q97" s="13">
        <v>63000</v>
      </c>
      <c r="R97" s="13">
        <v>95000</v>
      </c>
      <c r="S97" s="13">
        <v>77142.857142857145</v>
      </c>
      <c r="T97" s="13">
        <v>78133.333333333328</v>
      </c>
      <c r="U97" s="13">
        <v>117919.35483870968</v>
      </c>
      <c r="X97" s="9" t="s">
        <v>45</v>
      </c>
      <c r="Y97" s="9" t="s">
        <v>7626</v>
      </c>
      <c r="Z97" s="13">
        <v>8</v>
      </c>
      <c r="AA97" s="13">
        <v>10</v>
      </c>
      <c r="AB97" s="13">
        <v>16</v>
      </c>
      <c r="AC97" s="13">
        <v>17</v>
      </c>
      <c r="AD97" s="13">
        <v>11</v>
      </c>
      <c r="AE97" s="13">
        <v>17</v>
      </c>
      <c r="AF97" s="13">
        <v>17</v>
      </c>
      <c r="AG97" s="13">
        <v>12</v>
      </c>
      <c r="AH97" s="13">
        <v>12</v>
      </c>
      <c r="AI97" s="13">
        <v>15</v>
      </c>
      <c r="AJ97" s="13">
        <v>11</v>
      </c>
      <c r="AK97" s="13">
        <v>13</v>
      </c>
      <c r="AL97" s="13">
        <v>159</v>
      </c>
      <c r="AM97" s="13">
        <v>12</v>
      </c>
      <c r="AN97" s="13">
        <v>11</v>
      </c>
      <c r="AO97" s="13">
        <v>21</v>
      </c>
      <c r="AP97" s="13">
        <v>44</v>
      </c>
      <c r="AQ97" s="13">
        <v>203</v>
      </c>
      <c r="AS97" s="9" t="s">
        <v>45</v>
      </c>
      <c r="AT97" s="9" t="s">
        <v>7626</v>
      </c>
      <c r="AU97" s="13">
        <v>8</v>
      </c>
      <c r="AV97" s="13">
        <v>10</v>
      </c>
      <c r="AW97" s="13">
        <v>12</v>
      </c>
      <c r="AX97" s="13">
        <v>14</v>
      </c>
      <c r="AY97" s="13">
        <v>10</v>
      </c>
      <c r="AZ97" s="13">
        <v>16</v>
      </c>
      <c r="BA97" s="13">
        <v>10</v>
      </c>
      <c r="BB97" s="13">
        <v>12</v>
      </c>
      <c r="BC97" s="13">
        <v>11</v>
      </c>
      <c r="BD97" s="13">
        <v>14</v>
      </c>
      <c r="BE97" s="13">
        <v>7</v>
      </c>
      <c r="BF97" s="13">
        <v>12</v>
      </c>
      <c r="BG97" s="13">
        <v>136</v>
      </c>
      <c r="BH97" s="13">
        <v>11</v>
      </c>
      <c r="BI97" s="13">
        <v>8</v>
      </c>
      <c r="BJ97" s="13">
        <v>19</v>
      </c>
      <c r="BK97" s="13">
        <v>38</v>
      </c>
      <c r="BL97" s="13">
        <v>174</v>
      </c>
    </row>
    <row r="98" spans="2:64" x14ac:dyDescent="0.2">
      <c r="B98" s="9" t="s">
        <v>8567</v>
      </c>
      <c r="C98" s="9" t="s">
        <v>7626</v>
      </c>
      <c r="D98" s="13">
        <v>149325.23809523811</v>
      </c>
      <c r="E98" s="13">
        <v>196967.75</v>
      </c>
      <c r="F98" s="13">
        <v>171673.66666666666</v>
      </c>
      <c r="G98" s="13">
        <v>179028.125</v>
      </c>
      <c r="H98" s="13">
        <v>162981.6</v>
      </c>
      <c r="I98" s="13">
        <v>203727.9411764706</v>
      </c>
      <c r="J98" s="13">
        <v>195552.51612903227</v>
      </c>
      <c r="K98" s="13">
        <v>166790</v>
      </c>
      <c r="L98" s="13">
        <v>155601.61290322582</v>
      </c>
      <c r="M98" s="13">
        <v>137038.63636363635</v>
      </c>
      <c r="N98" s="13">
        <v>132973.96153846153</v>
      </c>
      <c r="O98" s="13">
        <v>178428.57142857142</v>
      </c>
      <c r="P98" s="13">
        <v>170162.85623003196</v>
      </c>
      <c r="Q98" s="13">
        <v>161689.6551724138</v>
      </c>
      <c r="R98" s="13">
        <v>173968.04545454544</v>
      </c>
      <c r="S98" s="13">
        <v>146833.33333333334</v>
      </c>
      <c r="T98" s="13">
        <v>158647.091954023</v>
      </c>
      <c r="U98" s="13">
        <v>167658.17749999999</v>
      </c>
      <c r="X98" s="9" t="s">
        <v>45</v>
      </c>
      <c r="Y98" s="9" t="s">
        <v>7630</v>
      </c>
      <c r="Z98" s="13">
        <v>1</v>
      </c>
      <c r="AA98" s="13"/>
      <c r="AB98" s="13">
        <v>1</v>
      </c>
      <c r="AC98" s="13"/>
      <c r="AD98" s="13"/>
      <c r="AE98" s="13"/>
      <c r="AF98" s="13">
        <v>3</v>
      </c>
      <c r="AG98" s="13">
        <v>3</v>
      </c>
      <c r="AH98" s="13">
        <v>1</v>
      </c>
      <c r="AI98" s="13">
        <v>1</v>
      </c>
      <c r="AJ98" s="13">
        <v>1</v>
      </c>
      <c r="AK98" s="13">
        <v>2</v>
      </c>
      <c r="AL98" s="13">
        <v>13</v>
      </c>
      <c r="AM98" s="13"/>
      <c r="AN98" s="13">
        <v>1</v>
      </c>
      <c r="AO98" s="13">
        <v>1</v>
      </c>
      <c r="AP98" s="13">
        <v>2</v>
      </c>
      <c r="AQ98" s="13">
        <v>15</v>
      </c>
      <c r="AS98" s="9" t="s">
        <v>45</v>
      </c>
      <c r="AT98" s="9" t="s">
        <v>7630</v>
      </c>
      <c r="AU98" s="13"/>
      <c r="AV98" s="13"/>
      <c r="AW98" s="13"/>
      <c r="AX98" s="13"/>
      <c r="AY98" s="13"/>
      <c r="AZ98" s="13"/>
      <c r="BA98" s="13">
        <v>1</v>
      </c>
      <c r="BB98" s="13"/>
      <c r="BC98" s="13">
        <v>1</v>
      </c>
      <c r="BD98" s="13"/>
      <c r="BE98" s="13"/>
      <c r="BF98" s="13">
        <v>2</v>
      </c>
      <c r="BG98" s="13">
        <v>4</v>
      </c>
      <c r="BH98" s="13"/>
      <c r="BI98" s="13">
        <v>1</v>
      </c>
      <c r="BJ98" s="13">
        <v>1</v>
      </c>
      <c r="BK98" s="13">
        <v>2</v>
      </c>
      <c r="BL98" s="13">
        <v>6</v>
      </c>
    </row>
    <row r="99" spans="2:64" x14ac:dyDescent="0.2">
      <c r="B99" s="9" t="s">
        <v>8567</v>
      </c>
      <c r="C99" s="9" t="s">
        <v>7630</v>
      </c>
      <c r="D99" s="13">
        <v>50000</v>
      </c>
      <c r="E99" s="13"/>
      <c r="F99" s="13">
        <v>68666.666666666672</v>
      </c>
      <c r="G99" s="13">
        <v>50000</v>
      </c>
      <c r="H99" s="13">
        <v>135333.33333333334</v>
      </c>
      <c r="I99" s="13">
        <v>57000</v>
      </c>
      <c r="J99" s="13">
        <v>84875</v>
      </c>
      <c r="K99" s="13">
        <v>56000</v>
      </c>
      <c r="L99" s="13">
        <v>96166.666666666672</v>
      </c>
      <c r="M99" s="13">
        <v>48000</v>
      </c>
      <c r="N99" s="13">
        <v>41600</v>
      </c>
      <c r="O99" s="13">
        <v>137750</v>
      </c>
      <c r="P99" s="13">
        <v>80142.307692307688</v>
      </c>
      <c r="Q99" s="13">
        <v>56250</v>
      </c>
      <c r="R99" s="13">
        <v>80250</v>
      </c>
      <c r="S99" s="13">
        <v>148500</v>
      </c>
      <c r="T99" s="13">
        <v>95000</v>
      </c>
      <c r="U99" s="13">
        <v>82928.125</v>
      </c>
      <c r="X99" s="9" t="s">
        <v>45</v>
      </c>
      <c r="Y99" s="9" t="s">
        <v>7632</v>
      </c>
      <c r="Z99" s="13">
        <v>2</v>
      </c>
      <c r="AA99" s="13"/>
      <c r="AB99" s="13"/>
      <c r="AC99" s="13"/>
      <c r="AD99" s="13">
        <v>1</v>
      </c>
      <c r="AE99" s="13">
        <v>2</v>
      </c>
      <c r="AF99" s="13">
        <v>1</v>
      </c>
      <c r="AG99" s="13">
        <v>4</v>
      </c>
      <c r="AH99" s="13">
        <v>4</v>
      </c>
      <c r="AI99" s="13">
        <v>2</v>
      </c>
      <c r="AJ99" s="13"/>
      <c r="AK99" s="13">
        <v>1</v>
      </c>
      <c r="AL99" s="13">
        <v>17</v>
      </c>
      <c r="AM99" s="13">
        <v>1</v>
      </c>
      <c r="AN99" s="13">
        <v>1</v>
      </c>
      <c r="AO99" s="13"/>
      <c r="AP99" s="13">
        <v>2</v>
      </c>
      <c r="AQ99" s="13">
        <v>19</v>
      </c>
      <c r="AS99" s="9" t="s">
        <v>45</v>
      </c>
      <c r="AT99" s="9" t="s">
        <v>7632</v>
      </c>
      <c r="AU99" s="13">
        <v>1</v>
      </c>
      <c r="AV99" s="13"/>
      <c r="AW99" s="13"/>
      <c r="AX99" s="13"/>
      <c r="AY99" s="13"/>
      <c r="AZ99" s="13"/>
      <c r="BA99" s="13">
        <v>1</v>
      </c>
      <c r="BB99" s="13">
        <v>2</v>
      </c>
      <c r="BC99" s="13">
        <v>1</v>
      </c>
      <c r="BD99" s="13">
        <v>1</v>
      </c>
      <c r="BE99" s="13"/>
      <c r="BF99" s="13">
        <v>1</v>
      </c>
      <c r="BG99" s="13">
        <v>7</v>
      </c>
      <c r="BH99" s="13"/>
      <c r="BI99" s="13"/>
      <c r="BJ99" s="13"/>
      <c r="BK99" s="13"/>
      <c r="BL99" s="13">
        <v>7</v>
      </c>
    </row>
    <row r="100" spans="2:64" x14ac:dyDescent="0.2">
      <c r="B100" s="9" t="s">
        <v>8567</v>
      </c>
      <c r="C100" s="9" t="s">
        <v>7632</v>
      </c>
      <c r="D100" s="13">
        <v>53466.666666666664</v>
      </c>
      <c r="E100" s="13">
        <v>76000</v>
      </c>
      <c r="F100" s="13"/>
      <c r="G100" s="13">
        <v>158000</v>
      </c>
      <c r="H100" s="13">
        <v>126333.33333333333</v>
      </c>
      <c r="I100" s="13">
        <v>65000</v>
      </c>
      <c r="J100" s="13">
        <v>82000</v>
      </c>
      <c r="K100" s="13">
        <v>54080</v>
      </c>
      <c r="L100" s="13">
        <v>58750</v>
      </c>
      <c r="M100" s="13">
        <v>121333.33333333333</v>
      </c>
      <c r="N100" s="13">
        <v>36000</v>
      </c>
      <c r="O100" s="13">
        <v>73500</v>
      </c>
      <c r="P100" s="13">
        <v>76821.875</v>
      </c>
      <c r="Q100" s="13">
        <v>45000</v>
      </c>
      <c r="R100" s="13">
        <v>121250</v>
      </c>
      <c r="S100" s="13">
        <v>175000</v>
      </c>
      <c r="T100" s="13">
        <v>115625</v>
      </c>
      <c r="U100" s="13">
        <v>81133.333333333328</v>
      </c>
      <c r="X100" s="9" t="s">
        <v>8578</v>
      </c>
      <c r="Y100" s="9"/>
      <c r="Z100" s="13">
        <v>35</v>
      </c>
      <c r="AA100" s="13">
        <v>39</v>
      </c>
      <c r="AB100" s="13">
        <v>48</v>
      </c>
      <c r="AC100" s="13">
        <v>61</v>
      </c>
      <c r="AD100" s="13">
        <v>65</v>
      </c>
      <c r="AE100" s="13">
        <v>51</v>
      </c>
      <c r="AF100" s="13">
        <v>69</v>
      </c>
      <c r="AG100" s="13">
        <v>71</v>
      </c>
      <c r="AH100" s="13">
        <v>58</v>
      </c>
      <c r="AI100" s="13">
        <v>74</v>
      </c>
      <c r="AJ100" s="13">
        <v>48</v>
      </c>
      <c r="AK100" s="13">
        <v>56</v>
      </c>
      <c r="AL100" s="13">
        <v>675</v>
      </c>
      <c r="AM100" s="13">
        <v>51</v>
      </c>
      <c r="AN100" s="13">
        <v>55</v>
      </c>
      <c r="AO100" s="13">
        <v>78</v>
      </c>
      <c r="AP100" s="13">
        <v>184</v>
      </c>
      <c r="AQ100" s="13">
        <v>859</v>
      </c>
      <c r="AS100" s="9" t="s">
        <v>8578</v>
      </c>
      <c r="AT100" s="9"/>
      <c r="AU100" s="13">
        <v>31</v>
      </c>
      <c r="AV100" s="13">
        <v>34</v>
      </c>
      <c r="AW100" s="13">
        <v>40</v>
      </c>
      <c r="AX100" s="13">
        <v>49</v>
      </c>
      <c r="AY100" s="13">
        <v>55</v>
      </c>
      <c r="AZ100" s="13">
        <v>43</v>
      </c>
      <c r="BA100" s="13">
        <v>44</v>
      </c>
      <c r="BB100" s="13">
        <v>60</v>
      </c>
      <c r="BC100" s="13">
        <v>47</v>
      </c>
      <c r="BD100" s="13">
        <v>55</v>
      </c>
      <c r="BE100" s="13">
        <v>34</v>
      </c>
      <c r="BF100" s="13">
        <v>43</v>
      </c>
      <c r="BG100" s="13">
        <v>535</v>
      </c>
      <c r="BH100" s="13">
        <v>40</v>
      </c>
      <c r="BI100" s="13">
        <v>41</v>
      </c>
      <c r="BJ100" s="13">
        <v>68</v>
      </c>
      <c r="BK100" s="13">
        <v>149</v>
      </c>
      <c r="BL100" s="13">
        <v>684</v>
      </c>
    </row>
    <row r="101" spans="2:64" x14ac:dyDescent="0.2">
      <c r="B101" s="9" t="s">
        <v>8569</v>
      </c>
      <c r="D101" s="13">
        <v>124286.4623655914</v>
      </c>
      <c r="E101" s="13">
        <v>143786.21176470589</v>
      </c>
      <c r="F101" s="13">
        <v>150293.99</v>
      </c>
      <c r="G101" s="13">
        <v>145034.00729927007</v>
      </c>
      <c r="H101" s="13">
        <v>160162.4962406015</v>
      </c>
      <c r="I101" s="13">
        <v>156081.18939393939</v>
      </c>
      <c r="J101" s="13">
        <v>140996.32394366196</v>
      </c>
      <c r="K101" s="13">
        <v>140852.84722222222</v>
      </c>
      <c r="L101" s="13">
        <v>148584.9193548387</v>
      </c>
      <c r="M101" s="13">
        <v>134219.08148148149</v>
      </c>
      <c r="N101" s="13">
        <v>126455.43333333333</v>
      </c>
      <c r="O101" s="13">
        <v>131752.28057553957</v>
      </c>
      <c r="P101" s="13">
        <v>142453.09903713892</v>
      </c>
      <c r="Q101" s="13">
        <v>135738.24786324787</v>
      </c>
      <c r="R101" s="13">
        <v>135483.14953271029</v>
      </c>
      <c r="S101" s="13">
        <v>136941.0632183908</v>
      </c>
      <c r="T101" s="13">
        <v>136195.5201005025</v>
      </c>
      <c r="U101" s="13">
        <v>141108.32775377971</v>
      </c>
      <c r="X101" s="9" t="s">
        <v>1625</v>
      </c>
      <c r="Y101" s="9" t="s">
        <v>7594</v>
      </c>
      <c r="Z101" s="13"/>
      <c r="AA101" s="13"/>
      <c r="AB101" s="13"/>
      <c r="AC101" s="13">
        <v>1</v>
      </c>
      <c r="AD101" s="13"/>
      <c r="AE101" s="13"/>
      <c r="AF101" s="13"/>
      <c r="AG101" s="13"/>
      <c r="AH101" s="13"/>
      <c r="AI101" s="13"/>
      <c r="AJ101" s="13">
        <v>1</v>
      </c>
      <c r="AK101" s="13"/>
      <c r="AL101" s="13">
        <v>2</v>
      </c>
      <c r="AM101" s="13"/>
      <c r="AN101" s="13"/>
      <c r="AO101" s="13"/>
      <c r="AP101" s="13"/>
      <c r="AQ101" s="13">
        <v>2</v>
      </c>
      <c r="AS101" s="9" t="s">
        <v>1625</v>
      </c>
      <c r="AT101" s="9" t="s">
        <v>7594</v>
      </c>
      <c r="AU101" s="13"/>
      <c r="AV101" s="13"/>
      <c r="AW101" s="13"/>
      <c r="AX101" s="13">
        <v>1</v>
      </c>
      <c r="AY101" s="13"/>
      <c r="AZ101" s="13"/>
      <c r="BA101" s="13"/>
      <c r="BB101" s="13"/>
      <c r="BC101" s="13"/>
      <c r="BD101" s="13"/>
      <c r="BE101" s="13"/>
      <c r="BF101" s="13"/>
      <c r="BG101" s="13">
        <v>1</v>
      </c>
      <c r="BH101" s="13"/>
      <c r="BI101" s="13"/>
      <c r="BJ101" s="13"/>
      <c r="BK101" s="13"/>
      <c r="BL101" s="13">
        <v>1</v>
      </c>
    </row>
    <row r="102" spans="2:64" x14ac:dyDescent="0.2">
      <c r="B102" s="9" t="s">
        <v>8565</v>
      </c>
      <c r="C102" s="9" t="s">
        <v>7594</v>
      </c>
      <c r="D102" s="13">
        <v>287222.22222222225</v>
      </c>
      <c r="E102" s="13">
        <v>242500</v>
      </c>
      <c r="F102" s="13">
        <v>154857.14285714287</v>
      </c>
      <c r="G102" s="13">
        <v>155818.18181818182</v>
      </c>
      <c r="H102" s="13">
        <v>163045.45454545456</v>
      </c>
      <c r="I102" s="13">
        <v>180100</v>
      </c>
      <c r="J102" s="13">
        <v>208450</v>
      </c>
      <c r="K102" s="13">
        <v>184117.64705882352</v>
      </c>
      <c r="L102" s="13">
        <v>143538.46153846153</v>
      </c>
      <c r="M102" s="13">
        <v>176529.03225806452</v>
      </c>
      <c r="N102" s="13">
        <v>143040</v>
      </c>
      <c r="O102" s="13">
        <v>220789.47368421053</v>
      </c>
      <c r="P102" s="13">
        <v>181265.86826347306</v>
      </c>
      <c r="Q102" s="13">
        <v>185166.66666666666</v>
      </c>
      <c r="R102" s="13">
        <v>182615.38461538462</v>
      </c>
      <c r="S102" s="13">
        <v>184440.47619047618</v>
      </c>
      <c r="T102" s="13">
        <v>184040.6976744186</v>
      </c>
      <c r="U102" s="13">
        <v>181834.04761904763</v>
      </c>
      <c r="X102" s="9" t="s">
        <v>8579</v>
      </c>
      <c r="Y102" s="9"/>
      <c r="Z102" s="13"/>
      <c r="AA102" s="13"/>
      <c r="AB102" s="13"/>
      <c r="AC102" s="13">
        <v>1</v>
      </c>
      <c r="AD102" s="13"/>
      <c r="AE102" s="13"/>
      <c r="AF102" s="13"/>
      <c r="AG102" s="13"/>
      <c r="AH102" s="13"/>
      <c r="AI102" s="13"/>
      <c r="AJ102" s="13">
        <v>1</v>
      </c>
      <c r="AK102" s="13"/>
      <c r="AL102" s="13">
        <v>2</v>
      </c>
      <c r="AM102" s="13"/>
      <c r="AN102" s="13"/>
      <c r="AO102" s="13"/>
      <c r="AP102" s="13"/>
      <c r="AQ102" s="13">
        <v>2</v>
      </c>
      <c r="AS102" s="9" t="s">
        <v>8579</v>
      </c>
      <c r="AT102" s="9"/>
      <c r="AU102" s="13"/>
      <c r="AV102" s="13"/>
      <c r="AW102" s="13"/>
      <c r="AX102" s="13">
        <v>1</v>
      </c>
      <c r="AY102" s="13"/>
      <c r="AZ102" s="13"/>
      <c r="BA102" s="13"/>
      <c r="BB102" s="13"/>
      <c r="BC102" s="13"/>
      <c r="BD102" s="13"/>
      <c r="BE102" s="13"/>
      <c r="BF102" s="13"/>
      <c r="BG102" s="13">
        <v>1</v>
      </c>
      <c r="BH102" s="13"/>
      <c r="BI102" s="13"/>
      <c r="BJ102" s="13"/>
      <c r="BK102" s="13"/>
      <c r="BL102" s="13">
        <v>1</v>
      </c>
    </row>
    <row r="103" spans="2:64" x14ac:dyDescent="0.2">
      <c r="B103" s="9" t="s">
        <v>8565</v>
      </c>
      <c r="C103" s="9" t="s">
        <v>7606</v>
      </c>
      <c r="D103" s="13"/>
      <c r="E103" s="13"/>
      <c r="F103" s="13">
        <v>36500</v>
      </c>
      <c r="G103" s="13">
        <v>84500</v>
      </c>
      <c r="H103" s="13"/>
      <c r="I103" s="13">
        <v>138000</v>
      </c>
      <c r="J103" s="13">
        <v>65000</v>
      </c>
      <c r="K103" s="13"/>
      <c r="L103" s="13">
        <v>280000</v>
      </c>
      <c r="M103" s="13">
        <v>55000</v>
      </c>
      <c r="N103" s="13"/>
      <c r="O103" s="13">
        <v>120812.5</v>
      </c>
      <c r="P103" s="13">
        <v>115500</v>
      </c>
      <c r="Q103" s="13"/>
      <c r="R103" s="13">
        <v>73000</v>
      </c>
      <c r="S103" s="13">
        <v>250666.66666666666</v>
      </c>
      <c r="T103" s="13">
        <v>206250</v>
      </c>
      <c r="U103" s="13">
        <v>133650</v>
      </c>
      <c r="X103" s="9" t="s">
        <v>7512</v>
      </c>
      <c r="Y103" s="9" t="s">
        <v>7594</v>
      </c>
      <c r="Z103" s="13"/>
      <c r="AA103" s="13"/>
      <c r="AB103" s="13"/>
      <c r="AC103" s="13"/>
      <c r="AD103" s="13"/>
      <c r="AE103" s="13"/>
      <c r="AF103" s="13"/>
      <c r="AG103" s="13"/>
      <c r="AH103" s="13"/>
      <c r="AI103" s="13"/>
      <c r="AJ103" s="13"/>
      <c r="AK103" s="13"/>
      <c r="AL103" s="13"/>
      <c r="AM103" s="13"/>
      <c r="AN103" s="13"/>
      <c r="AO103" s="13">
        <v>1</v>
      </c>
      <c r="AP103" s="13">
        <v>1</v>
      </c>
      <c r="AQ103" s="13">
        <v>1</v>
      </c>
      <c r="AS103" s="9" t="s">
        <v>7512</v>
      </c>
      <c r="AT103" s="9" t="s">
        <v>7594</v>
      </c>
      <c r="AU103" s="13"/>
      <c r="AV103" s="13"/>
      <c r="AW103" s="13"/>
      <c r="AX103" s="13"/>
      <c r="AY103" s="13"/>
      <c r="AZ103" s="13"/>
      <c r="BA103" s="13"/>
      <c r="BB103" s="13"/>
      <c r="BC103" s="13"/>
      <c r="BD103" s="13"/>
      <c r="BE103" s="13"/>
      <c r="BF103" s="13"/>
      <c r="BG103" s="13"/>
      <c r="BH103" s="13"/>
      <c r="BI103" s="13"/>
      <c r="BJ103" s="13">
        <v>1</v>
      </c>
      <c r="BK103" s="13">
        <v>1</v>
      </c>
      <c r="BL103" s="13">
        <v>1</v>
      </c>
    </row>
    <row r="104" spans="2:64" x14ac:dyDescent="0.2">
      <c r="B104" s="9" t="s">
        <v>8565</v>
      </c>
      <c r="C104" s="9" t="s">
        <v>7611</v>
      </c>
      <c r="D104" s="13"/>
      <c r="E104" s="13">
        <v>101460</v>
      </c>
      <c r="F104" s="13">
        <v>167000</v>
      </c>
      <c r="G104" s="13">
        <v>84500</v>
      </c>
      <c r="H104" s="13">
        <v>72000</v>
      </c>
      <c r="I104" s="13">
        <v>89750</v>
      </c>
      <c r="J104" s="13">
        <v>91000</v>
      </c>
      <c r="K104" s="13">
        <v>93000</v>
      </c>
      <c r="L104" s="13">
        <v>112000</v>
      </c>
      <c r="M104" s="13">
        <v>133600</v>
      </c>
      <c r="N104" s="13"/>
      <c r="O104" s="13">
        <v>100000</v>
      </c>
      <c r="P104" s="13">
        <v>108646.15384615384</v>
      </c>
      <c r="Q104" s="13">
        <v>162500</v>
      </c>
      <c r="R104" s="13">
        <v>126333.33333333333</v>
      </c>
      <c r="S104" s="13">
        <v>64600</v>
      </c>
      <c r="T104" s="13">
        <v>119028.57142857143</v>
      </c>
      <c r="U104" s="13">
        <v>110848.48484848485</v>
      </c>
      <c r="X104" s="9" t="s">
        <v>8580</v>
      </c>
      <c r="Y104" s="9"/>
      <c r="Z104" s="13"/>
      <c r="AA104" s="13"/>
      <c r="AB104" s="13"/>
      <c r="AC104" s="13"/>
      <c r="AD104" s="13"/>
      <c r="AE104" s="13"/>
      <c r="AF104" s="13"/>
      <c r="AG104" s="13"/>
      <c r="AH104" s="13"/>
      <c r="AI104" s="13"/>
      <c r="AJ104" s="13"/>
      <c r="AK104" s="13"/>
      <c r="AL104" s="13"/>
      <c r="AM104" s="13"/>
      <c r="AN104" s="13"/>
      <c r="AO104" s="13">
        <v>1</v>
      </c>
      <c r="AP104" s="13">
        <v>1</v>
      </c>
      <c r="AQ104" s="13">
        <v>1</v>
      </c>
      <c r="AS104" s="9" t="s">
        <v>8580</v>
      </c>
      <c r="AT104" s="9"/>
      <c r="AU104" s="13"/>
      <c r="AV104" s="13"/>
      <c r="AW104" s="13"/>
      <c r="AX104" s="13"/>
      <c r="AY104" s="13"/>
      <c r="AZ104" s="13"/>
      <c r="BA104" s="13"/>
      <c r="BB104" s="13"/>
      <c r="BC104" s="13"/>
      <c r="BD104" s="13"/>
      <c r="BE104" s="13"/>
      <c r="BF104" s="13"/>
      <c r="BG104" s="13"/>
      <c r="BH104" s="13"/>
      <c r="BI104" s="13"/>
      <c r="BJ104" s="13">
        <v>1</v>
      </c>
      <c r="BK104" s="13">
        <v>1</v>
      </c>
      <c r="BL104" s="13">
        <v>1</v>
      </c>
    </row>
    <row r="105" spans="2:64" x14ac:dyDescent="0.2">
      <c r="B105" s="9" t="s">
        <v>8565</v>
      </c>
      <c r="C105" s="9" t="s">
        <v>7615</v>
      </c>
      <c r="D105" s="13">
        <v>52500</v>
      </c>
      <c r="E105" s="13">
        <v>122000</v>
      </c>
      <c r="F105" s="13">
        <v>64500</v>
      </c>
      <c r="G105" s="13">
        <v>127500</v>
      </c>
      <c r="H105" s="13">
        <v>109000</v>
      </c>
      <c r="I105" s="13">
        <v>172666.66666666666</v>
      </c>
      <c r="J105" s="13">
        <v>132710</v>
      </c>
      <c r="K105" s="13">
        <v>196000</v>
      </c>
      <c r="L105" s="13">
        <v>110000</v>
      </c>
      <c r="M105" s="13"/>
      <c r="N105" s="13">
        <v>186500</v>
      </c>
      <c r="O105" s="13">
        <v>141250</v>
      </c>
      <c r="P105" s="13">
        <v>142121.29032258064</v>
      </c>
      <c r="Q105" s="13"/>
      <c r="R105" s="13">
        <v>185000</v>
      </c>
      <c r="S105" s="13">
        <v>246500</v>
      </c>
      <c r="T105" s="13">
        <v>226000</v>
      </c>
      <c r="U105" s="13">
        <v>149522.35294117648</v>
      </c>
      <c r="X105" s="9" t="s">
        <v>55</v>
      </c>
      <c r="Y105" s="9" t="s">
        <v>7594</v>
      </c>
      <c r="Z105" s="13">
        <v>1</v>
      </c>
      <c r="AA105" s="13">
        <v>1</v>
      </c>
      <c r="AB105" s="13"/>
      <c r="AC105" s="13"/>
      <c r="AD105" s="13"/>
      <c r="AE105" s="13">
        <v>1</v>
      </c>
      <c r="AF105" s="13">
        <v>1</v>
      </c>
      <c r="AG105" s="13"/>
      <c r="AH105" s="13">
        <v>1</v>
      </c>
      <c r="AI105" s="13">
        <v>1</v>
      </c>
      <c r="AJ105" s="13">
        <v>1</v>
      </c>
      <c r="AK105" s="13"/>
      <c r="AL105" s="13">
        <v>7</v>
      </c>
      <c r="AM105" s="13"/>
      <c r="AN105" s="13"/>
      <c r="AO105" s="13"/>
      <c r="AP105" s="13"/>
      <c r="AQ105" s="13">
        <v>7</v>
      </c>
      <c r="AS105" s="9" t="s">
        <v>55</v>
      </c>
      <c r="AT105" s="9" t="s">
        <v>7594</v>
      </c>
      <c r="AU105" s="13">
        <v>1</v>
      </c>
      <c r="AV105" s="13">
        <v>1</v>
      </c>
      <c r="AW105" s="13"/>
      <c r="AX105" s="13"/>
      <c r="AY105" s="13"/>
      <c r="AZ105" s="13">
        <v>1</v>
      </c>
      <c r="BA105" s="13">
        <v>1</v>
      </c>
      <c r="BB105" s="13"/>
      <c r="BC105" s="13"/>
      <c r="BD105" s="13">
        <v>1</v>
      </c>
      <c r="BE105" s="13">
        <v>1</v>
      </c>
      <c r="BF105" s="13"/>
      <c r="BG105" s="13">
        <v>6</v>
      </c>
      <c r="BH105" s="13"/>
      <c r="BI105" s="13"/>
      <c r="BJ105" s="13"/>
      <c r="BK105" s="13"/>
      <c r="BL105" s="13">
        <v>6</v>
      </c>
    </row>
    <row r="106" spans="2:64" x14ac:dyDescent="0.2">
      <c r="B106" s="9" t="s">
        <v>8565</v>
      </c>
      <c r="C106" s="9" t="s">
        <v>7617</v>
      </c>
      <c r="D106" s="13">
        <v>47000</v>
      </c>
      <c r="E106" s="13"/>
      <c r="F106" s="13">
        <v>66000</v>
      </c>
      <c r="G106" s="13"/>
      <c r="H106" s="13">
        <v>220000</v>
      </c>
      <c r="I106" s="13"/>
      <c r="J106" s="13">
        <v>190000</v>
      </c>
      <c r="K106" s="13"/>
      <c r="L106" s="13"/>
      <c r="M106" s="13"/>
      <c r="N106" s="13"/>
      <c r="O106" s="13">
        <v>134000</v>
      </c>
      <c r="P106" s="13">
        <v>146166.66666666666</v>
      </c>
      <c r="Q106" s="13"/>
      <c r="R106" s="13"/>
      <c r="S106" s="13"/>
      <c r="T106" s="13"/>
      <c r="U106" s="13">
        <v>146166.66666666666</v>
      </c>
      <c r="X106" s="9" t="s">
        <v>55</v>
      </c>
      <c r="Y106" s="9" t="s">
        <v>7626</v>
      </c>
      <c r="Z106" s="13">
        <v>1</v>
      </c>
      <c r="AA106" s="13"/>
      <c r="AB106" s="13"/>
      <c r="AC106" s="13">
        <v>1</v>
      </c>
      <c r="AD106" s="13"/>
      <c r="AE106" s="13"/>
      <c r="AF106" s="13"/>
      <c r="AG106" s="13">
        <v>2</v>
      </c>
      <c r="AH106" s="13">
        <v>2</v>
      </c>
      <c r="AI106" s="13"/>
      <c r="AJ106" s="13"/>
      <c r="AK106" s="13">
        <v>2</v>
      </c>
      <c r="AL106" s="13">
        <v>8</v>
      </c>
      <c r="AM106" s="13"/>
      <c r="AN106" s="13"/>
      <c r="AO106" s="13"/>
      <c r="AP106" s="13"/>
      <c r="AQ106" s="13">
        <v>8</v>
      </c>
      <c r="AS106" s="9" t="s">
        <v>55</v>
      </c>
      <c r="AT106" s="9" t="s">
        <v>7626</v>
      </c>
      <c r="AU106" s="13"/>
      <c r="AV106" s="13"/>
      <c r="AW106" s="13"/>
      <c r="AX106" s="13"/>
      <c r="AY106" s="13"/>
      <c r="AZ106" s="13"/>
      <c r="BA106" s="13"/>
      <c r="BB106" s="13"/>
      <c r="BC106" s="13"/>
      <c r="BD106" s="13"/>
      <c r="BE106" s="13"/>
      <c r="BF106" s="13">
        <v>1</v>
      </c>
      <c r="BG106" s="13">
        <v>1</v>
      </c>
      <c r="BH106" s="13"/>
      <c r="BI106" s="13"/>
      <c r="BJ106" s="13"/>
      <c r="BK106" s="13"/>
      <c r="BL106" s="13">
        <v>1</v>
      </c>
    </row>
    <row r="107" spans="2:64" x14ac:dyDescent="0.2">
      <c r="B107" s="9" t="s">
        <v>8565</v>
      </c>
      <c r="C107" s="9" t="s">
        <v>7621</v>
      </c>
      <c r="D107" s="13">
        <v>145000</v>
      </c>
      <c r="E107" s="13"/>
      <c r="F107" s="13">
        <v>49500</v>
      </c>
      <c r="G107" s="13">
        <v>100000</v>
      </c>
      <c r="H107" s="13"/>
      <c r="I107" s="13">
        <v>49250</v>
      </c>
      <c r="J107" s="13">
        <v>71400</v>
      </c>
      <c r="K107" s="13">
        <v>88250</v>
      </c>
      <c r="L107" s="13">
        <v>129500</v>
      </c>
      <c r="M107" s="13">
        <v>93250</v>
      </c>
      <c r="N107" s="13">
        <v>84500</v>
      </c>
      <c r="O107" s="13">
        <v>87666.666666666672</v>
      </c>
      <c r="P107" s="13">
        <v>86831.034482758623</v>
      </c>
      <c r="Q107" s="13"/>
      <c r="R107" s="13">
        <v>87333.333333333328</v>
      </c>
      <c r="S107" s="13">
        <v>88750</v>
      </c>
      <c r="T107" s="13">
        <v>87900</v>
      </c>
      <c r="U107" s="13">
        <v>86988.23529411765</v>
      </c>
      <c r="X107" s="9" t="s">
        <v>55</v>
      </c>
      <c r="Y107" s="9" t="s">
        <v>7630</v>
      </c>
      <c r="Z107" s="13"/>
      <c r="AA107" s="13"/>
      <c r="AB107" s="13"/>
      <c r="AC107" s="13"/>
      <c r="AD107" s="13">
        <v>1</v>
      </c>
      <c r="AE107" s="13"/>
      <c r="AF107" s="13"/>
      <c r="AG107" s="13"/>
      <c r="AH107" s="13"/>
      <c r="AI107" s="13"/>
      <c r="AJ107" s="13"/>
      <c r="AK107" s="13"/>
      <c r="AL107" s="13">
        <v>1</v>
      </c>
      <c r="AM107" s="13"/>
      <c r="AN107" s="13"/>
      <c r="AO107" s="13"/>
      <c r="AP107" s="13"/>
      <c r="AQ107" s="13">
        <v>1</v>
      </c>
      <c r="AS107" s="9" t="s">
        <v>55</v>
      </c>
      <c r="AT107" s="9" t="s">
        <v>7630</v>
      </c>
      <c r="AU107" s="13"/>
      <c r="AV107" s="13"/>
      <c r="AW107" s="13"/>
      <c r="AX107" s="13"/>
      <c r="AY107" s="13">
        <v>1</v>
      </c>
      <c r="AZ107" s="13"/>
      <c r="BA107" s="13"/>
      <c r="BB107" s="13"/>
      <c r="BC107" s="13"/>
      <c r="BD107" s="13"/>
      <c r="BE107" s="13"/>
      <c r="BF107" s="13"/>
      <c r="BG107" s="13">
        <v>1</v>
      </c>
      <c r="BH107" s="13"/>
      <c r="BI107" s="13"/>
      <c r="BJ107" s="13"/>
      <c r="BK107" s="13"/>
      <c r="BL107" s="13">
        <v>1</v>
      </c>
    </row>
    <row r="108" spans="2:64" x14ac:dyDescent="0.2">
      <c r="B108" s="9" t="s">
        <v>8565</v>
      </c>
      <c r="C108" s="9" t="s">
        <v>7626</v>
      </c>
      <c r="D108" s="13"/>
      <c r="E108" s="13"/>
      <c r="F108" s="13"/>
      <c r="G108" s="13">
        <v>575000</v>
      </c>
      <c r="H108" s="13">
        <v>58000</v>
      </c>
      <c r="I108" s="13"/>
      <c r="J108" s="13">
        <v>159162.5</v>
      </c>
      <c r="K108" s="13">
        <v>234583.33333333334</v>
      </c>
      <c r="L108" s="13">
        <v>283571.42857142858</v>
      </c>
      <c r="M108" s="13">
        <v>218844.73684210525</v>
      </c>
      <c r="N108" s="13">
        <v>182914.44444444444</v>
      </c>
      <c r="O108" s="13">
        <v>170125</v>
      </c>
      <c r="P108" s="13">
        <v>211998.81355932204</v>
      </c>
      <c r="Q108" s="13">
        <v>242666.66666666666</v>
      </c>
      <c r="R108" s="13">
        <v>235000</v>
      </c>
      <c r="S108" s="13">
        <v>248178.57142857142</v>
      </c>
      <c r="T108" s="13">
        <v>244431.81818181818</v>
      </c>
      <c r="U108" s="13">
        <v>220807.77777777778</v>
      </c>
      <c r="X108" s="9" t="s">
        <v>8581</v>
      </c>
      <c r="Y108" s="9"/>
      <c r="Z108" s="13">
        <v>2</v>
      </c>
      <c r="AA108" s="13">
        <v>1</v>
      </c>
      <c r="AB108" s="13"/>
      <c r="AC108" s="13">
        <v>1</v>
      </c>
      <c r="AD108" s="13">
        <v>1</v>
      </c>
      <c r="AE108" s="13">
        <v>1</v>
      </c>
      <c r="AF108" s="13">
        <v>1</v>
      </c>
      <c r="AG108" s="13">
        <v>2</v>
      </c>
      <c r="AH108" s="13">
        <v>3</v>
      </c>
      <c r="AI108" s="13">
        <v>1</v>
      </c>
      <c r="AJ108" s="13">
        <v>1</v>
      </c>
      <c r="AK108" s="13">
        <v>2</v>
      </c>
      <c r="AL108" s="13">
        <v>16</v>
      </c>
      <c r="AM108" s="13"/>
      <c r="AN108" s="13"/>
      <c r="AO108" s="13"/>
      <c r="AP108" s="13"/>
      <c r="AQ108" s="13">
        <v>16</v>
      </c>
      <c r="AS108" s="9" t="s">
        <v>8581</v>
      </c>
      <c r="AT108" s="9"/>
      <c r="AU108" s="13">
        <v>1</v>
      </c>
      <c r="AV108" s="13">
        <v>1</v>
      </c>
      <c r="AW108" s="13"/>
      <c r="AX108" s="13"/>
      <c r="AY108" s="13">
        <v>1</v>
      </c>
      <c r="AZ108" s="13">
        <v>1</v>
      </c>
      <c r="BA108" s="13">
        <v>1</v>
      </c>
      <c r="BB108" s="13"/>
      <c r="BC108" s="13"/>
      <c r="BD108" s="13">
        <v>1</v>
      </c>
      <c r="BE108" s="13">
        <v>1</v>
      </c>
      <c r="BF108" s="13">
        <v>1</v>
      </c>
      <c r="BG108" s="13">
        <v>8</v>
      </c>
      <c r="BH108" s="13"/>
      <c r="BI108" s="13"/>
      <c r="BJ108" s="13"/>
      <c r="BK108" s="13"/>
      <c r="BL108" s="13">
        <v>8</v>
      </c>
    </row>
    <row r="109" spans="2:64" x14ac:dyDescent="0.2">
      <c r="B109" s="9" t="s">
        <v>8565</v>
      </c>
      <c r="C109" s="9" t="s">
        <v>7630</v>
      </c>
      <c r="D109" s="13"/>
      <c r="E109" s="13"/>
      <c r="F109" s="13">
        <v>216000</v>
      </c>
      <c r="G109" s="13"/>
      <c r="H109" s="13"/>
      <c r="I109" s="13"/>
      <c r="J109" s="13">
        <v>176000</v>
      </c>
      <c r="K109" s="13">
        <v>65000</v>
      </c>
      <c r="L109" s="13"/>
      <c r="M109" s="13">
        <v>132000</v>
      </c>
      <c r="N109" s="13"/>
      <c r="O109" s="13"/>
      <c r="P109" s="13">
        <v>147250</v>
      </c>
      <c r="Q109" s="13"/>
      <c r="R109" s="13"/>
      <c r="S109" s="13">
        <v>63000</v>
      </c>
      <c r="T109" s="13">
        <v>63000</v>
      </c>
      <c r="U109" s="13">
        <v>130400</v>
      </c>
      <c r="X109" s="9" t="s">
        <v>14</v>
      </c>
      <c r="Y109" s="9" t="s">
        <v>7594</v>
      </c>
      <c r="Z109" s="13"/>
      <c r="AA109" s="13">
        <v>1</v>
      </c>
      <c r="AB109" s="13"/>
      <c r="AC109" s="13"/>
      <c r="AD109" s="13">
        <v>1</v>
      </c>
      <c r="AE109" s="13"/>
      <c r="AF109" s="13">
        <v>1</v>
      </c>
      <c r="AG109" s="13"/>
      <c r="AH109" s="13"/>
      <c r="AI109" s="13"/>
      <c r="AJ109" s="13"/>
      <c r="AK109" s="13">
        <v>1</v>
      </c>
      <c r="AL109" s="13">
        <v>4</v>
      </c>
      <c r="AM109" s="13">
        <v>1</v>
      </c>
      <c r="AN109" s="13"/>
      <c r="AO109" s="13">
        <v>1</v>
      </c>
      <c r="AP109" s="13">
        <v>2</v>
      </c>
      <c r="AQ109" s="13">
        <v>6</v>
      </c>
      <c r="AS109" s="9" t="s">
        <v>14</v>
      </c>
      <c r="AT109" s="9" t="s">
        <v>7594</v>
      </c>
      <c r="AU109" s="13"/>
      <c r="AV109" s="13">
        <v>1</v>
      </c>
      <c r="AW109" s="13"/>
      <c r="AX109" s="13"/>
      <c r="AY109" s="13">
        <v>1</v>
      </c>
      <c r="AZ109" s="13"/>
      <c r="BA109" s="13">
        <v>1</v>
      </c>
      <c r="BB109" s="13"/>
      <c r="BC109" s="13"/>
      <c r="BD109" s="13"/>
      <c r="BE109" s="13"/>
      <c r="BF109" s="13"/>
      <c r="BG109" s="13">
        <v>3</v>
      </c>
      <c r="BH109" s="13"/>
      <c r="BI109" s="13"/>
      <c r="BJ109" s="13">
        <v>1</v>
      </c>
      <c r="BK109" s="13">
        <v>1</v>
      </c>
      <c r="BL109" s="13">
        <v>4</v>
      </c>
    </row>
    <row r="110" spans="2:64" x14ac:dyDescent="0.2">
      <c r="B110" s="9" t="s">
        <v>8565</v>
      </c>
      <c r="C110" s="9" t="s">
        <v>7632</v>
      </c>
      <c r="D110" s="13">
        <v>114000</v>
      </c>
      <c r="E110" s="13">
        <v>80000</v>
      </c>
      <c r="F110" s="13"/>
      <c r="G110" s="13">
        <v>195000</v>
      </c>
      <c r="H110" s="13">
        <v>189250</v>
      </c>
      <c r="I110" s="13">
        <v>53500</v>
      </c>
      <c r="J110" s="13">
        <v>123250</v>
      </c>
      <c r="K110" s="13">
        <v>126800</v>
      </c>
      <c r="L110" s="13">
        <v>72633</v>
      </c>
      <c r="M110" s="13">
        <v>45000</v>
      </c>
      <c r="N110" s="13"/>
      <c r="O110" s="13">
        <v>52250</v>
      </c>
      <c r="P110" s="13">
        <v>108012.09090909091</v>
      </c>
      <c r="Q110" s="13"/>
      <c r="R110" s="13"/>
      <c r="S110" s="13"/>
      <c r="T110" s="13"/>
      <c r="U110" s="13">
        <v>108012.09090909091</v>
      </c>
      <c r="X110" s="9" t="s">
        <v>14</v>
      </c>
      <c r="Y110" s="9" t="s">
        <v>7626</v>
      </c>
      <c r="Z110" s="13"/>
      <c r="AA110" s="13"/>
      <c r="AB110" s="13"/>
      <c r="AC110" s="13"/>
      <c r="AD110" s="13"/>
      <c r="AE110" s="13"/>
      <c r="AF110" s="13"/>
      <c r="AG110" s="13">
        <v>1</v>
      </c>
      <c r="AH110" s="13"/>
      <c r="AI110" s="13"/>
      <c r="AJ110" s="13">
        <v>1</v>
      </c>
      <c r="AK110" s="13"/>
      <c r="AL110" s="13">
        <v>2</v>
      </c>
      <c r="AM110" s="13">
        <v>1</v>
      </c>
      <c r="AN110" s="13"/>
      <c r="AO110" s="13">
        <v>1</v>
      </c>
      <c r="AP110" s="13">
        <v>2</v>
      </c>
      <c r="AQ110" s="13">
        <v>4</v>
      </c>
      <c r="AS110" s="9" t="s">
        <v>14</v>
      </c>
      <c r="AT110" s="9" t="s">
        <v>7626</v>
      </c>
      <c r="AU110" s="13"/>
      <c r="AV110" s="13"/>
      <c r="AW110" s="13"/>
      <c r="AX110" s="13"/>
      <c r="AY110" s="13"/>
      <c r="AZ110" s="13"/>
      <c r="BA110" s="13"/>
      <c r="BB110" s="13">
        <v>1</v>
      </c>
      <c r="BC110" s="13"/>
      <c r="BD110" s="13"/>
      <c r="BE110" s="13">
        <v>1</v>
      </c>
      <c r="BF110" s="13"/>
      <c r="BG110" s="13">
        <v>2</v>
      </c>
      <c r="BH110" s="13">
        <v>1</v>
      </c>
      <c r="BI110" s="13"/>
      <c r="BJ110" s="13">
        <v>1</v>
      </c>
      <c r="BK110" s="13">
        <v>2</v>
      </c>
      <c r="BL110" s="13">
        <v>4</v>
      </c>
    </row>
    <row r="111" spans="2:64" x14ac:dyDescent="0.2">
      <c r="B111" s="9" t="s">
        <v>8570</v>
      </c>
      <c r="D111" s="13">
        <v>226423.07692307694</v>
      </c>
      <c r="E111" s="13">
        <v>146608.33333333334</v>
      </c>
      <c r="F111" s="13">
        <v>127666.66666666667</v>
      </c>
      <c r="G111" s="13">
        <v>158850</v>
      </c>
      <c r="H111" s="13">
        <v>151600</v>
      </c>
      <c r="I111" s="13">
        <v>141904.76190476189</v>
      </c>
      <c r="J111" s="13">
        <v>148757.87878787878</v>
      </c>
      <c r="K111" s="13">
        <v>170171.05263157896</v>
      </c>
      <c r="L111" s="13">
        <v>167847.29032258064</v>
      </c>
      <c r="M111" s="13">
        <v>175862.09677419355</v>
      </c>
      <c r="N111" s="13">
        <v>145771.77777777778</v>
      </c>
      <c r="O111" s="13">
        <v>167390</v>
      </c>
      <c r="P111" s="13">
        <v>161717.37777777779</v>
      </c>
      <c r="Q111" s="13">
        <v>194250</v>
      </c>
      <c r="R111" s="13">
        <v>171076.92307692306</v>
      </c>
      <c r="S111" s="13">
        <v>199165.55555555556</v>
      </c>
      <c r="T111" s="13">
        <v>189764.11764705883</v>
      </c>
      <c r="U111" s="13">
        <v>167074.62022471911</v>
      </c>
      <c r="X111" s="9" t="s">
        <v>8582</v>
      </c>
      <c r="Y111" s="9"/>
      <c r="Z111" s="13"/>
      <c r="AA111" s="13">
        <v>1</v>
      </c>
      <c r="AB111" s="13"/>
      <c r="AC111" s="13"/>
      <c r="AD111" s="13">
        <v>1</v>
      </c>
      <c r="AE111" s="13"/>
      <c r="AF111" s="13">
        <v>1</v>
      </c>
      <c r="AG111" s="13">
        <v>1</v>
      </c>
      <c r="AH111" s="13"/>
      <c r="AI111" s="13"/>
      <c r="AJ111" s="13">
        <v>1</v>
      </c>
      <c r="AK111" s="13">
        <v>1</v>
      </c>
      <c r="AL111" s="13">
        <v>6</v>
      </c>
      <c r="AM111" s="13">
        <v>2</v>
      </c>
      <c r="AN111" s="13"/>
      <c r="AO111" s="13">
        <v>2</v>
      </c>
      <c r="AP111" s="13">
        <v>4</v>
      </c>
      <c r="AQ111" s="13">
        <v>10</v>
      </c>
      <c r="AS111" s="9" t="s">
        <v>8582</v>
      </c>
      <c r="AT111" s="9"/>
      <c r="AU111" s="13"/>
      <c r="AV111" s="13">
        <v>1</v>
      </c>
      <c r="AW111" s="13"/>
      <c r="AX111" s="13"/>
      <c r="AY111" s="13">
        <v>1</v>
      </c>
      <c r="AZ111" s="13"/>
      <c r="BA111" s="13">
        <v>1</v>
      </c>
      <c r="BB111" s="13">
        <v>1</v>
      </c>
      <c r="BC111" s="13"/>
      <c r="BD111" s="13"/>
      <c r="BE111" s="13">
        <v>1</v>
      </c>
      <c r="BF111" s="13"/>
      <c r="BG111" s="13">
        <v>5</v>
      </c>
      <c r="BH111" s="13">
        <v>1</v>
      </c>
      <c r="BI111" s="13"/>
      <c r="BJ111" s="13">
        <v>2</v>
      </c>
      <c r="BK111" s="13">
        <v>3</v>
      </c>
      <c r="BL111" s="13">
        <v>8</v>
      </c>
    </row>
    <row r="112" spans="2:64" x14ac:dyDescent="0.2">
      <c r="B112" s="9" t="s">
        <v>8566</v>
      </c>
      <c r="C112" s="9" t="s">
        <v>7594</v>
      </c>
      <c r="D112" s="13">
        <v>103166.66666666667</v>
      </c>
      <c r="E112" s="13">
        <v>207454.54545454544</v>
      </c>
      <c r="F112" s="13">
        <v>164055.55555555556</v>
      </c>
      <c r="G112" s="13">
        <v>148227.27272727274</v>
      </c>
      <c r="H112" s="13">
        <v>156642.85714285713</v>
      </c>
      <c r="I112" s="13">
        <v>178961.53846153847</v>
      </c>
      <c r="J112" s="13">
        <v>176815.78947368421</v>
      </c>
      <c r="K112" s="13">
        <v>245928.57142857142</v>
      </c>
      <c r="L112" s="13">
        <v>207134.04761904763</v>
      </c>
      <c r="M112" s="13">
        <v>147045.45454545456</v>
      </c>
      <c r="N112" s="13">
        <v>181785.71428571429</v>
      </c>
      <c r="O112" s="13">
        <v>179747.82608695651</v>
      </c>
      <c r="P112" s="13">
        <v>178497.25988700564</v>
      </c>
      <c r="Q112" s="13">
        <v>181312.5</v>
      </c>
      <c r="R112" s="13">
        <v>116333.33333333333</v>
      </c>
      <c r="S112" s="13">
        <v>153187.5</v>
      </c>
      <c r="T112" s="13">
        <v>144782.05128205128</v>
      </c>
      <c r="U112" s="13">
        <v>172409.79166666666</v>
      </c>
      <c r="X112" s="9" t="s">
        <v>61</v>
      </c>
      <c r="Y112" s="9" t="s">
        <v>7594</v>
      </c>
      <c r="Z112" s="13">
        <v>2</v>
      </c>
      <c r="AA112" s="13">
        <v>1</v>
      </c>
      <c r="AB112" s="13">
        <v>5</v>
      </c>
      <c r="AC112" s="13">
        <v>6</v>
      </c>
      <c r="AD112" s="13">
        <v>5</v>
      </c>
      <c r="AE112" s="13">
        <v>7</v>
      </c>
      <c r="AF112" s="13">
        <v>5</v>
      </c>
      <c r="AG112" s="13">
        <v>8</v>
      </c>
      <c r="AH112" s="13">
        <v>10</v>
      </c>
      <c r="AI112" s="13">
        <v>11</v>
      </c>
      <c r="AJ112" s="13">
        <v>4</v>
      </c>
      <c r="AK112" s="13">
        <v>11</v>
      </c>
      <c r="AL112" s="13">
        <v>75</v>
      </c>
      <c r="AM112" s="13">
        <v>4</v>
      </c>
      <c r="AN112" s="13">
        <v>4</v>
      </c>
      <c r="AO112" s="13">
        <v>11</v>
      </c>
      <c r="AP112" s="13">
        <v>19</v>
      </c>
      <c r="AQ112" s="13">
        <v>94</v>
      </c>
      <c r="AS112" s="9" t="s">
        <v>61</v>
      </c>
      <c r="AT112" s="9" t="s">
        <v>7594</v>
      </c>
      <c r="AU112" s="13">
        <v>2</v>
      </c>
      <c r="AV112" s="13">
        <v>1</v>
      </c>
      <c r="AW112" s="13">
        <v>1</v>
      </c>
      <c r="AX112" s="13">
        <v>5</v>
      </c>
      <c r="AY112" s="13">
        <v>5</v>
      </c>
      <c r="AZ112" s="13">
        <v>6</v>
      </c>
      <c r="BA112" s="13">
        <v>3</v>
      </c>
      <c r="BB112" s="13">
        <v>4</v>
      </c>
      <c r="BC112" s="13">
        <v>7</v>
      </c>
      <c r="BD112" s="13">
        <v>8</v>
      </c>
      <c r="BE112" s="13">
        <v>4</v>
      </c>
      <c r="BF112" s="13">
        <v>10</v>
      </c>
      <c r="BG112" s="13">
        <v>56</v>
      </c>
      <c r="BH112" s="13">
        <v>2</v>
      </c>
      <c r="BI112" s="13">
        <v>4</v>
      </c>
      <c r="BJ112" s="13">
        <v>9</v>
      </c>
      <c r="BK112" s="13">
        <v>15</v>
      </c>
      <c r="BL112" s="13">
        <v>71</v>
      </c>
    </row>
    <row r="113" spans="2:64" x14ac:dyDescent="0.2">
      <c r="B113" s="9" t="s">
        <v>8566</v>
      </c>
      <c r="C113" s="9" t="s">
        <v>7606</v>
      </c>
      <c r="D113" s="13">
        <v>45000</v>
      </c>
      <c r="E113" s="13">
        <v>45000</v>
      </c>
      <c r="F113" s="13"/>
      <c r="G113" s="13">
        <v>175000</v>
      </c>
      <c r="H113" s="13"/>
      <c r="I113" s="13">
        <v>66600</v>
      </c>
      <c r="J113" s="13">
        <v>110000</v>
      </c>
      <c r="K113" s="13"/>
      <c r="L113" s="13"/>
      <c r="M113" s="13"/>
      <c r="N113" s="13">
        <v>53000</v>
      </c>
      <c r="O113" s="13">
        <v>87881.818181818177</v>
      </c>
      <c r="P113" s="13">
        <v>87294.444444444438</v>
      </c>
      <c r="Q113" s="13">
        <v>67000</v>
      </c>
      <c r="R113" s="13">
        <v>139000</v>
      </c>
      <c r="S113" s="13">
        <v>77500</v>
      </c>
      <c r="T113" s="13">
        <v>100000</v>
      </c>
      <c r="U113" s="13">
        <v>90056.521739130432</v>
      </c>
      <c r="X113" s="9" t="s">
        <v>61</v>
      </c>
      <c r="Y113" s="9" t="s">
        <v>7626</v>
      </c>
      <c r="Z113" s="13">
        <v>2</v>
      </c>
      <c r="AA113" s="13">
        <v>2</v>
      </c>
      <c r="AB113" s="13">
        <v>1</v>
      </c>
      <c r="AC113" s="13">
        <v>2</v>
      </c>
      <c r="AD113" s="13">
        <v>2</v>
      </c>
      <c r="AE113" s="13">
        <v>3</v>
      </c>
      <c r="AF113" s="13">
        <v>2</v>
      </c>
      <c r="AG113" s="13">
        <v>4</v>
      </c>
      <c r="AH113" s="13">
        <v>3</v>
      </c>
      <c r="AI113" s="13">
        <v>1</v>
      </c>
      <c r="AJ113" s="13">
        <v>2</v>
      </c>
      <c r="AK113" s="13">
        <v>1</v>
      </c>
      <c r="AL113" s="13">
        <v>25</v>
      </c>
      <c r="AM113" s="13">
        <v>1</v>
      </c>
      <c r="AN113" s="13">
        <v>1</v>
      </c>
      <c r="AO113" s="13">
        <v>2</v>
      </c>
      <c r="AP113" s="13">
        <v>4</v>
      </c>
      <c r="AQ113" s="13">
        <v>29</v>
      </c>
      <c r="AS113" s="9" t="s">
        <v>61</v>
      </c>
      <c r="AT113" s="9" t="s">
        <v>7626</v>
      </c>
      <c r="AU113" s="13">
        <v>1</v>
      </c>
      <c r="AV113" s="13">
        <v>1</v>
      </c>
      <c r="AW113" s="13"/>
      <c r="AX113" s="13">
        <v>2</v>
      </c>
      <c r="AY113" s="13">
        <v>1</v>
      </c>
      <c r="AZ113" s="13">
        <v>3</v>
      </c>
      <c r="BA113" s="13">
        <v>1</v>
      </c>
      <c r="BB113" s="13">
        <v>3</v>
      </c>
      <c r="BC113" s="13">
        <v>3</v>
      </c>
      <c r="BD113" s="13"/>
      <c r="BE113" s="13">
        <v>2</v>
      </c>
      <c r="BF113" s="13">
        <v>1</v>
      </c>
      <c r="BG113" s="13">
        <v>18</v>
      </c>
      <c r="BH113" s="13"/>
      <c r="BI113" s="13">
        <v>1</v>
      </c>
      <c r="BJ113" s="13">
        <v>1</v>
      </c>
      <c r="BK113" s="13">
        <v>2</v>
      </c>
      <c r="BL113" s="13">
        <v>20</v>
      </c>
    </row>
    <row r="114" spans="2:64" x14ac:dyDescent="0.2">
      <c r="B114" s="9" t="s">
        <v>8566</v>
      </c>
      <c r="C114" s="9" t="s">
        <v>7611</v>
      </c>
      <c r="D114" s="13">
        <v>74666.666666666672</v>
      </c>
      <c r="E114" s="13">
        <v>185000</v>
      </c>
      <c r="F114" s="13">
        <v>190000</v>
      </c>
      <c r="G114" s="13">
        <v>166500</v>
      </c>
      <c r="H114" s="13">
        <v>90000</v>
      </c>
      <c r="I114" s="13">
        <v>94000</v>
      </c>
      <c r="J114" s="13">
        <v>63000</v>
      </c>
      <c r="K114" s="13">
        <v>110000</v>
      </c>
      <c r="L114" s="13">
        <v>220800</v>
      </c>
      <c r="M114" s="13"/>
      <c r="N114" s="13"/>
      <c r="O114" s="13">
        <v>162000</v>
      </c>
      <c r="P114" s="13">
        <v>142590.90909090909</v>
      </c>
      <c r="Q114" s="13"/>
      <c r="R114" s="13">
        <v>235333.33333333334</v>
      </c>
      <c r="S114" s="13">
        <v>165000</v>
      </c>
      <c r="T114" s="13">
        <v>217750</v>
      </c>
      <c r="U114" s="13">
        <v>154153.84615384616</v>
      </c>
      <c r="X114" s="9" t="s">
        <v>61</v>
      </c>
      <c r="Y114" s="9" t="s">
        <v>7630</v>
      </c>
      <c r="Z114" s="13"/>
      <c r="AA114" s="13"/>
      <c r="AB114" s="13"/>
      <c r="AC114" s="13"/>
      <c r="AD114" s="13"/>
      <c r="AE114" s="13"/>
      <c r="AF114" s="13">
        <v>1</v>
      </c>
      <c r="AG114" s="13">
        <v>2</v>
      </c>
      <c r="AH114" s="13"/>
      <c r="AI114" s="13"/>
      <c r="AJ114" s="13"/>
      <c r="AK114" s="13"/>
      <c r="AL114" s="13">
        <v>3</v>
      </c>
      <c r="AM114" s="13">
        <v>1</v>
      </c>
      <c r="AN114" s="13"/>
      <c r="AO114" s="13"/>
      <c r="AP114" s="13">
        <v>1</v>
      </c>
      <c r="AQ114" s="13">
        <v>4</v>
      </c>
      <c r="AS114" s="9" t="s">
        <v>8583</v>
      </c>
      <c r="AT114" s="9"/>
      <c r="AU114" s="13">
        <v>3</v>
      </c>
      <c r="AV114" s="13">
        <v>2</v>
      </c>
      <c r="AW114" s="13">
        <v>1</v>
      </c>
      <c r="AX114" s="13">
        <v>7</v>
      </c>
      <c r="AY114" s="13">
        <v>6</v>
      </c>
      <c r="AZ114" s="13">
        <v>9</v>
      </c>
      <c r="BA114" s="13">
        <v>4</v>
      </c>
      <c r="BB114" s="13">
        <v>7</v>
      </c>
      <c r="BC114" s="13">
        <v>10</v>
      </c>
      <c r="BD114" s="13">
        <v>8</v>
      </c>
      <c r="BE114" s="13">
        <v>6</v>
      </c>
      <c r="BF114" s="13">
        <v>11</v>
      </c>
      <c r="BG114" s="13">
        <v>74</v>
      </c>
      <c r="BH114" s="13">
        <v>2</v>
      </c>
      <c r="BI114" s="13">
        <v>5</v>
      </c>
      <c r="BJ114" s="13">
        <v>10</v>
      </c>
      <c r="BK114" s="13">
        <v>17</v>
      </c>
      <c r="BL114" s="13">
        <v>91</v>
      </c>
    </row>
    <row r="115" spans="2:64" x14ac:dyDescent="0.2">
      <c r="B115" s="9" t="s">
        <v>8566</v>
      </c>
      <c r="C115" s="9" t="s">
        <v>7615</v>
      </c>
      <c r="D115" s="13"/>
      <c r="E115" s="13"/>
      <c r="F115" s="13"/>
      <c r="G115" s="13">
        <v>307500</v>
      </c>
      <c r="H115" s="13">
        <v>133000</v>
      </c>
      <c r="I115" s="13">
        <v>45000</v>
      </c>
      <c r="J115" s="13">
        <v>98000</v>
      </c>
      <c r="K115" s="13">
        <v>55000</v>
      </c>
      <c r="L115" s="13">
        <v>159000</v>
      </c>
      <c r="M115" s="13"/>
      <c r="N115" s="13">
        <v>170000</v>
      </c>
      <c r="O115" s="13">
        <v>120333.33333333333</v>
      </c>
      <c r="P115" s="13">
        <v>149583.33333333334</v>
      </c>
      <c r="Q115" s="13">
        <v>181000</v>
      </c>
      <c r="R115" s="13"/>
      <c r="S115" s="13">
        <v>93000</v>
      </c>
      <c r="T115" s="13">
        <v>137000</v>
      </c>
      <c r="U115" s="13">
        <v>147785.71428571429</v>
      </c>
      <c r="X115" s="9" t="s">
        <v>61</v>
      </c>
      <c r="Y115" s="9" t="s">
        <v>7632</v>
      </c>
      <c r="Z115" s="13"/>
      <c r="AA115" s="13"/>
      <c r="AB115" s="13"/>
      <c r="AC115" s="13"/>
      <c r="AD115" s="13"/>
      <c r="AE115" s="13">
        <v>1</v>
      </c>
      <c r="AF115" s="13"/>
      <c r="AG115" s="13"/>
      <c r="AH115" s="13"/>
      <c r="AI115" s="13"/>
      <c r="AJ115" s="13"/>
      <c r="AK115" s="13"/>
      <c r="AL115" s="13">
        <v>1</v>
      </c>
      <c r="AM115" s="13"/>
      <c r="AN115" s="13"/>
      <c r="AO115" s="13"/>
      <c r="AP115" s="13"/>
      <c r="AQ115" s="13">
        <v>1</v>
      </c>
      <c r="AS115" s="9" t="s">
        <v>2934</v>
      </c>
      <c r="AT115" s="9" t="s">
        <v>7594</v>
      </c>
      <c r="AU115" s="13"/>
      <c r="AV115" s="13"/>
      <c r="AW115" s="13"/>
      <c r="AX115" s="13">
        <v>1</v>
      </c>
      <c r="AY115" s="13"/>
      <c r="AZ115" s="13"/>
      <c r="BA115" s="13">
        <v>1</v>
      </c>
      <c r="BB115" s="13"/>
      <c r="BC115" s="13"/>
      <c r="BD115" s="13"/>
      <c r="BE115" s="13"/>
      <c r="BF115" s="13">
        <v>1</v>
      </c>
      <c r="BG115" s="13">
        <v>3</v>
      </c>
      <c r="BH115" s="13"/>
      <c r="BI115" s="13"/>
      <c r="BJ115" s="13"/>
      <c r="BK115" s="13"/>
      <c r="BL115" s="13">
        <v>3</v>
      </c>
    </row>
    <row r="116" spans="2:64" x14ac:dyDescent="0.2">
      <c r="B116" s="9" t="s">
        <v>8566</v>
      </c>
      <c r="C116" s="9" t="s">
        <v>7617</v>
      </c>
      <c r="D116" s="13"/>
      <c r="E116" s="13">
        <v>157500</v>
      </c>
      <c r="F116" s="13"/>
      <c r="G116" s="13"/>
      <c r="H116" s="13">
        <v>72000</v>
      </c>
      <c r="I116" s="13">
        <v>80333.333333333328</v>
      </c>
      <c r="J116" s="13"/>
      <c r="K116" s="13">
        <v>620000</v>
      </c>
      <c r="L116" s="13">
        <v>66000</v>
      </c>
      <c r="M116" s="13">
        <v>40000</v>
      </c>
      <c r="N116" s="13">
        <v>115000</v>
      </c>
      <c r="O116" s="13">
        <v>93500</v>
      </c>
      <c r="P116" s="13">
        <v>136227.27272727274</v>
      </c>
      <c r="Q116" s="13">
        <v>100000</v>
      </c>
      <c r="R116" s="13"/>
      <c r="S116" s="13">
        <v>89000</v>
      </c>
      <c r="T116" s="13">
        <v>94500</v>
      </c>
      <c r="U116" s="13">
        <v>129807.69230769231</v>
      </c>
      <c r="X116" s="9" t="s">
        <v>8583</v>
      </c>
      <c r="Y116" s="9"/>
      <c r="Z116" s="13">
        <v>4</v>
      </c>
      <c r="AA116" s="13">
        <v>3</v>
      </c>
      <c r="AB116" s="13">
        <v>6</v>
      </c>
      <c r="AC116" s="13">
        <v>8</v>
      </c>
      <c r="AD116" s="13">
        <v>7</v>
      </c>
      <c r="AE116" s="13">
        <v>11</v>
      </c>
      <c r="AF116" s="13">
        <v>8</v>
      </c>
      <c r="AG116" s="13">
        <v>14</v>
      </c>
      <c r="AH116" s="13">
        <v>13</v>
      </c>
      <c r="AI116" s="13">
        <v>12</v>
      </c>
      <c r="AJ116" s="13">
        <v>6</v>
      </c>
      <c r="AK116" s="13">
        <v>12</v>
      </c>
      <c r="AL116" s="13">
        <v>104</v>
      </c>
      <c r="AM116" s="13">
        <v>6</v>
      </c>
      <c r="AN116" s="13">
        <v>5</v>
      </c>
      <c r="AO116" s="13">
        <v>13</v>
      </c>
      <c r="AP116" s="13">
        <v>24</v>
      </c>
      <c r="AQ116" s="13">
        <v>128</v>
      </c>
      <c r="AS116" s="9" t="s">
        <v>2934</v>
      </c>
      <c r="AT116" s="9" t="s">
        <v>7626</v>
      </c>
      <c r="AU116" s="13"/>
      <c r="AV116" s="13"/>
      <c r="AW116" s="13"/>
      <c r="AX116" s="13"/>
      <c r="AY116" s="13"/>
      <c r="AZ116" s="13">
        <v>1</v>
      </c>
      <c r="BA116" s="13"/>
      <c r="BB116" s="13"/>
      <c r="BC116" s="13"/>
      <c r="BD116" s="13"/>
      <c r="BE116" s="13"/>
      <c r="BF116" s="13"/>
      <c r="BG116" s="13">
        <v>1</v>
      </c>
      <c r="BH116" s="13"/>
      <c r="BI116" s="13"/>
      <c r="BJ116" s="13"/>
      <c r="BK116" s="13"/>
      <c r="BL116" s="13">
        <v>1</v>
      </c>
    </row>
    <row r="117" spans="2:64" x14ac:dyDescent="0.2">
      <c r="B117" s="9" t="s">
        <v>8566</v>
      </c>
      <c r="C117" s="9" t="s">
        <v>7621</v>
      </c>
      <c r="D117" s="13">
        <v>76000</v>
      </c>
      <c r="E117" s="13">
        <v>180000</v>
      </c>
      <c r="F117" s="13"/>
      <c r="G117" s="13">
        <v>53000</v>
      </c>
      <c r="H117" s="13"/>
      <c r="I117" s="13">
        <v>90000</v>
      </c>
      <c r="J117" s="13">
        <v>40000</v>
      </c>
      <c r="K117" s="13">
        <v>68000</v>
      </c>
      <c r="L117" s="13">
        <v>60000</v>
      </c>
      <c r="M117" s="13"/>
      <c r="N117" s="13"/>
      <c r="O117" s="13">
        <v>45066.666666666664</v>
      </c>
      <c r="P117" s="13">
        <v>70323.076923076922</v>
      </c>
      <c r="Q117" s="13">
        <v>88666.666666666672</v>
      </c>
      <c r="R117" s="13">
        <v>93000</v>
      </c>
      <c r="S117" s="13">
        <v>62250</v>
      </c>
      <c r="T117" s="13">
        <v>80583.333333333328</v>
      </c>
      <c r="U117" s="13">
        <v>73563.15789473684</v>
      </c>
      <c r="X117" s="9" t="s">
        <v>2934</v>
      </c>
      <c r="Y117" s="9" t="s">
        <v>7594</v>
      </c>
      <c r="Z117" s="13">
        <v>1</v>
      </c>
      <c r="AA117" s="13"/>
      <c r="AB117" s="13"/>
      <c r="AC117" s="13">
        <v>1</v>
      </c>
      <c r="AD117" s="13"/>
      <c r="AE117" s="13"/>
      <c r="AF117" s="13">
        <v>1</v>
      </c>
      <c r="AG117" s="13"/>
      <c r="AH117" s="13"/>
      <c r="AI117" s="13"/>
      <c r="AJ117" s="13"/>
      <c r="AK117" s="13">
        <v>1</v>
      </c>
      <c r="AL117" s="13">
        <v>4</v>
      </c>
      <c r="AM117" s="13"/>
      <c r="AN117" s="13"/>
      <c r="AO117" s="13">
        <v>1</v>
      </c>
      <c r="AP117" s="13">
        <v>1</v>
      </c>
      <c r="AQ117" s="13">
        <v>5</v>
      </c>
      <c r="AS117" s="9" t="s">
        <v>8584</v>
      </c>
      <c r="AT117" s="9"/>
      <c r="AU117" s="13"/>
      <c r="AV117" s="13"/>
      <c r="AW117" s="13"/>
      <c r="AX117" s="13">
        <v>1</v>
      </c>
      <c r="AY117" s="13"/>
      <c r="AZ117" s="13">
        <v>1</v>
      </c>
      <c r="BA117" s="13">
        <v>1</v>
      </c>
      <c r="BB117" s="13"/>
      <c r="BC117" s="13"/>
      <c r="BD117" s="13"/>
      <c r="BE117" s="13"/>
      <c r="BF117" s="13">
        <v>1</v>
      </c>
      <c r="BG117" s="13">
        <v>4</v>
      </c>
      <c r="BH117" s="13"/>
      <c r="BI117" s="13"/>
      <c r="BJ117" s="13"/>
      <c r="BK117" s="13"/>
      <c r="BL117" s="13">
        <v>4</v>
      </c>
    </row>
    <row r="118" spans="2:64" x14ac:dyDescent="0.2">
      <c r="B118" s="9" t="s">
        <v>8566</v>
      </c>
      <c r="C118" s="9" t="s">
        <v>7626</v>
      </c>
      <c r="D118" s="13">
        <v>215050</v>
      </c>
      <c r="E118" s="13">
        <v>187333.33333333334</v>
      </c>
      <c r="F118" s="13">
        <v>162200</v>
      </c>
      <c r="G118" s="13">
        <v>295312.5</v>
      </c>
      <c r="H118" s="13">
        <v>258437</v>
      </c>
      <c r="I118" s="13">
        <v>165750</v>
      </c>
      <c r="J118" s="13">
        <v>202146.6</v>
      </c>
      <c r="K118" s="13">
        <v>175166.66666666666</v>
      </c>
      <c r="L118" s="13">
        <v>192600</v>
      </c>
      <c r="M118" s="13">
        <v>257000</v>
      </c>
      <c r="N118" s="13">
        <v>215500</v>
      </c>
      <c r="O118" s="13">
        <v>50000</v>
      </c>
      <c r="P118" s="13">
        <v>208983.125</v>
      </c>
      <c r="Q118" s="13">
        <v>145000</v>
      </c>
      <c r="R118" s="13">
        <v>119000</v>
      </c>
      <c r="S118" s="13">
        <v>97000</v>
      </c>
      <c r="T118" s="13">
        <v>125000</v>
      </c>
      <c r="U118" s="13">
        <v>202099.26229508198</v>
      </c>
      <c r="X118" s="9" t="s">
        <v>2934</v>
      </c>
      <c r="Y118" s="9" t="s">
        <v>7626</v>
      </c>
      <c r="Z118" s="13"/>
      <c r="AA118" s="13"/>
      <c r="AB118" s="13"/>
      <c r="AC118" s="13"/>
      <c r="AD118" s="13"/>
      <c r="AE118" s="13">
        <v>1</v>
      </c>
      <c r="AF118" s="13"/>
      <c r="AG118" s="13"/>
      <c r="AH118" s="13"/>
      <c r="AI118" s="13"/>
      <c r="AJ118" s="13"/>
      <c r="AK118" s="13"/>
      <c r="AL118" s="13">
        <v>1</v>
      </c>
      <c r="AM118" s="13"/>
      <c r="AN118" s="13"/>
      <c r="AO118" s="13"/>
      <c r="AP118" s="13"/>
      <c r="AQ118" s="13">
        <v>1</v>
      </c>
      <c r="AS118" s="9" t="s">
        <v>26</v>
      </c>
      <c r="AT118" s="9" t="s">
        <v>7594</v>
      </c>
      <c r="AU118" s="13">
        <v>3</v>
      </c>
      <c r="AV118" s="13">
        <v>3</v>
      </c>
      <c r="AW118" s="13">
        <v>3</v>
      </c>
      <c r="AX118" s="13">
        <v>3</v>
      </c>
      <c r="AY118" s="13">
        <v>1</v>
      </c>
      <c r="AZ118" s="13">
        <v>1</v>
      </c>
      <c r="BA118" s="13">
        <v>3</v>
      </c>
      <c r="BB118" s="13">
        <v>1</v>
      </c>
      <c r="BC118" s="13">
        <v>1</v>
      </c>
      <c r="BD118" s="13">
        <v>1</v>
      </c>
      <c r="BE118" s="13">
        <v>1</v>
      </c>
      <c r="BF118" s="13">
        <v>1</v>
      </c>
      <c r="BG118" s="13">
        <v>22</v>
      </c>
      <c r="BH118" s="13">
        <v>4</v>
      </c>
      <c r="BI118" s="13">
        <v>1</v>
      </c>
      <c r="BJ118" s="13">
        <v>3</v>
      </c>
      <c r="BK118" s="13">
        <v>8</v>
      </c>
      <c r="BL118" s="13">
        <v>30</v>
      </c>
    </row>
    <row r="119" spans="2:64" x14ac:dyDescent="0.2">
      <c r="B119" s="9" t="s">
        <v>8566</v>
      </c>
      <c r="C119" s="9" t="s">
        <v>7630</v>
      </c>
      <c r="D119" s="13"/>
      <c r="E119" s="13"/>
      <c r="F119" s="13">
        <v>150000</v>
      </c>
      <c r="G119" s="13"/>
      <c r="H119" s="13"/>
      <c r="I119" s="13"/>
      <c r="J119" s="13"/>
      <c r="K119" s="13">
        <v>172000</v>
      </c>
      <c r="L119" s="13"/>
      <c r="M119" s="13"/>
      <c r="N119" s="13">
        <v>335000</v>
      </c>
      <c r="O119" s="13">
        <v>131000</v>
      </c>
      <c r="P119" s="13">
        <v>197000</v>
      </c>
      <c r="Q119" s="13"/>
      <c r="R119" s="13"/>
      <c r="S119" s="13">
        <v>69000</v>
      </c>
      <c r="T119" s="13">
        <v>69000</v>
      </c>
      <c r="U119" s="13">
        <v>171400</v>
      </c>
      <c r="X119" s="9" t="s">
        <v>8584</v>
      </c>
      <c r="Y119" s="9"/>
      <c r="Z119" s="13">
        <v>1</v>
      </c>
      <c r="AA119" s="13"/>
      <c r="AB119" s="13"/>
      <c r="AC119" s="13">
        <v>1</v>
      </c>
      <c r="AD119" s="13"/>
      <c r="AE119" s="13">
        <v>1</v>
      </c>
      <c r="AF119" s="13">
        <v>1</v>
      </c>
      <c r="AG119" s="13"/>
      <c r="AH119" s="13"/>
      <c r="AI119" s="13"/>
      <c r="AJ119" s="13"/>
      <c r="AK119" s="13">
        <v>1</v>
      </c>
      <c r="AL119" s="13">
        <v>5</v>
      </c>
      <c r="AM119" s="13"/>
      <c r="AN119" s="13"/>
      <c r="AO119" s="13">
        <v>1</v>
      </c>
      <c r="AP119" s="13">
        <v>1</v>
      </c>
      <c r="AQ119" s="13">
        <v>6</v>
      </c>
      <c r="AS119" s="9" t="s">
        <v>26</v>
      </c>
      <c r="AT119" s="9" t="s">
        <v>7626</v>
      </c>
      <c r="AU119" s="13">
        <v>3</v>
      </c>
      <c r="AV119" s="13">
        <v>1</v>
      </c>
      <c r="AW119" s="13">
        <v>1</v>
      </c>
      <c r="AX119" s="13">
        <v>2</v>
      </c>
      <c r="AY119" s="13">
        <v>1</v>
      </c>
      <c r="AZ119" s="13">
        <v>1</v>
      </c>
      <c r="BA119" s="13"/>
      <c r="BB119" s="13">
        <v>1</v>
      </c>
      <c r="BC119" s="13">
        <v>5</v>
      </c>
      <c r="BD119" s="13">
        <v>1</v>
      </c>
      <c r="BE119" s="13">
        <v>3</v>
      </c>
      <c r="BF119" s="13"/>
      <c r="BG119" s="13">
        <v>19</v>
      </c>
      <c r="BH119" s="13">
        <v>3</v>
      </c>
      <c r="BI119" s="13">
        <v>1</v>
      </c>
      <c r="BJ119" s="13">
        <v>1</v>
      </c>
      <c r="BK119" s="13">
        <v>5</v>
      </c>
      <c r="BL119" s="13">
        <v>24</v>
      </c>
    </row>
    <row r="120" spans="2:64" x14ac:dyDescent="0.2">
      <c r="B120" s="9" t="s">
        <v>8566</v>
      </c>
      <c r="C120" s="9" t="s">
        <v>7632</v>
      </c>
      <c r="D120" s="13"/>
      <c r="E120" s="13"/>
      <c r="F120" s="13">
        <v>110500</v>
      </c>
      <c r="G120" s="13">
        <v>46500</v>
      </c>
      <c r="H120" s="13">
        <v>118333.33333333333</v>
      </c>
      <c r="I120" s="13">
        <v>80166.666666666672</v>
      </c>
      <c r="J120" s="13"/>
      <c r="K120" s="13"/>
      <c r="L120" s="13"/>
      <c r="M120" s="13">
        <v>92500</v>
      </c>
      <c r="N120" s="13"/>
      <c r="O120" s="13">
        <v>59666.666666666664</v>
      </c>
      <c r="P120" s="13">
        <v>88500</v>
      </c>
      <c r="Q120" s="13"/>
      <c r="R120" s="13">
        <v>36000</v>
      </c>
      <c r="S120" s="13">
        <v>85300</v>
      </c>
      <c r="T120" s="13">
        <v>72975</v>
      </c>
      <c r="U120" s="13">
        <v>85542.857142857145</v>
      </c>
      <c r="X120" s="9" t="s">
        <v>26</v>
      </c>
      <c r="Y120" s="9" t="s">
        <v>7594</v>
      </c>
      <c r="Z120" s="13">
        <v>3</v>
      </c>
      <c r="AA120" s="13">
        <v>4</v>
      </c>
      <c r="AB120" s="13">
        <v>4</v>
      </c>
      <c r="AC120" s="13">
        <v>4</v>
      </c>
      <c r="AD120" s="13">
        <v>2</v>
      </c>
      <c r="AE120" s="13">
        <v>1</v>
      </c>
      <c r="AF120" s="13">
        <v>4</v>
      </c>
      <c r="AG120" s="13">
        <v>1</v>
      </c>
      <c r="AH120" s="13">
        <v>2</v>
      </c>
      <c r="AI120" s="13">
        <v>2</v>
      </c>
      <c r="AJ120" s="13">
        <v>1</v>
      </c>
      <c r="AK120" s="13">
        <v>2</v>
      </c>
      <c r="AL120" s="13">
        <v>30</v>
      </c>
      <c r="AM120" s="13">
        <v>4</v>
      </c>
      <c r="AN120" s="13">
        <v>1</v>
      </c>
      <c r="AO120" s="13">
        <v>6</v>
      </c>
      <c r="AP120" s="13">
        <v>11</v>
      </c>
      <c r="AQ120" s="13">
        <v>41</v>
      </c>
      <c r="AS120" s="9" t="s">
        <v>8585</v>
      </c>
      <c r="AT120" s="9"/>
      <c r="AU120" s="13">
        <v>6</v>
      </c>
      <c r="AV120" s="13">
        <v>4</v>
      </c>
      <c r="AW120" s="13">
        <v>4</v>
      </c>
      <c r="AX120" s="13">
        <v>5</v>
      </c>
      <c r="AY120" s="13">
        <v>2</v>
      </c>
      <c r="AZ120" s="13">
        <v>2</v>
      </c>
      <c r="BA120" s="13">
        <v>3</v>
      </c>
      <c r="BB120" s="13">
        <v>2</v>
      </c>
      <c r="BC120" s="13">
        <v>6</v>
      </c>
      <c r="BD120" s="13">
        <v>2</v>
      </c>
      <c r="BE120" s="13">
        <v>4</v>
      </c>
      <c r="BF120" s="13">
        <v>1</v>
      </c>
      <c r="BG120" s="13">
        <v>41</v>
      </c>
      <c r="BH120" s="13">
        <v>7</v>
      </c>
      <c r="BI120" s="13">
        <v>2</v>
      </c>
      <c r="BJ120" s="13">
        <v>4</v>
      </c>
      <c r="BK120" s="13">
        <v>13</v>
      </c>
      <c r="BL120" s="13">
        <v>54</v>
      </c>
    </row>
    <row r="121" spans="2:64" x14ac:dyDescent="0.2">
      <c r="B121" s="9" t="s">
        <v>8571</v>
      </c>
      <c r="D121" s="13">
        <v>118762.5</v>
      </c>
      <c r="E121" s="13">
        <v>189527.77777777778</v>
      </c>
      <c r="F121" s="13">
        <v>160395.83333333334</v>
      </c>
      <c r="G121" s="13">
        <v>200596.15384615384</v>
      </c>
      <c r="H121" s="13">
        <v>168985.46153846153</v>
      </c>
      <c r="I121" s="13">
        <v>136878.125</v>
      </c>
      <c r="J121" s="13">
        <v>165214.93103448275</v>
      </c>
      <c r="K121" s="13">
        <v>209580</v>
      </c>
      <c r="L121" s="13">
        <v>196023.28571428571</v>
      </c>
      <c r="M121" s="13">
        <v>145435.48387096773</v>
      </c>
      <c r="N121" s="13">
        <v>182450</v>
      </c>
      <c r="O121" s="13">
        <v>131377.08333333334</v>
      </c>
      <c r="P121" s="13">
        <v>165168.39393939395</v>
      </c>
      <c r="Q121" s="13">
        <v>147156.25</v>
      </c>
      <c r="R121" s="13">
        <v>129000</v>
      </c>
      <c r="S121" s="13">
        <v>124978.57142857143</v>
      </c>
      <c r="T121" s="13">
        <v>131616.17647058822</v>
      </c>
      <c r="U121" s="13">
        <v>159435.85427135677</v>
      </c>
      <c r="X121" s="9" t="s">
        <v>26</v>
      </c>
      <c r="Y121" s="9" t="s">
        <v>7626</v>
      </c>
      <c r="Z121" s="13">
        <v>4</v>
      </c>
      <c r="AA121" s="13">
        <v>1</v>
      </c>
      <c r="AB121" s="13">
        <v>2</v>
      </c>
      <c r="AC121" s="13">
        <v>4</v>
      </c>
      <c r="AD121" s="13">
        <v>3</v>
      </c>
      <c r="AE121" s="13">
        <v>1</v>
      </c>
      <c r="AF121" s="13">
        <v>1</v>
      </c>
      <c r="AG121" s="13">
        <v>2</v>
      </c>
      <c r="AH121" s="13">
        <v>6</v>
      </c>
      <c r="AI121" s="13">
        <v>1</v>
      </c>
      <c r="AJ121" s="13">
        <v>4</v>
      </c>
      <c r="AK121" s="13"/>
      <c r="AL121" s="13">
        <v>29</v>
      </c>
      <c r="AM121" s="13">
        <v>3</v>
      </c>
      <c r="AN121" s="13">
        <v>1</v>
      </c>
      <c r="AO121" s="13">
        <v>3</v>
      </c>
      <c r="AP121" s="13">
        <v>7</v>
      </c>
      <c r="AQ121" s="13">
        <v>36</v>
      </c>
      <c r="AS121" s="27" t="s">
        <v>8562</v>
      </c>
      <c r="AU121" s="13">
        <v>58</v>
      </c>
      <c r="AV121" s="13">
        <v>49</v>
      </c>
      <c r="AW121" s="13">
        <v>59</v>
      </c>
      <c r="AX121" s="13">
        <v>82</v>
      </c>
      <c r="AY121" s="13">
        <v>82</v>
      </c>
      <c r="AZ121" s="13">
        <v>78</v>
      </c>
      <c r="BA121" s="13">
        <v>73</v>
      </c>
      <c r="BB121" s="13">
        <v>89</v>
      </c>
      <c r="BC121" s="13">
        <v>77</v>
      </c>
      <c r="BD121" s="13">
        <v>79</v>
      </c>
      <c r="BE121" s="13">
        <v>59</v>
      </c>
      <c r="BF121" s="13">
        <v>67</v>
      </c>
      <c r="BG121" s="13">
        <v>852</v>
      </c>
      <c r="BH121" s="13">
        <v>66</v>
      </c>
      <c r="BI121" s="13">
        <v>64</v>
      </c>
      <c r="BJ121" s="13">
        <v>102</v>
      </c>
      <c r="BK121" s="13">
        <v>232</v>
      </c>
      <c r="BL121" s="13">
        <v>1084</v>
      </c>
    </row>
    <row r="122" spans="2:64" x14ac:dyDescent="0.2">
      <c r="B122" s="9" t="s">
        <v>8562</v>
      </c>
      <c r="D122" s="13">
        <v>134445.4180327869</v>
      </c>
      <c r="E122" s="13">
        <v>151240.24347826088</v>
      </c>
      <c r="F122" s="13">
        <v>149596.39568345324</v>
      </c>
      <c r="G122" s="13">
        <v>154438.02732240438</v>
      </c>
      <c r="H122" s="13">
        <v>160487.34078212292</v>
      </c>
      <c r="I122" s="13">
        <v>151150.36216216217</v>
      </c>
      <c r="J122" s="13">
        <v>145694.71078431373</v>
      </c>
      <c r="K122" s="13">
        <v>154535.31400966184</v>
      </c>
      <c r="L122" s="13">
        <v>160466.37368421053</v>
      </c>
      <c r="M122" s="13">
        <v>147068.09649122806</v>
      </c>
      <c r="N122" s="13">
        <v>139288.50967741935</v>
      </c>
      <c r="O122" s="13">
        <v>139194.79746835443</v>
      </c>
      <c r="P122" s="13">
        <v>149184.06343283583</v>
      </c>
      <c r="Q122" s="13">
        <v>142553.57142857142</v>
      </c>
      <c r="R122" s="13">
        <v>140386.6050955414</v>
      </c>
      <c r="S122" s="13">
        <v>146921.43724696356</v>
      </c>
      <c r="T122" s="13">
        <v>143894.13248638838</v>
      </c>
      <c r="U122" s="13">
        <v>148102.52282003712</v>
      </c>
      <c r="X122" s="9" t="s">
        <v>8585</v>
      </c>
      <c r="Y122" s="9"/>
      <c r="Z122" s="13">
        <v>7</v>
      </c>
      <c r="AA122" s="13">
        <v>5</v>
      </c>
      <c r="AB122" s="13">
        <v>6</v>
      </c>
      <c r="AC122" s="13">
        <v>8</v>
      </c>
      <c r="AD122" s="13">
        <v>5</v>
      </c>
      <c r="AE122" s="13">
        <v>2</v>
      </c>
      <c r="AF122" s="13">
        <v>5</v>
      </c>
      <c r="AG122" s="13">
        <v>3</v>
      </c>
      <c r="AH122" s="13">
        <v>8</v>
      </c>
      <c r="AI122" s="13">
        <v>3</v>
      </c>
      <c r="AJ122" s="13">
        <v>5</v>
      </c>
      <c r="AK122" s="13">
        <v>2</v>
      </c>
      <c r="AL122" s="13">
        <v>59</v>
      </c>
      <c r="AM122" s="13">
        <v>7</v>
      </c>
      <c r="AN122" s="13">
        <v>2</v>
      </c>
      <c r="AO122" s="13">
        <v>9</v>
      </c>
      <c r="AP122" s="13">
        <v>18</v>
      </c>
      <c r="AQ122" s="13">
        <v>77</v>
      </c>
      <c r="AS122"/>
      <c r="AT122"/>
      <c r="AU122"/>
      <c r="AV122"/>
      <c r="AW122"/>
      <c r="AX122"/>
      <c r="AY122"/>
      <c r="AZ122"/>
      <c r="BA122"/>
      <c r="BB122"/>
      <c r="BC122"/>
      <c r="BD122"/>
      <c r="BE122"/>
      <c r="BF122"/>
      <c r="BG122"/>
      <c r="BH122"/>
      <c r="BI122"/>
      <c r="BJ122"/>
      <c r="BK122"/>
      <c r="BL122"/>
    </row>
    <row r="123" spans="2:64" x14ac:dyDescent="0.2">
      <c r="X123" s="27" t="s">
        <v>8562</v>
      </c>
      <c r="Z123" s="13">
        <v>67</v>
      </c>
      <c r="AA123" s="13">
        <v>59</v>
      </c>
      <c r="AB123" s="13">
        <v>75</v>
      </c>
      <c r="AC123" s="13">
        <v>100</v>
      </c>
      <c r="AD123" s="13">
        <v>97</v>
      </c>
      <c r="AE123" s="13">
        <v>91</v>
      </c>
      <c r="AF123" s="13">
        <v>104</v>
      </c>
      <c r="AG123" s="13">
        <v>111</v>
      </c>
      <c r="AH123" s="13">
        <v>100</v>
      </c>
      <c r="AI123" s="13">
        <v>103</v>
      </c>
      <c r="AJ123" s="13">
        <v>78</v>
      </c>
      <c r="AK123" s="13">
        <v>86</v>
      </c>
      <c r="AL123" s="13">
        <v>1071</v>
      </c>
      <c r="AM123" s="13">
        <v>82</v>
      </c>
      <c r="AN123" s="13">
        <v>79</v>
      </c>
      <c r="AO123" s="13">
        <v>125</v>
      </c>
      <c r="AP123" s="13">
        <v>286</v>
      </c>
      <c r="AQ123" s="13">
        <v>1357</v>
      </c>
      <c r="AS123"/>
      <c r="AT123"/>
      <c r="AU123"/>
      <c r="AV123"/>
      <c r="AW123"/>
      <c r="AX123"/>
      <c r="AY123"/>
      <c r="AZ123"/>
      <c r="BA123"/>
      <c r="BB123"/>
      <c r="BC123"/>
      <c r="BD123"/>
      <c r="BE123"/>
      <c r="BF123"/>
      <c r="BG123"/>
      <c r="BH123"/>
      <c r="BI123"/>
      <c r="BJ123"/>
      <c r="BK123"/>
      <c r="BL123"/>
    </row>
    <row r="124" spans="2:64" x14ac:dyDescent="0.2">
      <c r="AS124"/>
      <c r="AT124"/>
      <c r="AU124"/>
      <c r="AV124"/>
      <c r="AW124"/>
      <c r="AX124"/>
      <c r="AY124"/>
      <c r="AZ124"/>
      <c r="BA124"/>
      <c r="BB124"/>
      <c r="BC124"/>
      <c r="BD124"/>
      <c r="BE124"/>
      <c r="BF124"/>
      <c r="BG124"/>
      <c r="BH124"/>
      <c r="BI124"/>
      <c r="BJ124"/>
      <c r="BK124"/>
      <c r="BL1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46"/>
  <sheetViews>
    <sheetView topLeftCell="A2707" zoomScale="125" zoomScaleNormal="125" workbookViewId="0">
      <selection activeCell="A2742" sqref="A2742"/>
    </sheetView>
  </sheetViews>
  <sheetFormatPr baseColWidth="10" defaultRowHeight="15" x14ac:dyDescent="0.2"/>
  <cols>
    <col min="1" max="1" width="10" bestFit="1" customWidth="1"/>
    <col min="2" max="3" width="10" customWidth="1"/>
    <col min="4" max="4" width="23.6640625" customWidth="1"/>
    <col min="5" max="5" width="8.33203125" style="49" customWidth="1"/>
    <col min="6" max="6" width="53.33203125" customWidth="1"/>
    <col min="7" max="7" width="8.33203125" bestFit="1" customWidth="1"/>
    <col min="8" max="8" width="25" bestFit="1" customWidth="1"/>
    <col min="9" max="9" width="15.1640625" style="13" bestFit="1" customWidth="1"/>
    <col min="10" max="10" width="15" style="13" bestFit="1" customWidth="1"/>
    <col min="11" max="11" width="15" style="13" customWidth="1"/>
    <col min="12" max="12" width="12" bestFit="1" customWidth="1"/>
    <col min="13" max="13" width="16.6640625" bestFit="1" customWidth="1"/>
    <col min="14" max="14" width="20.6640625" customWidth="1"/>
    <col min="15" max="15" width="50" customWidth="1"/>
    <col min="16" max="16" width="18.6640625" bestFit="1" customWidth="1"/>
    <col min="17" max="17" width="5.33203125" bestFit="1" customWidth="1"/>
    <col min="18" max="18" width="20" bestFit="1" customWidth="1"/>
    <col min="19" max="19" width="43.33203125" bestFit="1" customWidth="1"/>
    <col min="20" max="20" width="43.33203125" customWidth="1"/>
    <col min="21" max="21" width="15.6640625" bestFit="1" customWidth="1"/>
    <col min="22" max="23" width="16.1640625" customWidth="1"/>
  </cols>
  <sheetData>
    <row r="1" spans="1:23" ht="28" customHeight="1" x14ac:dyDescent="0.2">
      <c r="A1" s="4" t="s">
        <v>0</v>
      </c>
      <c r="B1" s="4" t="s">
        <v>8560</v>
      </c>
      <c r="C1" s="4" t="s">
        <v>8561</v>
      </c>
      <c r="D1" s="4" t="s">
        <v>1</v>
      </c>
      <c r="E1" s="4" t="s">
        <v>2</v>
      </c>
      <c r="F1" s="4" t="s">
        <v>3</v>
      </c>
      <c r="G1" s="4" t="s">
        <v>4</v>
      </c>
      <c r="H1" s="4" t="s">
        <v>5</v>
      </c>
      <c r="I1" s="4" t="s">
        <v>6</v>
      </c>
      <c r="J1" s="4" t="s">
        <v>7</v>
      </c>
      <c r="K1" s="4" t="s">
        <v>8592</v>
      </c>
      <c r="L1" s="4" t="s">
        <v>8</v>
      </c>
      <c r="M1" s="4" t="s">
        <v>9</v>
      </c>
      <c r="N1" s="4" t="s">
        <v>10</v>
      </c>
      <c r="O1" s="4" t="s">
        <v>11</v>
      </c>
      <c r="P1" s="4" t="s">
        <v>12</v>
      </c>
      <c r="Q1" s="4" t="s">
        <v>13</v>
      </c>
      <c r="R1" s="4" t="s">
        <v>14</v>
      </c>
      <c r="S1" s="4" t="s">
        <v>15</v>
      </c>
      <c r="T1" s="4" t="s">
        <v>8568</v>
      </c>
      <c r="U1" s="4" t="s">
        <v>16</v>
      </c>
      <c r="V1" s="4" t="s">
        <v>17</v>
      </c>
      <c r="W1" s="4" t="s">
        <v>18</v>
      </c>
    </row>
    <row r="2" spans="1:23" x14ac:dyDescent="0.2">
      <c r="A2" s="1">
        <v>46062</v>
      </c>
      <c r="B2" s="20">
        <f t="shared" ref="B2:B65" si="0">YEAR($A2)</f>
        <v>2026</v>
      </c>
      <c r="C2" s="20">
        <f t="shared" ref="C2:C65" si="1">MONTH($A2)</f>
        <v>2</v>
      </c>
      <c r="D2" t="s">
        <v>6581</v>
      </c>
      <c r="E2" s="49">
        <v>1</v>
      </c>
      <c r="F2" t="s">
        <v>6582</v>
      </c>
      <c r="G2" t="s">
        <v>21</v>
      </c>
      <c r="H2" t="s">
        <v>37</v>
      </c>
      <c r="I2" s="13">
        <v>38000</v>
      </c>
      <c r="J2" s="13">
        <v>36000</v>
      </c>
      <c r="K2" s="13">
        <f>IF(J2&lt;'Mapa Oficinas'!$I$21,0,IF(J2&gt;'Mapa Oficinas'!$I$20,0,1))</f>
        <v>0</v>
      </c>
      <c r="L2" t="s">
        <v>23</v>
      </c>
      <c r="M2" t="s">
        <v>23</v>
      </c>
      <c r="N2" t="s">
        <v>6582</v>
      </c>
      <c r="O2" t="s">
        <v>102</v>
      </c>
      <c r="P2" t="s">
        <v>45</v>
      </c>
      <c r="Q2">
        <v>1</v>
      </c>
      <c r="R2" t="s">
        <v>103</v>
      </c>
      <c r="S2" t="s">
        <v>152</v>
      </c>
      <c r="T2" t="str">
        <f>VLOOKUP(S2,'Mapa Oficinas'!$H$7:$I$16,2,FALSE)</f>
        <v>Otra Red Captación</v>
      </c>
      <c r="U2" t="s">
        <v>29</v>
      </c>
      <c r="V2" t="str">
        <f>VLOOKUP($R2,'Mapa Oficinas'!$A$7:$C$46,2,FALSE)</f>
        <v>Zona Sur (GBA)</v>
      </c>
      <c r="W2" t="str">
        <f>VLOOKUP($R2,'Mapa Oficinas'!$A$7:$C$46,3,FALSE)</f>
        <v>La Plata</v>
      </c>
    </row>
    <row r="3" spans="1:23" x14ac:dyDescent="0.2">
      <c r="A3" s="1">
        <v>45863</v>
      </c>
      <c r="B3" s="20">
        <f t="shared" si="0"/>
        <v>2025</v>
      </c>
      <c r="C3" s="20">
        <f t="shared" si="1"/>
        <v>7</v>
      </c>
      <c r="E3" s="49">
        <v>0</v>
      </c>
      <c r="F3" t="s">
        <v>3214</v>
      </c>
      <c r="G3" t="s">
        <v>21</v>
      </c>
      <c r="H3" t="s">
        <v>81</v>
      </c>
      <c r="I3" s="13">
        <v>36000</v>
      </c>
      <c r="J3" s="13">
        <v>36000</v>
      </c>
      <c r="K3" s="13">
        <f>IF(J3&lt;'Mapa Oficinas'!$I$21,0,IF(J3&gt;'Mapa Oficinas'!$I$20,0,1))</f>
        <v>0</v>
      </c>
      <c r="L3" t="s">
        <v>23</v>
      </c>
      <c r="M3" t="s">
        <v>23</v>
      </c>
      <c r="N3" t="s">
        <v>2482</v>
      </c>
      <c r="O3" t="s">
        <v>505</v>
      </c>
      <c r="P3" t="s">
        <v>26</v>
      </c>
      <c r="Q3">
        <v>2</v>
      </c>
      <c r="R3" t="s">
        <v>84</v>
      </c>
      <c r="S3" t="s">
        <v>79</v>
      </c>
      <c r="T3" t="str">
        <f>VLOOKUP(S3,'Mapa Oficinas'!$H$7:$I$16,2,FALSE)</f>
        <v>CB</v>
      </c>
      <c r="U3" t="s">
        <v>29</v>
      </c>
      <c r="V3" t="str">
        <f>VLOOKUP($R3,'Mapa Oficinas'!$A$7:$C$46,2,FALSE)</f>
        <v>Interior - Neuquén</v>
      </c>
      <c r="W3" t="str">
        <f>VLOOKUP($R3,'Mapa Oficinas'!$A$7:$C$46,3,FALSE)</f>
        <v>Villa La Angostura</v>
      </c>
    </row>
    <row r="4" spans="1:23" x14ac:dyDescent="0.2">
      <c r="A4" s="1">
        <v>45699</v>
      </c>
      <c r="B4" s="20">
        <f t="shared" si="0"/>
        <v>2025</v>
      </c>
      <c r="C4" s="20">
        <f t="shared" si="1"/>
        <v>2</v>
      </c>
      <c r="D4" t="s">
        <v>542</v>
      </c>
      <c r="E4" s="49">
        <v>1</v>
      </c>
      <c r="F4" t="s">
        <v>543</v>
      </c>
      <c r="G4" t="s">
        <v>21</v>
      </c>
      <c r="H4" t="s">
        <v>362</v>
      </c>
      <c r="I4" s="13">
        <v>36000</v>
      </c>
      <c r="J4" s="13">
        <v>36000</v>
      </c>
      <c r="K4" s="13">
        <f>IF(J4&lt;'Mapa Oficinas'!$I$21,0,IF(J4&gt;'Mapa Oficinas'!$I$20,0,1))</f>
        <v>0</v>
      </c>
      <c r="L4" t="s">
        <v>23</v>
      </c>
      <c r="M4" t="s">
        <v>23</v>
      </c>
      <c r="N4" t="s">
        <v>544</v>
      </c>
      <c r="O4" t="s">
        <v>545</v>
      </c>
      <c r="P4" t="s">
        <v>26</v>
      </c>
      <c r="Q4">
        <v>2</v>
      </c>
      <c r="R4" t="s">
        <v>84</v>
      </c>
      <c r="S4" t="s">
        <v>79</v>
      </c>
      <c r="T4" t="str">
        <f>VLOOKUP(S4,'Mapa Oficinas'!$H$7:$I$16,2,FALSE)</f>
        <v>CB</v>
      </c>
      <c r="U4" t="s">
        <v>29</v>
      </c>
      <c r="V4" t="str">
        <f>VLOOKUP($R4,'Mapa Oficinas'!$A$7:$C$46,2,FALSE)</f>
        <v>Interior - Neuquén</v>
      </c>
      <c r="W4" t="str">
        <f>VLOOKUP($R4,'Mapa Oficinas'!$A$7:$C$46,3,FALSE)</f>
        <v>Villa La Angostura</v>
      </c>
    </row>
    <row r="5" spans="1:23" x14ac:dyDescent="0.2">
      <c r="A5" s="1">
        <v>45796</v>
      </c>
      <c r="B5" s="20">
        <f t="shared" si="0"/>
        <v>2025</v>
      </c>
      <c r="C5" s="20">
        <f t="shared" si="1"/>
        <v>5</v>
      </c>
      <c r="D5" t="s">
        <v>1999</v>
      </c>
      <c r="E5" s="49">
        <v>1</v>
      </c>
      <c r="F5" t="s">
        <v>2000</v>
      </c>
      <c r="G5" t="s">
        <v>21</v>
      </c>
      <c r="H5" t="s">
        <v>37</v>
      </c>
      <c r="I5" s="13">
        <v>36000</v>
      </c>
      <c r="J5" s="13">
        <v>36000</v>
      </c>
      <c r="K5" s="13">
        <f>IF(J5&lt;'Mapa Oficinas'!$I$21,0,IF(J5&gt;'Mapa Oficinas'!$I$20,0,1))</f>
        <v>0</v>
      </c>
      <c r="L5" t="s">
        <v>23</v>
      </c>
      <c r="M5" t="s">
        <v>23</v>
      </c>
      <c r="N5" t="s">
        <v>2001</v>
      </c>
      <c r="O5" t="s">
        <v>2002</v>
      </c>
      <c r="P5" t="s">
        <v>34</v>
      </c>
      <c r="Q5">
        <v>2</v>
      </c>
      <c r="R5" t="s">
        <v>2003</v>
      </c>
      <c r="S5" t="s">
        <v>79</v>
      </c>
      <c r="T5" t="str">
        <f>VLOOKUP(S5,'Mapa Oficinas'!$H$7:$I$16,2,FALSE)</f>
        <v>CB</v>
      </c>
      <c r="U5" t="s">
        <v>29</v>
      </c>
      <c r="V5" t="str">
        <f>VLOOKUP($R5,'Mapa Oficinas'!$A$7:$C$46,2,FALSE)</f>
        <v>Interior - Mendoza</v>
      </c>
      <c r="W5" t="str">
        <f>VLOOKUP($R5,'Mapa Oficinas'!$A$7:$C$46,3,FALSE)</f>
        <v>San Rafael</v>
      </c>
    </row>
    <row r="6" spans="1:23" x14ac:dyDescent="0.2">
      <c r="A6" s="1">
        <v>45862</v>
      </c>
      <c r="B6" s="20">
        <f t="shared" si="0"/>
        <v>2025</v>
      </c>
      <c r="C6" s="20">
        <f t="shared" si="1"/>
        <v>7</v>
      </c>
      <c r="D6" t="s">
        <v>3186</v>
      </c>
      <c r="E6" s="49">
        <v>1</v>
      </c>
      <c r="F6" t="s">
        <v>3187</v>
      </c>
      <c r="G6" t="s">
        <v>21</v>
      </c>
      <c r="H6" t="s">
        <v>37</v>
      </c>
      <c r="I6" s="13">
        <v>37000</v>
      </c>
      <c r="J6" s="13">
        <v>36000</v>
      </c>
      <c r="K6" s="13">
        <f>IF(J6&lt;'Mapa Oficinas'!$I$21,0,IF(J6&gt;'Mapa Oficinas'!$I$20,0,1))</f>
        <v>0</v>
      </c>
      <c r="L6" t="s">
        <v>23</v>
      </c>
      <c r="M6" t="s">
        <v>23</v>
      </c>
      <c r="N6" t="s">
        <v>3188</v>
      </c>
      <c r="O6" t="s">
        <v>3189</v>
      </c>
      <c r="P6" t="s">
        <v>45</v>
      </c>
      <c r="Q6">
        <v>2</v>
      </c>
      <c r="R6" t="s">
        <v>40</v>
      </c>
      <c r="S6" t="s">
        <v>79</v>
      </c>
      <c r="T6" t="str">
        <f>VLOOKUP(S6,'Mapa Oficinas'!$H$7:$I$16,2,FALSE)</f>
        <v>CB</v>
      </c>
      <c r="U6" t="s">
        <v>29</v>
      </c>
      <c r="V6" t="str">
        <f>VLOOKUP($R6,'Mapa Oficinas'!$A$7:$C$46,2,FALSE)</f>
        <v>CABA</v>
      </c>
      <c r="W6" t="str">
        <f>VLOOKUP($R6,'Mapa Oficinas'!$A$7:$C$46,3,FALSE)</f>
        <v>Núñez</v>
      </c>
    </row>
    <row r="7" spans="1:23" x14ac:dyDescent="0.2">
      <c r="A7" s="1">
        <v>45863</v>
      </c>
      <c r="B7" s="20">
        <f t="shared" si="0"/>
        <v>2025</v>
      </c>
      <c r="C7" s="20">
        <f t="shared" si="1"/>
        <v>7</v>
      </c>
      <c r="E7" s="49">
        <v>1</v>
      </c>
      <c r="F7" t="s">
        <v>3213</v>
      </c>
      <c r="G7" t="s">
        <v>21</v>
      </c>
      <c r="H7" t="s">
        <v>81</v>
      </c>
      <c r="I7" s="13">
        <v>36000</v>
      </c>
      <c r="J7" s="13">
        <v>36000</v>
      </c>
      <c r="K7" s="13">
        <f>IF(J7&lt;'Mapa Oficinas'!$I$21,0,IF(J7&gt;'Mapa Oficinas'!$I$20,0,1))</f>
        <v>0</v>
      </c>
      <c r="L7" t="s">
        <v>23</v>
      </c>
      <c r="M7" t="s">
        <v>23</v>
      </c>
      <c r="N7" t="s">
        <v>2482</v>
      </c>
      <c r="O7" t="s">
        <v>505</v>
      </c>
      <c r="P7" t="s">
        <v>26</v>
      </c>
      <c r="Q7">
        <v>2</v>
      </c>
      <c r="R7" t="s">
        <v>84</v>
      </c>
      <c r="S7" t="s">
        <v>79</v>
      </c>
      <c r="T7" t="str">
        <f>VLOOKUP(S7,'Mapa Oficinas'!$H$7:$I$16,2,FALSE)</f>
        <v>CB</v>
      </c>
      <c r="U7" t="s">
        <v>29</v>
      </c>
      <c r="V7" t="str">
        <f>VLOOKUP($R7,'Mapa Oficinas'!$A$7:$C$46,2,FALSE)</f>
        <v>Interior - Neuquén</v>
      </c>
      <c r="W7" t="str">
        <f>VLOOKUP($R7,'Mapa Oficinas'!$A$7:$C$46,3,FALSE)</f>
        <v>Villa La Angostura</v>
      </c>
    </row>
    <row r="8" spans="1:23" x14ac:dyDescent="0.2">
      <c r="A8" s="1">
        <v>45777</v>
      </c>
      <c r="B8" s="20">
        <f t="shared" si="0"/>
        <v>2025</v>
      </c>
      <c r="C8" s="20">
        <f t="shared" si="1"/>
        <v>4</v>
      </c>
      <c r="D8" t="s">
        <v>1708</v>
      </c>
      <c r="E8" s="49">
        <v>1</v>
      </c>
      <c r="F8" t="s">
        <v>1709</v>
      </c>
      <c r="G8" t="s">
        <v>21</v>
      </c>
      <c r="H8" t="s">
        <v>70</v>
      </c>
      <c r="I8" s="13">
        <v>36000</v>
      </c>
      <c r="J8" s="13">
        <v>36000</v>
      </c>
      <c r="K8" s="13">
        <f>IF(J8&lt;'Mapa Oficinas'!$I$21,0,IF(J8&gt;'Mapa Oficinas'!$I$20,0,1))</f>
        <v>0</v>
      </c>
      <c r="L8" t="s">
        <v>23</v>
      </c>
      <c r="M8" t="s">
        <v>23</v>
      </c>
      <c r="N8" t="s">
        <v>1710</v>
      </c>
      <c r="O8" t="s">
        <v>1116</v>
      </c>
      <c r="P8" t="s">
        <v>45</v>
      </c>
      <c r="Q8">
        <v>2</v>
      </c>
      <c r="R8" t="s">
        <v>73</v>
      </c>
      <c r="S8" t="s">
        <v>28</v>
      </c>
      <c r="T8" t="str">
        <f>VLOOKUP(S8,'Mapa Oficinas'!$H$7:$I$16,2,FALSE)</f>
        <v>CB</v>
      </c>
      <c r="U8" t="s">
        <v>29</v>
      </c>
      <c r="V8" t="str">
        <f>VLOOKUP($R8,'Mapa Oficinas'!$A$7:$C$46,2,FALSE)</f>
        <v>Interior - Salta</v>
      </c>
      <c r="W8" t="str">
        <f>VLOOKUP($R8,'Mapa Oficinas'!$A$7:$C$46,3,FALSE)</f>
        <v>San Lorenzo Chico</v>
      </c>
    </row>
    <row r="9" spans="1:23" x14ac:dyDescent="0.2">
      <c r="A9" s="1">
        <v>45827</v>
      </c>
      <c r="B9" s="20">
        <f t="shared" si="0"/>
        <v>2025</v>
      </c>
      <c r="C9" s="20">
        <f t="shared" si="1"/>
        <v>6</v>
      </c>
      <c r="D9" t="s">
        <v>2553</v>
      </c>
      <c r="E9" s="49">
        <v>1</v>
      </c>
      <c r="F9" t="s">
        <v>2554</v>
      </c>
      <c r="G9" t="s">
        <v>21</v>
      </c>
      <c r="H9" t="s">
        <v>76</v>
      </c>
      <c r="I9" s="13">
        <v>36000</v>
      </c>
      <c r="J9" s="13">
        <v>36000</v>
      </c>
      <c r="K9" s="13">
        <f>IF(J9&lt;'Mapa Oficinas'!$I$21,0,IF(J9&gt;'Mapa Oficinas'!$I$20,0,1))</f>
        <v>0</v>
      </c>
      <c r="L9" t="s">
        <v>23</v>
      </c>
      <c r="M9" t="s">
        <v>23</v>
      </c>
      <c r="N9" t="s">
        <v>2555</v>
      </c>
      <c r="O9" t="s">
        <v>1116</v>
      </c>
      <c r="P9" t="s">
        <v>45</v>
      </c>
      <c r="Q9">
        <v>2</v>
      </c>
      <c r="R9" t="s">
        <v>73</v>
      </c>
      <c r="S9" t="s">
        <v>28</v>
      </c>
      <c r="T9" t="str">
        <f>VLOOKUP(S9,'Mapa Oficinas'!$H$7:$I$16,2,FALSE)</f>
        <v>CB</v>
      </c>
      <c r="U9" t="s">
        <v>29</v>
      </c>
      <c r="V9" t="str">
        <f>VLOOKUP($R9,'Mapa Oficinas'!$A$7:$C$46,2,FALSE)</f>
        <v>Interior - Salta</v>
      </c>
      <c r="W9" t="str">
        <f>VLOOKUP($R9,'Mapa Oficinas'!$A$7:$C$46,3,FALSE)</f>
        <v>San Lorenzo Chico</v>
      </c>
    </row>
    <row r="10" spans="1:23" x14ac:dyDescent="0.2">
      <c r="A10" s="1">
        <v>45882</v>
      </c>
      <c r="B10" s="20">
        <f t="shared" si="0"/>
        <v>2025</v>
      </c>
      <c r="C10" s="20">
        <f t="shared" si="1"/>
        <v>8</v>
      </c>
      <c r="D10" t="s">
        <v>3561</v>
      </c>
      <c r="E10" s="49">
        <v>1</v>
      </c>
      <c r="F10" t="s">
        <v>3562</v>
      </c>
      <c r="G10" t="s">
        <v>21</v>
      </c>
      <c r="H10" t="s">
        <v>90</v>
      </c>
      <c r="I10" s="13">
        <v>37000</v>
      </c>
      <c r="J10" s="13">
        <v>36000</v>
      </c>
      <c r="K10" s="13">
        <f>IF(J10&lt;'Mapa Oficinas'!$I$21,0,IF(J10&gt;'Mapa Oficinas'!$I$20,0,1))</f>
        <v>0</v>
      </c>
      <c r="L10" t="s">
        <v>23</v>
      </c>
      <c r="M10" t="s">
        <v>23</v>
      </c>
      <c r="N10" t="s">
        <v>3563</v>
      </c>
      <c r="O10" t="s">
        <v>102</v>
      </c>
      <c r="P10" t="s">
        <v>45</v>
      </c>
      <c r="Q10">
        <v>2</v>
      </c>
      <c r="R10" t="s">
        <v>103</v>
      </c>
      <c r="S10" t="s">
        <v>28</v>
      </c>
      <c r="T10" t="str">
        <f>VLOOKUP(S10,'Mapa Oficinas'!$H$7:$I$16,2,FALSE)</f>
        <v>CB</v>
      </c>
      <c r="U10" t="s">
        <v>29</v>
      </c>
      <c r="V10" t="str">
        <f>VLOOKUP($R10,'Mapa Oficinas'!$A$7:$C$46,2,FALSE)</f>
        <v>Zona Sur (GBA)</v>
      </c>
      <c r="W10" t="str">
        <f>VLOOKUP($R10,'Mapa Oficinas'!$A$7:$C$46,3,FALSE)</f>
        <v>La Plata</v>
      </c>
    </row>
    <row r="11" spans="1:23" x14ac:dyDescent="0.2">
      <c r="A11" s="1">
        <v>45889</v>
      </c>
      <c r="B11" s="20">
        <f t="shared" si="0"/>
        <v>2025</v>
      </c>
      <c r="C11" s="20">
        <f t="shared" si="1"/>
        <v>8</v>
      </c>
      <c r="D11" t="s">
        <v>3650</v>
      </c>
      <c r="E11" s="49">
        <v>1</v>
      </c>
      <c r="F11" t="s">
        <v>3651</v>
      </c>
      <c r="G11" t="s">
        <v>21</v>
      </c>
      <c r="H11" t="s">
        <v>37</v>
      </c>
      <c r="I11" s="13">
        <v>39900</v>
      </c>
      <c r="J11" s="13">
        <v>36000</v>
      </c>
      <c r="K11" s="13">
        <f>IF(J11&lt;'Mapa Oficinas'!$I$21,0,IF(J11&gt;'Mapa Oficinas'!$I$20,0,1))</f>
        <v>0</v>
      </c>
      <c r="L11" t="s">
        <v>23</v>
      </c>
      <c r="M11" t="s">
        <v>23</v>
      </c>
      <c r="N11" t="s">
        <v>3651</v>
      </c>
      <c r="O11" t="s">
        <v>102</v>
      </c>
      <c r="P11" t="s">
        <v>45</v>
      </c>
      <c r="Q11">
        <v>2</v>
      </c>
      <c r="R11" t="s">
        <v>103</v>
      </c>
      <c r="S11" t="s">
        <v>28</v>
      </c>
      <c r="T11" t="str">
        <f>VLOOKUP(S11,'Mapa Oficinas'!$H$7:$I$16,2,FALSE)</f>
        <v>CB</v>
      </c>
      <c r="U11" t="s">
        <v>29</v>
      </c>
      <c r="V11" t="str">
        <f>VLOOKUP($R11,'Mapa Oficinas'!$A$7:$C$46,2,FALSE)</f>
        <v>Zona Sur (GBA)</v>
      </c>
      <c r="W11" t="str">
        <f>VLOOKUP($R11,'Mapa Oficinas'!$A$7:$C$46,3,FALSE)</f>
        <v>La Plata</v>
      </c>
    </row>
    <row r="12" spans="1:23" x14ac:dyDescent="0.2">
      <c r="A12" s="1">
        <v>45889</v>
      </c>
      <c r="B12" s="20">
        <f t="shared" si="0"/>
        <v>2025</v>
      </c>
      <c r="C12" s="20">
        <f t="shared" si="1"/>
        <v>8</v>
      </c>
      <c r="D12" t="s">
        <v>3652</v>
      </c>
      <c r="E12" s="49">
        <v>1</v>
      </c>
      <c r="F12" t="s">
        <v>3653</v>
      </c>
      <c r="G12" t="s">
        <v>21</v>
      </c>
      <c r="H12" t="s">
        <v>70</v>
      </c>
      <c r="I12" s="13">
        <v>37500</v>
      </c>
      <c r="J12" s="13">
        <v>36000</v>
      </c>
      <c r="K12" s="13">
        <f>IF(J12&lt;'Mapa Oficinas'!$I$21,0,IF(J12&gt;'Mapa Oficinas'!$I$20,0,1))</f>
        <v>0</v>
      </c>
      <c r="L12" t="s">
        <v>23</v>
      </c>
      <c r="M12" t="s">
        <v>23</v>
      </c>
      <c r="N12" t="s">
        <v>3654</v>
      </c>
      <c r="O12" t="s">
        <v>1116</v>
      </c>
      <c r="P12" t="s">
        <v>26</v>
      </c>
      <c r="Q12">
        <v>2</v>
      </c>
      <c r="R12" t="s">
        <v>73</v>
      </c>
      <c r="S12" t="s">
        <v>28</v>
      </c>
      <c r="T12" t="str">
        <f>VLOOKUP(S12,'Mapa Oficinas'!$H$7:$I$16,2,FALSE)</f>
        <v>CB</v>
      </c>
      <c r="U12" t="s">
        <v>29</v>
      </c>
      <c r="V12" t="str">
        <f>VLOOKUP($R12,'Mapa Oficinas'!$A$7:$C$46,2,FALSE)</f>
        <v>Interior - Salta</v>
      </c>
      <c r="W12" t="str">
        <f>VLOOKUP($R12,'Mapa Oficinas'!$A$7:$C$46,3,FALSE)</f>
        <v>San Lorenzo Chico</v>
      </c>
    </row>
    <row r="13" spans="1:23" x14ac:dyDescent="0.2">
      <c r="A13" s="1">
        <v>45911</v>
      </c>
      <c r="B13" s="20">
        <f t="shared" si="0"/>
        <v>2025</v>
      </c>
      <c r="C13" s="20">
        <f t="shared" si="1"/>
        <v>9</v>
      </c>
      <c r="D13" t="s">
        <v>4074</v>
      </c>
      <c r="E13" s="49">
        <v>1</v>
      </c>
      <c r="F13" t="s">
        <v>4075</v>
      </c>
      <c r="G13" t="s">
        <v>21</v>
      </c>
      <c r="H13" t="s">
        <v>37</v>
      </c>
      <c r="I13" s="13">
        <v>40000</v>
      </c>
      <c r="J13" s="13">
        <v>36000</v>
      </c>
      <c r="K13" s="13">
        <f>IF(J13&lt;'Mapa Oficinas'!$I$21,0,IF(J13&gt;'Mapa Oficinas'!$I$20,0,1))</f>
        <v>0</v>
      </c>
      <c r="L13" t="s">
        <v>23</v>
      </c>
      <c r="M13" t="s">
        <v>23</v>
      </c>
      <c r="N13" t="s">
        <v>4076</v>
      </c>
      <c r="O13" t="s">
        <v>2002</v>
      </c>
      <c r="P13" t="s">
        <v>26</v>
      </c>
      <c r="Q13">
        <v>2</v>
      </c>
      <c r="R13" t="s">
        <v>2003</v>
      </c>
      <c r="S13" t="s">
        <v>28</v>
      </c>
      <c r="T13" t="str">
        <f>VLOOKUP(S13,'Mapa Oficinas'!$H$7:$I$16,2,FALSE)</f>
        <v>CB</v>
      </c>
      <c r="U13" t="s">
        <v>29</v>
      </c>
      <c r="V13" t="str">
        <f>VLOOKUP($R13,'Mapa Oficinas'!$A$7:$C$46,2,FALSE)</f>
        <v>Interior - Mendoza</v>
      </c>
      <c r="W13" t="str">
        <f>VLOOKUP($R13,'Mapa Oficinas'!$A$7:$C$46,3,FALSE)</f>
        <v>San Rafael</v>
      </c>
    </row>
    <row r="14" spans="1:23" x14ac:dyDescent="0.2">
      <c r="A14" s="1">
        <v>45978</v>
      </c>
      <c r="B14" s="20">
        <f t="shared" si="0"/>
        <v>2025</v>
      </c>
      <c r="C14" s="20">
        <f t="shared" si="1"/>
        <v>11</v>
      </c>
      <c r="D14" t="s">
        <v>5243</v>
      </c>
      <c r="E14" s="49">
        <v>1</v>
      </c>
      <c r="F14" t="s">
        <v>5244</v>
      </c>
      <c r="G14" t="s">
        <v>21</v>
      </c>
      <c r="H14" t="s">
        <v>37</v>
      </c>
      <c r="I14" s="13">
        <v>35000</v>
      </c>
      <c r="J14" s="13">
        <v>36000</v>
      </c>
      <c r="K14" s="13">
        <f>IF(J14&lt;'Mapa Oficinas'!$I$21,0,IF(J14&gt;'Mapa Oficinas'!$I$20,0,1))</f>
        <v>0</v>
      </c>
      <c r="L14" t="s">
        <v>23</v>
      </c>
      <c r="M14" t="s">
        <v>23</v>
      </c>
      <c r="N14" t="s">
        <v>5245</v>
      </c>
      <c r="O14" t="s">
        <v>2752</v>
      </c>
      <c r="P14" t="s">
        <v>34</v>
      </c>
      <c r="Q14">
        <v>2</v>
      </c>
      <c r="R14" t="s">
        <v>103</v>
      </c>
      <c r="S14" t="s">
        <v>28</v>
      </c>
      <c r="T14" t="str">
        <f>VLOOKUP(S14,'Mapa Oficinas'!$H$7:$I$16,2,FALSE)</f>
        <v>CB</v>
      </c>
      <c r="U14" t="s">
        <v>29</v>
      </c>
      <c r="V14" t="str">
        <f>VLOOKUP($R14,'Mapa Oficinas'!$A$7:$C$46,2,FALSE)</f>
        <v>Zona Sur (GBA)</v>
      </c>
      <c r="W14" t="str">
        <f>VLOOKUP($R14,'Mapa Oficinas'!$A$7:$C$46,3,FALSE)</f>
        <v>La Plata</v>
      </c>
    </row>
    <row r="15" spans="1:23" x14ac:dyDescent="0.2">
      <c r="A15" s="1">
        <v>45986</v>
      </c>
      <c r="B15" s="20">
        <f t="shared" si="0"/>
        <v>2025</v>
      </c>
      <c r="C15" s="20">
        <f t="shared" si="1"/>
        <v>11</v>
      </c>
      <c r="D15" t="s">
        <v>5357</v>
      </c>
      <c r="E15" s="49">
        <v>1</v>
      </c>
      <c r="F15" t="s">
        <v>5358</v>
      </c>
      <c r="G15" t="s">
        <v>21</v>
      </c>
      <c r="H15" t="s">
        <v>230</v>
      </c>
      <c r="I15" s="13">
        <v>38500</v>
      </c>
      <c r="J15" s="13">
        <v>36000</v>
      </c>
      <c r="K15" s="13">
        <f>IF(J15&lt;'Mapa Oficinas'!$I$21,0,IF(J15&gt;'Mapa Oficinas'!$I$20,0,1))</f>
        <v>0</v>
      </c>
      <c r="L15" t="s">
        <v>23</v>
      </c>
      <c r="M15" t="s">
        <v>23</v>
      </c>
      <c r="N15" t="s">
        <v>5359</v>
      </c>
      <c r="O15" t="s">
        <v>2031</v>
      </c>
      <c r="P15" t="s">
        <v>26</v>
      </c>
      <c r="Q15">
        <v>2</v>
      </c>
      <c r="R15" t="s">
        <v>130</v>
      </c>
      <c r="S15" t="s">
        <v>28</v>
      </c>
      <c r="T15" t="str">
        <f>VLOOKUP(S15,'Mapa Oficinas'!$H$7:$I$16,2,FALSE)</f>
        <v>CB</v>
      </c>
      <c r="U15" t="s">
        <v>29</v>
      </c>
      <c r="V15" t="str">
        <f>VLOOKUP($R15,'Mapa Oficinas'!$A$7:$C$46,2,FALSE)</f>
        <v>Interior - Neuquén</v>
      </c>
      <c r="W15" t="str">
        <f>VLOOKUP($R15,'Mapa Oficinas'!$A$7:$C$46,3,FALSE)</f>
        <v>San Martín de los Andes</v>
      </c>
    </row>
    <row r="16" spans="1:23" x14ac:dyDescent="0.2">
      <c r="A16" s="1">
        <v>45995</v>
      </c>
      <c r="B16" s="20">
        <f t="shared" si="0"/>
        <v>2025</v>
      </c>
      <c r="C16" s="20">
        <f t="shared" si="1"/>
        <v>12</v>
      </c>
      <c r="D16" t="s">
        <v>5611</v>
      </c>
      <c r="E16" s="49">
        <v>1</v>
      </c>
      <c r="F16" t="s">
        <v>5612</v>
      </c>
      <c r="G16" t="s">
        <v>21</v>
      </c>
      <c r="H16" t="s">
        <v>70</v>
      </c>
      <c r="I16" s="13">
        <v>37000</v>
      </c>
      <c r="J16" s="13">
        <v>36000</v>
      </c>
      <c r="K16" s="13">
        <f>IF(J16&lt;'Mapa Oficinas'!$I$21,0,IF(J16&gt;'Mapa Oficinas'!$I$20,0,1))</f>
        <v>0</v>
      </c>
      <c r="L16" t="s">
        <v>23</v>
      </c>
      <c r="M16" t="s">
        <v>23</v>
      </c>
      <c r="N16" t="s">
        <v>5613</v>
      </c>
      <c r="O16" t="s">
        <v>1116</v>
      </c>
      <c r="P16" t="s">
        <v>26</v>
      </c>
      <c r="Q16">
        <v>2</v>
      </c>
      <c r="R16" t="s">
        <v>73</v>
      </c>
      <c r="S16" t="s">
        <v>28</v>
      </c>
      <c r="T16" t="str">
        <f>VLOOKUP(S16,'Mapa Oficinas'!$H$7:$I$16,2,FALSE)</f>
        <v>CB</v>
      </c>
      <c r="U16" t="s">
        <v>29</v>
      </c>
      <c r="V16" t="str">
        <f>VLOOKUP($R16,'Mapa Oficinas'!$A$7:$C$46,2,FALSE)</f>
        <v>Interior - Salta</v>
      </c>
      <c r="W16" t="str">
        <f>VLOOKUP($R16,'Mapa Oficinas'!$A$7:$C$46,3,FALSE)</f>
        <v>San Lorenzo Chico</v>
      </c>
    </row>
    <row r="17" spans="1:23" x14ac:dyDescent="0.2">
      <c r="A17" s="1">
        <v>45996</v>
      </c>
      <c r="B17" s="20">
        <f t="shared" si="0"/>
        <v>2025</v>
      </c>
      <c r="C17" s="20">
        <f t="shared" si="1"/>
        <v>12</v>
      </c>
      <c r="D17" t="s">
        <v>5635</v>
      </c>
      <c r="E17" s="49">
        <v>1</v>
      </c>
      <c r="F17" t="s">
        <v>5636</v>
      </c>
      <c r="G17" t="s">
        <v>21</v>
      </c>
      <c r="H17" t="s">
        <v>22</v>
      </c>
      <c r="I17" s="13">
        <v>36000</v>
      </c>
      <c r="J17" s="13">
        <v>36000</v>
      </c>
      <c r="K17" s="13">
        <f>IF(J17&lt;'Mapa Oficinas'!$I$21,0,IF(J17&gt;'Mapa Oficinas'!$I$20,0,1))</f>
        <v>0</v>
      </c>
      <c r="L17" t="s">
        <v>23</v>
      </c>
      <c r="M17" t="s">
        <v>23</v>
      </c>
      <c r="O17" t="s">
        <v>932</v>
      </c>
      <c r="P17" t="s">
        <v>26</v>
      </c>
      <c r="Q17">
        <v>2</v>
      </c>
      <c r="R17" t="s">
        <v>321</v>
      </c>
      <c r="S17" t="s">
        <v>28</v>
      </c>
      <c r="T17" t="str">
        <f>VLOOKUP(S17,'Mapa Oficinas'!$H$7:$I$16,2,FALSE)</f>
        <v>CB</v>
      </c>
      <c r="U17" t="s">
        <v>29</v>
      </c>
      <c r="V17" t="str">
        <f>VLOOKUP($R17,'Mapa Oficinas'!$A$7:$C$46,2,FALSE)</f>
        <v>CABA</v>
      </c>
      <c r="W17" t="str">
        <f>VLOOKUP($R17,'Mapa Oficinas'!$A$7:$C$46,3,FALSE)</f>
        <v>Palermo</v>
      </c>
    </row>
    <row r="18" spans="1:23" x14ac:dyDescent="0.2">
      <c r="A18" s="1">
        <v>46090</v>
      </c>
      <c r="B18" s="20">
        <f t="shared" si="0"/>
        <v>2026</v>
      </c>
      <c r="C18" s="20">
        <f t="shared" si="1"/>
        <v>3</v>
      </c>
      <c r="D18" t="s">
        <v>7024</v>
      </c>
      <c r="E18" s="49">
        <v>1</v>
      </c>
      <c r="F18" t="s">
        <v>7025</v>
      </c>
      <c r="G18" t="s">
        <v>21</v>
      </c>
      <c r="H18" t="s">
        <v>37</v>
      </c>
      <c r="I18" s="13">
        <v>40000</v>
      </c>
      <c r="J18" s="13">
        <v>36000</v>
      </c>
      <c r="K18" s="13">
        <f>IF(J18&lt;'Mapa Oficinas'!$I$21,0,IF(J18&gt;'Mapa Oficinas'!$I$20,0,1))</f>
        <v>0</v>
      </c>
      <c r="L18" t="s">
        <v>23</v>
      </c>
      <c r="M18" t="s">
        <v>23</v>
      </c>
      <c r="N18" t="s">
        <v>7026</v>
      </c>
      <c r="O18" t="s">
        <v>3389</v>
      </c>
      <c r="P18" t="s">
        <v>34</v>
      </c>
      <c r="Q18">
        <v>2</v>
      </c>
      <c r="R18" t="s">
        <v>151</v>
      </c>
      <c r="S18" t="s">
        <v>28</v>
      </c>
      <c r="T18" t="str">
        <f>VLOOKUP(S18,'Mapa Oficinas'!$H$7:$I$16,2,FALSE)</f>
        <v>CB</v>
      </c>
      <c r="U18" t="s">
        <v>29</v>
      </c>
      <c r="V18" t="str">
        <f>VLOOKUP($R18,'Mapa Oficinas'!$A$7:$C$46,2,FALSE)</f>
        <v>Interior - Mendoza</v>
      </c>
      <c r="W18" t="str">
        <f>VLOOKUP($R18,'Mapa Oficinas'!$A$7:$C$46,3,FALSE)</f>
        <v>Capital Mendoza</v>
      </c>
    </row>
    <row r="19" spans="1:23" x14ac:dyDescent="0.2">
      <c r="A19" s="1">
        <v>46092</v>
      </c>
      <c r="B19" s="20">
        <f t="shared" si="0"/>
        <v>2026</v>
      </c>
      <c r="C19" s="20">
        <f t="shared" si="1"/>
        <v>3</v>
      </c>
      <c r="D19" t="s">
        <v>7081</v>
      </c>
      <c r="E19" s="49">
        <v>1</v>
      </c>
      <c r="F19" t="s">
        <v>7082</v>
      </c>
      <c r="G19" t="s">
        <v>21</v>
      </c>
      <c r="H19" t="s">
        <v>81</v>
      </c>
      <c r="I19" s="13">
        <v>36000</v>
      </c>
      <c r="J19" s="13">
        <v>36000</v>
      </c>
      <c r="K19" s="13">
        <f>IF(J19&lt;'Mapa Oficinas'!$I$21,0,IF(J19&gt;'Mapa Oficinas'!$I$20,0,1))</f>
        <v>0</v>
      </c>
      <c r="L19" t="s">
        <v>23</v>
      </c>
      <c r="M19" t="s">
        <v>23</v>
      </c>
      <c r="N19" t="s">
        <v>7083</v>
      </c>
      <c r="O19" t="s">
        <v>7084</v>
      </c>
      <c r="P19" t="s">
        <v>26</v>
      </c>
      <c r="Q19">
        <v>2</v>
      </c>
      <c r="R19" t="s">
        <v>167</v>
      </c>
      <c r="S19" t="s">
        <v>28</v>
      </c>
      <c r="T19" t="str">
        <f>VLOOKUP(S19,'Mapa Oficinas'!$H$7:$I$16,2,FALSE)</f>
        <v>CB</v>
      </c>
      <c r="U19" t="s">
        <v>29</v>
      </c>
      <c r="V19" t="str">
        <f>VLOOKUP($R19,'Mapa Oficinas'!$A$7:$C$46,2,FALSE)</f>
        <v>Interior - Santa Fe</v>
      </c>
      <c r="W19" t="str">
        <f>VLOOKUP($R19,'Mapa Oficinas'!$A$7:$C$46,3,FALSE)</f>
        <v>Capital Santa Fe</v>
      </c>
    </row>
    <row r="20" spans="1:23" x14ac:dyDescent="0.2">
      <c r="A20" s="1">
        <v>46100</v>
      </c>
      <c r="B20" s="20">
        <f t="shared" si="0"/>
        <v>2026</v>
      </c>
      <c r="C20" s="20">
        <f t="shared" si="1"/>
        <v>3</v>
      </c>
      <c r="E20" s="49">
        <v>1</v>
      </c>
      <c r="F20" t="s">
        <v>7291</v>
      </c>
      <c r="G20" t="s">
        <v>21</v>
      </c>
      <c r="H20" t="s">
        <v>81</v>
      </c>
      <c r="I20" s="13">
        <v>36000</v>
      </c>
      <c r="J20" s="13">
        <v>36000</v>
      </c>
      <c r="K20" s="13">
        <f>IF(J20&lt;'Mapa Oficinas'!$I$21,0,IF(J20&gt;'Mapa Oficinas'!$I$20,0,1))</f>
        <v>0</v>
      </c>
      <c r="L20" t="s">
        <v>23</v>
      </c>
      <c r="M20" t="s">
        <v>23</v>
      </c>
      <c r="O20" t="s">
        <v>1239</v>
      </c>
      <c r="P20" t="s">
        <v>26</v>
      </c>
      <c r="Q20">
        <v>2</v>
      </c>
      <c r="R20" t="s">
        <v>130</v>
      </c>
      <c r="S20" t="s">
        <v>28</v>
      </c>
      <c r="T20" t="str">
        <f>VLOOKUP(S20,'Mapa Oficinas'!$H$7:$I$16,2,FALSE)</f>
        <v>CB</v>
      </c>
      <c r="U20" t="s">
        <v>29</v>
      </c>
      <c r="V20" t="str">
        <f>VLOOKUP($R20,'Mapa Oficinas'!$A$7:$C$46,2,FALSE)</f>
        <v>Interior - Neuquén</v>
      </c>
      <c r="W20" t="str">
        <f>VLOOKUP($R20,'Mapa Oficinas'!$A$7:$C$46,3,FALSE)</f>
        <v>San Martín de los Andes</v>
      </c>
    </row>
    <row r="21" spans="1:23" x14ac:dyDescent="0.2">
      <c r="A21" s="1">
        <v>45733</v>
      </c>
      <c r="B21" s="20">
        <f t="shared" si="0"/>
        <v>2025</v>
      </c>
      <c r="C21" s="20">
        <f t="shared" si="1"/>
        <v>3</v>
      </c>
      <c r="D21" t="s">
        <v>977</v>
      </c>
      <c r="E21" s="49">
        <v>1</v>
      </c>
      <c r="F21" t="s">
        <v>978</v>
      </c>
      <c r="G21" t="s">
        <v>21</v>
      </c>
      <c r="H21" t="s">
        <v>81</v>
      </c>
      <c r="I21" s="13">
        <v>38000</v>
      </c>
      <c r="J21" s="13">
        <v>36500</v>
      </c>
      <c r="K21" s="13">
        <f>IF(J21&lt;'Mapa Oficinas'!$I$21,0,IF(J21&gt;'Mapa Oficinas'!$I$20,0,1))</f>
        <v>0</v>
      </c>
      <c r="L21" t="s">
        <v>23</v>
      </c>
      <c r="M21" t="s">
        <v>23</v>
      </c>
      <c r="N21" t="s">
        <v>544</v>
      </c>
      <c r="O21" t="s">
        <v>505</v>
      </c>
      <c r="P21" t="s">
        <v>26</v>
      </c>
      <c r="Q21">
        <v>2</v>
      </c>
      <c r="R21" t="s">
        <v>84</v>
      </c>
      <c r="S21" t="s">
        <v>79</v>
      </c>
      <c r="T21" t="str">
        <f>VLOOKUP(S21,'Mapa Oficinas'!$H$7:$I$16,2,FALSE)</f>
        <v>CB</v>
      </c>
      <c r="U21" t="s">
        <v>29</v>
      </c>
      <c r="V21" t="str">
        <f>VLOOKUP($R21,'Mapa Oficinas'!$A$7:$C$46,2,FALSE)</f>
        <v>Interior - Neuquén</v>
      </c>
      <c r="W21" t="str">
        <f>VLOOKUP($R21,'Mapa Oficinas'!$A$7:$C$46,3,FALSE)</f>
        <v>Villa La Angostura</v>
      </c>
    </row>
    <row r="22" spans="1:23" x14ac:dyDescent="0.2">
      <c r="A22" s="1">
        <v>45741</v>
      </c>
      <c r="B22" s="20">
        <f t="shared" si="0"/>
        <v>2025</v>
      </c>
      <c r="C22" s="20">
        <f t="shared" si="1"/>
        <v>3</v>
      </c>
      <c r="D22" t="s">
        <v>1072</v>
      </c>
      <c r="E22" s="49">
        <v>1</v>
      </c>
      <c r="F22" t="s">
        <v>1073</v>
      </c>
      <c r="G22" t="s">
        <v>21</v>
      </c>
      <c r="H22" t="s">
        <v>37</v>
      </c>
      <c r="I22" s="13">
        <v>37000</v>
      </c>
      <c r="J22" s="13">
        <v>36500</v>
      </c>
      <c r="K22" s="13">
        <f>IF(J22&lt;'Mapa Oficinas'!$I$21,0,IF(J22&gt;'Mapa Oficinas'!$I$20,0,1))</f>
        <v>0</v>
      </c>
      <c r="L22" t="s">
        <v>23</v>
      </c>
      <c r="M22" t="s">
        <v>23</v>
      </c>
      <c r="N22" t="s">
        <v>1074</v>
      </c>
      <c r="O22" t="s">
        <v>329</v>
      </c>
      <c r="P22" t="s">
        <v>26</v>
      </c>
      <c r="Q22">
        <v>2</v>
      </c>
      <c r="R22" t="s">
        <v>183</v>
      </c>
      <c r="S22" t="s">
        <v>79</v>
      </c>
      <c r="T22" t="str">
        <f>VLOOKUP(S22,'Mapa Oficinas'!$H$7:$I$16,2,FALSE)</f>
        <v>CB</v>
      </c>
      <c r="U22" t="s">
        <v>29</v>
      </c>
      <c r="V22" t="str">
        <f>VLOOKUP($R22,'Mapa Oficinas'!$A$7:$C$46,2,FALSE)</f>
        <v>Interior - Neuquén</v>
      </c>
      <c r="W22" t="str">
        <f>VLOOKUP($R22,'Mapa Oficinas'!$A$7:$C$46,3,FALSE)</f>
        <v>Capital Neuquén</v>
      </c>
    </row>
    <row r="23" spans="1:23" x14ac:dyDescent="0.2">
      <c r="A23" s="1">
        <v>45726</v>
      </c>
      <c r="B23" s="20">
        <f t="shared" si="0"/>
        <v>2025</v>
      </c>
      <c r="C23" s="20">
        <f t="shared" si="1"/>
        <v>3</v>
      </c>
      <c r="D23" t="s">
        <v>871</v>
      </c>
      <c r="E23" s="49">
        <v>1</v>
      </c>
      <c r="F23" t="s">
        <v>872</v>
      </c>
      <c r="G23" t="s">
        <v>21</v>
      </c>
      <c r="H23" t="s">
        <v>81</v>
      </c>
      <c r="I23" s="13">
        <v>36500</v>
      </c>
      <c r="J23" s="13">
        <v>36500</v>
      </c>
      <c r="K23" s="13">
        <f>IF(J23&lt;'Mapa Oficinas'!$I$21,0,IF(J23&gt;'Mapa Oficinas'!$I$20,0,1))</f>
        <v>0</v>
      </c>
      <c r="L23" t="s">
        <v>23</v>
      </c>
      <c r="M23" t="s">
        <v>23</v>
      </c>
      <c r="O23" t="s">
        <v>873</v>
      </c>
      <c r="P23" t="s">
        <v>26</v>
      </c>
      <c r="Q23">
        <v>1</v>
      </c>
      <c r="R23" t="s">
        <v>151</v>
      </c>
      <c r="S23" t="s">
        <v>47</v>
      </c>
      <c r="T23" t="str">
        <f>VLOOKUP(S23,'Mapa Oficinas'!$H$7:$I$16,2,FALSE)</f>
        <v>Otra Red Búsqueda</v>
      </c>
      <c r="U23" t="s">
        <v>29</v>
      </c>
      <c r="V23" t="str">
        <f>VLOOKUP($R23,'Mapa Oficinas'!$A$7:$C$46,2,FALSE)</f>
        <v>Interior - Mendoza</v>
      </c>
      <c r="W23" t="str">
        <f>VLOOKUP($R23,'Mapa Oficinas'!$A$7:$C$46,3,FALSE)</f>
        <v>Capital Mendoza</v>
      </c>
    </row>
    <row r="24" spans="1:23" x14ac:dyDescent="0.2">
      <c r="A24" s="1">
        <v>45881</v>
      </c>
      <c r="B24" s="20">
        <f t="shared" si="0"/>
        <v>2025</v>
      </c>
      <c r="C24" s="20">
        <f t="shared" si="1"/>
        <v>8</v>
      </c>
      <c r="D24" t="s">
        <v>3533</v>
      </c>
      <c r="E24" s="49">
        <v>0</v>
      </c>
      <c r="F24" t="s">
        <v>3534</v>
      </c>
      <c r="G24" t="s">
        <v>21</v>
      </c>
      <c r="H24" t="s">
        <v>76</v>
      </c>
      <c r="I24" s="13">
        <v>36500</v>
      </c>
      <c r="J24" s="13">
        <v>36500</v>
      </c>
      <c r="K24" s="13">
        <f>IF(J24&lt;'Mapa Oficinas'!$I$21,0,IF(J24&gt;'Mapa Oficinas'!$I$20,0,1))</f>
        <v>0</v>
      </c>
      <c r="L24" t="s">
        <v>23</v>
      </c>
      <c r="M24" t="s">
        <v>23</v>
      </c>
      <c r="N24" t="s">
        <v>3534</v>
      </c>
      <c r="O24" t="s">
        <v>552</v>
      </c>
      <c r="P24" t="s">
        <v>45</v>
      </c>
      <c r="Q24">
        <v>2</v>
      </c>
      <c r="R24" t="s">
        <v>103</v>
      </c>
      <c r="S24" t="s">
        <v>404</v>
      </c>
      <c r="T24" t="str">
        <f>VLOOKUP(S24,'Mapa Oficinas'!$H$7:$I$16,2,FALSE)</f>
        <v>CB</v>
      </c>
      <c r="U24" t="s">
        <v>29</v>
      </c>
      <c r="V24" t="str">
        <f>VLOOKUP($R24,'Mapa Oficinas'!$A$7:$C$46,2,FALSE)</f>
        <v>Zona Sur (GBA)</v>
      </c>
      <c r="W24" t="str">
        <f>VLOOKUP($R24,'Mapa Oficinas'!$A$7:$C$46,3,FALSE)</f>
        <v>La Plata</v>
      </c>
    </row>
    <row r="25" spans="1:23" x14ac:dyDescent="0.2">
      <c r="A25" s="1">
        <v>45856</v>
      </c>
      <c r="B25" s="20">
        <f t="shared" si="0"/>
        <v>2025</v>
      </c>
      <c r="C25" s="20">
        <f t="shared" si="1"/>
        <v>7</v>
      </c>
      <c r="D25" t="s">
        <v>3099</v>
      </c>
      <c r="E25" s="49">
        <v>1</v>
      </c>
      <c r="F25" t="s">
        <v>3100</v>
      </c>
      <c r="G25" t="s">
        <v>21</v>
      </c>
      <c r="H25" t="s">
        <v>37</v>
      </c>
      <c r="I25" s="13">
        <v>38000</v>
      </c>
      <c r="J25" s="13">
        <v>36500</v>
      </c>
      <c r="K25" s="13">
        <f>IF(J25&lt;'Mapa Oficinas'!$I$21,0,IF(J25&gt;'Mapa Oficinas'!$I$20,0,1))</f>
        <v>0</v>
      </c>
      <c r="L25" t="s">
        <v>23</v>
      </c>
      <c r="M25" t="s">
        <v>23</v>
      </c>
      <c r="N25" t="s">
        <v>3101</v>
      </c>
      <c r="O25" t="s">
        <v>552</v>
      </c>
      <c r="P25" t="s">
        <v>45</v>
      </c>
      <c r="Q25">
        <v>2</v>
      </c>
      <c r="R25" t="s">
        <v>67</v>
      </c>
      <c r="S25" t="s">
        <v>1265</v>
      </c>
      <c r="T25" t="str">
        <f>VLOOKUP(S25,'Mapa Oficinas'!$H$7:$I$16,2,FALSE)</f>
        <v>CB</v>
      </c>
      <c r="U25" t="s">
        <v>29</v>
      </c>
      <c r="V25" t="str">
        <f>VLOOKUP($R25,'Mapa Oficinas'!$A$7:$C$46,2,FALSE)</f>
        <v>CABA</v>
      </c>
      <c r="W25" t="str">
        <f>VLOOKUP($R25,'Mapa Oficinas'!$A$7:$C$46,3,FALSE)</f>
        <v>Barrio Parque</v>
      </c>
    </row>
    <row r="26" spans="1:23" x14ac:dyDescent="0.2">
      <c r="A26" s="1">
        <v>45674</v>
      </c>
      <c r="B26" s="20">
        <f t="shared" si="0"/>
        <v>2025</v>
      </c>
      <c r="C26" s="20">
        <f t="shared" si="1"/>
        <v>1</v>
      </c>
      <c r="D26" t="s">
        <v>272</v>
      </c>
      <c r="E26" s="49">
        <v>1</v>
      </c>
      <c r="F26" t="s">
        <v>273</v>
      </c>
      <c r="G26" t="s">
        <v>21</v>
      </c>
      <c r="H26" t="s">
        <v>37</v>
      </c>
      <c r="I26" s="13">
        <v>36500</v>
      </c>
      <c r="J26" s="13">
        <v>36500</v>
      </c>
      <c r="K26" s="13">
        <f>IF(J26&lt;'Mapa Oficinas'!$I$21,0,IF(J26&gt;'Mapa Oficinas'!$I$20,0,1))</f>
        <v>0</v>
      </c>
      <c r="L26" t="s">
        <v>23</v>
      </c>
      <c r="M26" t="s">
        <v>23</v>
      </c>
      <c r="N26" t="s">
        <v>273</v>
      </c>
      <c r="O26" t="s">
        <v>274</v>
      </c>
      <c r="P26" t="s">
        <v>61</v>
      </c>
      <c r="Q26">
        <v>2</v>
      </c>
      <c r="R26" t="s">
        <v>56</v>
      </c>
      <c r="S26" t="s">
        <v>28</v>
      </c>
      <c r="T26" t="str">
        <f>VLOOKUP(S26,'Mapa Oficinas'!$H$7:$I$16,2,FALSE)</f>
        <v>CB</v>
      </c>
      <c r="U26" t="s">
        <v>29</v>
      </c>
      <c r="V26" t="str">
        <f>VLOOKUP($R26,'Mapa Oficinas'!$A$7:$C$46,2,FALSE)</f>
        <v>Zona Norte (GBA)</v>
      </c>
      <c r="W26" t="str">
        <f>VLOOKUP($R26,'Mapa Oficinas'!$A$7:$C$46,3,FALSE)</f>
        <v>Vicente López</v>
      </c>
    </row>
    <row r="27" spans="1:23" x14ac:dyDescent="0.2">
      <c r="A27" s="1">
        <v>45952</v>
      </c>
      <c r="B27" s="20">
        <f t="shared" si="0"/>
        <v>2025</v>
      </c>
      <c r="C27" s="20">
        <f t="shared" si="1"/>
        <v>10</v>
      </c>
      <c r="D27" t="s">
        <v>4827</v>
      </c>
      <c r="E27" s="49">
        <v>1</v>
      </c>
      <c r="F27" t="s">
        <v>4827</v>
      </c>
      <c r="G27" t="s">
        <v>21</v>
      </c>
      <c r="H27" t="s">
        <v>22</v>
      </c>
      <c r="I27" s="13">
        <v>73000</v>
      </c>
      <c r="J27" s="13">
        <v>36500</v>
      </c>
      <c r="K27" s="13">
        <f>IF(J27&lt;'Mapa Oficinas'!$I$21,0,IF(J27&gt;'Mapa Oficinas'!$I$20,0,1))</f>
        <v>0</v>
      </c>
      <c r="L27" t="s">
        <v>23</v>
      </c>
      <c r="M27" t="s">
        <v>23</v>
      </c>
      <c r="N27" t="s">
        <v>4827</v>
      </c>
      <c r="O27" t="s">
        <v>116</v>
      </c>
      <c r="P27" t="s">
        <v>45</v>
      </c>
      <c r="Q27">
        <v>2</v>
      </c>
      <c r="R27" t="s">
        <v>62</v>
      </c>
      <c r="S27" t="s">
        <v>28</v>
      </c>
      <c r="T27" t="str">
        <f>VLOOKUP(S27,'Mapa Oficinas'!$H$7:$I$16,2,FALSE)</f>
        <v>CB</v>
      </c>
      <c r="U27" t="s">
        <v>29</v>
      </c>
      <c r="V27" t="str">
        <f>VLOOKUP($R27,'Mapa Oficinas'!$A$7:$C$46,2,FALSE)</f>
        <v>CABA</v>
      </c>
      <c r="W27" t="str">
        <f>VLOOKUP($R27,'Mapa Oficinas'!$A$7:$C$46,3,FALSE)</f>
        <v>Villa Urquiza</v>
      </c>
    </row>
    <row r="28" spans="1:23" x14ac:dyDescent="0.2">
      <c r="A28" s="1">
        <v>45768</v>
      </c>
      <c r="B28" s="20">
        <f t="shared" si="0"/>
        <v>2025</v>
      </c>
      <c r="C28" s="20">
        <f t="shared" si="1"/>
        <v>4</v>
      </c>
      <c r="D28" t="s">
        <v>622</v>
      </c>
      <c r="E28" s="49">
        <v>1</v>
      </c>
      <c r="F28" t="s">
        <v>623</v>
      </c>
      <c r="G28" t="s">
        <v>21</v>
      </c>
      <c r="H28" t="s">
        <v>230</v>
      </c>
      <c r="I28" s="13">
        <v>36000</v>
      </c>
      <c r="J28" s="13">
        <v>37000</v>
      </c>
      <c r="K28" s="13">
        <f>IF(J28&lt;'Mapa Oficinas'!$I$21,0,IF(J28&gt;'Mapa Oficinas'!$I$20,0,1))</f>
        <v>0</v>
      </c>
      <c r="L28" t="s">
        <v>23</v>
      </c>
      <c r="M28" t="s">
        <v>23</v>
      </c>
      <c r="N28" t="s">
        <v>544</v>
      </c>
      <c r="O28" t="s">
        <v>505</v>
      </c>
      <c r="P28" t="s">
        <v>26</v>
      </c>
      <c r="Q28">
        <v>2</v>
      </c>
      <c r="R28" t="s">
        <v>84</v>
      </c>
      <c r="S28" t="s">
        <v>79</v>
      </c>
      <c r="T28" t="str">
        <f>VLOOKUP(S28,'Mapa Oficinas'!$H$7:$I$16,2,FALSE)</f>
        <v>CB</v>
      </c>
      <c r="U28" t="s">
        <v>29</v>
      </c>
      <c r="V28" t="str">
        <f>VLOOKUP($R28,'Mapa Oficinas'!$A$7:$C$46,2,FALSE)</f>
        <v>Interior - Neuquén</v>
      </c>
      <c r="W28" t="str">
        <f>VLOOKUP($R28,'Mapa Oficinas'!$A$7:$C$46,3,FALSE)</f>
        <v>Villa La Angostura</v>
      </c>
    </row>
    <row r="29" spans="1:23" x14ac:dyDescent="0.2">
      <c r="A29" s="1">
        <v>45996</v>
      </c>
      <c r="B29" s="20">
        <f t="shared" si="0"/>
        <v>2025</v>
      </c>
      <c r="C29" s="20">
        <f t="shared" si="1"/>
        <v>12</v>
      </c>
      <c r="D29" t="s">
        <v>5637</v>
      </c>
      <c r="E29" s="49">
        <v>1</v>
      </c>
      <c r="F29" t="s">
        <v>5637</v>
      </c>
      <c r="G29" t="s">
        <v>21</v>
      </c>
      <c r="H29" t="s">
        <v>37</v>
      </c>
      <c r="I29" s="13">
        <v>37000</v>
      </c>
      <c r="J29" s="13">
        <v>37000</v>
      </c>
      <c r="K29" s="13">
        <f>IF(J29&lt;'Mapa Oficinas'!$I$21,0,IF(J29&gt;'Mapa Oficinas'!$I$20,0,1))</f>
        <v>0</v>
      </c>
      <c r="L29" t="s">
        <v>23</v>
      </c>
      <c r="M29" t="s">
        <v>23</v>
      </c>
      <c r="N29" t="s">
        <v>5637</v>
      </c>
      <c r="O29" t="s">
        <v>1425</v>
      </c>
      <c r="P29" t="s">
        <v>45</v>
      </c>
      <c r="Q29">
        <v>2</v>
      </c>
      <c r="R29" t="s">
        <v>62</v>
      </c>
      <c r="S29" t="s">
        <v>79</v>
      </c>
      <c r="T29" t="str">
        <f>VLOOKUP(S29,'Mapa Oficinas'!$H$7:$I$16,2,FALSE)</f>
        <v>CB</v>
      </c>
      <c r="U29" t="s">
        <v>29</v>
      </c>
      <c r="V29" t="str">
        <f>VLOOKUP($R29,'Mapa Oficinas'!$A$7:$C$46,2,FALSE)</f>
        <v>CABA</v>
      </c>
      <c r="W29" t="str">
        <f>VLOOKUP($R29,'Mapa Oficinas'!$A$7:$C$46,3,FALSE)</f>
        <v>Villa Urquiza</v>
      </c>
    </row>
    <row r="30" spans="1:23" x14ac:dyDescent="0.2">
      <c r="A30" s="1">
        <v>45694</v>
      </c>
      <c r="B30" s="20">
        <f t="shared" si="0"/>
        <v>2025</v>
      </c>
      <c r="C30" s="20">
        <f t="shared" si="1"/>
        <v>2</v>
      </c>
      <c r="E30" s="49">
        <v>3</v>
      </c>
      <c r="F30" t="s">
        <v>503</v>
      </c>
      <c r="G30" t="s">
        <v>21</v>
      </c>
      <c r="H30" t="s">
        <v>22</v>
      </c>
      <c r="I30" s="13">
        <v>37000</v>
      </c>
      <c r="J30" s="13">
        <v>37000</v>
      </c>
      <c r="K30" s="13">
        <f>IF(J30&lt;'Mapa Oficinas'!$I$21,0,IF(J30&gt;'Mapa Oficinas'!$I$20,0,1))</f>
        <v>0</v>
      </c>
      <c r="L30" t="s">
        <v>23</v>
      </c>
      <c r="M30" t="s">
        <v>23</v>
      </c>
      <c r="N30" t="s">
        <v>504</v>
      </c>
      <c r="O30" t="s">
        <v>505</v>
      </c>
      <c r="P30" t="s">
        <v>26</v>
      </c>
      <c r="Q30">
        <v>2</v>
      </c>
      <c r="R30" t="s">
        <v>84</v>
      </c>
      <c r="S30" t="s">
        <v>241</v>
      </c>
      <c r="T30" t="str">
        <f>VLOOKUP(S30,'Mapa Oficinas'!$H$7:$I$16,2,FALSE)</f>
        <v>CB</v>
      </c>
      <c r="U30" t="s">
        <v>29</v>
      </c>
      <c r="V30" t="str">
        <f>VLOOKUP($R30,'Mapa Oficinas'!$A$7:$C$46,2,FALSE)</f>
        <v>Interior - Neuquén</v>
      </c>
      <c r="W30" t="str">
        <f>VLOOKUP($R30,'Mapa Oficinas'!$A$7:$C$46,3,FALSE)</f>
        <v>Villa La Angostura</v>
      </c>
    </row>
    <row r="31" spans="1:23" x14ac:dyDescent="0.2">
      <c r="A31" s="1">
        <v>45726</v>
      </c>
      <c r="B31" s="20">
        <f t="shared" si="0"/>
        <v>2025</v>
      </c>
      <c r="C31" s="20">
        <f t="shared" si="1"/>
        <v>3</v>
      </c>
      <c r="D31" t="s">
        <v>878</v>
      </c>
      <c r="E31" s="49">
        <v>3</v>
      </c>
      <c r="F31" t="s">
        <v>879</v>
      </c>
      <c r="G31" t="s">
        <v>21</v>
      </c>
      <c r="H31" t="s">
        <v>22</v>
      </c>
      <c r="I31" s="13">
        <v>37000</v>
      </c>
      <c r="J31" s="13">
        <v>37000</v>
      </c>
      <c r="K31" s="13">
        <f>IF(J31&lt;'Mapa Oficinas'!$I$21,0,IF(J31&gt;'Mapa Oficinas'!$I$20,0,1))</f>
        <v>0</v>
      </c>
      <c r="L31" t="s">
        <v>23</v>
      </c>
      <c r="M31" t="s">
        <v>23</v>
      </c>
      <c r="O31" t="s">
        <v>880</v>
      </c>
      <c r="P31" t="s">
        <v>26</v>
      </c>
      <c r="Q31">
        <v>2</v>
      </c>
      <c r="R31" t="s">
        <v>257</v>
      </c>
      <c r="S31" t="s">
        <v>241</v>
      </c>
      <c r="T31" t="str">
        <f>VLOOKUP(S31,'Mapa Oficinas'!$H$7:$I$16,2,FALSE)</f>
        <v>CB</v>
      </c>
      <c r="U31" t="s">
        <v>29</v>
      </c>
      <c r="V31" t="str">
        <f>VLOOKUP($R31,'Mapa Oficinas'!$A$7:$C$46,2,FALSE)</f>
        <v>Zona Norte (GBA)</v>
      </c>
      <c r="W31" t="str">
        <f>VLOOKUP($R31,'Mapa Oficinas'!$A$7:$C$46,3,FALSE)</f>
        <v>Pilar</v>
      </c>
    </row>
    <row r="32" spans="1:23" x14ac:dyDescent="0.2">
      <c r="A32" s="1">
        <v>45834</v>
      </c>
      <c r="B32" s="20">
        <f t="shared" si="0"/>
        <v>2025</v>
      </c>
      <c r="C32" s="20">
        <f t="shared" si="1"/>
        <v>6</v>
      </c>
      <c r="D32" t="s">
        <v>2646</v>
      </c>
      <c r="E32" s="49">
        <v>1</v>
      </c>
      <c r="F32" t="s">
        <v>2647</v>
      </c>
      <c r="G32" t="s">
        <v>21</v>
      </c>
      <c r="H32" t="s">
        <v>37</v>
      </c>
      <c r="I32" s="13">
        <v>37000</v>
      </c>
      <c r="J32" s="13">
        <v>37000</v>
      </c>
      <c r="K32" s="13">
        <f>IF(J32&lt;'Mapa Oficinas'!$I$21,0,IF(J32&gt;'Mapa Oficinas'!$I$20,0,1))</f>
        <v>0</v>
      </c>
      <c r="L32" t="s">
        <v>23</v>
      </c>
      <c r="M32" t="s">
        <v>23</v>
      </c>
      <c r="N32" t="s">
        <v>2648</v>
      </c>
      <c r="O32" t="s">
        <v>50</v>
      </c>
      <c r="P32" t="s">
        <v>45</v>
      </c>
      <c r="Q32">
        <v>1</v>
      </c>
      <c r="R32" t="s">
        <v>670</v>
      </c>
      <c r="S32" t="s">
        <v>47</v>
      </c>
      <c r="T32" t="str">
        <f>VLOOKUP(S32,'Mapa Oficinas'!$H$7:$I$16,2,FALSE)</f>
        <v>Otra Red Búsqueda</v>
      </c>
      <c r="U32" t="s">
        <v>29</v>
      </c>
      <c r="V32" t="str">
        <f>VLOOKUP($R32,'Mapa Oficinas'!$A$7:$C$46,2,FALSE)</f>
        <v>CABA</v>
      </c>
      <c r="W32" t="str">
        <f>VLOOKUP($R32,'Mapa Oficinas'!$A$7:$C$46,3,FALSE)</f>
        <v>Recoleta</v>
      </c>
    </row>
    <row r="33" spans="1:23" x14ac:dyDescent="0.2">
      <c r="A33" s="1">
        <v>45820</v>
      </c>
      <c r="B33" s="20">
        <f t="shared" si="0"/>
        <v>2025</v>
      </c>
      <c r="C33" s="20">
        <f t="shared" si="1"/>
        <v>6</v>
      </c>
      <c r="D33" t="s">
        <v>2463</v>
      </c>
      <c r="E33" s="49">
        <v>1</v>
      </c>
      <c r="F33" t="s">
        <v>2464</v>
      </c>
      <c r="G33" t="s">
        <v>21</v>
      </c>
      <c r="H33" t="s">
        <v>90</v>
      </c>
      <c r="I33" s="13">
        <v>39000</v>
      </c>
      <c r="J33" s="13">
        <v>37000</v>
      </c>
      <c r="K33" s="13">
        <f>IF(J33&lt;'Mapa Oficinas'!$I$21,0,IF(J33&gt;'Mapa Oficinas'!$I$20,0,1))</f>
        <v>0</v>
      </c>
      <c r="L33" t="s">
        <v>23</v>
      </c>
      <c r="M33" t="s">
        <v>23</v>
      </c>
      <c r="N33" t="s">
        <v>2465</v>
      </c>
      <c r="O33" t="s">
        <v>2466</v>
      </c>
      <c r="P33" t="s">
        <v>55</v>
      </c>
      <c r="Q33">
        <v>2</v>
      </c>
      <c r="R33" t="s">
        <v>170</v>
      </c>
      <c r="S33" t="s">
        <v>200</v>
      </c>
      <c r="T33" t="str">
        <f>VLOOKUP(S33,'Mapa Oficinas'!$H$7:$I$16,2,FALSE)</f>
        <v>Otra Red Captación</v>
      </c>
      <c r="U33" t="s">
        <v>29</v>
      </c>
      <c r="V33" t="str">
        <f>VLOOKUP($R33,'Mapa Oficinas'!$A$7:$C$46,2,FALSE)</f>
        <v>CABA</v>
      </c>
      <c r="W33" t="str">
        <f>VLOOKUP($R33,'Mapa Oficinas'!$A$7:$C$46,3,FALSE)</f>
        <v>Belgrano</v>
      </c>
    </row>
    <row r="34" spans="1:23" x14ac:dyDescent="0.2">
      <c r="A34" s="1">
        <v>45992</v>
      </c>
      <c r="B34" s="20">
        <f t="shared" si="0"/>
        <v>2025</v>
      </c>
      <c r="C34" s="20">
        <f t="shared" si="1"/>
        <v>12</v>
      </c>
      <c r="D34" t="s">
        <v>5453</v>
      </c>
      <c r="E34" s="49">
        <v>1</v>
      </c>
      <c r="F34" t="s">
        <v>5454</v>
      </c>
      <c r="G34" t="s">
        <v>21</v>
      </c>
      <c r="H34" t="s">
        <v>37</v>
      </c>
      <c r="I34" s="13">
        <v>40000</v>
      </c>
      <c r="J34" s="13">
        <v>37000</v>
      </c>
      <c r="K34" s="13">
        <f>IF(J34&lt;'Mapa Oficinas'!$I$21,0,IF(J34&gt;'Mapa Oficinas'!$I$20,0,1))</f>
        <v>0</v>
      </c>
      <c r="L34" t="s">
        <v>23</v>
      </c>
      <c r="M34" t="s">
        <v>23</v>
      </c>
      <c r="N34" t="s">
        <v>5455</v>
      </c>
      <c r="O34" t="s">
        <v>477</v>
      </c>
      <c r="P34" t="s">
        <v>45</v>
      </c>
      <c r="Q34">
        <v>2</v>
      </c>
      <c r="R34" t="s">
        <v>5456</v>
      </c>
      <c r="S34" t="s">
        <v>200</v>
      </c>
      <c r="T34" t="str">
        <f>VLOOKUP(S34,'Mapa Oficinas'!$H$7:$I$16,2,FALSE)</f>
        <v>Otra Red Captación</v>
      </c>
      <c r="U34" t="s">
        <v>29</v>
      </c>
      <c r="V34" t="str">
        <f>VLOOKUP($R34,'Mapa Oficinas'!$A$7:$C$46,2,FALSE)</f>
        <v>CABA</v>
      </c>
      <c r="W34" t="str">
        <f>VLOOKUP($R34,'Mapa Oficinas'!$A$7:$C$46,3,FALSE)</f>
        <v>Núñez</v>
      </c>
    </row>
    <row r="35" spans="1:23" x14ac:dyDescent="0.2">
      <c r="A35" s="1">
        <v>45726</v>
      </c>
      <c r="B35" s="20">
        <f t="shared" si="0"/>
        <v>2025</v>
      </c>
      <c r="C35" s="20">
        <f t="shared" si="1"/>
        <v>3</v>
      </c>
      <c r="D35" t="s">
        <v>874</v>
      </c>
      <c r="E35" s="49">
        <v>1</v>
      </c>
      <c r="F35" t="s">
        <v>875</v>
      </c>
      <c r="G35" t="s">
        <v>21</v>
      </c>
      <c r="H35" t="s">
        <v>70</v>
      </c>
      <c r="I35" s="13">
        <v>42000</v>
      </c>
      <c r="J35" s="13">
        <v>37000</v>
      </c>
      <c r="K35" s="13">
        <f>IF(J35&lt;'Mapa Oficinas'!$I$21,0,IF(J35&gt;'Mapa Oficinas'!$I$20,0,1))</f>
        <v>0</v>
      </c>
      <c r="L35" t="s">
        <v>23</v>
      </c>
      <c r="M35" t="s">
        <v>23</v>
      </c>
      <c r="N35" t="s">
        <v>876</v>
      </c>
      <c r="O35" t="s">
        <v>877</v>
      </c>
      <c r="P35" t="s">
        <v>34</v>
      </c>
      <c r="Q35">
        <v>2</v>
      </c>
      <c r="R35" t="s">
        <v>73</v>
      </c>
      <c r="S35" t="s">
        <v>28</v>
      </c>
      <c r="T35" t="str">
        <f>VLOOKUP(S35,'Mapa Oficinas'!$H$7:$I$16,2,FALSE)</f>
        <v>CB</v>
      </c>
      <c r="U35" t="s">
        <v>29</v>
      </c>
      <c r="V35" t="str">
        <f>VLOOKUP($R35,'Mapa Oficinas'!$A$7:$C$46,2,FALSE)</f>
        <v>Interior - Salta</v>
      </c>
      <c r="W35" t="str">
        <f>VLOOKUP($R35,'Mapa Oficinas'!$A$7:$C$46,3,FALSE)</f>
        <v>San Lorenzo Chico</v>
      </c>
    </row>
    <row r="36" spans="1:23" x14ac:dyDescent="0.2">
      <c r="A36" s="1">
        <v>45776</v>
      </c>
      <c r="B36" s="20">
        <f t="shared" si="0"/>
        <v>2025</v>
      </c>
      <c r="C36" s="20">
        <f t="shared" si="1"/>
        <v>4</v>
      </c>
      <c r="D36" t="s">
        <v>1667</v>
      </c>
      <c r="E36" s="49">
        <v>1</v>
      </c>
      <c r="F36" t="s">
        <v>1668</v>
      </c>
      <c r="G36" t="s">
        <v>21</v>
      </c>
      <c r="H36" t="s">
        <v>70</v>
      </c>
      <c r="I36" s="13">
        <v>40000</v>
      </c>
      <c r="J36" s="13">
        <v>37000</v>
      </c>
      <c r="K36" s="13">
        <f>IF(J36&lt;'Mapa Oficinas'!$I$21,0,IF(J36&gt;'Mapa Oficinas'!$I$20,0,1))</f>
        <v>0</v>
      </c>
      <c r="L36" t="s">
        <v>23</v>
      </c>
      <c r="M36" t="s">
        <v>23</v>
      </c>
      <c r="N36" t="s">
        <v>1669</v>
      </c>
      <c r="O36" t="s">
        <v>156</v>
      </c>
      <c r="P36" t="s">
        <v>45</v>
      </c>
      <c r="Q36">
        <v>2</v>
      </c>
      <c r="R36" t="s">
        <v>73</v>
      </c>
      <c r="S36" t="s">
        <v>28</v>
      </c>
      <c r="T36" t="str">
        <f>VLOOKUP(S36,'Mapa Oficinas'!$H$7:$I$16,2,FALSE)</f>
        <v>CB</v>
      </c>
      <c r="U36" t="s">
        <v>29</v>
      </c>
      <c r="V36" t="str">
        <f>VLOOKUP($R36,'Mapa Oficinas'!$A$7:$C$46,2,FALSE)</f>
        <v>Interior - Salta</v>
      </c>
      <c r="W36" t="str">
        <f>VLOOKUP($R36,'Mapa Oficinas'!$A$7:$C$46,3,FALSE)</f>
        <v>San Lorenzo Chico</v>
      </c>
    </row>
    <row r="37" spans="1:23" x14ac:dyDescent="0.2">
      <c r="A37" s="1">
        <v>45827</v>
      </c>
      <c r="B37" s="20">
        <f t="shared" si="0"/>
        <v>2025</v>
      </c>
      <c r="C37" s="20">
        <f t="shared" si="1"/>
        <v>6</v>
      </c>
      <c r="D37" t="s">
        <v>2556</v>
      </c>
      <c r="E37" s="49">
        <v>1</v>
      </c>
      <c r="F37" t="s">
        <v>2557</v>
      </c>
      <c r="G37" t="s">
        <v>21</v>
      </c>
      <c r="H37" t="s">
        <v>37</v>
      </c>
      <c r="I37" s="13">
        <v>37000</v>
      </c>
      <c r="J37" s="13">
        <v>37000</v>
      </c>
      <c r="K37" s="13">
        <f>IF(J37&lt;'Mapa Oficinas'!$I$21,0,IF(J37&gt;'Mapa Oficinas'!$I$20,0,1))</f>
        <v>0</v>
      </c>
      <c r="L37" t="s">
        <v>23</v>
      </c>
      <c r="M37" t="s">
        <v>23</v>
      </c>
      <c r="N37" t="s">
        <v>2558</v>
      </c>
      <c r="O37" t="s">
        <v>303</v>
      </c>
      <c r="P37" t="s">
        <v>26</v>
      </c>
      <c r="Q37">
        <v>2</v>
      </c>
      <c r="R37" t="s">
        <v>183</v>
      </c>
      <c r="S37" t="s">
        <v>28</v>
      </c>
      <c r="T37" t="str">
        <f>VLOOKUP(S37,'Mapa Oficinas'!$H$7:$I$16,2,FALSE)</f>
        <v>CB</v>
      </c>
      <c r="U37" t="s">
        <v>29</v>
      </c>
      <c r="V37" t="str">
        <f>VLOOKUP($R37,'Mapa Oficinas'!$A$7:$C$46,2,FALSE)</f>
        <v>Interior - Neuquén</v>
      </c>
      <c r="W37" t="str">
        <f>VLOOKUP($R37,'Mapa Oficinas'!$A$7:$C$46,3,FALSE)</f>
        <v>Capital Neuquén</v>
      </c>
    </row>
    <row r="38" spans="1:23" x14ac:dyDescent="0.2">
      <c r="A38" s="1">
        <v>46052</v>
      </c>
      <c r="B38" s="20">
        <f t="shared" si="0"/>
        <v>2026</v>
      </c>
      <c r="C38" s="20">
        <f t="shared" si="1"/>
        <v>1</v>
      </c>
      <c r="D38" t="s">
        <v>6461</v>
      </c>
      <c r="E38" s="49">
        <v>1</v>
      </c>
      <c r="F38" t="s">
        <v>6462</v>
      </c>
      <c r="G38" t="s">
        <v>21</v>
      </c>
      <c r="H38" t="s">
        <v>81</v>
      </c>
      <c r="I38" s="13">
        <v>40000</v>
      </c>
      <c r="J38" s="13">
        <v>37000</v>
      </c>
      <c r="K38" s="13">
        <f>IF(J38&lt;'Mapa Oficinas'!$I$21,0,IF(J38&gt;'Mapa Oficinas'!$I$20,0,1))</f>
        <v>0</v>
      </c>
      <c r="L38" t="s">
        <v>23</v>
      </c>
      <c r="M38" t="s">
        <v>23</v>
      </c>
      <c r="N38" t="s">
        <v>6463</v>
      </c>
      <c r="O38" t="s">
        <v>6464</v>
      </c>
      <c r="P38" t="s">
        <v>45</v>
      </c>
      <c r="Q38">
        <v>2</v>
      </c>
      <c r="R38" t="s">
        <v>167</v>
      </c>
      <c r="S38" t="s">
        <v>28</v>
      </c>
      <c r="T38" t="str">
        <f>VLOOKUP(S38,'Mapa Oficinas'!$H$7:$I$16,2,FALSE)</f>
        <v>CB</v>
      </c>
      <c r="U38" t="s">
        <v>29</v>
      </c>
      <c r="V38" t="str">
        <f>VLOOKUP($R38,'Mapa Oficinas'!$A$7:$C$46,2,FALSE)</f>
        <v>Interior - Santa Fe</v>
      </c>
      <c r="W38" t="str">
        <f>VLOOKUP($R38,'Mapa Oficinas'!$A$7:$C$46,3,FALSE)</f>
        <v>Capital Santa Fe</v>
      </c>
    </row>
    <row r="39" spans="1:23" x14ac:dyDescent="0.2">
      <c r="A39" s="1">
        <v>46062</v>
      </c>
      <c r="B39" s="20">
        <f t="shared" si="0"/>
        <v>2026</v>
      </c>
      <c r="C39" s="20">
        <f t="shared" si="1"/>
        <v>2</v>
      </c>
      <c r="D39" t="s">
        <v>6583</v>
      </c>
      <c r="E39" s="49">
        <v>1</v>
      </c>
      <c r="F39" t="s">
        <v>6584</v>
      </c>
      <c r="G39" t="s">
        <v>21</v>
      </c>
      <c r="H39" t="s">
        <v>100</v>
      </c>
      <c r="I39" s="13">
        <v>38500</v>
      </c>
      <c r="J39" s="13">
        <v>37000</v>
      </c>
      <c r="K39" s="13">
        <f>IF(J39&lt;'Mapa Oficinas'!$I$21,0,IF(J39&gt;'Mapa Oficinas'!$I$20,0,1))</f>
        <v>0</v>
      </c>
      <c r="L39" t="s">
        <v>23</v>
      </c>
      <c r="M39" t="s">
        <v>23</v>
      </c>
      <c r="N39" t="s">
        <v>6585</v>
      </c>
      <c r="O39" t="s">
        <v>3175</v>
      </c>
      <c r="P39" t="s">
        <v>26</v>
      </c>
      <c r="Q39">
        <v>2</v>
      </c>
      <c r="R39" t="s">
        <v>121</v>
      </c>
      <c r="S39" t="s">
        <v>28</v>
      </c>
      <c r="T39" t="str">
        <f>VLOOKUP(S39,'Mapa Oficinas'!$H$7:$I$16,2,FALSE)</f>
        <v>CB</v>
      </c>
      <c r="U39" t="s">
        <v>29</v>
      </c>
      <c r="V39" t="str">
        <f>VLOOKUP($R39,'Mapa Oficinas'!$A$7:$C$46,2,FALSE)</f>
        <v>Interior - Río Negro</v>
      </c>
      <c r="W39" t="str">
        <f>VLOOKUP($R39,'Mapa Oficinas'!$A$7:$C$46,3,FALSE)</f>
        <v>Bariloche</v>
      </c>
    </row>
    <row r="40" spans="1:23" x14ac:dyDescent="0.2">
      <c r="A40" s="1">
        <v>45839</v>
      </c>
      <c r="B40" s="20">
        <f t="shared" si="0"/>
        <v>2025</v>
      </c>
      <c r="C40" s="20">
        <f t="shared" si="1"/>
        <v>7</v>
      </c>
      <c r="D40" t="s">
        <v>2794</v>
      </c>
      <c r="E40" s="49">
        <v>3</v>
      </c>
      <c r="F40" t="s">
        <v>2795</v>
      </c>
      <c r="G40" t="s">
        <v>21</v>
      </c>
      <c r="H40" t="s">
        <v>70</v>
      </c>
      <c r="I40" s="13">
        <v>45000</v>
      </c>
      <c r="J40" s="13">
        <v>37500</v>
      </c>
      <c r="K40" s="13">
        <f>IF(J40&lt;'Mapa Oficinas'!$I$21,0,IF(J40&gt;'Mapa Oficinas'!$I$20,0,1))</f>
        <v>0</v>
      </c>
      <c r="L40" t="s">
        <v>23</v>
      </c>
      <c r="M40" t="s">
        <v>23</v>
      </c>
      <c r="N40" t="s">
        <v>2796</v>
      </c>
      <c r="O40" t="s">
        <v>2797</v>
      </c>
      <c r="P40" t="s">
        <v>34</v>
      </c>
      <c r="Q40">
        <v>2</v>
      </c>
      <c r="R40" t="s">
        <v>130</v>
      </c>
      <c r="S40" t="s">
        <v>241</v>
      </c>
      <c r="T40" t="str">
        <f>VLOOKUP(S40,'Mapa Oficinas'!$H$7:$I$16,2,FALSE)</f>
        <v>CB</v>
      </c>
      <c r="U40" t="s">
        <v>29</v>
      </c>
      <c r="V40" t="str">
        <f>VLOOKUP($R40,'Mapa Oficinas'!$A$7:$C$46,2,FALSE)</f>
        <v>Interior - Neuquén</v>
      </c>
      <c r="W40" t="str">
        <f>VLOOKUP($R40,'Mapa Oficinas'!$A$7:$C$46,3,FALSE)</f>
        <v>San Martín de los Andes</v>
      </c>
    </row>
    <row r="41" spans="1:23" x14ac:dyDescent="0.2">
      <c r="A41" s="1">
        <v>45754</v>
      </c>
      <c r="B41" s="20">
        <f t="shared" si="0"/>
        <v>2025</v>
      </c>
      <c r="C41" s="20">
        <f t="shared" si="1"/>
        <v>4</v>
      </c>
      <c r="D41" t="s">
        <v>1310</v>
      </c>
      <c r="E41" s="49">
        <v>1</v>
      </c>
      <c r="F41" t="s">
        <v>1311</v>
      </c>
      <c r="G41" t="s">
        <v>21</v>
      </c>
      <c r="H41" t="s">
        <v>37</v>
      </c>
      <c r="I41" s="13">
        <v>40000</v>
      </c>
      <c r="J41" s="13">
        <v>37500</v>
      </c>
      <c r="K41" s="13">
        <f>IF(J41&lt;'Mapa Oficinas'!$I$21,0,IF(J41&gt;'Mapa Oficinas'!$I$20,0,1))</f>
        <v>0</v>
      </c>
      <c r="L41" t="s">
        <v>23</v>
      </c>
      <c r="M41" t="s">
        <v>23</v>
      </c>
      <c r="N41" t="s">
        <v>1312</v>
      </c>
      <c r="O41" t="s">
        <v>1090</v>
      </c>
      <c r="P41" t="s">
        <v>55</v>
      </c>
      <c r="Q41">
        <v>2</v>
      </c>
      <c r="R41" t="s">
        <v>56</v>
      </c>
      <c r="S41" t="s">
        <v>28</v>
      </c>
      <c r="T41" t="str">
        <f>VLOOKUP(S41,'Mapa Oficinas'!$H$7:$I$16,2,FALSE)</f>
        <v>CB</v>
      </c>
      <c r="U41" t="s">
        <v>29</v>
      </c>
      <c r="V41" t="str">
        <f>VLOOKUP($R41,'Mapa Oficinas'!$A$7:$C$46,2,FALSE)</f>
        <v>Zona Norte (GBA)</v>
      </c>
      <c r="W41" t="str">
        <f>VLOOKUP($R41,'Mapa Oficinas'!$A$7:$C$46,3,FALSE)</f>
        <v>Vicente López</v>
      </c>
    </row>
    <row r="42" spans="1:23" x14ac:dyDescent="0.2">
      <c r="A42" s="1">
        <v>45852</v>
      </c>
      <c r="B42" s="20">
        <f t="shared" si="0"/>
        <v>2025</v>
      </c>
      <c r="C42" s="20">
        <f t="shared" si="1"/>
        <v>7</v>
      </c>
      <c r="D42" t="s">
        <v>3002</v>
      </c>
      <c r="E42" s="49">
        <v>1</v>
      </c>
      <c r="F42" t="s">
        <v>3003</v>
      </c>
      <c r="G42" t="s">
        <v>21</v>
      </c>
      <c r="H42" t="s">
        <v>22</v>
      </c>
      <c r="I42" s="13">
        <v>85000</v>
      </c>
      <c r="J42" s="13">
        <v>37500</v>
      </c>
      <c r="K42" s="13">
        <f>IF(J42&lt;'Mapa Oficinas'!$I$21,0,IF(J42&gt;'Mapa Oficinas'!$I$20,0,1))</f>
        <v>0</v>
      </c>
      <c r="L42" t="s">
        <v>23</v>
      </c>
      <c r="M42" t="s">
        <v>23</v>
      </c>
      <c r="N42" t="s">
        <v>3004</v>
      </c>
      <c r="O42" t="s">
        <v>333</v>
      </c>
      <c r="P42" t="s">
        <v>45</v>
      </c>
      <c r="Q42">
        <v>2</v>
      </c>
      <c r="R42" t="s">
        <v>62</v>
      </c>
      <c r="S42" t="s">
        <v>28</v>
      </c>
      <c r="T42" t="str">
        <f>VLOOKUP(S42,'Mapa Oficinas'!$H$7:$I$16,2,FALSE)</f>
        <v>CB</v>
      </c>
      <c r="U42" t="s">
        <v>29</v>
      </c>
      <c r="V42" t="str">
        <f>VLOOKUP($R42,'Mapa Oficinas'!$A$7:$C$46,2,FALSE)</f>
        <v>CABA</v>
      </c>
      <c r="W42" t="str">
        <f>VLOOKUP($R42,'Mapa Oficinas'!$A$7:$C$46,3,FALSE)</f>
        <v>Villa Urquiza</v>
      </c>
    </row>
    <row r="43" spans="1:23" x14ac:dyDescent="0.2">
      <c r="A43" s="1">
        <v>45853</v>
      </c>
      <c r="B43" s="20">
        <f t="shared" si="0"/>
        <v>2025</v>
      </c>
      <c r="C43" s="20">
        <f t="shared" si="1"/>
        <v>7</v>
      </c>
      <c r="D43" t="s">
        <v>3036</v>
      </c>
      <c r="E43" s="49">
        <v>1</v>
      </c>
      <c r="F43" t="s">
        <v>3036</v>
      </c>
      <c r="G43" t="s">
        <v>21</v>
      </c>
      <c r="H43" t="s">
        <v>22</v>
      </c>
      <c r="I43" s="13">
        <v>37500</v>
      </c>
      <c r="J43" s="13">
        <v>37500</v>
      </c>
      <c r="K43" s="13">
        <f>IF(J43&lt;'Mapa Oficinas'!$I$21,0,IF(J43&gt;'Mapa Oficinas'!$I$20,0,1))</f>
        <v>0</v>
      </c>
      <c r="L43" t="s">
        <v>23</v>
      </c>
      <c r="M43" t="s">
        <v>23</v>
      </c>
      <c r="N43" t="s">
        <v>3036</v>
      </c>
      <c r="O43" t="s">
        <v>174</v>
      </c>
      <c r="P43" t="s">
        <v>45</v>
      </c>
      <c r="Q43">
        <v>2</v>
      </c>
      <c r="R43" t="s">
        <v>62</v>
      </c>
      <c r="S43" t="s">
        <v>28</v>
      </c>
      <c r="T43" t="str">
        <f>VLOOKUP(S43,'Mapa Oficinas'!$H$7:$I$16,2,FALSE)</f>
        <v>CB</v>
      </c>
      <c r="U43" t="s">
        <v>29</v>
      </c>
      <c r="V43" t="str">
        <f>VLOOKUP($R43,'Mapa Oficinas'!$A$7:$C$46,2,FALSE)</f>
        <v>CABA</v>
      </c>
      <c r="W43" t="str">
        <f>VLOOKUP($R43,'Mapa Oficinas'!$A$7:$C$46,3,FALSE)</f>
        <v>Villa Urquiza</v>
      </c>
    </row>
    <row r="44" spans="1:23" x14ac:dyDescent="0.2">
      <c r="A44" s="1">
        <v>46029</v>
      </c>
      <c r="B44" s="20">
        <f t="shared" si="0"/>
        <v>2026</v>
      </c>
      <c r="C44" s="20">
        <f t="shared" si="1"/>
        <v>1</v>
      </c>
      <c r="D44" t="s">
        <v>6108</v>
      </c>
      <c r="E44" s="49">
        <v>1</v>
      </c>
      <c r="F44" t="s">
        <v>6109</v>
      </c>
      <c r="G44" t="s">
        <v>21</v>
      </c>
      <c r="H44" t="s">
        <v>37</v>
      </c>
      <c r="I44" s="13">
        <v>38000</v>
      </c>
      <c r="J44" s="13">
        <v>37500</v>
      </c>
      <c r="K44" s="13">
        <f>IF(J44&lt;'Mapa Oficinas'!$I$21,0,IF(J44&gt;'Mapa Oficinas'!$I$20,0,1))</f>
        <v>0</v>
      </c>
      <c r="L44" t="s">
        <v>23</v>
      </c>
      <c r="M44" t="s">
        <v>23</v>
      </c>
      <c r="N44" t="s">
        <v>6110</v>
      </c>
      <c r="O44" t="s">
        <v>236</v>
      </c>
      <c r="P44" t="s">
        <v>45</v>
      </c>
      <c r="Q44">
        <v>2</v>
      </c>
      <c r="R44" t="s">
        <v>67</v>
      </c>
      <c r="S44" t="s">
        <v>28</v>
      </c>
      <c r="T44" t="str">
        <f>VLOOKUP(S44,'Mapa Oficinas'!$H$7:$I$16,2,FALSE)</f>
        <v>CB</v>
      </c>
      <c r="U44" t="s">
        <v>29</v>
      </c>
      <c r="V44" t="str">
        <f>VLOOKUP($R44,'Mapa Oficinas'!$A$7:$C$46,2,FALSE)</f>
        <v>CABA</v>
      </c>
      <c r="W44" t="str">
        <f>VLOOKUP($R44,'Mapa Oficinas'!$A$7:$C$46,3,FALSE)</f>
        <v>Barrio Parque</v>
      </c>
    </row>
    <row r="45" spans="1:23" x14ac:dyDescent="0.2">
      <c r="A45" s="1">
        <v>46093</v>
      </c>
      <c r="B45" s="20">
        <f t="shared" si="0"/>
        <v>2026</v>
      </c>
      <c r="C45" s="20">
        <f t="shared" si="1"/>
        <v>3</v>
      </c>
      <c r="D45" t="s">
        <v>7123</v>
      </c>
      <c r="E45" s="49">
        <v>1</v>
      </c>
      <c r="F45" t="s">
        <v>7124</v>
      </c>
      <c r="G45" t="s">
        <v>21</v>
      </c>
      <c r="H45" t="s">
        <v>81</v>
      </c>
      <c r="I45" s="13">
        <v>37000</v>
      </c>
      <c r="J45" s="13">
        <v>37500</v>
      </c>
      <c r="K45" s="13">
        <f>IF(J45&lt;'Mapa Oficinas'!$I$21,0,IF(J45&gt;'Mapa Oficinas'!$I$20,0,1))</f>
        <v>0</v>
      </c>
      <c r="L45" t="s">
        <v>23</v>
      </c>
      <c r="M45" t="s">
        <v>23</v>
      </c>
      <c r="N45" t="s">
        <v>7125</v>
      </c>
      <c r="O45" t="s">
        <v>679</v>
      </c>
      <c r="P45" t="s">
        <v>26</v>
      </c>
      <c r="Q45">
        <v>2</v>
      </c>
      <c r="R45" t="s">
        <v>183</v>
      </c>
      <c r="S45" t="s">
        <v>28</v>
      </c>
      <c r="T45" t="str">
        <f>VLOOKUP(S45,'Mapa Oficinas'!$H$7:$I$16,2,FALSE)</f>
        <v>CB</v>
      </c>
      <c r="U45" t="s">
        <v>29</v>
      </c>
      <c r="V45" t="str">
        <f>VLOOKUP($R45,'Mapa Oficinas'!$A$7:$C$46,2,FALSE)</f>
        <v>Interior - Neuquén</v>
      </c>
      <c r="W45" t="str">
        <f>VLOOKUP($R45,'Mapa Oficinas'!$A$7:$C$46,3,FALSE)</f>
        <v>Capital Neuquén</v>
      </c>
    </row>
    <row r="46" spans="1:23" x14ac:dyDescent="0.2">
      <c r="A46" s="1">
        <v>46108</v>
      </c>
      <c r="B46" s="20">
        <f t="shared" si="0"/>
        <v>2026</v>
      </c>
      <c r="C46" s="20">
        <f t="shared" si="1"/>
        <v>3</v>
      </c>
      <c r="D46" t="s">
        <v>7450</v>
      </c>
      <c r="E46" s="49">
        <v>1</v>
      </c>
      <c r="F46" t="s">
        <v>7451</v>
      </c>
      <c r="G46" t="s">
        <v>21</v>
      </c>
      <c r="H46" t="s">
        <v>90</v>
      </c>
      <c r="I46" s="13">
        <v>750000</v>
      </c>
      <c r="J46" s="13">
        <v>37500</v>
      </c>
      <c r="K46" s="13">
        <f>IF(J46&lt;'Mapa Oficinas'!$I$21,0,IF(J46&gt;'Mapa Oficinas'!$I$20,0,1))</f>
        <v>0</v>
      </c>
      <c r="L46" t="s">
        <v>23</v>
      </c>
      <c r="M46" t="s">
        <v>1927</v>
      </c>
      <c r="N46" t="s">
        <v>7452</v>
      </c>
      <c r="O46" t="s">
        <v>3456</v>
      </c>
      <c r="P46" t="s">
        <v>45</v>
      </c>
      <c r="Q46">
        <v>2</v>
      </c>
      <c r="R46" t="s">
        <v>62</v>
      </c>
      <c r="S46" t="s">
        <v>28</v>
      </c>
      <c r="T46" t="str">
        <f>VLOOKUP(S46,'Mapa Oficinas'!$H$7:$I$16,2,FALSE)</f>
        <v>CB</v>
      </c>
      <c r="U46" t="s">
        <v>29</v>
      </c>
      <c r="V46" t="str">
        <f>VLOOKUP($R46,'Mapa Oficinas'!$A$7:$C$46,2,FALSE)</f>
        <v>CABA</v>
      </c>
      <c r="W46" t="str">
        <f>VLOOKUP($R46,'Mapa Oficinas'!$A$7:$C$46,3,FALSE)</f>
        <v>Villa Urquiza</v>
      </c>
    </row>
    <row r="47" spans="1:23" x14ac:dyDescent="0.2">
      <c r="A47" s="1">
        <v>45838</v>
      </c>
      <c r="B47" s="20">
        <f t="shared" si="0"/>
        <v>2025</v>
      </c>
      <c r="C47" s="20">
        <f t="shared" si="1"/>
        <v>6</v>
      </c>
      <c r="D47" t="s">
        <v>2747</v>
      </c>
      <c r="E47" s="49">
        <v>1</v>
      </c>
      <c r="F47" t="s">
        <v>2748</v>
      </c>
      <c r="G47" t="s">
        <v>21</v>
      </c>
      <c r="H47" t="s">
        <v>100</v>
      </c>
      <c r="I47" s="13">
        <v>41760</v>
      </c>
      <c r="J47" s="13">
        <v>37753</v>
      </c>
      <c r="K47" s="13">
        <f>IF(J47&lt;'Mapa Oficinas'!$I$21,0,IF(J47&gt;'Mapa Oficinas'!$I$20,0,1))</f>
        <v>0</v>
      </c>
      <c r="L47" t="s">
        <v>23</v>
      </c>
      <c r="M47" t="s">
        <v>23</v>
      </c>
      <c r="N47" t="s">
        <v>203</v>
      </c>
      <c r="O47" t="s">
        <v>204</v>
      </c>
      <c r="P47" t="s">
        <v>26</v>
      </c>
      <c r="Q47">
        <v>2</v>
      </c>
      <c r="R47" t="s">
        <v>121</v>
      </c>
      <c r="S47" t="s">
        <v>79</v>
      </c>
      <c r="T47" t="str">
        <f>VLOOKUP(S47,'Mapa Oficinas'!$H$7:$I$16,2,FALSE)</f>
        <v>CB</v>
      </c>
      <c r="U47" t="s">
        <v>29</v>
      </c>
      <c r="V47" t="str">
        <f>VLOOKUP($R47,'Mapa Oficinas'!$A$7:$C$46,2,FALSE)</f>
        <v>Interior - Río Negro</v>
      </c>
      <c r="W47" t="str">
        <f>VLOOKUP($R47,'Mapa Oficinas'!$A$7:$C$46,3,FALSE)</f>
        <v>Bariloche</v>
      </c>
    </row>
    <row r="48" spans="1:23" x14ac:dyDescent="0.2">
      <c r="A48" s="1">
        <v>45940</v>
      </c>
      <c r="B48" s="20">
        <f t="shared" si="0"/>
        <v>2025</v>
      </c>
      <c r="C48" s="20">
        <f t="shared" si="1"/>
        <v>10</v>
      </c>
      <c r="E48" s="49">
        <v>1</v>
      </c>
      <c r="F48" t="s">
        <v>4633</v>
      </c>
      <c r="G48" t="s">
        <v>21</v>
      </c>
      <c r="H48" t="s">
        <v>230</v>
      </c>
      <c r="I48" s="13">
        <v>38000</v>
      </c>
      <c r="J48" s="13">
        <v>38000</v>
      </c>
      <c r="K48" s="13">
        <f>IF(J48&lt;'Mapa Oficinas'!$I$21,0,IF(J48&gt;'Mapa Oficinas'!$I$20,0,1))</f>
        <v>0</v>
      </c>
      <c r="L48" t="s">
        <v>23</v>
      </c>
      <c r="M48" t="s">
        <v>23</v>
      </c>
      <c r="N48" t="s">
        <v>4507</v>
      </c>
      <c r="O48" t="s">
        <v>1239</v>
      </c>
      <c r="P48" t="s">
        <v>26</v>
      </c>
      <c r="Q48">
        <v>1</v>
      </c>
      <c r="R48" t="s">
        <v>130</v>
      </c>
      <c r="S48" t="s">
        <v>122</v>
      </c>
      <c r="T48" t="str">
        <f>VLOOKUP(S48,'Mapa Oficinas'!$H$7:$I$16,2,FALSE)</f>
        <v>Otra Red Búsqueda</v>
      </c>
      <c r="U48" t="s">
        <v>29</v>
      </c>
      <c r="V48" t="str">
        <f>VLOOKUP($R48,'Mapa Oficinas'!$A$7:$C$46,2,FALSE)</f>
        <v>Interior - Neuquén</v>
      </c>
      <c r="W48" t="str">
        <f>VLOOKUP($R48,'Mapa Oficinas'!$A$7:$C$46,3,FALSE)</f>
        <v>San Martín de los Andes</v>
      </c>
    </row>
    <row r="49" spans="1:23" x14ac:dyDescent="0.2">
      <c r="A49" s="1">
        <v>45705</v>
      </c>
      <c r="B49" s="20">
        <f t="shared" si="0"/>
        <v>2025</v>
      </c>
      <c r="C49" s="20">
        <f t="shared" si="1"/>
        <v>2</v>
      </c>
      <c r="D49" t="s">
        <v>622</v>
      </c>
      <c r="E49" s="49">
        <v>1</v>
      </c>
      <c r="F49" t="s">
        <v>623</v>
      </c>
      <c r="G49" t="s">
        <v>21</v>
      </c>
      <c r="H49" t="s">
        <v>230</v>
      </c>
      <c r="I49" s="13">
        <v>36000</v>
      </c>
      <c r="J49" s="13">
        <v>38000</v>
      </c>
      <c r="K49" s="13">
        <f>IF(J49&lt;'Mapa Oficinas'!$I$21,0,IF(J49&gt;'Mapa Oficinas'!$I$20,0,1))</f>
        <v>0</v>
      </c>
      <c r="L49" t="s">
        <v>23</v>
      </c>
      <c r="M49" t="s">
        <v>23</v>
      </c>
      <c r="N49" t="s">
        <v>544</v>
      </c>
      <c r="O49" t="s">
        <v>505</v>
      </c>
      <c r="P49" t="s">
        <v>26</v>
      </c>
      <c r="Q49">
        <v>2</v>
      </c>
      <c r="R49" t="s">
        <v>84</v>
      </c>
      <c r="S49" t="s">
        <v>79</v>
      </c>
      <c r="T49" t="str">
        <f>VLOOKUP(S49,'Mapa Oficinas'!$H$7:$I$16,2,FALSE)</f>
        <v>CB</v>
      </c>
      <c r="U49" t="s">
        <v>29</v>
      </c>
      <c r="V49" t="str">
        <f>VLOOKUP($R49,'Mapa Oficinas'!$A$7:$C$46,2,FALSE)</f>
        <v>Interior - Neuquén</v>
      </c>
      <c r="W49" t="str">
        <f>VLOOKUP($R49,'Mapa Oficinas'!$A$7:$C$46,3,FALSE)</f>
        <v>Villa La Angostura</v>
      </c>
    </row>
    <row r="50" spans="1:23" x14ac:dyDescent="0.2">
      <c r="A50" s="1">
        <v>45770</v>
      </c>
      <c r="B50" s="20">
        <f t="shared" si="0"/>
        <v>2025</v>
      </c>
      <c r="C50" s="20">
        <f t="shared" si="1"/>
        <v>4</v>
      </c>
      <c r="D50" t="s">
        <v>1557</v>
      </c>
      <c r="E50" s="49">
        <v>1</v>
      </c>
      <c r="F50" t="s">
        <v>1558</v>
      </c>
      <c r="G50" t="s">
        <v>21</v>
      </c>
      <c r="H50" t="s">
        <v>70</v>
      </c>
      <c r="I50" s="13">
        <v>40000</v>
      </c>
      <c r="J50" s="13">
        <v>38000</v>
      </c>
      <c r="K50" s="13">
        <f>IF(J50&lt;'Mapa Oficinas'!$I$21,0,IF(J50&gt;'Mapa Oficinas'!$I$20,0,1))</f>
        <v>0</v>
      </c>
      <c r="L50" t="s">
        <v>23</v>
      </c>
      <c r="M50" t="s">
        <v>23</v>
      </c>
      <c r="N50" t="s">
        <v>1559</v>
      </c>
      <c r="O50" t="s">
        <v>1560</v>
      </c>
      <c r="P50" t="s">
        <v>34</v>
      </c>
      <c r="Q50">
        <v>2</v>
      </c>
      <c r="R50" t="s">
        <v>73</v>
      </c>
      <c r="S50" t="s">
        <v>79</v>
      </c>
      <c r="T50" t="str">
        <f>VLOOKUP(S50,'Mapa Oficinas'!$H$7:$I$16,2,FALSE)</f>
        <v>CB</v>
      </c>
      <c r="U50" t="s">
        <v>29</v>
      </c>
      <c r="V50" t="str">
        <f>VLOOKUP($R50,'Mapa Oficinas'!$A$7:$C$46,2,FALSE)</f>
        <v>Interior - Salta</v>
      </c>
      <c r="W50" t="str">
        <f>VLOOKUP($R50,'Mapa Oficinas'!$A$7:$C$46,3,FALSE)</f>
        <v>San Lorenzo Chico</v>
      </c>
    </row>
    <row r="51" spans="1:23" x14ac:dyDescent="0.2">
      <c r="A51" s="1">
        <v>46038</v>
      </c>
      <c r="B51" s="20">
        <f t="shared" si="0"/>
        <v>2026</v>
      </c>
      <c r="C51" s="20">
        <f t="shared" si="1"/>
        <v>1</v>
      </c>
      <c r="E51" s="49">
        <v>1</v>
      </c>
      <c r="F51" t="s">
        <v>6271</v>
      </c>
      <c r="G51" t="s">
        <v>21</v>
      </c>
      <c r="H51" t="s">
        <v>37</v>
      </c>
      <c r="I51" s="13">
        <v>38000</v>
      </c>
      <c r="J51" s="13">
        <v>38000</v>
      </c>
      <c r="K51" s="13">
        <f>IF(J51&lt;'Mapa Oficinas'!$I$21,0,IF(J51&gt;'Mapa Oficinas'!$I$20,0,1))</f>
        <v>0</v>
      </c>
      <c r="L51" t="s">
        <v>23</v>
      </c>
      <c r="M51" t="s">
        <v>23</v>
      </c>
      <c r="N51" t="s">
        <v>6272</v>
      </c>
      <c r="O51" t="s">
        <v>505</v>
      </c>
      <c r="P51" t="s">
        <v>26</v>
      </c>
      <c r="Q51">
        <v>2</v>
      </c>
      <c r="R51" t="s">
        <v>84</v>
      </c>
      <c r="S51" t="s">
        <v>79</v>
      </c>
      <c r="T51" t="str">
        <f>VLOOKUP(S51,'Mapa Oficinas'!$H$7:$I$16,2,FALSE)</f>
        <v>CB</v>
      </c>
      <c r="U51" t="s">
        <v>29</v>
      </c>
      <c r="V51" t="str">
        <f>VLOOKUP($R51,'Mapa Oficinas'!$A$7:$C$46,2,FALSE)</f>
        <v>Interior - Neuquén</v>
      </c>
      <c r="W51" t="str">
        <f>VLOOKUP($R51,'Mapa Oficinas'!$A$7:$C$46,3,FALSE)</f>
        <v>Villa La Angostura</v>
      </c>
    </row>
    <row r="52" spans="1:23" x14ac:dyDescent="0.2">
      <c r="A52" s="1">
        <v>46074</v>
      </c>
      <c r="B52" s="20">
        <f t="shared" si="0"/>
        <v>2026</v>
      </c>
      <c r="C52" s="20">
        <f t="shared" si="1"/>
        <v>2</v>
      </c>
      <c r="E52" s="49">
        <v>1</v>
      </c>
      <c r="F52" t="s">
        <v>6788</v>
      </c>
      <c r="G52" t="s">
        <v>21</v>
      </c>
      <c r="H52" t="s">
        <v>81</v>
      </c>
      <c r="I52" s="13">
        <v>38000</v>
      </c>
      <c r="J52" s="13">
        <v>38000</v>
      </c>
      <c r="K52" s="13">
        <f>IF(J52&lt;'Mapa Oficinas'!$I$21,0,IF(J52&gt;'Mapa Oficinas'!$I$20,0,1))</f>
        <v>0</v>
      </c>
      <c r="L52" t="s">
        <v>23</v>
      </c>
      <c r="M52" t="s">
        <v>23</v>
      </c>
      <c r="N52" t="s">
        <v>1621</v>
      </c>
      <c r="O52" t="s">
        <v>505</v>
      </c>
      <c r="P52" t="s">
        <v>26</v>
      </c>
      <c r="Q52">
        <v>2</v>
      </c>
      <c r="R52" t="s">
        <v>84</v>
      </c>
      <c r="S52" t="s">
        <v>79</v>
      </c>
      <c r="T52" t="str">
        <f>VLOOKUP(S52,'Mapa Oficinas'!$H$7:$I$16,2,FALSE)</f>
        <v>CB</v>
      </c>
      <c r="U52" t="s">
        <v>29</v>
      </c>
      <c r="V52" t="str">
        <f>VLOOKUP($R52,'Mapa Oficinas'!$A$7:$C$46,2,FALSE)</f>
        <v>Interior - Neuquén</v>
      </c>
      <c r="W52" t="str">
        <f>VLOOKUP($R52,'Mapa Oficinas'!$A$7:$C$46,3,FALSE)</f>
        <v>Villa La Angostura</v>
      </c>
    </row>
    <row r="53" spans="1:23" x14ac:dyDescent="0.2">
      <c r="A53" s="1">
        <v>46087</v>
      </c>
      <c r="B53" s="20">
        <f t="shared" si="0"/>
        <v>2026</v>
      </c>
      <c r="C53" s="20">
        <f t="shared" si="1"/>
        <v>3</v>
      </c>
      <c r="D53" t="s">
        <v>6986</v>
      </c>
      <c r="E53" s="49">
        <v>1</v>
      </c>
      <c r="F53" t="s">
        <v>6379</v>
      </c>
      <c r="G53" t="s">
        <v>21</v>
      </c>
      <c r="H53" t="s">
        <v>81</v>
      </c>
      <c r="I53" s="13">
        <v>40700</v>
      </c>
      <c r="J53" s="13">
        <v>38000</v>
      </c>
      <c r="K53" s="13">
        <f>IF(J53&lt;'Mapa Oficinas'!$I$21,0,IF(J53&gt;'Mapa Oficinas'!$I$20,0,1))</f>
        <v>0</v>
      </c>
      <c r="L53" t="s">
        <v>23</v>
      </c>
      <c r="M53" t="s">
        <v>23</v>
      </c>
      <c r="N53" t="s">
        <v>6170</v>
      </c>
      <c r="O53" t="s">
        <v>505</v>
      </c>
      <c r="P53" t="s">
        <v>26</v>
      </c>
      <c r="Q53">
        <v>2</v>
      </c>
      <c r="R53" t="s">
        <v>84</v>
      </c>
      <c r="S53" t="s">
        <v>79</v>
      </c>
      <c r="T53" t="str">
        <f>VLOOKUP(S53,'Mapa Oficinas'!$H$7:$I$16,2,FALSE)</f>
        <v>CB</v>
      </c>
      <c r="U53" t="s">
        <v>29</v>
      </c>
      <c r="V53" t="str">
        <f>VLOOKUP($R53,'Mapa Oficinas'!$A$7:$C$46,2,FALSE)</f>
        <v>Interior - Neuquén</v>
      </c>
      <c r="W53" t="str">
        <f>VLOOKUP($R53,'Mapa Oficinas'!$A$7:$C$46,3,FALSE)</f>
        <v>Villa La Angostura</v>
      </c>
    </row>
    <row r="54" spans="1:23" x14ac:dyDescent="0.2">
      <c r="A54" s="1">
        <v>45817</v>
      </c>
      <c r="B54" s="20">
        <f t="shared" si="0"/>
        <v>2025</v>
      </c>
      <c r="C54" s="20">
        <f t="shared" si="1"/>
        <v>6</v>
      </c>
      <c r="D54" s="17"/>
      <c r="E54" s="50">
        <v>1</v>
      </c>
      <c r="F54" s="17" t="s">
        <v>2384</v>
      </c>
      <c r="G54" s="17" t="s">
        <v>21</v>
      </c>
      <c r="H54" s="17" t="s">
        <v>37</v>
      </c>
      <c r="I54" s="18">
        <v>38000</v>
      </c>
      <c r="J54" s="18">
        <v>38000</v>
      </c>
      <c r="K54" s="13">
        <f>IF(J54&lt;'Mapa Oficinas'!$I$21,0,IF(J54&gt;'Mapa Oficinas'!$I$20,0,1))</f>
        <v>0</v>
      </c>
      <c r="L54" t="s">
        <v>23</v>
      </c>
      <c r="M54" t="s">
        <v>23</v>
      </c>
      <c r="N54" t="s">
        <v>1621</v>
      </c>
      <c r="O54" t="s">
        <v>505</v>
      </c>
      <c r="P54" t="s">
        <v>26</v>
      </c>
      <c r="Q54">
        <v>2</v>
      </c>
      <c r="R54" t="s">
        <v>84</v>
      </c>
      <c r="S54" t="s">
        <v>79</v>
      </c>
      <c r="T54" t="str">
        <f>VLOOKUP(S54,'Mapa Oficinas'!$H$7:$I$16,2,FALSE)</f>
        <v>CB</v>
      </c>
      <c r="U54" t="s">
        <v>29</v>
      </c>
      <c r="V54" t="str">
        <f>VLOOKUP($R54,'Mapa Oficinas'!$A$7:$C$46,2,FALSE)</f>
        <v>Interior - Neuquén</v>
      </c>
      <c r="W54" t="str">
        <f>VLOOKUP($R54,'Mapa Oficinas'!$A$7:$C$46,3,FALSE)</f>
        <v>Villa La Angostura</v>
      </c>
    </row>
    <row r="55" spans="1:23" x14ac:dyDescent="0.2">
      <c r="A55" s="1">
        <v>45827</v>
      </c>
      <c r="B55" s="20">
        <f t="shared" si="0"/>
        <v>2025</v>
      </c>
      <c r="C55" s="20">
        <f t="shared" si="1"/>
        <v>6</v>
      </c>
      <c r="D55" t="s">
        <v>2559</v>
      </c>
      <c r="E55" s="49">
        <v>3</v>
      </c>
      <c r="F55" t="s">
        <v>2560</v>
      </c>
      <c r="G55" t="s">
        <v>21</v>
      </c>
      <c r="H55" t="s">
        <v>76</v>
      </c>
      <c r="I55" s="13">
        <v>48000</v>
      </c>
      <c r="J55" s="13">
        <v>38000</v>
      </c>
      <c r="K55" s="13">
        <f>IF(J55&lt;'Mapa Oficinas'!$I$21,0,IF(J55&gt;'Mapa Oficinas'!$I$20,0,1))</f>
        <v>0</v>
      </c>
      <c r="L55" t="s">
        <v>23</v>
      </c>
      <c r="M55" t="s">
        <v>23</v>
      </c>
      <c r="N55" t="s">
        <v>2561</v>
      </c>
      <c r="O55" t="s">
        <v>2562</v>
      </c>
      <c r="P55" t="s">
        <v>26</v>
      </c>
      <c r="Q55">
        <v>2</v>
      </c>
      <c r="R55" t="s">
        <v>121</v>
      </c>
      <c r="S55" t="s">
        <v>241</v>
      </c>
      <c r="T55" t="str">
        <f>VLOOKUP(S55,'Mapa Oficinas'!$H$7:$I$16,2,FALSE)</f>
        <v>CB</v>
      </c>
      <c r="U55" t="s">
        <v>29</v>
      </c>
      <c r="V55" t="str">
        <f>VLOOKUP($R55,'Mapa Oficinas'!$A$7:$C$46,2,FALSE)</f>
        <v>Interior - Río Negro</v>
      </c>
      <c r="W55" t="str">
        <f>VLOOKUP($R55,'Mapa Oficinas'!$A$7:$C$46,3,FALSE)</f>
        <v>Bariloche</v>
      </c>
    </row>
    <row r="56" spans="1:23" x14ac:dyDescent="0.2">
      <c r="A56" s="1">
        <v>45791</v>
      </c>
      <c r="B56" s="20">
        <f t="shared" si="0"/>
        <v>2025</v>
      </c>
      <c r="C56" s="20">
        <f t="shared" si="1"/>
        <v>5</v>
      </c>
      <c r="D56" t="s">
        <v>1914</v>
      </c>
      <c r="E56" s="49">
        <v>1</v>
      </c>
      <c r="F56" t="s">
        <v>1915</v>
      </c>
      <c r="G56" t="s">
        <v>21</v>
      </c>
      <c r="H56" t="s">
        <v>37</v>
      </c>
      <c r="I56" s="13">
        <v>39000</v>
      </c>
      <c r="J56" s="13">
        <v>38000</v>
      </c>
      <c r="K56" s="13">
        <f>IF(J56&lt;'Mapa Oficinas'!$I$21,0,IF(J56&gt;'Mapa Oficinas'!$I$20,0,1))</f>
        <v>0</v>
      </c>
      <c r="L56" t="s">
        <v>23</v>
      </c>
      <c r="M56" t="s">
        <v>23</v>
      </c>
      <c r="N56" t="s">
        <v>1916</v>
      </c>
      <c r="O56" t="s">
        <v>992</v>
      </c>
      <c r="P56" t="s">
        <v>45</v>
      </c>
      <c r="Q56">
        <v>2</v>
      </c>
      <c r="R56" t="s">
        <v>67</v>
      </c>
      <c r="S56" t="s">
        <v>28</v>
      </c>
      <c r="T56" t="str">
        <f>VLOOKUP(S56,'Mapa Oficinas'!$H$7:$I$16,2,FALSE)</f>
        <v>CB</v>
      </c>
      <c r="U56" t="s">
        <v>29</v>
      </c>
      <c r="V56" t="str">
        <f>VLOOKUP($R56,'Mapa Oficinas'!$A$7:$C$46,2,FALSE)</f>
        <v>CABA</v>
      </c>
      <c r="W56" t="str">
        <f>VLOOKUP($R56,'Mapa Oficinas'!$A$7:$C$46,3,FALSE)</f>
        <v>Barrio Parque</v>
      </c>
    </row>
    <row r="57" spans="1:23" x14ac:dyDescent="0.2">
      <c r="A57" s="1">
        <v>45803</v>
      </c>
      <c r="B57" s="20">
        <f t="shared" si="0"/>
        <v>2025</v>
      </c>
      <c r="C57" s="20">
        <f t="shared" si="1"/>
        <v>5</v>
      </c>
      <c r="D57" t="s">
        <v>2128</v>
      </c>
      <c r="E57" s="49">
        <v>1</v>
      </c>
      <c r="F57" t="s">
        <v>2129</v>
      </c>
      <c r="G57" t="s">
        <v>21</v>
      </c>
      <c r="H57" t="s">
        <v>362</v>
      </c>
      <c r="I57" s="13">
        <v>38000</v>
      </c>
      <c r="J57" s="13">
        <v>38000</v>
      </c>
      <c r="K57" s="13">
        <f>IF(J57&lt;'Mapa Oficinas'!$I$21,0,IF(J57&gt;'Mapa Oficinas'!$I$20,0,1))</f>
        <v>0</v>
      </c>
      <c r="L57" t="s">
        <v>23</v>
      </c>
      <c r="M57" t="s">
        <v>23</v>
      </c>
      <c r="N57" t="s">
        <v>2130</v>
      </c>
      <c r="O57" t="s">
        <v>129</v>
      </c>
      <c r="P57" t="s">
        <v>26</v>
      </c>
      <c r="Q57">
        <v>2</v>
      </c>
      <c r="R57" t="s">
        <v>130</v>
      </c>
      <c r="S57" t="s">
        <v>28</v>
      </c>
      <c r="T57" t="str">
        <f>VLOOKUP(S57,'Mapa Oficinas'!$H$7:$I$16,2,FALSE)</f>
        <v>CB</v>
      </c>
      <c r="U57" t="s">
        <v>29</v>
      </c>
      <c r="V57" t="str">
        <f>VLOOKUP($R57,'Mapa Oficinas'!$A$7:$C$46,2,FALSE)</f>
        <v>Interior - Neuquén</v>
      </c>
      <c r="W57" t="str">
        <f>VLOOKUP($R57,'Mapa Oficinas'!$A$7:$C$46,3,FALSE)</f>
        <v>San Martín de los Andes</v>
      </c>
    </row>
    <row r="58" spans="1:23" x14ac:dyDescent="0.2">
      <c r="A58" s="1">
        <v>45869</v>
      </c>
      <c r="B58" s="20">
        <f t="shared" si="0"/>
        <v>2025</v>
      </c>
      <c r="C58" s="20">
        <f t="shared" si="1"/>
        <v>7</v>
      </c>
      <c r="D58" t="s">
        <v>3330</v>
      </c>
      <c r="E58" s="49">
        <v>1</v>
      </c>
      <c r="F58" t="s">
        <v>3331</v>
      </c>
      <c r="G58" t="s">
        <v>21</v>
      </c>
      <c r="H58" t="s">
        <v>90</v>
      </c>
      <c r="I58" s="13">
        <v>40000</v>
      </c>
      <c r="J58" s="13">
        <v>38000</v>
      </c>
      <c r="K58" s="13">
        <f>IF(J58&lt;'Mapa Oficinas'!$I$21,0,IF(J58&gt;'Mapa Oficinas'!$I$20,0,1))</f>
        <v>0</v>
      </c>
      <c r="L58" t="s">
        <v>23</v>
      </c>
      <c r="M58" t="s">
        <v>23</v>
      </c>
      <c r="N58" t="s">
        <v>3332</v>
      </c>
      <c r="O58" t="s">
        <v>338</v>
      </c>
      <c r="P58" t="s">
        <v>45</v>
      </c>
      <c r="Q58">
        <v>2</v>
      </c>
      <c r="R58" t="s">
        <v>62</v>
      </c>
      <c r="S58" t="s">
        <v>28</v>
      </c>
      <c r="T58" t="str">
        <f>VLOOKUP(S58,'Mapa Oficinas'!$H$7:$I$16,2,FALSE)</f>
        <v>CB</v>
      </c>
      <c r="U58" t="s">
        <v>29</v>
      </c>
      <c r="V58" t="str">
        <f>VLOOKUP($R58,'Mapa Oficinas'!$A$7:$C$46,2,FALSE)</f>
        <v>CABA</v>
      </c>
      <c r="W58" t="str">
        <f>VLOOKUP($R58,'Mapa Oficinas'!$A$7:$C$46,3,FALSE)</f>
        <v>Villa Urquiza</v>
      </c>
    </row>
    <row r="59" spans="1:23" x14ac:dyDescent="0.2">
      <c r="A59" s="1">
        <v>45896</v>
      </c>
      <c r="B59" s="20">
        <f t="shared" si="0"/>
        <v>2025</v>
      </c>
      <c r="C59" s="20">
        <f t="shared" si="1"/>
        <v>8</v>
      </c>
      <c r="D59" t="s">
        <v>3790</v>
      </c>
      <c r="E59" s="49">
        <v>1</v>
      </c>
      <c r="F59" t="s">
        <v>3791</v>
      </c>
      <c r="G59" t="s">
        <v>21</v>
      </c>
      <c r="H59" t="s">
        <v>81</v>
      </c>
      <c r="I59" s="13">
        <v>40000</v>
      </c>
      <c r="J59" s="13">
        <v>38000</v>
      </c>
      <c r="K59" s="13">
        <f>IF(J59&lt;'Mapa Oficinas'!$I$21,0,IF(J59&gt;'Mapa Oficinas'!$I$20,0,1))</f>
        <v>0</v>
      </c>
      <c r="L59" t="s">
        <v>23</v>
      </c>
      <c r="M59" t="s">
        <v>23</v>
      </c>
      <c r="N59" t="s">
        <v>3792</v>
      </c>
      <c r="O59" t="s">
        <v>3793</v>
      </c>
      <c r="P59" t="s">
        <v>34</v>
      </c>
      <c r="Q59">
        <v>2</v>
      </c>
      <c r="R59" t="s">
        <v>482</v>
      </c>
      <c r="S59" t="s">
        <v>28</v>
      </c>
      <c r="T59" t="str">
        <f>VLOOKUP(S59,'Mapa Oficinas'!$H$7:$I$16,2,FALSE)</f>
        <v>CB</v>
      </c>
      <c r="U59" t="s">
        <v>29</v>
      </c>
      <c r="V59" t="str">
        <f>VLOOKUP($R59,'Mapa Oficinas'!$A$7:$C$46,2,FALSE)</f>
        <v>Interior - Jujuy</v>
      </c>
      <c r="W59" t="str">
        <f>VLOOKUP($R59,'Mapa Oficinas'!$A$7:$C$46,3,FALSE)</f>
        <v>Capital Jujuy</v>
      </c>
    </row>
    <row r="60" spans="1:23" x14ac:dyDescent="0.2">
      <c r="A60" s="1">
        <v>45947</v>
      </c>
      <c r="B60" s="20">
        <f t="shared" si="0"/>
        <v>2025</v>
      </c>
      <c r="C60" s="20">
        <f t="shared" si="1"/>
        <v>10</v>
      </c>
      <c r="D60" t="s">
        <v>4748</v>
      </c>
      <c r="E60" s="49">
        <v>1</v>
      </c>
      <c r="F60" t="s">
        <v>4748</v>
      </c>
      <c r="G60" t="s">
        <v>21</v>
      </c>
      <c r="H60" t="s">
        <v>90</v>
      </c>
      <c r="I60" s="13">
        <v>38000</v>
      </c>
      <c r="J60" s="13">
        <v>38000</v>
      </c>
      <c r="K60" s="13">
        <f>IF(J60&lt;'Mapa Oficinas'!$I$21,0,IF(J60&gt;'Mapa Oficinas'!$I$20,0,1))</f>
        <v>0</v>
      </c>
      <c r="L60" t="s">
        <v>23</v>
      </c>
      <c r="M60" t="s">
        <v>23</v>
      </c>
      <c r="N60" t="s">
        <v>4748</v>
      </c>
      <c r="O60" t="s">
        <v>231</v>
      </c>
      <c r="P60" t="s">
        <v>45</v>
      </c>
      <c r="Q60">
        <v>2</v>
      </c>
      <c r="R60" t="s">
        <v>62</v>
      </c>
      <c r="S60" t="s">
        <v>28</v>
      </c>
      <c r="T60" t="str">
        <f>VLOOKUP(S60,'Mapa Oficinas'!$H$7:$I$16,2,FALSE)</f>
        <v>CB</v>
      </c>
      <c r="U60" t="s">
        <v>29</v>
      </c>
      <c r="V60" t="str">
        <f>VLOOKUP($R60,'Mapa Oficinas'!$A$7:$C$46,2,FALSE)</f>
        <v>CABA</v>
      </c>
      <c r="W60" t="str">
        <f>VLOOKUP($R60,'Mapa Oficinas'!$A$7:$C$46,3,FALSE)</f>
        <v>Villa Urquiza</v>
      </c>
    </row>
    <row r="61" spans="1:23" x14ac:dyDescent="0.2">
      <c r="A61" s="1">
        <v>45954</v>
      </c>
      <c r="B61" s="20">
        <f t="shared" si="0"/>
        <v>2025</v>
      </c>
      <c r="C61" s="20">
        <f t="shared" si="1"/>
        <v>10</v>
      </c>
      <c r="D61" t="s">
        <v>4883</v>
      </c>
      <c r="E61" s="49">
        <v>1</v>
      </c>
      <c r="F61" t="s">
        <v>4883</v>
      </c>
      <c r="G61" t="s">
        <v>21</v>
      </c>
      <c r="H61" t="s">
        <v>22</v>
      </c>
      <c r="I61" s="13">
        <v>38000</v>
      </c>
      <c r="J61" s="13">
        <v>38000</v>
      </c>
      <c r="K61" s="13">
        <f>IF(J61&lt;'Mapa Oficinas'!$I$21,0,IF(J61&gt;'Mapa Oficinas'!$I$20,0,1))</f>
        <v>0</v>
      </c>
      <c r="L61" t="s">
        <v>23</v>
      </c>
      <c r="M61" t="s">
        <v>23</v>
      </c>
      <c r="N61" t="s">
        <v>4883</v>
      </c>
      <c r="O61" t="s">
        <v>4884</v>
      </c>
      <c r="P61" t="s">
        <v>45</v>
      </c>
      <c r="Q61">
        <v>2</v>
      </c>
      <c r="R61" t="s">
        <v>62</v>
      </c>
      <c r="S61" t="s">
        <v>28</v>
      </c>
      <c r="T61" t="str">
        <f>VLOOKUP(S61,'Mapa Oficinas'!$H$7:$I$16,2,FALSE)</f>
        <v>CB</v>
      </c>
      <c r="U61" t="s">
        <v>29</v>
      </c>
      <c r="V61" t="str">
        <f>VLOOKUP($R61,'Mapa Oficinas'!$A$7:$C$46,2,FALSE)</f>
        <v>CABA</v>
      </c>
      <c r="W61" t="str">
        <f>VLOOKUP($R61,'Mapa Oficinas'!$A$7:$C$46,3,FALSE)</f>
        <v>Villa Urquiza</v>
      </c>
    </row>
    <row r="62" spans="1:23" x14ac:dyDescent="0.2">
      <c r="A62" s="1">
        <v>46029</v>
      </c>
      <c r="B62" s="20">
        <f t="shared" si="0"/>
        <v>2026</v>
      </c>
      <c r="C62" s="20">
        <f t="shared" si="1"/>
        <v>1</v>
      </c>
      <c r="D62" t="s">
        <v>6111</v>
      </c>
      <c r="E62" s="49">
        <v>1</v>
      </c>
      <c r="F62" t="s">
        <v>6112</v>
      </c>
      <c r="G62" t="s">
        <v>21</v>
      </c>
      <c r="H62" t="s">
        <v>37</v>
      </c>
      <c r="I62" s="13">
        <v>40500</v>
      </c>
      <c r="J62" s="13">
        <v>38000</v>
      </c>
      <c r="K62" s="13">
        <f>IF(J62&lt;'Mapa Oficinas'!$I$21,0,IF(J62&gt;'Mapa Oficinas'!$I$20,0,1))</f>
        <v>0</v>
      </c>
      <c r="L62" t="s">
        <v>23</v>
      </c>
      <c r="M62" t="s">
        <v>23</v>
      </c>
      <c r="N62" t="s">
        <v>6113</v>
      </c>
      <c r="O62" t="s">
        <v>2293</v>
      </c>
      <c r="P62" t="s">
        <v>45</v>
      </c>
      <c r="Q62">
        <v>2</v>
      </c>
      <c r="R62" t="s">
        <v>135</v>
      </c>
      <c r="S62" t="s">
        <v>28</v>
      </c>
      <c r="T62" t="str">
        <f>VLOOKUP(S62,'Mapa Oficinas'!$H$7:$I$16,2,FALSE)</f>
        <v>CB</v>
      </c>
      <c r="U62" t="s">
        <v>29</v>
      </c>
      <c r="V62" t="str">
        <f>VLOOKUP($R62,'Mapa Oficinas'!$A$7:$C$46,2,FALSE)</f>
        <v>CABA</v>
      </c>
      <c r="W62" t="str">
        <f>VLOOKUP($R62,'Mapa Oficinas'!$A$7:$C$46,3,FALSE)</f>
        <v>Recoleta</v>
      </c>
    </row>
    <row r="63" spans="1:23" x14ac:dyDescent="0.2">
      <c r="A63" s="1">
        <v>46045</v>
      </c>
      <c r="B63" s="20">
        <f t="shared" si="0"/>
        <v>2026</v>
      </c>
      <c r="C63" s="20">
        <f t="shared" si="1"/>
        <v>1</v>
      </c>
      <c r="D63" t="s">
        <v>6378</v>
      </c>
      <c r="E63" s="49">
        <v>1</v>
      </c>
      <c r="F63" t="s">
        <v>6379</v>
      </c>
      <c r="G63" t="s">
        <v>21</v>
      </c>
      <c r="H63" t="s">
        <v>76</v>
      </c>
      <c r="I63" s="13">
        <v>42735</v>
      </c>
      <c r="J63" s="13">
        <v>38000</v>
      </c>
      <c r="K63" s="13">
        <f>IF(J63&lt;'Mapa Oficinas'!$I$21,0,IF(J63&gt;'Mapa Oficinas'!$I$20,0,1))</f>
        <v>0</v>
      </c>
      <c r="L63" t="s">
        <v>23</v>
      </c>
      <c r="M63" t="s">
        <v>23</v>
      </c>
      <c r="N63" t="s">
        <v>6170</v>
      </c>
      <c r="O63" t="s">
        <v>505</v>
      </c>
      <c r="P63" t="s">
        <v>26</v>
      </c>
      <c r="Q63">
        <v>2</v>
      </c>
      <c r="R63" t="s">
        <v>84</v>
      </c>
      <c r="S63" t="s">
        <v>28</v>
      </c>
      <c r="T63" t="str">
        <f>VLOOKUP(S63,'Mapa Oficinas'!$H$7:$I$16,2,FALSE)</f>
        <v>CB</v>
      </c>
      <c r="U63" t="s">
        <v>29</v>
      </c>
      <c r="V63" t="str">
        <f>VLOOKUP($R63,'Mapa Oficinas'!$A$7:$C$46,2,FALSE)</f>
        <v>Interior - Neuquén</v>
      </c>
      <c r="W63" t="str">
        <f>VLOOKUP($R63,'Mapa Oficinas'!$A$7:$C$46,3,FALSE)</f>
        <v>Villa La Angostura</v>
      </c>
    </row>
    <row r="64" spans="1:23" x14ac:dyDescent="0.2">
      <c r="A64" s="1">
        <v>46049</v>
      </c>
      <c r="B64" s="20">
        <f t="shared" si="0"/>
        <v>2026</v>
      </c>
      <c r="C64" s="20">
        <f t="shared" si="1"/>
        <v>1</v>
      </c>
      <c r="D64" t="s">
        <v>6406</v>
      </c>
      <c r="E64" s="49">
        <v>1</v>
      </c>
      <c r="F64" t="s">
        <v>6379</v>
      </c>
      <c r="G64" t="s">
        <v>21</v>
      </c>
      <c r="H64" t="s">
        <v>100</v>
      </c>
      <c r="I64" s="13">
        <v>40700</v>
      </c>
      <c r="J64" s="13">
        <v>38000</v>
      </c>
      <c r="K64" s="13">
        <f>IF(J64&lt;'Mapa Oficinas'!$I$21,0,IF(J64&gt;'Mapa Oficinas'!$I$20,0,1))</f>
        <v>0</v>
      </c>
      <c r="L64" t="s">
        <v>23</v>
      </c>
      <c r="M64" t="s">
        <v>23</v>
      </c>
      <c r="N64" t="s">
        <v>6170</v>
      </c>
      <c r="O64" t="s">
        <v>505</v>
      </c>
      <c r="P64" t="s">
        <v>26</v>
      </c>
      <c r="Q64">
        <v>2</v>
      </c>
      <c r="R64" t="s">
        <v>84</v>
      </c>
      <c r="S64" t="s">
        <v>28</v>
      </c>
      <c r="T64" t="str">
        <f>VLOOKUP(S64,'Mapa Oficinas'!$H$7:$I$16,2,FALSE)</f>
        <v>CB</v>
      </c>
      <c r="U64" t="s">
        <v>29</v>
      </c>
      <c r="V64" t="str">
        <f>VLOOKUP($R64,'Mapa Oficinas'!$A$7:$C$46,2,FALSE)</f>
        <v>Interior - Neuquén</v>
      </c>
      <c r="W64" t="str">
        <f>VLOOKUP($R64,'Mapa Oficinas'!$A$7:$C$46,3,FALSE)</f>
        <v>Villa La Angostura</v>
      </c>
    </row>
    <row r="65" spans="1:23" x14ac:dyDescent="0.2">
      <c r="A65" s="1">
        <v>45792</v>
      </c>
      <c r="B65" s="20">
        <f t="shared" si="0"/>
        <v>2025</v>
      </c>
      <c r="C65" s="20">
        <f t="shared" si="1"/>
        <v>5</v>
      </c>
      <c r="E65" s="49">
        <v>1</v>
      </c>
      <c r="F65" t="s">
        <v>1949</v>
      </c>
      <c r="G65" t="s">
        <v>21</v>
      </c>
      <c r="H65" t="s">
        <v>37</v>
      </c>
      <c r="I65" s="13">
        <v>38500</v>
      </c>
      <c r="J65" s="13">
        <v>38500</v>
      </c>
      <c r="K65" s="13">
        <f>IF(J65&lt;'Mapa Oficinas'!$I$21,0,IF(J65&gt;'Mapa Oficinas'!$I$20,0,1))</f>
        <v>0</v>
      </c>
      <c r="L65" t="s">
        <v>23</v>
      </c>
      <c r="M65" t="s">
        <v>23</v>
      </c>
      <c r="N65" t="s">
        <v>1950</v>
      </c>
      <c r="O65" t="s">
        <v>66</v>
      </c>
      <c r="P65" t="s">
        <v>45</v>
      </c>
      <c r="Q65">
        <v>1</v>
      </c>
      <c r="R65" t="s">
        <v>135</v>
      </c>
      <c r="S65" t="s">
        <v>47</v>
      </c>
      <c r="T65" t="str">
        <f>VLOOKUP(S65,'Mapa Oficinas'!$H$7:$I$16,2,FALSE)</f>
        <v>Otra Red Búsqueda</v>
      </c>
      <c r="U65" t="s">
        <v>29</v>
      </c>
      <c r="V65" t="str">
        <f>VLOOKUP($R65,'Mapa Oficinas'!$A$7:$C$46,2,FALSE)</f>
        <v>CABA</v>
      </c>
      <c r="W65" t="str">
        <f>VLOOKUP($R65,'Mapa Oficinas'!$A$7:$C$46,3,FALSE)</f>
        <v>Recoleta</v>
      </c>
    </row>
    <row r="66" spans="1:23" x14ac:dyDescent="0.2">
      <c r="A66" s="1">
        <v>45821</v>
      </c>
      <c r="B66" s="20">
        <f t="shared" ref="B66:B129" si="2">YEAR($A66)</f>
        <v>2025</v>
      </c>
      <c r="C66" s="20">
        <f t="shared" ref="C66:C129" si="3">MONTH($A66)</f>
        <v>6</v>
      </c>
      <c r="E66" s="49">
        <v>0</v>
      </c>
      <c r="F66" t="s">
        <v>2480</v>
      </c>
      <c r="G66" t="s">
        <v>21</v>
      </c>
      <c r="H66" t="s">
        <v>119</v>
      </c>
      <c r="I66" s="13">
        <v>38735</v>
      </c>
      <c r="J66" s="13">
        <v>38735</v>
      </c>
      <c r="K66" s="13">
        <f>IF(J66&lt;'Mapa Oficinas'!$I$21,0,IF(J66&gt;'Mapa Oficinas'!$I$20,0,1))</f>
        <v>0</v>
      </c>
      <c r="L66" t="s">
        <v>23</v>
      </c>
      <c r="M66" t="s">
        <v>23</v>
      </c>
      <c r="N66" t="s">
        <v>1621</v>
      </c>
      <c r="O66" t="s">
        <v>505</v>
      </c>
      <c r="P66" t="s">
        <v>26</v>
      </c>
      <c r="Q66">
        <v>2</v>
      </c>
      <c r="R66" t="s">
        <v>84</v>
      </c>
      <c r="S66" t="s">
        <v>241</v>
      </c>
      <c r="T66" t="str">
        <f>VLOOKUP(S66,'Mapa Oficinas'!$H$7:$I$16,2,FALSE)</f>
        <v>CB</v>
      </c>
      <c r="U66" t="s">
        <v>29</v>
      </c>
      <c r="V66" t="str">
        <f>VLOOKUP($R66,'Mapa Oficinas'!$A$7:$C$46,2,FALSE)</f>
        <v>Interior - Neuquén</v>
      </c>
      <c r="W66" t="str">
        <f>VLOOKUP($R66,'Mapa Oficinas'!$A$7:$C$46,3,FALSE)</f>
        <v>Villa La Angostura</v>
      </c>
    </row>
    <row r="67" spans="1:23" x14ac:dyDescent="0.2">
      <c r="A67" s="1">
        <v>46020</v>
      </c>
      <c r="B67" s="20">
        <f t="shared" si="2"/>
        <v>2025</v>
      </c>
      <c r="C67" s="20">
        <f t="shared" si="3"/>
        <v>12</v>
      </c>
      <c r="D67" t="s">
        <v>6044</v>
      </c>
      <c r="E67" s="49">
        <v>1</v>
      </c>
      <c r="F67" t="s">
        <v>6045</v>
      </c>
      <c r="G67" t="s">
        <v>21</v>
      </c>
      <c r="H67" t="s">
        <v>76</v>
      </c>
      <c r="I67" s="13">
        <v>45000</v>
      </c>
      <c r="J67" s="13">
        <v>39000</v>
      </c>
      <c r="K67" s="13">
        <f>IF(J67&lt;'Mapa Oficinas'!$I$21,0,IF(J67&gt;'Mapa Oficinas'!$I$20,0,1))</f>
        <v>0</v>
      </c>
      <c r="L67" t="s">
        <v>23</v>
      </c>
      <c r="M67" t="s">
        <v>23</v>
      </c>
      <c r="N67" t="s">
        <v>6046</v>
      </c>
      <c r="O67" t="s">
        <v>6047</v>
      </c>
      <c r="P67" t="s">
        <v>45</v>
      </c>
      <c r="Q67">
        <v>1</v>
      </c>
      <c r="R67" t="s">
        <v>167</v>
      </c>
      <c r="S67" t="s">
        <v>152</v>
      </c>
      <c r="T67" t="str">
        <f>VLOOKUP(S67,'Mapa Oficinas'!$H$7:$I$16,2,FALSE)</f>
        <v>Otra Red Captación</v>
      </c>
      <c r="U67" t="s">
        <v>29</v>
      </c>
      <c r="V67" t="str">
        <f>VLOOKUP($R67,'Mapa Oficinas'!$A$7:$C$46,2,FALSE)</f>
        <v>Interior - Santa Fe</v>
      </c>
      <c r="W67" t="str">
        <f>VLOOKUP($R67,'Mapa Oficinas'!$A$7:$C$46,3,FALSE)</f>
        <v>Capital Santa Fe</v>
      </c>
    </row>
    <row r="68" spans="1:23" x14ac:dyDescent="0.2">
      <c r="A68" s="1">
        <v>45776</v>
      </c>
      <c r="B68" s="20">
        <f t="shared" si="2"/>
        <v>2025</v>
      </c>
      <c r="C68" s="20">
        <f t="shared" si="3"/>
        <v>4</v>
      </c>
      <c r="E68" s="49">
        <v>0</v>
      </c>
      <c r="F68" t="s">
        <v>1670</v>
      </c>
      <c r="G68" t="s">
        <v>21</v>
      </c>
      <c r="H68" t="s">
        <v>81</v>
      </c>
      <c r="I68" s="13">
        <v>39000</v>
      </c>
      <c r="J68" s="13">
        <v>39000</v>
      </c>
      <c r="K68" s="13">
        <f>IF(J68&lt;'Mapa Oficinas'!$I$21,0,IF(J68&gt;'Mapa Oficinas'!$I$20,0,1))</f>
        <v>0</v>
      </c>
      <c r="L68" t="s">
        <v>23</v>
      </c>
      <c r="M68" t="s">
        <v>23</v>
      </c>
      <c r="N68" t="s">
        <v>1621</v>
      </c>
      <c r="O68" t="s">
        <v>545</v>
      </c>
      <c r="P68" t="s">
        <v>26</v>
      </c>
      <c r="Q68">
        <v>2</v>
      </c>
      <c r="R68" t="s">
        <v>84</v>
      </c>
      <c r="S68" t="s">
        <v>79</v>
      </c>
      <c r="T68" t="str">
        <f>VLOOKUP(S68,'Mapa Oficinas'!$H$7:$I$16,2,FALSE)</f>
        <v>CB</v>
      </c>
      <c r="U68" t="s">
        <v>29</v>
      </c>
      <c r="V68" t="str">
        <f>VLOOKUP($R68,'Mapa Oficinas'!$A$7:$C$46,2,FALSE)</f>
        <v>Interior - Neuquén</v>
      </c>
      <c r="W68" t="str">
        <f>VLOOKUP($R68,'Mapa Oficinas'!$A$7:$C$46,3,FALSE)</f>
        <v>Villa La Angostura</v>
      </c>
    </row>
    <row r="69" spans="1:23" x14ac:dyDescent="0.2">
      <c r="A69" s="1">
        <v>45734</v>
      </c>
      <c r="B69" s="20">
        <f t="shared" si="2"/>
        <v>2025</v>
      </c>
      <c r="C69" s="20">
        <f t="shared" si="3"/>
        <v>3</v>
      </c>
      <c r="D69" t="s">
        <v>989</v>
      </c>
      <c r="E69" s="49">
        <v>1</v>
      </c>
      <c r="F69" t="s">
        <v>990</v>
      </c>
      <c r="G69" t="s">
        <v>21</v>
      </c>
      <c r="H69" t="s">
        <v>90</v>
      </c>
      <c r="I69" s="13">
        <v>39500</v>
      </c>
      <c r="J69" s="13">
        <v>39000</v>
      </c>
      <c r="K69" s="13">
        <f>IF(J69&lt;'Mapa Oficinas'!$I$21,0,IF(J69&gt;'Mapa Oficinas'!$I$20,0,1))</f>
        <v>0</v>
      </c>
      <c r="L69" t="s">
        <v>23</v>
      </c>
      <c r="M69" t="s">
        <v>23</v>
      </c>
      <c r="N69" t="s">
        <v>991</v>
      </c>
      <c r="O69" t="s">
        <v>992</v>
      </c>
      <c r="P69" t="s">
        <v>45</v>
      </c>
      <c r="Q69">
        <v>2</v>
      </c>
      <c r="R69" t="s">
        <v>372</v>
      </c>
      <c r="S69" t="s">
        <v>200</v>
      </c>
      <c r="T69" t="str">
        <f>VLOOKUP(S69,'Mapa Oficinas'!$H$7:$I$16,2,FALSE)</f>
        <v>Otra Red Captación</v>
      </c>
      <c r="U69" t="s">
        <v>29</v>
      </c>
      <c r="V69" t="str">
        <f>VLOOKUP($R69,'Mapa Oficinas'!$A$7:$C$46,2,FALSE)</f>
        <v>CABA</v>
      </c>
      <c r="W69" t="str">
        <f>VLOOKUP($R69,'Mapa Oficinas'!$A$7:$C$46,3,FALSE)</f>
        <v>Caballito</v>
      </c>
    </row>
    <row r="70" spans="1:23" x14ac:dyDescent="0.2">
      <c r="A70" s="1">
        <v>45785</v>
      </c>
      <c r="B70" s="20">
        <f t="shared" si="2"/>
        <v>2025</v>
      </c>
      <c r="C70" s="20">
        <f t="shared" si="3"/>
        <v>5</v>
      </c>
      <c r="D70" t="s">
        <v>1819</v>
      </c>
      <c r="E70" s="49">
        <v>1</v>
      </c>
      <c r="F70" t="s">
        <v>1820</v>
      </c>
      <c r="G70" t="s">
        <v>21</v>
      </c>
      <c r="H70" t="s">
        <v>76</v>
      </c>
      <c r="I70" s="13">
        <v>45000</v>
      </c>
      <c r="J70" s="13">
        <v>39000</v>
      </c>
      <c r="K70" s="13">
        <f>IF(J70&lt;'Mapa Oficinas'!$I$21,0,IF(J70&gt;'Mapa Oficinas'!$I$20,0,1))</f>
        <v>0</v>
      </c>
      <c r="L70" t="s">
        <v>23</v>
      </c>
      <c r="M70" t="s">
        <v>23</v>
      </c>
      <c r="N70" t="s">
        <v>1821</v>
      </c>
      <c r="O70" t="s">
        <v>403</v>
      </c>
      <c r="P70" t="s">
        <v>45</v>
      </c>
      <c r="Q70">
        <v>2</v>
      </c>
      <c r="R70" t="s">
        <v>121</v>
      </c>
      <c r="S70" t="s">
        <v>28</v>
      </c>
      <c r="T70" t="str">
        <f>VLOOKUP(S70,'Mapa Oficinas'!$H$7:$I$16,2,FALSE)</f>
        <v>CB</v>
      </c>
      <c r="U70" t="s">
        <v>29</v>
      </c>
      <c r="V70" t="str">
        <f>VLOOKUP($R70,'Mapa Oficinas'!$A$7:$C$46,2,FALSE)</f>
        <v>Interior - Río Negro</v>
      </c>
      <c r="W70" t="str">
        <f>VLOOKUP($R70,'Mapa Oficinas'!$A$7:$C$46,3,FALSE)</f>
        <v>Bariloche</v>
      </c>
    </row>
    <row r="71" spans="1:23" x14ac:dyDescent="0.2">
      <c r="A71" s="1">
        <v>45868</v>
      </c>
      <c r="B71" s="20">
        <f t="shared" si="2"/>
        <v>2025</v>
      </c>
      <c r="C71" s="20">
        <f t="shared" si="3"/>
        <v>7</v>
      </c>
      <c r="D71" t="s">
        <v>3301</v>
      </c>
      <c r="E71" s="49">
        <v>1</v>
      </c>
      <c r="F71" t="s">
        <v>3302</v>
      </c>
      <c r="G71" t="s">
        <v>21</v>
      </c>
      <c r="H71" t="s">
        <v>70</v>
      </c>
      <c r="I71" s="13">
        <v>40000</v>
      </c>
      <c r="J71" s="13">
        <v>39000</v>
      </c>
      <c r="K71" s="13">
        <f>IF(J71&lt;'Mapa Oficinas'!$I$21,0,IF(J71&gt;'Mapa Oficinas'!$I$20,0,1))</f>
        <v>0</v>
      </c>
      <c r="L71" t="s">
        <v>23</v>
      </c>
      <c r="M71" t="s">
        <v>23</v>
      </c>
      <c r="N71" t="s">
        <v>3303</v>
      </c>
      <c r="O71" t="s">
        <v>3304</v>
      </c>
      <c r="P71" t="s">
        <v>45</v>
      </c>
      <c r="Q71">
        <v>2</v>
      </c>
      <c r="R71" t="s">
        <v>73</v>
      </c>
      <c r="S71" t="s">
        <v>28</v>
      </c>
      <c r="T71" t="str">
        <f>VLOOKUP(S71,'Mapa Oficinas'!$H$7:$I$16,2,FALSE)</f>
        <v>CB</v>
      </c>
      <c r="U71" t="s">
        <v>29</v>
      </c>
      <c r="V71" t="str">
        <f>VLOOKUP($R71,'Mapa Oficinas'!$A$7:$C$46,2,FALSE)</f>
        <v>Interior - Salta</v>
      </c>
      <c r="W71" t="str">
        <f>VLOOKUP($R71,'Mapa Oficinas'!$A$7:$C$46,3,FALSE)</f>
        <v>San Lorenzo Chico</v>
      </c>
    </row>
    <row r="72" spans="1:23" x14ac:dyDescent="0.2">
      <c r="A72" s="1">
        <v>45953</v>
      </c>
      <c r="B72" s="20">
        <f t="shared" si="2"/>
        <v>2025</v>
      </c>
      <c r="C72" s="20">
        <f t="shared" si="3"/>
        <v>10</v>
      </c>
      <c r="D72" t="s">
        <v>4867</v>
      </c>
      <c r="E72" s="49">
        <v>1</v>
      </c>
      <c r="F72" t="s">
        <v>4868</v>
      </c>
      <c r="G72" t="s">
        <v>21</v>
      </c>
      <c r="H72" t="s">
        <v>37</v>
      </c>
      <c r="I72" s="13">
        <v>44000</v>
      </c>
      <c r="J72" s="13">
        <v>39000</v>
      </c>
      <c r="K72" s="13">
        <f>IF(J72&lt;'Mapa Oficinas'!$I$21,0,IF(J72&gt;'Mapa Oficinas'!$I$20,0,1))</f>
        <v>0</v>
      </c>
      <c r="L72" t="s">
        <v>23</v>
      </c>
      <c r="M72" t="s">
        <v>23</v>
      </c>
      <c r="N72" t="s">
        <v>4869</v>
      </c>
      <c r="O72" t="s">
        <v>114</v>
      </c>
      <c r="P72" t="s">
        <v>61</v>
      </c>
      <c r="Q72">
        <v>2</v>
      </c>
      <c r="R72" t="s">
        <v>67</v>
      </c>
      <c r="S72" t="s">
        <v>28</v>
      </c>
      <c r="T72" t="str">
        <f>VLOOKUP(S72,'Mapa Oficinas'!$H$7:$I$16,2,FALSE)</f>
        <v>CB</v>
      </c>
      <c r="U72" t="s">
        <v>29</v>
      </c>
      <c r="V72" t="str">
        <f>VLOOKUP($R72,'Mapa Oficinas'!$A$7:$C$46,2,FALSE)</f>
        <v>CABA</v>
      </c>
      <c r="W72" t="str">
        <f>VLOOKUP($R72,'Mapa Oficinas'!$A$7:$C$46,3,FALSE)</f>
        <v>Barrio Parque</v>
      </c>
    </row>
    <row r="73" spans="1:23" x14ac:dyDescent="0.2">
      <c r="A73" s="1">
        <v>46078</v>
      </c>
      <c r="B73" s="20">
        <f t="shared" si="2"/>
        <v>2026</v>
      </c>
      <c r="C73" s="20">
        <f t="shared" si="3"/>
        <v>2</v>
      </c>
      <c r="D73" t="s">
        <v>4748</v>
      </c>
      <c r="E73" s="49">
        <v>1</v>
      </c>
      <c r="F73" t="s">
        <v>4748</v>
      </c>
      <c r="G73" t="s">
        <v>21</v>
      </c>
      <c r="H73" t="s">
        <v>22</v>
      </c>
      <c r="I73" s="13">
        <v>38000</v>
      </c>
      <c r="J73" s="13">
        <v>39000</v>
      </c>
      <c r="K73" s="13">
        <f>IF(J73&lt;'Mapa Oficinas'!$I$21,0,IF(J73&gt;'Mapa Oficinas'!$I$20,0,1))</f>
        <v>0</v>
      </c>
      <c r="L73" t="s">
        <v>23</v>
      </c>
      <c r="M73" t="s">
        <v>23</v>
      </c>
      <c r="N73" t="s">
        <v>4748</v>
      </c>
      <c r="O73" t="s">
        <v>231</v>
      </c>
      <c r="P73" t="s">
        <v>45</v>
      </c>
      <c r="Q73">
        <v>2</v>
      </c>
      <c r="R73" t="s">
        <v>62</v>
      </c>
      <c r="S73" t="s">
        <v>28</v>
      </c>
      <c r="T73" t="str">
        <f>VLOOKUP(S73,'Mapa Oficinas'!$H$7:$I$16,2,FALSE)</f>
        <v>CB</v>
      </c>
      <c r="U73" t="s">
        <v>29</v>
      </c>
      <c r="V73" t="str">
        <f>VLOOKUP($R73,'Mapa Oficinas'!$A$7:$C$46,2,FALSE)</f>
        <v>CABA</v>
      </c>
      <c r="W73" t="str">
        <f>VLOOKUP($R73,'Mapa Oficinas'!$A$7:$C$46,3,FALSE)</f>
        <v>Villa Urquiza</v>
      </c>
    </row>
    <row r="74" spans="1:23" x14ac:dyDescent="0.2">
      <c r="A74" s="1">
        <v>45996</v>
      </c>
      <c r="B74" s="20">
        <f t="shared" si="2"/>
        <v>2025</v>
      </c>
      <c r="C74" s="20">
        <f t="shared" si="3"/>
        <v>12</v>
      </c>
      <c r="D74" t="s">
        <v>5638</v>
      </c>
      <c r="E74" s="49">
        <v>1</v>
      </c>
      <c r="F74" t="s">
        <v>5638</v>
      </c>
      <c r="G74" t="s">
        <v>21</v>
      </c>
      <c r="H74" t="s">
        <v>37</v>
      </c>
      <c r="I74" s="13">
        <v>39500</v>
      </c>
      <c r="J74" s="13">
        <v>39500</v>
      </c>
      <c r="K74" s="13">
        <f>IF(J74&lt;'Mapa Oficinas'!$I$21,0,IF(J74&gt;'Mapa Oficinas'!$I$20,0,1))</f>
        <v>0</v>
      </c>
      <c r="L74" t="s">
        <v>23</v>
      </c>
      <c r="M74" t="s">
        <v>23</v>
      </c>
      <c r="N74" t="s">
        <v>5638</v>
      </c>
      <c r="O74" t="s">
        <v>965</v>
      </c>
      <c r="P74" t="s">
        <v>45</v>
      </c>
      <c r="Q74">
        <v>1</v>
      </c>
      <c r="R74" t="s">
        <v>56</v>
      </c>
      <c r="S74" t="s">
        <v>122</v>
      </c>
      <c r="T74" t="str">
        <f>VLOOKUP(S74,'Mapa Oficinas'!$H$7:$I$16,2,FALSE)</f>
        <v>Otra Red Búsqueda</v>
      </c>
      <c r="U74" t="s">
        <v>29</v>
      </c>
      <c r="V74" t="str">
        <f>VLOOKUP($R74,'Mapa Oficinas'!$A$7:$C$46,2,FALSE)</f>
        <v>Zona Norte (GBA)</v>
      </c>
      <c r="W74" t="str">
        <f>VLOOKUP($R74,'Mapa Oficinas'!$A$7:$C$46,3,FALSE)</f>
        <v>Vicente López</v>
      </c>
    </row>
    <row r="75" spans="1:23" x14ac:dyDescent="0.2">
      <c r="A75" s="1">
        <v>46003</v>
      </c>
      <c r="B75" s="20">
        <f t="shared" si="2"/>
        <v>2025</v>
      </c>
      <c r="C75" s="20">
        <f t="shared" si="3"/>
        <v>12</v>
      </c>
      <c r="D75" t="s">
        <v>5729</v>
      </c>
      <c r="E75" s="49">
        <v>1</v>
      </c>
      <c r="F75" t="s">
        <v>5730</v>
      </c>
      <c r="G75" t="s">
        <v>21</v>
      </c>
      <c r="H75" t="s">
        <v>81</v>
      </c>
      <c r="I75" s="13">
        <v>42500</v>
      </c>
      <c r="J75" s="13">
        <v>39500</v>
      </c>
      <c r="K75" s="13">
        <f>IF(J75&lt;'Mapa Oficinas'!$I$21,0,IF(J75&gt;'Mapa Oficinas'!$I$20,0,1))</f>
        <v>0</v>
      </c>
      <c r="L75" t="s">
        <v>23</v>
      </c>
      <c r="M75" t="s">
        <v>23</v>
      </c>
      <c r="N75" t="s">
        <v>5731</v>
      </c>
      <c r="O75" t="s">
        <v>1629</v>
      </c>
      <c r="P75" t="s">
        <v>45</v>
      </c>
      <c r="Q75">
        <v>2</v>
      </c>
      <c r="R75" t="s">
        <v>482</v>
      </c>
      <c r="S75" t="s">
        <v>79</v>
      </c>
      <c r="T75" t="str">
        <f>VLOOKUP(S75,'Mapa Oficinas'!$H$7:$I$16,2,FALSE)</f>
        <v>CB</v>
      </c>
      <c r="U75" t="s">
        <v>29</v>
      </c>
      <c r="V75" t="str">
        <f>VLOOKUP($R75,'Mapa Oficinas'!$A$7:$C$46,2,FALSE)</f>
        <v>Interior - Jujuy</v>
      </c>
      <c r="W75" t="str">
        <f>VLOOKUP($R75,'Mapa Oficinas'!$A$7:$C$46,3,FALSE)</f>
        <v>Capital Jujuy</v>
      </c>
    </row>
    <row r="76" spans="1:23" x14ac:dyDescent="0.2">
      <c r="A76" s="1">
        <v>45777</v>
      </c>
      <c r="B76" s="20">
        <f t="shared" si="2"/>
        <v>2025</v>
      </c>
      <c r="C76" s="20">
        <f t="shared" si="3"/>
        <v>4</v>
      </c>
      <c r="E76" s="49">
        <v>1</v>
      </c>
      <c r="F76" t="s">
        <v>1711</v>
      </c>
      <c r="G76" t="s">
        <v>21</v>
      </c>
      <c r="H76" t="s">
        <v>37</v>
      </c>
      <c r="I76" s="13">
        <v>39500</v>
      </c>
      <c r="J76" s="13">
        <v>39500</v>
      </c>
      <c r="K76" s="13">
        <f>IF(J76&lt;'Mapa Oficinas'!$I$21,0,IF(J76&gt;'Mapa Oficinas'!$I$20,0,1))</f>
        <v>0</v>
      </c>
      <c r="L76" t="s">
        <v>23</v>
      </c>
      <c r="M76" t="s">
        <v>23</v>
      </c>
      <c r="N76" t="s">
        <v>1712</v>
      </c>
      <c r="O76" t="s">
        <v>1713</v>
      </c>
      <c r="P76" t="s">
        <v>26</v>
      </c>
      <c r="Q76">
        <v>2</v>
      </c>
      <c r="R76" t="s">
        <v>110</v>
      </c>
      <c r="S76" t="s">
        <v>28</v>
      </c>
      <c r="T76" t="str">
        <f>VLOOKUP(S76,'Mapa Oficinas'!$H$7:$I$16,2,FALSE)</f>
        <v>CB</v>
      </c>
      <c r="U76" t="s">
        <v>29</v>
      </c>
      <c r="V76" t="str">
        <f>VLOOKUP($R76,'Mapa Oficinas'!$A$7:$C$46,2,FALSE)</f>
        <v>Zona Norte (GBA)</v>
      </c>
      <c r="W76" t="str">
        <f>VLOOKUP($R76,'Mapa Oficinas'!$A$7:$C$46,3,FALSE)</f>
        <v>Nordelta</v>
      </c>
    </row>
    <row r="77" spans="1:23" x14ac:dyDescent="0.2">
      <c r="A77" s="1">
        <v>45741</v>
      </c>
      <c r="B77" s="20">
        <f t="shared" si="2"/>
        <v>2025</v>
      </c>
      <c r="C77" s="20">
        <f t="shared" si="3"/>
        <v>3</v>
      </c>
      <c r="D77" t="s">
        <v>506</v>
      </c>
      <c r="E77" s="49">
        <v>1</v>
      </c>
      <c r="F77" t="s">
        <v>507</v>
      </c>
      <c r="G77" t="s">
        <v>21</v>
      </c>
      <c r="H77" t="s">
        <v>37</v>
      </c>
      <c r="I77" s="13">
        <v>52000</v>
      </c>
      <c r="J77" s="13">
        <v>39800</v>
      </c>
      <c r="K77" s="13">
        <f>IF(J77&lt;'Mapa Oficinas'!$I$21,0,IF(J77&gt;'Mapa Oficinas'!$I$20,0,1))</f>
        <v>0</v>
      </c>
      <c r="L77" t="s">
        <v>23</v>
      </c>
      <c r="M77" t="s">
        <v>23</v>
      </c>
      <c r="N77" t="s">
        <v>508</v>
      </c>
      <c r="O77" t="s">
        <v>329</v>
      </c>
      <c r="P77" t="s">
        <v>26</v>
      </c>
      <c r="Q77">
        <v>2</v>
      </c>
      <c r="R77" t="s">
        <v>183</v>
      </c>
      <c r="S77" t="s">
        <v>28</v>
      </c>
      <c r="T77" t="str">
        <f>VLOOKUP(S77,'Mapa Oficinas'!$H$7:$I$16,2,FALSE)</f>
        <v>CB</v>
      </c>
      <c r="U77" t="s">
        <v>29</v>
      </c>
      <c r="V77" t="str">
        <f>VLOOKUP($R77,'Mapa Oficinas'!$A$7:$C$46,2,FALSE)</f>
        <v>Interior - Neuquén</v>
      </c>
      <c r="W77" t="str">
        <f>VLOOKUP($R77,'Mapa Oficinas'!$A$7:$C$46,3,FALSE)</f>
        <v>Capital Neuquén</v>
      </c>
    </row>
    <row r="78" spans="1:23" x14ac:dyDescent="0.2">
      <c r="A78" s="1">
        <v>45770</v>
      </c>
      <c r="B78" s="20">
        <f t="shared" si="2"/>
        <v>2025</v>
      </c>
      <c r="C78" s="20">
        <f t="shared" si="3"/>
        <v>4</v>
      </c>
      <c r="D78" t="s">
        <v>1561</v>
      </c>
      <c r="E78" s="49">
        <v>1</v>
      </c>
      <c r="F78" t="s">
        <v>1562</v>
      </c>
      <c r="G78" t="s">
        <v>21</v>
      </c>
      <c r="H78" t="s">
        <v>81</v>
      </c>
      <c r="I78" s="13">
        <v>39900</v>
      </c>
      <c r="J78" s="13">
        <v>39900</v>
      </c>
      <c r="K78" s="13">
        <f>IF(J78&lt;'Mapa Oficinas'!$I$21,0,IF(J78&gt;'Mapa Oficinas'!$I$20,0,1))</f>
        <v>0</v>
      </c>
      <c r="L78" t="s">
        <v>23</v>
      </c>
      <c r="M78" t="s">
        <v>23</v>
      </c>
      <c r="N78" t="s">
        <v>1563</v>
      </c>
      <c r="O78" t="s">
        <v>1564</v>
      </c>
      <c r="P78" t="s">
        <v>45</v>
      </c>
      <c r="Q78">
        <v>2</v>
      </c>
      <c r="R78" t="s">
        <v>482</v>
      </c>
      <c r="S78" t="s">
        <v>28</v>
      </c>
      <c r="T78" t="str">
        <f>VLOOKUP(S78,'Mapa Oficinas'!$H$7:$I$16,2,FALSE)</f>
        <v>CB</v>
      </c>
      <c r="U78" t="s">
        <v>29</v>
      </c>
      <c r="V78" t="str">
        <f>VLOOKUP($R78,'Mapa Oficinas'!$A$7:$C$46,2,FALSE)</f>
        <v>Interior - Jujuy</v>
      </c>
      <c r="W78" t="str">
        <f>VLOOKUP($R78,'Mapa Oficinas'!$A$7:$C$46,3,FALSE)</f>
        <v>Capital Jujuy</v>
      </c>
    </row>
    <row r="79" spans="1:23" x14ac:dyDescent="0.2">
      <c r="A79" s="1">
        <v>45772</v>
      </c>
      <c r="B79" s="20">
        <f t="shared" si="2"/>
        <v>2025</v>
      </c>
      <c r="C79" s="20">
        <f t="shared" si="3"/>
        <v>4</v>
      </c>
      <c r="E79" s="49">
        <v>1</v>
      </c>
      <c r="F79" t="s">
        <v>1619</v>
      </c>
      <c r="G79" t="s">
        <v>21</v>
      </c>
      <c r="H79" t="s">
        <v>81</v>
      </c>
      <c r="I79" s="13">
        <v>40000</v>
      </c>
      <c r="J79" s="13">
        <v>40000</v>
      </c>
      <c r="K79" s="13">
        <f>IF(J79&lt;'Mapa Oficinas'!$I$21,0,IF(J79&gt;'Mapa Oficinas'!$I$20,0,1))</f>
        <v>0</v>
      </c>
      <c r="L79" t="s">
        <v>23</v>
      </c>
      <c r="M79" t="s">
        <v>23</v>
      </c>
      <c r="O79" t="s">
        <v>1239</v>
      </c>
      <c r="P79" t="s">
        <v>26</v>
      </c>
      <c r="Q79">
        <v>1</v>
      </c>
      <c r="R79" t="s">
        <v>130</v>
      </c>
      <c r="S79" t="s">
        <v>122</v>
      </c>
      <c r="T79" t="str">
        <f>VLOOKUP(S79,'Mapa Oficinas'!$H$7:$I$16,2,FALSE)</f>
        <v>Otra Red Búsqueda</v>
      </c>
      <c r="U79" t="s">
        <v>29</v>
      </c>
      <c r="V79" t="str">
        <f>VLOOKUP($R79,'Mapa Oficinas'!$A$7:$C$46,2,FALSE)</f>
        <v>Interior - Neuquén</v>
      </c>
      <c r="W79" t="str">
        <f>VLOOKUP($R79,'Mapa Oficinas'!$A$7:$C$46,3,FALSE)</f>
        <v>San Martín de los Andes</v>
      </c>
    </row>
    <row r="80" spans="1:23" x14ac:dyDescent="0.2">
      <c r="A80" s="1">
        <v>45867</v>
      </c>
      <c r="B80" s="20">
        <f t="shared" si="2"/>
        <v>2025</v>
      </c>
      <c r="C80" s="20">
        <f t="shared" si="3"/>
        <v>7</v>
      </c>
      <c r="D80" t="s">
        <v>3267</v>
      </c>
      <c r="E80" s="49">
        <v>1</v>
      </c>
      <c r="F80" t="s">
        <v>3268</v>
      </c>
      <c r="G80" t="s">
        <v>21</v>
      </c>
      <c r="H80" t="s">
        <v>37</v>
      </c>
      <c r="I80" s="13">
        <v>41000</v>
      </c>
      <c r="J80" s="13">
        <v>40000</v>
      </c>
      <c r="K80" s="13">
        <f>IF(J80&lt;'Mapa Oficinas'!$I$21,0,IF(J80&gt;'Mapa Oficinas'!$I$20,0,1))</f>
        <v>0</v>
      </c>
      <c r="L80" t="s">
        <v>23</v>
      </c>
      <c r="M80" t="s">
        <v>23</v>
      </c>
      <c r="N80" t="s">
        <v>3269</v>
      </c>
      <c r="O80" t="s">
        <v>3270</v>
      </c>
      <c r="P80" t="s">
        <v>34</v>
      </c>
      <c r="Q80">
        <v>1</v>
      </c>
      <c r="R80" t="s">
        <v>167</v>
      </c>
      <c r="S80" t="s">
        <v>152</v>
      </c>
      <c r="T80" t="str">
        <f>VLOOKUP(S80,'Mapa Oficinas'!$H$7:$I$16,2,FALSE)</f>
        <v>Otra Red Captación</v>
      </c>
      <c r="U80" t="s">
        <v>29</v>
      </c>
      <c r="V80" t="str">
        <f>VLOOKUP($R80,'Mapa Oficinas'!$A$7:$C$46,2,FALSE)</f>
        <v>Interior - Santa Fe</v>
      </c>
      <c r="W80" t="str">
        <f>VLOOKUP($R80,'Mapa Oficinas'!$A$7:$C$46,3,FALSE)</f>
        <v>Capital Santa Fe</v>
      </c>
    </row>
    <row r="81" spans="1:23" x14ac:dyDescent="0.2">
      <c r="A81" s="1">
        <v>45946</v>
      </c>
      <c r="B81" s="20">
        <f t="shared" si="2"/>
        <v>2025</v>
      </c>
      <c r="C81" s="20">
        <f t="shared" si="3"/>
        <v>10</v>
      </c>
      <c r="D81" t="s">
        <v>4731</v>
      </c>
      <c r="E81" s="49">
        <v>1</v>
      </c>
      <c r="F81" t="s">
        <v>4732</v>
      </c>
      <c r="G81" t="s">
        <v>21</v>
      </c>
      <c r="H81" t="s">
        <v>70</v>
      </c>
      <c r="I81" s="13">
        <v>52000</v>
      </c>
      <c r="J81" s="13">
        <v>40000</v>
      </c>
      <c r="K81" s="13">
        <f>IF(J81&lt;'Mapa Oficinas'!$I$21,0,IF(J81&gt;'Mapa Oficinas'!$I$20,0,1))</f>
        <v>0</v>
      </c>
      <c r="L81" t="s">
        <v>23</v>
      </c>
      <c r="M81" t="s">
        <v>23</v>
      </c>
      <c r="N81" t="s">
        <v>4733</v>
      </c>
      <c r="O81" t="s">
        <v>4734</v>
      </c>
      <c r="P81" t="s">
        <v>34</v>
      </c>
      <c r="Q81">
        <v>1</v>
      </c>
      <c r="R81" t="s">
        <v>73</v>
      </c>
      <c r="S81" t="s">
        <v>152</v>
      </c>
      <c r="T81" t="str">
        <f>VLOOKUP(S81,'Mapa Oficinas'!$H$7:$I$16,2,FALSE)</f>
        <v>Otra Red Captación</v>
      </c>
      <c r="U81" t="s">
        <v>29</v>
      </c>
      <c r="V81" t="str">
        <f>VLOOKUP($R81,'Mapa Oficinas'!$A$7:$C$46,2,FALSE)</f>
        <v>Interior - Salta</v>
      </c>
      <c r="W81" t="str">
        <f>VLOOKUP($R81,'Mapa Oficinas'!$A$7:$C$46,3,FALSE)</f>
        <v>San Lorenzo Chico</v>
      </c>
    </row>
    <row r="82" spans="1:23" x14ac:dyDescent="0.2">
      <c r="A82" s="1">
        <v>45771</v>
      </c>
      <c r="B82" s="20">
        <f t="shared" si="2"/>
        <v>2025</v>
      </c>
      <c r="C82" s="20">
        <f t="shared" si="3"/>
        <v>4</v>
      </c>
      <c r="D82" t="s">
        <v>1592</v>
      </c>
      <c r="E82" s="49">
        <v>1</v>
      </c>
      <c r="F82" t="s">
        <v>1593</v>
      </c>
      <c r="G82" t="s">
        <v>21</v>
      </c>
      <c r="H82" t="s">
        <v>81</v>
      </c>
      <c r="I82" s="13">
        <v>40000</v>
      </c>
      <c r="J82" s="13">
        <v>40000</v>
      </c>
      <c r="K82" s="13">
        <f>IF(J82&lt;'Mapa Oficinas'!$I$21,0,IF(J82&gt;'Mapa Oficinas'!$I$20,0,1))</f>
        <v>0</v>
      </c>
      <c r="L82" t="s">
        <v>23</v>
      </c>
      <c r="M82" t="s">
        <v>23</v>
      </c>
      <c r="N82" t="s">
        <v>1594</v>
      </c>
      <c r="O82" t="s">
        <v>1595</v>
      </c>
      <c r="P82" t="s">
        <v>45</v>
      </c>
      <c r="Q82">
        <v>2</v>
      </c>
      <c r="R82" t="s">
        <v>167</v>
      </c>
      <c r="S82" t="s">
        <v>79</v>
      </c>
      <c r="T82" t="str">
        <f>VLOOKUP(S82,'Mapa Oficinas'!$H$7:$I$16,2,FALSE)</f>
        <v>CB</v>
      </c>
      <c r="U82" t="s">
        <v>29</v>
      </c>
      <c r="V82" t="str">
        <f>VLOOKUP($R82,'Mapa Oficinas'!$A$7:$C$46,2,FALSE)</f>
        <v>Interior - Santa Fe</v>
      </c>
      <c r="W82" t="str">
        <f>VLOOKUP($R82,'Mapa Oficinas'!$A$7:$C$46,3,FALSE)</f>
        <v>Capital Santa Fe</v>
      </c>
    </row>
    <row r="83" spans="1:23" x14ac:dyDescent="0.2">
      <c r="A83" s="1">
        <v>45814</v>
      </c>
      <c r="B83" s="20">
        <f t="shared" si="2"/>
        <v>2025</v>
      </c>
      <c r="C83" s="20">
        <f t="shared" si="3"/>
        <v>6</v>
      </c>
      <c r="D83" t="s">
        <v>2347</v>
      </c>
      <c r="E83" s="49">
        <v>1</v>
      </c>
      <c r="F83" t="s">
        <v>2348</v>
      </c>
      <c r="G83" t="s">
        <v>21</v>
      </c>
      <c r="H83" t="s">
        <v>81</v>
      </c>
      <c r="I83" s="13">
        <v>43000</v>
      </c>
      <c r="J83" s="13">
        <v>40000</v>
      </c>
      <c r="K83" s="13">
        <f>IF(J83&lt;'Mapa Oficinas'!$I$21,0,IF(J83&gt;'Mapa Oficinas'!$I$20,0,1))</f>
        <v>0</v>
      </c>
      <c r="L83" t="s">
        <v>23</v>
      </c>
      <c r="M83" t="s">
        <v>23</v>
      </c>
      <c r="N83" t="s">
        <v>2349</v>
      </c>
      <c r="O83" t="s">
        <v>2350</v>
      </c>
      <c r="P83" t="s">
        <v>45</v>
      </c>
      <c r="Q83">
        <v>2</v>
      </c>
      <c r="R83" t="s">
        <v>482</v>
      </c>
      <c r="S83" t="s">
        <v>79</v>
      </c>
      <c r="T83" t="str">
        <f>VLOOKUP(S83,'Mapa Oficinas'!$H$7:$I$16,2,FALSE)</f>
        <v>CB</v>
      </c>
      <c r="U83" t="s">
        <v>29</v>
      </c>
      <c r="V83" t="str">
        <f>VLOOKUP($R83,'Mapa Oficinas'!$A$7:$C$46,2,FALSE)</f>
        <v>Interior - Jujuy</v>
      </c>
      <c r="W83" t="str">
        <f>VLOOKUP($R83,'Mapa Oficinas'!$A$7:$C$46,3,FALSE)</f>
        <v>Capital Jujuy</v>
      </c>
    </row>
    <row r="84" spans="1:23" x14ac:dyDescent="0.2">
      <c r="A84" s="1">
        <v>45826</v>
      </c>
      <c r="B84" s="20">
        <f t="shared" si="2"/>
        <v>2025</v>
      </c>
      <c r="C84" s="20">
        <f t="shared" si="3"/>
        <v>6</v>
      </c>
      <c r="E84" s="49">
        <v>1</v>
      </c>
      <c r="F84" t="s">
        <v>2540</v>
      </c>
      <c r="G84" t="s">
        <v>21</v>
      </c>
      <c r="H84" t="s">
        <v>76</v>
      </c>
      <c r="I84" s="13">
        <v>40000</v>
      </c>
      <c r="J84" s="13">
        <v>40000</v>
      </c>
      <c r="K84" s="13">
        <f>IF(J84&lt;'Mapa Oficinas'!$I$21,0,IF(J84&gt;'Mapa Oficinas'!$I$20,0,1))</f>
        <v>0</v>
      </c>
      <c r="L84" t="s">
        <v>23</v>
      </c>
      <c r="M84" t="s">
        <v>23</v>
      </c>
      <c r="N84" t="s">
        <v>1621</v>
      </c>
      <c r="O84" t="s">
        <v>505</v>
      </c>
      <c r="P84" t="s">
        <v>26</v>
      </c>
      <c r="Q84">
        <v>2</v>
      </c>
      <c r="R84" t="s">
        <v>84</v>
      </c>
      <c r="S84" t="s">
        <v>79</v>
      </c>
      <c r="T84" t="str">
        <f>VLOOKUP(S84,'Mapa Oficinas'!$H$7:$I$16,2,FALSE)</f>
        <v>CB</v>
      </c>
      <c r="U84" t="s">
        <v>29</v>
      </c>
      <c r="V84" t="str">
        <f>VLOOKUP($R84,'Mapa Oficinas'!$A$7:$C$46,2,FALSE)</f>
        <v>Interior - Neuquén</v>
      </c>
      <c r="W84" t="str">
        <f>VLOOKUP($R84,'Mapa Oficinas'!$A$7:$C$46,3,FALSE)</f>
        <v>Villa La Angostura</v>
      </c>
    </row>
    <row r="85" spans="1:23" x14ac:dyDescent="0.2">
      <c r="A85" s="1">
        <v>45898</v>
      </c>
      <c r="B85" s="20">
        <f t="shared" si="2"/>
        <v>2025</v>
      </c>
      <c r="C85" s="20">
        <f t="shared" si="3"/>
        <v>8</v>
      </c>
      <c r="D85" t="s">
        <v>3849</v>
      </c>
      <c r="E85" s="49">
        <v>1</v>
      </c>
      <c r="F85" t="s">
        <v>3850</v>
      </c>
      <c r="G85" t="s">
        <v>21</v>
      </c>
      <c r="H85" t="s">
        <v>81</v>
      </c>
      <c r="I85" s="13">
        <v>40000</v>
      </c>
      <c r="J85" s="13">
        <v>40000</v>
      </c>
      <c r="K85" s="13">
        <f>IF(J85&lt;'Mapa Oficinas'!$I$21,0,IF(J85&gt;'Mapa Oficinas'!$I$20,0,1))</f>
        <v>0</v>
      </c>
      <c r="L85" t="s">
        <v>23</v>
      </c>
      <c r="M85" t="s">
        <v>23</v>
      </c>
      <c r="N85" t="s">
        <v>3851</v>
      </c>
      <c r="O85" t="s">
        <v>775</v>
      </c>
      <c r="P85" t="s">
        <v>26</v>
      </c>
      <c r="Q85">
        <v>2</v>
      </c>
      <c r="R85" t="s">
        <v>84</v>
      </c>
      <c r="S85" t="s">
        <v>79</v>
      </c>
      <c r="T85" t="str">
        <f>VLOOKUP(S85,'Mapa Oficinas'!$H$7:$I$16,2,FALSE)</f>
        <v>CB</v>
      </c>
      <c r="U85" t="s">
        <v>29</v>
      </c>
      <c r="V85" t="str">
        <f>VLOOKUP($R85,'Mapa Oficinas'!$A$7:$C$46,2,FALSE)</f>
        <v>Interior - Neuquén</v>
      </c>
      <c r="W85" t="str">
        <f>VLOOKUP($R85,'Mapa Oficinas'!$A$7:$C$46,3,FALSE)</f>
        <v>Villa La Angostura</v>
      </c>
    </row>
    <row r="86" spans="1:23" x14ac:dyDescent="0.2">
      <c r="A86" s="1">
        <v>45898</v>
      </c>
      <c r="B86" s="20">
        <f t="shared" si="2"/>
        <v>2025</v>
      </c>
      <c r="C86" s="20">
        <f t="shared" si="3"/>
        <v>8</v>
      </c>
      <c r="D86" t="s">
        <v>3852</v>
      </c>
      <c r="E86" s="49">
        <v>1</v>
      </c>
      <c r="F86" t="s">
        <v>3853</v>
      </c>
      <c r="G86" t="s">
        <v>21</v>
      </c>
      <c r="H86" t="s">
        <v>76</v>
      </c>
      <c r="I86" s="13">
        <v>40000</v>
      </c>
      <c r="J86" s="13">
        <v>40000</v>
      </c>
      <c r="K86" s="13">
        <f>IF(J86&lt;'Mapa Oficinas'!$I$21,0,IF(J86&gt;'Mapa Oficinas'!$I$20,0,1))</f>
        <v>0</v>
      </c>
      <c r="L86" t="s">
        <v>23</v>
      </c>
      <c r="M86" t="s">
        <v>23</v>
      </c>
      <c r="N86" t="s">
        <v>3854</v>
      </c>
      <c r="O86" t="s">
        <v>1239</v>
      </c>
      <c r="P86" t="s">
        <v>55</v>
      </c>
      <c r="Q86">
        <v>2</v>
      </c>
      <c r="R86" t="s">
        <v>130</v>
      </c>
      <c r="S86" t="s">
        <v>79</v>
      </c>
      <c r="T86" t="str">
        <f>VLOOKUP(S86,'Mapa Oficinas'!$H$7:$I$16,2,FALSE)</f>
        <v>CB</v>
      </c>
      <c r="U86" t="s">
        <v>29</v>
      </c>
      <c r="V86" t="str">
        <f>VLOOKUP($R86,'Mapa Oficinas'!$A$7:$C$46,2,FALSE)</f>
        <v>Interior - Neuquén</v>
      </c>
      <c r="W86" t="str">
        <f>VLOOKUP($R86,'Mapa Oficinas'!$A$7:$C$46,3,FALSE)</f>
        <v>San Martín de los Andes</v>
      </c>
    </row>
    <row r="87" spans="1:23" x14ac:dyDescent="0.2">
      <c r="A87" s="1">
        <v>45994</v>
      </c>
      <c r="B87" s="20">
        <f t="shared" si="2"/>
        <v>2025</v>
      </c>
      <c r="C87" s="20">
        <f t="shared" si="3"/>
        <v>12</v>
      </c>
      <c r="D87" t="s">
        <v>5594</v>
      </c>
      <c r="E87" s="49">
        <v>1</v>
      </c>
      <c r="F87" t="s">
        <v>5595</v>
      </c>
      <c r="G87" t="s">
        <v>21</v>
      </c>
      <c r="H87" t="s">
        <v>100</v>
      </c>
      <c r="I87" s="13">
        <v>36881</v>
      </c>
      <c r="J87" s="13">
        <v>40000</v>
      </c>
      <c r="K87" s="13">
        <f>IF(J87&lt;'Mapa Oficinas'!$I$21,0,IF(J87&gt;'Mapa Oficinas'!$I$20,0,1))</f>
        <v>0</v>
      </c>
      <c r="L87" t="s">
        <v>23</v>
      </c>
      <c r="M87" t="s">
        <v>23</v>
      </c>
      <c r="O87" t="s">
        <v>403</v>
      </c>
      <c r="P87" t="s">
        <v>26</v>
      </c>
      <c r="Q87">
        <v>2</v>
      </c>
      <c r="R87" t="s">
        <v>121</v>
      </c>
      <c r="S87" t="s">
        <v>79</v>
      </c>
      <c r="T87" t="str">
        <f>VLOOKUP(S87,'Mapa Oficinas'!$H$7:$I$16,2,FALSE)</f>
        <v>CB</v>
      </c>
      <c r="U87" t="s">
        <v>29</v>
      </c>
      <c r="V87" t="str">
        <f>VLOOKUP($R87,'Mapa Oficinas'!$A$7:$C$46,2,FALSE)</f>
        <v>Interior - Río Negro</v>
      </c>
      <c r="W87" t="str">
        <f>VLOOKUP($R87,'Mapa Oficinas'!$A$7:$C$46,3,FALSE)</f>
        <v>Bariloche</v>
      </c>
    </row>
    <row r="88" spans="1:23" x14ac:dyDescent="0.2">
      <c r="A88" s="1">
        <v>46034</v>
      </c>
      <c r="B88" s="20">
        <f t="shared" si="2"/>
        <v>2026</v>
      </c>
      <c r="C88" s="20">
        <f t="shared" si="3"/>
        <v>1</v>
      </c>
      <c r="D88" t="s">
        <v>6168</v>
      </c>
      <c r="E88" s="49">
        <v>1</v>
      </c>
      <c r="F88" t="s">
        <v>6169</v>
      </c>
      <c r="G88" t="s">
        <v>21</v>
      </c>
      <c r="H88" t="s">
        <v>230</v>
      </c>
      <c r="I88" s="13">
        <v>35000</v>
      </c>
      <c r="J88" s="13">
        <v>40000</v>
      </c>
      <c r="K88" s="13">
        <f>IF(J88&lt;'Mapa Oficinas'!$I$21,0,IF(J88&gt;'Mapa Oficinas'!$I$20,0,1))</f>
        <v>0</v>
      </c>
      <c r="L88" t="s">
        <v>23</v>
      </c>
      <c r="M88" t="s">
        <v>23</v>
      </c>
      <c r="N88" t="s">
        <v>6170</v>
      </c>
      <c r="O88" t="s">
        <v>505</v>
      </c>
      <c r="P88" t="s">
        <v>26</v>
      </c>
      <c r="Q88">
        <v>2</v>
      </c>
      <c r="R88" t="s">
        <v>84</v>
      </c>
      <c r="S88" t="s">
        <v>79</v>
      </c>
      <c r="T88" t="str">
        <f>VLOOKUP(S88,'Mapa Oficinas'!$H$7:$I$16,2,FALSE)</f>
        <v>CB</v>
      </c>
      <c r="U88" t="s">
        <v>29</v>
      </c>
      <c r="V88" t="str">
        <f>VLOOKUP($R88,'Mapa Oficinas'!$A$7:$C$46,2,FALSE)</f>
        <v>Interior - Neuquén</v>
      </c>
      <c r="W88" t="str">
        <f>VLOOKUP($R88,'Mapa Oficinas'!$A$7:$C$46,3,FALSE)</f>
        <v>Villa La Angostura</v>
      </c>
    </row>
    <row r="89" spans="1:23" x14ac:dyDescent="0.2">
      <c r="A89" s="1">
        <v>45776</v>
      </c>
      <c r="B89" s="20">
        <f t="shared" si="2"/>
        <v>2025</v>
      </c>
      <c r="C89" s="20">
        <f t="shared" si="3"/>
        <v>4</v>
      </c>
      <c r="E89" s="49">
        <v>0</v>
      </c>
      <c r="F89" t="s">
        <v>1671</v>
      </c>
      <c r="G89" t="s">
        <v>21</v>
      </c>
      <c r="H89" t="s">
        <v>119</v>
      </c>
      <c r="I89" s="13">
        <v>40000</v>
      </c>
      <c r="J89" s="13">
        <v>40000</v>
      </c>
      <c r="K89" s="13">
        <f>IF(J89&lt;'Mapa Oficinas'!$I$21,0,IF(J89&gt;'Mapa Oficinas'!$I$20,0,1))</f>
        <v>0</v>
      </c>
      <c r="L89" t="s">
        <v>23</v>
      </c>
      <c r="M89" t="s">
        <v>23</v>
      </c>
      <c r="N89" t="s">
        <v>1621</v>
      </c>
      <c r="O89" t="s">
        <v>1507</v>
      </c>
      <c r="P89" t="s">
        <v>26</v>
      </c>
      <c r="Q89">
        <v>2</v>
      </c>
      <c r="R89" t="s">
        <v>84</v>
      </c>
      <c r="S89" t="s">
        <v>79</v>
      </c>
      <c r="T89" t="str">
        <f>VLOOKUP(S89,'Mapa Oficinas'!$H$7:$I$16,2,FALSE)</f>
        <v>CB</v>
      </c>
      <c r="U89" t="s">
        <v>29</v>
      </c>
      <c r="V89" t="str">
        <f>VLOOKUP($R89,'Mapa Oficinas'!$A$7:$C$46,2,FALSE)</f>
        <v>Interior - Neuquén</v>
      </c>
      <c r="W89" t="str">
        <f>VLOOKUP($R89,'Mapa Oficinas'!$A$7:$C$46,3,FALSE)</f>
        <v>Villa La Angostura</v>
      </c>
    </row>
    <row r="90" spans="1:23" x14ac:dyDescent="0.2">
      <c r="A90" s="1">
        <v>45819</v>
      </c>
      <c r="B90" s="20">
        <f t="shared" si="2"/>
        <v>2025</v>
      </c>
      <c r="C90" s="20">
        <f t="shared" si="3"/>
        <v>6</v>
      </c>
      <c r="D90" s="17"/>
      <c r="E90" s="50">
        <v>0</v>
      </c>
      <c r="F90" s="17" t="s">
        <v>2413</v>
      </c>
      <c r="G90" s="17" t="s">
        <v>21</v>
      </c>
      <c r="H90" s="17" t="s">
        <v>81</v>
      </c>
      <c r="I90" s="18">
        <v>40000</v>
      </c>
      <c r="J90" s="18">
        <v>40000</v>
      </c>
      <c r="K90" s="13">
        <f>IF(J90&lt;'Mapa Oficinas'!$I$21,0,IF(J90&gt;'Mapa Oficinas'!$I$20,0,1))</f>
        <v>0</v>
      </c>
      <c r="L90" t="s">
        <v>23</v>
      </c>
      <c r="M90" t="s">
        <v>23</v>
      </c>
      <c r="N90" t="s">
        <v>1621</v>
      </c>
      <c r="O90" t="s">
        <v>505</v>
      </c>
      <c r="P90" t="s">
        <v>26</v>
      </c>
      <c r="Q90">
        <v>2</v>
      </c>
      <c r="R90" t="s">
        <v>84</v>
      </c>
      <c r="S90" t="s">
        <v>79</v>
      </c>
      <c r="T90" t="str">
        <f>VLOOKUP(S90,'Mapa Oficinas'!$H$7:$I$16,2,FALSE)</f>
        <v>CB</v>
      </c>
      <c r="U90" t="s">
        <v>29</v>
      </c>
      <c r="V90" t="str">
        <f>VLOOKUP($R90,'Mapa Oficinas'!$A$7:$C$46,2,FALSE)</f>
        <v>Interior - Neuquén</v>
      </c>
      <c r="W90" t="str">
        <f>VLOOKUP($R90,'Mapa Oficinas'!$A$7:$C$46,3,FALSE)</f>
        <v>Villa La Angostura</v>
      </c>
    </row>
    <row r="91" spans="1:23" x14ac:dyDescent="0.2">
      <c r="A91" s="1">
        <v>45835</v>
      </c>
      <c r="B91" s="20">
        <f t="shared" si="2"/>
        <v>2025</v>
      </c>
      <c r="C91" s="20">
        <f t="shared" si="3"/>
        <v>6</v>
      </c>
      <c r="D91" t="s">
        <v>2670</v>
      </c>
      <c r="E91" s="49">
        <v>1</v>
      </c>
      <c r="F91" t="s">
        <v>2671</v>
      </c>
      <c r="G91" t="s">
        <v>21</v>
      </c>
      <c r="H91" t="s">
        <v>81</v>
      </c>
      <c r="I91" s="13">
        <v>42700</v>
      </c>
      <c r="J91" s="13">
        <v>40000</v>
      </c>
      <c r="K91" s="13">
        <f>IF(J91&lt;'Mapa Oficinas'!$I$21,0,IF(J91&gt;'Mapa Oficinas'!$I$20,0,1))</f>
        <v>0</v>
      </c>
      <c r="L91" t="s">
        <v>23</v>
      </c>
      <c r="M91" t="s">
        <v>23</v>
      </c>
      <c r="N91" t="s">
        <v>2672</v>
      </c>
      <c r="O91" t="s">
        <v>102</v>
      </c>
      <c r="P91" t="s">
        <v>45</v>
      </c>
      <c r="Q91">
        <v>1</v>
      </c>
      <c r="R91" t="s">
        <v>103</v>
      </c>
      <c r="S91" t="s">
        <v>47</v>
      </c>
      <c r="T91" t="str">
        <f>VLOOKUP(S91,'Mapa Oficinas'!$H$7:$I$16,2,FALSE)</f>
        <v>Otra Red Búsqueda</v>
      </c>
      <c r="U91" t="s">
        <v>29</v>
      </c>
      <c r="V91" t="str">
        <f>VLOOKUP($R91,'Mapa Oficinas'!$A$7:$C$46,2,FALSE)</f>
        <v>Zona Sur (GBA)</v>
      </c>
      <c r="W91" t="str">
        <f>VLOOKUP($R91,'Mapa Oficinas'!$A$7:$C$46,3,FALSE)</f>
        <v>La Plata</v>
      </c>
    </row>
    <row r="92" spans="1:23" x14ac:dyDescent="0.2">
      <c r="A92" s="1">
        <v>45777</v>
      </c>
      <c r="B92" s="20">
        <f t="shared" si="2"/>
        <v>2025</v>
      </c>
      <c r="C92" s="20">
        <f t="shared" si="3"/>
        <v>4</v>
      </c>
      <c r="D92" t="s">
        <v>1714</v>
      </c>
      <c r="E92" s="49">
        <v>1</v>
      </c>
      <c r="F92" t="s">
        <v>1715</v>
      </c>
      <c r="G92" t="s">
        <v>21</v>
      </c>
      <c r="H92" t="s">
        <v>37</v>
      </c>
      <c r="I92" s="13">
        <v>41400</v>
      </c>
      <c r="J92" s="13">
        <v>40000</v>
      </c>
      <c r="K92" s="13">
        <f>IF(J92&lt;'Mapa Oficinas'!$I$21,0,IF(J92&gt;'Mapa Oficinas'!$I$20,0,1))</f>
        <v>0</v>
      </c>
      <c r="L92" t="s">
        <v>23</v>
      </c>
      <c r="M92" t="s">
        <v>23</v>
      </c>
      <c r="N92" t="s">
        <v>1716</v>
      </c>
      <c r="O92" t="s">
        <v>1717</v>
      </c>
      <c r="P92" t="s">
        <v>45</v>
      </c>
      <c r="Q92">
        <v>2</v>
      </c>
      <c r="R92" t="s">
        <v>1605</v>
      </c>
      <c r="S92" t="s">
        <v>200</v>
      </c>
      <c r="T92" t="str">
        <f>VLOOKUP(S92,'Mapa Oficinas'!$H$7:$I$16,2,FALSE)</f>
        <v>Otra Red Captación</v>
      </c>
      <c r="U92" t="s">
        <v>29</v>
      </c>
      <c r="V92" t="str">
        <f>VLOOKUP($R92,'Mapa Oficinas'!$A$7:$C$46,2,FALSE)</f>
        <v>CABA</v>
      </c>
      <c r="W92" t="str">
        <f>VLOOKUP($R92,'Mapa Oficinas'!$A$7:$C$46,3,FALSE)</f>
        <v>Núñez</v>
      </c>
    </row>
    <row r="93" spans="1:23" x14ac:dyDescent="0.2">
      <c r="A93" s="1">
        <v>45667</v>
      </c>
      <c r="B93" s="20">
        <f t="shared" si="2"/>
        <v>2025</v>
      </c>
      <c r="C93" s="20">
        <f t="shared" si="3"/>
        <v>1</v>
      </c>
      <c r="D93" t="s">
        <v>144</v>
      </c>
      <c r="E93" s="49">
        <v>1</v>
      </c>
      <c r="F93" t="s">
        <v>145</v>
      </c>
      <c r="G93" t="s">
        <v>21</v>
      </c>
      <c r="H93" t="s">
        <v>76</v>
      </c>
      <c r="I93" s="13">
        <v>45000</v>
      </c>
      <c r="J93" s="13">
        <v>40000</v>
      </c>
      <c r="K93" s="13">
        <f>IF(J93&lt;'Mapa Oficinas'!$I$21,0,IF(J93&gt;'Mapa Oficinas'!$I$20,0,1))</f>
        <v>0</v>
      </c>
      <c r="L93" t="s">
        <v>23</v>
      </c>
      <c r="M93" t="s">
        <v>23</v>
      </c>
      <c r="N93" t="s">
        <v>146</v>
      </c>
      <c r="O93" t="s">
        <v>102</v>
      </c>
      <c r="P93" t="s">
        <v>45</v>
      </c>
      <c r="Q93">
        <v>2</v>
      </c>
      <c r="R93" t="s">
        <v>103</v>
      </c>
      <c r="S93" t="s">
        <v>28</v>
      </c>
      <c r="T93" t="str">
        <f>VLOOKUP(S93,'Mapa Oficinas'!$H$7:$I$16,2,FALSE)</f>
        <v>CB</v>
      </c>
      <c r="U93" t="s">
        <v>29</v>
      </c>
      <c r="V93" t="str">
        <f>VLOOKUP($R93,'Mapa Oficinas'!$A$7:$C$46,2,FALSE)</f>
        <v>Zona Sur (GBA)</v>
      </c>
      <c r="W93" t="str">
        <f>VLOOKUP($R93,'Mapa Oficinas'!$A$7:$C$46,3,FALSE)</f>
        <v>La Plata</v>
      </c>
    </row>
    <row r="94" spans="1:23" x14ac:dyDescent="0.2">
      <c r="A94" s="1">
        <v>45674</v>
      </c>
      <c r="B94" s="20">
        <f t="shared" si="2"/>
        <v>2025</v>
      </c>
      <c r="C94" s="20">
        <f t="shared" si="3"/>
        <v>1</v>
      </c>
      <c r="D94" t="s">
        <v>275</v>
      </c>
      <c r="E94" s="49">
        <v>1</v>
      </c>
      <c r="F94" t="s">
        <v>276</v>
      </c>
      <c r="G94" t="s">
        <v>21</v>
      </c>
      <c r="H94" t="s">
        <v>100</v>
      </c>
      <c r="I94" s="13">
        <v>50000</v>
      </c>
      <c r="J94" s="13">
        <v>40000</v>
      </c>
      <c r="K94" s="13">
        <f>IF(J94&lt;'Mapa Oficinas'!$I$21,0,IF(J94&gt;'Mapa Oficinas'!$I$20,0,1))</f>
        <v>0</v>
      </c>
      <c r="L94" t="s">
        <v>23</v>
      </c>
      <c r="M94" t="s">
        <v>23</v>
      </c>
      <c r="N94" t="s">
        <v>277</v>
      </c>
      <c r="O94" t="s">
        <v>278</v>
      </c>
      <c r="P94" t="s">
        <v>26</v>
      </c>
      <c r="Q94">
        <v>2</v>
      </c>
      <c r="R94" t="s">
        <v>130</v>
      </c>
      <c r="S94" t="s">
        <v>28</v>
      </c>
      <c r="T94" t="str">
        <f>VLOOKUP(S94,'Mapa Oficinas'!$H$7:$I$16,2,FALSE)</f>
        <v>CB</v>
      </c>
      <c r="U94" t="s">
        <v>29</v>
      </c>
      <c r="V94" t="str">
        <f>VLOOKUP($R94,'Mapa Oficinas'!$A$7:$C$46,2,FALSE)</f>
        <v>Interior - Neuquén</v>
      </c>
      <c r="W94" t="str">
        <f>VLOOKUP($R94,'Mapa Oficinas'!$A$7:$C$46,3,FALSE)</f>
        <v>San Martín de los Andes</v>
      </c>
    </row>
    <row r="95" spans="1:23" x14ac:dyDescent="0.2">
      <c r="A95" s="1">
        <v>45869</v>
      </c>
      <c r="B95" s="20">
        <f t="shared" si="2"/>
        <v>2025</v>
      </c>
      <c r="C95" s="20">
        <f t="shared" si="3"/>
        <v>7</v>
      </c>
      <c r="D95" t="s">
        <v>3333</v>
      </c>
      <c r="E95" s="49">
        <v>1</v>
      </c>
      <c r="F95" t="s">
        <v>3334</v>
      </c>
      <c r="G95" t="s">
        <v>21</v>
      </c>
      <c r="H95" t="s">
        <v>37</v>
      </c>
      <c r="I95" s="13">
        <v>45000</v>
      </c>
      <c r="J95" s="13">
        <v>40000</v>
      </c>
      <c r="K95" s="13">
        <f>IF(J95&lt;'Mapa Oficinas'!$I$21,0,IF(J95&gt;'Mapa Oficinas'!$I$20,0,1))</f>
        <v>0</v>
      </c>
      <c r="L95" t="s">
        <v>23</v>
      </c>
      <c r="M95" t="s">
        <v>23</v>
      </c>
      <c r="N95" t="s">
        <v>3335</v>
      </c>
      <c r="O95" t="s">
        <v>3336</v>
      </c>
      <c r="P95" t="s">
        <v>45</v>
      </c>
      <c r="Q95">
        <v>2</v>
      </c>
      <c r="R95" t="s">
        <v>135</v>
      </c>
      <c r="S95" t="s">
        <v>28</v>
      </c>
      <c r="T95" t="str">
        <f>VLOOKUP(S95,'Mapa Oficinas'!$H$7:$I$16,2,FALSE)</f>
        <v>CB</v>
      </c>
      <c r="U95" t="s">
        <v>29</v>
      </c>
      <c r="V95" t="str">
        <f>VLOOKUP($R95,'Mapa Oficinas'!$A$7:$C$46,2,FALSE)</f>
        <v>CABA</v>
      </c>
      <c r="W95" t="str">
        <f>VLOOKUP($R95,'Mapa Oficinas'!$A$7:$C$46,3,FALSE)</f>
        <v>Recoleta</v>
      </c>
    </row>
    <row r="96" spans="1:23" x14ac:dyDescent="0.2">
      <c r="A96" s="1">
        <v>45882</v>
      </c>
      <c r="B96" s="20">
        <f t="shared" si="2"/>
        <v>2025</v>
      </c>
      <c r="C96" s="20">
        <f t="shared" si="3"/>
        <v>8</v>
      </c>
      <c r="D96" t="s">
        <v>3564</v>
      </c>
      <c r="E96" s="49">
        <v>1</v>
      </c>
      <c r="F96" t="s">
        <v>3565</v>
      </c>
      <c r="G96" t="s">
        <v>21</v>
      </c>
      <c r="H96" t="s">
        <v>37</v>
      </c>
      <c r="I96" s="13">
        <v>45000</v>
      </c>
      <c r="J96" s="13">
        <v>40000</v>
      </c>
      <c r="K96" s="13">
        <f>IF(J96&lt;'Mapa Oficinas'!$I$21,0,IF(J96&gt;'Mapa Oficinas'!$I$20,0,1))</f>
        <v>0</v>
      </c>
      <c r="L96" t="s">
        <v>23</v>
      </c>
      <c r="M96" t="s">
        <v>23</v>
      </c>
      <c r="N96" t="s">
        <v>3566</v>
      </c>
      <c r="O96" t="s">
        <v>162</v>
      </c>
      <c r="P96" t="s">
        <v>55</v>
      </c>
      <c r="Q96">
        <v>2</v>
      </c>
      <c r="R96" t="s">
        <v>27</v>
      </c>
      <c r="S96" t="s">
        <v>28</v>
      </c>
      <c r="T96" t="str">
        <f>VLOOKUP(S96,'Mapa Oficinas'!$H$7:$I$16,2,FALSE)</f>
        <v>CB</v>
      </c>
      <c r="U96" t="s">
        <v>29</v>
      </c>
      <c r="V96" t="str">
        <f>VLOOKUP($R96,'Mapa Oficinas'!$A$7:$C$46,2,FALSE)</f>
        <v>Zona Norte (GBA)</v>
      </c>
      <c r="W96" t="str">
        <f>VLOOKUP($R96,'Mapa Oficinas'!$A$7:$C$46,3,FALSE)</f>
        <v>Tigre</v>
      </c>
    </row>
    <row r="97" spans="1:23" x14ac:dyDescent="0.2">
      <c r="A97" s="1">
        <v>45933</v>
      </c>
      <c r="B97" s="20">
        <f t="shared" si="2"/>
        <v>2025</v>
      </c>
      <c r="C97" s="20">
        <f t="shared" si="3"/>
        <v>10</v>
      </c>
      <c r="D97" t="s">
        <v>4474</v>
      </c>
      <c r="E97" s="49">
        <v>1</v>
      </c>
      <c r="F97" t="s">
        <v>4475</v>
      </c>
      <c r="G97" t="s">
        <v>21</v>
      </c>
      <c r="H97" t="s">
        <v>37</v>
      </c>
      <c r="I97" s="13">
        <v>45000</v>
      </c>
      <c r="J97" s="13">
        <v>40000</v>
      </c>
      <c r="K97" s="13">
        <f>IF(J97&lt;'Mapa Oficinas'!$I$21,0,IF(J97&gt;'Mapa Oficinas'!$I$20,0,1))</f>
        <v>0</v>
      </c>
      <c r="L97" t="s">
        <v>23</v>
      </c>
      <c r="M97" t="s">
        <v>23</v>
      </c>
      <c r="N97" t="s">
        <v>4476</v>
      </c>
      <c r="O97" t="s">
        <v>1090</v>
      </c>
      <c r="P97" t="s">
        <v>61</v>
      </c>
      <c r="Q97">
        <v>2</v>
      </c>
      <c r="R97" t="s">
        <v>62</v>
      </c>
      <c r="S97" t="s">
        <v>28</v>
      </c>
      <c r="T97" t="str">
        <f>VLOOKUP(S97,'Mapa Oficinas'!$H$7:$I$16,2,FALSE)</f>
        <v>CB</v>
      </c>
      <c r="U97" t="s">
        <v>29</v>
      </c>
      <c r="V97" t="str">
        <f>VLOOKUP($R97,'Mapa Oficinas'!$A$7:$C$46,2,FALSE)</f>
        <v>CABA</v>
      </c>
      <c r="W97" t="str">
        <f>VLOOKUP($R97,'Mapa Oficinas'!$A$7:$C$46,3,FALSE)</f>
        <v>Villa Urquiza</v>
      </c>
    </row>
    <row r="98" spans="1:23" x14ac:dyDescent="0.2">
      <c r="A98" s="1">
        <v>45946</v>
      </c>
      <c r="B98" s="20">
        <f t="shared" si="2"/>
        <v>2025</v>
      </c>
      <c r="C98" s="20">
        <f t="shared" si="3"/>
        <v>10</v>
      </c>
      <c r="D98" t="s">
        <v>4735</v>
      </c>
      <c r="E98" s="49">
        <v>1</v>
      </c>
      <c r="F98" t="s">
        <v>4736</v>
      </c>
      <c r="G98" t="s">
        <v>21</v>
      </c>
      <c r="H98" t="s">
        <v>37</v>
      </c>
      <c r="I98" s="13">
        <v>48000</v>
      </c>
      <c r="J98" s="13">
        <v>40000</v>
      </c>
      <c r="K98" s="13">
        <f>IF(J98&lt;'Mapa Oficinas'!$I$21,0,IF(J98&gt;'Mapa Oficinas'!$I$20,0,1))</f>
        <v>0</v>
      </c>
      <c r="L98" t="s">
        <v>23</v>
      </c>
      <c r="M98" t="s">
        <v>23</v>
      </c>
      <c r="N98" t="s">
        <v>4737</v>
      </c>
      <c r="O98" t="s">
        <v>4738</v>
      </c>
      <c r="P98" t="s">
        <v>8587</v>
      </c>
      <c r="Q98">
        <v>2</v>
      </c>
      <c r="R98" t="s">
        <v>183</v>
      </c>
      <c r="S98" t="s">
        <v>28</v>
      </c>
      <c r="T98" t="str">
        <f>VLOOKUP(S98,'Mapa Oficinas'!$H$7:$I$16,2,FALSE)</f>
        <v>CB</v>
      </c>
      <c r="U98" t="s">
        <v>29</v>
      </c>
      <c r="V98" t="str">
        <f>VLOOKUP($R98,'Mapa Oficinas'!$A$7:$C$46,2,FALSE)</f>
        <v>Interior - Neuquén</v>
      </c>
      <c r="W98" t="str">
        <f>VLOOKUP($R98,'Mapa Oficinas'!$A$7:$C$46,3,FALSE)</f>
        <v>Capital Neuquén</v>
      </c>
    </row>
    <row r="99" spans="1:23" x14ac:dyDescent="0.2">
      <c r="A99" s="1">
        <v>45954</v>
      </c>
      <c r="B99" s="20">
        <f t="shared" si="2"/>
        <v>2025</v>
      </c>
      <c r="C99" s="20">
        <f t="shared" si="3"/>
        <v>10</v>
      </c>
      <c r="D99" t="s">
        <v>4885</v>
      </c>
      <c r="E99" s="49">
        <v>1</v>
      </c>
      <c r="F99" t="s">
        <v>4886</v>
      </c>
      <c r="G99" t="s">
        <v>21</v>
      </c>
      <c r="H99" t="s">
        <v>100</v>
      </c>
      <c r="I99" s="13">
        <v>45000</v>
      </c>
      <c r="J99" s="13">
        <v>40000</v>
      </c>
      <c r="K99" s="13">
        <f>IF(J99&lt;'Mapa Oficinas'!$I$21,0,IF(J99&gt;'Mapa Oficinas'!$I$20,0,1))</f>
        <v>0</v>
      </c>
      <c r="L99" t="s">
        <v>23</v>
      </c>
      <c r="M99" t="s">
        <v>23</v>
      </c>
      <c r="N99" t="s">
        <v>4887</v>
      </c>
      <c r="O99" t="s">
        <v>2852</v>
      </c>
      <c r="P99" t="s">
        <v>2681</v>
      </c>
      <c r="Q99">
        <v>2</v>
      </c>
      <c r="R99" t="s">
        <v>2003</v>
      </c>
      <c r="S99" t="s">
        <v>28</v>
      </c>
      <c r="T99" t="str">
        <f>VLOOKUP(S99,'Mapa Oficinas'!$H$7:$I$16,2,FALSE)</f>
        <v>CB</v>
      </c>
      <c r="U99" t="s">
        <v>29</v>
      </c>
      <c r="V99" t="str">
        <f>VLOOKUP($R99,'Mapa Oficinas'!$A$7:$C$46,2,FALSE)</f>
        <v>Interior - Mendoza</v>
      </c>
      <c r="W99" t="str">
        <f>VLOOKUP($R99,'Mapa Oficinas'!$A$7:$C$46,3,FALSE)</f>
        <v>San Rafael</v>
      </c>
    </row>
    <row r="100" spans="1:23" x14ac:dyDescent="0.2">
      <c r="A100" s="1">
        <v>46042</v>
      </c>
      <c r="B100" s="20">
        <f t="shared" si="2"/>
        <v>2026</v>
      </c>
      <c r="C100" s="20">
        <f t="shared" si="3"/>
        <v>1</v>
      </c>
      <c r="D100" t="s">
        <v>6313</v>
      </c>
      <c r="E100" s="49">
        <v>1</v>
      </c>
      <c r="F100" t="s">
        <v>6314</v>
      </c>
      <c r="G100" t="s">
        <v>21</v>
      </c>
      <c r="H100" t="s">
        <v>37</v>
      </c>
      <c r="I100" s="13">
        <v>42000</v>
      </c>
      <c r="J100" s="13">
        <v>40000</v>
      </c>
      <c r="K100" s="13">
        <f>IF(J100&lt;'Mapa Oficinas'!$I$21,0,IF(J100&gt;'Mapa Oficinas'!$I$20,0,1))</f>
        <v>0</v>
      </c>
      <c r="L100" t="s">
        <v>23</v>
      </c>
      <c r="M100" t="s">
        <v>23</v>
      </c>
      <c r="N100" t="s">
        <v>6315</v>
      </c>
      <c r="O100" t="s">
        <v>2834</v>
      </c>
      <c r="P100" t="s">
        <v>61</v>
      </c>
      <c r="Q100">
        <v>2</v>
      </c>
      <c r="R100" t="s">
        <v>429</v>
      </c>
      <c r="S100" t="s">
        <v>28</v>
      </c>
      <c r="T100" t="str">
        <f>VLOOKUP(S100,'Mapa Oficinas'!$H$7:$I$16,2,FALSE)</f>
        <v>CB</v>
      </c>
      <c r="U100" t="s">
        <v>29</v>
      </c>
      <c r="V100" t="str">
        <f>VLOOKUP($R100,'Mapa Oficinas'!$A$7:$C$46,2,FALSE)</f>
        <v>Zona Oeste (GBA)</v>
      </c>
      <c r="W100" t="str">
        <f>VLOOKUP($R100,'Mapa Oficinas'!$A$7:$C$46,3,FALSE)</f>
        <v>Parque Leloir</v>
      </c>
    </row>
    <row r="101" spans="1:23" x14ac:dyDescent="0.2">
      <c r="A101" s="1">
        <v>46058</v>
      </c>
      <c r="B101" s="20">
        <f t="shared" si="2"/>
        <v>2026</v>
      </c>
      <c r="C101" s="20">
        <f t="shared" si="3"/>
        <v>2</v>
      </c>
      <c r="D101" t="s">
        <v>6538</v>
      </c>
      <c r="E101" s="49">
        <v>1</v>
      </c>
      <c r="F101" t="s">
        <v>6539</v>
      </c>
      <c r="G101" t="s">
        <v>21</v>
      </c>
      <c r="H101" t="s">
        <v>221</v>
      </c>
      <c r="I101" s="13">
        <v>55000</v>
      </c>
      <c r="J101" s="13">
        <v>40000</v>
      </c>
      <c r="K101" s="13">
        <f>IF(J101&lt;'Mapa Oficinas'!$I$21,0,IF(J101&gt;'Mapa Oficinas'!$I$20,0,1))</f>
        <v>0</v>
      </c>
      <c r="L101" t="s">
        <v>23</v>
      </c>
      <c r="M101" t="s">
        <v>23</v>
      </c>
      <c r="N101" t="s">
        <v>6540</v>
      </c>
      <c r="O101" t="s">
        <v>1378</v>
      </c>
      <c r="P101" t="s">
        <v>26</v>
      </c>
      <c r="Q101">
        <v>2</v>
      </c>
      <c r="R101" t="s">
        <v>167</v>
      </c>
      <c r="S101" t="s">
        <v>28</v>
      </c>
      <c r="T101" t="str">
        <f>VLOOKUP(S101,'Mapa Oficinas'!$H$7:$I$16,2,FALSE)</f>
        <v>CB</v>
      </c>
      <c r="U101" t="s">
        <v>29</v>
      </c>
      <c r="V101" t="str">
        <f>VLOOKUP($R101,'Mapa Oficinas'!$A$7:$C$46,2,FALSE)</f>
        <v>Interior - Santa Fe</v>
      </c>
      <c r="W101" t="str">
        <f>VLOOKUP($R101,'Mapa Oficinas'!$A$7:$C$46,3,FALSE)</f>
        <v>Capital Santa Fe</v>
      </c>
    </row>
    <row r="102" spans="1:23" x14ac:dyDescent="0.2">
      <c r="A102" s="1">
        <v>46076</v>
      </c>
      <c r="B102" s="20">
        <f t="shared" si="2"/>
        <v>2026</v>
      </c>
      <c r="C102" s="20">
        <f t="shared" si="3"/>
        <v>2</v>
      </c>
      <c r="D102" t="s">
        <v>6795</v>
      </c>
      <c r="E102" s="49">
        <v>1</v>
      </c>
      <c r="F102" t="s">
        <v>6796</v>
      </c>
      <c r="G102" t="s">
        <v>21</v>
      </c>
      <c r="H102" t="s">
        <v>6738</v>
      </c>
      <c r="I102" s="13">
        <v>45000</v>
      </c>
      <c r="J102" s="13">
        <v>40000</v>
      </c>
      <c r="K102" s="13">
        <f>IF(J102&lt;'Mapa Oficinas'!$I$21,0,IF(J102&gt;'Mapa Oficinas'!$I$20,0,1))</f>
        <v>0</v>
      </c>
      <c r="L102" t="s">
        <v>23</v>
      </c>
      <c r="M102" t="s">
        <v>23</v>
      </c>
      <c r="N102" t="s">
        <v>6797</v>
      </c>
      <c r="O102" t="s">
        <v>6798</v>
      </c>
      <c r="P102" t="s">
        <v>26</v>
      </c>
      <c r="Q102">
        <v>2</v>
      </c>
      <c r="R102" t="s">
        <v>2003</v>
      </c>
      <c r="S102" t="s">
        <v>28</v>
      </c>
      <c r="T102" t="str">
        <f>VLOOKUP(S102,'Mapa Oficinas'!$H$7:$I$16,2,FALSE)</f>
        <v>CB</v>
      </c>
      <c r="U102" t="s">
        <v>29</v>
      </c>
      <c r="V102" t="str">
        <f>VLOOKUP($R102,'Mapa Oficinas'!$A$7:$C$46,2,FALSE)</f>
        <v>Interior - Mendoza</v>
      </c>
      <c r="W102" t="str">
        <f>VLOOKUP($R102,'Mapa Oficinas'!$A$7:$C$46,3,FALSE)</f>
        <v>San Rafael</v>
      </c>
    </row>
    <row r="103" spans="1:23" x14ac:dyDescent="0.2">
      <c r="A103" s="1">
        <v>45770</v>
      </c>
      <c r="B103" s="20">
        <f t="shared" si="2"/>
        <v>2025</v>
      </c>
      <c r="C103" s="20">
        <f t="shared" si="3"/>
        <v>4</v>
      </c>
      <c r="D103" t="s">
        <v>1565</v>
      </c>
      <c r="E103" s="49">
        <v>1</v>
      </c>
      <c r="F103" t="s">
        <v>1566</v>
      </c>
      <c r="G103" t="s">
        <v>21</v>
      </c>
      <c r="H103" t="s">
        <v>37</v>
      </c>
      <c r="I103" s="13">
        <v>43000</v>
      </c>
      <c r="J103" s="13">
        <v>40500</v>
      </c>
      <c r="K103" s="13">
        <f>IF(J103&lt;'Mapa Oficinas'!$I$21,0,IF(J103&gt;'Mapa Oficinas'!$I$20,0,1))</f>
        <v>0</v>
      </c>
      <c r="L103" t="s">
        <v>23</v>
      </c>
      <c r="M103" t="s">
        <v>23</v>
      </c>
      <c r="N103" t="s">
        <v>1567</v>
      </c>
      <c r="O103" t="s">
        <v>440</v>
      </c>
      <c r="P103" t="s">
        <v>45</v>
      </c>
      <c r="Q103">
        <v>2</v>
      </c>
      <c r="R103" t="s">
        <v>62</v>
      </c>
      <c r="S103" t="s">
        <v>79</v>
      </c>
      <c r="T103" t="str">
        <f>VLOOKUP(S103,'Mapa Oficinas'!$H$7:$I$16,2,FALSE)</f>
        <v>CB</v>
      </c>
      <c r="U103" t="s">
        <v>29</v>
      </c>
      <c r="V103" t="str">
        <f>VLOOKUP($R103,'Mapa Oficinas'!$A$7:$C$46,2,FALSE)</f>
        <v>CABA</v>
      </c>
      <c r="W103" t="str">
        <f>VLOOKUP($R103,'Mapa Oficinas'!$A$7:$C$46,3,FALSE)</f>
        <v>Villa Urquiza</v>
      </c>
    </row>
    <row r="104" spans="1:23" x14ac:dyDescent="0.2">
      <c r="A104" s="1">
        <v>45810</v>
      </c>
      <c r="B104" s="20">
        <f t="shared" si="2"/>
        <v>2025</v>
      </c>
      <c r="C104" s="20">
        <f t="shared" si="3"/>
        <v>6</v>
      </c>
      <c r="D104" t="s">
        <v>2265</v>
      </c>
      <c r="E104" s="49">
        <v>1</v>
      </c>
      <c r="F104" t="s">
        <v>2266</v>
      </c>
      <c r="G104" t="s">
        <v>21</v>
      </c>
      <c r="H104" t="s">
        <v>37</v>
      </c>
      <c r="I104" s="13">
        <v>44000</v>
      </c>
      <c r="J104" s="13">
        <v>40500</v>
      </c>
      <c r="K104" s="13">
        <f>IF(J104&lt;'Mapa Oficinas'!$I$21,0,IF(J104&gt;'Mapa Oficinas'!$I$20,0,1))</f>
        <v>0</v>
      </c>
      <c r="L104" t="s">
        <v>23</v>
      </c>
      <c r="M104" t="s">
        <v>23</v>
      </c>
      <c r="N104" t="s">
        <v>2267</v>
      </c>
      <c r="O104" t="s">
        <v>1014</v>
      </c>
      <c r="P104" t="s">
        <v>45</v>
      </c>
      <c r="Q104">
        <v>2</v>
      </c>
      <c r="R104" t="s">
        <v>103</v>
      </c>
      <c r="S104" t="s">
        <v>79</v>
      </c>
      <c r="T104" t="str">
        <f>VLOOKUP(S104,'Mapa Oficinas'!$H$7:$I$16,2,FALSE)</f>
        <v>CB</v>
      </c>
      <c r="U104" t="s">
        <v>29</v>
      </c>
      <c r="V104" t="str">
        <f>VLOOKUP($R104,'Mapa Oficinas'!$A$7:$C$46,2,FALSE)</f>
        <v>Zona Sur (GBA)</v>
      </c>
      <c r="W104" t="str">
        <f>VLOOKUP($R104,'Mapa Oficinas'!$A$7:$C$46,3,FALSE)</f>
        <v>La Plata</v>
      </c>
    </row>
    <row r="105" spans="1:23" x14ac:dyDescent="0.2">
      <c r="A105" s="1">
        <v>46087</v>
      </c>
      <c r="B105" s="20">
        <f t="shared" si="2"/>
        <v>2026</v>
      </c>
      <c r="C105" s="20">
        <f t="shared" si="3"/>
        <v>3</v>
      </c>
      <c r="D105" t="s">
        <v>6987</v>
      </c>
      <c r="E105" s="49">
        <v>0</v>
      </c>
      <c r="F105" t="s">
        <v>6379</v>
      </c>
      <c r="G105" t="s">
        <v>21</v>
      </c>
      <c r="H105" t="s">
        <v>81</v>
      </c>
      <c r="I105" s="13">
        <v>40700</v>
      </c>
      <c r="J105" s="13">
        <v>40704</v>
      </c>
      <c r="K105" s="13">
        <f>IF(J105&lt;'Mapa Oficinas'!$I$21,0,IF(J105&gt;'Mapa Oficinas'!$I$20,0,1))</f>
        <v>0</v>
      </c>
      <c r="L105" t="s">
        <v>23</v>
      </c>
      <c r="M105" t="s">
        <v>23</v>
      </c>
      <c r="N105" t="s">
        <v>6170</v>
      </c>
      <c r="O105" t="s">
        <v>505</v>
      </c>
      <c r="P105" t="s">
        <v>26</v>
      </c>
      <c r="Q105">
        <v>2</v>
      </c>
      <c r="R105" t="s">
        <v>84</v>
      </c>
      <c r="S105" t="s">
        <v>79</v>
      </c>
      <c r="T105" t="str">
        <f>VLOOKUP(S105,'Mapa Oficinas'!$H$7:$I$16,2,FALSE)</f>
        <v>CB</v>
      </c>
      <c r="U105" t="s">
        <v>29</v>
      </c>
      <c r="V105" t="str">
        <f>VLOOKUP($R105,'Mapa Oficinas'!$A$7:$C$46,2,FALSE)</f>
        <v>Interior - Neuquén</v>
      </c>
      <c r="W105" t="str">
        <f>VLOOKUP($R105,'Mapa Oficinas'!$A$7:$C$46,3,FALSE)</f>
        <v>Villa La Angostura</v>
      </c>
    </row>
    <row r="106" spans="1:23" x14ac:dyDescent="0.2">
      <c r="A106" s="1">
        <v>45923</v>
      </c>
      <c r="B106" s="20">
        <f t="shared" si="2"/>
        <v>2025</v>
      </c>
      <c r="C106" s="20">
        <f t="shared" si="3"/>
        <v>9</v>
      </c>
      <c r="D106" t="s">
        <v>1470</v>
      </c>
      <c r="E106" s="49">
        <v>1</v>
      </c>
      <c r="F106" t="s">
        <v>1471</v>
      </c>
      <c r="G106" t="s">
        <v>21</v>
      </c>
      <c r="H106" t="s">
        <v>22</v>
      </c>
      <c r="I106" s="13">
        <v>49990</v>
      </c>
      <c r="J106" s="13">
        <v>41000</v>
      </c>
      <c r="K106" s="13">
        <f>IF(J106&lt;'Mapa Oficinas'!$I$21,0,IF(J106&gt;'Mapa Oficinas'!$I$20,0,1))</f>
        <v>0</v>
      </c>
      <c r="L106" t="s">
        <v>23</v>
      </c>
      <c r="M106" t="s">
        <v>23</v>
      </c>
      <c r="N106" t="s">
        <v>1472</v>
      </c>
      <c r="O106" t="s">
        <v>1425</v>
      </c>
      <c r="P106" t="s">
        <v>61</v>
      </c>
      <c r="Q106">
        <v>2</v>
      </c>
      <c r="R106" t="s">
        <v>62</v>
      </c>
      <c r="S106" t="s">
        <v>28</v>
      </c>
      <c r="T106" t="str">
        <f>VLOOKUP(S106,'Mapa Oficinas'!$H$7:$I$16,2,FALSE)</f>
        <v>CB</v>
      </c>
      <c r="U106" t="s">
        <v>29</v>
      </c>
      <c r="V106" t="str">
        <f>VLOOKUP($R106,'Mapa Oficinas'!$A$7:$C$46,2,FALSE)</f>
        <v>CABA</v>
      </c>
      <c r="W106" t="str">
        <f>VLOOKUP($R106,'Mapa Oficinas'!$A$7:$C$46,3,FALSE)</f>
        <v>Villa Urquiza</v>
      </c>
    </row>
    <row r="107" spans="1:23" x14ac:dyDescent="0.2">
      <c r="A107" s="1">
        <v>46001</v>
      </c>
      <c r="B107" s="20">
        <f t="shared" si="2"/>
        <v>2025</v>
      </c>
      <c r="C107" s="20">
        <f t="shared" si="3"/>
        <v>12</v>
      </c>
      <c r="D107" t="s">
        <v>5695</v>
      </c>
      <c r="E107" s="49">
        <v>1</v>
      </c>
      <c r="F107" t="s">
        <v>5696</v>
      </c>
      <c r="G107" t="s">
        <v>21</v>
      </c>
      <c r="H107" t="s">
        <v>81</v>
      </c>
      <c r="I107" s="13">
        <v>45000</v>
      </c>
      <c r="J107" s="13">
        <v>41200</v>
      </c>
      <c r="K107" s="13">
        <f>IF(J107&lt;'Mapa Oficinas'!$I$21,0,IF(J107&gt;'Mapa Oficinas'!$I$20,0,1))</f>
        <v>0</v>
      </c>
      <c r="L107" t="s">
        <v>23</v>
      </c>
      <c r="M107" t="s">
        <v>23</v>
      </c>
      <c r="N107" t="s">
        <v>5697</v>
      </c>
      <c r="O107" t="s">
        <v>223</v>
      </c>
      <c r="P107" t="s">
        <v>61</v>
      </c>
      <c r="Q107">
        <v>1</v>
      </c>
      <c r="R107" t="s">
        <v>167</v>
      </c>
      <c r="S107" t="s">
        <v>152</v>
      </c>
      <c r="T107" t="str">
        <f>VLOOKUP(S107,'Mapa Oficinas'!$H$7:$I$16,2,FALSE)</f>
        <v>Otra Red Captación</v>
      </c>
      <c r="U107" t="s">
        <v>29</v>
      </c>
      <c r="V107" t="str">
        <f>VLOOKUP($R107,'Mapa Oficinas'!$A$7:$C$46,2,FALSE)</f>
        <v>Interior - Santa Fe</v>
      </c>
      <c r="W107" t="str">
        <f>VLOOKUP($R107,'Mapa Oficinas'!$A$7:$C$46,3,FALSE)</f>
        <v>Capital Santa Fe</v>
      </c>
    </row>
    <row r="108" spans="1:23" x14ac:dyDescent="0.2">
      <c r="A108" s="1">
        <v>45986</v>
      </c>
      <c r="B108" s="20">
        <f t="shared" si="2"/>
        <v>2025</v>
      </c>
      <c r="C108" s="20">
        <f t="shared" si="3"/>
        <v>11</v>
      </c>
      <c r="D108" t="s">
        <v>5360</v>
      </c>
      <c r="E108" s="49">
        <v>1</v>
      </c>
      <c r="F108" t="s">
        <v>5361</v>
      </c>
      <c r="G108" t="s">
        <v>21</v>
      </c>
      <c r="H108" t="s">
        <v>37</v>
      </c>
      <c r="I108" s="13">
        <v>41999</v>
      </c>
      <c r="J108" s="13">
        <v>41200</v>
      </c>
      <c r="K108" s="13">
        <f>IF(J108&lt;'Mapa Oficinas'!$I$21,0,IF(J108&gt;'Mapa Oficinas'!$I$20,0,1))</f>
        <v>0</v>
      </c>
      <c r="L108" t="s">
        <v>23</v>
      </c>
      <c r="M108" t="s">
        <v>23</v>
      </c>
      <c r="N108" t="s">
        <v>5362</v>
      </c>
      <c r="O108" t="s">
        <v>5363</v>
      </c>
      <c r="P108" t="s">
        <v>45</v>
      </c>
      <c r="Q108">
        <v>2</v>
      </c>
      <c r="R108" t="s">
        <v>429</v>
      </c>
      <c r="S108" t="s">
        <v>28</v>
      </c>
      <c r="T108" t="str">
        <f>VLOOKUP(S108,'Mapa Oficinas'!$H$7:$I$16,2,FALSE)</f>
        <v>CB</v>
      </c>
      <c r="U108" t="s">
        <v>29</v>
      </c>
      <c r="V108" t="str">
        <f>VLOOKUP($R108,'Mapa Oficinas'!$A$7:$C$46,2,FALSE)</f>
        <v>Zona Oeste (GBA)</v>
      </c>
      <c r="W108" t="str">
        <f>VLOOKUP($R108,'Mapa Oficinas'!$A$7:$C$46,3,FALSE)</f>
        <v>Parque Leloir</v>
      </c>
    </row>
    <row r="109" spans="1:23" x14ac:dyDescent="0.2">
      <c r="A109" s="1">
        <v>45763</v>
      </c>
      <c r="B109" s="20">
        <f t="shared" si="2"/>
        <v>2025</v>
      </c>
      <c r="C109" s="20">
        <f t="shared" si="3"/>
        <v>4</v>
      </c>
      <c r="D109" t="s">
        <v>1466</v>
      </c>
      <c r="E109" s="49">
        <v>1</v>
      </c>
      <c r="F109" t="s">
        <v>1467</v>
      </c>
      <c r="G109" t="s">
        <v>21</v>
      </c>
      <c r="H109" t="s">
        <v>81</v>
      </c>
      <c r="I109" s="13">
        <v>45000</v>
      </c>
      <c r="J109" s="13">
        <v>41500</v>
      </c>
      <c r="K109" s="13">
        <f>IF(J109&lt;'Mapa Oficinas'!$I$21,0,IF(J109&gt;'Mapa Oficinas'!$I$20,0,1))</f>
        <v>0</v>
      </c>
      <c r="L109" t="s">
        <v>23</v>
      </c>
      <c r="M109" t="s">
        <v>23</v>
      </c>
      <c r="N109" t="s">
        <v>1468</v>
      </c>
      <c r="O109" t="s">
        <v>1469</v>
      </c>
      <c r="P109" t="s">
        <v>45</v>
      </c>
      <c r="Q109">
        <v>2</v>
      </c>
      <c r="R109" t="s">
        <v>167</v>
      </c>
      <c r="S109" t="s">
        <v>79</v>
      </c>
      <c r="T109" t="str">
        <f>VLOOKUP(S109,'Mapa Oficinas'!$H$7:$I$16,2,FALSE)</f>
        <v>CB</v>
      </c>
      <c r="U109" t="s">
        <v>29</v>
      </c>
      <c r="V109" t="str">
        <f>VLOOKUP($R109,'Mapa Oficinas'!$A$7:$C$46,2,FALSE)</f>
        <v>Interior - Santa Fe</v>
      </c>
      <c r="W109" t="str">
        <f>VLOOKUP($R109,'Mapa Oficinas'!$A$7:$C$46,3,FALSE)</f>
        <v>Capital Santa Fe</v>
      </c>
    </row>
    <row r="110" spans="1:23" x14ac:dyDescent="0.2">
      <c r="A110" s="1">
        <v>45820</v>
      </c>
      <c r="B110" s="20">
        <f t="shared" si="2"/>
        <v>2025</v>
      </c>
      <c r="C110" s="20">
        <f t="shared" si="3"/>
        <v>6</v>
      </c>
      <c r="D110" t="s">
        <v>2467</v>
      </c>
      <c r="E110" s="49">
        <v>1</v>
      </c>
      <c r="F110" t="s">
        <v>2468</v>
      </c>
      <c r="G110" t="s">
        <v>21</v>
      </c>
      <c r="H110" t="s">
        <v>22</v>
      </c>
      <c r="I110" s="13">
        <v>43500</v>
      </c>
      <c r="J110" s="13">
        <v>41500</v>
      </c>
      <c r="K110" s="13">
        <f>IF(J110&lt;'Mapa Oficinas'!$I$21,0,IF(J110&gt;'Mapa Oficinas'!$I$20,0,1))</f>
        <v>0</v>
      </c>
      <c r="L110" t="s">
        <v>23</v>
      </c>
      <c r="M110" t="s">
        <v>23</v>
      </c>
      <c r="N110" t="s">
        <v>2469</v>
      </c>
      <c r="O110" t="s">
        <v>102</v>
      </c>
      <c r="P110" t="s">
        <v>45</v>
      </c>
      <c r="Q110">
        <v>2</v>
      </c>
      <c r="R110" t="s">
        <v>103</v>
      </c>
      <c r="S110" t="s">
        <v>28</v>
      </c>
      <c r="T110" t="str">
        <f>VLOOKUP(S110,'Mapa Oficinas'!$H$7:$I$16,2,FALSE)</f>
        <v>CB</v>
      </c>
      <c r="U110" t="s">
        <v>29</v>
      </c>
      <c r="V110" t="str">
        <f>VLOOKUP($R110,'Mapa Oficinas'!$A$7:$C$46,2,FALSE)</f>
        <v>Zona Sur (GBA)</v>
      </c>
      <c r="W110" t="str">
        <f>VLOOKUP($R110,'Mapa Oficinas'!$A$7:$C$46,3,FALSE)</f>
        <v>La Plata</v>
      </c>
    </row>
    <row r="111" spans="1:23" x14ac:dyDescent="0.2">
      <c r="A111" s="1">
        <v>45896</v>
      </c>
      <c r="B111" s="20">
        <f t="shared" si="2"/>
        <v>2025</v>
      </c>
      <c r="C111" s="20">
        <f t="shared" si="3"/>
        <v>8</v>
      </c>
      <c r="D111" t="s">
        <v>3794</v>
      </c>
      <c r="E111" s="49">
        <v>1</v>
      </c>
      <c r="F111" t="s">
        <v>3794</v>
      </c>
      <c r="G111" t="s">
        <v>21</v>
      </c>
      <c r="H111" t="s">
        <v>22</v>
      </c>
      <c r="I111" s="13">
        <v>83000</v>
      </c>
      <c r="J111" s="13">
        <v>41500</v>
      </c>
      <c r="K111" s="13">
        <f>IF(J111&lt;'Mapa Oficinas'!$I$21,0,IF(J111&gt;'Mapa Oficinas'!$I$20,0,1))</f>
        <v>0</v>
      </c>
      <c r="L111" t="s">
        <v>23</v>
      </c>
      <c r="M111" t="s">
        <v>23</v>
      </c>
      <c r="N111" t="s">
        <v>3794</v>
      </c>
      <c r="O111" t="s">
        <v>116</v>
      </c>
      <c r="P111" t="s">
        <v>45</v>
      </c>
      <c r="Q111">
        <v>2</v>
      </c>
      <c r="R111" t="s">
        <v>62</v>
      </c>
      <c r="S111" t="s">
        <v>28</v>
      </c>
      <c r="T111" t="str">
        <f>VLOOKUP(S111,'Mapa Oficinas'!$H$7:$I$16,2,FALSE)</f>
        <v>CB</v>
      </c>
      <c r="U111" t="s">
        <v>29</v>
      </c>
      <c r="V111" t="str">
        <f>VLOOKUP($R111,'Mapa Oficinas'!$A$7:$C$46,2,FALSE)</f>
        <v>CABA</v>
      </c>
      <c r="W111" t="str">
        <f>VLOOKUP($R111,'Mapa Oficinas'!$A$7:$C$46,3,FALSE)</f>
        <v>Villa Urquiza</v>
      </c>
    </row>
    <row r="112" spans="1:23" x14ac:dyDescent="0.2">
      <c r="A112" s="1">
        <v>45919</v>
      </c>
      <c r="B112" s="20">
        <f t="shared" si="2"/>
        <v>2025</v>
      </c>
      <c r="C112" s="20">
        <f t="shared" si="3"/>
        <v>9</v>
      </c>
      <c r="D112" t="s">
        <v>4235</v>
      </c>
      <c r="E112" s="49">
        <v>1</v>
      </c>
      <c r="F112" t="s">
        <v>4236</v>
      </c>
      <c r="G112" t="s">
        <v>21</v>
      </c>
      <c r="H112" t="s">
        <v>90</v>
      </c>
      <c r="I112" s="13">
        <v>81500</v>
      </c>
      <c r="J112" s="13">
        <v>41766</v>
      </c>
      <c r="K112" s="13">
        <f>IF(J112&lt;'Mapa Oficinas'!$I$21,0,IF(J112&gt;'Mapa Oficinas'!$I$20,0,1))</f>
        <v>0</v>
      </c>
      <c r="L112" t="s">
        <v>23</v>
      </c>
      <c r="M112" t="s">
        <v>23</v>
      </c>
      <c r="N112" t="s">
        <v>4237</v>
      </c>
      <c r="O112" t="s">
        <v>1014</v>
      </c>
      <c r="P112" t="s">
        <v>34</v>
      </c>
      <c r="Q112">
        <v>1</v>
      </c>
      <c r="R112" t="s">
        <v>103</v>
      </c>
      <c r="S112" t="s">
        <v>47</v>
      </c>
      <c r="T112" t="str">
        <f>VLOOKUP(S112,'Mapa Oficinas'!$H$7:$I$16,2,FALSE)</f>
        <v>Otra Red Búsqueda</v>
      </c>
      <c r="U112" t="s">
        <v>29</v>
      </c>
      <c r="V112" t="str">
        <f>VLOOKUP($R112,'Mapa Oficinas'!$A$7:$C$46,2,FALSE)</f>
        <v>Zona Sur (GBA)</v>
      </c>
      <c r="W112" t="str">
        <f>VLOOKUP($R112,'Mapa Oficinas'!$A$7:$C$46,3,FALSE)</f>
        <v>La Plata</v>
      </c>
    </row>
    <row r="113" spans="1:23" x14ac:dyDescent="0.2">
      <c r="A113" s="1">
        <v>45735</v>
      </c>
      <c r="B113" s="20">
        <f t="shared" si="2"/>
        <v>2025</v>
      </c>
      <c r="C113" s="20">
        <f t="shared" si="3"/>
        <v>3</v>
      </c>
      <c r="D113" t="s">
        <v>999</v>
      </c>
      <c r="E113" s="49">
        <v>1</v>
      </c>
      <c r="F113" t="s">
        <v>1000</v>
      </c>
      <c r="G113" t="s">
        <v>21</v>
      </c>
      <c r="H113" t="s">
        <v>22</v>
      </c>
      <c r="I113" s="13">
        <v>45000</v>
      </c>
      <c r="J113" s="13">
        <v>42000</v>
      </c>
      <c r="K113" s="13">
        <f>IF(J113&lt;'Mapa Oficinas'!$I$21,0,IF(J113&gt;'Mapa Oficinas'!$I$20,0,1))</f>
        <v>0</v>
      </c>
      <c r="L113" t="s">
        <v>23</v>
      </c>
      <c r="M113" t="s">
        <v>23</v>
      </c>
      <c r="N113" t="s">
        <v>1001</v>
      </c>
      <c r="O113" t="s">
        <v>1002</v>
      </c>
      <c r="P113" t="s">
        <v>61</v>
      </c>
      <c r="Q113">
        <v>2</v>
      </c>
      <c r="R113" t="s">
        <v>62</v>
      </c>
      <c r="S113" t="s">
        <v>79</v>
      </c>
      <c r="T113" t="str">
        <f>VLOOKUP(S113,'Mapa Oficinas'!$H$7:$I$16,2,FALSE)</f>
        <v>CB</v>
      </c>
      <c r="U113" t="s">
        <v>29</v>
      </c>
      <c r="V113" t="str">
        <f>VLOOKUP($R113,'Mapa Oficinas'!$A$7:$C$46,2,FALSE)</f>
        <v>CABA</v>
      </c>
      <c r="W113" t="str">
        <f>VLOOKUP($R113,'Mapa Oficinas'!$A$7:$C$46,3,FALSE)</f>
        <v>Villa Urquiza</v>
      </c>
    </row>
    <row r="114" spans="1:23" x14ac:dyDescent="0.2">
      <c r="A114" s="1">
        <v>45814</v>
      </c>
      <c r="B114" s="20">
        <f t="shared" si="2"/>
        <v>2025</v>
      </c>
      <c r="C114" s="20">
        <f t="shared" si="3"/>
        <v>6</v>
      </c>
      <c r="D114" t="s">
        <v>2351</v>
      </c>
      <c r="E114" s="49">
        <v>1</v>
      </c>
      <c r="F114" t="s">
        <v>2352</v>
      </c>
      <c r="G114" t="s">
        <v>21</v>
      </c>
      <c r="H114" t="s">
        <v>100</v>
      </c>
      <c r="I114" s="13">
        <v>50000</v>
      </c>
      <c r="J114" s="13">
        <v>42000</v>
      </c>
      <c r="K114" s="13">
        <f>IF(J114&lt;'Mapa Oficinas'!$I$21,0,IF(J114&gt;'Mapa Oficinas'!$I$20,0,1))</f>
        <v>0</v>
      </c>
      <c r="L114" t="s">
        <v>23</v>
      </c>
      <c r="M114" t="s">
        <v>23</v>
      </c>
      <c r="N114" t="s">
        <v>2353</v>
      </c>
      <c r="O114" t="s">
        <v>2354</v>
      </c>
      <c r="P114" t="s">
        <v>34</v>
      </c>
      <c r="Q114">
        <v>2</v>
      </c>
      <c r="R114" t="s">
        <v>121</v>
      </c>
      <c r="S114" t="s">
        <v>79</v>
      </c>
      <c r="T114" t="str">
        <f>VLOOKUP(S114,'Mapa Oficinas'!$H$7:$I$16,2,FALSE)</f>
        <v>CB</v>
      </c>
      <c r="U114" t="s">
        <v>29</v>
      </c>
      <c r="V114" t="str">
        <f>VLOOKUP($R114,'Mapa Oficinas'!$A$7:$C$46,2,FALSE)</f>
        <v>Interior - Río Negro</v>
      </c>
      <c r="W114" t="str">
        <f>VLOOKUP($R114,'Mapa Oficinas'!$A$7:$C$46,3,FALSE)</f>
        <v>Bariloche</v>
      </c>
    </row>
    <row r="115" spans="1:23" x14ac:dyDescent="0.2">
      <c r="A115" s="1">
        <v>45846</v>
      </c>
      <c r="B115" s="20">
        <f t="shared" si="2"/>
        <v>2025</v>
      </c>
      <c r="C115" s="20">
        <f t="shared" si="3"/>
        <v>7</v>
      </c>
      <c r="D115" t="s">
        <v>360</v>
      </c>
      <c r="E115" s="49">
        <v>1</v>
      </c>
      <c r="F115" t="s">
        <v>361</v>
      </c>
      <c r="G115" t="s">
        <v>21</v>
      </c>
      <c r="H115" t="s">
        <v>37</v>
      </c>
      <c r="I115" s="13">
        <v>44880</v>
      </c>
      <c r="J115" s="13">
        <v>42000</v>
      </c>
      <c r="K115" s="13">
        <f>IF(J115&lt;'Mapa Oficinas'!$I$21,0,IF(J115&gt;'Mapa Oficinas'!$I$20,0,1))</f>
        <v>0</v>
      </c>
      <c r="L115" t="s">
        <v>23</v>
      </c>
      <c r="M115" t="s">
        <v>23</v>
      </c>
      <c r="N115" t="s">
        <v>363</v>
      </c>
      <c r="O115" t="s">
        <v>364</v>
      </c>
      <c r="P115" t="s">
        <v>26</v>
      </c>
      <c r="Q115">
        <v>2</v>
      </c>
      <c r="R115" t="s">
        <v>110</v>
      </c>
      <c r="S115" t="s">
        <v>79</v>
      </c>
      <c r="T115" t="str">
        <f>VLOOKUP(S115,'Mapa Oficinas'!$H$7:$I$16,2,FALSE)</f>
        <v>CB</v>
      </c>
      <c r="U115" t="s">
        <v>29</v>
      </c>
      <c r="V115" t="str">
        <f>VLOOKUP($R115,'Mapa Oficinas'!$A$7:$C$46,2,FALSE)</f>
        <v>Zona Norte (GBA)</v>
      </c>
      <c r="W115" t="str">
        <f>VLOOKUP($R115,'Mapa Oficinas'!$A$7:$C$46,3,FALSE)</f>
        <v>Nordelta</v>
      </c>
    </row>
    <row r="116" spans="1:23" x14ac:dyDescent="0.2">
      <c r="A116" s="1">
        <v>45938</v>
      </c>
      <c r="B116" s="20">
        <f t="shared" si="2"/>
        <v>2025</v>
      </c>
      <c r="C116" s="20">
        <f t="shared" si="3"/>
        <v>10</v>
      </c>
      <c r="D116" t="s">
        <v>4570</v>
      </c>
      <c r="E116" s="49">
        <v>1</v>
      </c>
      <c r="F116" t="s">
        <v>4571</v>
      </c>
      <c r="G116" t="s">
        <v>21</v>
      </c>
      <c r="H116" t="s">
        <v>90</v>
      </c>
      <c r="I116" s="13">
        <v>43900</v>
      </c>
      <c r="J116" s="13">
        <v>42000</v>
      </c>
      <c r="K116" s="13">
        <f>IF(J116&lt;'Mapa Oficinas'!$I$21,0,IF(J116&gt;'Mapa Oficinas'!$I$20,0,1))</f>
        <v>0</v>
      </c>
      <c r="L116" t="s">
        <v>23</v>
      </c>
      <c r="M116" t="s">
        <v>23</v>
      </c>
      <c r="N116" t="s">
        <v>4572</v>
      </c>
      <c r="O116" t="s">
        <v>4573</v>
      </c>
      <c r="P116" t="s">
        <v>45</v>
      </c>
      <c r="Q116">
        <v>2</v>
      </c>
      <c r="R116" t="s">
        <v>62</v>
      </c>
      <c r="S116" t="s">
        <v>79</v>
      </c>
      <c r="T116" t="str">
        <f>VLOOKUP(S116,'Mapa Oficinas'!$H$7:$I$16,2,FALSE)</f>
        <v>CB</v>
      </c>
      <c r="U116" t="s">
        <v>29</v>
      </c>
      <c r="V116" t="str">
        <f>VLOOKUP($R116,'Mapa Oficinas'!$A$7:$C$46,2,FALSE)</f>
        <v>CABA</v>
      </c>
      <c r="W116" t="str">
        <f>VLOOKUP($R116,'Mapa Oficinas'!$A$7:$C$46,3,FALSE)</f>
        <v>Villa Urquiza</v>
      </c>
    </row>
    <row r="117" spans="1:23" x14ac:dyDescent="0.2">
      <c r="A117" s="1">
        <v>45954</v>
      </c>
      <c r="B117" s="20">
        <f t="shared" si="2"/>
        <v>2025</v>
      </c>
      <c r="C117" s="20">
        <f t="shared" si="3"/>
        <v>10</v>
      </c>
      <c r="D117" t="s">
        <v>4888</v>
      </c>
      <c r="E117" s="49">
        <v>1</v>
      </c>
      <c r="F117" t="s">
        <v>4889</v>
      </c>
      <c r="G117" t="s">
        <v>21</v>
      </c>
      <c r="H117" t="s">
        <v>37</v>
      </c>
      <c r="I117" s="13">
        <v>43000</v>
      </c>
      <c r="J117" s="13">
        <v>42000</v>
      </c>
      <c r="K117" s="13">
        <f>IF(J117&lt;'Mapa Oficinas'!$I$21,0,IF(J117&gt;'Mapa Oficinas'!$I$20,0,1))</f>
        <v>0</v>
      </c>
      <c r="L117" t="s">
        <v>23</v>
      </c>
      <c r="M117" t="s">
        <v>23</v>
      </c>
      <c r="N117" t="s">
        <v>4890</v>
      </c>
      <c r="O117" t="s">
        <v>236</v>
      </c>
      <c r="P117" t="s">
        <v>45</v>
      </c>
      <c r="Q117">
        <v>2</v>
      </c>
      <c r="R117" t="s">
        <v>523</v>
      </c>
      <c r="S117" t="s">
        <v>200</v>
      </c>
      <c r="T117" t="str">
        <f>VLOOKUP(S117,'Mapa Oficinas'!$H$7:$I$16,2,FALSE)</f>
        <v>Otra Red Captación</v>
      </c>
      <c r="U117" t="s">
        <v>29</v>
      </c>
      <c r="V117" t="str">
        <f>VLOOKUP($R117,'Mapa Oficinas'!$A$7:$C$46,2,FALSE)</f>
        <v>CABA</v>
      </c>
      <c r="W117" t="str">
        <f>VLOOKUP($R117,'Mapa Oficinas'!$A$7:$C$46,3,FALSE)</f>
        <v>Belgrano</v>
      </c>
    </row>
    <row r="118" spans="1:23" x14ac:dyDescent="0.2">
      <c r="A118" s="1">
        <v>45660</v>
      </c>
      <c r="B118" s="20">
        <f t="shared" si="2"/>
        <v>2025</v>
      </c>
      <c r="C118" s="20">
        <f t="shared" si="3"/>
        <v>1</v>
      </c>
      <c r="D118" t="s">
        <v>51</v>
      </c>
      <c r="E118" s="49">
        <v>1</v>
      </c>
      <c r="F118" t="s">
        <v>52</v>
      </c>
      <c r="G118" t="s">
        <v>21</v>
      </c>
      <c r="H118" t="s">
        <v>37</v>
      </c>
      <c r="I118" s="13">
        <v>49900</v>
      </c>
      <c r="J118" s="13">
        <v>42000</v>
      </c>
      <c r="K118" s="13">
        <f>IF(J118&lt;'Mapa Oficinas'!$I$21,0,IF(J118&gt;'Mapa Oficinas'!$I$20,0,1))</f>
        <v>0</v>
      </c>
      <c r="L118" t="s">
        <v>23</v>
      </c>
      <c r="M118" t="s">
        <v>23</v>
      </c>
      <c r="N118" t="s">
        <v>53</v>
      </c>
      <c r="O118" t="s">
        <v>54</v>
      </c>
      <c r="P118" t="s">
        <v>55</v>
      </c>
      <c r="Q118">
        <v>2</v>
      </c>
      <c r="R118" t="s">
        <v>56</v>
      </c>
      <c r="S118" t="s">
        <v>28</v>
      </c>
      <c r="T118" t="str">
        <f>VLOOKUP(S118,'Mapa Oficinas'!$H$7:$I$16,2,FALSE)</f>
        <v>CB</v>
      </c>
      <c r="U118" t="s">
        <v>29</v>
      </c>
      <c r="V118" t="str">
        <f>VLOOKUP($R118,'Mapa Oficinas'!$A$7:$C$46,2,FALSE)</f>
        <v>Zona Norte (GBA)</v>
      </c>
      <c r="W118" t="str">
        <f>VLOOKUP($R118,'Mapa Oficinas'!$A$7:$C$46,3,FALSE)</f>
        <v>Vicente López</v>
      </c>
    </row>
    <row r="119" spans="1:23" x14ac:dyDescent="0.2">
      <c r="A119" s="1">
        <v>45666</v>
      </c>
      <c r="B119" s="20">
        <f t="shared" si="2"/>
        <v>2025</v>
      </c>
      <c r="C119" s="20">
        <f t="shared" si="3"/>
        <v>1</v>
      </c>
      <c r="D119" t="s">
        <v>126</v>
      </c>
      <c r="E119" s="49">
        <v>1</v>
      </c>
      <c r="F119" t="s">
        <v>127</v>
      </c>
      <c r="G119" t="s">
        <v>21</v>
      </c>
      <c r="H119" t="s">
        <v>100</v>
      </c>
      <c r="I119" s="13">
        <v>42000</v>
      </c>
      <c r="J119" s="13">
        <v>42000</v>
      </c>
      <c r="K119" s="13">
        <f>IF(J119&lt;'Mapa Oficinas'!$I$21,0,IF(J119&gt;'Mapa Oficinas'!$I$20,0,1))</f>
        <v>0</v>
      </c>
      <c r="L119" t="s">
        <v>23</v>
      </c>
      <c r="M119" t="s">
        <v>23</v>
      </c>
      <c r="N119" t="s">
        <v>128</v>
      </c>
      <c r="O119" t="s">
        <v>129</v>
      </c>
      <c r="P119" t="s">
        <v>34</v>
      </c>
      <c r="Q119">
        <v>2</v>
      </c>
      <c r="R119" t="s">
        <v>130</v>
      </c>
      <c r="S119" t="s">
        <v>28</v>
      </c>
      <c r="T119" t="str">
        <f>VLOOKUP(S119,'Mapa Oficinas'!$H$7:$I$16,2,FALSE)</f>
        <v>CB</v>
      </c>
      <c r="U119" t="s">
        <v>29</v>
      </c>
      <c r="V119" t="str">
        <f>VLOOKUP($R119,'Mapa Oficinas'!$A$7:$C$46,2,FALSE)</f>
        <v>Interior - Neuquén</v>
      </c>
      <c r="W119" t="str">
        <f>VLOOKUP($R119,'Mapa Oficinas'!$A$7:$C$46,3,FALSE)</f>
        <v>San Martín de los Andes</v>
      </c>
    </row>
    <row r="120" spans="1:23" x14ac:dyDescent="0.2">
      <c r="A120" s="1">
        <v>45744</v>
      </c>
      <c r="B120" s="20">
        <f t="shared" si="2"/>
        <v>2025</v>
      </c>
      <c r="C120" s="20">
        <f t="shared" si="3"/>
        <v>3</v>
      </c>
      <c r="D120" t="s">
        <v>1147</v>
      </c>
      <c r="E120" s="49">
        <v>1</v>
      </c>
      <c r="F120" t="s">
        <v>1148</v>
      </c>
      <c r="G120" t="s">
        <v>21</v>
      </c>
      <c r="H120" t="s">
        <v>76</v>
      </c>
      <c r="I120" s="13">
        <v>45000</v>
      </c>
      <c r="J120" s="13">
        <v>42000</v>
      </c>
      <c r="K120" s="13">
        <f>IF(J120&lt;'Mapa Oficinas'!$I$21,0,IF(J120&gt;'Mapa Oficinas'!$I$20,0,1))</f>
        <v>0</v>
      </c>
      <c r="L120" t="s">
        <v>23</v>
      </c>
      <c r="M120" t="s">
        <v>23</v>
      </c>
      <c r="N120" t="s">
        <v>1149</v>
      </c>
      <c r="O120" t="s">
        <v>1150</v>
      </c>
      <c r="P120" t="s">
        <v>45</v>
      </c>
      <c r="Q120">
        <v>2</v>
      </c>
      <c r="R120" t="s">
        <v>167</v>
      </c>
      <c r="S120" t="s">
        <v>28</v>
      </c>
      <c r="T120" t="str">
        <f>VLOOKUP(S120,'Mapa Oficinas'!$H$7:$I$16,2,FALSE)</f>
        <v>CB</v>
      </c>
      <c r="U120" t="s">
        <v>29</v>
      </c>
      <c r="V120" t="str">
        <f>VLOOKUP($R120,'Mapa Oficinas'!$A$7:$C$46,2,FALSE)</f>
        <v>Interior - Santa Fe</v>
      </c>
      <c r="W120" t="str">
        <f>VLOOKUP($R120,'Mapa Oficinas'!$A$7:$C$46,3,FALSE)</f>
        <v>Capital Santa Fe</v>
      </c>
    </row>
    <row r="121" spans="1:23" x14ac:dyDescent="0.2">
      <c r="A121" s="1">
        <v>45768</v>
      </c>
      <c r="B121" s="20">
        <f t="shared" si="2"/>
        <v>2025</v>
      </c>
      <c r="C121" s="20">
        <f t="shared" si="3"/>
        <v>4</v>
      </c>
      <c r="D121" t="s">
        <v>1499</v>
      </c>
      <c r="E121" s="49">
        <v>1</v>
      </c>
      <c r="F121" t="s">
        <v>1499</v>
      </c>
      <c r="G121" t="s">
        <v>21</v>
      </c>
      <c r="H121" t="s">
        <v>37</v>
      </c>
      <c r="I121" s="13">
        <v>42000</v>
      </c>
      <c r="J121" s="13">
        <v>42000</v>
      </c>
      <c r="K121" s="13">
        <f>IF(J121&lt;'Mapa Oficinas'!$I$21,0,IF(J121&gt;'Mapa Oficinas'!$I$20,0,1))</f>
        <v>0</v>
      </c>
      <c r="L121" t="s">
        <v>23</v>
      </c>
      <c r="M121" t="s">
        <v>23</v>
      </c>
      <c r="N121" t="s">
        <v>1499</v>
      </c>
      <c r="O121" t="s">
        <v>1196</v>
      </c>
      <c r="P121" t="s">
        <v>45</v>
      </c>
      <c r="Q121">
        <v>2</v>
      </c>
      <c r="R121" t="s">
        <v>56</v>
      </c>
      <c r="S121" t="s">
        <v>28</v>
      </c>
      <c r="T121" t="str">
        <f>VLOOKUP(S121,'Mapa Oficinas'!$H$7:$I$16,2,FALSE)</f>
        <v>CB</v>
      </c>
      <c r="U121" t="s">
        <v>29</v>
      </c>
      <c r="V121" t="str">
        <f>VLOOKUP($R121,'Mapa Oficinas'!$A$7:$C$46,2,FALSE)</f>
        <v>Zona Norte (GBA)</v>
      </c>
      <c r="W121" t="str">
        <f>VLOOKUP($R121,'Mapa Oficinas'!$A$7:$C$46,3,FALSE)</f>
        <v>Vicente López</v>
      </c>
    </row>
    <row r="122" spans="1:23" x14ac:dyDescent="0.2">
      <c r="A122" s="1">
        <v>45824</v>
      </c>
      <c r="B122" s="20">
        <f t="shared" si="2"/>
        <v>2025</v>
      </c>
      <c r="C122" s="20">
        <f t="shared" si="3"/>
        <v>6</v>
      </c>
      <c r="D122" t="s">
        <v>2521</v>
      </c>
      <c r="E122" s="49">
        <v>1</v>
      </c>
      <c r="F122" t="s">
        <v>2522</v>
      </c>
      <c r="G122" t="s">
        <v>21</v>
      </c>
      <c r="H122" t="s">
        <v>81</v>
      </c>
      <c r="I122" s="13">
        <v>52000</v>
      </c>
      <c r="J122" s="13">
        <v>42000</v>
      </c>
      <c r="K122" s="13">
        <f>IF(J122&lt;'Mapa Oficinas'!$I$21,0,IF(J122&gt;'Mapa Oficinas'!$I$20,0,1))</f>
        <v>0</v>
      </c>
      <c r="L122" t="s">
        <v>23</v>
      </c>
      <c r="M122" t="s">
        <v>23</v>
      </c>
      <c r="N122" t="s">
        <v>2523</v>
      </c>
      <c r="O122" t="s">
        <v>129</v>
      </c>
      <c r="P122" t="s">
        <v>34</v>
      </c>
      <c r="Q122">
        <v>2</v>
      </c>
      <c r="R122" t="s">
        <v>130</v>
      </c>
      <c r="S122" t="s">
        <v>28</v>
      </c>
      <c r="T122" t="str">
        <f>VLOOKUP(S122,'Mapa Oficinas'!$H$7:$I$16,2,FALSE)</f>
        <v>CB</v>
      </c>
      <c r="U122" t="s">
        <v>29</v>
      </c>
      <c r="V122" t="str">
        <f>VLOOKUP($R122,'Mapa Oficinas'!$A$7:$C$46,2,FALSE)</f>
        <v>Interior - Neuquén</v>
      </c>
      <c r="W122" t="str">
        <f>VLOOKUP($R122,'Mapa Oficinas'!$A$7:$C$46,3,FALSE)</f>
        <v>San Martín de los Andes</v>
      </c>
    </row>
    <row r="123" spans="1:23" x14ac:dyDescent="0.2">
      <c r="A123" s="1">
        <v>45846</v>
      </c>
      <c r="B123" s="20">
        <f t="shared" si="2"/>
        <v>2025</v>
      </c>
      <c r="C123" s="20">
        <f t="shared" si="3"/>
        <v>7</v>
      </c>
      <c r="D123" t="s">
        <v>2915</v>
      </c>
      <c r="E123" s="49">
        <v>1</v>
      </c>
      <c r="F123" t="s">
        <v>2916</v>
      </c>
      <c r="G123" t="s">
        <v>21</v>
      </c>
      <c r="H123" t="s">
        <v>81</v>
      </c>
      <c r="I123" s="13">
        <v>42000</v>
      </c>
      <c r="J123" s="13">
        <v>42000</v>
      </c>
      <c r="K123" s="13">
        <f>IF(J123&lt;'Mapa Oficinas'!$I$21,0,IF(J123&gt;'Mapa Oficinas'!$I$20,0,1))</f>
        <v>0</v>
      </c>
      <c r="L123" t="s">
        <v>23</v>
      </c>
      <c r="M123" t="s">
        <v>23</v>
      </c>
      <c r="O123" t="s">
        <v>2917</v>
      </c>
      <c r="P123" t="s">
        <v>45</v>
      </c>
      <c r="Q123">
        <v>2</v>
      </c>
      <c r="R123" t="s">
        <v>429</v>
      </c>
      <c r="S123" t="s">
        <v>28</v>
      </c>
      <c r="T123" t="str">
        <f>VLOOKUP(S123,'Mapa Oficinas'!$H$7:$I$16,2,FALSE)</f>
        <v>CB</v>
      </c>
      <c r="U123" t="s">
        <v>29</v>
      </c>
      <c r="V123" t="str">
        <f>VLOOKUP($R123,'Mapa Oficinas'!$A$7:$C$46,2,FALSE)</f>
        <v>Zona Oeste (GBA)</v>
      </c>
      <c r="W123" t="str">
        <f>VLOOKUP($R123,'Mapa Oficinas'!$A$7:$C$46,3,FALSE)</f>
        <v>Parque Leloir</v>
      </c>
    </row>
    <row r="124" spans="1:23" x14ac:dyDescent="0.2">
      <c r="A124" s="1">
        <v>45925</v>
      </c>
      <c r="B124" s="20">
        <f t="shared" si="2"/>
        <v>2025</v>
      </c>
      <c r="C124" s="20">
        <f t="shared" si="3"/>
        <v>9</v>
      </c>
      <c r="D124" t="s">
        <v>4334</v>
      </c>
      <c r="E124" s="49">
        <v>1</v>
      </c>
      <c r="F124" t="s">
        <v>4335</v>
      </c>
      <c r="G124" t="s">
        <v>21</v>
      </c>
      <c r="H124" t="s">
        <v>37</v>
      </c>
      <c r="I124" s="13">
        <v>42000</v>
      </c>
      <c r="J124" s="13">
        <v>42000</v>
      </c>
      <c r="K124" s="13">
        <f>IF(J124&lt;'Mapa Oficinas'!$I$21,0,IF(J124&gt;'Mapa Oficinas'!$I$20,0,1))</f>
        <v>0</v>
      </c>
      <c r="L124" t="s">
        <v>23</v>
      </c>
      <c r="M124" t="s">
        <v>23</v>
      </c>
      <c r="N124" t="s">
        <v>4336</v>
      </c>
      <c r="O124" t="s">
        <v>102</v>
      </c>
      <c r="P124" t="s">
        <v>45</v>
      </c>
      <c r="Q124">
        <v>2</v>
      </c>
      <c r="R124" t="s">
        <v>103</v>
      </c>
      <c r="S124" t="s">
        <v>28</v>
      </c>
      <c r="T124" t="str">
        <f>VLOOKUP(S124,'Mapa Oficinas'!$H$7:$I$16,2,FALSE)</f>
        <v>CB</v>
      </c>
      <c r="U124" t="s">
        <v>29</v>
      </c>
      <c r="V124" t="str">
        <f>VLOOKUP($R124,'Mapa Oficinas'!$A$7:$C$46,2,FALSE)</f>
        <v>Zona Sur (GBA)</v>
      </c>
      <c r="W124" t="str">
        <f>VLOOKUP($R124,'Mapa Oficinas'!$A$7:$C$46,3,FALSE)</f>
        <v>La Plata</v>
      </c>
    </row>
    <row r="125" spans="1:23" x14ac:dyDescent="0.2">
      <c r="A125" s="1">
        <v>45933</v>
      </c>
      <c r="B125" s="20">
        <f t="shared" si="2"/>
        <v>2025</v>
      </c>
      <c r="C125" s="20">
        <f t="shared" si="3"/>
        <v>10</v>
      </c>
      <c r="D125" t="s">
        <v>4477</v>
      </c>
      <c r="E125" s="49">
        <v>1</v>
      </c>
      <c r="F125" t="s">
        <v>4478</v>
      </c>
      <c r="G125" t="s">
        <v>21</v>
      </c>
      <c r="H125" t="s">
        <v>90</v>
      </c>
      <c r="I125" s="13">
        <v>45900</v>
      </c>
      <c r="J125" s="13">
        <v>42000</v>
      </c>
      <c r="K125" s="13">
        <f>IF(J125&lt;'Mapa Oficinas'!$I$21,0,IF(J125&gt;'Mapa Oficinas'!$I$20,0,1))</f>
        <v>0</v>
      </c>
      <c r="L125" t="s">
        <v>23</v>
      </c>
      <c r="M125" t="s">
        <v>23</v>
      </c>
      <c r="N125" t="s">
        <v>4479</v>
      </c>
      <c r="O125" t="s">
        <v>1429</v>
      </c>
      <c r="P125" t="s">
        <v>45</v>
      </c>
      <c r="Q125">
        <v>2</v>
      </c>
      <c r="R125" t="s">
        <v>62</v>
      </c>
      <c r="S125" t="s">
        <v>28</v>
      </c>
      <c r="T125" t="str">
        <f>VLOOKUP(S125,'Mapa Oficinas'!$H$7:$I$16,2,FALSE)</f>
        <v>CB</v>
      </c>
      <c r="U125" t="s">
        <v>29</v>
      </c>
      <c r="V125" t="str">
        <f>VLOOKUP($R125,'Mapa Oficinas'!$A$7:$C$46,2,FALSE)</f>
        <v>CABA</v>
      </c>
      <c r="W125" t="str">
        <f>VLOOKUP($R125,'Mapa Oficinas'!$A$7:$C$46,3,FALSE)</f>
        <v>Villa Urquiza</v>
      </c>
    </row>
    <row r="126" spans="1:23" x14ac:dyDescent="0.2">
      <c r="A126" s="1">
        <v>45979</v>
      </c>
      <c r="B126" s="20">
        <f t="shared" si="2"/>
        <v>2025</v>
      </c>
      <c r="C126" s="20">
        <f t="shared" si="3"/>
        <v>11</v>
      </c>
      <c r="D126" t="s">
        <v>5266</v>
      </c>
      <c r="E126" s="49">
        <v>1</v>
      </c>
      <c r="F126" t="s">
        <v>5267</v>
      </c>
      <c r="G126" t="s">
        <v>21</v>
      </c>
      <c r="H126" t="s">
        <v>37</v>
      </c>
      <c r="I126" s="13">
        <v>46000</v>
      </c>
      <c r="J126" s="13">
        <v>42000</v>
      </c>
      <c r="K126" s="13">
        <f>IF(J126&lt;'Mapa Oficinas'!$I$21,0,IF(J126&gt;'Mapa Oficinas'!$I$20,0,1))</f>
        <v>0</v>
      </c>
      <c r="L126" t="s">
        <v>23</v>
      </c>
      <c r="M126" t="s">
        <v>23</v>
      </c>
      <c r="N126" t="s">
        <v>5268</v>
      </c>
      <c r="O126" t="s">
        <v>1981</v>
      </c>
      <c r="P126" t="s">
        <v>34</v>
      </c>
      <c r="Q126">
        <v>2</v>
      </c>
      <c r="R126" t="s">
        <v>429</v>
      </c>
      <c r="S126" t="s">
        <v>28</v>
      </c>
      <c r="T126" t="str">
        <f>VLOOKUP(S126,'Mapa Oficinas'!$H$7:$I$16,2,FALSE)</f>
        <v>CB</v>
      </c>
      <c r="U126" t="s">
        <v>29</v>
      </c>
      <c r="V126" t="str">
        <f>VLOOKUP($R126,'Mapa Oficinas'!$A$7:$C$46,2,FALSE)</f>
        <v>Zona Oeste (GBA)</v>
      </c>
      <c r="W126" t="str">
        <f>VLOOKUP($R126,'Mapa Oficinas'!$A$7:$C$46,3,FALSE)</f>
        <v>Parque Leloir</v>
      </c>
    </row>
    <row r="127" spans="1:23" x14ac:dyDescent="0.2">
      <c r="A127" s="1">
        <v>46003</v>
      </c>
      <c r="B127" s="20">
        <f t="shared" si="2"/>
        <v>2025</v>
      </c>
      <c r="C127" s="20">
        <f t="shared" si="3"/>
        <v>12</v>
      </c>
      <c r="D127" t="s">
        <v>5732</v>
      </c>
      <c r="E127" s="49">
        <v>1</v>
      </c>
      <c r="F127" t="s">
        <v>5733</v>
      </c>
      <c r="G127" t="s">
        <v>21</v>
      </c>
      <c r="H127" t="s">
        <v>22</v>
      </c>
      <c r="I127" s="13">
        <v>52000</v>
      </c>
      <c r="J127" s="13">
        <v>42000</v>
      </c>
      <c r="K127" s="13">
        <f>IF(J127&lt;'Mapa Oficinas'!$I$21,0,IF(J127&gt;'Mapa Oficinas'!$I$20,0,1))</f>
        <v>0</v>
      </c>
      <c r="L127" t="s">
        <v>23</v>
      </c>
      <c r="M127" t="s">
        <v>23</v>
      </c>
      <c r="N127" t="s">
        <v>5734</v>
      </c>
      <c r="O127" t="s">
        <v>236</v>
      </c>
      <c r="P127" t="s">
        <v>14</v>
      </c>
      <c r="Q127">
        <v>2</v>
      </c>
      <c r="R127" t="s">
        <v>62</v>
      </c>
      <c r="S127" t="s">
        <v>28</v>
      </c>
      <c r="T127" t="str">
        <f>VLOOKUP(S127,'Mapa Oficinas'!$H$7:$I$16,2,FALSE)</f>
        <v>CB</v>
      </c>
      <c r="U127" t="s">
        <v>29</v>
      </c>
      <c r="V127" t="str">
        <f>VLOOKUP($R127,'Mapa Oficinas'!$A$7:$C$46,2,FALSE)</f>
        <v>CABA</v>
      </c>
      <c r="W127" t="str">
        <f>VLOOKUP($R127,'Mapa Oficinas'!$A$7:$C$46,3,FALSE)</f>
        <v>Villa Urquiza</v>
      </c>
    </row>
    <row r="128" spans="1:23" x14ac:dyDescent="0.2">
      <c r="A128" s="1">
        <v>46073</v>
      </c>
      <c r="B128" s="20">
        <f t="shared" si="2"/>
        <v>2026</v>
      </c>
      <c r="C128" s="20">
        <f t="shared" si="3"/>
        <v>2</v>
      </c>
      <c r="D128" t="s">
        <v>6768</v>
      </c>
      <c r="E128" s="49">
        <v>1</v>
      </c>
      <c r="F128" t="s">
        <v>6769</v>
      </c>
      <c r="G128" t="s">
        <v>21</v>
      </c>
      <c r="H128" t="s">
        <v>37</v>
      </c>
      <c r="I128" s="13">
        <v>42000</v>
      </c>
      <c r="J128" s="13">
        <v>42000</v>
      </c>
      <c r="K128" s="13">
        <f>IF(J128&lt;'Mapa Oficinas'!$I$21,0,IF(J128&gt;'Mapa Oficinas'!$I$20,0,1))</f>
        <v>0</v>
      </c>
      <c r="L128" t="s">
        <v>23</v>
      </c>
      <c r="M128" t="s">
        <v>23</v>
      </c>
      <c r="N128" t="s">
        <v>6770</v>
      </c>
      <c r="O128" t="s">
        <v>329</v>
      </c>
      <c r="P128" t="s">
        <v>45</v>
      </c>
      <c r="Q128">
        <v>2</v>
      </c>
      <c r="R128" t="s">
        <v>183</v>
      </c>
      <c r="S128" t="s">
        <v>28</v>
      </c>
      <c r="T128" t="str">
        <f>VLOOKUP(S128,'Mapa Oficinas'!$H$7:$I$16,2,FALSE)</f>
        <v>CB</v>
      </c>
      <c r="U128" t="s">
        <v>29</v>
      </c>
      <c r="V128" t="str">
        <f>VLOOKUP($R128,'Mapa Oficinas'!$A$7:$C$46,2,FALSE)</f>
        <v>Interior - Neuquén</v>
      </c>
      <c r="W128" t="str">
        <f>VLOOKUP($R128,'Mapa Oficinas'!$A$7:$C$46,3,FALSE)</f>
        <v>Capital Neuquén</v>
      </c>
    </row>
    <row r="129" spans="1:23" x14ac:dyDescent="0.2">
      <c r="A129" s="1">
        <v>45898</v>
      </c>
      <c r="B129" s="20">
        <f t="shared" si="2"/>
        <v>2025</v>
      </c>
      <c r="C129" s="20">
        <f t="shared" si="3"/>
        <v>8</v>
      </c>
      <c r="D129" t="s">
        <v>3855</v>
      </c>
      <c r="E129" s="49">
        <v>1</v>
      </c>
      <c r="F129" t="s">
        <v>3855</v>
      </c>
      <c r="G129" t="s">
        <v>21</v>
      </c>
      <c r="H129" t="s">
        <v>90</v>
      </c>
      <c r="I129" s="13">
        <v>85000</v>
      </c>
      <c r="J129" s="13">
        <v>42500</v>
      </c>
      <c r="K129" s="13">
        <f>IF(J129&lt;'Mapa Oficinas'!$I$21,0,IF(J129&gt;'Mapa Oficinas'!$I$20,0,1))</f>
        <v>0</v>
      </c>
      <c r="L129" t="s">
        <v>23</v>
      </c>
      <c r="M129" t="s">
        <v>23</v>
      </c>
      <c r="N129" t="s">
        <v>3855</v>
      </c>
      <c r="O129" t="s">
        <v>116</v>
      </c>
      <c r="P129" t="s">
        <v>45</v>
      </c>
      <c r="Q129">
        <v>2</v>
      </c>
      <c r="R129" t="s">
        <v>62</v>
      </c>
      <c r="S129" t="s">
        <v>28</v>
      </c>
      <c r="T129" t="str">
        <f>VLOOKUP(S129,'Mapa Oficinas'!$H$7:$I$16,2,FALSE)</f>
        <v>CB</v>
      </c>
      <c r="U129" t="s">
        <v>29</v>
      </c>
      <c r="V129" t="str">
        <f>VLOOKUP($R129,'Mapa Oficinas'!$A$7:$C$46,2,FALSE)</f>
        <v>CABA</v>
      </c>
      <c r="W129" t="str">
        <f>VLOOKUP($R129,'Mapa Oficinas'!$A$7:$C$46,3,FALSE)</f>
        <v>Villa Urquiza</v>
      </c>
    </row>
    <row r="130" spans="1:23" x14ac:dyDescent="0.2">
      <c r="A130" s="1">
        <v>45933</v>
      </c>
      <c r="B130" s="20">
        <f t="shared" ref="B130:B193" si="4">YEAR($A130)</f>
        <v>2025</v>
      </c>
      <c r="C130" s="20">
        <f t="shared" ref="C130:C193" si="5">MONTH($A130)</f>
        <v>10</v>
      </c>
      <c r="D130" t="s">
        <v>4480</v>
      </c>
      <c r="E130" s="49">
        <v>1</v>
      </c>
      <c r="F130" t="s">
        <v>4481</v>
      </c>
      <c r="G130" t="s">
        <v>21</v>
      </c>
      <c r="H130" t="s">
        <v>22</v>
      </c>
      <c r="I130" s="13">
        <v>81000</v>
      </c>
      <c r="J130" s="13">
        <v>42500</v>
      </c>
      <c r="K130" s="13">
        <f>IF(J130&lt;'Mapa Oficinas'!$I$21,0,IF(J130&gt;'Mapa Oficinas'!$I$20,0,1))</f>
        <v>0</v>
      </c>
      <c r="L130" t="s">
        <v>23</v>
      </c>
      <c r="M130" t="s">
        <v>23</v>
      </c>
      <c r="N130" t="s">
        <v>4482</v>
      </c>
      <c r="O130" t="s">
        <v>914</v>
      </c>
      <c r="P130" t="s">
        <v>45</v>
      </c>
      <c r="Q130">
        <v>2</v>
      </c>
      <c r="R130" t="s">
        <v>62</v>
      </c>
      <c r="S130" t="s">
        <v>28</v>
      </c>
      <c r="T130" t="str">
        <f>VLOOKUP(S130,'Mapa Oficinas'!$H$7:$I$16,2,FALSE)</f>
        <v>CB</v>
      </c>
      <c r="U130" t="s">
        <v>29</v>
      </c>
      <c r="V130" t="str">
        <f>VLOOKUP($R130,'Mapa Oficinas'!$A$7:$C$46,2,FALSE)</f>
        <v>CABA</v>
      </c>
      <c r="W130" t="str">
        <f>VLOOKUP($R130,'Mapa Oficinas'!$A$7:$C$46,3,FALSE)</f>
        <v>Villa Urquiza</v>
      </c>
    </row>
    <row r="131" spans="1:23" x14ac:dyDescent="0.2">
      <c r="A131" s="1">
        <v>45950</v>
      </c>
      <c r="B131" s="20">
        <f t="shared" si="4"/>
        <v>2025</v>
      </c>
      <c r="C131" s="20">
        <f t="shared" si="5"/>
        <v>10</v>
      </c>
      <c r="D131" t="s">
        <v>4788</v>
      </c>
      <c r="E131" s="49">
        <v>1</v>
      </c>
      <c r="F131" t="s">
        <v>4789</v>
      </c>
      <c r="G131" t="s">
        <v>21</v>
      </c>
      <c r="H131" t="s">
        <v>37</v>
      </c>
      <c r="I131" s="13">
        <v>100000</v>
      </c>
      <c r="J131" s="13">
        <v>42500</v>
      </c>
      <c r="K131" s="13">
        <f>IF(J131&lt;'Mapa Oficinas'!$I$21,0,IF(J131&gt;'Mapa Oficinas'!$I$20,0,1))</f>
        <v>0</v>
      </c>
      <c r="L131" t="s">
        <v>23</v>
      </c>
      <c r="M131" t="s">
        <v>23</v>
      </c>
      <c r="N131" t="s">
        <v>4790</v>
      </c>
      <c r="O131" t="s">
        <v>50</v>
      </c>
      <c r="P131" t="s">
        <v>45</v>
      </c>
      <c r="Q131">
        <v>2</v>
      </c>
      <c r="R131" t="s">
        <v>135</v>
      </c>
      <c r="S131" t="s">
        <v>28</v>
      </c>
      <c r="T131" t="str">
        <f>VLOOKUP(S131,'Mapa Oficinas'!$H$7:$I$16,2,FALSE)</f>
        <v>CB</v>
      </c>
      <c r="U131" t="s">
        <v>29</v>
      </c>
      <c r="V131" t="str">
        <f>VLOOKUP($R131,'Mapa Oficinas'!$A$7:$C$46,2,FALSE)</f>
        <v>CABA</v>
      </c>
      <c r="W131" t="str">
        <f>VLOOKUP($R131,'Mapa Oficinas'!$A$7:$C$46,3,FALSE)</f>
        <v>Recoleta</v>
      </c>
    </row>
    <row r="132" spans="1:23" x14ac:dyDescent="0.2">
      <c r="A132" s="1">
        <v>45821</v>
      </c>
      <c r="B132" s="20">
        <f t="shared" si="4"/>
        <v>2025</v>
      </c>
      <c r="C132" s="20">
        <f t="shared" si="5"/>
        <v>6</v>
      </c>
      <c r="E132" s="49">
        <v>0</v>
      </c>
      <c r="F132" t="s">
        <v>2481</v>
      </c>
      <c r="G132" t="s">
        <v>21</v>
      </c>
      <c r="H132" t="s">
        <v>37</v>
      </c>
      <c r="I132" s="13">
        <v>42735</v>
      </c>
      <c r="J132" s="13">
        <v>42735</v>
      </c>
      <c r="K132" s="13">
        <f>IF(J132&lt;'Mapa Oficinas'!$I$21,0,IF(J132&gt;'Mapa Oficinas'!$I$20,0,1))</f>
        <v>0</v>
      </c>
      <c r="L132" t="s">
        <v>23</v>
      </c>
      <c r="M132" t="s">
        <v>23</v>
      </c>
      <c r="N132" t="s">
        <v>2482</v>
      </c>
      <c r="O132" t="s">
        <v>1507</v>
      </c>
      <c r="P132" t="s">
        <v>26</v>
      </c>
      <c r="Q132">
        <v>2</v>
      </c>
      <c r="R132" t="s">
        <v>84</v>
      </c>
      <c r="S132" t="s">
        <v>79</v>
      </c>
      <c r="T132" t="str">
        <f>VLOOKUP(S132,'Mapa Oficinas'!$H$7:$I$16,2,FALSE)</f>
        <v>CB</v>
      </c>
      <c r="U132" t="s">
        <v>29</v>
      </c>
      <c r="V132" t="str">
        <f>VLOOKUP($R132,'Mapa Oficinas'!$A$7:$C$46,2,FALSE)</f>
        <v>Interior - Neuquén</v>
      </c>
      <c r="W132" t="str">
        <f>VLOOKUP($R132,'Mapa Oficinas'!$A$7:$C$46,3,FALSE)</f>
        <v>Villa La Angostura</v>
      </c>
    </row>
    <row r="133" spans="1:23" x14ac:dyDescent="0.2">
      <c r="A133" s="1">
        <v>46090</v>
      </c>
      <c r="B133" s="20">
        <f t="shared" si="4"/>
        <v>2026</v>
      </c>
      <c r="C133" s="20">
        <f t="shared" si="5"/>
        <v>3</v>
      </c>
      <c r="D133" t="s">
        <v>7027</v>
      </c>
      <c r="E133" s="49">
        <v>1</v>
      </c>
      <c r="F133" t="s">
        <v>7028</v>
      </c>
      <c r="G133" t="s">
        <v>21</v>
      </c>
      <c r="H133" t="s">
        <v>37</v>
      </c>
      <c r="I133" s="13">
        <v>45000</v>
      </c>
      <c r="J133" s="13">
        <v>43000</v>
      </c>
      <c r="K133" s="13">
        <f>IF(J133&lt;'Mapa Oficinas'!$I$21,0,IF(J133&gt;'Mapa Oficinas'!$I$20,0,1))</f>
        <v>0</v>
      </c>
      <c r="L133" t="s">
        <v>23</v>
      </c>
      <c r="M133" t="s">
        <v>23</v>
      </c>
      <c r="N133" t="s">
        <v>7029</v>
      </c>
      <c r="O133" t="s">
        <v>440</v>
      </c>
      <c r="P133" t="s">
        <v>45</v>
      </c>
      <c r="Q133">
        <v>2</v>
      </c>
      <c r="R133" t="s">
        <v>135</v>
      </c>
      <c r="S133" t="s">
        <v>200</v>
      </c>
      <c r="T133" t="str">
        <f>VLOOKUP(S133,'Mapa Oficinas'!$H$7:$I$16,2,FALSE)</f>
        <v>Otra Red Captación</v>
      </c>
      <c r="U133" t="s">
        <v>29</v>
      </c>
      <c r="V133" t="str">
        <f>VLOOKUP($R133,'Mapa Oficinas'!$A$7:$C$46,2,FALSE)</f>
        <v>CABA</v>
      </c>
      <c r="W133" t="str">
        <f>VLOOKUP($R133,'Mapa Oficinas'!$A$7:$C$46,3,FALSE)</f>
        <v>Recoleta</v>
      </c>
    </row>
    <row r="134" spans="1:23" x14ac:dyDescent="0.2">
      <c r="A134" s="1">
        <v>45835</v>
      </c>
      <c r="B134" s="20">
        <f t="shared" si="4"/>
        <v>2025</v>
      </c>
      <c r="C134" s="20">
        <f t="shared" si="5"/>
        <v>6</v>
      </c>
      <c r="D134" t="s">
        <v>2673</v>
      </c>
      <c r="E134" s="49">
        <v>1</v>
      </c>
      <c r="F134" t="s">
        <v>2674</v>
      </c>
      <c r="G134" t="s">
        <v>21</v>
      </c>
      <c r="H134" t="s">
        <v>22</v>
      </c>
      <c r="I134" s="13">
        <v>43000</v>
      </c>
      <c r="J134" s="13">
        <v>43000</v>
      </c>
      <c r="K134" s="13">
        <f>IF(J134&lt;'Mapa Oficinas'!$I$21,0,IF(J134&gt;'Mapa Oficinas'!$I$20,0,1))</f>
        <v>0</v>
      </c>
      <c r="L134" t="s">
        <v>23</v>
      </c>
      <c r="M134" t="s">
        <v>23</v>
      </c>
      <c r="N134" t="s">
        <v>2675</v>
      </c>
      <c r="O134" t="s">
        <v>2676</v>
      </c>
      <c r="P134" t="s">
        <v>34</v>
      </c>
      <c r="Q134">
        <v>2</v>
      </c>
      <c r="R134" t="s">
        <v>62</v>
      </c>
      <c r="S134" t="s">
        <v>28</v>
      </c>
      <c r="T134" t="str">
        <f>VLOOKUP(S134,'Mapa Oficinas'!$H$7:$I$16,2,FALSE)</f>
        <v>CB</v>
      </c>
      <c r="U134" t="s">
        <v>29</v>
      </c>
      <c r="V134" t="str">
        <f>VLOOKUP($R134,'Mapa Oficinas'!$A$7:$C$46,2,FALSE)</f>
        <v>CABA</v>
      </c>
      <c r="W134" t="str">
        <f>VLOOKUP($R134,'Mapa Oficinas'!$A$7:$C$46,3,FALSE)</f>
        <v>Villa Urquiza</v>
      </c>
    </row>
    <row r="135" spans="1:23" x14ac:dyDescent="0.2">
      <c r="A135" s="1">
        <v>45952</v>
      </c>
      <c r="B135" s="20">
        <f t="shared" si="4"/>
        <v>2025</v>
      </c>
      <c r="C135" s="20">
        <f t="shared" si="5"/>
        <v>10</v>
      </c>
      <c r="D135" t="s">
        <v>4828</v>
      </c>
      <c r="E135" s="49">
        <v>1</v>
      </c>
      <c r="F135" t="s">
        <v>4829</v>
      </c>
      <c r="G135" t="s">
        <v>21</v>
      </c>
      <c r="H135" t="s">
        <v>70</v>
      </c>
      <c r="I135" s="13">
        <v>47000</v>
      </c>
      <c r="J135" s="13">
        <v>43000</v>
      </c>
      <c r="K135" s="13">
        <f>IF(J135&lt;'Mapa Oficinas'!$I$21,0,IF(J135&gt;'Mapa Oficinas'!$I$20,0,1))</f>
        <v>0</v>
      </c>
      <c r="L135" t="s">
        <v>23</v>
      </c>
      <c r="M135" t="s">
        <v>23</v>
      </c>
      <c r="N135" t="s">
        <v>4830</v>
      </c>
      <c r="O135" t="s">
        <v>1321</v>
      </c>
      <c r="P135" t="s">
        <v>45</v>
      </c>
      <c r="Q135">
        <v>2</v>
      </c>
      <c r="R135" t="s">
        <v>151</v>
      </c>
      <c r="S135" t="s">
        <v>28</v>
      </c>
      <c r="T135" t="str">
        <f>VLOOKUP(S135,'Mapa Oficinas'!$H$7:$I$16,2,FALSE)</f>
        <v>CB</v>
      </c>
      <c r="U135" t="s">
        <v>29</v>
      </c>
      <c r="V135" t="str">
        <f>VLOOKUP($R135,'Mapa Oficinas'!$A$7:$C$46,2,FALSE)</f>
        <v>Interior - Mendoza</v>
      </c>
      <c r="W135" t="str">
        <f>VLOOKUP($R135,'Mapa Oficinas'!$A$7:$C$46,3,FALSE)</f>
        <v>Capital Mendoza</v>
      </c>
    </row>
    <row r="136" spans="1:23" x14ac:dyDescent="0.2">
      <c r="A136" s="1">
        <v>46002</v>
      </c>
      <c r="B136" s="20">
        <f t="shared" si="4"/>
        <v>2025</v>
      </c>
      <c r="C136" s="20">
        <f t="shared" si="5"/>
        <v>12</v>
      </c>
      <c r="D136" t="s">
        <v>5711</v>
      </c>
      <c r="E136" s="49">
        <v>1</v>
      </c>
      <c r="F136" t="s">
        <v>5712</v>
      </c>
      <c r="G136" t="s">
        <v>21</v>
      </c>
      <c r="H136" t="s">
        <v>37</v>
      </c>
      <c r="I136" s="13">
        <v>45000</v>
      </c>
      <c r="J136" s="13">
        <v>43000</v>
      </c>
      <c r="K136" s="13">
        <f>IF(J136&lt;'Mapa Oficinas'!$I$21,0,IF(J136&gt;'Mapa Oficinas'!$I$20,0,1))</f>
        <v>0</v>
      </c>
      <c r="L136" t="s">
        <v>23</v>
      </c>
      <c r="M136" t="s">
        <v>23</v>
      </c>
      <c r="N136" t="s">
        <v>5713</v>
      </c>
      <c r="O136" t="s">
        <v>1105</v>
      </c>
      <c r="P136" t="s">
        <v>45</v>
      </c>
      <c r="Q136">
        <v>2</v>
      </c>
      <c r="R136" t="s">
        <v>5714</v>
      </c>
      <c r="S136" t="s">
        <v>28</v>
      </c>
      <c r="T136" t="str">
        <f>VLOOKUP(S136,'Mapa Oficinas'!$H$7:$I$16,2,FALSE)</f>
        <v>CB</v>
      </c>
      <c r="U136" t="s">
        <v>29</v>
      </c>
      <c r="V136" t="str">
        <f>VLOOKUP($R136,'Mapa Oficinas'!$A$7:$C$46,2,FALSE)</f>
        <v>CABA</v>
      </c>
      <c r="W136" t="str">
        <f>VLOOKUP($R136,'Mapa Oficinas'!$A$7:$C$46,3,FALSE)</f>
        <v>Palermo</v>
      </c>
    </row>
    <row r="137" spans="1:23" x14ac:dyDescent="0.2">
      <c r="A137" s="1">
        <v>46112</v>
      </c>
      <c r="B137" s="20">
        <f t="shared" si="4"/>
        <v>2026</v>
      </c>
      <c r="C137" s="20">
        <f t="shared" si="5"/>
        <v>3</v>
      </c>
      <c r="D137" t="s">
        <v>7544</v>
      </c>
      <c r="E137" s="49">
        <v>1</v>
      </c>
      <c r="F137" t="s">
        <v>7545</v>
      </c>
      <c r="G137" t="s">
        <v>21</v>
      </c>
      <c r="H137" t="s">
        <v>37</v>
      </c>
      <c r="I137" s="13">
        <v>49000</v>
      </c>
      <c r="J137" s="13">
        <v>43000</v>
      </c>
      <c r="K137" s="13">
        <f>IF(J137&lt;'Mapa Oficinas'!$I$21,0,IF(J137&gt;'Mapa Oficinas'!$I$20,0,1))</f>
        <v>0</v>
      </c>
      <c r="L137" t="s">
        <v>23</v>
      </c>
      <c r="M137" t="s">
        <v>23</v>
      </c>
      <c r="N137" t="s">
        <v>1653</v>
      </c>
      <c r="O137" t="s">
        <v>1654</v>
      </c>
      <c r="P137" t="s">
        <v>45</v>
      </c>
      <c r="Q137">
        <v>2</v>
      </c>
      <c r="R137" t="s">
        <v>151</v>
      </c>
      <c r="S137" t="s">
        <v>28</v>
      </c>
      <c r="T137" t="str">
        <f>VLOOKUP(S137,'Mapa Oficinas'!$H$7:$I$16,2,FALSE)</f>
        <v>CB</v>
      </c>
      <c r="U137" t="s">
        <v>29</v>
      </c>
      <c r="V137" t="str">
        <f>VLOOKUP($R137,'Mapa Oficinas'!$A$7:$C$46,2,FALSE)</f>
        <v>Interior - Mendoza</v>
      </c>
      <c r="W137" t="str">
        <f>VLOOKUP($R137,'Mapa Oficinas'!$A$7:$C$46,3,FALSE)</f>
        <v>Capital Mendoza</v>
      </c>
    </row>
    <row r="138" spans="1:23" x14ac:dyDescent="0.2">
      <c r="A138" s="1">
        <v>46071</v>
      </c>
      <c r="B138" s="20">
        <f t="shared" si="4"/>
        <v>2026</v>
      </c>
      <c r="C138" s="20">
        <f t="shared" si="5"/>
        <v>2</v>
      </c>
      <c r="E138" s="49">
        <v>1</v>
      </c>
      <c r="F138" t="s">
        <v>6735</v>
      </c>
      <c r="G138" t="s">
        <v>21</v>
      </c>
      <c r="H138" t="s">
        <v>70</v>
      </c>
      <c r="I138" s="13">
        <v>43200</v>
      </c>
      <c r="J138" s="13">
        <v>43200</v>
      </c>
      <c r="K138" s="13">
        <f>IF(J138&lt;'Mapa Oficinas'!$I$21,0,IF(J138&gt;'Mapa Oficinas'!$I$20,0,1))</f>
        <v>0</v>
      </c>
      <c r="L138" t="s">
        <v>23</v>
      </c>
      <c r="M138" t="s">
        <v>23</v>
      </c>
      <c r="N138" t="s">
        <v>1621</v>
      </c>
      <c r="O138" t="s">
        <v>505</v>
      </c>
      <c r="P138" t="s">
        <v>26</v>
      </c>
      <c r="Q138">
        <v>2</v>
      </c>
      <c r="R138" t="s">
        <v>84</v>
      </c>
      <c r="S138" t="s">
        <v>79</v>
      </c>
      <c r="T138" t="str">
        <f>VLOOKUP(S138,'Mapa Oficinas'!$H$7:$I$16,2,FALSE)</f>
        <v>CB</v>
      </c>
      <c r="U138" t="s">
        <v>29</v>
      </c>
      <c r="V138" t="str">
        <f>VLOOKUP($R138,'Mapa Oficinas'!$A$7:$C$46,2,FALSE)</f>
        <v>Interior - Neuquén</v>
      </c>
      <c r="W138" t="str">
        <f>VLOOKUP($R138,'Mapa Oficinas'!$A$7:$C$46,3,FALSE)</f>
        <v>Villa La Angostura</v>
      </c>
    </row>
    <row r="139" spans="1:23" x14ac:dyDescent="0.2">
      <c r="A139" s="1">
        <v>45684</v>
      </c>
      <c r="B139" s="20">
        <f t="shared" si="4"/>
        <v>2025</v>
      </c>
      <c r="C139" s="20">
        <f t="shared" si="5"/>
        <v>1</v>
      </c>
      <c r="D139" t="s">
        <v>360</v>
      </c>
      <c r="E139" s="49">
        <v>1</v>
      </c>
      <c r="F139" t="s">
        <v>361</v>
      </c>
      <c r="G139" t="s">
        <v>21</v>
      </c>
      <c r="H139" t="s">
        <v>362</v>
      </c>
      <c r="I139" s="13">
        <v>44880</v>
      </c>
      <c r="J139" s="13">
        <v>43320</v>
      </c>
      <c r="K139" s="13">
        <f>IF(J139&lt;'Mapa Oficinas'!$I$21,0,IF(J139&gt;'Mapa Oficinas'!$I$20,0,1))</f>
        <v>0</v>
      </c>
      <c r="L139" t="s">
        <v>23</v>
      </c>
      <c r="M139" t="s">
        <v>23</v>
      </c>
      <c r="N139" t="s">
        <v>363</v>
      </c>
      <c r="O139" t="s">
        <v>364</v>
      </c>
      <c r="P139" t="s">
        <v>26</v>
      </c>
      <c r="Q139">
        <v>2</v>
      </c>
      <c r="R139" t="s">
        <v>110</v>
      </c>
      <c r="S139" t="s">
        <v>79</v>
      </c>
      <c r="T139" t="str">
        <f>VLOOKUP(S139,'Mapa Oficinas'!$H$7:$I$16,2,FALSE)</f>
        <v>CB</v>
      </c>
      <c r="U139" t="s">
        <v>29</v>
      </c>
      <c r="V139" t="str">
        <f>VLOOKUP($R139,'Mapa Oficinas'!$A$7:$C$46,2,FALSE)</f>
        <v>Zona Norte (GBA)</v>
      </c>
      <c r="W139" t="str">
        <f>VLOOKUP($R139,'Mapa Oficinas'!$A$7:$C$46,3,FALSE)</f>
        <v>Nordelta</v>
      </c>
    </row>
    <row r="140" spans="1:23" x14ac:dyDescent="0.2">
      <c r="A140" s="1">
        <v>45807</v>
      </c>
      <c r="B140" s="20">
        <f t="shared" si="4"/>
        <v>2025</v>
      </c>
      <c r="C140" s="20">
        <f t="shared" si="5"/>
        <v>5</v>
      </c>
      <c r="D140" t="s">
        <v>2225</v>
      </c>
      <c r="E140" s="49">
        <v>3</v>
      </c>
      <c r="F140" t="s">
        <v>2226</v>
      </c>
      <c r="G140" t="s">
        <v>21</v>
      </c>
      <c r="H140" t="s">
        <v>76</v>
      </c>
      <c r="I140" s="13">
        <v>45000</v>
      </c>
      <c r="J140" s="13">
        <v>43500</v>
      </c>
      <c r="K140" s="13">
        <f>IF(J140&lt;'Mapa Oficinas'!$I$21,0,IF(J140&gt;'Mapa Oficinas'!$I$20,0,1))</f>
        <v>0</v>
      </c>
      <c r="L140" t="s">
        <v>23</v>
      </c>
      <c r="M140" t="s">
        <v>23</v>
      </c>
      <c r="O140" t="s">
        <v>2227</v>
      </c>
      <c r="P140" t="s">
        <v>26</v>
      </c>
      <c r="Q140">
        <v>2</v>
      </c>
      <c r="R140" t="s">
        <v>257</v>
      </c>
      <c r="S140" t="s">
        <v>232</v>
      </c>
      <c r="T140" t="str">
        <f>VLOOKUP(S140,'Mapa Oficinas'!$H$7:$I$16,2,FALSE)</f>
        <v>CB</v>
      </c>
      <c r="U140" t="s">
        <v>29</v>
      </c>
      <c r="V140" t="str">
        <f>VLOOKUP($R140,'Mapa Oficinas'!$A$7:$C$46,2,FALSE)</f>
        <v>Zona Norte (GBA)</v>
      </c>
      <c r="W140" t="str">
        <f>VLOOKUP($R140,'Mapa Oficinas'!$A$7:$C$46,3,FALSE)</f>
        <v>Pilar</v>
      </c>
    </row>
    <row r="141" spans="1:23" x14ac:dyDescent="0.2">
      <c r="A141" s="1">
        <v>46066</v>
      </c>
      <c r="B141" s="20">
        <f t="shared" si="4"/>
        <v>2026</v>
      </c>
      <c r="C141" s="20">
        <f t="shared" si="5"/>
        <v>2</v>
      </c>
      <c r="D141" t="s">
        <v>6699</v>
      </c>
      <c r="E141" s="49">
        <v>1</v>
      </c>
      <c r="F141" t="s">
        <v>6700</v>
      </c>
      <c r="G141" t="s">
        <v>21</v>
      </c>
      <c r="H141" t="s">
        <v>22</v>
      </c>
      <c r="I141" s="13">
        <v>35000</v>
      </c>
      <c r="J141" s="13">
        <v>43500</v>
      </c>
      <c r="K141" s="13">
        <f>IF(J141&lt;'Mapa Oficinas'!$I$21,0,IF(J141&gt;'Mapa Oficinas'!$I$20,0,1))</f>
        <v>0</v>
      </c>
      <c r="L141" t="s">
        <v>23</v>
      </c>
      <c r="M141" t="s">
        <v>23</v>
      </c>
      <c r="N141" t="s">
        <v>6701</v>
      </c>
      <c r="O141" t="s">
        <v>6702</v>
      </c>
      <c r="P141" t="s">
        <v>26</v>
      </c>
      <c r="Q141">
        <v>2</v>
      </c>
      <c r="R141" t="s">
        <v>372</v>
      </c>
      <c r="S141" t="s">
        <v>200</v>
      </c>
      <c r="T141" t="str">
        <f>VLOOKUP(S141,'Mapa Oficinas'!$H$7:$I$16,2,FALSE)</f>
        <v>Otra Red Captación</v>
      </c>
      <c r="U141" t="s">
        <v>29</v>
      </c>
      <c r="V141" t="str">
        <f>VLOOKUP($R141,'Mapa Oficinas'!$A$7:$C$46,2,FALSE)</f>
        <v>CABA</v>
      </c>
      <c r="W141" t="str">
        <f>VLOOKUP($R141,'Mapa Oficinas'!$A$7:$C$46,3,FALSE)</f>
        <v>Caballito</v>
      </c>
    </row>
    <row r="142" spans="1:23" x14ac:dyDescent="0.2">
      <c r="A142" s="1">
        <v>45807</v>
      </c>
      <c r="B142" s="20">
        <f t="shared" si="4"/>
        <v>2025</v>
      </c>
      <c r="C142" s="20">
        <f t="shared" si="5"/>
        <v>5</v>
      </c>
      <c r="D142" t="s">
        <v>2223</v>
      </c>
      <c r="E142" s="49">
        <v>1</v>
      </c>
      <c r="F142" t="s">
        <v>2224</v>
      </c>
      <c r="G142" t="s">
        <v>21</v>
      </c>
      <c r="H142" t="s">
        <v>37</v>
      </c>
      <c r="I142" s="13">
        <v>43500</v>
      </c>
      <c r="J142" s="13">
        <v>43500</v>
      </c>
      <c r="K142" s="13">
        <f>IF(J142&lt;'Mapa Oficinas'!$I$21,0,IF(J142&gt;'Mapa Oficinas'!$I$20,0,1))</f>
        <v>0</v>
      </c>
      <c r="L142" t="s">
        <v>23</v>
      </c>
      <c r="M142" t="s">
        <v>23</v>
      </c>
      <c r="N142" t="s">
        <v>2223</v>
      </c>
      <c r="O142" t="s">
        <v>231</v>
      </c>
      <c r="P142" t="s">
        <v>26</v>
      </c>
      <c r="Q142">
        <v>2</v>
      </c>
      <c r="R142" t="s">
        <v>56</v>
      </c>
      <c r="S142" t="s">
        <v>28</v>
      </c>
      <c r="T142" t="str">
        <f>VLOOKUP(S142,'Mapa Oficinas'!$H$7:$I$16,2,FALSE)</f>
        <v>CB</v>
      </c>
      <c r="U142" t="s">
        <v>29</v>
      </c>
      <c r="V142" t="str">
        <f>VLOOKUP($R142,'Mapa Oficinas'!$A$7:$C$46,2,FALSE)</f>
        <v>Zona Norte (GBA)</v>
      </c>
      <c r="W142" t="str">
        <f>VLOOKUP($R142,'Mapa Oficinas'!$A$7:$C$46,3,FALSE)</f>
        <v>Vicente López</v>
      </c>
    </row>
    <row r="143" spans="1:23" x14ac:dyDescent="0.2">
      <c r="A143" s="1">
        <v>46074</v>
      </c>
      <c r="B143" s="20">
        <f t="shared" si="4"/>
        <v>2026</v>
      </c>
      <c r="C143" s="20">
        <f t="shared" si="5"/>
        <v>2</v>
      </c>
      <c r="E143" s="49">
        <v>0</v>
      </c>
      <c r="F143" t="s">
        <v>6789</v>
      </c>
      <c r="G143" t="s">
        <v>21</v>
      </c>
      <c r="H143" t="s">
        <v>70</v>
      </c>
      <c r="I143" s="13">
        <v>44000</v>
      </c>
      <c r="J143" s="13">
        <v>44000</v>
      </c>
      <c r="K143" s="13">
        <f>IF(J143&lt;'Mapa Oficinas'!$I$21,0,IF(J143&gt;'Mapa Oficinas'!$I$20,0,1))</f>
        <v>0</v>
      </c>
      <c r="L143" t="s">
        <v>23</v>
      </c>
      <c r="M143" t="s">
        <v>23</v>
      </c>
      <c r="N143" t="s">
        <v>1621</v>
      </c>
      <c r="O143" t="s">
        <v>505</v>
      </c>
      <c r="P143" t="s">
        <v>26</v>
      </c>
      <c r="Q143">
        <v>2</v>
      </c>
      <c r="R143" t="s">
        <v>84</v>
      </c>
      <c r="S143" t="s">
        <v>79</v>
      </c>
      <c r="T143" t="str">
        <f>VLOOKUP(S143,'Mapa Oficinas'!$H$7:$I$16,2,FALSE)</f>
        <v>CB</v>
      </c>
      <c r="U143" t="s">
        <v>29</v>
      </c>
      <c r="V143" t="str">
        <f>VLOOKUP($R143,'Mapa Oficinas'!$A$7:$C$46,2,FALSE)</f>
        <v>Interior - Neuquén</v>
      </c>
      <c r="W143" t="str">
        <f>VLOOKUP($R143,'Mapa Oficinas'!$A$7:$C$46,3,FALSE)</f>
        <v>Villa La Angostura</v>
      </c>
    </row>
    <row r="144" spans="1:23" x14ac:dyDescent="0.2">
      <c r="A144" s="1">
        <v>45775</v>
      </c>
      <c r="B144" s="20">
        <f t="shared" si="4"/>
        <v>2025</v>
      </c>
      <c r="C144" s="20">
        <f t="shared" si="5"/>
        <v>4</v>
      </c>
      <c r="D144" t="s">
        <v>1644</v>
      </c>
      <c r="E144" s="49">
        <v>1</v>
      </c>
      <c r="F144" t="s">
        <v>1645</v>
      </c>
      <c r="G144" t="s">
        <v>21</v>
      </c>
      <c r="H144" t="s">
        <v>81</v>
      </c>
      <c r="I144" s="13">
        <v>44000</v>
      </c>
      <c r="J144" s="13">
        <v>44000</v>
      </c>
      <c r="K144" s="13">
        <f>IF(J144&lt;'Mapa Oficinas'!$I$21,0,IF(J144&gt;'Mapa Oficinas'!$I$20,0,1))</f>
        <v>0</v>
      </c>
      <c r="L144" t="s">
        <v>23</v>
      </c>
      <c r="M144" t="s">
        <v>23</v>
      </c>
      <c r="O144" t="s">
        <v>1646</v>
      </c>
      <c r="P144" t="s">
        <v>26</v>
      </c>
      <c r="Q144">
        <v>1</v>
      </c>
      <c r="R144" t="s">
        <v>151</v>
      </c>
      <c r="S144" t="s">
        <v>47</v>
      </c>
      <c r="T144" t="str">
        <f>VLOOKUP(S144,'Mapa Oficinas'!$H$7:$I$16,2,FALSE)</f>
        <v>Otra Red Búsqueda</v>
      </c>
      <c r="U144" t="s">
        <v>29</v>
      </c>
      <c r="V144" t="str">
        <f>VLOOKUP($R144,'Mapa Oficinas'!$A$7:$C$46,2,FALSE)</f>
        <v>Interior - Mendoza</v>
      </c>
      <c r="W144" t="str">
        <f>VLOOKUP($R144,'Mapa Oficinas'!$A$7:$C$46,3,FALSE)</f>
        <v>Capital Mendoza</v>
      </c>
    </row>
    <row r="145" spans="1:23" x14ac:dyDescent="0.2">
      <c r="A145" s="1">
        <v>45687</v>
      </c>
      <c r="B145" s="20">
        <f t="shared" si="4"/>
        <v>2025</v>
      </c>
      <c r="C145" s="20">
        <f t="shared" si="5"/>
        <v>1</v>
      </c>
      <c r="D145" t="s">
        <v>414</v>
      </c>
      <c r="E145" s="49">
        <v>1</v>
      </c>
      <c r="F145" t="s">
        <v>415</v>
      </c>
      <c r="G145" t="s">
        <v>21</v>
      </c>
      <c r="H145" t="s">
        <v>37</v>
      </c>
      <c r="I145" s="13">
        <v>44000</v>
      </c>
      <c r="J145" s="13">
        <v>44000</v>
      </c>
      <c r="K145" s="13">
        <f>IF(J145&lt;'Mapa Oficinas'!$I$21,0,IF(J145&gt;'Mapa Oficinas'!$I$20,0,1))</f>
        <v>0</v>
      </c>
      <c r="L145" t="s">
        <v>23</v>
      </c>
      <c r="M145" t="s">
        <v>23</v>
      </c>
      <c r="N145" t="s">
        <v>416</v>
      </c>
      <c r="O145" t="s">
        <v>417</v>
      </c>
      <c r="P145" t="s">
        <v>34</v>
      </c>
      <c r="Q145">
        <v>2</v>
      </c>
      <c r="R145" t="s">
        <v>183</v>
      </c>
      <c r="S145" t="s">
        <v>28</v>
      </c>
      <c r="T145" t="str">
        <f>VLOOKUP(S145,'Mapa Oficinas'!$H$7:$I$16,2,FALSE)</f>
        <v>CB</v>
      </c>
      <c r="U145" t="s">
        <v>29</v>
      </c>
      <c r="V145" t="str">
        <f>VLOOKUP($R145,'Mapa Oficinas'!$A$7:$C$46,2,FALSE)</f>
        <v>Interior - Neuquén</v>
      </c>
      <c r="W145" t="str">
        <f>VLOOKUP($R145,'Mapa Oficinas'!$A$7:$C$46,3,FALSE)</f>
        <v>Capital Neuquén</v>
      </c>
    </row>
    <row r="146" spans="1:23" x14ac:dyDescent="0.2">
      <c r="A146" s="1">
        <v>45825</v>
      </c>
      <c r="B146" s="20">
        <f t="shared" si="4"/>
        <v>2025</v>
      </c>
      <c r="C146" s="20">
        <f t="shared" si="5"/>
        <v>6</v>
      </c>
      <c r="D146" t="s">
        <v>2527</v>
      </c>
      <c r="E146" s="49">
        <v>1</v>
      </c>
      <c r="F146" t="s">
        <v>2528</v>
      </c>
      <c r="G146" t="s">
        <v>21</v>
      </c>
      <c r="H146" t="s">
        <v>22</v>
      </c>
      <c r="I146" s="13">
        <v>47000</v>
      </c>
      <c r="J146" s="13">
        <v>44000</v>
      </c>
      <c r="K146" s="13">
        <f>IF(J146&lt;'Mapa Oficinas'!$I$21,0,IF(J146&gt;'Mapa Oficinas'!$I$20,0,1))</f>
        <v>0</v>
      </c>
      <c r="L146" t="s">
        <v>23</v>
      </c>
      <c r="M146" t="s">
        <v>23</v>
      </c>
      <c r="N146" t="s">
        <v>2529</v>
      </c>
      <c r="O146" t="s">
        <v>1531</v>
      </c>
      <c r="P146" t="s">
        <v>45</v>
      </c>
      <c r="Q146">
        <v>2</v>
      </c>
      <c r="R146" t="s">
        <v>62</v>
      </c>
      <c r="S146" t="s">
        <v>28</v>
      </c>
      <c r="T146" t="str">
        <f>VLOOKUP(S146,'Mapa Oficinas'!$H$7:$I$16,2,FALSE)</f>
        <v>CB</v>
      </c>
      <c r="U146" t="s">
        <v>29</v>
      </c>
      <c r="V146" t="str">
        <f>VLOOKUP($R146,'Mapa Oficinas'!$A$7:$C$46,2,FALSE)</f>
        <v>CABA</v>
      </c>
      <c r="W146" t="str">
        <f>VLOOKUP($R146,'Mapa Oficinas'!$A$7:$C$46,3,FALSE)</f>
        <v>Villa Urquiza</v>
      </c>
    </row>
    <row r="147" spans="1:23" x14ac:dyDescent="0.2">
      <c r="A147" s="1">
        <v>45849</v>
      </c>
      <c r="B147" s="20">
        <f t="shared" si="4"/>
        <v>2025</v>
      </c>
      <c r="C147" s="20">
        <f t="shared" si="5"/>
        <v>7</v>
      </c>
      <c r="D147" t="s">
        <v>2964</v>
      </c>
      <c r="E147" s="49">
        <v>1</v>
      </c>
      <c r="F147" t="s">
        <v>2965</v>
      </c>
      <c r="G147" t="s">
        <v>21</v>
      </c>
      <c r="H147" t="s">
        <v>37</v>
      </c>
      <c r="I147" s="13">
        <v>45000</v>
      </c>
      <c r="J147" s="13">
        <v>44000</v>
      </c>
      <c r="K147" s="13">
        <f>IF(J147&lt;'Mapa Oficinas'!$I$21,0,IF(J147&gt;'Mapa Oficinas'!$I$20,0,1))</f>
        <v>0</v>
      </c>
      <c r="L147" t="s">
        <v>23</v>
      </c>
      <c r="M147" t="s">
        <v>23</v>
      </c>
      <c r="N147" t="s">
        <v>2966</v>
      </c>
      <c r="O147" t="s">
        <v>1920</v>
      </c>
      <c r="P147" t="s">
        <v>45</v>
      </c>
      <c r="Q147">
        <v>2</v>
      </c>
      <c r="R147" t="s">
        <v>1605</v>
      </c>
      <c r="S147" t="s">
        <v>28</v>
      </c>
      <c r="T147" t="str">
        <f>VLOOKUP(S147,'Mapa Oficinas'!$H$7:$I$16,2,FALSE)</f>
        <v>CB</v>
      </c>
      <c r="U147" t="s">
        <v>29</v>
      </c>
      <c r="V147" t="str">
        <f>VLOOKUP($R147,'Mapa Oficinas'!$A$7:$C$46,2,FALSE)</f>
        <v>CABA</v>
      </c>
      <c r="W147" t="str">
        <f>VLOOKUP($R147,'Mapa Oficinas'!$A$7:$C$46,3,FALSE)</f>
        <v>Núñez</v>
      </c>
    </row>
    <row r="148" spans="1:23" x14ac:dyDescent="0.2">
      <c r="A148" s="1">
        <v>45874</v>
      </c>
      <c r="B148" s="20">
        <f t="shared" si="4"/>
        <v>2025</v>
      </c>
      <c r="C148" s="20">
        <f t="shared" si="5"/>
        <v>8</v>
      </c>
      <c r="D148" t="s">
        <v>3404</v>
      </c>
      <c r="E148" s="49">
        <v>1</v>
      </c>
      <c r="F148" t="s">
        <v>3405</v>
      </c>
      <c r="G148" t="s">
        <v>21</v>
      </c>
      <c r="H148" t="s">
        <v>230</v>
      </c>
      <c r="I148" s="13">
        <v>46000</v>
      </c>
      <c r="J148" s="13">
        <v>44000</v>
      </c>
      <c r="K148" s="13">
        <f>IF(J148&lt;'Mapa Oficinas'!$I$21,0,IF(J148&gt;'Mapa Oficinas'!$I$20,0,1))</f>
        <v>0</v>
      </c>
      <c r="L148" t="s">
        <v>23</v>
      </c>
      <c r="M148" t="s">
        <v>23</v>
      </c>
      <c r="N148" t="s">
        <v>3406</v>
      </c>
      <c r="O148" t="s">
        <v>3407</v>
      </c>
      <c r="P148" t="s">
        <v>34</v>
      </c>
      <c r="Q148">
        <v>2</v>
      </c>
      <c r="R148" t="s">
        <v>183</v>
      </c>
      <c r="S148" t="s">
        <v>28</v>
      </c>
      <c r="T148" t="str">
        <f>VLOOKUP(S148,'Mapa Oficinas'!$H$7:$I$16,2,FALSE)</f>
        <v>CB</v>
      </c>
      <c r="U148" t="s">
        <v>29</v>
      </c>
      <c r="V148" t="str">
        <f>VLOOKUP($R148,'Mapa Oficinas'!$A$7:$C$46,2,FALSE)</f>
        <v>Interior - Neuquén</v>
      </c>
      <c r="W148" t="str">
        <f>VLOOKUP($R148,'Mapa Oficinas'!$A$7:$C$46,3,FALSE)</f>
        <v>Capital Neuquén</v>
      </c>
    </row>
    <row r="149" spans="1:23" x14ac:dyDescent="0.2">
      <c r="A149" s="1">
        <v>45992</v>
      </c>
      <c r="B149" s="20">
        <f t="shared" si="4"/>
        <v>2025</v>
      </c>
      <c r="C149" s="20">
        <f t="shared" si="5"/>
        <v>12</v>
      </c>
      <c r="D149" t="s">
        <v>5457</v>
      </c>
      <c r="E149" s="49">
        <v>1</v>
      </c>
      <c r="F149" t="s">
        <v>5458</v>
      </c>
      <c r="G149" t="s">
        <v>21</v>
      </c>
      <c r="H149" t="s">
        <v>37</v>
      </c>
      <c r="I149" s="13">
        <v>47000</v>
      </c>
      <c r="J149" s="13">
        <v>44000</v>
      </c>
      <c r="K149" s="13">
        <f>IF(J149&lt;'Mapa Oficinas'!$I$21,0,IF(J149&gt;'Mapa Oficinas'!$I$20,0,1))</f>
        <v>0</v>
      </c>
      <c r="L149" t="s">
        <v>23</v>
      </c>
      <c r="M149" t="s">
        <v>23</v>
      </c>
      <c r="N149" t="s">
        <v>5459</v>
      </c>
      <c r="O149" t="s">
        <v>1321</v>
      </c>
      <c r="P149" t="s">
        <v>45</v>
      </c>
      <c r="Q149">
        <v>2</v>
      </c>
      <c r="R149" t="s">
        <v>151</v>
      </c>
      <c r="S149" t="s">
        <v>28</v>
      </c>
      <c r="T149" t="str">
        <f>VLOOKUP(S149,'Mapa Oficinas'!$H$7:$I$16,2,FALSE)</f>
        <v>CB</v>
      </c>
      <c r="U149" t="s">
        <v>29</v>
      </c>
      <c r="V149" t="str">
        <f>VLOOKUP($R149,'Mapa Oficinas'!$A$7:$C$46,2,FALSE)</f>
        <v>Interior - Mendoza</v>
      </c>
      <c r="W149" t="str">
        <f>VLOOKUP($R149,'Mapa Oficinas'!$A$7:$C$46,3,FALSE)</f>
        <v>Capital Mendoza</v>
      </c>
    </row>
    <row r="150" spans="1:23" x14ac:dyDescent="0.2">
      <c r="A150" s="1">
        <v>45994</v>
      </c>
      <c r="B150" s="20">
        <f t="shared" si="4"/>
        <v>2025</v>
      </c>
      <c r="C150" s="20">
        <f t="shared" si="5"/>
        <v>12</v>
      </c>
      <c r="D150" t="s">
        <v>5596</v>
      </c>
      <c r="E150" s="49">
        <v>1</v>
      </c>
      <c r="F150" t="s">
        <v>5597</v>
      </c>
      <c r="G150" t="s">
        <v>21</v>
      </c>
      <c r="H150" t="s">
        <v>37</v>
      </c>
      <c r="I150" s="13">
        <v>45000</v>
      </c>
      <c r="J150" s="13">
        <v>44000</v>
      </c>
      <c r="K150" s="13">
        <f>IF(J150&lt;'Mapa Oficinas'!$I$21,0,IF(J150&gt;'Mapa Oficinas'!$I$20,0,1))</f>
        <v>0</v>
      </c>
      <c r="L150" t="s">
        <v>23</v>
      </c>
      <c r="M150" t="s">
        <v>23</v>
      </c>
      <c r="N150" t="s">
        <v>5598</v>
      </c>
      <c r="O150" t="s">
        <v>141</v>
      </c>
      <c r="P150" t="s">
        <v>45</v>
      </c>
      <c r="Q150">
        <v>2</v>
      </c>
      <c r="R150" t="s">
        <v>56</v>
      </c>
      <c r="S150" t="s">
        <v>28</v>
      </c>
      <c r="T150" t="str">
        <f>VLOOKUP(S150,'Mapa Oficinas'!$H$7:$I$16,2,FALSE)</f>
        <v>CB</v>
      </c>
      <c r="U150" t="s">
        <v>29</v>
      </c>
      <c r="V150" t="str">
        <f>VLOOKUP($R150,'Mapa Oficinas'!$A$7:$C$46,2,FALSE)</f>
        <v>Zona Norte (GBA)</v>
      </c>
      <c r="W150" t="str">
        <f>VLOOKUP($R150,'Mapa Oficinas'!$A$7:$C$46,3,FALSE)</f>
        <v>Vicente López</v>
      </c>
    </row>
    <row r="151" spans="1:23" x14ac:dyDescent="0.2">
      <c r="A151" s="1">
        <v>46009</v>
      </c>
      <c r="B151" s="20">
        <f t="shared" si="4"/>
        <v>2025</v>
      </c>
      <c r="C151" s="20">
        <f t="shared" si="5"/>
        <v>12</v>
      </c>
      <c r="D151" t="s">
        <v>5860</v>
      </c>
      <c r="E151" s="49">
        <v>1</v>
      </c>
      <c r="F151" t="s">
        <v>5861</v>
      </c>
      <c r="G151" t="s">
        <v>21</v>
      </c>
      <c r="H151" t="s">
        <v>37</v>
      </c>
      <c r="I151" s="13">
        <v>46200</v>
      </c>
      <c r="J151" s="13">
        <v>44000</v>
      </c>
      <c r="K151" s="13">
        <f>IF(J151&lt;'Mapa Oficinas'!$I$21,0,IF(J151&gt;'Mapa Oficinas'!$I$20,0,1))</f>
        <v>0</v>
      </c>
      <c r="L151" t="s">
        <v>23</v>
      </c>
      <c r="M151" t="s">
        <v>23</v>
      </c>
      <c r="N151" t="s">
        <v>5862</v>
      </c>
      <c r="O151" t="s">
        <v>5863</v>
      </c>
      <c r="P151" t="s">
        <v>26</v>
      </c>
      <c r="Q151">
        <v>2</v>
      </c>
      <c r="R151" t="s">
        <v>151</v>
      </c>
      <c r="S151" t="s">
        <v>28</v>
      </c>
      <c r="T151" t="str">
        <f>VLOOKUP(S151,'Mapa Oficinas'!$H$7:$I$16,2,FALSE)</f>
        <v>CB</v>
      </c>
      <c r="U151" t="s">
        <v>29</v>
      </c>
      <c r="V151" t="str">
        <f>VLOOKUP($R151,'Mapa Oficinas'!$A$7:$C$46,2,FALSE)</f>
        <v>Interior - Mendoza</v>
      </c>
      <c r="W151" t="str">
        <f>VLOOKUP($R151,'Mapa Oficinas'!$A$7:$C$46,3,FALSE)</f>
        <v>Capital Mendoza</v>
      </c>
    </row>
    <row r="152" spans="1:23" x14ac:dyDescent="0.2">
      <c r="A152" s="1">
        <v>45670</v>
      </c>
      <c r="B152" s="20">
        <f t="shared" si="4"/>
        <v>2025</v>
      </c>
      <c r="C152" s="20">
        <f t="shared" si="5"/>
        <v>1</v>
      </c>
      <c r="D152" t="s">
        <v>201</v>
      </c>
      <c r="E152" s="49">
        <v>1</v>
      </c>
      <c r="F152" t="s">
        <v>202</v>
      </c>
      <c r="G152" t="s">
        <v>21</v>
      </c>
      <c r="H152" t="s">
        <v>100</v>
      </c>
      <c r="I152" s="13">
        <v>44150</v>
      </c>
      <c r="J152" s="13">
        <v>44146</v>
      </c>
      <c r="K152" s="13">
        <f>IF(J152&lt;'Mapa Oficinas'!$I$21,0,IF(J152&gt;'Mapa Oficinas'!$I$20,0,1))</f>
        <v>0</v>
      </c>
      <c r="L152" t="s">
        <v>23</v>
      </c>
      <c r="M152" t="s">
        <v>23</v>
      </c>
      <c r="N152" t="s">
        <v>203</v>
      </c>
      <c r="O152" t="s">
        <v>204</v>
      </c>
      <c r="P152" t="s">
        <v>26</v>
      </c>
      <c r="Q152">
        <v>2</v>
      </c>
      <c r="R152" t="s">
        <v>121</v>
      </c>
      <c r="S152" t="s">
        <v>28</v>
      </c>
      <c r="T152" t="str">
        <f>VLOOKUP(S152,'Mapa Oficinas'!$H$7:$I$16,2,FALSE)</f>
        <v>CB</v>
      </c>
      <c r="U152" t="s">
        <v>29</v>
      </c>
      <c r="V152" t="str">
        <f>VLOOKUP($R152,'Mapa Oficinas'!$A$7:$C$46,2,FALSE)</f>
        <v>Interior - Río Negro</v>
      </c>
      <c r="W152" t="str">
        <f>VLOOKUP($R152,'Mapa Oficinas'!$A$7:$C$46,3,FALSE)</f>
        <v>Bariloche</v>
      </c>
    </row>
    <row r="153" spans="1:23" x14ac:dyDescent="0.2">
      <c r="A153" s="1">
        <v>45839</v>
      </c>
      <c r="B153" s="20">
        <f t="shared" si="4"/>
        <v>2025</v>
      </c>
      <c r="C153" s="20">
        <f t="shared" si="5"/>
        <v>7</v>
      </c>
      <c r="D153" t="s">
        <v>2798</v>
      </c>
      <c r="E153" s="49">
        <v>1</v>
      </c>
      <c r="F153" t="s">
        <v>2799</v>
      </c>
      <c r="G153" t="s">
        <v>21</v>
      </c>
      <c r="H153" t="s">
        <v>81</v>
      </c>
      <c r="I153" s="13">
        <v>44350</v>
      </c>
      <c r="J153" s="13">
        <v>44350</v>
      </c>
      <c r="K153" s="13">
        <f>IF(J153&lt;'Mapa Oficinas'!$I$21,0,IF(J153&gt;'Mapa Oficinas'!$I$20,0,1))</f>
        <v>0</v>
      </c>
      <c r="L153" t="s">
        <v>23</v>
      </c>
      <c r="M153" t="s">
        <v>23</v>
      </c>
      <c r="N153" t="s">
        <v>2800</v>
      </c>
      <c r="O153" t="s">
        <v>1629</v>
      </c>
      <c r="P153" t="s">
        <v>26</v>
      </c>
      <c r="Q153">
        <v>2</v>
      </c>
      <c r="R153" t="s">
        <v>482</v>
      </c>
      <c r="S153" t="s">
        <v>28</v>
      </c>
      <c r="T153" t="str">
        <f>VLOOKUP(S153,'Mapa Oficinas'!$H$7:$I$16,2,FALSE)</f>
        <v>CB</v>
      </c>
      <c r="U153" t="s">
        <v>29</v>
      </c>
      <c r="V153" t="str">
        <f>VLOOKUP($R153,'Mapa Oficinas'!$A$7:$C$46,2,FALSE)</f>
        <v>Interior - Jujuy</v>
      </c>
      <c r="W153" t="str">
        <f>VLOOKUP($R153,'Mapa Oficinas'!$A$7:$C$46,3,FALSE)</f>
        <v>Capital Jujuy</v>
      </c>
    </row>
    <row r="154" spans="1:23" x14ac:dyDescent="0.2">
      <c r="A154" s="1">
        <v>46098</v>
      </c>
      <c r="B154" s="20">
        <f t="shared" si="4"/>
        <v>2026</v>
      </c>
      <c r="C154" s="20">
        <f t="shared" si="5"/>
        <v>3</v>
      </c>
      <c r="D154" t="s">
        <v>7225</v>
      </c>
      <c r="E154" s="49">
        <v>1</v>
      </c>
      <c r="F154" t="s">
        <v>7225</v>
      </c>
      <c r="G154" t="s">
        <v>21</v>
      </c>
      <c r="H154" t="s">
        <v>76</v>
      </c>
      <c r="I154" s="13">
        <v>44683</v>
      </c>
      <c r="J154" s="13">
        <v>44683</v>
      </c>
      <c r="K154" s="13">
        <f>IF(J154&lt;'Mapa Oficinas'!$I$21,0,IF(J154&gt;'Mapa Oficinas'!$I$20,0,1))</f>
        <v>0</v>
      </c>
      <c r="L154" t="s">
        <v>23</v>
      </c>
      <c r="M154" t="s">
        <v>23</v>
      </c>
      <c r="O154" t="s">
        <v>303</v>
      </c>
      <c r="P154" t="s">
        <v>26</v>
      </c>
      <c r="Q154">
        <v>2</v>
      </c>
      <c r="R154" t="s">
        <v>183</v>
      </c>
      <c r="S154" t="s">
        <v>28</v>
      </c>
      <c r="T154" t="str">
        <f>VLOOKUP(S154,'Mapa Oficinas'!$H$7:$I$16,2,FALSE)</f>
        <v>CB</v>
      </c>
      <c r="U154" t="s">
        <v>29</v>
      </c>
      <c r="V154" t="str">
        <f>VLOOKUP($R154,'Mapa Oficinas'!$A$7:$C$46,2,FALSE)</f>
        <v>Interior - Neuquén</v>
      </c>
      <c r="W154" t="str">
        <f>VLOOKUP($R154,'Mapa Oficinas'!$A$7:$C$46,3,FALSE)</f>
        <v>Capital Neuquén</v>
      </c>
    </row>
    <row r="155" spans="1:23" x14ac:dyDescent="0.2">
      <c r="A155" s="1">
        <v>45775</v>
      </c>
      <c r="B155" s="20">
        <f t="shared" si="4"/>
        <v>2025</v>
      </c>
      <c r="C155" s="20">
        <f t="shared" si="5"/>
        <v>4</v>
      </c>
      <c r="D155" t="s">
        <v>1647</v>
      </c>
      <c r="E155" s="49">
        <v>1</v>
      </c>
      <c r="F155" t="s">
        <v>1648</v>
      </c>
      <c r="G155" t="s">
        <v>21</v>
      </c>
      <c r="H155" t="s">
        <v>22</v>
      </c>
      <c r="I155" s="13">
        <v>44900</v>
      </c>
      <c r="J155" s="13">
        <v>44900</v>
      </c>
      <c r="K155" s="13">
        <f>IF(J155&lt;'Mapa Oficinas'!$I$21,0,IF(J155&gt;'Mapa Oficinas'!$I$20,0,1))</f>
        <v>0</v>
      </c>
      <c r="L155" t="s">
        <v>23</v>
      </c>
      <c r="M155" t="s">
        <v>23</v>
      </c>
      <c r="N155" t="s">
        <v>1649</v>
      </c>
      <c r="O155" t="s">
        <v>1650</v>
      </c>
      <c r="P155" t="s">
        <v>34</v>
      </c>
      <c r="Q155">
        <v>2</v>
      </c>
      <c r="R155" t="s">
        <v>151</v>
      </c>
      <c r="S155" t="s">
        <v>28</v>
      </c>
      <c r="T155" t="str">
        <f>VLOOKUP(S155,'Mapa Oficinas'!$H$7:$I$16,2,FALSE)</f>
        <v>CB</v>
      </c>
      <c r="U155" t="s">
        <v>29</v>
      </c>
      <c r="V155" t="str">
        <f>VLOOKUP($R155,'Mapa Oficinas'!$A$7:$C$46,2,FALSE)</f>
        <v>Interior - Mendoza</v>
      </c>
      <c r="W155" t="str">
        <f>VLOOKUP($R155,'Mapa Oficinas'!$A$7:$C$46,3,FALSE)</f>
        <v>Capital Mendoza</v>
      </c>
    </row>
    <row r="156" spans="1:23" x14ac:dyDescent="0.2">
      <c r="A156" s="1">
        <v>45667</v>
      </c>
      <c r="B156" s="20">
        <f t="shared" si="4"/>
        <v>2025</v>
      </c>
      <c r="C156" s="20">
        <f t="shared" si="5"/>
        <v>1</v>
      </c>
      <c r="D156" t="s">
        <v>147</v>
      </c>
      <c r="E156" s="49">
        <v>1</v>
      </c>
      <c r="F156" t="s">
        <v>148</v>
      </c>
      <c r="G156" t="s">
        <v>21</v>
      </c>
      <c r="H156" t="s">
        <v>81</v>
      </c>
      <c r="I156" s="13">
        <v>45000</v>
      </c>
      <c r="J156" s="13">
        <v>45000</v>
      </c>
      <c r="K156" s="13">
        <f>IF(J156&lt;'Mapa Oficinas'!$I$21,0,IF(J156&gt;'Mapa Oficinas'!$I$20,0,1))</f>
        <v>0</v>
      </c>
      <c r="L156" t="s">
        <v>23</v>
      </c>
      <c r="M156" t="s">
        <v>23</v>
      </c>
      <c r="N156" t="s">
        <v>149</v>
      </c>
      <c r="O156" t="s">
        <v>150</v>
      </c>
      <c r="P156" t="s">
        <v>45</v>
      </c>
      <c r="Q156">
        <v>1</v>
      </c>
      <c r="R156" t="s">
        <v>151</v>
      </c>
      <c r="S156" t="s">
        <v>152</v>
      </c>
      <c r="T156" t="str">
        <f>VLOOKUP(S156,'Mapa Oficinas'!$H$7:$I$16,2,FALSE)</f>
        <v>Otra Red Captación</v>
      </c>
      <c r="U156" t="s">
        <v>29</v>
      </c>
      <c r="V156" t="str">
        <f>VLOOKUP($R156,'Mapa Oficinas'!$A$7:$C$46,2,FALSE)</f>
        <v>Interior - Mendoza</v>
      </c>
      <c r="W156" t="str">
        <f>VLOOKUP($R156,'Mapa Oficinas'!$A$7:$C$46,3,FALSE)</f>
        <v>Capital Mendoza</v>
      </c>
    </row>
    <row r="157" spans="1:23" x14ac:dyDescent="0.2">
      <c r="A157" s="1">
        <v>45825</v>
      </c>
      <c r="B157" s="20">
        <f t="shared" si="4"/>
        <v>2025</v>
      </c>
      <c r="C157" s="20">
        <f t="shared" si="5"/>
        <v>6</v>
      </c>
      <c r="D157" t="s">
        <v>2530</v>
      </c>
      <c r="E157" s="49">
        <v>1</v>
      </c>
      <c r="F157" t="s">
        <v>2531</v>
      </c>
      <c r="G157" t="s">
        <v>21</v>
      </c>
      <c r="H157" t="s">
        <v>100</v>
      </c>
      <c r="I157" s="13">
        <v>46410</v>
      </c>
      <c r="J157" s="13">
        <v>45000</v>
      </c>
      <c r="K157" s="13">
        <f>IF(J157&lt;'Mapa Oficinas'!$I$21,0,IF(J157&gt;'Mapa Oficinas'!$I$20,0,1))</f>
        <v>0</v>
      </c>
      <c r="L157" t="s">
        <v>23</v>
      </c>
      <c r="M157" t="s">
        <v>23</v>
      </c>
      <c r="N157" t="s">
        <v>203</v>
      </c>
      <c r="O157" t="s">
        <v>204</v>
      </c>
      <c r="P157" t="s">
        <v>26</v>
      </c>
      <c r="Q157">
        <v>1</v>
      </c>
      <c r="R157" t="s">
        <v>121</v>
      </c>
      <c r="S157" t="s">
        <v>152</v>
      </c>
      <c r="T157" t="str">
        <f>VLOOKUP(S157,'Mapa Oficinas'!$H$7:$I$16,2,FALSE)</f>
        <v>Otra Red Captación</v>
      </c>
      <c r="U157" t="s">
        <v>29</v>
      </c>
      <c r="V157" t="str">
        <f>VLOOKUP($R157,'Mapa Oficinas'!$A$7:$C$46,2,FALSE)</f>
        <v>Interior - Río Negro</v>
      </c>
      <c r="W157" t="str">
        <f>VLOOKUP($R157,'Mapa Oficinas'!$A$7:$C$46,3,FALSE)</f>
        <v>Bariloche</v>
      </c>
    </row>
    <row r="158" spans="1:23" x14ac:dyDescent="0.2">
      <c r="A158" s="1">
        <v>46058</v>
      </c>
      <c r="B158" s="20">
        <f t="shared" si="4"/>
        <v>2026</v>
      </c>
      <c r="C158" s="20">
        <f t="shared" si="5"/>
        <v>2</v>
      </c>
      <c r="D158" t="s">
        <v>6541</v>
      </c>
      <c r="E158" s="49">
        <v>1</v>
      </c>
      <c r="F158" t="s">
        <v>6542</v>
      </c>
      <c r="G158" t="s">
        <v>21</v>
      </c>
      <c r="H158" t="s">
        <v>81</v>
      </c>
      <c r="I158" s="13">
        <v>47000</v>
      </c>
      <c r="J158" s="13">
        <v>45000</v>
      </c>
      <c r="K158" s="13">
        <f>IF(J158&lt;'Mapa Oficinas'!$I$21,0,IF(J158&gt;'Mapa Oficinas'!$I$20,0,1))</f>
        <v>0</v>
      </c>
      <c r="L158" t="s">
        <v>23</v>
      </c>
      <c r="M158" t="s">
        <v>23</v>
      </c>
      <c r="N158" t="s">
        <v>6543</v>
      </c>
      <c r="O158" t="s">
        <v>1239</v>
      </c>
      <c r="P158" t="s">
        <v>26</v>
      </c>
      <c r="Q158">
        <v>1</v>
      </c>
      <c r="R158" t="s">
        <v>130</v>
      </c>
      <c r="S158" t="s">
        <v>152</v>
      </c>
      <c r="T158" t="str">
        <f>VLOOKUP(S158,'Mapa Oficinas'!$H$7:$I$16,2,FALSE)</f>
        <v>Otra Red Captación</v>
      </c>
      <c r="U158" t="s">
        <v>29</v>
      </c>
      <c r="V158" t="str">
        <f>VLOOKUP($R158,'Mapa Oficinas'!$A$7:$C$46,2,FALSE)</f>
        <v>Interior - Neuquén</v>
      </c>
      <c r="W158" t="str">
        <f>VLOOKUP($R158,'Mapa Oficinas'!$A$7:$C$46,3,FALSE)</f>
        <v>San Martín de los Andes</v>
      </c>
    </row>
    <row r="159" spans="1:23" x14ac:dyDescent="0.2">
      <c r="A159" s="1">
        <v>46031</v>
      </c>
      <c r="B159" s="20">
        <f t="shared" si="4"/>
        <v>2026</v>
      </c>
      <c r="C159" s="20">
        <f t="shared" si="5"/>
        <v>1</v>
      </c>
      <c r="E159" s="49">
        <v>0</v>
      </c>
      <c r="F159" t="s">
        <v>6155</v>
      </c>
      <c r="G159" t="s">
        <v>21</v>
      </c>
      <c r="H159" t="s">
        <v>76</v>
      </c>
      <c r="I159" s="13">
        <v>45000</v>
      </c>
      <c r="J159" s="13">
        <v>45000</v>
      </c>
      <c r="K159" s="13">
        <f>IF(J159&lt;'Mapa Oficinas'!$I$21,0,IF(J159&gt;'Mapa Oficinas'!$I$20,0,1))</f>
        <v>0</v>
      </c>
      <c r="L159" t="s">
        <v>23</v>
      </c>
      <c r="M159" t="s">
        <v>23</v>
      </c>
      <c r="N159" t="s">
        <v>2482</v>
      </c>
      <c r="O159" t="s">
        <v>505</v>
      </c>
      <c r="P159" t="s">
        <v>26</v>
      </c>
      <c r="Q159">
        <v>2</v>
      </c>
      <c r="R159" t="s">
        <v>84</v>
      </c>
      <c r="S159" t="s">
        <v>79</v>
      </c>
      <c r="T159" t="str">
        <f>VLOOKUP(S159,'Mapa Oficinas'!$H$7:$I$16,2,FALSE)</f>
        <v>CB</v>
      </c>
      <c r="U159" t="s">
        <v>29</v>
      </c>
      <c r="V159" t="str">
        <f>VLOOKUP($R159,'Mapa Oficinas'!$A$7:$C$46,2,FALSE)</f>
        <v>Interior - Neuquén</v>
      </c>
      <c r="W159" t="str">
        <f>VLOOKUP($R159,'Mapa Oficinas'!$A$7:$C$46,3,FALSE)</f>
        <v>Villa La Angostura</v>
      </c>
    </row>
    <row r="160" spans="1:23" x14ac:dyDescent="0.2">
      <c r="A160" s="1">
        <v>45853</v>
      </c>
      <c r="B160" s="20">
        <f t="shared" si="4"/>
        <v>2025</v>
      </c>
      <c r="C160" s="20">
        <f t="shared" si="5"/>
        <v>7</v>
      </c>
      <c r="D160" t="s">
        <v>3037</v>
      </c>
      <c r="E160" s="49">
        <v>1</v>
      </c>
      <c r="F160" t="s">
        <v>3038</v>
      </c>
      <c r="G160" t="s">
        <v>21</v>
      </c>
      <c r="H160" t="s">
        <v>70</v>
      </c>
      <c r="I160" s="13">
        <v>52000</v>
      </c>
      <c r="J160" s="13">
        <v>45000</v>
      </c>
      <c r="K160" s="13">
        <f>IF(J160&lt;'Mapa Oficinas'!$I$21,0,IF(J160&gt;'Mapa Oficinas'!$I$20,0,1))</f>
        <v>0</v>
      </c>
      <c r="L160" t="s">
        <v>23</v>
      </c>
      <c r="M160" t="s">
        <v>23</v>
      </c>
      <c r="N160" t="s">
        <v>3039</v>
      </c>
      <c r="O160" t="s">
        <v>3040</v>
      </c>
      <c r="P160" t="s">
        <v>26</v>
      </c>
      <c r="Q160">
        <v>2</v>
      </c>
      <c r="R160" t="s">
        <v>73</v>
      </c>
      <c r="S160" t="s">
        <v>79</v>
      </c>
      <c r="T160" t="str">
        <f>VLOOKUP(S160,'Mapa Oficinas'!$H$7:$I$16,2,FALSE)</f>
        <v>CB</v>
      </c>
      <c r="U160" t="s">
        <v>29</v>
      </c>
      <c r="V160" t="str">
        <f>VLOOKUP($R160,'Mapa Oficinas'!$A$7:$C$46,2,FALSE)</f>
        <v>Interior - Salta</v>
      </c>
      <c r="W160" t="str">
        <f>VLOOKUP($R160,'Mapa Oficinas'!$A$7:$C$46,3,FALSE)</f>
        <v>San Lorenzo Chico</v>
      </c>
    </row>
    <row r="161" spans="1:23" x14ac:dyDescent="0.2">
      <c r="A161" s="1">
        <v>46031</v>
      </c>
      <c r="B161" s="20">
        <f t="shared" si="4"/>
        <v>2026</v>
      </c>
      <c r="C161" s="20">
        <f t="shared" si="5"/>
        <v>1</v>
      </c>
      <c r="E161" s="49">
        <v>1</v>
      </c>
      <c r="F161" t="s">
        <v>6154</v>
      </c>
      <c r="G161" t="s">
        <v>21</v>
      </c>
      <c r="H161" t="s">
        <v>76</v>
      </c>
      <c r="I161" s="13">
        <v>45000</v>
      </c>
      <c r="J161" s="13">
        <v>45000</v>
      </c>
      <c r="K161" s="13">
        <f>IF(J161&lt;'Mapa Oficinas'!$I$21,0,IF(J161&gt;'Mapa Oficinas'!$I$20,0,1))</f>
        <v>0</v>
      </c>
      <c r="L161" t="s">
        <v>23</v>
      </c>
      <c r="M161" t="s">
        <v>23</v>
      </c>
      <c r="N161" t="s">
        <v>1621</v>
      </c>
      <c r="O161" t="s">
        <v>505</v>
      </c>
      <c r="P161" t="s">
        <v>26</v>
      </c>
      <c r="Q161">
        <v>2</v>
      </c>
      <c r="R161" t="s">
        <v>84</v>
      </c>
      <c r="S161" t="s">
        <v>79</v>
      </c>
      <c r="T161" t="str">
        <f>VLOOKUP(S161,'Mapa Oficinas'!$H$7:$I$16,2,FALSE)</f>
        <v>CB</v>
      </c>
      <c r="U161" t="s">
        <v>29</v>
      </c>
      <c r="V161" t="str">
        <f>VLOOKUP($R161,'Mapa Oficinas'!$A$7:$C$46,2,FALSE)</f>
        <v>Interior - Neuquén</v>
      </c>
      <c r="W161" t="str">
        <f>VLOOKUP($R161,'Mapa Oficinas'!$A$7:$C$46,3,FALSE)</f>
        <v>Villa La Angostura</v>
      </c>
    </row>
    <row r="162" spans="1:23" x14ac:dyDescent="0.2">
      <c r="A162" s="1">
        <v>46045</v>
      </c>
      <c r="B162" s="20">
        <f t="shared" si="4"/>
        <v>2026</v>
      </c>
      <c r="C162" s="20">
        <f t="shared" si="5"/>
        <v>1</v>
      </c>
      <c r="D162" t="s">
        <v>6380</v>
      </c>
      <c r="E162" s="49">
        <v>1</v>
      </c>
      <c r="F162" t="s">
        <v>6381</v>
      </c>
      <c r="G162" t="s">
        <v>21</v>
      </c>
      <c r="H162" t="s">
        <v>37</v>
      </c>
      <c r="I162" s="13">
        <v>45000</v>
      </c>
      <c r="J162" s="13">
        <v>45000</v>
      </c>
      <c r="K162" s="13">
        <f>IF(J162&lt;'Mapa Oficinas'!$I$21,0,IF(J162&gt;'Mapa Oficinas'!$I$20,0,1))</f>
        <v>0</v>
      </c>
      <c r="L162" t="s">
        <v>23</v>
      </c>
      <c r="M162" t="s">
        <v>23</v>
      </c>
      <c r="N162" t="s">
        <v>6382</v>
      </c>
      <c r="O162" t="s">
        <v>249</v>
      </c>
      <c r="P162" t="s">
        <v>45</v>
      </c>
      <c r="Q162">
        <v>2</v>
      </c>
      <c r="R162" t="s">
        <v>517</v>
      </c>
      <c r="S162" t="s">
        <v>232</v>
      </c>
      <c r="T162" t="str">
        <f>VLOOKUP(S162,'Mapa Oficinas'!$H$7:$I$16,2,FALSE)</f>
        <v>CB</v>
      </c>
      <c r="U162" t="s">
        <v>29</v>
      </c>
      <c r="V162" t="str">
        <f>VLOOKUP($R162,'Mapa Oficinas'!$A$7:$C$46,2,FALSE)</f>
        <v>Zona Sur (GBA)</v>
      </c>
      <c r="W162" t="str">
        <f>VLOOKUP($R162,'Mapa Oficinas'!$A$7:$C$46,3,FALSE)</f>
        <v>Canning</v>
      </c>
    </row>
    <row r="163" spans="1:23" x14ac:dyDescent="0.2">
      <c r="A163" s="1">
        <v>46048</v>
      </c>
      <c r="B163" s="20">
        <f t="shared" si="4"/>
        <v>2026</v>
      </c>
      <c r="C163" s="20">
        <f t="shared" si="5"/>
        <v>1</v>
      </c>
      <c r="D163" t="s">
        <v>6396</v>
      </c>
      <c r="E163" s="49">
        <v>0</v>
      </c>
      <c r="F163" t="s">
        <v>6396</v>
      </c>
      <c r="G163" t="s">
        <v>21</v>
      </c>
      <c r="H163" t="s">
        <v>37</v>
      </c>
      <c r="I163" s="13">
        <v>45000</v>
      </c>
      <c r="J163" s="13">
        <v>45000</v>
      </c>
      <c r="K163" s="13">
        <f>IF(J163&lt;'Mapa Oficinas'!$I$21,0,IF(J163&gt;'Mapa Oficinas'!$I$20,0,1))</f>
        <v>0</v>
      </c>
      <c r="L163" t="s">
        <v>23</v>
      </c>
      <c r="M163" t="s">
        <v>23</v>
      </c>
      <c r="N163" t="s">
        <v>6396</v>
      </c>
      <c r="O163" t="s">
        <v>1907</v>
      </c>
      <c r="P163" t="s">
        <v>45</v>
      </c>
      <c r="Q163">
        <v>2</v>
      </c>
      <c r="R163" t="s">
        <v>56</v>
      </c>
      <c r="S163" t="s">
        <v>232</v>
      </c>
      <c r="T163" t="str">
        <f>VLOOKUP(S163,'Mapa Oficinas'!$H$7:$I$16,2,FALSE)</f>
        <v>CB</v>
      </c>
      <c r="U163" t="s">
        <v>29</v>
      </c>
      <c r="V163" t="str">
        <f>VLOOKUP($R163,'Mapa Oficinas'!$A$7:$C$46,2,FALSE)</f>
        <v>Zona Norte (GBA)</v>
      </c>
      <c r="W163" t="str">
        <f>VLOOKUP($R163,'Mapa Oficinas'!$A$7:$C$46,3,FALSE)</f>
        <v>Vicente López</v>
      </c>
    </row>
    <row r="164" spans="1:23" x14ac:dyDescent="0.2">
      <c r="A164" s="1">
        <v>45762</v>
      </c>
      <c r="B164" s="20">
        <f t="shared" si="4"/>
        <v>2025</v>
      </c>
      <c r="C164" s="20">
        <f t="shared" si="5"/>
        <v>4</v>
      </c>
      <c r="E164" s="49">
        <v>1</v>
      </c>
      <c r="F164" t="s">
        <v>1430</v>
      </c>
      <c r="G164" t="s">
        <v>21</v>
      </c>
      <c r="H164" t="s">
        <v>37</v>
      </c>
      <c r="I164" s="13">
        <v>45000</v>
      </c>
      <c r="J164" s="13">
        <v>45000</v>
      </c>
      <c r="K164" s="13">
        <f>IF(J164&lt;'Mapa Oficinas'!$I$21,0,IF(J164&gt;'Mapa Oficinas'!$I$20,0,1))</f>
        <v>0</v>
      </c>
      <c r="L164" t="s">
        <v>23</v>
      </c>
      <c r="M164" t="s">
        <v>23</v>
      </c>
      <c r="N164" t="s">
        <v>1431</v>
      </c>
      <c r="O164" t="s">
        <v>105</v>
      </c>
      <c r="P164" t="s">
        <v>45</v>
      </c>
      <c r="Q164">
        <v>1</v>
      </c>
      <c r="R164" t="s">
        <v>135</v>
      </c>
      <c r="S164" t="s">
        <v>47</v>
      </c>
      <c r="T164" t="str">
        <f>VLOOKUP(S164,'Mapa Oficinas'!$H$7:$I$16,2,FALSE)</f>
        <v>Otra Red Búsqueda</v>
      </c>
      <c r="U164" t="s">
        <v>29</v>
      </c>
      <c r="V164" t="str">
        <f>VLOOKUP($R164,'Mapa Oficinas'!$A$7:$C$46,2,FALSE)</f>
        <v>CABA</v>
      </c>
      <c r="W164" t="str">
        <f>VLOOKUP($R164,'Mapa Oficinas'!$A$7:$C$46,3,FALSE)</f>
        <v>Recoleta</v>
      </c>
    </row>
    <row r="165" spans="1:23" x14ac:dyDescent="0.2">
      <c r="A165" s="1">
        <v>45947</v>
      </c>
      <c r="B165" s="20">
        <f t="shared" si="4"/>
        <v>2025</v>
      </c>
      <c r="C165" s="20">
        <f t="shared" si="5"/>
        <v>10</v>
      </c>
      <c r="D165" t="s">
        <v>4749</v>
      </c>
      <c r="E165" s="49">
        <v>1</v>
      </c>
      <c r="F165" t="s">
        <v>4750</v>
      </c>
      <c r="G165" t="s">
        <v>21</v>
      </c>
      <c r="H165" t="s">
        <v>100</v>
      </c>
      <c r="I165" s="13">
        <v>45000</v>
      </c>
      <c r="J165" s="13">
        <v>45000</v>
      </c>
      <c r="K165" s="13">
        <f>IF(J165&lt;'Mapa Oficinas'!$I$21,0,IF(J165&gt;'Mapa Oficinas'!$I$20,0,1))</f>
        <v>0</v>
      </c>
      <c r="L165" t="s">
        <v>23</v>
      </c>
      <c r="M165" t="s">
        <v>23</v>
      </c>
      <c r="N165" t="s">
        <v>4751</v>
      </c>
      <c r="O165" t="s">
        <v>2696</v>
      </c>
      <c r="P165" t="s">
        <v>45</v>
      </c>
      <c r="Q165">
        <v>1</v>
      </c>
      <c r="R165" t="s">
        <v>517</v>
      </c>
      <c r="S165" t="s">
        <v>47</v>
      </c>
      <c r="T165" t="str">
        <f>VLOOKUP(S165,'Mapa Oficinas'!$H$7:$I$16,2,FALSE)</f>
        <v>Otra Red Búsqueda</v>
      </c>
      <c r="U165" t="s">
        <v>29</v>
      </c>
      <c r="V165" t="str">
        <f>VLOOKUP($R165,'Mapa Oficinas'!$A$7:$C$46,2,FALSE)</f>
        <v>Zona Sur (GBA)</v>
      </c>
      <c r="W165" t="str">
        <f>VLOOKUP($R165,'Mapa Oficinas'!$A$7:$C$46,3,FALSE)</f>
        <v>Canning</v>
      </c>
    </row>
    <row r="166" spans="1:23" x14ac:dyDescent="0.2">
      <c r="A166" s="1">
        <v>46001</v>
      </c>
      <c r="B166" s="20">
        <f t="shared" si="4"/>
        <v>2025</v>
      </c>
      <c r="C166" s="20">
        <f t="shared" si="5"/>
        <v>12</v>
      </c>
      <c r="D166">
        <v>10602</v>
      </c>
      <c r="E166" s="49">
        <v>1</v>
      </c>
      <c r="F166" t="s">
        <v>5698</v>
      </c>
      <c r="G166" t="s">
        <v>21</v>
      </c>
      <c r="H166" t="s">
        <v>37</v>
      </c>
      <c r="I166" s="13">
        <v>45000</v>
      </c>
      <c r="J166" s="13">
        <v>45000</v>
      </c>
      <c r="K166" s="13">
        <f>IF(J166&lt;'Mapa Oficinas'!$I$21,0,IF(J166&gt;'Mapa Oficinas'!$I$20,0,1))</f>
        <v>0</v>
      </c>
      <c r="L166" t="s">
        <v>23</v>
      </c>
      <c r="M166" t="s">
        <v>23</v>
      </c>
      <c r="N166" t="s">
        <v>5698</v>
      </c>
      <c r="O166" t="s">
        <v>66</v>
      </c>
      <c r="P166" t="s">
        <v>45</v>
      </c>
      <c r="Q166">
        <v>1</v>
      </c>
      <c r="R166" t="s">
        <v>67</v>
      </c>
      <c r="S166" t="s">
        <v>47</v>
      </c>
      <c r="T166" t="str">
        <f>VLOOKUP(S166,'Mapa Oficinas'!$H$7:$I$16,2,FALSE)</f>
        <v>Otra Red Búsqueda</v>
      </c>
      <c r="U166" t="s">
        <v>29</v>
      </c>
      <c r="V166" t="str">
        <f>VLOOKUP($R166,'Mapa Oficinas'!$A$7:$C$46,2,FALSE)</f>
        <v>CABA</v>
      </c>
      <c r="W166" t="str">
        <f>VLOOKUP($R166,'Mapa Oficinas'!$A$7:$C$46,3,FALSE)</f>
        <v>Barrio Parque</v>
      </c>
    </row>
    <row r="167" spans="1:23" x14ac:dyDescent="0.2">
      <c r="A167" s="1">
        <v>45693</v>
      </c>
      <c r="B167" s="20">
        <f t="shared" si="4"/>
        <v>2025</v>
      </c>
      <c r="C167" s="20">
        <f t="shared" si="5"/>
        <v>2</v>
      </c>
      <c r="D167" t="s">
        <v>491</v>
      </c>
      <c r="E167" s="49">
        <v>1</v>
      </c>
      <c r="F167" t="s">
        <v>148</v>
      </c>
      <c r="G167" t="s">
        <v>21</v>
      </c>
      <c r="H167" t="s">
        <v>37</v>
      </c>
      <c r="I167" s="13">
        <v>45000</v>
      </c>
      <c r="J167" s="13">
        <v>45000</v>
      </c>
      <c r="K167" s="13">
        <f>IF(J167&lt;'Mapa Oficinas'!$I$21,0,IF(J167&gt;'Mapa Oficinas'!$I$20,0,1))</f>
        <v>0</v>
      </c>
      <c r="L167" t="s">
        <v>23</v>
      </c>
      <c r="M167" t="s">
        <v>23</v>
      </c>
      <c r="N167" t="s">
        <v>149</v>
      </c>
      <c r="O167" t="s">
        <v>150</v>
      </c>
      <c r="P167" t="s">
        <v>45</v>
      </c>
      <c r="Q167">
        <v>2</v>
      </c>
      <c r="R167" t="s">
        <v>151</v>
      </c>
      <c r="S167" t="s">
        <v>200</v>
      </c>
      <c r="T167" t="str">
        <f>VLOOKUP(S167,'Mapa Oficinas'!$H$7:$I$16,2,FALSE)</f>
        <v>Otra Red Captación</v>
      </c>
      <c r="U167" t="s">
        <v>29</v>
      </c>
      <c r="V167" t="str">
        <f>VLOOKUP($R167,'Mapa Oficinas'!$A$7:$C$46,2,FALSE)</f>
        <v>Interior - Mendoza</v>
      </c>
      <c r="W167" t="str">
        <f>VLOOKUP($R167,'Mapa Oficinas'!$A$7:$C$46,3,FALSE)</f>
        <v>Capital Mendoza</v>
      </c>
    </row>
    <row r="168" spans="1:23" x14ac:dyDescent="0.2">
      <c r="A168" s="1">
        <v>45666</v>
      </c>
      <c r="B168" s="20">
        <f t="shared" si="4"/>
        <v>2025</v>
      </c>
      <c r="C168" s="20">
        <f t="shared" si="5"/>
        <v>1</v>
      </c>
      <c r="D168" t="s">
        <v>131</v>
      </c>
      <c r="E168" s="49">
        <v>1</v>
      </c>
      <c r="F168" t="s">
        <v>132</v>
      </c>
      <c r="G168" t="s">
        <v>21</v>
      </c>
      <c r="H168" t="s">
        <v>37</v>
      </c>
      <c r="I168" s="13">
        <v>75000</v>
      </c>
      <c r="J168" s="13">
        <v>45000</v>
      </c>
      <c r="K168" s="13">
        <f>IF(J168&lt;'Mapa Oficinas'!$I$21,0,IF(J168&gt;'Mapa Oficinas'!$I$20,0,1))</f>
        <v>0</v>
      </c>
      <c r="L168" t="s">
        <v>23</v>
      </c>
      <c r="M168" t="s">
        <v>23</v>
      </c>
      <c r="N168" t="s">
        <v>133</v>
      </c>
      <c r="O168" t="s">
        <v>134</v>
      </c>
      <c r="P168" t="s">
        <v>2934</v>
      </c>
      <c r="Q168">
        <v>2</v>
      </c>
      <c r="R168" t="s">
        <v>135</v>
      </c>
      <c r="S168" t="s">
        <v>28</v>
      </c>
      <c r="T168" t="str">
        <f>VLOOKUP(S168,'Mapa Oficinas'!$H$7:$I$16,2,FALSE)</f>
        <v>CB</v>
      </c>
      <c r="U168" t="s">
        <v>29</v>
      </c>
      <c r="V168" t="str">
        <f>VLOOKUP($R168,'Mapa Oficinas'!$A$7:$C$46,2,FALSE)</f>
        <v>CABA</v>
      </c>
      <c r="W168" t="str">
        <f>VLOOKUP($R168,'Mapa Oficinas'!$A$7:$C$46,3,FALSE)</f>
        <v>Recoleta</v>
      </c>
    </row>
    <row r="169" spans="1:23" x14ac:dyDescent="0.2">
      <c r="A169" s="1">
        <v>45667</v>
      </c>
      <c r="B169" s="20">
        <f t="shared" si="4"/>
        <v>2025</v>
      </c>
      <c r="C169" s="20">
        <f t="shared" si="5"/>
        <v>1</v>
      </c>
      <c r="D169" t="s">
        <v>153</v>
      </c>
      <c r="E169" s="49">
        <v>1</v>
      </c>
      <c r="F169" t="s">
        <v>154</v>
      </c>
      <c r="G169" t="s">
        <v>21</v>
      </c>
      <c r="H169" t="s">
        <v>70</v>
      </c>
      <c r="I169" s="13">
        <v>45000</v>
      </c>
      <c r="J169" s="13">
        <v>45000</v>
      </c>
      <c r="K169" s="13">
        <f>IF(J169&lt;'Mapa Oficinas'!$I$21,0,IF(J169&gt;'Mapa Oficinas'!$I$20,0,1))</f>
        <v>0</v>
      </c>
      <c r="L169" t="s">
        <v>23</v>
      </c>
      <c r="M169" t="s">
        <v>23</v>
      </c>
      <c r="N169" t="s">
        <v>155</v>
      </c>
      <c r="O169" t="s">
        <v>156</v>
      </c>
      <c r="P169" t="s">
        <v>26</v>
      </c>
      <c r="Q169">
        <v>2</v>
      </c>
      <c r="R169" t="s">
        <v>73</v>
      </c>
      <c r="S169" t="s">
        <v>28</v>
      </c>
      <c r="T169" t="str">
        <f>VLOOKUP(S169,'Mapa Oficinas'!$H$7:$I$16,2,FALSE)</f>
        <v>CB</v>
      </c>
      <c r="U169" t="s">
        <v>29</v>
      </c>
      <c r="V169" t="str">
        <f>VLOOKUP($R169,'Mapa Oficinas'!$A$7:$C$46,2,FALSE)</f>
        <v>Interior - Salta</v>
      </c>
      <c r="W169" t="str">
        <f>VLOOKUP($R169,'Mapa Oficinas'!$A$7:$C$46,3,FALSE)</f>
        <v>San Lorenzo Chico</v>
      </c>
    </row>
    <row r="170" spans="1:23" x14ac:dyDescent="0.2">
      <c r="A170" s="1">
        <v>45792</v>
      </c>
      <c r="B170" s="20">
        <f t="shared" si="4"/>
        <v>2025</v>
      </c>
      <c r="C170" s="20">
        <f t="shared" si="5"/>
        <v>5</v>
      </c>
      <c r="D170" t="s">
        <v>1951</v>
      </c>
      <c r="E170" s="49">
        <v>1</v>
      </c>
      <c r="F170" t="s">
        <v>1952</v>
      </c>
      <c r="G170" t="s">
        <v>21</v>
      </c>
      <c r="H170" t="s">
        <v>37</v>
      </c>
      <c r="I170" s="13">
        <v>52000</v>
      </c>
      <c r="J170" s="13">
        <v>45000</v>
      </c>
      <c r="K170" s="13">
        <f>IF(J170&lt;'Mapa Oficinas'!$I$21,0,IF(J170&gt;'Mapa Oficinas'!$I$20,0,1))</f>
        <v>0</v>
      </c>
      <c r="L170" t="s">
        <v>23</v>
      </c>
      <c r="M170" t="s">
        <v>23</v>
      </c>
      <c r="N170" t="s">
        <v>1953</v>
      </c>
      <c r="O170" t="s">
        <v>1954</v>
      </c>
      <c r="P170" t="s">
        <v>45</v>
      </c>
      <c r="Q170">
        <v>2</v>
      </c>
      <c r="R170" t="s">
        <v>56</v>
      </c>
      <c r="S170" t="s">
        <v>28</v>
      </c>
      <c r="T170" t="str">
        <f>VLOOKUP(S170,'Mapa Oficinas'!$H$7:$I$16,2,FALSE)</f>
        <v>CB</v>
      </c>
      <c r="U170" t="s">
        <v>29</v>
      </c>
      <c r="V170" t="str">
        <f>VLOOKUP($R170,'Mapa Oficinas'!$A$7:$C$46,2,FALSE)</f>
        <v>Zona Norte (GBA)</v>
      </c>
      <c r="W170" t="str">
        <f>VLOOKUP($R170,'Mapa Oficinas'!$A$7:$C$46,3,FALSE)</f>
        <v>Vicente López</v>
      </c>
    </row>
    <row r="171" spans="1:23" x14ac:dyDescent="0.2">
      <c r="A171" s="1">
        <v>45840</v>
      </c>
      <c r="B171" s="20">
        <f t="shared" si="4"/>
        <v>2025</v>
      </c>
      <c r="C171" s="20">
        <f t="shared" si="5"/>
        <v>7</v>
      </c>
      <c r="D171" t="s">
        <v>2817</v>
      </c>
      <c r="E171" s="49">
        <v>1</v>
      </c>
      <c r="F171" t="s">
        <v>2818</v>
      </c>
      <c r="G171" t="s">
        <v>21</v>
      </c>
      <c r="H171" t="s">
        <v>90</v>
      </c>
      <c r="I171" s="13">
        <v>50000</v>
      </c>
      <c r="J171" s="13">
        <v>45000</v>
      </c>
      <c r="K171" s="13">
        <f>IF(J171&lt;'Mapa Oficinas'!$I$21,0,IF(J171&gt;'Mapa Oficinas'!$I$20,0,1))</f>
        <v>0</v>
      </c>
      <c r="L171" t="s">
        <v>23</v>
      </c>
      <c r="M171" t="s">
        <v>23</v>
      </c>
      <c r="N171" t="s">
        <v>2819</v>
      </c>
      <c r="O171" t="s">
        <v>2322</v>
      </c>
      <c r="P171" t="s">
        <v>26</v>
      </c>
      <c r="Q171">
        <v>2</v>
      </c>
      <c r="R171" t="s">
        <v>151</v>
      </c>
      <c r="S171" t="s">
        <v>28</v>
      </c>
      <c r="T171" t="str">
        <f>VLOOKUP(S171,'Mapa Oficinas'!$H$7:$I$16,2,FALSE)</f>
        <v>CB</v>
      </c>
      <c r="U171" t="s">
        <v>29</v>
      </c>
      <c r="V171" t="str">
        <f>VLOOKUP($R171,'Mapa Oficinas'!$A$7:$C$46,2,FALSE)</f>
        <v>Interior - Mendoza</v>
      </c>
      <c r="W171" t="str">
        <f>VLOOKUP($R171,'Mapa Oficinas'!$A$7:$C$46,3,FALSE)</f>
        <v>Capital Mendoza</v>
      </c>
    </row>
    <row r="172" spans="1:23" x14ac:dyDescent="0.2">
      <c r="A172" s="1">
        <v>45903</v>
      </c>
      <c r="B172" s="20">
        <f t="shared" si="4"/>
        <v>2025</v>
      </c>
      <c r="C172" s="20">
        <f t="shared" si="5"/>
        <v>9</v>
      </c>
      <c r="D172" t="s">
        <v>3958</v>
      </c>
      <c r="E172" s="49">
        <v>1</v>
      </c>
      <c r="F172" t="s">
        <v>3959</v>
      </c>
      <c r="G172" t="s">
        <v>21</v>
      </c>
      <c r="H172" t="s">
        <v>90</v>
      </c>
      <c r="I172" s="13">
        <v>49900</v>
      </c>
      <c r="J172" s="13">
        <v>45000</v>
      </c>
      <c r="K172" s="13">
        <f>IF(J172&lt;'Mapa Oficinas'!$I$21,0,IF(J172&gt;'Mapa Oficinas'!$I$20,0,1))</f>
        <v>0</v>
      </c>
      <c r="L172" t="s">
        <v>23</v>
      </c>
      <c r="M172" t="s">
        <v>23</v>
      </c>
      <c r="N172" t="s">
        <v>3960</v>
      </c>
      <c r="O172" t="s">
        <v>2696</v>
      </c>
      <c r="P172" t="s">
        <v>55</v>
      </c>
      <c r="Q172">
        <v>2</v>
      </c>
      <c r="R172" t="s">
        <v>62</v>
      </c>
      <c r="S172" t="s">
        <v>28</v>
      </c>
      <c r="T172" t="str">
        <f>VLOOKUP(S172,'Mapa Oficinas'!$H$7:$I$16,2,FALSE)</f>
        <v>CB</v>
      </c>
      <c r="U172" t="s">
        <v>29</v>
      </c>
      <c r="V172" t="str">
        <f>VLOOKUP($R172,'Mapa Oficinas'!$A$7:$C$46,2,FALSE)</f>
        <v>CABA</v>
      </c>
      <c r="W172" t="str">
        <f>VLOOKUP($R172,'Mapa Oficinas'!$A$7:$C$46,3,FALSE)</f>
        <v>Villa Urquiza</v>
      </c>
    </row>
    <row r="173" spans="1:23" x14ac:dyDescent="0.2">
      <c r="A173" s="1">
        <v>45908</v>
      </c>
      <c r="B173" s="20">
        <f t="shared" si="4"/>
        <v>2025</v>
      </c>
      <c r="C173" s="20">
        <f t="shared" si="5"/>
        <v>9</v>
      </c>
      <c r="D173" t="s">
        <v>4022</v>
      </c>
      <c r="E173" s="49">
        <v>1</v>
      </c>
      <c r="F173" t="s">
        <v>4023</v>
      </c>
      <c r="G173" t="s">
        <v>21</v>
      </c>
      <c r="H173" t="s">
        <v>90</v>
      </c>
      <c r="I173" s="13">
        <v>49000</v>
      </c>
      <c r="J173" s="13">
        <v>45000</v>
      </c>
      <c r="K173" s="13">
        <f>IF(J173&lt;'Mapa Oficinas'!$I$21,0,IF(J173&gt;'Mapa Oficinas'!$I$20,0,1))</f>
        <v>0</v>
      </c>
      <c r="L173" t="s">
        <v>23</v>
      </c>
      <c r="M173" t="s">
        <v>23</v>
      </c>
      <c r="N173" t="s">
        <v>4024</v>
      </c>
      <c r="O173" t="s">
        <v>516</v>
      </c>
      <c r="P173" t="s">
        <v>61</v>
      </c>
      <c r="Q173">
        <v>2</v>
      </c>
      <c r="R173" t="s">
        <v>62</v>
      </c>
      <c r="S173" t="s">
        <v>28</v>
      </c>
      <c r="T173" t="str">
        <f>VLOOKUP(S173,'Mapa Oficinas'!$H$7:$I$16,2,FALSE)</f>
        <v>CB</v>
      </c>
      <c r="U173" t="s">
        <v>29</v>
      </c>
      <c r="V173" t="str">
        <f>VLOOKUP($R173,'Mapa Oficinas'!$A$7:$C$46,2,FALSE)</f>
        <v>CABA</v>
      </c>
      <c r="W173" t="str">
        <f>VLOOKUP($R173,'Mapa Oficinas'!$A$7:$C$46,3,FALSE)</f>
        <v>Villa Urquiza</v>
      </c>
    </row>
    <row r="174" spans="1:23" x14ac:dyDescent="0.2">
      <c r="A174" s="1">
        <v>45918</v>
      </c>
      <c r="B174" s="20">
        <f t="shared" si="4"/>
        <v>2025</v>
      </c>
      <c r="C174" s="20">
        <f t="shared" si="5"/>
        <v>9</v>
      </c>
      <c r="D174" t="s">
        <v>4213</v>
      </c>
      <c r="E174" s="49">
        <v>1</v>
      </c>
      <c r="F174" t="s">
        <v>4214</v>
      </c>
      <c r="G174" t="s">
        <v>21</v>
      </c>
      <c r="H174" t="s">
        <v>100</v>
      </c>
      <c r="I174" s="13">
        <v>40000</v>
      </c>
      <c r="J174" s="13">
        <v>45000</v>
      </c>
      <c r="K174" s="13">
        <f>IF(J174&lt;'Mapa Oficinas'!$I$21,0,IF(J174&gt;'Mapa Oficinas'!$I$20,0,1))</f>
        <v>0</v>
      </c>
      <c r="L174" t="s">
        <v>23</v>
      </c>
      <c r="M174" t="s">
        <v>23</v>
      </c>
      <c r="N174" t="s">
        <v>4215</v>
      </c>
      <c r="O174" t="s">
        <v>3175</v>
      </c>
      <c r="P174" t="s">
        <v>26</v>
      </c>
      <c r="Q174">
        <v>2</v>
      </c>
      <c r="R174" t="s">
        <v>121</v>
      </c>
      <c r="S174" t="s">
        <v>28</v>
      </c>
      <c r="T174" t="str">
        <f>VLOOKUP(S174,'Mapa Oficinas'!$H$7:$I$16,2,FALSE)</f>
        <v>CB</v>
      </c>
      <c r="U174" t="s">
        <v>29</v>
      </c>
      <c r="V174" t="str">
        <f>VLOOKUP($R174,'Mapa Oficinas'!$A$7:$C$46,2,FALSE)</f>
        <v>Interior - Río Negro</v>
      </c>
      <c r="W174" t="str">
        <f>VLOOKUP($R174,'Mapa Oficinas'!$A$7:$C$46,3,FALSE)</f>
        <v>Bariloche</v>
      </c>
    </row>
    <row r="175" spans="1:23" x14ac:dyDescent="0.2">
      <c r="A175" s="1">
        <v>45930</v>
      </c>
      <c r="B175" s="20">
        <f t="shared" si="4"/>
        <v>2025</v>
      </c>
      <c r="C175" s="20">
        <f t="shared" si="5"/>
        <v>9</v>
      </c>
      <c r="D175" t="s">
        <v>4404</v>
      </c>
      <c r="E175" s="49">
        <v>1</v>
      </c>
      <c r="F175" t="s">
        <v>4404</v>
      </c>
      <c r="G175" t="s">
        <v>21</v>
      </c>
      <c r="H175" t="s">
        <v>37</v>
      </c>
      <c r="I175" s="13">
        <v>45000</v>
      </c>
      <c r="J175" s="13">
        <v>45000</v>
      </c>
      <c r="K175" s="13">
        <f>IF(J175&lt;'Mapa Oficinas'!$I$21,0,IF(J175&gt;'Mapa Oficinas'!$I$20,0,1))</f>
        <v>0</v>
      </c>
      <c r="L175" t="s">
        <v>23</v>
      </c>
      <c r="M175" t="s">
        <v>23</v>
      </c>
      <c r="N175" t="s">
        <v>4404</v>
      </c>
      <c r="O175" t="s">
        <v>116</v>
      </c>
      <c r="P175" t="s">
        <v>61</v>
      </c>
      <c r="Q175">
        <v>2</v>
      </c>
      <c r="R175" t="s">
        <v>62</v>
      </c>
      <c r="S175" t="s">
        <v>28</v>
      </c>
      <c r="T175" t="str">
        <f>VLOOKUP(S175,'Mapa Oficinas'!$H$7:$I$16,2,FALSE)</f>
        <v>CB</v>
      </c>
      <c r="U175" t="s">
        <v>29</v>
      </c>
      <c r="V175" t="str">
        <f>VLOOKUP($R175,'Mapa Oficinas'!$A$7:$C$46,2,FALSE)</f>
        <v>CABA</v>
      </c>
      <c r="W175" t="str">
        <f>VLOOKUP($R175,'Mapa Oficinas'!$A$7:$C$46,3,FALSE)</f>
        <v>Villa Urquiza</v>
      </c>
    </row>
    <row r="176" spans="1:23" x14ac:dyDescent="0.2">
      <c r="A176" s="1">
        <v>45936</v>
      </c>
      <c r="B176" s="20">
        <f t="shared" si="4"/>
        <v>2025</v>
      </c>
      <c r="C176" s="20">
        <f t="shared" si="5"/>
        <v>10</v>
      </c>
      <c r="E176" s="49">
        <v>1</v>
      </c>
      <c r="F176" t="s">
        <v>4506</v>
      </c>
      <c r="G176" t="s">
        <v>21</v>
      </c>
      <c r="H176" t="s">
        <v>97</v>
      </c>
      <c r="I176" s="13">
        <v>45000</v>
      </c>
      <c r="J176" s="13">
        <v>45000</v>
      </c>
      <c r="K176" s="13">
        <f>IF(J176&lt;'Mapa Oficinas'!$I$21,0,IF(J176&gt;'Mapa Oficinas'!$I$20,0,1))</f>
        <v>0</v>
      </c>
      <c r="L176" t="s">
        <v>23</v>
      </c>
      <c r="M176" t="s">
        <v>23</v>
      </c>
      <c r="N176" t="s">
        <v>4507</v>
      </c>
      <c r="O176" t="s">
        <v>1239</v>
      </c>
      <c r="P176" t="s">
        <v>26</v>
      </c>
      <c r="Q176">
        <v>2</v>
      </c>
      <c r="R176" t="s">
        <v>130</v>
      </c>
      <c r="S176" t="s">
        <v>28</v>
      </c>
      <c r="T176" t="str">
        <f>VLOOKUP(S176,'Mapa Oficinas'!$H$7:$I$16,2,FALSE)</f>
        <v>CB</v>
      </c>
      <c r="U176" t="s">
        <v>29</v>
      </c>
      <c r="V176" t="str">
        <f>VLOOKUP($R176,'Mapa Oficinas'!$A$7:$C$46,2,FALSE)</f>
        <v>Interior - Neuquén</v>
      </c>
      <c r="W176" t="str">
        <f>VLOOKUP($R176,'Mapa Oficinas'!$A$7:$C$46,3,FALSE)</f>
        <v>San Martín de los Andes</v>
      </c>
    </row>
    <row r="177" spans="1:23" x14ac:dyDescent="0.2">
      <c r="A177" s="1">
        <v>46065</v>
      </c>
      <c r="B177" s="20">
        <f t="shared" si="4"/>
        <v>2026</v>
      </c>
      <c r="C177" s="20">
        <f t="shared" si="5"/>
        <v>2</v>
      </c>
      <c r="D177" t="s">
        <v>6661</v>
      </c>
      <c r="E177" s="49">
        <v>1</v>
      </c>
      <c r="F177" t="s">
        <v>6662</v>
      </c>
      <c r="G177" t="s">
        <v>21</v>
      </c>
      <c r="H177" t="s">
        <v>90</v>
      </c>
      <c r="I177" s="13">
        <v>49000</v>
      </c>
      <c r="J177" s="13">
        <v>45000</v>
      </c>
      <c r="K177" s="13">
        <f>IF(J177&lt;'Mapa Oficinas'!$I$21,0,IF(J177&gt;'Mapa Oficinas'!$I$20,0,1))</f>
        <v>0</v>
      </c>
      <c r="L177" t="s">
        <v>23</v>
      </c>
      <c r="M177" t="s">
        <v>23</v>
      </c>
      <c r="N177" t="s">
        <v>6663</v>
      </c>
      <c r="O177" t="s">
        <v>141</v>
      </c>
      <c r="P177" t="s">
        <v>45</v>
      </c>
      <c r="Q177">
        <v>2</v>
      </c>
      <c r="R177" t="s">
        <v>62</v>
      </c>
      <c r="S177" t="s">
        <v>28</v>
      </c>
      <c r="T177" t="str">
        <f>VLOOKUP(S177,'Mapa Oficinas'!$H$7:$I$16,2,FALSE)</f>
        <v>CB</v>
      </c>
      <c r="U177" t="s">
        <v>29</v>
      </c>
      <c r="V177" t="str">
        <f>VLOOKUP($R177,'Mapa Oficinas'!$A$7:$C$46,2,FALSE)</f>
        <v>CABA</v>
      </c>
      <c r="W177" t="str">
        <f>VLOOKUP($R177,'Mapa Oficinas'!$A$7:$C$46,3,FALSE)</f>
        <v>Villa Urquiza</v>
      </c>
    </row>
    <row r="178" spans="1:23" x14ac:dyDescent="0.2">
      <c r="A178" s="1">
        <v>46112</v>
      </c>
      <c r="B178" s="20">
        <f t="shared" si="4"/>
        <v>2026</v>
      </c>
      <c r="C178" s="20">
        <f t="shared" si="5"/>
        <v>3</v>
      </c>
      <c r="D178" t="s">
        <v>7546</v>
      </c>
      <c r="E178" s="49">
        <v>1</v>
      </c>
      <c r="F178" t="s">
        <v>7547</v>
      </c>
      <c r="G178" t="s">
        <v>21</v>
      </c>
      <c r="H178" t="s">
        <v>37</v>
      </c>
      <c r="I178" s="13">
        <v>47500</v>
      </c>
      <c r="J178" s="13">
        <v>45000</v>
      </c>
      <c r="K178" s="13">
        <f>IF(J178&lt;'Mapa Oficinas'!$I$21,0,IF(J178&gt;'Mapa Oficinas'!$I$20,0,1))</f>
        <v>0</v>
      </c>
      <c r="L178" t="s">
        <v>23</v>
      </c>
      <c r="M178" t="s">
        <v>23</v>
      </c>
      <c r="N178" t="s">
        <v>7548</v>
      </c>
      <c r="O178" t="s">
        <v>3821</v>
      </c>
      <c r="P178" t="s">
        <v>61</v>
      </c>
      <c r="Q178">
        <v>2</v>
      </c>
      <c r="R178" t="s">
        <v>5714</v>
      </c>
      <c r="S178" t="s">
        <v>28</v>
      </c>
      <c r="T178" t="str">
        <f>VLOOKUP(S178,'Mapa Oficinas'!$H$7:$I$16,2,FALSE)</f>
        <v>CB</v>
      </c>
      <c r="U178" t="s">
        <v>29</v>
      </c>
      <c r="V178" t="str">
        <f>VLOOKUP($R178,'Mapa Oficinas'!$A$7:$C$46,2,FALSE)</f>
        <v>CABA</v>
      </c>
      <c r="W178" t="str">
        <f>VLOOKUP($R178,'Mapa Oficinas'!$A$7:$C$46,3,FALSE)</f>
        <v>Palermo</v>
      </c>
    </row>
    <row r="179" spans="1:23" x14ac:dyDescent="0.2">
      <c r="A179" s="1">
        <v>45964</v>
      </c>
      <c r="B179" s="20">
        <f t="shared" si="4"/>
        <v>2025</v>
      </c>
      <c r="C179" s="20">
        <f t="shared" si="5"/>
        <v>11</v>
      </c>
      <c r="D179">
        <v>3112025</v>
      </c>
      <c r="E179" s="49">
        <v>1</v>
      </c>
      <c r="F179" t="s">
        <v>5038</v>
      </c>
      <c r="G179" t="s">
        <v>21</v>
      </c>
      <c r="H179" t="s">
        <v>100</v>
      </c>
      <c r="I179" s="13">
        <v>46000</v>
      </c>
      <c r="J179" s="13">
        <v>46000</v>
      </c>
      <c r="K179" s="13">
        <f>IF(J179&lt;'Mapa Oficinas'!$I$21,0,IF(J179&gt;'Mapa Oficinas'!$I$20,0,1))</f>
        <v>0</v>
      </c>
      <c r="L179" t="s">
        <v>23</v>
      </c>
      <c r="M179" t="s">
        <v>23</v>
      </c>
      <c r="O179" t="s">
        <v>120</v>
      </c>
      <c r="P179" t="s">
        <v>26</v>
      </c>
      <c r="Q179">
        <v>1</v>
      </c>
      <c r="R179" t="s">
        <v>121</v>
      </c>
      <c r="S179" t="s">
        <v>122</v>
      </c>
      <c r="T179" t="str">
        <f>VLOOKUP(S179,'Mapa Oficinas'!$H$7:$I$16,2,FALSE)</f>
        <v>Otra Red Búsqueda</v>
      </c>
      <c r="U179" t="s">
        <v>29</v>
      </c>
      <c r="V179" t="str">
        <f>VLOOKUP($R179,'Mapa Oficinas'!$A$7:$C$46,2,FALSE)</f>
        <v>Interior - Río Negro</v>
      </c>
      <c r="W179" t="str">
        <f>VLOOKUP($R179,'Mapa Oficinas'!$A$7:$C$46,3,FALSE)</f>
        <v>Bariloche</v>
      </c>
    </row>
    <row r="180" spans="1:23" x14ac:dyDescent="0.2">
      <c r="A180" s="1">
        <v>45935</v>
      </c>
      <c r="B180" s="20">
        <f t="shared" si="4"/>
        <v>2025</v>
      </c>
      <c r="C180" s="20">
        <f t="shared" si="5"/>
        <v>10</v>
      </c>
      <c r="D180" t="s">
        <v>4503</v>
      </c>
      <c r="E180" s="49">
        <v>1</v>
      </c>
      <c r="F180" t="s">
        <v>4504</v>
      </c>
      <c r="G180" t="s">
        <v>21</v>
      </c>
      <c r="H180" t="s">
        <v>37</v>
      </c>
      <c r="I180" s="13">
        <v>47000</v>
      </c>
      <c r="J180" s="13">
        <v>46000</v>
      </c>
      <c r="K180" s="13">
        <f>IF(J180&lt;'Mapa Oficinas'!$I$21,0,IF(J180&gt;'Mapa Oficinas'!$I$20,0,1))</f>
        <v>0</v>
      </c>
      <c r="L180" t="s">
        <v>23</v>
      </c>
      <c r="M180" t="s">
        <v>23</v>
      </c>
      <c r="N180" t="s">
        <v>4505</v>
      </c>
      <c r="O180" t="s">
        <v>102</v>
      </c>
      <c r="P180" t="s">
        <v>45</v>
      </c>
      <c r="Q180">
        <v>1</v>
      </c>
      <c r="R180" t="s">
        <v>103</v>
      </c>
      <c r="S180" t="s">
        <v>152</v>
      </c>
      <c r="T180" t="str">
        <f>VLOOKUP(S180,'Mapa Oficinas'!$H$7:$I$16,2,FALSE)</f>
        <v>Otra Red Captación</v>
      </c>
      <c r="U180" t="s">
        <v>29</v>
      </c>
      <c r="V180" t="str">
        <f>VLOOKUP($R180,'Mapa Oficinas'!$A$7:$C$46,2,FALSE)</f>
        <v>Zona Sur (GBA)</v>
      </c>
      <c r="W180" t="str">
        <f>VLOOKUP($R180,'Mapa Oficinas'!$A$7:$C$46,3,FALSE)</f>
        <v>La Plata</v>
      </c>
    </row>
    <row r="181" spans="1:23" x14ac:dyDescent="0.2">
      <c r="A181" s="1">
        <v>46106</v>
      </c>
      <c r="B181" s="20">
        <f t="shared" si="4"/>
        <v>2026</v>
      </c>
      <c r="C181" s="20">
        <f t="shared" si="5"/>
        <v>3</v>
      </c>
      <c r="D181" t="s">
        <v>7387</v>
      </c>
      <c r="E181" s="49">
        <v>1</v>
      </c>
      <c r="F181" t="s">
        <v>7388</v>
      </c>
      <c r="G181" t="s">
        <v>21</v>
      </c>
      <c r="H181" t="s">
        <v>37</v>
      </c>
      <c r="I181" s="13">
        <v>52000</v>
      </c>
      <c r="J181" s="13">
        <v>46000</v>
      </c>
      <c r="K181" s="13">
        <f>IF(J181&lt;'Mapa Oficinas'!$I$21,0,IF(J181&gt;'Mapa Oficinas'!$I$20,0,1))</f>
        <v>0</v>
      </c>
      <c r="L181" t="s">
        <v>23</v>
      </c>
      <c r="M181" t="s">
        <v>23</v>
      </c>
      <c r="N181" t="s">
        <v>4473</v>
      </c>
      <c r="O181" t="s">
        <v>50</v>
      </c>
      <c r="P181" t="s">
        <v>45</v>
      </c>
      <c r="Q181">
        <v>2</v>
      </c>
      <c r="R181" t="s">
        <v>670</v>
      </c>
      <c r="S181" t="s">
        <v>79</v>
      </c>
      <c r="T181" t="str">
        <f>VLOOKUP(S181,'Mapa Oficinas'!$H$7:$I$16,2,FALSE)</f>
        <v>CB</v>
      </c>
      <c r="U181" t="s">
        <v>29</v>
      </c>
      <c r="V181" t="str">
        <f>VLOOKUP($R181,'Mapa Oficinas'!$A$7:$C$46,2,FALSE)</f>
        <v>CABA</v>
      </c>
      <c r="W181" t="str">
        <f>VLOOKUP($R181,'Mapa Oficinas'!$A$7:$C$46,3,FALSE)</f>
        <v>Recoleta</v>
      </c>
    </row>
    <row r="182" spans="1:23" x14ac:dyDescent="0.2">
      <c r="A182" s="1">
        <v>45687</v>
      </c>
      <c r="B182" s="20">
        <f t="shared" si="4"/>
        <v>2025</v>
      </c>
      <c r="C182" s="20">
        <f t="shared" si="5"/>
        <v>1</v>
      </c>
      <c r="D182" t="s">
        <v>418</v>
      </c>
      <c r="E182" s="49">
        <v>1</v>
      </c>
      <c r="F182" t="s">
        <v>419</v>
      </c>
      <c r="G182" t="s">
        <v>21</v>
      </c>
      <c r="H182" t="s">
        <v>37</v>
      </c>
      <c r="I182" s="13">
        <v>49000</v>
      </c>
      <c r="J182" s="13">
        <v>46000</v>
      </c>
      <c r="K182" s="13">
        <f>IF(J182&lt;'Mapa Oficinas'!$I$21,0,IF(J182&gt;'Mapa Oficinas'!$I$20,0,1))</f>
        <v>0</v>
      </c>
      <c r="L182" t="s">
        <v>23</v>
      </c>
      <c r="M182" t="s">
        <v>23</v>
      </c>
      <c r="N182" t="s">
        <v>420</v>
      </c>
      <c r="O182" t="s">
        <v>421</v>
      </c>
      <c r="P182" t="s">
        <v>61</v>
      </c>
      <c r="Q182">
        <v>2</v>
      </c>
      <c r="R182" t="s">
        <v>135</v>
      </c>
      <c r="S182" t="s">
        <v>200</v>
      </c>
      <c r="T182" t="str">
        <f>VLOOKUP(S182,'Mapa Oficinas'!$H$7:$I$16,2,FALSE)</f>
        <v>Otra Red Captación</v>
      </c>
      <c r="U182" t="s">
        <v>29</v>
      </c>
      <c r="V182" t="str">
        <f>VLOOKUP($R182,'Mapa Oficinas'!$A$7:$C$46,2,FALSE)</f>
        <v>CABA</v>
      </c>
      <c r="W182" t="str">
        <f>VLOOKUP($R182,'Mapa Oficinas'!$A$7:$C$46,3,FALSE)</f>
        <v>Recoleta</v>
      </c>
    </row>
    <row r="183" spans="1:23" x14ac:dyDescent="0.2">
      <c r="A183" s="1">
        <v>45722</v>
      </c>
      <c r="B183" s="20">
        <f t="shared" si="4"/>
        <v>2025</v>
      </c>
      <c r="C183" s="20">
        <f t="shared" si="5"/>
        <v>3</v>
      </c>
      <c r="D183" t="s">
        <v>849</v>
      </c>
      <c r="E183" s="49">
        <v>1</v>
      </c>
      <c r="F183" t="s">
        <v>850</v>
      </c>
      <c r="G183" t="s">
        <v>21</v>
      </c>
      <c r="H183" t="s">
        <v>37</v>
      </c>
      <c r="I183" s="13">
        <v>52000</v>
      </c>
      <c r="J183" s="13">
        <v>46000</v>
      </c>
      <c r="K183" s="13">
        <f>IF(J183&lt;'Mapa Oficinas'!$I$21,0,IF(J183&gt;'Mapa Oficinas'!$I$20,0,1))</f>
        <v>0</v>
      </c>
      <c r="L183" t="s">
        <v>23</v>
      </c>
      <c r="M183" t="s">
        <v>23</v>
      </c>
      <c r="N183" t="s">
        <v>851</v>
      </c>
      <c r="O183" t="s">
        <v>141</v>
      </c>
      <c r="P183" t="s">
        <v>61</v>
      </c>
      <c r="Q183">
        <v>2</v>
      </c>
      <c r="R183" t="s">
        <v>670</v>
      </c>
      <c r="S183" t="s">
        <v>28</v>
      </c>
      <c r="T183" t="str">
        <f>VLOOKUP(S183,'Mapa Oficinas'!$H$7:$I$16,2,FALSE)</f>
        <v>CB</v>
      </c>
      <c r="U183" t="s">
        <v>29</v>
      </c>
      <c r="V183" t="str">
        <f>VLOOKUP($R183,'Mapa Oficinas'!$A$7:$C$46,2,FALSE)</f>
        <v>CABA</v>
      </c>
      <c r="W183" t="str">
        <f>VLOOKUP($R183,'Mapa Oficinas'!$A$7:$C$46,3,FALSE)</f>
        <v>Recoleta</v>
      </c>
    </row>
    <row r="184" spans="1:23" x14ac:dyDescent="0.2">
      <c r="A184" s="1">
        <v>45793</v>
      </c>
      <c r="B184" s="20">
        <f t="shared" si="4"/>
        <v>2025</v>
      </c>
      <c r="C184" s="20">
        <f t="shared" si="5"/>
        <v>5</v>
      </c>
      <c r="D184" t="s">
        <v>1978</v>
      </c>
      <c r="E184" s="49">
        <v>1</v>
      </c>
      <c r="F184" t="s">
        <v>1979</v>
      </c>
      <c r="G184" t="s">
        <v>21</v>
      </c>
      <c r="H184" t="s">
        <v>37</v>
      </c>
      <c r="I184" s="13">
        <v>50000</v>
      </c>
      <c r="J184" s="13">
        <v>46000</v>
      </c>
      <c r="K184" s="13">
        <f>IF(J184&lt;'Mapa Oficinas'!$I$21,0,IF(J184&gt;'Mapa Oficinas'!$I$20,0,1))</f>
        <v>0</v>
      </c>
      <c r="L184" t="s">
        <v>23</v>
      </c>
      <c r="M184" t="s">
        <v>23</v>
      </c>
      <c r="N184" t="s">
        <v>1980</v>
      </c>
      <c r="O184" t="s">
        <v>1981</v>
      </c>
      <c r="P184" t="s">
        <v>34</v>
      </c>
      <c r="Q184">
        <v>2</v>
      </c>
      <c r="R184" t="s">
        <v>429</v>
      </c>
      <c r="S184" t="s">
        <v>28</v>
      </c>
      <c r="T184" t="str">
        <f>VLOOKUP(S184,'Mapa Oficinas'!$H$7:$I$16,2,FALSE)</f>
        <v>CB</v>
      </c>
      <c r="U184" t="s">
        <v>29</v>
      </c>
      <c r="V184" t="str">
        <f>VLOOKUP($R184,'Mapa Oficinas'!$A$7:$C$46,2,FALSE)</f>
        <v>Zona Oeste (GBA)</v>
      </c>
      <c r="W184" t="str">
        <f>VLOOKUP($R184,'Mapa Oficinas'!$A$7:$C$46,3,FALSE)</f>
        <v>Parque Leloir</v>
      </c>
    </row>
    <row r="185" spans="1:23" x14ac:dyDescent="0.2">
      <c r="A185" s="1">
        <v>45812</v>
      </c>
      <c r="B185" s="20">
        <f t="shared" si="4"/>
        <v>2025</v>
      </c>
      <c r="C185" s="20">
        <f t="shared" si="5"/>
        <v>6</v>
      </c>
      <c r="D185" t="s">
        <v>2290</v>
      </c>
      <c r="E185" s="49">
        <v>1</v>
      </c>
      <c r="F185" t="s">
        <v>2291</v>
      </c>
      <c r="G185" t="s">
        <v>21</v>
      </c>
      <c r="H185" t="s">
        <v>37</v>
      </c>
      <c r="I185" s="13">
        <v>49000</v>
      </c>
      <c r="J185" s="13">
        <v>46000</v>
      </c>
      <c r="K185" s="13">
        <f>IF(J185&lt;'Mapa Oficinas'!$I$21,0,IF(J185&gt;'Mapa Oficinas'!$I$20,0,1))</f>
        <v>0</v>
      </c>
      <c r="L185" t="s">
        <v>23</v>
      </c>
      <c r="M185" t="s">
        <v>23</v>
      </c>
      <c r="N185" t="s">
        <v>2292</v>
      </c>
      <c r="O185" t="s">
        <v>2293</v>
      </c>
      <c r="P185" t="s">
        <v>61</v>
      </c>
      <c r="Q185">
        <v>2</v>
      </c>
      <c r="R185" t="s">
        <v>46</v>
      </c>
      <c r="S185" t="s">
        <v>28</v>
      </c>
      <c r="T185" t="str">
        <f>VLOOKUP(S185,'Mapa Oficinas'!$H$7:$I$16,2,FALSE)</f>
        <v>CB</v>
      </c>
      <c r="U185" t="s">
        <v>29</v>
      </c>
      <c r="V185" t="str">
        <f>VLOOKUP($R185,'Mapa Oficinas'!$A$7:$C$46,2,FALSE)</f>
        <v>CABA</v>
      </c>
      <c r="W185" t="str">
        <f>VLOOKUP($R185,'Mapa Oficinas'!$A$7:$C$46,3,FALSE)</f>
        <v>Palermo</v>
      </c>
    </row>
    <row r="186" spans="1:23" x14ac:dyDescent="0.2">
      <c r="A186" s="1">
        <v>45951</v>
      </c>
      <c r="B186" s="20">
        <f t="shared" si="4"/>
        <v>2025</v>
      </c>
      <c r="C186" s="20">
        <f t="shared" si="5"/>
        <v>10</v>
      </c>
      <c r="D186" t="s">
        <v>4802</v>
      </c>
      <c r="E186" s="49">
        <v>1</v>
      </c>
      <c r="F186" t="s">
        <v>4803</v>
      </c>
      <c r="G186" t="s">
        <v>21</v>
      </c>
      <c r="H186" t="s">
        <v>37</v>
      </c>
      <c r="I186" s="13">
        <v>49000</v>
      </c>
      <c r="J186" s="13">
        <v>46000</v>
      </c>
      <c r="K186" s="13">
        <f>IF(J186&lt;'Mapa Oficinas'!$I$21,0,IF(J186&gt;'Mapa Oficinas'!$I$20,0,1))</f>
        <v>0</v>
      </c>
      <c r="L186" t="s">
        <v>23</v>
      </c>
      <c r="M186" t="s">
        <v>23</v>
      </c>
      <c r="N186" t="s">
        <v>4804</v>
      </c>
      <c r="O186" t="s">
        <v>440</v>
      </c>
      <c r="P186" t="s">
        <v>45</v>
      </c>
      <c r="Q186">
        <v>2</v>
      </c>
      <c r="R186" t="s">
        <v>67</v>
      </c>
      <c r="S186" t="s">
        <v>28</v>
      </c>
      <c r="T186" t="str">
        <f>VLOOKUP(S186,'Mapa Oficinas'!$H$7:$I$16,2,FALSE)</f>
        <v>CB</v>
      </c>
      <c r="U186" t="s">
        <v>29</v>
      </c>
      <c r="V186" t="str">
        <f>VLOOKUP($R186,'Mapa Oficinas'!$A$7:$C$46,2,FALSE)</f>
        <v>CABA</v>
      </c>
      <c r="W186" t="str">
        <f>VLOOKUP($R186,'Mapa Oficinas'!$A$7:$C$46,3,FALSE)</f>
        <v>Barrio Parque</v>
      </c>
    </row>
    <row r="187" spans="1:23" x14ac:dyDescent="0.2">
      <c r="A187" s="1">
        <v>46092</v>
      </c>
      <c r="B187" s="20">
        <f t="shared" si="4"/>
        <v>2026</v>
      </c>
      <c r="C187" s="20">
        <f t="shared" si="5"/>
        <v>3</v>
      </c>
      <c r="D187" t="s">
        <v>7085</v>
      </c>
      <c r="E187" s="49">
        <v>1</v>
      </c>
      <c r="F187" t="s">
        <v>7086</v>
      </c>
      <c r="G187" t="s">
        <v>21</v>
      </c>
      <c r="H187" t="s">
        <v>22</v>
      </c>
      <c r="I187" s="13">
        <v>68000</v>
      </c>
      <c r="J187" s="13">
        <v>46000</v>
      </c>
      <c r="K187" s="13">
        <f>IF(J187&lt;'Mapa Oficinas'!$I$21,0,IF(J187&gt;'Mapa Oficinas'!$I$20,0,1))</f>
        <v>0</v>
      </c>
      <c r="L187" t="s">
        <v>23</v>
      </c>
      <c r="M187" t="s">
        <v>23</v>
      </c>
      <c r="N187" t="s">
        <v>7087</v>
      </c>
      <c r="O187" t="s">
        <v>7088</v>
      </c>
      <c r="P187" t="s">
        <v>26</v>
      </c>
      <c r="Q187">
        <v>2</v>
      </c>
      <c r="R187" t="s">
        <v>110</v>
      </c>
      <c r="S187" t="s">
        <v>28</v>
      </c>
      <c r="T187" t="str">
        <f>VLOOKUP(S187,'Mapa Oficinas'!$H$7:$I$16,2,FALSE)</f>
        <v>CB</v>
      </c>
      <c r="U187" t="s">
        <v>29</v>
      </c>
      <c r="V187" t="str">
        <f>VLOOKUP($R187,'Mapa Oficinas'!$A$7:$C$46,2,FALSE)</f>
        <v>Zona Norte (GBA)</v>
      </c>
      <c r="W187" t="str">
        <f>VLOOKUP($R187,'Mapa Oficinas'!$A$7:$C$46,3,FALSE)</f>
        <v>Nordelta</v>
      </c>
    </row>
    <row r="188" spans="1:23" x14ac:dyDescent="0.2">
      <c r="A188" s="1">
        <v>45992</v>
      </c>
      <c r="B188" s="20">
        <f t="shared" si="4"/>
        <v>2025</v>
      </c>
      <c r="C188" s="20">
        <f t="shared" si="5"/>
        <v>12</v>
      </c>
      <c r="D188" t="s">
        <v>5460</v>
      </c>
      <c r="E188" s="49">
        <v>1</v>
      </c>
      <c r="F188" t="s">
        <v>5461</v>
      </c>
      <c r="G188" t="s">
        <v>21</v>
      </c>
      <c r="H188" t="s">
        <v>37</v>
      </c>
      <c r="I188" s="13">
        <v>49500</v>
      </c>
      <c r="J188" s="13">
        <v>46500</v>
      </c>
      <c r="K188" s="13">
        <f>IF(J188&lt;'Mapa Oficinas'!$I$21,0,IF(J188&gt;'Mapa Oficinas'!$I$20,0,1))</f>
        <v>0</v>
      </c>
      <c r="L188" t="s">
        <v>23</v>
      </c>
      <c r="M188" t="s">
        <v>23</v>
      </c>
      <c r="N188" t="s">
        <v>5462</v>
      </c>
      <c r="O188" t="s">
        <v>5463</v>
      </c>
      <c r="P188" t="s">
        <v>45</v>
      </c>
      <c r="Q188">
        <v>1</v>
      </c>
      <c r="R188" t="s">
        <v>151</v>
      </c>
      <c r="S188" t="s">
        <v>152</v>
      </c>
      <c r="T188" t="str">
        <f>VLOOKUP(S188,'Mapa Oficinas'!$H$7:$I$16,2,FALSE)</f>
        <v>Otra Red Captación</v>
      </c>
      <c r="U188" t="s">
        <v>29</v>
      </c>
      <c r="V188" t="str">
        <f>VLOOKUP($R188,'Mapa Oficinas'!$A$7:$C$46,2,FALSE)</f>
        <v>Interior - Mendoza</v>
      </c>
      <c r="W188" t="str">
        <f>VLOOKUP($R188,'Mapa Oficinas'!$A$7:$C$46,3,FALSE)</f>
        <v>Capital Mendoza</v>
      </c>
    </row>
    <row r="189" spans="1:23" x14ac:dyDescent="0.2">
      <c r="A189" s="1">
        <v>45777</v>
      </c>
      <c r="B189" s="20">
        <f t="shared" si="4"/>
        <v>2025</v>
      </c>
      <c r="C189" s="20">
        <f t="shared" si="5"/>
        <v>4</v>
      </c>
      <c r="D189" t="s">
        <v>1718</v>
      </c>
      <c r="E189" s="49">
        <v>1</v>
      </c>
      <c r="F189" t="s">
        <v>1719</v>
      </c>
      <c r="G189" t="s">
        <v>21</v>
      </c>
      <c r="H189" t="s">
        <v>37</v>
      </c>
      <c r="I189" s="13">
        <v>48000</v>
      </c>
      <c r="J189" s="13">
        <v>46500</v>
      </c>
      <c r="K189" s="13">
        <f>IF(J189&lt;'Mapa Oficinas'!$I$21,0,IF(J189&gt;'Mapa Oficinas'!$I$20,0,1))</f>
        <v>0</v>
      </c>
      <c r="L189" t="s">
        <v>23</v>
      </c>
      <c r="M189" t="s">
        <v>23</v>
      </c>
      <c r="N189" t="s">
        <v>1720</v>
      </c>
      <c r="O189" t="s">
        <v>1721</v>
      </c>
      <c r="P189" t="s">
        <v>26</v>
      </c>
      <c r="Q189">
        <v>2</v>
      </c>
      <c r="R189" t="s">
        <v>103</v>
      </c>
      <c r="S189" t="s">
        <v>200</v>
      </c>
      <c r="T189" t="str">
        <f>VLOOKUP(S189,'Mapa Oficinas'!$H$7:$I$16,2,FALSE)</f>
        <v>Otra Red Captación</v>
      </c>
      <c r="U189" t="s">
        <v>29</v>
      </c>
      <c r="V189" t="str">
        <f>VLOOKUP($R189,'Mapa Oficinas'!$A$7:$C$46,2,FALSE)</f>
        <v>Zona Sur (GBA)</v>
      </c>
      <c r="W189" t="str">
        <f>VLOOKUP($R189,'Mapa Oficinas'!$A$7:$C$46,3,FALSE)</f>
        <v>La Plata</v>
      </c>
    </row>
    <row r="190" spans="1:23" x14ac:dyDescent="0.2">
      <c r="A190" s="1">
        <v>45992</v>
      </c>
      <c r="B190" s="20">
        <f t="shared" si="4"/>
        <v>2025</v>
      </c>
      <c r="C190" s="20">
        <f t="shared" si="5"/>
        <v>12</v>
      </c>
      <c r="D190" t="s">
        <v>5464</v>
      </c>
      <c r="E190" s="49">
        <v>1</v>
      </c>
      <c r="F190" t="s">
        <v>5465</v>
      </c>
      <c r="G190" t="s">
        <v>21</v>
      </c>
      <c r="H190" t="s">
        <v>37</v>
      </c>
      <c r="I190" s="13">
        <v>48000</v>
      </c>
      <c r="J190" s="13">
        <v>46600</v>
      </c>
      <c r="K190" s="13">
        <f>IF(J190&lt;'Mapa Oficinas'!$I$21,0,IF(J190&gt;'Mapa Oficinas'!$I$20,0,1))</f>
        <v>0</v>
      </c>
      <c r="L190" t="s">
        <v>23</v>
      </c>
      <c r="M190" t="s">
        <v>23</v>
      </c>
      <c r="N190" t="s">
        <v>5466</v>
      </c>
      <c r="O190" t="s">
        <v>5467</v>
      </c>
      <c r="P190" t="s">
        <v>45</v>
      </c>
      <c r="Q190">
        <v>1</v>
      </c>
      <c r="R190" t="s">
        <v>151</v>
      </c>
      <c r="S190" t="s">
        <v>152</v>
      </c>
      <c r="T190" t="str">
        <f>VLOOKUP(S190,'Mapa Oficinas'!$H$7:$I$16,2,FALSE)</f>
        <v>Otra Red Captación</v>
      </c>
      <c r="U190" t="s">
        <v>29</v>
      </c>
      <c r="V190" t="str">
        <f>VLOOKUP($R190,'Mapa Oficinas'!$A$7:$C$46,2,FALSE)</f>
        <v>Interior - Mendoza</v>
      </c>
      <c r="W190" t="str">
        <f>VLOOKUP($R190,'Mapa Oficinas'!$A$7:$C$46,3,FALSE)</f>
        <v>Capital Mendoza</v>
      </c>
    </row>
    <row r="191" spans="1:23" x14ac:dyDescent="0.2">
      <c r="A191" s="1">
        <v>45870</v>
      </c>
      <c r="B191" s="20">
        <f t="shared" si="4"/>
        <v>2025</v>
      </c>
      <c r="C191" s="20">
        <f t="shared" si="5"/>
        <v>8</v>
      </c>
      <c r="D191" t="s">
        <v>3368</v>
      </c>
      <c r="E191" s="49">
        <v>1</v>
      </c>
      <c r="F191" t="s">
        <v>3369</v>
      </c>
      <c r="G191" t="s">
        <v>21</v>
      </c>
      <c r="H191" t="s">
        <v>37</v>
      </c>
      <c r="I191" s="13">
        <v>45000</v>
      </c>
      <c r="J191" s="13">
        <v>46800</v>
      </c>
      <c r="K191" s="13">
        <f>IF(J191&lt;'Mapa Oficinas'!$I$21,0,IF(J191&gt;'Mapa Oficinas'!$I$20,0,1))</f>
        <v>0</v>
      </c>
      <c r="L191" t="s">
        <v>23</v>
      </c>
      <c r="M191" t="s">
        <v>23</v>
      </c>
      <c r="N191" t="s">
        <v>3370</v>
      </c>
      <c r="O191" t="s">
        <v>2604</v>
      </c>
      <c r="P191" t="s">
        <v>61</v>
      </c>
      <c r="Q191">
        <v>2</v>
      </c>
      <c r="R191" t="s">
        <v>62</v>
      </c>
      <c r="S191" t="s">
        <v>28</v>
      </c>
      <c r="T191" t="str">
        <f>VLOOKUP(S191,'Mapa Oficinas'!$H$7:$I$16,2,FALSE)</f>
        <v>CB</v>
      </c>
      <c r="U191" t="s">
        <v>29</v>
      </c>
      <c r="V191" t="str">
        <f>VLOOKUP($R191,'Mapa Oficinas'!$A$7:$C$46,2,FALSE)</f>
        <v>CABA</v>
      </c>
      <c r="W191" t="str">
        <f>VLOOKUP($R191,'Mapa Oficinas'!$A$7:$C$46,3,FALSE)</f>
        <v>Villa Urquiza</v>
      </c>
    </row>
    <row r="192" spans="1:23" x14ac:dyDescent="0.2">
      <c r="A192" s="1">
        <v>45674</v>
      </c>
      <c r="B192" s="20">
        <f t="shared" si="4"/>
        <v>2025</v>
      </c>
      <c r="C192" s="20">
        <f t="shared" si="5"/>
        <v>1</v>
      </c>
      <c r="D192" t="s">
        <v>279</v>
      </c>
      <c r="E192" s="49">
        <v>1</v>
      </c>
      <c r="F192" t="s">
        <v>280</v>
      </c>
      <c r="G192" t="s">
        <v>21</v>
      </c>
      <c r="H192" t="s">
        <v>70</v>
      </c>
      <c r="I192" s="13">
        <v>47000</v>
      </c>
      <c r="J192" s="13">
        <v>47000</v>
      </c>
      <c r="K192" s="13">
        <f>IF(J192&lt;'Mapa Oficinas'!$I$21,0,IF(J192&gt;'Mapa Oficinas'!$I$20,0,1))</f>
        <v>0</v>
      </c>
      <c r="L192" t="s">
        <v>23</v>
      </c>
      <c r="M192" t="s">
        <v>23</v>
      </c>
      <c r="N192" t="s">
        <v>281</v>
      </c>
      <c r="O192" t="s">
        <v>282</v>
      </c>
      <c r="P192" t="s">
        <v>45</v>
      </c>
      <c r="Q192">
        <v>1</v>
      </c>
      <c r="R192" t="s">
        <v>73</v>
      </c>
      <c r="S192" t="s">
        <v>122</v>
      </c>
      <c r="T192" t="str">
        <f>VLOOKUP(S192,'Mapa Oficinas'!$H$7:$I$16,2,FALSE)</f>
        <v>Otra Red Búsqueda</v>
      </c>
      <c r="U192" t="s">
        <v>29</v>
      </c>
      <c r="V192" t="str">
        <f>VLOOKUP($R192,'Mapa Oficinas'!$A$7:$C$46,2,FALSE)</f>
        <v>Interior - Salta</v>
      </c>
      <c r="W192" t="str">
        <f>VLOOKUP($R192,'Mapa Oficinas'!$A$7:$C$46,3,FALSE)</f>
        <v>San Lorenzo Chico</v>
      </c>
    </row>
    <row r="193" spans="1:23" x14ac:dyDescent="0.2">
      <c r="A193" s="1">
        <v>45814</v>
      </c>
      <c r="B193" s="20">
        <f t="shared" si="4"/>
        <v>2025</v>
      </c>
      <c r="C193" s="20">
        <f t="shared" si="5"/>
        <v>6</v>
      </c>
      <c r="D193" t="s">
        <v>2355</v>
      </c>
      <c r="E193" s="49">
        <v>1</v>
      </c>
      <c r="F193" t="s">
        <v>2356</v>
      </c>
      <c r="G193" t="s">
        <v>21</v>
      </c>
      <c r="H193" t="s">
        <v>221</v>
      </c>
      <c r="I193" s="13">
        <v>50000</v>
      </c>
      <c r="J193" s="13">
        <v>47000</v>
      </c>
      <c r="K193" s="13">
        <f>IF(J193&lt;'Mapa Oficinas'!$I$21,0,IF(J193&gt;'Mapa Oficinas'!$I$20,0,1))</f>
        <v>0</v>
      </c>
      <c r="L193" t="s">
        <v>23</v>
      </c>
      <c r="M193" t="s">
        <v>23</v>
      </c>
      <c r="N193" t="s">
        <v>2357</v>
      </c>
      <c r="O193" t="s">
        <v>223</v>
      </c>
      <c r="P193" t="s">
        <v>45</v>
      </c>
      <c r="Q193">
        <v>1</v>
      </c>
      <c r="R193" t="s">
        <v>167</v>
      </c>
      <c r="S193" t="s">
        <v>122</v>
      </c>
      <c r="T193" t="str">
        <f>VLOOKUP(S193,'Mapa Oficinas'!$H$7:$I$16,2,FALSE)</f>
        <v>Otra Red Búsqueda</v>
      </c>
      <c r="U193" t="s">
        <v>29</v>
      </c>
      <c r="V193" t="str">
        <f>VLOOKUP($R193,'Mapa Oficinas'!$A$7:$C$46,2,FALSE)</f>
        <v>Interior - Santa Fe</v>
      </c>
      <c r="W193" t="str">
        <f>VLOOKUP($R193,'Mapa Oficinas'!$A$7:$C$46,3,FALSE)</f>
        <v>Capital Santa Fe</v>
      </c>
    </row>
    <row r="194" spans="1:23" x14ac:dyDescent="0.2">
      <c r="A194" s="1">
        <v>45675</v>
      </c>
      <c r="B194" s="20">
        <f t="shared" ref="B194:B257" si="6">YEAR($A194)</f>
        <v>2025</v>
      </c>
      <c r="C194" s="20">
        <f t="shared" ref="C194:C257" si="7">MONTH($A194)</f>
        <v>1</v>
      </c>
      <c r="D194" t="s">
        <v>289</v>
      </c>
      <c r="E194" s="49">
        <v>1</v>
      </c>
      <c r="F194" t="s">
        <v>290</v>
      </c>
      <c r="G194" t="s">
        <v>21</v>
      </c>
      <c r="H194" t="s">
        <v>221</v>
      </c>
      <c r="I194" s="13">
        <v>52000</v>
      </c>
      <c r="J194" s="13">
        <v>47000</v>
      </c>
      <c r="K194" s="13">
        <f>IF(J194&lt;'Mapa Oficinas'!$I$21,0,IF(J194&gt;'Mapa Oficinas'!$I$20,0,1))</f>
        <v>0</v>
      </c>
      <c r="L194" t="s">
        <v>23</v>
      </c>
      <c r="M194" t="s">
        <v>23</v>
      </c>
      <c r="N194" t="s">
        <v>291</v>
      </c>
      <c r="O194" t="s">
        <v>223</v>
      </c>
      <c r="P194" t="s">
        <v>34</v>
      </c>
      <c r="Q194">
        <v>1</v>
      </c>
      <c r="R194" t="s">
        <v>167</v>
      </c>
      <c r="S194" t="s">
        <v>152</v>
      </c>
      <c r="T194" t="str">
        <f>VLOOKUP(S194,'Mapa Oficinas'!$H$7:$I$16,2,FALSE)</f>
        <v>Otra Red Captación</v>
      </c>
      <c r="U194" t="s">
        <v>29</v>
      </c>
      <c r="V194" t="str">
        <f>VLOOKUP($R194,'Mapa Oficinas'!$A$7:$C$46,2,FALSE)</f>
        <v>Interior - Santa Fe</v>
      </c>
      <c r="W194" t="str">
        <f>VLOOKUP($R194,'Mapa Oficinas'!$A$7:$C$46,3,FALSE)</f>
        <v>Capital Santa Fe</v>
      </c>
    </row>
    <row r="195" spans="1:23" x14ac:dyDescent="0.2">
      <c r="A195" s="1">
        <v>46017</v>
      </c>
      <c r="B195" s="20">
        <f t="shared" si="6"/>
        <v>2025</v>
      </c>
      <c r="C195" s="20">
        <f t="shared" si="7"/>
        <v>12</v>
      </c>
      <c r="D195" t="s">
        <v>6025</v>
      </c>
      <c r="E195" s="49">
        <v>1</v>
      </c>
      <c r="F195" t="s">
        <v>6026</v>
      </c>
      <c r="G195" t="s">
        <v>21</v>
      </c>
      <c r="H195" t="s">
        <v>100</v>
      </c>
      <c r="I195" s="13">
        <v>52000</v>
      </c>
      <c r="J195" s="13">
        <v>47000</v>
      </c>
      <c r="K195" s="13">
        <f>IF(J195&lt;'Mapa Oficinas'!$I$21,0,IF(J195&gt;'Mapa Oficinas'!$I$20,0,1))</f>
        <v>0</v>
      </c>
      <c r="L195" t="s">
        <v>23</v>
      </c>
      <c r="M195" t="s">
        <v>23</v>
      </c>
      <c r="N195" t="s">
        <v>6027</v>
      </c>
      <c r="O195" t="s">
        <v>6028</v>
      </c>
      <c r="P195" t="s">
        <v>45</v>
      </c>
      <c r="Q195">
        <v>1</v>
      </c>
      <c r="R195" t="s">
        <v>73</v>
      </c>
      <c r="S195" t="s">
        <v>152</v>
      </c>
      <c r="T195" t="str">
        <f>VLOOKUP(S195,'Mapa Oficinas'!$H$7:$I$16,2,FALSE)</f>
        <v>Otra Red Captación</v>
      </c>
      <c r="U195" t="s">
        <v>29</v>
      </c>
      <c r="V195" t="str">
        <f>VLOOKUP($R195,'Mapa Oficinas'!$A$7:$C$46,2,FALSE)</f>
        <v>Interior - Salta</v>
      </c>
      <c r="W195" t="str">
        <f>VLOOKUP($R195,'Mapa Oficinas'!$A$7:$C$46,3,FALSE)</f>
        <v>San Lorenzo Chico</v>
      </c>
    </row>
    <row r="196" spans="1:23" x14ac:dyDescent="0.2">
      <c r="A196" s="1">
        <v>45849</v>
      </c>
      <c r="B196" s="20">
        <f t="shared" si="6"/>
        <v>2025</v>
      </c>
      <c r="C196" s="20">
        <f t="shared" si="7"/>
        <v>7</v>
      </c>
      <c r="D196" t="s">
        <v>2967</v>
      </c>
      <c r="E196" s="49">
        <v>1</v>
      </c>
      <c r="F196" t="s">
        <v>2968</v>
      </c>
      <c r="G196" t="s">
        <v>21</v>
      </c>
      <c r="H196" t="s">
        <v>81</v>
      </c>
      <c r="I196" s="13">
        <v>48000</v>
      </c>
      <c r="J196" s="13">
        <v>47000</v>
      </c>
      <c r="K196" s="13">
        <f>IF(J196&lt;'Mapa Oficinas'!$I$21,0,IF(J196&gt;'Mapa Oficinas'!$I$20,0,1))</f>
        <v>0</v>
      </c>
      <c r="L196" t="s">
        <v>23</v>
      </c>
      <c r="M196" t="s">
        <v>23</v>
      </c>
      <c r="N196" t="s">
        <v>2969</v>
      </c>
      <c r="O196" t="s">
        <v>577</v>
      </c>
      <c r="P196" t="s">
        <v>45</v>
      </c>
      <c r="Q196">
        <v>2</v>
      </c>
      <c r="R196" t="s">
        <v>151</v>
      </c>
      <c r="S196" t="s">
        <v>79</v>
      </c>
      <c r="T196" t="str">
        <f>VLOOKUP(S196,'Mapa Oficinas'!$H$7:$I$16,2,FALSE)</f>
        <v>CB</v>
      </c>
      <c r="U196" t="s">
        <v>29</v>
      </c>
      <c r="V196" t="str">
        <f>VLOOKUP($R196,'Mapa Oficinas'!$A$7:$C$46,2,FALSE)</f>
        <v>Interior - Mendoza</v>
      </c>
      <c r="W196" t="str">
        <f>VLOOKUP($R196,'Mapa Oficinas'!$A$7:$C$46,3,FALSE)</f>
        <v>Capital Mendoza</v>
      </c>
    </row>
    <row r="197" spans="1:23" x14ac:dyDescent="0.2">
      <c r="A197" s="1">
        <v>45881</v>
      </c>
      <c r="B197" s="20">
        <f t="shared" si="6"/>
        <v>2025</v>
      </c>
      <c r="C197" s="20">
        <f t="shared" si="7"/>
        <v>8</v>
      </c>
      <c r="D197" t="s">
        <v>3535</v>
      </c>
      <c r="E197" s="49">
        <v>1</v>
      </c>
      <c r="F197" t="s">
        <v>3536</v>
      </c>
      <c r="G197" t="s">
        <v>21</v>
      </c>
      <c r="H197" t="s">
        <v>22</v>
      </c>
      <c r="I197" s="13">
        <v>52000</v>
      </c>
      <c r="J197" s="13">
        <v>47000</v>
      </c>
      <c r="K197" s="13">
        <f>IF(J197&lt;'Mapa Oficinas'!$I$21,0,IF(J197&gt;'Mapa Oficinas'!$I$20,0,1))</f>
        <v>0</v>
      </c>
      <c r="L197" t="s">
        <v>23</v>
      </c>
      <c r="M197" t="s">
        <v>23</v>
      </c>
      <c r="N197" t="s">
        <v>3537</v>
      </c>
      <c r="O197" t="s">
        <v>3538</v>
      </c>
      <c r="P197" t="s">
        <v>34</v>
      </c>
      <c r="Q197">
        <v>2</v>
      </c>
      <c r="R197" t="s">
        <v>103</v>
      </c>
      <c r="S197" t="s">
        <v>79</v>
      </c>
      <c r="T197" t="str">
        <f>VLOOKUP(S197,'Mapa Oficinas'!$H$7:$I$16,2,FALSE)</f>
        <v>CB</v>
      </c>
      <c r="U197" t="s">
        <v>29</v>
      </c>
      <c r="V197" t="str">
        <f>VLOOKUP($R197,'Mapa Oficinas'!$A$7:$C$46,2,FALSE)</f>
        <v>Zona Sur (GBA)</v>
      </c>
      <c r="W197" t="str">
        <f>VLOOKUP($R197,'Mapa Oficinas'!$A$7:$C$46,3,FALSE)</f>
        <v>La Plata</v>
      </c>
    </row>
    <row r="198" spans="1:23" x14ac:dyDescent="0.2">
      <c r="A198" s="1">
        <v>46076</v>
      </c>
      <c r="B198" s="20">
        <f t="shared" si="6"/>
        <v>2026</v>
      </c>
      <c r="C198" s="20">
        <f t="shared" si="7"/>
        <v>2</v>
      </c>
      <c r="D198" t="s">
        <v>6799</v>
      </c>
      <c r="E198" s="49">
        <v>1</v>
      </c>
      <c r="F198" t="s">
        <v>6800</v>
      </c>
      <c r="G198" t="s">
        <v>21</v>
      </c>
      <c r="H198" t="s">
        <v>37</v>
      </c>
      <c r="I198" s="13">
        <v>50000</v>
      </c>
      <c r="J198" s="13">
        <v>47000</v>
      </c>
      <c r="K198" s="13">
        <f>IF(J198&lt;'Mapa Oficinas'!$I$21,0,IF(J198&gt;'Mapa Oficinas'!$I$20,0,1))</f>
        <v>0</v>
      </c>
      <c r="L198" t="s">
        <v>23</v>
      </c>
      <c r="M198" t="s">
        <v>23</v>
      </c>
      <c r="N198" t="s">
        <v>6801</v>
      </c>
      <c r="O198" t="s">
        <v>581</v>
      </c>
      <c r="P198" t="s">
        <v>26</v>
      </c>
      <c r="Q198">
        <v>2</v>
      </c>
      <c r="R198" t="s">
        <v>151</v>
      </c>
      <c r="S198" t="s">
        <v>79</v>
      </c>
      <c r="T198" t="str">
        <f>VLOOKUP(S198,'Mapa Oficinas'!$H$7:$I$16,2,FALSE)</f>
        <v>CB</v>
      </c>
      <c r="U198" t="s">
        <v>29</v>
      </c>
      <c r="V198" t="str">
        <f>VLOOKUP($R198,'Mapa Oficinas'!$A$7:$C$46,2,FALSE)</f>
        <v>Interior - Mendoza</v>
      </c>
      <c r="W198" t="str">
        <f>VLOOKUP($R198,'Mapa Oficinas'!$A$7:$C$46,3,FALSE)</f>
        <v>Capital Mendoza</v>
      </c>
    </row>
    <row r="199" spans="1:23" x14ac:dyDescent="0.2">
      <c r="A199" s="1">
        <v>46077</v>
      </c>
      <c r="B199" s="20">
        <f t="shared" si="6"/>
        <v>2026</v>
      </c>
      <c r="C199" s="20">
        <f t="shared" si="7"/>
        <v>2</v>
      </c>
      <c r="D199">
        <v>18</v>
      </c>
      <c r="E199" s="49">
        <v>1</v>
      </c>
      <c r="F199" t="s">
        <v>6829</v>
      </c>
      <c r="G199" t="s">
        <v>21</v>
      </c>
      <c r="H199" t="s">
        <v>81</v>
      </c>
      <c r="I199" s="13">
        <v>46000</v>
      </c>
      <c r="J199" s="13">
        <v>47000</v>
      </c>
      <c r="K199" s="13">
        <f>IF(J199&lt;'Mapa Oficinas'!$I$21,0,IF(J199&gt;'Mapa Oficinas'!$I$20,0,1))</f>
        <v>0</v>
      </c>
      <c r="L199" t="s">
        <v>23</v>
      </c>
      <c r="M199" t="s">
        <v>23</v>
      </c>
      <c r="N199" t="s">
        <v>6830</v>
      </c>
      <c r="O199" t="s">
        <v>2084</v>
      </c>
      <c r="P199" t="s">
        <v>45</v>
      </c>
      <c r="Q199">
        <v>1</v>
      </c>
      <c r="R199" t="s">
        <v>1024</v>
      </c>
      <c r="S199" t="s">
        <v>47</v>
      </c>
      <c r="T199" t="str">
        <f>VLOOKUP(S199,'Mapa Oficinas'!$H$7:$I$16,2,FALSE)</f>
        <v>Otra Red Búsqueda</v>
      </c>
      <c r="U199" t="s">
        <v>29</v>
      </c>
      <c r="V199" t="str">
        <f>VLOOKUP($R199,'Mapa Oficinas'!$A$7:$C$46,2,FALSE)</f>
        <v>CABA</v>
      </c>
      <c r="W199" t="str">
        <f>VLOOKUP($R199,'Mapa Oficinas'!$A$7:$C$46,3,FALSE)</f>
        <v>Puerto Madero</v>
      </c>
    </row>
    <row r="200" spans="1:23" x14ac:dyDescent="0.2">
      <c r="A200" s="1">
        <v>45682</v>
      </c>
      <c r="B200" s="20">
        <f t="shared" si="6"/>
        <v>2025</v>
      </c>
      <c r="C200" s="20">
        <f t="shared" si="7"/>
        <v>1</v>
      </c>
      <c r="D200" t="s">
        <v>346</v>
      </c>
      <c r="E200" s="49">
        <v>1</v>
      </c>
      <c r="F200" t="s">
        <v>347</v>
      </c>
      <c r="G200" t="s">
        <v>21</v>
      </c>
      <c r="H200" t="s">
        <v>76</v>
      </c>
      <c r="I200" s="13">
        <v>51000</v>
      </c>
      <c r="J200" s="13">
        <v>47000</v>
      </c>
      <c r="K200" s="13">
        <f>IF(J200&lt;'Mapa Oficinas'!$I$21,0,IF(J200&gt;'Mapa Oficinas'!$I$20,0,1))</f>
        <v>0</v>
      </c>
      <c r="L200" t="s">
        <v>23</v>
      </c>
      <c r="M200" t="s">
        <v>23</v>
      </c>
      <c r="N200" t="s">
        <v>347</v>
      </c>
      <c r="O200" t="s">
        <v>348</v>
      </c>
      <c r="P200" t="s">
        <v>34</v>
      </c>
      <c r="Q200">
        <v>2</v>
      </c>
      <c r="R200" t="s">
        <v>103</v>
      </c>
      <c r="S200" t="s">
        <v>28</v>
      </c>
      <c r="T200" t="str">
        <f>VLOOKUP(S200,'Mapa Oficinas'!$H$7:$I$16,2,FALSE)</f>
        <v>CB</v>
      </c>
      <c r="U200" t="s">
        <v>29</v>
      </c>
      <c r="V200" t="str">
        <f>VLOOKUP($R200,'Mapa Oficinas'!$A$7:$C$46,2,FALSE)</f>
        <v>Zona Sur (GBA)</v>
      </c>
      <c r="W200" t="str">
        <f>VLOOKUP($R200,'Mapa Oficinas'!$A$7:$C$46,3,FALSE)</f>
        <v>La Plata</v>
      </c>
    </row>
    <row r="201" spans="1:23" x14ac:dyDescent="0.2">
      <c r="A201" s="1">
        <v>45701</v>
      </c>
      <c r="B201" s="20">
        <f t="shared" si="6"/>
        <v>2025</v>
      </c>
      <c r="C201" s="20">
        <f t="shared" si="7"/>
        <v>2</v>
      </c>
      <c r="D201" t="s">
        <v>574</v>
      </c>
      <c r="E201" s="49">
        <v>1</v>
      </c>
      <c r="F201" t="s">
        <v>575</v>
      </c>
      <c r="G201" t="s">
        <v>21</v>
      </c>
      <c r="H201" t="s">
        <v>37</v>
      </c>
      <c r="I201" s="13">
        <v>48000</v>
      </c>
      <c r="J201" s="13">
        <v>47000</v>
      </c>
      <c r="K201" s="13">
        <f>IF(J201&lt;'Mapa Oficinas'!$I$21,0,IF(J201&gt;'Mapa Oficinas'!$I$20,0,1))</f>
        <v>0</v>
      </c>
      <c r="L201" t="s">
        <v>23</v>
      </c>
      <c r="M201" t="s">
        <v>23</v>
      </c>
      <c r="N201" t="s">
        <v>576</v>
      </c>
      <c r="O201" t="s">
        <v>577</v>
      </c>
      <c r="P201" t="s">
        <v>34</v>
      </c>
      <c r="Q201">
        <v>2</v>
      </c>
      <c r="R201" t="s">
        <v>151</v>
      </c>
      <c r="S201" t="s">
        <v>28</v>
      </c>
      <c r="T201" t="str">
        <f>VLOOKUP(S201,'Mapa Oficinas'!$H$7:$I$16,2,FALSE)</f>
        <v>CB</v>
      </c>
      <c r="U201" t="s">
        <v>29</v>
      </c>
      <c r="V201" t="str">
        <f>VLOOKUP($R201,'Mapa Oficinas'!$A$7:$C$46,2,FALSE)</f>
        <v>Interior - Mendoza</v>
      </c>
      <c r="W201" t="str">
        <f>VLOOKUP($R201,'Mapa Oficinas'!$A$7:$C$46,3,FALSE)</f>
        <v>Capital Mendoza</v>
      </c>
    </row>
    <row r="202" spans="1:23" x14ac:dyDescent="0.2">
      <c r="A202" s="1">
        <v>45763</v>
      </c>
      <c r="B202" s="20">
        <f t="shared" si="6"/>
        <v>2025</v>
      </c>
      <c r="C202" s="20">
        <f t="shared" si="7"/>
        <v>4</v>
      </c>
      <c r="D202" t="s">
        <v>1470</v>
      </c>
      <c r="E202" s="49">
        <v>1</v>
      </c>
      <c r="F202" t="s">
        <v>1471</v>
      </c>
      <c r="G202" t="s">
        <v>21</v>
      </c>
      <c r="H202" t="s">
        <v>37</v>
      </c>
      <c r="I202" s="13">
        <v>49990</v>
      </c>
      <c r="J202" s="13">
        <v>47000</v>
      </c>
      <c r="K202" s="13">
        <f>IF(J202&lt;'Mapa Oficinas'!$I$21,0,IF(J202&gt;'Mapa Oficinas'!$I$20,0,1))</f>
        <v>0</v>
      </c>
      <c r="L202" t="s">
        <v>23</v>
      </c>
      <c r="M202" t="s">
        <v>23</v>
      </c>
      <c r="N202" t="s">
        <v>1472</v>
      </c>
      <c r="O202" t="s">
        <v>1425</v>
      </c>
      <c r="P202" t="s">
        <v>61</v>
      </c>
      <c r="Q202">
        <v>2</v>
      </c>
      <c r="R202" t="s">
        <v>62</v>
      </c>
      <c r="S202" t="s">
        <v>28</v>
      </c>
      <c r="T202" t="str">
        <f>VLOOKUP(S202,'Mapa Oficinas'!$H$7:$I$16,2,FALSE)</f>
        <v>CB</v>
      </c>
      <c r="U202" t="s">
        <v>29</v>
      </c>
      <c r="V202" t="str">
        <f>VLOOKUP($R202,'Mapa Oficinas'!$A$7:$C$46,2,FALSE)</f>
        <v>CABA</v>
      </c>
      <c r="W202" t="str">
        <f>VLOOKUP($R202,'Mapa Oficinas'!$A$7:$C$46,3,FALSE)</f>
        <v>Villa Urquiza</v>
      </c>
    </row>
    <row r="203" spans="1:23" x14ac:dyDescent="0.2">
      <c r="A203" s="1">
        <v>45813</v>
      </c>
      <c r="B203" s="20">
        <f t="shared" si="6"/>
        <v>2025</v>
      </c>
      <c r="C203" s="20">
        <f t="shared" si="7"/>
        <v>6</v>
      </c>
      <c r="D203" t="s">
        <v>2319</v>
      </c>
      <c r="E203" s="49">
        <v>1</v>
      </c>
      <c r="F203" t="s">
        <v>2320</v>
      </c>
      <c r="G203" t="s">
        <v>21</v>
      </c>
      <c r="H203" t="s">
        <v>37</v>
      </c>
      <c r="I203" s="13">
        <v>47000</v>
      </c>
      <c r="J203" s="13">
        <v>47000</v>
      </c>
      <c r="K203" s="13">
        <f>IF(J203&lt;'Mapa Oficinas'!$I$21,0,IF(J203&gt;'Mapa Oficinas'!$I$20,0,1))</f>
        <v>0</v>
      </c>
      <c r="L203" t="s">
        <v>23</v>
      </c>
      <c r="M203" t="s">
        <v>23</v>
      </c>
      <c r="N203" t="s">
        <v>2321</v>
      </c>
      <c r="O203" t="s">
        <v>2322</v>
      </c>
      <c r="P203" t="s">
        <v>14</v>
      </c>
      <c r="Q203">
        <v>2</v>
      </c>
      <c r="R203" t="s">
        <v>151</v>
      </c>
      <c r="S203" t="s">
        <v>28</v>
      </c>
      <c r="T203" t="str">
        <f>VLOOKUP(S203,'Mapa Oficinas'!$H$7:$I$16,2,FALSE)</f>
        <v>CB</v>
      </c>
      <c r="U203" t="s">
        <v>29</v>
      </c>
      <c r="V203" t="str">
        <f>VLOOKUP($R203,'Mapa Oficinas'!$A$7:$C$46,2,FALSE)</f>
        <v>Interior - Mendoza</v>
      </c>
      <c r="W203" t="str">
        <f>VLOOKUP($R203,'Mapa Oficinas'!$A$7:$C$46,3,FALSE)</f>
        <v>Capital Mendoza</v>
      </c>
    </row>
    <row r="204" spans="1:23" x14ac:dyDescent="0.2">
      <c r="A204" s="1">
        <v>45825</v>
      </c>
      <c r="B204" s="20">
        <f t="shared" si="6"/>
        <v>2025</v>
      </c>
      <c r="C204" s="20">
        <f t="shared" si="7"/>
        <v>6</v>
      </c>
      <c r="D204" t="s">
        <v>2532</v>
      </c>
      <c r="E204" s="49">
        <v>1</v>
      </c>
      <c r="F204" t="s">
        <v>2533</v>
      </c>
      <c r="G204" t="s">
        <v>21</v>
      </c>
      <c r="H204" t="s">
        <v>90</v>
      </c>
      <c r="I204" s="13">
        <v>47000</v>
      </c>
      <c r="J204" s="13">
        <v>47000</v>
      </c>
      <c r="K204" s="13">
        <f>IF(J204&lt;'Mapa Oficinas'!$I$21,0,IF(J204&gt;'Mapa Oficinas'!$I$20,0,1))</f>
        <v>0</v>
      </c>
      <c r="L204" t="s">
        <v>23</v>
      </c>
      <c r="M204" t="s">
        <v>23</v>
      </c>
      <c r="N204" t="s">
        <v>2529</v>
      </c>
      <c r="O204" t="s">
        <v>1531</v>
      </c>
      <c r="P204" t="s">
        <v>45</v>
      </c>
      <c r="Q204">
        <v>2</v>
      </c>
      <c r="R204" t="s">
        <v>62</v>
      </c>
      <c r="S204" t="s">
        <v>28</v>
      </c>
      <c r="T204" t="str">
        <f>VLOOKUP(S204,'Mapa Oficinas'!$H$7:$I$16,2,FALSE)</f>
        <v>CB</v>
      </c>
      <c r="U204" t="s">
        <v>29</v>
      </c>
      <c r="V204" t="str">
        <f>VLOOKUP($R204,'Mapa Oficinas'!$A$7:$C$46,2,FALSE)</f>
        <v>CABA</v>
      </c>
      <c r="W204" t="str">
        <f>VLOOKUP($R204,'Mapa Oficinas'!$A$7:$C$46,3,FALSE)</f>
        <v>Villa Urquiza</v>
      </c>
    </row>
    <row r="205" spans="1:23" x14ac:dyDescent="0.2">
      <c r="A205" s="1">
        <v>45835</v>
      </c>
      <c r="B205" s="20">
        <f t="shared" si="6"/>
        <v>2025</v>
      </c>
      <c r="C205" s="20">
        <f t="shared" si="7"/>
        <v>6</v>
      </c>
      <c r="D205" t="s">
        <v>2677</v>
      </c>
      <c r="E205" s="49">
        <v>1</v>
      </c>
      <c r="F205" t="s">
        <v>2678</v>
      </c>
      <c r="G205" t="s">
        <v>21</v>
      </c>
      <c r="H205" t="s">
        <v>81</v>
      </c>
      <c r="I205" s="13">
        <v>47000</v>
      </c>
      <c r="J205" s="13">
        <v>47000</v>
      </c>
      <c r="K205" s="13">
        <f>IF(J205&lt;'Mapa Oficinas'!$I$21,0,IF(J205&gt;'Mapa Oficinas'!$I$20,0,1))</f>
        <v>0</v>
      </c>
      <c r="L205" t="s">
        <v>23</v>
      </c>
      <c r="M205" t="s">
        <v>23</v>
      </c>
      <c r="N205" t="s">
        <v>2679</v>
      </c>
      <c r="O205" t="s">
        <v>2680</v>
      </c>
      <c r="P205" t="s">
        <v>2681</v>
      </c>
      <c r="Q205">
        <v>2</v>
      </c>
      <c r="R205" t="s">
        <v>151</v>
      </c>
      <c r="S205" t="s">
        <v>28</v>
      </c>
      <c r="T205" t="str">
        <f>VLOOKUP(S205,'Mapa Oficinas'!$H$7:$I$16,2,FALSE)</f>
        <v>CB</v>
      </c>
      <c r="U205" t="s">
        <v>29</v>
      </c>
      <c r="V205" t="str">
        <f>VLOOKUP($R205,'Mapa Oficinas'!$A$7:$C$46,2,FALSE)</f>
        <v>Interior - Mendoza</v>
      </c>
      <c r="W205" t="str">
        <f>VLOOKUP($R205,'Mapa Oficinas'!$A$7:$C$46,3,FALSE)</f>
        <v>Capital Mendoza</v>
      </c>
    </row>
    <row r="206" spans="1:23" x14ac:dyDescent="0.2">
      <c r="A206" s="1">
        <v>45930</v>
      </c>
      <c r="B206" s="20">
        <f t="shared" si="6"/>
        <v>2025</v>
      </c>
      <c r="C206" s="20">
        <f t="shared" si="7"/>
        <v>9</v>
      </c>
      <c r="D206" t="s">
        <v>4405</v>
      </c>
      <c r="E206" s="49">
        <v>1</v>
      </c>
      <c r="F206" t="s">
        <v>4406</v>
      </c>
      <c r="G206" t="s">
        <v>21</v>
      </c>
      <c r="H206" t="s">
        <v>100</v>
      </c>
      <c r="I206" s="13">
        <v>52000</v>
      </c>
      <c r="J206" s="13">
        <v>47000</v>
      </c>
      <c r="K206" s="13">
        <f>IF(J206&lt;'Mapa Oficinas'!$I$21,0,IF(J206&gt;'Mapa Oficinas'!$I$20,0,1))</f>
        <v>0</v>
      </c>
      <c r="L206" t="s">
        <v>23</v>
      </c>
      <c r="M206" t="s">
        <v>23</v>
      </c>
      <c r="N206" t="s">
        <v>4407</v>
      </c>
      <c r="O206" t="s">
        <v>4408</v>
      </c>
      <c r="P206" t="s">
        <v>34</v>
      </c>
      <c r="Q206">
        <v>2</v>
      </c>
      <c r="R206" t="s">
        <v>167</v>
      </c>
      <c r="S206" t="s">
        <v>28</v>
      </c>
      <c r="T206" t="str">
        <f>VLOOKUP(S206,'Mapa Oficinas'!$H$7:$I$16,2,FALSE)</f>
        <v>CB</v>
      </c>
      <c r="U206" t="s">
        <v>29</v>
      </c>
      <c r="V206" t="str">
        <f>VLOOKUP($R206,'Mapa Oficinas'!$A$7:$C$46,2,FALSE)</f>
        <v>Interior - Santa Fe</v>
      </c>
      <c r="W206" t="str">
        <f>VLOOKUP($R206,'Mapa Oficinas'!$A$7:$C$46,3,FALSE)</f>
        <v>Capital Santa Fe</v>
      </c>
    </row>
    <row r="207" spans="1:23" x14ac:dyDescent="0.2">
      <c r="A207" s="1">
        <v>46000</v>
      </c>
      <c r="B207" s="20">
        <f t="shared" si="6"/>
        <v>2025</v>
      </c>
      <c r="C207" s="20">
        <f t="shared" si="7"/>
        <v>12</v>
      </c>
      <c r="D207" t="s">
        <v>5668</v>
      </c>
      <c r="E207" s="49">
        <v>1</v>
      </c>
      <c r="F207" t="s">
        <v>5669</v>
      </c>
      <c r="G207" t="s">
        <v>21</v>
      </c>
      <c r="H207" t="s">
        <v>37</v>
      </c>
      <c r="I207" s="13">
        <v>50000</v>
      </c>
      <c r="J207" s="13">
        <v>47000</v>
      </c>
      <c r="K207" s="13">
        <f>IF(J207&lt;'Mapa Oficinas'!$I$21,0,IF(J207&gt;'Mapa Oficinas'!$I$20,0,1))</f>
        <v>0</v>
      </c>
      <c r="L207" t="s">
        <v>23</v>
      </c>
      <c r="M207" t="s">
        <v>23</v>
      </c>
      <c r="N207" t="s">
        <v>5670</v>
      </c>
      <c r="O207" t="s">
        <v>440</v>
      </c>
      <c r="P207" t="s">
        <v>45</v>
      </c>
      <c r="Q207">
        <v>2</v>
      </c>
      <c r="R207" t="s">
        <v>135</v>
      </c>
      <c r="S207" t="s">
        <v>28</v>
      </c>
      <c r="T207" t="str">
        <f>VLOOKUP(S207,'Mapa Oficinas'!$H$7:$I$16,2,FALSE)</f>
        <v>CB</v>
      </c>
      <c r="U207" t="s">
        <v>29</v>
      </c>
      <c r="V207" t="str">
        <f>VLOOKUP($R207,'Mapa Oficinas'!$A$7:$C$46,2,FALSE)</f>
        <v>CABA</v>
      </c>
      <c r="W207" t="str">
        <f>VLOOKUP($R207,'Mapa Oficinas'!$A$7:$C$46,3,FALSE)</f>
        <v>Recoleta</v>
      </c>
    </row>
    <row r="208" spans="1:23" x14ac:dyDescent="0.2">
      <c r="A208" s="1">
        <v>46034</v>
      </c>
      <c r="B208" s="20">
        <f t="shared" si="6"/>
        <v>2026</v>
      </c>
      <c r="C208" s="20">
        <f t="shared" si="7"/>
        <v>1</v>
      </c>
      <c r="D208" t="s">
        <v>3134</v>
      </c>
      <c r="E208" s="49">
        <v>1</v>
      </c>
      <c r="F208" t="s">
        <v>3135</v>
      </c>
      <c r="G208" t="s">
        <v>21</v>
      </c>
      <c r="H208" t="s">
        <v>37</v>
      </c>
      <c r="I208" s="13">
        <v>63000</v>
      </c>
      <c r="J208" s="13">
        <v>47000</v>
      </c>
      <c r="K208" s="13">
        <f>IF(J208&lt;'Mapa Oficinas'!$I$21,0,IF(J208&gt;'Mapa Oficinas'!$I$20,0,1))</f>
        <v>0</v>
      </c>
      <c r="L208" t="s">
        <v>23</v>
      </c>
      <c r="M208" t="s">
        <v>23</v>
      </c>
      <c r="N208" t="s">
        <v>3136</v>
      </c>
      <c r="O208" t="s">
        <v>440</v>
      </c>
      <c r="P208" t="s">
        <v>45</v>
      </c>
      <c r="Q208">
        <v>2</v>
      </c>
      <c r="R208" t="s">
        <v>67</v>
      </c>
      <c r="S208" t="s">
        <v>28</v>
      </c>
      <c r="T208" t="str">
        <f>VLOOKUP(S208,'Mapa Oficinas'!$H$7:$I$16,2,FALSE)</f>
        <v>CB</v>
      </c>
      <c r="U208" t="s">
        <v>29</v>
      </c>
      <c r="V208" t="str">
        <f>VLOOKUP($R208,'Mapa Oficinas'!$A$7:$C$46,2,FALSE)</f>
        <v>CABA</v>
      </c>
      <c r="W208" t="str">
        <f>VLOOKUP($R208,'Mapa Oficinas'!$A$7:$C$46,3,FALSE)</f>
        <v>Barrio Parque</v>
      </c>
    </row>
    <row r="209" spans="1:23" x14ac:dyDescent="0.2">
      <c r="A209" s="1">
        <v>46052</v>
      </c>
      <c r="B209" s="20">
        <f t="shared" si="6"/>
        <v>2026</v>
      </c>
      <c r="C209" s="20">
        <f t="shared" si="7"/>
        <v>1</v>
      </c>
      <c r="D209" t="s">
        <v>6465</v>
      </c>
      <c r="E209" s="49">
        <v>1</v>
      </c>
      <c r="F209" t="s">
        <v>6466</v>
      </c>
      <c r="G209" t="s">
        <v>21</v>
      </c>
      <c r="H209" t="s">
        <v>70</v>
      </c>
      <c r="I209" s="13">
        <v>48000</v>
      </c>
      <c r="J209" s="13">
        <v>47000</v>
      </c>
      <c r="K209" s="13">
        <f>IF(J209&lt;'Mapa Oficinas'!$I$21,0,IF(J209&gt;'Mapa Oficinas'!$I$20,0,1))</f>
        <v>0</v>
      </c>
      <c r="L209" t="s">
        <v>23</v>
      </c>
      <c r="M209" t="s">
        <v>23</v>
      </c>
      <c r="N209" t="s">
        <v>6467</v>
      </c>
      <c r="O209" t="s">
        <v>6468</v>
      </c>
      <c r="P209" t="s">
        <v>45</v>
      </c>
      <c r="Q209">
        <v>2</v>
      </c>
      <c r="R209" t="s">
        <v>73</v>
      </c>
      <c r="S209" t="s">
        <v>28</v>
      </c>
      <c r="T209" t="str">
        <f>VLOOKUP(S209,'Mapa Oficinas'!$H$7:$I$16,2,FALSE)</f>
        <v>CB</v>
      </c>
      <c r="U209" t="s">
        <v>29</v>
      </c>
      <c r="V209" t="str">
        <f>VLOOKUP($R209,'Mapa Oficinas'!$A$7:$C$46,2,FALSE)</f>
        <v>Interior - Salta</v>
      </c>
      <c r="W209" t="str">
        <f>VLOOKUP($R209,'Mapa Oficinas'!$A$7:$C$46,3,FALSE)</f>
        <v>San Lorenzo Chico</v>
      </c>
    </row>
    <row r="210" spans="1:23" x14ac:dyDescent="0.2">
      <c r="A210" s="1">
        <v>46083</v>
      </c>
      <c r="B210" s="20">
        <f t="shared" si="6"/>
        <v>2026</v>
      </c>
      <c r="C210" s="20">
        <f t="shared" si="7"/>
        <v>3</v>
      </c>
      <c r="D210" t="s">
        <v>6925</v>
      </c>
      <c r="E210" s="49">
        <v>1</v>
      </c>
      <c r="F210" t="s">
        <v>6926</v>
      </c>
      <c r="G210" t="s">
        <v>21</v>
      </c>
      <c r="H210" t="s">
        <v>37</v>
      </c>
      <c r="I210" s="13">
        <v>55000</v>
      </c>
      <c r="J210" s="13">
        <v>47000</v>
      </c>
      <c r="K210" s="13">
        <f>IF(J210&lt;'Mapa Oficinas'!$I$21,0,IF(J210&gt;'Mapa Oficinas'!$I$20,0,1))</f>
        <v>0</v>
      </c>
      <c r="L210" t="s">
        <v>23</v>
      </c>
      <c r="M210" t="s">
        <v>23</v>
      </c>
      <c r="N210" t="s">
        <v>6927</v>
      </c>
      <c r="O210" t="s">
        <v>6928</v>
      </c>
      <c r="P210" t="s">
        <v>26</v>
      </c>
      <c r="Q210">
        <v>2</v>
      </c>
      <c r="R210" t="s">
        <v>151</v>
      </c>
      <c r="S210" t="s">
        <v>28</v>
      </c>
      <c r="T210" t="str">
        <f>VLOOKUP(S210,'Mapa Oficinas'!$H$7:$I$16,2,FALSE)</f>
        <v>CB</v>
      </c>
      <c r="U210" t="s">
        <v>29</v>
      </c>
      <c r="V210" t="str">
        <f>VLOOKUP($R210,'Mapa Oficinas'!$A$7:$C$46,2,FALSE)</f>
        <v>Interior - Mendoza</v>
      </c>
      <c r="W210" t="str">
        <f>VLOOKUP($R210,'Mapa Oficinas'!$A$7:$C$46,3,FALSE)</f>
        <v>Capital Mendoza</v>
      </c>
    </row>
    <row r="211" spans="1:23" x14ac:dyDescent="0.2">
      <c r="A211" s="1">
        <v>46094</v>
      </c>
      <c r="B211" s="20">
        <f t="shared" si="6"/>
        <v>2026</v>
      </c>
      <c r="C211" s="20">
        <f t="shared" si="7"/>
        <v>3</v>
      </c>
      <c r="D211" t="s">
        <v>7156</v>
      </c>
      <c r="E211" s="49">
        <v>1</v>
      </c>
      <c r="F211" t="s">
        <v>7157</v>
      </c>
      <c r="G211" t="s">
        <v>21</v>
      </c>
      <c r="H211" t="s">
        <v>37</v>
      </c>
      <c r="I211" s="13">
        <v>49900</v>
      </c>
      <c r="J211" s="13">
        <v>47000</v>
      </c>
      <c r="K211" s="13">
        <f>IF(J211&lt;'Mapa Oficinas'!$I$21,0,IF(J211&gt;'Mapa Oficinas'!$I$20,0,1))</f>
        <v>0</v>
      </c>
      <c r="L211" t="s">
        <v>23</v>
      </c>
      <c r="M211" t="s">
        <v>23</v>
      </c>
      <c r="N211" t="s">
        <v>7158</v>
      </c>
      <c r="O211" t="s">
        <v>3821</v>
      </c>
      <c r="P211" t="s">
        <v>61</v>
      </c>
      <c r="Q211">
        <v>2</v>
      </c>
      <c r="R211" t="s">
        <v>56</v>
      </c>
      <c r="S211" t="s">
        <v>28</v>
      </c>
      <c r="T211" t="str">
        <f>VLOOKUP(S211,'Mapa Oficinas'!$H$7:$I$16,2,FALSE)</f>
        <v>CB</v>
      </c>
      <c r="U211" t="s">
        <v>29</v>
      </c>
      <c r="V211" t="str">
        <f>VLOOKUP($R211,'Mapa Oficinas'!$A$7:$C$46,2,FALSE)</f>
        <v>Zona Norte (GBA)</v>
      </c>
      <c r="W211" t="str">
        <f>VLOOKUP($R211,'Mapa Oficinas'!$A$7:$C$46,3,FALSE)</f>
        <v>Vicente López</v>
      </c>
    </row>
    <row r="212" spans="1:23" x14ac:dyDescent="0.2">
      <c r="A212" s="1">
        <v>46112</v>
      </c>
      <c r="B212" s="20">
        <f t="shared" si="6"/>
        <v>2026</v>
      </c>
      <c r="C212" s="20">
        <f t="shared" si="7"/>
        <v>3</v>
      </c>
      <c r="D212" t="s">
        <v>7549</v>
      </c>
      <c r="E212" s="49">
        <v>1</v>
      </c>
      <c r="F212" t="s">
        <v>7550</v>
      </c>
      <c r="G212" t="s">
        <v>21</v>
      </c>
      <c r="H212" t="s">
        <v>37</v>
      </c>
      <c r="I212" s="13">
        <v>47000</v>
      </c>
      <c r="J212" s="13">
        <v>47000</v>
      </c>
      <c r="K212" s="13">
        <f>IF(J212&lt;'Mapa Oficinas'!$I$21,0,IF(J212&gt;'Mapa Oficinas'!$I$20,0,1))</f>
        <v>0</v>
      </c>
      <c r="L212" t="s">
        <v>23</v>
      </c>
      <c r="M212" t="s">
        <v>23</v>
      </c>
      <c r="N212" t="s">
        <v>7551</v>
      </c>
      <c r="O212" t="s">
        <v>1109</v>
      </c>
      <c r="P212" t="s">
        <v>45</v>
      </c>
      <c r="Q212">
        <v>2</v>
      </c>
      <c r="R212" t="s">
        <v>1024</v>
      </c>
      <c r="S212" t="s">
        <v>28</v>
      </c>
      <c r="T212" t="str">
        <f>VLOOKUP(S212,'Mapa Oficinas'!$H$7:$I$16,2,FALSE)</f>
        <v>CB</v>
      </c>
      <c r="U212" t="s">
        <v>29</v>
      </c>
      <c r="V212" t="str">
        <f>VLOOKUP($R212,'Mapa Oficinas'!$A$7:$C$46,2,FALSE)</f>
        <v>CABA</v>
      </c>
      <c r="W212" t="str">
        <f>VLOOKUP($R212,'Mapa Oficinas'!$A$7:$C$46,3,FALSE)</f>
        <v>Puerto Madero</v>
      </c>
    </row>
    <row r="213" spans="1:23" x14ac:dyDescent="0.2">
      <c r="A213" s="1">
        <v>45838</v>
      </c>
      <c r="B213" s="20">
        <f t="shared" si="6"/>
        <v>2025</v>
      </c>
      <c r="C213" s="20">
        <f t="shared" si="7"/>
        <v>6</v>
      </c>
      <c r="D213" t="s">
        <v>2749</v>
      </c>
      <c r="E213" s="49">
        <v>1</v>
      </c>
      <c r="F213" t="s">
        <v>2750</v>
      </c>
      <c r="G213" t="s">
        <v>21</v>
      </c>
      <c r="H213" t="s">
        <v>100</v>
      </c>
      <c r="I213" s="13">
        <v>50000</v>
      </c>
      <c r="J213" s="13">
        <v>47500</v>
      </c>
      <c r="K213" s="13">
        <f>IF(J213&lt;'Mapa Oficinas'!$I$21,0,IF(J213&gt;'Mapa Oficinas'!$I$20,0,1))</f>
        <v>0</v>
      </c>
      <c r="L213" t="s">
        <v>23</v>
      </c>
      <c r="M213" t="s">
        <v>23</v>
      </c>
      <c r="N213" t="s">
        <v>2751</v>
      </c>
      <c r="O213" t="s">
        <v>2752</v>
      </c>
      <c r="P213" t="s">
        <v>61</v>
      </c>
      <c r="Q213">
        <v>2</v>
      </c>
      <c r="R213" t="s">
        <v>103</v>
      </c>
      <c r="S213" t="s">
        <v>200</v>
      </c>
      <c r="T213" t="str">
        <f>VLOOKUP(S213,'Mapa Oficinas'!$H$7:$I$16,2,FALSE)</f>
        <v>Otra Red Captación</v>
      </c>
      <c r="U213" t="s">
        <v>29</v>
      </c>
      <c r="V213" t="str">
        <f>VLOOKUP($R213,'Mapa Oficinas'!$A$7:$C$46,2,FALSE)</f>
        <v>Zona Sur (GBA)</v>
      </c>
      <c r="W213" t="str">
        <f>VLOOKUP($R213,'Mapa Oficinas'!$A$7:$C$46,3,FALSE)</f>
        <v>La Plata</v>
      </c>
    </row>
    <row r="214" spans="1:23" x14ac:dyDescent="0.2">
      <c r="A214" s="1">
        <v>45992</v>
      </c>
      <c r="B214" s="20">
        <f t="shared" si="6"/>
        <v>2025</v>
      </c>
      <c r="C214" s="20">
        <f t="shared" si="7"/>
        <v>12</v>
      </c>
      <c r="D214" t="s">
        <v>5468</v>
      </c>
      <c r="E214" s="49">
        <v>1</v>
      </c>
      <c r="F214" t="s">
        <v>5469</v>
      </c>
      <c r="G214" t="s">
        <v>21</v>
      </c>
      <c r="H214" t="s">
        <v>37</v>
      </c>
      <c r="I214" s="13">
        <v>50000</v>
      </c>
      <c r="J214" s="13">
        <v>47500</v>
      </c>
      <c r="K214" s="13">
        <f>IF(J214&lt;'Mapa Oficinas'!$I$21,0,IF(J214&gt;'Mapa Oficinas'!$I$20,0,1))</f>
        <v>0</v>
      </c>
      <c r="L214" t="s">
        <v>23</v>
      </c>
      <c r="M214" t="s">
        <v>23</v>
      </c>
      <c r="N214" t="s">
        <v>5470</v>
      </c>
      <c r="O214" t="s">
        <v>5471</v>
      </c>
      <c r="P214" t="s">
        <v>45</v>
      </c>
      <c r="Q214">
        <v>2</v>
      </c>
      <c r="R214" t="s">
        <v>151</v>
      </c>
      <c r="S214" t="s">
        <v>28</v>
      </c>
      <c r="T214" t="str">
        <f>VLOOKUP(S214,'Mapa Oficinas'!$H$7:$I$16,2,FALSE)</f>
        <v>CB</v>
      </c>
      <c r="U214" t="s">
        <v>29</v>
      </c>
      <c r="V214" t="str">
        <f>VLOOKUP($R214,'Mapa Oficinas'!$A$7:$C$46,2,FALSE)</f>
        <v>Interior - Mendoza</v>
      </c>
      <c r="W214" t="str">
        <f>VLOOKUP($R214,'Mapa Oficinas'!$A$7:$C$46,3,FALSE)</f>
        <v>Capital Mendoza</v>
      </c>
    </row>
    <row r="215" spans="1:23" x14ac:dyDescent="0.2">
      <c r="A215" s="1">
        <v>45922</v>
      </c>
      <c r="B215" s="20">
        <f t="shared" si="6"/>
        <v>2025</v>
      </c>
      <c r="C215" s="20">
        <f t="shared" si="7"/>
        <v>9</v>
      </c>
      <c r="D215" t="s">
        <v>360</v>
      </c>
      <c r="E215" s="49">
        <v>1</v>
      </c>
      <c r="F215" t="s">
        <v>361</v>
      </c>
      <c r="G215" t="s">
        <v>21</v>
      </c>
      <c r="H215" t="s">
        <v>37</v>
      </c>
      <c r="I215" s="13">
        <v>44880</v>
      </c>
      <c r="J215" s="13">
        <v>47550</v>
      </c>
      <c r="K215" s="13">
        <f>IF(J215&lt;'Mapa Oficinas'!$I$21,0,IF(J215&gt;'Mapa Oficinas'!$I$20,0,1))</f>
        <v>0</v>
      </c>
      <c r="L215" t="s">
        <v>23</v>
      </c>
      <c r="M215" t="s">
        <v>23</v>
      </c>
      <c r="N215" t="s">
        <v>363</v>
      </c>
      <c r="O215" t="s">
        <v>364</v>
      </c>
      <c r="P215" t="s">
        <v>26</v>
      </c>
      <c r="Q215">
        <v>2</v>
      </c>
      <c r="R215" t="s">
        <v>110</v>
      </c>
      <c r="S215" t="s">
        <v>79</v>
      </c>
      <c r="T215" t="str">
        <f>VLOOKUP(S215,'Mapa Oficinas'!$H$7:$I$16,2,FALSE)</f>
        <v>CB</v>
      </c>
      <c r="U215" t="s">
        <v>29</v>
      </c>
      <c r="V215" t="str">
        <f>VLOOKUP($R215,'Mapa Oficinas'!$A$7:$C$46,2,FALSE)</f>
        <v>Zona Norte (GBA)</v>
      </c>
      <c r="W215" t="str">
        <f>VLOOKUP($R215,'Mapa Oficinas'!$A$7:$C$46,3,FALSE)</f>
        <v>Nordelta</v>
      </c>
    </row>
    <row r="216" spans="1:23" x14ac:dyDescent="0.2">
      <c r="A216" s="1">
        <v>45992</v>
      </c>
      <c r="B216" s="20">
        <f t="shared" si="6"/>
        <v>2025</v>
      </c>
      <c r="C216" s="20">
        <f t="shared" si="7"/>
        <v>12</v>
      </c>
      <c r="D216" t="s">
        <v>5472</v>
      </c>
      <c r="E216" s="49">
        <v>1</v>
      </c>
      <c r="F216" t="s">
        <v>5473</v>
      </c>
      <c r="G216" t="s">
        <v>21</v>
      </c>
      <c r="H216" t="s">
        <v>37</v>
      </c>
      <c r="I216" s="13">
        <v>50000</v>
      </c>
      <c r="J216" s="13">
        <v>48000</v>
      </c>
      <c r="K216" s="13">
        <f>IF(J216&lt;'Mapa Oficinas'!$I$21,0,IF(J216&gt;'Mapa Oficinas'!$I$20,0,1))</f>
        <v>0</v>
      </c>
      <c r="L216" t="s">
        <v>23</v>
      </c>
      <c r="M216" t="s">
        <v>23</v>
      </c>
      <c r="N216" t="s">
        <v>5474</v>
      </c>
      <c r="O216" t="s">
        <v>5475</v>
      </c>
      <c r="P216" t="s">
        <v>45</v>
      </c>
      <c r="Q216">
        <v>1</v>
      </c>
      <c r="R216" t="s">
        <v>151</v>
      </c>
      <c r="S216" t="s">
        <v>152</v>
      </c>
      <c r="T216" t="str">
        <f>VLOOKUP(S216,'Mapa Oficinas'!$H$7:$I$16,2,FALSE)</f>
        <v>Otra Red Captación</v>
      </c>
      <c r="U216" t="s">
        <v>29</v>
      </c>
      <c r="V216" t="str">
        <f>VLOOKUP($R216,'Mapa Oficinas'!$A$7:$C$46,2,FALSE)</f>
        <v>Interior - Mendoza</v>
      </c>
      <c r="W216" t="str">
        <f>VLOOKUP($R216,'Mapa Oficinas'!$A$7:$C$46,3,FALSE)</f>
        <v>Capital Mendoza</v>
      </c>
    </row>
    <row r="217" spans="1:23" x14ac:dyDescent="0.2">
      <c r="A217" s="1">
        <v>45762</v>
      </c>
      <c r="B217" s="20">
        <f t="shared" si="6"/>
        <v>2025</v>
      </c>
      <c r="C217" s="20">
        <f t="shared" si="7"/>
        <v>4</v>
      </c>
      <c r="D217" t="s">
        <v>1432</v>
      </c>
      <c r="E217" s="49">
        <v>1</v>
      </c>
      <c r="F217" t="s">
        <v>1433</v>
      </c>
      <c r="G217" t="s">
        <v>21</v>
      </c>
      <c r="H217" t="s">
        <v>100</v>
      </c>
      <c r="I217" s="13">
        <v>49000</v>
      </c>
      <c r="J217" s="13">
        <v>48000</v>
      </c>
      <c r="K217" s="13">
        <f>IF(J217&lt;'Mapa Oficinas'!$I$21,0,IF(J217&gt;'Mapa Oficinas'!$I$20,0,1))</f>
        <v>0</v>
      </c>
      <c r="L217" t="s">
        <v>23</v>
      </c>
      <c r="M217" t="s">
        <v>23</v>
      </c>
      <c r="N217" t="s">
        <v>1434</v>
      </c>
      <c r="O217" t="s">
        <v>1435</v>
      </c>
      <c r="P217" t="s">
        <v>26</v>
      </c>
      <c r="Q217">
        <v>2</v>
      </c>
      <c r="R217" t="s">
        <v>121</v>
      </c>
      <c r="S217" t="s">
        <v>79</v>
      </c>
      <c r="T217" t="str">
        <f>VLOOKUP(S217,'Mapa Oficinas'!$H$7:$I$16,2,FALSE)</f>
        <v>CB</v>
      </c>
      <c r="U217" t="s">
        <v>29</v>
      </c>
      <c r="V217" t="str">
        <f>VLOOKUP($R217,'Mapa Oficinas'!$A$7:$C$46,2,FALSE)</f>
        <v>Interior - Río Negro</v>
      </c>
      <c r="W217" t="str">
        <f>VLOOKUP($R217,'Mapa Oficinas'!$A$7:$C$46,3,FALSE)</f>
        <v>Bariloche</v>
      </c>
    </row>
    <row r="218" spans="1:23" x14ac:dyDescent="0.2">
      <c r="A218" s="1">
        <v>45838</v>
      </c>
      <c r="B218" s="20">
        <f t="shared" si="6"/>
        <v>2025</v>
      </c>
      <c r="C218" s="20">
        <f t="shared" si="7"/>
        <v>6</v>
      </c>
      <c r="D218" t="s">
        <v>2753</v>
      </c>
      <c r="E218" s="49">
        <v>1</v>
      </c>
      <c r="F218" t="s">
        <v>2754</v>
      </c>
      <c r="G218" t="s">
        <v>21</v>
      </c>
      <c r="H218" t="s">
        <v>70</v>
      </c>
      <c r="I218" s="13">
        <v>54000</v>
      </c>
      <c r="J218" s="13">
        <v>48000</v>
      </c>
      <c r="K218" s="13">
        <f>IF(J218&lt;'Mapa Oficinas'!$I$21,0,IF(J218&gt;'Mapa Oficinas'!$I$20,0,1))</f>
        <v>0</v>
      </c>
      <c r="L218" t="s">
        <v>23</v>
      </c>
      <c r="M218" t="s">
        <v>23</v>
      </c>
      <c r="N218" t="s">
        <v>2755</v>
      </c>
      <c r="O218" t="s">
        <v>72</v>
      </c>
      <c r="P218" t="s">
        <v>45</v>
      </c>
      <c r="Q218">
        <v>2</v>
      </c>
      <c r="R218" t="s">
        <v>73</v>
      </c>
      <c r="S218" t="s">
        <v>79</v>
      </c>
      <c r="T218" t="str">
        <f>VLOOKUP(S218,'Mapa Oficinas'!$H$7:$I$16,2,FALSE)</f>
        <v>CB</v>
      </c>
      <c r="U218" t="s">
        <v>29</v>
      </c>
      <c r="V218" t="str">
        <f>VLOOKUP($R218,'Mapa Oficinas'!$A$7:$C$46,2,FALSE)</f>
        <v>Interior - Salta</v>
      </c>
      <c r="W218" t="str">
        <f>VLOOKUP($R218,'Mapa Oficinas'!$A$7:$C$46,3,FALSE)</f>
        <v>San Lorenzo Chico</v>
      </c>
    </row>
    <row r="219" spans="1:23" x14ac:dyDescent="0.2">
      <c r="A219" s="1">
        <v>45992</v>
      </c>
      <c r="B219" s="20">
        <f t="shared" si="6"/>
        <v>2025</v>
      </c>
      <c r="C219" s="20">
        <f t="shared" si="7"/>
        <v>12</v>
      </c>
      <c r="D219" t="s">
        <v>5482</v>
      </c>
      <c r="E219" s="49">
        <v>1</v>
      </c>
      <c r="F219" t="s">
        <v>5483</v>
      </c>
      <c r="G219" t="s">
        <v>21</v>
      </c>
      <c r="H219" t="s">
        <v>81</v>
      </c>
      <c r="I219" s="13">
        <v>48000</v>
      </c>
      <c r="J219" s="13">
        <v>48000</v>
      </c>
      <c r="K219" s="13">
        <f>IF(J219&lt;'Mapa Oficinas'!$I$21,0,IF(J219&gt;'Mapa Oficinas'!$I$20,0,1))</f>
        <v>0</v>
      </c>
      <c r="L219" t="s">
        <v>23</v>
      </c>
      <c r="M219" t="s">
        <v>23</v>
      </c>
      <c r="N219" t="s">
        <v>5484</v>
      </c>
      <c r="O219" t="s">
        <v>2346</v>
      </c>
      <c r="P219" t="s">
        <v>14</v>
      </c>
      <c r="Q219">
        <v>2</v>
      </c>
      <c r="R219" t="s">
        <v>151</v>
      </c>
      <c r="S219" t="s">
        <v>79</v>
      </c>
      <c r="T219" t="str">
        <f>VLOOKUP(S219,'Mapa Oficinas'!$H$7:$I$16,2,FALSE)</f>
        <v>CB</v>
      </c>
      <c r="U219" t="s">
        <v>29</v>
      </c>
      <c r="V219" t="str">
        <f>VLOOKUP($R219,'Mapa Oficinas'!$A$7:$C$46,2,FALSE)</f>
        <v>Interior - Mendoza</v>
      </c>
      <c r="W219" t="str">
        <f>VLOOKUP($R219,'Mapa Oficinas'!$A$7:$C$46,3,FALSE)</f>
        <v>Capital Mendoza</v>
      </c>
    </row>
    <row r="220" spans="1:23" x14ac:dyDescent="0.2">
      <c r="A220" s="1">
        <v>45694</v>
      </c>
      <c r="B220" s="20">
        <f t="shared" si="6"/>
        <v>2025</v>
      </c>
      <c r="C220" s="20">
        <f t="shared" si="7"/>
        <v>2</v>
      </c>
      <c r="D220" t="s">
        <v>506</v>
      </c>
      <c r="E220" s="49">
        <v>1</v>
      </c>
      <c r="F220" t="s">
        <v>507</v>
      </c>
      <c r="G220" t="s">
        <v>21</v>
      </c>
      <c r="H220" t="s">
        <v>37</v>
      </c>
      <c r="I220" s="13">
        <v>52000</v>
      </c>
      <c r="J220" s="13">
        <v>48000</v>
      </c>
      <c r="K220" s="13">
        <f>IF(J220&lt;'Mapa Oficinas'!$I$21,0,IF(J220&gt;'Mapa Oficinas'!$I$20,0,1))</f>
        <v>0</v>
      </c>
      <c r="L220" t="s">
        <v>23</v>
      </c>
      <c r="M220" t="s">
        <v>23</v>
      </c>
      <c r="N220" t="s">
        <v>508</v>
      </c>
      <c r="O220" t="s">
        <v>329</v>
      </c>
      <c r="P220" t="s">
        <v>26</v>
      </c>
      <c r="Q220">
        <v>2</v>
      </c>
      <c r="R220" t="s">
        <v>183</v>
      </c>
      <c r="S220" t="s">
        <v>28</v>
      </c>
      <c r="T220" t="str">
        <f>VLOOKUP(S220,'Mapa Oficinas'!$H$7:$I$16,2,FALSE)</f>
        <v>CB</v>
      </c>
      <c r="U220" t="s">
        <v>29</v>
      </c>
      <c r="V220" t="str">
        <f>VLOOKUP($R220,'Mapa Oficinas'!$A$7:$C$46,2,FALSE)</f>
        <v>Interior - Neuquén</v>
      </c>
      <c r="W220" t="str">
        <f>VLOOKUP($R220,'Mapa Oficinas'!$A$7:$C$46,3,FALSE)</f>
        <v>Capital Neuquén</v>
      </c>
    </row>
    <row r="221" spans="1:23" x14ac:dyDescent="0.2">
      <c r="A221" s="1">
        <v>45898</v>
      </c>
      <c r="B221" s="20">
        <f t="shared" si="6"/>
        <v>2025</v>
      </c>
      <c r="C221" s="20">
        <f t="shared" si="7"/>
        <v>8</v>
      </c>
      <c r="D221" t="s">
        <v>3856</v>
      </c>
      <c r="E221" s="49">
        <v>1</v>
      </c>
      <c r="F221" t="s">
        <v>3857</v>
      </c>
      <c r="G221" t="s">
        <v>21</v>
      </c>
      <c r="H221" t="s">
        <v>37</v>
      </c>
      <c r="I221" s="13">
        <v>52500</v>
      </c>
      <c r="J221" s="13">
        <v>48000</v>
      </c>
      <c r="K221" s="13">
        <f>IF(J221&lt;'Mapa Oficinas'!$I$21,0,IF(J221&gt;'Mapa Oficinas'!$I$20,0,1))</f>
        <v>0</v>
      </c>
      <c r="L221" t="s">
        <v>23</v>
      </c>
      <c r="M221" t="s">
        <v>23</v>
      </c>
      <c r="N221" t="s">
        <v>3858</v>
      </c>
      <c r="O221" t="s">
        <v>2834</v>
      </c>
      <c r="P221" t="s">
        <v>45</v>
      </c>
      <c r="Q221">
        <v>2</v>
      </c>
      <c r="R221" t="s">
        <v>429</v>
      </c>
      <c r="S221" t="s">
        <v>28</v>
      </c>
      <c r="T221" t="str">
        <f>VLOOKUP(S221,'Mapa Oficinas'!$H$7:$I$16,2,FALSE)</f>
        <v>CB</v>
      </c>
      <c r="U221" t="s">
        <v>29</v>
      </c>
      <c r="V221" t="str">
        <f>VLOOKUP($R221,'Mapa Oficinas'!$A$7:$C$46,2,FALSE)</f>
        <v>Zona Oeste (GBA)</v>
      </c>
      <c r="W221" t="str">
        <f>VLOOKUP($R221,'Mapa Oficinas'!$A$7:$C$46,3,FALSE)</f>
        <v>Parque Leloir</v>
      </c>
    </row>
    <row r="222" spans="1:23" x14ac:dyDescent="0.2">
      <c r="A222" s="1">
        <v>45899</v>
      </c>
      <c r="B222" s="20">
        <f t="shared" si="6"/>
        <v>2025</v>
      </c>
      <c r="C222" s="20">
        <f t="shared" si="7"/>
        <v>8</v>
      </c>
      <c r="D222" t="s">
        <v>3923</v>
      </c>
      <c r="E222" s="49">
        <v>1</v>
      </c>
      <c r="F222" t="s">
        <v>3924</v>
      </c>
      <c r="G222" t="s">
        <v>21</v>
      </c>
      <c r="H222" t="s">
        <v>22</v>
      </c>
      <c r="I222" s="13">
        <v>97900</v>
      </c>
      <c r="J222" s="13">
        <v>48000</v>
      </c>
      <c r="K222" s="13">
        <f>IF(J222&lt;'Mapa Oficinas'!$I$21,0,IF(J222&gt;'Mapa Oficinas'!$I$20,0,1))</f>
        <v>0</v>
      </c>
      <c r="L222" t="s">
        <v>23</v>
      </c>
      <c r="M222" t="s">
        <v>23</v>
      </c>
      <c r="N222" t="s">
        <v>3925</v>
      </c>
      <c r="O222" t="s">
        <v>634</v>
      </c>
      <c r="P222" t="s">
        <v>45</v>
      </c>
      <c r="Q222">
        <v>2</v>
      </c>
      <c r="R222" t="s">
        <v>62</v>
      </c>
      <c r="S222" t="s">
        <v>28</v>
      </c>
      <c r="T222" t="str">
        <f>VLOOKUP(S222,'Mapa Oficinas'!$H$7:$I$16,2,FALSE)</f>
        <v>CB</v>
      </c>
      <c r="U222" t="s">
        <v>29</v>
      </c>
      <c r="V222" t="str">
        <f>VLOOKUP($R222,'Mapa Oficinas'!$A$7:$C$46,2,FALSE)</f>
        <v>CABA</v>
      </c>
      <c r="W222" t="str">
        <f>VLOOKUP($R222,'Mapa Oficinas'!$A$7:$C$46,3,FALSE)</f>
        <v>Villa Urquiza</v>
      </c>
    </row>
    <row r="223" spans="1:23" x14ac:dyDescent="0.2">
      <c r="A223" s="1">
        <v>45938</v>
      </c>
      <c r="B223" s="20">
        <f t="shared" si="6"/>
        <v>2025</v>
      </c>
      <c r="C223" s="20">
        <f t="shared" si="7"/>
        <v>10</v>
      </c>
      <c r="D223" t="s">
        <v>4574</v>
      </c>
      <c r="E223" s="49">
        <v>1</v>
      </c>
      <c r="F223" t="s">
        <v>4575</v>
      </c>
      <c r="G223" t="s">
        <v>21</v>
      </c>
      <c r="H223" t="s">
        <v>37</v>
      </c>
      <c r="I223" s="13">
        <v>50000</v>
      </c>
      <c r="J223" s="13">
        <v>48000</v>
      </c>
      <c r="K223" s="13">
        <f>IF(J223&lt;'Mapa Oficinas'!$I$21,0,IF(J223&gt;'Mapa Oficinas'!$I$20,0,1))</f>
        <v>0</v>
      </c>
      <c r="L223" t="s">
        <v>23</v>
      </c>
      <c r="M223" t="s">
        <v>23</v>
      </c>
      <c r="N223" t="s">
        <v>4576</v>
      </c>
      <c r="O223" t="s">
        <v>2845</v>
      </c>
      <c r="P223" t="s">
        <v>45</v>
      </c>
      <c r="Q223">
        <v>2</v>
      </c>
      <c r="R223" t="s">
        <v>429</v>
      </c>
      <c r="S223" t="s">
        <v>28</v>
      </c>
      <c r="T223" t="str">
        <f>VLOOKUP(S223,'Mapa Oficinas'!$H$7:$I$16,2,FALSE)</f>
        <v>CB</v>
      </c>
      <c r="U223" t="s">
        <v>29</v>
      </c>
      <c r="V223" t="str">
        <f>VLOOKUP($R223,'Mapa Oficinas'!$A$7:$C$46,2,FALSE)</f>
        <v>Zona Oeste (GBA)</v>
      </c>
      <c r="W223" t="str">
        <f>VLOOKUP($R223,'Mapa Oficinas'!$A$7:$C$46,3,FALSE)</f>
        <v>Parque Leloir</v>
      </c>
    </row>
    <row r="224" spans="1:23" x14ac:dyDescent="0.2">
      <c r="A224" s="1">
        <v>45992</v>
      </c>
      <c r="B224" s="20">
        <f t="shared" si="6"/>
        <v>2025</v>
      </c>
      <c r="C224" s="20">
        <f t="shared" si="7"/>
        <v>12</v>
      </c>
      <c r="D224" t="s">
        <v>5476</v>
      </c>
      <c r="E224" s="49">
        <v>1</v>
      </c>
      <c r="F224" t="s">
        <v>5477</v>
      </c>
      <c r="G224" t="s">
        <v>21</v>
      </c>
      <c r="H224" t="s">
        <v>37</v>
      </c>
      <c r="I224" s="13">
        <v>55000</v>
      </c>
      <c r="J224" s="13">
        <v>48000</v>
      </c>
      <c r="K224" s="13">
        <f>IF(J224&lt;'Mapa Oficinas'!$I$21,0,IF(J224&gt;'Mapa Oficinas'!$I$20,0,1))</f>
        <v>0</v>
      </c>
      <c r="L224" t="s">
        <v>23</v>
      </c>
      <c r="M224" t="s">
        <v>23</v>
      </c>
      <c r="N224" t="s">
        <v>5478</v>
      </c>
      <c r="O224" t="s">
        <v>1321</v>
      </c>
      <c r="P224" t="s">
        <v>45</v>
      </c>
      <c r="Q224">
        <v>2</v>
      </c>
      <c r="R224" t="s">
        <v>151</v>
      </c>
      <c r="S224" t="s">
        <v>28</v>
      </c>
      <c r="T224" t="str">
        <f>VLOOKUP(S224,'Mapa Oficinas'!$H$7:$I$16,2,FALSE)</f>
        <v>CB</v>
      </c>
      <c r="U224" t="s">
        <v>29</v>
      </c>
      <c r="V224" t="str">
        <f>VLOOKUP($R224,'Mapa Oficinas'!$A$7:$C$46,2,FALSE)</f>
        <v>Interior - Mendoza</v>
      </c>
      <c r="W224" t="str">
        <f>VLOOKUP($R224,'Mapa Oficinas'!$A$7:$C$46,3,FALSE)</f>
        <v>Capital Mendoza</v>
      </c>
    </row>
    <row r="225" spans="1:23" x14ac:dyDescent="0.2">
      <c r="A225" s="1">
        <v>45992</v>
      </c>
      <c r="B225" s="20">
        <f t="shared" si="6"/>
        <v>2025</v>
      </c>
      <c r="C225" s="20">
        <f t="shared" si="7"/>
        <v>12</v>
      </c>
      <c r="D225" t="s">
        <v>5479</v>
      </c>
      <c r="E225" s="49">
        <v>1</v>
      </c>
      <c r="F225" t="s">
        <v>2983</v>
      </c>
      <c r="G225" t="s">
        <v>21</v>
      </c>
      <c r="H225" t="s">
        <v>37</v>
      </c>
      <c r="I225" s="13">
        <v>48000</v>
      </c>
      <c r="J225" s="13">
        <v>48000</v>
      </c>
      <c r="K225" s="13">
        <f>IF(J225&lt;'Mapa Oficinas'!$I$21,0,IF(J225&gt;'Mapa Oficinas'!$I$20,0,1))</f>
        <v>0</v>
      </c>
      <c r="L225" t="s">
        <v>23</v>
      </c>
      <c r="M225" t="s">
        <v>23</v>
      </c>
      <c r="N225" t="s">
        <v>5480</v>
      </c>
      <c r="O225" t="s">
        <v>5481</v>
      </c>
      <c r="P225" t="s">
        <v>34</v>
      </c>
      <c r="Q225">
        <v>2</v>
      </c>
      <c r="R225" t="s">
        <v>151</v>
      </c>
      <c r="S225" t="s">
        <v>28</v>
      </c>
      <c r="T225" t="str">
        <f>VLOOKUP(S225,'Mapa Oficinas'!$H$7:$I$16,2,FALSE)</f>
        <v>CB</v>
      </c>
      <c r="U225" t="s">
        <v>29</v>
      </c>
      <c r="V225" t="str">
        <f>VLOOKUP($R225,'Mapa Oficinas'!$A$7:$C$46,2,FALSE)</f>
        <v>Interior - Mendoza</v>
      </c>
      <c r="W225" t="str">
        <f>VLOOKUP($R225,'Mapa Oficinas'!$A$7:$C$46,3,FALSE)</f>
        <v>Capital Mendoza</v>
      </c>
    </row>
    <row r="226" spans="1:23" x14ac:dyDescent="0.2">
      <c r="A226" s="1">
        <v>46002</v>
      </c>
      <c r="B226" s="20">
        <f t="shared" si="6"/>
        <v>2025</v>
      </c>
      <c r="C226" s="20">
        <f t="shared" si="7"/>
        <v>12</v>
      </c>
      <c r="D226" t="s">
        <v>5715</v>
      </c>
      <c r="E226" s="49">
        <v>1</v>
      </c>
      <c r="F226" t="s">
        <v>5716</v>
      </c>
      <c r="G226" t="s">
        <v>21</v>
      </c>
      <c r="H226" t="s">
        <v>37</v>
      </c>
      <c r="I226" s="13">
        <v>50000</v>
      </c>
      <c r="J226" s="13">
        <v>48000</v>
      </c>
      <c r="K226" s="13">
        <f>IF(J226&lt;'Mapa Oficinas'!$I$21,0,IF(J226&gt;'Mapa Oficinas'!$I$20,0,1))</f>
        <v>0</v>
      </c>
      <c r="L226" t="s">
        <v>23</v>
      </c>
      <c r="M226" t="s">
        <v>23</v>
      </c>
      <c r="N226" t="s">
        <v>5717</v>
      </c>
      <c r="O226" t="s">
        <v>4126</v>
      </c>
      <c r="P226" t="s">
        <v>45</v>
      </c>
      <c r="Q226">
        <v>2</v>
      </c>
      <c r="R226" t="s">
        <v>135</v>
      </c>
      <c r="S226" t="s">
        <v>28</v>
      </c>
      <c r="T226" t="str">
        <f>VLOOKUP(S226,'Mapa Oficinas'!$H$7:$I$16,2,FALSE)</f>
        <v>CB</v>
      </c>
      <c r="U226" t="s">
        <v>29</v>
      </c>
      <c r="V226" t="str">
        <f>VLOOKUP($R226,'Mapa Oficinas'!$A$7:$C$46,2,FALSE)</f>
        <v>CABA</v>
      </c>
      <c r="W226" t="str">
        <f>VLOOKUP($R226,'Mapa Oficinas'!$A$7:$C$46,3,FALSE)</f>
        <v>Recoleta</v>
      </c>
    </row>
    <row r="227" spans="1:23" x14ac:dyDescent="0.2">
      <c r="A227" s="1">
        <v>46010</v>
      </c>
      <c r="B227" s="20">
        <f t="shared" si="6"/>
        <v>2025</v>
      </c>
      <c r="C227" s="20">
        <f t="shared" si="7"/>
        <v>12</v>
      </c>
      <c r="D227" t="s">
        <v>5888</v>
      </c>
      <c r="E227" s="49">
        <v>1</v>
      </c>
      <c r="F227" t="s">
        <v>5889</v>
      </c>
      <c r="G227" t="s">
        <v>21</v>
      </c>
      <c r="H227" t="s">
        <v>37</v>
      </c>
      <c r="I227" s="13">
        <v>49000</v>
      </c>
      <c r="J227" s="13">
        <v>48200</v>
      </c>
      <c r="K227" s="13">
        <f>IF(J227&lt;'Mapa Oficinas'!$I$21,0,IF(J227&gt;'Mapa Oficinas'!$I$20,0,1))</f>
        <v>0</v>
      </c>
      <c r="L227" t="s">
        <v>23</v>
      </c>
      <c r="M227" t="s">
        <v>23</v>
      </c>
      <c r="N227" t="s">
        <v>5890</v>
      </c>
      <c r="O227" t="s">
        <v>519</v>
      </c>
      <c r="P227" t="s">
        <v>45</v>
      </c>
      <c r="Q227">
        <v>2</v>
      </c>
      <c r="R227" t="s">
        <v>372</v>
      </c>
      <c r="S227" t="s">
        <v>28</v>
      </c>
      <c r="T227" t="str">
        <f>VLOOKUP(S227,'Mapa Oficinas'!$H$7:$I$16,2,FALSE)</f>
        <v>CB</v>
      </c>
      <c r="U227" t="s">
        <v>29</v>
      </c>
      <c r="V227" t="str">
        <f>VLOOKUP($R227,'Mapa Oficinas'!$A$7:$C$46,2,FALSE)</f>
        <v>CABA</v>
      </c>
      <c r="W227" t="str">
        <f>VLOOKUP($R227,'Mapa Oficinas'!$A$7:$C$46,3,FALSE)</f>
        <v>Caballito</v>
      </c>
    </row>
    <row r="228" spans="1:23" x14ac:dyDescent="0.2">
      <c r="A228" s="1">
        <v>45763</v>
      </c>
      <c r="B228" s="20">
        <f t="shared" si="6"/>
        <v>2025</v>
      </c>
      <c r="C228" s="20">
        <f t="shared" si="7"/>
        <v>4</v>
      </c>
      <c r="D228" t="s">
        <v>1473</v>
      </c>
      <c r="E228" s="49">
        <v>1</v>
      </c>
      <c r="F228" t="s">
        <v>1474</v>
      </c>
      <c r="G228" t="s">
        <v>21</v>
      </c>
      <c r="H228" t="s">
        <v>22</v>
      </c>
      <c r="I228" s="13">
        <v>48500</v>
      </c>
      <c r="J228" s="13">
        <v>48500</v>
      </c>
      <c r="K228" s="13">
        <f>IF(J228&lt;'Mapa Oficinas'!$I$21,0,IF(J228&gt;'Mapa Oficinas'!$I$20,0,1))</f>
        <v>0</v>
      </c>
      <c r="L228" t="s">
        <v>23</v>
      </c>
      <c r="M228" t="s">
        <v>23</v>
      </c>
      <c r="N228" t="s">
        <v>1475</v>
      </c>
      <c r="O228" t="s">
        <v>573</v>
      </c>
      <c r="P228" t="s">
        <v>26</v>
      </c>
      <c r="Q228">
        <v>2</v>
      </c>
      <c r="R228" t="s">
        <v>321</v>
      </c>
      <c r="S228" t="s">
        <v>79</v>
      </c>
      <c r="T228" t="str">
        <f>VLOOKUP(S228,'Mapa Oficinas'!$H$7:$I$16,2,FALSE)</f>
        <v>CB</v>
      </c>
      <c r="U228" t="s">
        <v>29</v>
      </c>
      <c r="V228" t="str">
        <f>VLOOKUP($R228,'Mapa Oficinas'!$A$7:$C$46,2,FALSE)</f>
        <v>CABA</v>
      </c>
      <c r="W228" t="str">
        <f>VLOOKUP($R228,'Mapa Oficinas'!$A$7:$C$46,3,FALSE)</f>
        <v>Palermo</v>
      </c>
    </row>
    <row r="229" spans="1:23" x14ac:dyDescent="0.2">
      <c r="A229" s="1">
        <v>45859</v>
      </c>
      <c r="B229" s="20">
        <f t="shared" si="6"/>
        <v>2025</v>
      </c>
      <c r="C229" s="20">
        <f t="shared" si="7"/>
        <v>7</v>
      </c>
      <c r="D229" t="s">
        <v>3132</v>
      </c>
      <c r="E229" s="49">
        <v>1</v>
      </c>
      <c r="F229" t="s">
        <v>2878</v>
      </c>
      <c r="G229" t="s">
        <v>21</v>
      </c>
      <c r="H229" t="s">
        <v>37</v>
      </c>
      <c r="I229" s="13">
        <v>51500</v>
      </c>
      <c r="J229" s="13">
        <v>48500</v>
      </c>
      <c r="K229" s="13">
        <f>IF(J229&lt;'Mapa Oficinas'!$I$21,0,IF(J229&gt;'Mapa Oficinas'!$I$20,0,1))</f>
        <v>0</v>
      </c>
      <c r="L229" t="s">
        <v>23</v>
      </c>
      <c r="M229" t="s">
        <v>23</v>
      </c>
      <c r="N229" t="s">
        <v>3133</v>
      </c>
      <c r="O229" t="s">
        <v>50</v>
      </c>
      <c r="P229" t="s">
        <v>45</v>
      </c>
      <c r="Q229">
        <v>2</v>
      </c>
      <c r="R229" t="s">
        <v>135</v>
      </c>
      <c r="S229" t="s">
        <v>200</v>
      </c>
      <c r="T229" t="str">
        <f>VLOOKUP(S229,'Mapa Oficinas'!$H$7:$I$16,2,FALSE)</f>
        <v>Otra Red Captación</v>
      </c>
      <c r="U229" t="s">
        <v>29</v>
      </c>
      <c r="V229" t="str">
        <f>VLOOKUP($R229,'Mapa Oficinas'!$A$7:$C$46,2,FALSE)</f>
        <v>CABA</v>
      </c>
      <c r="W229" t="str">
        <f>VLOOKUP($R229,'Mapa Oficinas'!$A$7:$C$46,3,FALSE)</f>
        <v>Recoleta</v>
      </c>
    </row>
    <row r="230" spans="1:23" x14ac:dyDescent="0.2">
      <c r="A230" s="1">
        <v>45840</v>
      </c>
      <c r="B230" s="20">
        <f t="shared" si="6"/>
        <v>2025</v>
      </c>
      <c r="C230" s="20">
        <f t="shared" si="7"/>
        <v>7</v>
      </c>
      <c r="D230" t="s">
        <v>2820</v>
      </c>
      <c r="E230" s="49">
        <v>1</v>
      </c>
      <c r="F230" t="s">
        <v>2821</v>
      </c>
      <c r="G230" t="s">
        <v>21</v>
      </c>
      <c r="H230" t="s">
        <v>37</v>
      </c>
      <c r="I230" s="13">
        <v>54000</v>
      </c>
      <c r="J230" s="13">
        <v>48500</v>
      </c>
      <c r="K230" s="13">
        <f>IF(J230&lt;'Mapa Oficinas'!$I$21,0,IF(J230&gt;'Mapa Oficinas'!$I$20,0,1))</f>
        <v>0</v>
      </c>
      <c r="L230" t="s">
        <v>23</v>
      </c>
      <c r="M230" t="s">
        <v>23</v>
      </c>
      <c r="N230" t="s">
        <v>2822</v>
      </c>
      <c r="O230" t="s">
        <v>2823</v>
      </c>
      <c r="P230" t="s">
        <v>61</v>
      </c>
      <c r="Q230">
        <v>2</v>
      </c>
      <c r="R230" t="s">
        <v>429</v>
      </c>
      <c r="S230" t="s">
        <v>28</v>
      </c>
      <c r="T230" t="str">
        <f>VLOOKUP(S230,'Mapa Oficinas'!$H$7:$I$16,2,FALSE)</f>
        <v>CB</v>
      </c>
      <c r="U230" t="s">
        <v>29</v>
      </c>
      <c r="V230" t="str">
        <f>VLOOKUP($R230,'Mapa Oficinas'!$A$7:$C$46,2,FALSE)</f>
        <v>Zona Oeste (GBA)</v>
      </c>
      <c r="W230" t="str">
        <f>VLOOKUP($R230,'Mapa Oficinas'!$A$7:$C$46,3,FALSE)</f>
        <v>Parque Leloir</v>
      </c>
    </row>
    <row r="231" spans="1:23" x14ac:dyDescent="0.2">
      <c r="A231" s="1">
        <v>45904</v>
      </c>
      <c r="B231" s="20">
        <f t="shared" si="6"/>
        <v>2025</v>
      </c>
      <c r="C231" s="20">
        <f t="shared" si="7"/>
        <v>9</v>
      </c>
      <c r="D231" t="s">
        <v>3974</v>
      </c>
      <c r="E231" s="49">
        <v>1</v>
      </c>
      <c r="F231" t="s">
        <v>3974</v>
      </c>
      <c r="G231" t="s">
        <v>21</v>
      </c>
      <c r="H231" t="s">
        <v>90</v>
      </c>
      <c r="I231" s="13">
        <v>48500</v>
      </c>
      <c r="J231" s="13">
        <v>48500</v>
      </c>
      <c r="K231" s="13">
        <f>IF(J231&lt;'Mapa Oficinas'!$I$21,0,IF(J231&gt;'Mapa Oficinas'!$I$20,0,1))</f>
        <v>0</v>
      </c>
      <c r="L231" t="s">
        <v>23</v>
      </c>
      <c r="M231" t="s">
        <v>23</v>
      </c>
      <c r="N231" t="s">
        <v>3974</v>
      </c>
      <c r="O231" t="s">
        <v>116</v>
      </c>
      <c r="P231" t="s">
        <v>45</v>
      </c>
      <c r="Q231">
        <v>2</v>
      </c>
      <c r="R231" t="s">
        <v>62</v>
      </c>
      <c r="S231" t="s">
        <v>28</v>
      </c>
      <c r="T231" t="str">
        <f>VLOOKUP(S231,'Mapa Oficinas'!$H$7:$I$16,2,FALSE)</f>
        <v>CB</v>
      </c>
      <c r="U231" t="s">
        <v>29</v>
      </c>
      <c r="V231" t="str">
        <f>VLOOKUP($R231,'Mapa Oficinas'!$A$7:$C$46,2,FALSE)</f>
        <v>CABA</v>
      </c>
      <c r="W231" t="str">
        <f>VLOOKUP($R231,'Mapa Oficinas'!$A$7:$C$46,3,FALSE)</f>
        <v>Villa Urquiza</v>
      </c>
    </row>
    <row r="232" spans="1:23" x14ac:dyDescent="0.2">
      <c r="A232" s="1">
        <v>45995</v>
      </c>
      <c r="B232" s="20">
        <f t="shared" si="6"/>
        <v>2025</v>
      </c>
      <c r="C232" s="20">
        <f t="shared" si="7"/>
        <v>12</v>
      </c>
      <c r="D232" t="s">
        <v>5614</v>
      </c>
      <c r="E232" s="49">
        <v>1</v>
      </c>
      <c r="F232" t="s">
        <v>5614</v>
      </c>
      <c r="G232" t="s">
        <v>21</v>
      </c>
      <c r="H232" t="s">
        <v>37</v>
      </c>
      <c r="I232" s="13">
        <v>49000</v>
      </c>
      <c r="J232" s="13">
        <v>49000</v>
      </c>
      <c r="K232" s="13">
        <f>IF(J232&lt;'Mapa Oficinas'!$I$21,0,IF(J232&gt;'Mapa Oficinas'!$I$20,0,1))</f>
        <v>0</v>
      </c>
      <c r="L232" t="s">
        <v>23</v>
      </c>
      <c r="M232" t="s">
        <v>23</v>
      </c>
      <c r="O232" t="s">
        <v>102</v>
      </c>
      <c r="P232" t="s">
        <v>45</v>
      </c>
      <c r="Q232">
        <v>1</v>
      </c>
      <c r="R232" t="s">
        <v>103</v>
      </c>
      <c r="S232" t="s">
        <v>122</v>
      </c>
      <c r="T232" t="str">
        <f>VLOOKUP(S232,'Mapa Oficinas'!$H$7:$I$16,2,FALSE)</f>
        <v>Otra Red Búsqueda</v>
      </c>
      <c r="U232" t="s">
        <v>29</v>
      </c>
      <c r="V232" t="str">
        <f>VLOOKUP($R232,'Mapa Oficinas'!$A$7:$C$46,2,FALSE)</f>
        <v>Zona Sur (GBA)</v>
      </c>
      <c r="W232" t="str">
        <f>VLOOKUP($R232,'Mapa Oficinas'!$A$7:$C$46,3,FALSE)</f>
        <v>La Plata</v>
      </c>
    </row>
    <row r="233" spans="1:23" x14ac:dyDescent="0.2">
      <c r="A233" s="1">
        <v>46058</v>
      </c>
      <c r="B233" s="20">
        <f t="shared" si="6"/>
        <v>2026</v>
      </c>
      <c r="C233" s="20">
        <f t="shared" si="7"/>
        <v>2</v>
      </c>
      <c r="D233" t="s">
        <v>6544</v>
      </c>
      <c r="E233" s="49">
        <v>1</v>
      </c>
      <c r="F233" t="s">
        <v>6098</v>
      </c>
      <c r="G233" t="s">
        <v>21</v>
      </c>
      <c r="H233" t="s">
        <v>76</v>
      </c>
      <c r="I233" s="13">
        <v>49000</v>
      </c>
      <c r="J233" s="13">
        <v>49000</v>
      </c>
      <c r="K233" s="13">
        <f>IF(J233&lt;'Mapa Oficinas'!$I$21,0,IF(J233&gt;'Mapa Oficinas'!$I$20,0,1))</f>
        <v>0</v>
      </c>
      <c r="L233" t="s">
        <v>23</v>
      </c>
      <c r="M233" t="s">
        <v>23</v>
      </c>
      <c r="N233" t="s">
        <v>6545</v>
      </c>
      <c r="O233" t="s">
        <v>6047</v>
      </c>
      <c r="P233" t="s">
        <v>34</v>
      </c>
      <c r="Q233">
        <v>1</v>
      </c>
      <c r="R233" t="s">
        <v>167</v>
      </c>
      <c r="S233" t="s">
        <v>122</v>
      </c>
      <c r="T233" t="str">
        <f>VLOOKUP(S233,'Mapa Oficinas'!$H$7:$I$16,2,FALSE)</f>
        <v>Otra Red Búsqueda</v>
      </c>
      <c r="U233" t="s">
        <v>29</v>
      </c>
      <c r="V233" t="str">
        <f>VLOOKUP($R233,'Mapa Oficinas'!$A$7:$C$46,2,FALSE)</f>
        <v>Interior - Santa Fe</v>
      </c>
      <c r="W233" t="str">
        <f>VLOOKUP($R233,'Mapa Oficinas'!$A$7:$C$46,3,FALSE)</f>
        <v>Capital Santa Fe</v>
      </c>
    </row>
    <row r="234" spans="1:23" x14ac:dyDescent="0.2">
      <c r="A234" s="1">
        <v>46092</v>
      </c>
      <c r="B234" s="20">
        <f t="shared" si="6"/>
        <v>2026</v>
      </c>
      <c r="C234" s="20">
        <f t="shared" si="7"/>
        <v>3</v>
      </c>
      <c r="D234" t="s">
        <v>7089</v>
      </c>
      <c r="E234" s="49">
        <v>1</v>
      </c>
      <c r="F234" t="s">
        <v>7090</v>
      </c>
      <c r="G234" t="s">
        <v>21</v>
      </c>
      <c r="H234" t="s">
        <v>37</v>
      </c>
      <c r="I234" s="13">
        <v>50000</v>
      </c>
      <c r="J234" s="13">
        <v>49000</v>
      </c>
      <c r="K234" s="13">
        <f>IF(J234&lt;'Mapa Oficinas'!$I$21,0,IF(J234&gt;'Mapa Oficinas'!$I$20,0,1))</f>
        <v>0</v>
      </c>
      <c r="L234" t="s">
        <v>23</v>
      </c>
      <c r="M234" t="s">
        <v>23</v>
      </c>
      <c r="N234" t="s">
        <v>7091</v>
      </c>
      <c r="O234" t="s">
        <v>50</v>
      </c>
      <c r="P234" t="s">
        <v>45</v>
      </c>
      <c r="Q234">
        <v>2</v>
      </c>
      <c r="R234" t="s">
        <v>135</v>
      </c>
      <c r="S234" t="s">
        <v>79</v>
      </c>
      <c r="T234" t="str">
        <f>VLOOKUP(S234,'Mapa Oficinas'!$H$7:$I$16,2,FALSE)</f>
        <v>CB</v>
      </c>
      <c r="U234" t="s">
        <v>29</v>
      </c>
      <c r="V234" t="str">
        <f>VLOOKUP($R234,'Mapa Oficinas'!$A$7:$C$46,2,FALSE)</f>
        <v>CABA</v>
      </c>
      <c r="W234" t="str">
        <f>VLOOKUP($R234,'Mapa Oficinas'!$A$7:$C$46,3,FALSE)</f>
        <v>Recoleta</v>
      </c>
    </row>
    <row r="235" spans="1:23" x14ac:dyDescent="0.2">
      <c r="A235" s="1">
        <v>45687</v>
      </c>
      <c r="B235" s="20">
        <f t="shared" si="6"/>
        <v>2025</v>
      </c>
      <c r="C235" s="20">
        <f t="shared" si="7"/>
        <v>1</v>
      </c>
      <c r="D235" t="s">
        <v>422</v>
      </c>
      <c r="E235" s="49">
        <v>1</v>
      </c>
      <c r="F235" t="s">
        <v>423</v>
      </c>
      <c r="G235" t="s">
        <v>21</v>
      </c>
      <c r="H235" t="s">
        <v>37</v>
      </c>
      <c r="I235" s="13">
        <v>49000</v>
      </c>
      <c r="J235" s="13">
        <v>49000</v>
      </c>
      <c r="K235" s="13">
        <f>IF(J235&lt;'Mapa Oficinas'!$I$21,0,IF(J235&gt;'Mapa Oficinas'!$I$20,0,1))</f>
        <v>0</v>
      </c>
      <c r="L235" t="s">
        <v>23</v>
      </c>
      <c r="M235" t="s">
        <v>23</v>
      </c>
      <c r="N235" t="s">
        <v>424</v>
      </c>
      <c r="O235" t="s">
        <v>425</v>
      </c>
      <c r="P235" t="s">
        <v>26</v>
      </c>
      <c r="Q235">
        <v>2</v>
      </c>
      <c r="R235" t="s">
        <v>183</v>
      </c>
      <c r="S235" t="s">
        <v>28</v>
      </c>
      <c r="T235" t="str">
        <f>VLOOKUP(S235,'Mapa Oficinas'!$H$7:$I$16,2,FALSE)</f>
        <v>CB</v>
      </c>
      <c r="U235" t="s">
        <v>29</v>
      </c>
      <c r="V235" t="str">
        <f>VLOOKUP($R235,'Mapa Oficinas'!$A$7:$C$46,2,FALSE)</f>
        <v>Interior - Neuquén</v>
      </c>
      <c r="W235" t="str">
        <f>VLOOKUP($R235,'Mapa Oficinas'!$A$7:$C$46,3,FALSE)</f>
        <v>Capital Neuquén</v>
      </c>
    </row>
    <row r="236" spans="1:23" x14ac:dyDescent="0.2">
      <c r="A236" s="1">
        <v>45708</v>
      </c>
      <c r="B236" s="20">
        <f t="shared" si="6"/>
        <v>2025</v>
      </c>
      <c r="C236" s="20">
        <f t="shared" si="7"/>
        <v>2</v>
      </c>
      <c r="D236" t="s">
        <v>685</v>
      </c>
      <c r="E236" s="49">
        <v>1</v>
      </c>
      <c r="F236" t="s">
        <v>686</v>
      </c>
      <c r="G236" t="s">
        <v>21</v>
      </c>
      <c r="H236" t="s">
        <v>37</v>
      </c>
      <c r="I236" s="13">
        <v>49000</v>
      </c>
      <c r="J236" s="13">
        <v>49000</v>
      </c>
      <c r="K236" s="13">
        <f>IF(J236&lt;'Mapa Oficinas'!$I$21,0,IF(J236&gt;'Mapa Oficinas'!$I$20,0,1))</f>
        <v>0</v>
      </c>
      <c r="L236" t="s">
        <v>23</v>
      </c>
      <c r="M236" t="s">
        <v>23</v>
      </c>
      <c r="N236" t="s">
        <v>687</v>
      </c>
      <c r="O236" t="s">
        <v>114</v>
      </c>
      <c r="P236" t="s">
        <v>45</v>
      </c>
      <c r="Q236">
        <v>2</v>
      </c>
      <c r="R236" t="s">
        <v>372</v>
      </c>
      <c r="S236" t="s">
        <v>28</v>
      </c>
      <c r="T236" t="str">
        <f>VLOOKUP(S236,'Mapa Oficinas'!$H$7:$I$16,2,FALSE)</f>
        <v>CB</v>
      </c>
      <c r="U236" t="s">
        <v>29</v>
      </c>
      <c r="V236" t="str">
        <f>VLOOKUP($R236,'Mapa Oficinas'!$A$7:$C$46,2,FALSE)</f>
        <v>CABA</v>
      </c>
      <c r="W236" t="str">
        <f>VLOOKUP($R236,'Mapa Oficinas'!$A$7:$C$46,3,FALSE)</f>
        <v>Caballito</v>
      </c>
    </row>
    <row r="237" spans="1:23" x14ac:dyDescent="0.2">
      <c r="A237" s="1">
        <v>45729</v>
      </c>
      <c r="B237" s="20">
        <f t="shared" si="6"/>
        <v>2025</v>
      </c>
      <c r="C237" s="20">
        <f t="shared" si="7"/>
        <v>3</v>
      </c>
      <c r="D237" t="s">
        <v>923</v>
      </c>
      <c r="E237" s="49">
        <v>1</v>
      </c>
      <c r="F237" t="s">
        <v>924</v>
      </c>
      <c r="G237" t="s">
        <v>21</v>
      </c>
      <c r="H237" t="s">
        <v>37</v>
      </c>
      <c r="I237" s="13">
        <v>52000</v>
      </c>
      <c r="J237" s="13">
        <v>49000</v>
      </c>
      <c r="K237" s="13">
        <f>IF(J237&lt;'Mapa Oficinas'!$I$21,0,IF(J237&gt;'Mapa Oficinas'!$I$20,0,1))</f>
        <v>0</v>
      </c>
      <c r="L237" t="s">
        <v>23</v>
      </c>
      <c r="M237" t="s">
        <v>23</v>
      </c>
      <c r="N237" t="s">
        <v>925</v>
      </c>
      <c r="O237" t="s">
        <v>307</v>
      </c>
      <c r="P237" t="s">
        <v>61</v>
      </c>
      <c r="Q237">
        <v>2</v>
      </c>
      <c r="R237" t="s">
        <v>135</v>
      </c>
      <c r="S237" t="s">
        <v>28</v>
      </c>
      <c r="T237" t="str">
        <f>VLOOKUP(S237,'Mapa Oficinas'!$H$7:$I$16,2,FALSE)</f>
        <v>CB</v>
      </c>
      <c r="U237" t="s">
        <v>29</v>
      </c>
      <c r="V237" t="str">
        <f>VLOOKUP($R237,'Mapa Oficinas'!$A$7:$C$46,2,FALSE)</f>
        <v>CABA</v>
      </c>
      <c r="W237" t="str">
        <f>VLOOKUP($R237,'Mapa Oficinas'!$A$7:$C$46,3,FALSE)</f>
        <v>Recoleta</v>
      </c>
    </row>
    <row r="238" spans="1:23" x14ac:dyDescent="0.2">
      <c r="A238" s="1">
        <v>45729</v>
      </c>
      <c r="B238" s="20">
        <f t="shared" si="6"/>
        <v>2025</v>
      </c>
      <c r="C238" s="20">
        <f t="shared" si="7"/>
        <v>3</v>
      </c>
      <c r="D238" t="s">
        <v>926</v>
      </c>
      <c r="E238" s="49">
        <v>1</v>
      </c>
      <c r="F238" t="s">
        <v>927</v>
      </c>
      <c r="G238" t="s">
        <v>21</v>
      </c>
      <c r="H238" t="s">
        <v>37</v>
      </c>
      <c r="I238" s="13">
        <v>50000</v>
      </c>
      <c r="J238" s="13">
        <v>49000</v>
      </c>
      <c r="K238" s="13">
        <f>IF(J238&lt;'Mapa Oficinas'!$I$21,0,IF(J238&gt;'Mapa Oficinas'!$I$20,0,1))</f>
        <v>0</v>
      </c>
      <c r="L238" t="s">
        <v>23</v>
      </c>
      <c r="M238" t="s">
        <v>23</v>
      </c>
      <c r="N238" t="s">
        <v>928</v>
      </c>
      <c r="O238" t="s">
        <v>929</v>
      </c>
      <c r="P238" t="s">
        <v>61</v>
      </c>
      <c r="Q238">
        <v>2</v>
      </c>
      <c r="R238" t="s">
        <v>56</v>
      </c>
      <c r="S238" t="s">
        <v>28</v>
      </c>
      <c r="T238" t="str">
        <f>VLOOKUP(S238,'Mapa Oficinas'!$H$7:$I$16,2,FALSE)</f>
        <v>CB</v>
      </c>
      <c r="U238" t="s">
        <v>29</v>
      </c>
      <c r="V238" t="str">
        <f>VLOOKUP($R238,'Mapa Oficinas'!$A$7:$C$46,2,FALSE)</f>
        <v>Zona Norte (GBA)</v>
      </c>
      <c r="W238" t="str">
        <f>VLOOKUP($R238,'Mapa Oficinas'!$A$7:$C$46,3,FALSE)</f>
        <v>Vicente López</v>
      </c>
    </row>
    <row r="239" spans="1:23" x14ac:dyDescent="0.2">
      <c r="A239" s="1">
        <v>45758</v>
      </c>
      <c r="B239" s="20">
        <f t="shared" si="6"/>
        <v>2025</v>
      </c>
      <c r="C239" s="20">
        <f t="shared" si="7"/>
        <v>4</v>
      </c>
      <c r="D239" t="s">
        <v>1372</v>
      </c>
      <c r="E239" s="49">
        <v>1</v>
      </c>
      <c r="F239" t="s">
        <v>1373</v>
      </c>
      <c r="G239" t="s">
        <v>21</v>
      </c>
      <c r="H239" t="s">
        <v>37</v>
      </c>
      <c r="I239" s="13">
        <v>49000</v>
      </c>
      <c r="J239" s="13">
        <v>49000</v>
      </c>
      <c r="K239" s="13">
        <f>IF(J239&lt;'Mapa Oficinas'!$I$21,0,IF(J239&gt;'Mapa Oficinas'!$I$20,0,1))</f>
        <v>0</v>
      </c>
      <c r="L239" t="s">
        <v>23</v>
      </c>
      <c r="M239" t="s">
        <v>23</v>
      </c>
      <c r="N239" t="s">
        <v>1374</v>
      </c>
      <c r="O239" t="s">
        <v>679</v>
      </c>
      <c r="P239" t="s">
        <v>34</v>
      </c>
      <c r="Q239">
        <v>2</v>
      </c>
      <c r="R239" t="s">
        <v>183</v>
      </c>
      <c r="S239" t="s">
        <v>28</v>
      </c>
      <c r="T239" t="str">
        <f>VLOOKUP(S239,'Mapa Oficinas'!$H$7:$I$16,2,FALSE)</f>
        <v>CB</v>
      </c>
      <c r="U239" t="s">
        <v>29</v>
      </c>
      <c r="V239" t="str">
        <f>VLOOKUP($R239,'Mapa Oficinas'!$A$7:$C$46,2,FALSE)</f>
        <v>Interior - Neuquén</v>
      </c>
      <c r="W239" t="str">
        <f>VLOOKUP($R239,'Mapa Oficinas'!$A$7:$C$46,3,FALSE)</f>
        <v>Capital Neuquén</v>
      </c>
    </row>
    <row r="240" spans="1:23" x14ac:dyDescent="0.2">
      <c r="A240" s="1">
        <v>45761</v>
      </c>
      <c r="B240" s="20">
        <f t="shared" si="6"/>
        <v>2025</v>
      </c>
      <c r="C240" s="20">
        <f t="shared" si="7"/>
        <v>4</v>
      </c>
      <c r="D240" t="s">
        <v>1405</v>
      </c>
      <c r="E240" s="49">
        <v>1</v>
      </c>
      <c r="F240" t="s">
        <v>1406</v>
      </c>
      <c r="G240" t="s">
        <v>21</v>
      </c>
      <c r="H240" t="s">
        <v>221</v>
      </c>
      <c r="I240" s="13">
        <v>55000</v>
      </c>
      <c r="J240" s="13">
        <v>49000</v>
      </c>
      <c r="K240" s="13">
        <f>IF(J240&lt;'Mapa Oficinas'!$I$21,0,IF(J240&gt;'Mapa Oficinas'!$I$20,0,1))</f>
        <v>0</v>
      </c>
      <c r="L240" t="s">
        <v>23</v>
      </c>
      <c r="M240" t="s">
        <v>23</v>
      </c>
      <c r="N240" t="s">
        <v>1407</v>
      </c>
      <c r="O240" t="s">
        <v>1408</v>
      </c>
      <c r="P240" t="s">
        <v>34</v>
      </c>
      <c r="Q240">
        <v>2</v>
      </c>
      <c r="R240" t="s">
        <v>482</v>
      </c>
      <c r="S240" t="s">
        <v>28</v>
      </c>
      <c r="T240" t="str">
        <f>VLOOKUP(S240,'Mapa Oficinas'!$H$7:$I$16,2,FALSE)</f>
        <v>CB</v>
      </c>
      <c r="U240" t="s">
        <v>29</v>
      </c>
      <c r="V240" t="str">
        <f>VLOOKUP($R240,'Mapa Oficinas'!$A$7:$C$46,2,FALSE)</f>
        <v>Interior - Jujuy</v>
      </c>
      <c r="W240" t="str">
        <f>VLOOKUP($R240,'Mapa Oficinas'!$A$7:$C$46,3,FALSE)</f>
        <v>Capital Jujuy</v>
      </c>
    </row>
    <row r="241" spans="1:23" x14ac:dyDescent="0.2">
      <c r="A241" s="1">
        <v>45784</v>
      </c>
      <c r="B241" s="20">
        <f t="shared" si="6"/>
        <v>2025</v>
      </c>
      <c r="C241" s="20">
        <f t="shared" si="7"/>
        <v>5</v>
      </c>
      <c r="D241" t="s">
        <v>1797</v>
      </c>
      <c r="E241" s="49">
        <v>1</v>
      </c>
      <c r="F241" t="s">
        <v>1798</v>
      </c>
      <c r="G241" t="s">
        <v>21</v>
      </c>
      <c r="H241" t="s">
        <v>37</v>
      </c>
      <c r="I241" s="13">
        <v>53000</v>
      </c>
      <c r="J241" s="13">
        <v>49000</v>
      </c>
      <c r="K241" s="13">
        <f>IF(J241&lt;'Mapa Oficinas'!$I$21,0,IF(J241&gt;'Mapa Oficinas'!$I$20,0,1))</f>
        <v>0</v>
      </c>
      <c r="L241" t="s">
        <v>23</v>
      </c>
      <c r="M241" t="s">
        <v>23</v>
      </c>
      <c r="N241" t="s">
        <v>1799</v>
      </c>
      <c r="O241" t="s">
        <v>827</v>
      </c>
      <c r="P241" t="s">
        <v>45</v>
      </c>
      <c r="Q241">
        <v>2</v>
      </c>
      <c r="R241" t="s">
        <v>1024</v>
      </c>
      <c r="S241" t="s">
        <v>28</v>
      </c>
      <c r="T241" t="str">
        <f>VLOOKUP(S241,'Mapa Oficinas'!$H$7:$I$16,2,FALSE)</f>
        <v>CB</v>
      </c>
      <c r="U241" t="s">
        <v>29</v>
      </c>
      <c r="V241" t="str">
        <f>VLOOKUP($R241,'Mapa Oficinas'!$A$7:$C$46,2,FALSE)</f>
        <v>CABA</v>
      </c>
      <c r="W241" t="str">
        <f>VLOOKUP($R241,'Mapa Oficinas'!$A$7:$C$46,3,FALSE)</f>
        <v>Puerto Madero</v>
      </c>
    </row>
    <row r="242" spans="1:23" x14ac:dyDescent="0.2">
      <c r="A242" s="1">
        <v>45924</v>
      </c>
      <c r="B242" s="20">
        <f t="shared" si="6"/>
        <v>2025</v>
      </c>
      <c r="C242" s="20">
        <f t="shared" si="7"/>
        <v>9</v>
      </c>
      <c r="D242" t="s">
        <v>4306</v>
      </c>
      <c r="E242" s="49">
        <v>1</v>
      </c>
      <c r="F242" t="s">
        <v>4307</v>
      </c>
      <c r="G242" t="s">
        <v>21</v>
      </c>
      <c r="H242" t="s">
        <v>22</v>
      </c>
      <c r="I242" s="13">
        <v>49000</v>
      </c>
      <c r="J242" s="13">
        <v>49000</v>
      </c>
      <c r="K242" s="13">
        <f>IF(J242&lt;'Mapa Oficinas'!$I$21,0,IF(J242&gt;'Mapa Oficinas'!$I$20,0,1))</f>
        <v>0</v>
      </c>
      <c r="L242" t="s">
        <v>23</v>
      </c>
      <c r="M242" t="s">
        <v>23</v>
      </c>
      <c r="O242" t="s">
        <v>573</v>
      </c>
      <c r="P242" t="s">
        <v>26</v>
      </c>
      <c r="Q242">
        <v>2</v>
      </c>
      <c r="R242" t="s">
        <v>321</v>
      </c>
      <c r="S242" t="s">
        <v>28</v>
      </c>
      <c r="T242" t="str">
        <f>VLOOKUP(S242,'Mapa Oficinas'!$H$7:$I$16,2,FALSE)</f>
        <v>CB</v>
      </c>
      <c r="U242" t="s">
        <v>29</v>
      </c>
      <c r="V242" t="str">
        <f>VLOOKUP($R242,'Mapa Oficinas'!$A$7:$C$46,2,FALSE)</f>
        <v>CABA</v>
      </c>
      <c r="W242" t="str">
        <f>VLOOKUP($R242,'Mapa Oficinas'!$A$7:$C$46,3,FALSE)</f>
        <v>Palermo</v>
      </c>
    </row>
    <row r="243" spans="1:23" x14ac:dyDescent="0.2">
      <c r="A243" s="1">
        <v>45925</v>
      </c>
      <c r="B243" s="20">
        <f t="shared" si="6"/>
        <v>2025</v>
      </c>
      <c r="C243" s="20">
        <f t="shared" si="7"/>
        <v>9</v>
      </c>
      <c r="D243" t="s">
        <v>4337</v>
      </c>
      <c r="E243" s="49">
        <v>1</v>
      </c>
      <c r="F243" t="s">
        <v>4338</v>
      </c>
      <c r="G243" t="s">
        <v>21</v>
      </c>
      <c r="H243" t="s">
        <v>22</v>
      </c>
      <c r="I243" s="13">
        <v>52000</v>
      </c>
      <c r="J243" s="13">
        <v>49000</v>
      </c>
      <c r="K243" s="13">
        <f>IF(J243&lt;'Mapa Oficinas'!$I$21,0,IF(J243&gt;'Mapa Oficinas'!$I$20,0,1))</f>
        <v>0</v>
      </c>
      <c r="L243" t="s">
        <v>23</v>
      </c>
      <c r="M243" t="s">
        <v>23</v>
      </c>
      <c r="N243" t="s">
        <v>4339</v>
      </c>
      <c r="O243" t="s">
        <v>1006</v>
      </c>
      <c r="P243" t="s">
        <v>45</v>
      </c>
      <c r="Q243">
        <v>2</v>
      </c>
      <c r="R243" t="s">
        <v>62</v>
      </c>
      <c r="S243" t="s">
        <v>28</v>
      </c>
      <c r="T243" t="str">
        <f>VLOOKUP(S243,'Mapa Oficinas'!$H$7:$I$16,2,FALSE)</f>
        <v>CB</v>
      </c>
      <c r="U243" t="s">
        <v>29</v>
      </c>
      <c r="V243" t="str">
        <f>VLOOKUP($R243,'Mapa Oficinas'!$A$7:$C$46,2,FALSE)</f>
        <v>CABA</v>
      </c>
      <c r="W243" t="str">
        <f>VLOOKUP($R243,'Mapa Oficinas'!$A$7:$C$46,3,FALSE)</f>
        <v>Villa Urquiza</v>
      </c>
    </row>
    <row r="244" spans="1:23" x14ac:dyDescent="0.2">
      <c r="A244" s="1">
        <v>45744</v>
      </c>
      <c r="B244" s="20">
        <f t="shared" si="6"/>
        <v>2025</v>
      </c>
      <c r="C244" s="20">
        <f t="shared" si="7"/>
        <v>3</v>
      </c>
      <c r="D244" t="s">
        <v>1151</v>
      </c>
      <c r="E244" s="49">
        <v>1</v>
      </c>
      <c r="F244" t="s">
        <v>1152</v>
      </c>
      <c r="G244" t="s">
        <v>21</v>
      </c>
      <c r="H244" t="s">
        <v>22</v>
      </c>
      <c r="I244" s="13">
        <v>54000</v>
      </c>
      <c r="J244" s="13">
        <v>49500</v>
      </c>
      <c r="K244" s="13">
        <f>IF(J244&lt;'Mapa Oficinas'!$I$21,0,IF(J244&gt;'Mapa Oficinas'!$I$20,0,1))</f>
        <v>0</v>
      </c>
      <c r="L244" t="s">
        <v>23</v>
      </c>
      <c r="M244" t="s">
        <v>23</v>
      </c>
      <c r="N244" t="s">
        <v>1153</v>
      </c>
      <c r="O244" t="s">
        <v>223</v>
      </c>
      <c r="P244" t="s">
        <v>34</v>
      </c>
      <c r="Q244">
        <v>1</v>
      </c>
      <c r="R244" t="s">
        <v>167</v>
      </c>
      <c r="S244" t="s">
        <v>122</v>
      </c>
      <c r="T244" t="str">
        <f>VLOOKUP(S244,'Mapa Oficinas'!$H$7:$I$16,2,FALSE)</f>
        <v>Otra Red Búsqueda</v>
      </c>
      <c r="U244" t="s">
        <v>29</v>
      </c>
      <c r="V244" t="str">
        <f>VLOOKUP($R244,'Mapa Oficinas'!$A$7:$C$46,2,FALSE)</f>
        <v>Interior - Santa Fe</v>
      </c>
      <c r="W244" t="str">
        <f>VLOOKUP($R244,'Mapa Oficinas'!$A$7:$C$46,3,FALSE)</f>
        <v>Capital Santa Fe</v>
      </c>
    </row>
    <row r="245" spans="1:23" x14ac:dyDescent="0.2">
      <c r="A245" s="1">
        <v>46052</v>
      </c>
      <c r="B245" s="20">
        <f t="shared" si="6"/>
        <v>2026</v>
      </c>
      <c r="C245" s="20">
        <f t="shared" si="7"/>
        <v>1</v>
      </c>
      <c r="D245" t="s">
        <v>6469</v>
      </c>
      <c r="E245" s="49">
        <v>3</v>
      </c>
      <c r="F245" t="s">
        <v>6470</v>
      </c>
      <c r="G245" t="s">
        <v>21</v>
      </c>
      <c r="H245" t="s">
        <v>22</v>
      </c>
      <c r="I245" s="13">
        <v>52900</v>
      </c>
      <c r="J245" s="13">
        <v>49900</v>
      </c>
      <c r="K245" s="13">
        <f>IF(J245&lt;'Mapa Oficinas'!$I$21,0,IF(J245&gt;'Mapa Oficinas'!$I$20,0,1))</f>
        <v>0</v>
      </c>
      <c r="L245" t="s">
        <v>23</v>
      </c>
      <c r="M245" t="s">
        <v>23</v>
      </c>
      <c r="N245" t="s">
        <v>6471</v>
      </c>
      <c r="O245" t="s">
        <v>236</v>
      </c>
      <c r="P245" t="s">
        <v>45</v>
      </c>
      <c r="Q245">
        <v>2</v>
      </c>
      <c r="R245" t="s">
        <v>5367</v>
      </c>
      <c r="S245" t="s">
        <v>241</v>
      </c>
      <c r="T245" t="str">
        <f>VLOOKUP(S245,'Mapa Oficinas'!$H$7:$I$16,2,FALSE)</f>
        <v>CB</v>
      </c>
      <c r="U245" t="s">
        <v>29</v>
      </c>
      <c r="V245" t="str">
        <f>VLOOKUP($R245,'Mapa Oficinas'!$A$7:$C$46,2,FALSE)</f>
        <v>CABA</v>
      </c>
      <c r="W245" t="str">
        <f>VLOOKUP($R245,'Mapa Oficinas'!$A$7:$C$46,3,FALSE)</f>
        <v>Retiro</v>
      </c>
    </row>
    <row r="246" spans="1:23" x14ac:dyDescent="0.2">
      <c r="A246" s="1">
        <v>45722</v>
      </c>
      <c r="B246" s="20">
        <f t="shared" si="6"/>
        <v>2025</v>
      </c>
      <c r="C246" s="20">
        <f t="shared" si="7"/>
        <v>3</v>
      </c>
      <c r="D246" t="s">
        <v>852</v>
      </c>
      <c r="E246" s="49">
        <v>1</v>
      </c>
      <c r="F246" t="s">
        <v>853</v>
      </c>
      <c r="G246" t="s">
        <v>21</v>
      </c>
      <c r="H246" t="s">
        <v>100</v>
      </c>
      <c r="I246" s="13">
        <v>50000</v>
      </c>
      <c r="J246" s="13">
        <v>50000</v>
      </c>
      <c r="K246" s="13">
        <f>IF(J246&lt;'Mapa Oficinas'!$I$21,0,IF(J246&gt;'Mapa Oficinas'!$I$20,0,1))</f>
        <v>0</v>
      </c>
      <c r="L246" t="s">
        <v>23</v>
      </c>
      <c r="M246" t="s">
        <v>23</v>
      </c>
      <c r="O246" t="s">
        <v>403</v>
      </c>
      <c r="P246" t="s">
        <v>45</v>
      </c>
      <c r="Q246">
        <v>1</v>
      </c>
      <c r="R246" t="s">
        <v>121</v>
      </c>
      <c r="S246" t="s">
        <v>122</v>
      </c>
      <c r="T246" t="str">
        <f>VLOOKUP(S246,'Mapa Oficinas'!$H$7:$I$16,2,FALSE)</f>
        <v>Otra Red Búsqueda</v>
      </c>
      <c r="U246" t="s">
        <v>29</v>
      </c>
      <c r="V246" t="str">
        <f>VLOOKUP($R246,'Mapa Oficinas'!$A$7:$C$46,2,FALSE)</f>
        <v>Interior - Río Negro</v>
      </c>
      <c r="W246" t="str">
        <f>VLOOKUP($R246,'Mapa Oficinas'!$A$7:$C$46,3,FALSE)</f>
        <v>Bariloche</v>
      </c>
    </row>
    <row r="247" spans="1:23" x14ac:dyDescent="0.2">
      <c r="A247" s="1">
        <v>46014</v>
      </c>
      <c r="B247" s="20">
        <f t="shared" si="6"/>
        <v>2025</v>
      </c>
      <c r="C247" s="20">
        <f t="shared" si="7"/>
        <v>12</v>
      </c>
      <c r="D247" t="s">
        <v>5957</v>
      </c>
      <c r="E247" s="49">
        <v>1</v>
      </c>
      <c r="F247" t="s">
        <v>5957</v>
      </c>
      <c r="G247" t="s">
        <v>21</v>
      </c>
      <c r="H247" t="s">
        <v>37</v>
      </c>
      <c r="I247" s="13">
        <v>50000</v>
      </c>
      <c r="J247" s="13">
        <v>50000</v>
      </c>
      <c r="K247" s="13">
        <f>IF(J247&lt;'Mapa Oficinas'!$I$21,0,IF(J247&gt;'Mapa Oficinas'!$I$20,0,1))</f>
        <v>0</v>
      </c>
      <c r="L247" t="s">
        <v>23</v>
      </c>
      <c r="M247" t="s">
        <v>23</v>
      </c>
      <c r="O247" t="s">
        <v>102</v>
      </c>
      <c r="P247" t="s">
        <v>45</v>
      </c>
      <c r="Q247">
        <v>1</v>
      </c>
      <c r="R247" t="s">
        <v>103</v>
      </c>
      <c r="S247" t="s">
        <v>152</v>
      </c>
      <c r="T247" t="str">
        <f>VLOOKUP(S247,'Mapa Oficinas'!$H$7:$I$16,2,FALSE)</f>
        <v>Otra Red Captación</v>
      </c>
      <c r="U247" t="s">
        <v>29</v>
      </c>
      <c r="V247" t="str">
        <f>VLOOKUP($R247,'Mapa Oficinas'!$A$7:$C$46,2,FALSE)</f>
        <v>Zona Sur (GBA)</v>
      </c>
      <c r="W247" t="str">
        <f>VLOOKUP($R247,'Mapa Oficinas'!$A$7:$C$46,3,FALSE)</f>
        <v>La Plata</v>
      </c>
    </row>
    <row r="248" spans="1:23" x14ac:dyDescent="0.2">
      <c r="A248" s="1">
        <v>45778</v>
      </c>
      <c r="B248" s="20">
        <f t="shared" si="6"/>
        <v>2025</v>
      </c>
      <c r="C248" s="20">
        <f t="shared" si="7"/>
        <v>5</v>
      </c>
      <c r="E248" s="49">
        <v>1</v>
      </c>
      <c r="F248" t="s">
        <v>1768</v>
      </c>
      <c r="G248" t="s">
        <v>21</v>
      </c>
      <c r="H248" t="s">
        <v>37</v>
      </c>
      <c r="I248" s="13">
        <v>50000</v>
      </c>
      <c r="J248" s="13">
        <v>50000</v>
      </c>
      <c r="K248" s="13">
        <f>IF(J248&lt;'Mapa Oficinas'!$I$21,0,IF(J248&gt;'Mapa Oficinas'!$I$20,0,1))</f>
        <v>0</v>
      </c>
      <c r="L248" t="s">
        <v>23</v>
      </c>
      <c r="M248" t="s">
        <v>23</v>
      </c>
      <c r="N248" t="s">
        <v>1769</v>
      </c>
      <c r="O248" t="s">
        <v>1770</v>
      </c>
      <c r="P248" t="s">
        <v>26</v>
      </c>
      <c r="Q248">
        <v>2</v>
      </c>
      <c r="R248" t="s">
        <v>84</v>
      </c>
      <c r="S248" t="s">
        <v>79</v>
      </c>
      <c r="T248" t="str">
        <f>VLOOKUP(S248,'Mapa Oficinas'!$H$7:$I$16,2,FALSE)</f>
        <v>CB</v>
      </c>
      <c r="U248" t="s">
        <v>29</v>
      </c>
      <c r="V248" t="str">
        <f>VLOOKUP($R248,'Mapa Oficinas'!$A$7:$C$46,2,FALSE)</f>
        <v>Interior - Neuquén</v>
      </c>
      <c r="W248" t="str">
        <f>VLOOKUP($R248,'Mapa Oficinas'!$A$7:$C$46,3,FALSE)</f>
        <v>Villa La Angostura</v>
      </c>
    </row>
    <row r="249" spans="1:23" x14ac:dyDescent="0.2">
      <c r="A249" s="1">
        <v>45819</v>
      </c>
      <c r="B249" s="20">
        <f t="shared" si="6"/>
        <v>2025</v>
      </c>
      <c r="C249" s="20">
        <f t="shared" si="7"/>
        <v>6</v>
      </c>
      <c r="D249" t="s">
        <v>2414</v>
      </c>
      <c r="E249" s="49">
        <v>1</v>
      </c>
      <c r="F249" t="s">
        <v>2415</v>
      </c>
      <c r="G249" t="s">
        <v>21</v>
      </c>
      <c r="H249" t="s">
        <v>37</v>
      </c>
      <c r="I249" s="13">
        <v>55000</v>
      </c>
      <c r="J249" s="13">
        <v>50000</v>
      </c>
      <c r="K249" s="13">
        <f>IF(J249&lt;'Mapa Oficinas'!$I$21,0,IF(J249&gt;'Mapa Oficinas'!$I$20,0,1))</f>
        <v>0</v>
      </c>
      <c r="L249" t="s">
        <v>23</v>
      </c>
      <c r="M249" t="s">
        <v>23</v>
      </c>
      <c r="N249" t="s">
        <v>2416</v>
      </c>
      <c r="O249" t="s">
        <v>245</v>
      </c>
      <c r="P249" t="s">
        <v>45</v>
      </c>
      <c r="Q249">
        <v>2</v>
      </c>
      <c r="R249" t="s">
        <v>183</v>
      </c>
      <c r="S249" t="s">
        <v>79</v>
      </c>
      <c r="T249" t="str">
        <f>VLOOKUP(S249,'Mapa Oficinas'!$H$7:$I$16,2,FALSE)</f>
        <v>CB</v>
      </c>
      <c r="U249" t="s">
        <v>29</v>
      </c>
      <c r="V249" t="str">
        <f>VLOOKUP($R249,'Mapa Oficinas'!$A$7:$C$46,2,FALSE)</f>
        <v>Interior - Neuquén</v>
      </c>
      <c r="W249" t="str">
        <f>VLOOKUP($R249,'Mapa Oficinas'!$A$7:$C$46,3,FALSE)</f>
        <v>Capital Neuquén</v>
      </c>
    </row>
    <row r="250" spans="1:23" x14ac:dyDescent="0.2">
      <c r="A250" s="1">
        <v>45898</v>
      </c>
      <c r="B250" s="20">
        <f t="shared" si="6"/>
        <v>2025</v>
      </c>
      <c r="C250" s="20">
        <f t="shared" si="7"/>
        <v>8</v>
      </c>
      <c r="D250" t="s">
        <v>3859</v>
      </c>
      <c r="E250" s="49">
        <v>1</v>
      </c>
      <c r="F250" t="s">
        <v>3860</v>
      </c>
      <c r="G250" t="s">
        <v>21</v>
      </c>
      <c r="H250" t="s">
        <v>81</v>
      </c>
      <c r="I250" s="13">
        <v>50000</v>
      </c>
      <c r="J250" s="13">
        <v>50000</v>
      </c>
      <c r="K250" s="13">
        <f>IF(J250&lt;'Mapa Oficinas'!$I$21,0,IF(J250&gt;'Mapa Oficinas'!$I$20,0,1))</f>
        <v>0</v>
      </c>
      <c r="L250" t="s">
        <v>23</v>
      </c>
      <c r="M250" t="s">
        <v>23</v>
      </c>
      <c r="N250" t="s">
        <v>3861</v>
      </c>
      <c r="O250" t="s">
        <v>1190</v>
      </c>
      <c r="P250" t="s">
        <v>55</v>
      </c>
      <c r="Q250">
        <v>2</v>
      </c>
      <c r="R250" t="s">
        <v>183</v>
      </c>
      <c r="S250" t="s">
        <v>79</v>
      </c>
      <c r="T250" t="str">
        <f>VLOOKUP(S250,'Mapa Oficinas'!$H$7:$I$16,2,FALSE)</f>
        <v>CB</v>
      </c>
      <c r="U250" t="s">
        <v>29</v>
      </c>
      <c r="V250" t="str">
        <f>VLOOKUP($R250,'Mapa Oficinas'!$A$7:$C$46,2,FALSE)</f>
        <v>Interior - Neuquén</v>
      </c>
      <c r="W250" t="str">
        <f>VLOOKUP($R250,'Mapa Oficinas'!$A$7:$C$46,3,FALSE)</f>
        <v>Capital Neuquén</v>
      </c>
    </row>
    <row r="251" spans="1:23" x14ac:dyDescent="0.2">
      <c r="A251" s="1">
        <v>46050</v>
      </c>
      <c r="B251" s="20">
        <f t="shared" si="6"/>
        <v>2026</v>
      </c>
      <c r="C251" s="20">
        <f t="shared" si="7"/>
        <v>1</v>
      </c>
      <c r="D251" t="s">
        <v>6428</v>
      </c>
      <c r="E251" s="49">
        <v>1</v>
      </c>
      <c r="F251" t="s">
        <v>6429</v>
      </c>
      <c r="G251" t="s">
        <v>21</v>
      </c>
      <c r="H251" t="s">
        <v>81</v>
      </c>
      <c r="I251" s="13">
        <v>56000</v>
      </c>
      <c r="J251" s="13">
        <v>50000</v>
      </c>
      <c r="K251" s="13">
        <f>IF(J251&lt;'Mapa Oficinas'!$I$21,0,IF(J251&gt;'Mapa Oficinas'!$I$20,0,1))</f>
        <v>0</v>
      </c>
      <c r="L251" t="s">
        <v>23</v>
      </c>
      <c r="M251" t="s">
        <v>23</v>
      </c>
      <c r="N251" t="s">
        <v>6430</v>
      </c>
      <c r="O251" t="s">
        <v>1412</v>
      </c>
      <c r="P251" t="s">
        <v>34</v>
      </c>
      <c r="Q251">
        <v>2</v>
      </c>
      <c r="R251" t="s">
        <v>482</v>
      </c>
      <c r="S251" t="s">
        <v>79</v>
      </c>
      <c r="T251" t="str">
        <f>VLOOKUP(S251,'Mapa Oficinas'!$H$7:$I$16,2,FALSE)</f>
        <v>CB</v>
      </c>
      <c r="U251" t="s">
        <v>29</v>
      </c>
      <c r="V251" t="str">
        <f>VLOOKUP($R251,'Mapa Oficinas'!$A$7:$C$46,2,FALSE)</f>
        <v>Interior - Jujuy</v>
      </c>
      <c r="W251" t="str">
        <f>VLOOKUP($R251,'Mapa Oficinas'!$A$7:$C$46,3,FALSE)</f>
        <v>Capital Jujuy</v>
      </c>
    </row>
    <row r="252" spans="1:23" x14ac:dyDescent="0.2">
      <c r="A252" s="1">
        <v>46090</v>
      </c>
      <c r="B252" s="20">
        <f t="shared" si="6"/>
        <v>2026</v>
      </c>
      <c r="C252" s="20">
        <f t="shared" si="7"/>
        <v>3</v>
      </c>
      <c r="D252" t="s">
        <v>7030</v>
      </c>
      <c r="E252" s="49">
        <v>1</v>
      </c>
      <c r="F252" t="s">
        <v>7031</v>
      </c>
      <c r="G252" t="s">
        <v>21</v>
      </c>
      <c r="H252" t="s">
        <v>81</v>
      </c>
      <c r="I252" s="13">
        <v>55000</v>
      </c>
      <c r="J252" s="13">
        <v>50000</v>
      </c>
      <c r="K252" s="13">
        <f>IF(J252&lt;'Mapa Oficinas'!$I$21,0,IF(J252&gt;'Mapa Oficinas'!$I$20,0,1))</f>
        <v>0</v>
      </c>
      <c r="L252" t="s">
        <v>23</v>
      </c>
      <c r="M252" t="s">
        <v>23</v>
      </c>
      <c r="N252" t="s">
        <v>7032</v>
      </c>
      <c r="O252" t="s">
        <v>1629</v>
      </c>
      <c r="P252" t="s">
        <v>34</v>
      </c>
      <c r="Q252">
        <v>2</v>
      </c>
      <c r="R252" t="s">
        <v>482</v>
      </c>
      <c r="S252" t="s">
        <v>79</v>
      </c>
      <c r="T252" t="str">
        <f>VLOOKUP(S252,'Mapa Oficinas'!$H$7:$I$16,2,FALSE)</f>
        <v>CB</v>
      </c>
      <c r="U252" t="s">
        <v>29</v>
      </c>
      <c r="V252" t="str">
        <f>VLOOKUP($R252,'Mapa Oficinas'!$A$7:$C$46,2,FALSE)</f>
        <v>Interior - Jujuy</v>
      </c>
      <c r="W252" t="str">
        <f>VLOOKUP($R252,'Mapa Oficinas'!$A$7:$C$46,3,FALSE)</f>
        <v>Capital Jujuy</v>
      </c>
    </row>
    <row r="253" spans="1:23" x14ac:dyDescent="0.2">
      <c r="A253" s="1">
        <v>45936</v>
      </c>
      <c r="B253" s="20">
        <f t="shared" si="6"/>
        <v>2025</v>
      </c>
      <c r="C253" s="20">
        <f t="shared" si="7"/>
        <v>10</v>
      </c>
      <c r="D253" t="s">
        <v>4508</v>
      </c>
      <c r="E253" s="49">
        <v>1</v>
      </c>
      <c r="F253" t="s">
        <v>4509</v>
      </c>
      <c r="G253" t="s">
        <v>21</v>
      </c>
      <c r="H253" t="s">
        <v>37</v>
      </c>
      <c r="I253" s="13">
        <v>50000</v>
      </c>
      <c r="J253" s="13">
        <v>50000</v>
      </c>
      <c r="K253" s="13">
        <f>IF(J253&lt;'Mapa Oficinas'!$I$21,0,IF(J253&gt;'Mapa Oficinas'!$I$20,0,1))</f>
        <v>0</v>
      </c>
      <c r="L253" t="s">
        <v>23</v>
      </c>
      <c r="M253" t="s">
        <v>23</v>
      </c>
      <c r="N253" t="s">
        <v>751</v>
      </c>
      <c r="O253" t="s">
        <v>738</v>
      </c>
      <c r="P253" t="s">
        <v>45</v>
      </c>
      <c r="Q253">
        <v>2</v>
      </c>
      <c r="R253" t="s">
        <v>670</v>
      </c>
      <c r="S253" t="s">
        <v>232</v>
      </c>
      <c r="T253" t="str">
        <f>VLOOKUP(S253,'Mapa Oficinas'!$H$7:$I$16,2,FALSE)</f>
        <v>CB</v>
      </c>
      <c r="U253" t="s">
        <v>29</v>
      </c>
      <c r="V253" t="str">
        <f>VLOOKUP($R253,'Mapa Oficinas'!$A$7:$C$46,2,FALSE)</f>
        <v>CABA</v>
      </c>
      <c r="W253" t="str">
        <f>VLOOKUP($R253,'Mapa Oficinas'!$A$7:$C$46,3,FALSE)</f>
        <v>Recoleta</v>
      </c>
    </row>
    <row r="254" spans="1:23" x14ac:dyDescent="0.2">
      <c r="A254" s="1">
        <v>45978</v>
      </c>
      <c r="B254" s="20">
        <f t="shared" si="6"/>
        <v>2025</v>
      </c>
      <c r="C254" s="20">
        <f t="shared" si="7"/>
        <v>11</v>
      </c>
      <c r="D254">
        <v>44</v>
      </c>
      <c r="E254" s="49">
        <v>1</v>
      </c>
      <c r="F254" t="s">
        <v>5246</v>
      </c>
      <c r="G254" t="s">
        <v>21</v>
      </c>
      <c r="H254" t="s">
        <v>22</v>
      </c>
      <c r="I254" s="13">
        <v>50000</v>
      </c>
      <c r="J254" s="13">
        <v>50000</v>
      </c>
      <c r="K254" s="13">
        <f>IF(J254&lt;'Mapa Oficinas'!$I$21,0,IF(J254&gt;'Mapa Oficinas'!$I$20,0,1))</f>
        <v>0</v>
      </c>
      <c r="L254" t="s">
        <v>23</v>
      </c>
      <c r="M254" t="s">
        <v>23</v>
      </c>
      <c r="N254" t="s">
        <v>5247</v>
      </c>
      <c r="O254" t="s">
        <v>421</v>
      </c>
      <c r="P254" t="s">
        <v>45</v>
      </c>
      <c r="Q254">
        <v>1</v>
      </c>
      <c r="R254" t="s">
        <v>1024</v>
      </c>
      <c r="S254" t="s">
        <v>47</v>
      </c>
      <c r="T254" t="str">
        <f>VLOOKUP(S254,'Mapa Oficinas'!$H$7:$I$16,2,FALSE)</f>
        <v>Otra Red Búsqueda</v>
      </c>
      <c r="U254" t="s">
        <v>29</v>
      </c>
      <c r="V254" t="str">
        <f>VLOOKUP($R254,'Mapa Oficinas'!$A$7:$C$46,2,FALSE)</f>
        <v>CABA</v>
      </c>
      <c r="W254" t="str">
        <f>VLOOKUP($R254,'Mapa Oficinas'!$A$7:$C$46,3,FALSE)</f>
        <v>Puerto Madero</v>
      </c>
    </row>
    <row r="255" spans="1:23" x14ac:dyDescent="0.2">
      <c r="A255" s="1">
        <v>46001</v>
      </c>
      <c r="B255" s="20">
        <f t="shared" si="6"/>
        <v>2025</v>
      </c>
      <c r="C255" s="20">
        <f t="shared" si="7"/>
        <v>12</v>
      </c>
      <c r="D255" t="s">
        <v>5699</v>
      </c>
      <c r="E255" s="49">
        <v>1</v>
      </c>
      <c r="F255" t="s">
        <v>5700</v>
      </c>
      <c r="G255" t="s">
        <v>21</v>
      </c>
      <c r="H255" t="s">
        <v>22</v>
      </c>
      <c r="I255" s="13">
        <v>69900</v>
      </c>
      <c r="J255" s="13">
        <v>50000</v>
      </c>
      <c r="K255" s="13">
        <f>IF(J255&lt;'Mapa Oficinas'!$I$21,0,IF(J255&gt;'Mapa Oficinas'!$I$20,0,1))</f>
        <v>0</v>
      </c>
      <c r="L255" t="s">
        <v>23</v>
      </c>
      <c r="M255" t="s">
        <v>23</v>
      </c>
      <c r="N255" t="s">
        <v>5700</v>
      </c>
      <c r="O255" t="s">
        <v>5701</v>
      </c>
      <c r="P255" t="s">
        <v>34</v>
      </c>
      <c r="Q255">
        <v>2</v>
      </c>
      <c r="R255" t="s">
        <v>110</v>
      </c>
      <c r="S255" t="s">
        <v>200</v>
      </c>
      <c r="T255" t="str">
        <f>VLOOKUP(S255,'Mapa Oficinas'!$H$7:$I$16,2,FALSE)</f>
        <v>Otra Red Captación</v>
      </c>
      <c r="U255" t="s">
        <v>29</v>
      </c>
      <c r="V255" t="str">
        <f>VLOOKUP($R255,'Mapa Oficinas'!$A$7:$C$46,2,FALSE)</f>
        <v>Zona Norte (GBA)</v>
      </c>
      <c r="W255" t="str">
        <f>VLOOKUP($R255,'Mapa Oficinas'!$A$7:$C$46,3,FALSE)</f>
        <v>Nordelta</v>
      </c>
    </row>
    <row r="256" spans="1:23" x14ac:dyDescent="0.2">
      <c r="A256" s="1">
        <v>45832</v>
      </c>
      <c r="B256" s="20">
        <f t="shared" si="6"/>
        <v>2025</v>
      </c>
      <c r="C256" s="20">
        <f t="shared" si="7"/>
        <v>6</v>
      </c>
      <c r="D256" t="s">
        <v>2592</v>
      </c>
      <c r="E256" s="49">
        <v>1</v>
      </c>
      <c r="F256" t="s">
        <v>2593</v>
      </c>
      <c r="G256" t="s">
        <v>21</v>
      </c>
      <c r="H256" t="s">
        <v>81</v>
      </c>
      <c r="I256" s="13">
        <v>54000</v>
      </c>
      <c r="J256" s="13">
        <v>50000</v>
      </c>
      <c r="K256" s="13">
        <f>IF(J256&lt;'Mapa Oficinas'!$I$21,0,IF(J256&gt;'Mapa Oficinas'!$I$20,0,1))</f>
        <v>0</v>
      </c>
      <c r="L256" t="s">
        <v>23</v>
      </c>
      <c r="M256" t="s">
        <v>23</v>
      </c>
      <c r="N256" t="s">
        <v>2594</v>
      </c>
      <c r="O256" t="s">
        <v>338</v>
      </c>
      <c r="P256" t="s">
        <v>34</v>
      </c>
      <c r="Q256">
        <v>2</v>
      </c>
      <c r="R256" t="s">
        <v>130</v>
      </c>
      <c r="S256" t="s">
        <v>404</v>
      </c>
      <c r="T256" t="str">
        <f>VLOOKUP(S256,'Mapa Oficinas'!$H$7:$I$16,2,FALSE)</f>
        <v>CB</v>
      </c>
      <c r="U256" t="s">
        <v>29</v>
      </c>
      <c r="V256" t="str">
        <f>VLOOKUP($R256,'Mapa Oficinas'!$A$7:$C$46,2,FALSE)</f>
        <v>Interior - Neuquén</v>
      </c>
      <c r="W256" t="str">
        <f>VLOOKUP($R256,'Mapa Oficinas'!$A$7:$C$46,3,FALSE)</f>
        <v>San Martín de los Andes</v>
      </c>
    </row>
    <row r="257" spans="1:23" x14ac:dyDescent="0.2">
      <c r="A257" s="1">
        <v>46108</v>
      </c>
      <c r="B257" s="20">
        <f t="shared" si="6"/>
        <v>2026</v>
      </c>
      <c r="C257" s="20">
        <f t="shared" si="7"/>
        <v>3</v>
      </c>
      <c r="E257" s="49">
        <v>1</v>
      </c>
      <c r="F257" t="s">
        <v>7453</v>
      </c>
      <c r="G257" t="s">
        <v>21</v>
      </c>
      <c r="H257" t="s">
        <v>37</v>
      </c>
      <c r="I257" s="13">
        <v>60000</v>
      </c>
      <c r="J257" s="13">
        <v>50000</v>
      </c>
      <c r="K257" s="13">
        <f>IF(J257&lt;'Mapa Oficinas'!$I$21,0,IF(J257&gt;'Mapa Oficinas'!$I$20,0,1))</f>
        <v>0</v>
      </c>
      <c r="L257" t="s">
        <v>23</v>
      </c>
      <c r="M257" t="s">
        <v>23</v>
      </c>
      <c r="N257" t="s">
        <v>7454</v>
      </c>
      <c r="O257" t="s">
        <v>7455</v>
      </c>
      <c r="P257" t="s">
        <v>45</v>
      </c>
      <c r="Q257">
        <v>2</v>
      </c>
      <c r="R257" t="s">
        <v>135</v>
      </c>
      <c r="S257" t="s">
        <v>404</v>
      </c>
      <c r="T257" t="str">
        <f>VLOOKUP(S257,'Mapa Oficinas'!$H$7:$I$16,2,FALSE)</f>
        <v>CB</v>
      </c>
      <c r="U257" t="s">
        <v>29</v>
      </c>
      <c r="V257" t="str">
        <f>VLOOKUP($R257,'Mapa Oficinas'!$A$7:$C$46,2,FALSE)</f>
        <v>CABA</v>
      </c>
      <c r="W257" t="str">
        <f>VLOOKUP($R257,'Mapa Oficinas'!$A$7:$C$46,3,FALSE)</f>
        <v>Recoleta</v>
      </c>
    </row>
    <row r="258" spans="1:23" x14ac:dyDescent="0.2">
      <c r="A258" s="1">
        <v>45763</v>
      </c>
      <c r="B258" s="20">
        <f t="shared" ref="B258:B321" si="8">YEAR($A258)</f>
        <v>2025</v>
      </c>
      <c r="C258" s="20">
        <f t="shared" ref="C258:C321" si="9">MONTH($A258)</f>
        <v>4</v>
      </c>
      <c r="D258" t="s">
        <v>1476</v>
      </c>
      <c r="E258" s="49">
        <v>1</v>
      </c>
      <c r="F258" t="s">
        <v>1477</v>
      </c>
      <c r="G258" t="s">
        <v>21</v>
      </c>
      <c r="H258" t="s">
        <v>100</v>
      </c>
      <c r="I258" s="13">
        <v>60000</v>
      </c>
      <c r="J258" s="13">
        <v>50000</v>
      </c>
      <c r="K258" s="13">
        <f>IF(J258&lt;'Mapa Oficinas'!$I$21,0,IF(J258&gt;'Mapa Oficinas'!$I$20,0,1))</f>
        <v>0</v>
      </c>
      <c r="L258" t="s">
        <v>23</v>
      </c>
      <c r="M258" t="s">
        <v>23</v>
      </c>
      <c r="N258" t="s">
        <v>1478</v>
      </c>
      <c r="O258" t="s">
        <v>1479</v>
      </c>
      <c r="P258" t="s">
        <v>26</v>
      </c>
      <c r="Q258">
        <v>2</v>
      </c>
      <c r="R258" t="s">
        <v>121</v>
      </c>
      <c r="S258" t="s">
        <v>1265</v>
      </c>
      <c r="T258" t="str">
        <f>VLOOKUP(S258,'Mapa Oficinas'!$H$7:$I$16,2,FALSE)</f>
        <v>CB</v>
      </c>
      <c r="U258" t="s">
        <v>29</v>
      </c>
      <c r="V258" t="str">
        <f>VLOOKUP($R258,'Mapa Oficinas'!$A$7:$C$46,2,FALSE)</f>
        <v>Interior - Río Negro</v>
      </c>
      <c r="W258" t="str">
        <f>VLOOKUP($R258,'Mapa Oficinas'!$A$7:$C$46,3,FALSE)</f>
        <v>Bariloche</v>
      </c>
    </row>
    <row r="259" spans="1:23" x14ac:dyDescent="0.2">
      <c r="A259" s="1">
        <v>45687</v>
      </c>
      <c r="B259" s="20">
        <f t="shared" si="8"/>
        <v>2025</v>
      </c>
      <c r="C259" s="20">
        <f t="shared" si="9"/>
        <v>1</v>
      </c>
      <c r="D259" t="s">
        <v>426</v>
      </c>
      <c r="E259" s="49">
        <v>1</v>
      </c>
      <c r="F259" t="s">
        <v>427</v>
      </c>
      <c r="G259" t="s">
        <v>21</v>
      </c>
      <c r="H259" t="s">
        <v>37</v>
      </c>
      <c r="I259" s="13">
        <v>55000</v>
      </c>
      <c r="J259" s="13">
        <v>50000</v>
      </c>
      <c r="K259" s="13">
        <f>IF(J259&lt;'Mapa Oficinas'!$I$21,0,IF(J259&gt;'Mapa Oficinas'!$I$20,0,1))</f>
        <v>0</v>
      </c>
      <c r="L259" t="s">
        <v>23</v>
      </c>
      <c r="M259" t="s">
        <v>23</v>
      </c>
      <c r="N259" t="s">
        <v>428</v>
      </c>
      <c r="O259" t="s">
        <v>390</v>
      </c>
      <c r="P259" t="s">
        <v>45</v>
      </c>
      <c r="Q259">
        <v>2</v>
      </c>
      <c r="R259" t="s">
        <v>429</v>
      </c>
      <c r="S259" t="s">
        <v>28</v>
      </c>
      <c r="T259" t="str">
        <f>VLOOKUP(S259,'Mapa Oficinas'!$H$7:$I$16,2,FALSE)</f>
        <v>CB</v>
      </c>
      <c r="U259" t="s">
        <v>29</v>
      </c>
      <c r="V259" t="str">
        <f>VLOOKUP($R259,'Mapa Oficinas'!$A$7:$C$46,2,FALSE)</f>
        <v>Zona Oeste (GBA)</v>
      </c>
      <c r="W259" t="str">
        <f>VLOOKUP($R259,'Mapa Oficinas'!$A$7:$C$46,3,FALSE)</f>
        <v>Parque Leloir</v>
      </c>
    </row>
    <row r="260" spans="1:23" x14ac:dyDescent="0.2">
      <c r="A260" s="1">
        <v>45702</v>
      </c>
      <c r="B260" s="20">
        <f t="shared" si="8"/>
        <v>2025</v>
      </c>
      <c r="C260" s="20">
        <f t="shared" si="9"/>
        <v>2</v>
      </c>
      <c r="D260" t="s">
        <v>589</v>
      </c>
      <c r="E260" s="49">
        <v>1</v>
      </c>
      <c r="F260" t="s">
        <v>590</v>
      </c>
      <c r="G260" t="s">
        <v>21</v>
      </c>
      <c r="H260" t="s">
        <v>37</v>
      </c>
      <c r="I260" s="13">
        <v>53000</v>
      </c>
      <c r="J260" s="13">
        <v>50000</v>
      </c>
      <c r="K260" s="13">
        <f>IF(J260&lt;'Mapa Oficinas'!$I$21,0,IF(J260&gt;'Mapa Oficinas'!$I$20,0,1))</f>
        <v>0</v>
      </c>
      <c r="L260" t="s">
        <v>23</v>
      </c>
      <c r="M260" t="s">
        <v>23</v>
      </c>
      <c r="N260" t="s">
        <v>591</v>
      </c>
      <c r="O260" t="s">
        <v>592</v>
      </c>
      <c r="P260" t="s">
        <v>34</v>
      </c>
      <c r="Q260">
        <v>2</v>
      </c>
      <c r="R260" t="s">
        <v>183</v>
      </c>
      <c r="S260" t="s">
        <v>28</v>
      </c>
      <c r="T260" t="str">
        <f>VLOOKUP(S260,'Mapa Oficinas'!$H$7:$I$16,2,FALSE)</f>
        <v>CB</v>
      </c>
      <c r="U260" t="s">
        <v>29</v>
      </c>
      <c r="V260" t="str">
        <f>VLOOKUP($R260,'Mapa Oficinas'!$A$7:$C$46,2,FALSE)</f>
        <v>Interior - Neuquén</v>
      </c>
      <c r="W260" t="str">
        <f>VLOOKUP($R260,'Mapa Oficinas'!$A$7:$C$46,3,FALSE)</f>
        <v>Capital Neuquén</v>
      </c>
    </row>
    <row r="261" spans="1:23" x14ac:dyDescent="0.2">
      <c r="A261" s="1">
        <v>45748</v>
      </c>
      <c r="B261" s="20">
        <f t="shared" si="8"/>
        <v>2025</v>
      </c>
      <c r="C261" s="20">
        <f t="shared" si="9"/>
        <v>4</v>
      </c>
      <c r="D261" t="s">
        <v>1225</v>
      </c>
      <c r="E261" s="49">
        <v>1</v>
      </c>
      <c r="F261" t="s">
        <v>1226</v>
      </c>
      <c r="G261" t="s">
        <v>21</v>
      </c>
      <c r="H261" t="s">
        <v>37</v>
      </c>
      <c r="I261" s="13">
        <v>60000</v>
      </c>
      <c r="J261" s="13">
        <v>50000</v>
      </c>
      <c r="K261" s="13">
        <f>IF(J261&lt;'Mapa Oficinas'!$I$21,0,IF(J261&gt;'Mapa Oficinas'!$I$20,0,1))</f>
        <v>0</v>
      </c>
      <c r="L261" t="s">
        <v>23</v>
      </c>
      <c r="M261" t="s">
        <v>23</v>
      </c>
      <c r="N261" t="s">
        <v>1227</v>
      </c>
      <c r="O261" t="s">
        <v>452</v>
      </c>
      <c r="P261" t="s">
        <v>45</v>
      </c>
      <c r="Q261">
        <v>2</v>
      </c>
      <c r="R261" t="s">
        <v>56</v>
      </c>
      <c r="S261" t="s">
        <v>28</v>
      </c>
      <c r="T261" t="str">
        <f>VLOOKUP(S261,'Mapa Oficinas'!$H$7:$I$16,2,FALSE)</f>
        <v>CB</v>
      </c>
      <c r="U261" t="s">
        <v>29</v>
      </c>
      <c r="V261" t="str">
        <f>VLOOKUP($R261,'Mapa Oficinas'!$A$7:$C$46,2,FALSE)</f>
        <v>Zona Norte (GBA)</v>
      </c>
      <c r="W261" t="str">
        <f>VLOOKUP($R261,'Mapa Oficinas'!$A$7:$C$46,3,FALSE)</f>
        <v>Vicente López</v>
      </c>
    </row>
    <row r="262" spans="1:23" x14ac:dyDescent="0.2">
      <c r="A262" s="1">
        <v>45750</v>
      </c>
      <c r="B262" s="20">
        <f t="shared" si="8"/>
        <v>2025</v>
      </c>
      <c r="C262" s="20">
        <f t="shared" si="9"/>
        <v>4</v>
      </c>
      <c r="D262" t="s">
        <v>1257</v>
      </c>
      <c r="E262" s="49">
        <v>1</v>
      </c>
      <c r="F262" t="s">
        <v>1258</v>
      </c>
      <c r="G262" t="s">
        <v>21</v>
      </c>
      <c r="H262" t="s">
        <v>37</v>
      </c>
      <c r="I262" s="13">
        <v>49999</v>
      </c>
      <c r="J262" s="13">
        <v>50000</v>
      </c>
      <c r="K262" s="13">
        <f>IF(J262&lt;'Mapa Oficinas'!$I$21,0,IF(J262&gt;'Mapa Oficinas'!$I$20,0,1))</f>
        <v>0</v>
      </c>
      <c r="L262" t="s">
        <v>23</v>
      </c>
      <c r="M262" t="s">
        <v>23</v>
      </c>
      <c r="N262" t="s">
        <v>1259</v>
      </c>
      <c r="O262" t="s">
        <v>1260</v>
      </c>
      <c r="P262" t="s">
        <v>34</v>
      </c>
      <c r="Q262">
        <v>2</v>
      </c>
      <c r="R262" t="s">
        <v>429</v>
      </c>
      <c r="S262" t="s">
        <v>28</v>
      </c>
      <c r="T262" t="str">
        <f>VLOOKUP(S262,'Mapa Oficinas'!$H$7:$I$16,2,FALSE)</f>
        <v>CB</v>
      </c>
      <c r="U262" t="s">
        <v>29</v>
      </c>
      <c r="V262" t="str">
        <f>VLOOKUP($R262,'Mapa Oficinas'!$A$7:$C$46,2,FALSE)</f>
        <v>Zona Oeste (GBA)</v>
      </c>
      <c r="W262" t="str">
        <f>VLOOKUP($R262,'Mapa Oficinas'!$A$7:$C$46,3,FALSE)</f>
        <v>Parque Leloir</v>
      </c>
    </row>
    <row r="263" spans="1:23" x14ac:dyDescent="0.2">
      <c r="A263" s="1">
        <v>45761</v>
      </c>
      <c r="B263" s="20">
        <f t="shared" si="8"/>
        <v>2025</v>
      </c>
      <c r="C263" s="20">
        <f t="shared" si="9"/>
        <v>4</v>
      </c>
      <c r="D263" t="s">
        <v>1409</v>
      </c>
      <c r="E263" s="49">
        <v>1</v>
      </c>
      <c r="F263" t="s">
        <v>1410</v>
      </c>
      <c r="G263" t="s">
        <v>21</v>
      </c>
      <c r="H263" t="s">
        <v>221</v>
      </c>
      <c r="I263" s="13">
        <v>50000</v>
      </c>
      <c r="J263" s="13">
        <v>50000</v>
      </c>
      <c r="K263" s="13">
        <f>IF(J263&lt;'Mapa Oficinas'!$I$21,0,IF(J263&gt;'Mapa Oficinas'!$I$20,0,1))</f>
        <v>0</v>
      </c>
      <c r="L263" t="s">
        <v>23</v>
      </c>
      <c r="M263" t="s">
        <v>23</v>
      </c>
      <c r="N263" t="s">
        <v>1411</v>
      </c>
      <c r="O263" t="s">
        <v>1412</v>
      </c>
      <c r="P263" t="s">
        <v>26</v>
      </c>
      <c r="Q263">
        <v>2</v>
      </c>
      <c r="R263" t="s">
        <v>482</v>
      </c>
      <c r="S263" t="s">
        <v>28</v>
      </c>
      <c r="T263" t="str">
        <f>VLOOKUP(S263,'Mapa Oficinas'!$H$7:$I$16,2,FALSE)</f>
        <v>CB</v>
      </c>
      <c r="U263" t="s">
        <v>29</v>
      </c>
      <c r="V263" t="str">
        <f>VLOOKUP($R263,'Mapa Oficinas'!$A$7:$C$46,2,FALSE)</f>
        <v>Interior - Jujuy</v>
      </c>
      <c r="W263" t="str">
        <f>VLOOKUP($R263,'Mapa Oficinas'!$A$7:$C$46,3,FALSE)</f>
        <v>Capital Jujuy</v>
      </c>
    </row>
    <row r="264" spans="1:23" x14ac:dyDescent="0.2">
      <c r="A264" s="1">
        <v>45771</v>
      </c>
      <c r="B264" s="20">
        <f t="shared" si="8"/>
        <v>2025</v>
      </c>
      <c r="C264" s="20">
        <f t="shared" si="9"/>
        <v>4</v>
      </c>
      <c r="D264" t="s">
        <v>1596</v>
      </c>
      <c r="E264" s="49">
        <v>1</v>
      </c>
      <c r="F264" t="s">
        <v>1597</v>
      </c>
      <c r="G264" t="s">
        <v>21</v>
      </c>
      <c r="H264" t="s">
        <v>37</v>
      </c>
      <c r="I264" s="13">
        <v>35000</v>
      </c>
      <c r="J264" s="13">
        <v>50000</v>
      </c>
      <c r="K264" s="13">
        <f>IF(J264&lt;'Mapa Oficinas'!$I$21,0,IF(J264&gt;'Mapa Oficinas'!$I$20,0,1))</f>
        <v>0</v>
      </c>
      <c r="L264" t="s">
        <v>23</v>
      </c>
      <c r="M264" t="s">
        <v>23</v>
      </c>
      <c r="N264" t="s">
        <v>1597</v>
      </c>
      <c r="O264" t="s">
        <v>1598</v>
      </c>
      <c r="P264" t="s">
        <v>26</v>
      </c>
      <c r="Q264">
        <v>2</v>
      </c>
      <c r="R264" t="s">
        <v>110</v>
      </c>
      <c r="S264" t="s">
        <v>28</v>
      </c>
      <c r="T264" t="str">
        <f>VLOOKUP(S264,'Mapa Oficinas'!$H$7:$I$16,2,FALSE)</f>
        <v>CB</v>
      </c>
      <c r="U264" t="s">
        <v>29</v>
      </c>
      <c r="V264" t="str">
        <f>VLOOKUP($R264,'Mapa Oficinas'!$A$7:$C$46,2,FALSE)</f>
        <v>Zona Norte (GBA)</v>
      </c>
      <c r="W264" t="str">
        <f>VLOOKUP($R264,'Mapa Oficinas'!$A$7:$C$46,3,FALSE)</f>
        <v>Nordelta</v>
      </c>
    </row>
    <row r="265" spans="1:23" x14ac:dyDescent="0.2">
      <c r="A265" s="1">
        <v>45822</v>
      </c>
      <c r="B265" s="20">
        <f t="shared" si="8"/>
        <v>2025</v>
      </c>
      <c r="C265" s="20">
        <f t="shared" si="9"/>
        <v>6</v>
      </c>
      <c r="D265" t="s">
        <v>2514</v>
      </c>
      <c r="E265" s="49">
        <v>1</v>
      </c>
      <c r="F265" t="s">
        <v>2515</v>
      </c>
      <c r="G265" t="s">
        <v>21</v>
      </c>
      <c r="H265" t="s">
        <v>37</v>
      </c>
      <c r="I265" s="13">
        <v>53000</v>
      </c>
      <c r="J265" s="13">
        <v>50000</v>
      </c>
      <c r="K265" s="13">
        <f>IF(J265&lt;'Mapa Oficinas'!$I$21,0,IF(J265&gt;'Mapa Oficinas'!$I$20,0,1))</f>
        <v>0</v>
      </c>
      <c r="L265" t="s">
        <v>23</v>
      </c>
      <c r="M265" t="s">
        <v>23</v>
      </c>
      <c r="N265" t="s">
        <v>2516</v>
      </c>
      <c r="O265" t="s">
        <v>2194</v>
      </c>
      <c r="P265" t="s">
        <v>45</v>
      </c>
      <c r="Q265">
        <v>2</v>
      </c>
      <c r="R265" t="s">
        <v>1024</v>
      </c>
      <c r="S265" t="s">
        <v>28</v>
      </c>
      <c r="T265" t="str">
        <f>VLOOKUP(S265,'Mapa Oficinas'!$H$7:$I$16,2,FALSE)</f>
        <v>CB</v>
      </c>
      <c r="U265" t="s">
        <v>29</v>
      </c>
      <c r="V265" t="str">
        <f>VLOOKUP($R265,'Mapa Oficinas'!$A$7:$C$46,2,FALSE)</f>
        <v>CABA</v>
      </c>
      <c r="W265" t="str">
        <f>VLOOKUP($R265,'Mapa Oficinas'!$A$7:$C$46,3,FALSE)</f>
        <v>Puerto Madero</v>
      </c>
    </row>
    <row r="266" spans="1:23" x14ac:dyDescent="0.2">
      <c r="A266" s="1">
        <v>45873</v>
      </c>
      <c r="B266" s="20">
        <f t="shared" si="8"/>
        <v>2025</v>
      </c>
      <c r="C266" s="20">
        <f t="shared" si="9"/>
        <v>8</v>
      </c>
      <c r="D266" t="s">
        <v>3383</v>
      </c>
      <c r="E266" s="49">
        <v>1</v>
      </c>
      <c r="F266" t="s">
        <v>3384</v>
      </c>
      <c r="G266" t="s">
        <v>21</v>
      </c>
      <c r="H266" t="s">
        <v>37</v>
      </c>
      <c r="I266" s="13">
        <v>70000</v>
      </c>
      <c r="J266" s="13">
        <v>50000</v>
      </c>
      <c r="K266" s="13">
        <f>IF(J266&lt;'Mapa Oficinas'!$I$21,0,IF(J266&gt;'Mapa Oficinas'!$I$20,0,1))</f>
        <v>0</v>
      </c>
      <c r="L266" t="s">
        <v>23</v>
      </c>
      <c r="M266" t="s">
        <v>23</v>
      </c>
      <c r="N266" t="s">
        <v>3385</v>
      </c>
      <c r="O266" t="s">
        <v>519</v>
      </c>
      <c r="P266" t="s">
        <v>61</v>
      </c>
      <c r="Q266">
        <v>2</v>
      </c>
      <c r="R266" t="s">
        <v>56</v>
      </c>
      <c r="S266" t="s">
        <v>28</v>
      </c>
      <c r="T266" t="str">
        <f>VLOOKUP(S266,'Mapa Oficinas'!$H$7:$I$16,2,FALSE)</f>
        <v>CB</v>
      </c>
      <c r="U266" t="s">
        <v>29</v>
      </c>
      <c r="V266" t="str">
        <f>VLOOKUP($R266,'Mapa Oficinas'!$A$7:$C$46,2,FALSE)</f>
        <v>Zona Norte (GBA)</v>
      </c>
      <c r="W266" t="str">
        <f>VLOOKUP($R266,'Mapa Oficinas'!$A$7:$C$46,3,FALSE)</f>
        <v>Vicente López</v>
      </c>
    </row>
    <row r="267" spans="1:23" x14ac:dyDescent="0.2">
      <c r="A267" s="1">
        <v>45915</v>
      </c>
      <c r="B267" s="20">
        <f t="shared" si="8"/>
        <v>2025</v>
      </c>
      <c r="C267" s="20">
        <f t="shared" si="9"/>
        <v>9</v>
      </c>
      <c r="D267" t="s">
        <v>4130</v>
      </c>
      <c r="E267" s="49">
        <v>1</v>
      </c>
      <c r="F267" t="s">
        <v>4131</v>
      </c>
      <c r="G267" t="s">
        <v>21</v>
      </c>
      <c r="H267" t="s">
        <v>37</v>
      </c>
      <c r="I267" s="13">
        <v>50000</v>
      </c>
      <c r="J267" s="13">
        <v>50000</v>
      </c>
      <c r="K267" s="13">
        <f>IF(J267&lt;'Mapa Oficinas'!$I$21,0,IF(J267&gt;'Mapa Oficinas'!$I$20,0,1))</f>
        <v>0</v>
      </c>
      <c r="L267" t="s">
        <v>23</v>
      </c>
      <c r="M267" t="s">
        <v>23</v>
      </c>
      <c r="N267">
        <v>1141</v>
      </c>
      <c r="O267" t="s">
        <v>4132</v>
      </c>
      <c r="P267" t="s">
        <v>8587</v>
      </c>
      <c r="Q267">
        <v>2</v>
      </c>
      <c r="R267" t="s">
        <v>56</v>
      </c>
      <c r="S267" t="s">
        <v>28</v>
      </c>
      <c r="T267" t="str">
        <f>VLOOKUP(S267,'Mapa Oficinas'!$H$7:$I$16,2,FALSE)</f>
        <v>CB</v>
      </c>
      <c r="U267" t="s">
        <v>29</v>
      </c>
      <c r="V267" t="str">
        <f>VLOOKUP($R267,'Mapa Oficinas'!$A$7:$C$46,2,FALSE)</f>
        <v>Zona Norte (GBA)</v>
      </c>
      <c r="W267" t="str">
        <f>VLOOKUP($R267,'Mapa Oficinas'!$A$7:$C$46,3,FALSE)</f>
        <v>Vicente López</v>
      </c>
    </row>
    <row r="268" spans="1:23" x14ac:dyDescent="0.2">
      <c r="A268" s="1">
        <v>45925</v>
      </c>
      <c r="B268" s="20">
        <f t="shared" si="8"/>
        <v>2025</v>
      </c>
      <c r="C268" s="20">
        <f t="shared" si="9"/>
        <v>9</v>
      </c>
      <c r="D268" t="s">
        <v>4340</v>
      </c>
      <c r="E268" s="49">
        <v>1</v>
      </c>
      <c r="F268" t="s">
        <v>4341</v>
      </c>
      <c r="G268" t="s">
        <v>21</v>
      </c>
      <c r="H268" t="s">
        <v>22</v>
      </c>
      <c r="I268" s="13">
        <v>55000</v>
      </c>
      <c r="J268" s="13">
        <v>50000</v>
      </c>
      <c r="K268" s="13">
        <f>IF(J268&lt;'Mapa Oficinas'!$I$21,0,IF(J268&gt;'Mapa Oficinas'!$I$20,0,1))</f>
        <v>0</v>
      </c>
      <c r="L268" t="s">
        <v>23</v>
      </c>
      <c r="M268" t="s">
        <v>23</v>
      </c>
      <c r="N268" t="s">
        <v>4341</v>
      </c>
      <c r="O268" t="s">
        <v>102</v>
      </c>
      <c r="P268" t="s">
        <v>45</v>
      </c>
      <c r="Q268">
        <v>2</v>
      </c>
      <c r="R268" t="s">
        <v>103</v>
      </c>
      <c r="S268" t="s">
        <v>28</v>
      </c>
      <c r="T268" t="str">
        <f>VLOOKUP(S268,'Mapa Oficinas'!$H$7:$I$16,2,FALSE)</f>
        <v>CB</v>
      </c>
      <c r="U268" t="s">
        <v>29</v>
      </c>
      <c r="V268" t="str">
        <f>VLOOKUP($R268,'Mapa Oficinas'!$A$7:$C$46,2,FALSE)</f>
        <v>Zona Sur (GBA)</v>
      </c>
      <c r="W268" t="str">
        <f>VLOOKUP($R268,'Mapa Oficinas'!$A$7:$C$46,3,FALSE)</f>
        <v>La Plata</v>
      </c>
    </row>
    <row r="269" spans="1:23" x14ac:dyDescent="0.2">
      <c r="A269" s="1">
        <v>45952</v>
      </c>
      <c r="B269" s="20">
        <f t="shared" si="8"/>
        <v>2025</v>
      </c>
      <c r="C269" s="20">
        <f t="shared" si="9"/>
        <v>10</v>
      </c>
      <c r="D269" t="s">
        <v>4831</v>
      </c>
      <c r="E269" s="49">
        <v>1</v>
      </c>
      <c r="F269" t="s">
        <v>4832</v>
      </c>
      <c r="G269" t="s">
        <v>21</v>
      </c>
      <c r="H269" t="s">
        <v>37</v>
      </c>
      <c r="I269" s="13">
        <v>52000</v>
      </c>
      <c r="J269" s="13">
        <v>50000</v>
      </c>
      <c r="K269" s="13">
        <f>IF(J269&lt;'Mapa Oficinas'!$I$21,0,IF(J269&gt;'Mapa Oficinas'!$I$20,0,1))</f>
        <v>0</v>
      </c>
      <c r="L269" t="s">
        <v>23</v>
      </c>
      <c r="M269" t="s">
        <v>23</v>
      </c>
      <c r="N269" t="s">
        <v>4833</v>
      </c>
      <c r="O269" t="s">
        <v>421</v>
      </c>
      <c r="P269" t="s">
        <v>45</v>
      </c>
      <c r="Q269">
        <v>2</v>
      </c>
      <c r="R269" t="s">
        <v>495</v>
      </c>
      <c r="S269" t="s">
        <v>28</v>
      </c>
      <c r="T269" t="str">
        <f>VLOOKUP(S269,'Mapa Oficinas'!$H$7:$I$16,2,FALSE)</f>
        <v>CB</v>
      </c>
      <c r="U269" t="s">
        <v>29</v>
      </c>
      <c r="V269" t="str">
        <f>VLOOKUP($R269,'Mapa Oficinas'!$A$7:$C$46,2,FALSE)</f>
        <v>Zona Norte (GBA)</v>
      </c>
      <c r="W269" t="str">
        <f>VLOOKUP($R269,'Mapa Oficinas'!$A$7:$C$46,3,FALSE)</f>
        <v>Escobar</v>
      </c>
    </row>
    <row r="270" spans="1:23" x14ac:dyDescent="0.2">
      <c r="A270" s="1">
        <v>45958</v>
      </c>
      <c r="B270" s="20">
        <f t="shared" si="8"/>
        <v>2025</v>
      </c>
      <c r="C270" s="20">
        <f t="shared" si="9"/>
        <v>10</v>
      </c>
      <c r="D270" t="s">
        <v>4950</v>
      </c>
      <c r="E270" s="49">
        <v>1</v>
      </c>
      <c r="F270" t="s">
        <v>4951</v>
      </c>
      <c r="G270" t="s">
        <v>21</v>
      </c>
      <c r="H270" t="s">
        <v>37</v>
      </c>
      <c r="I270" s="13">
        <v>50000</v>
      </c>
      <c r="J270" s="13">
        <v>50000</v>
      </c>
      <c r="K270" s="13">
        <f>IF(J270&lt;'Mapa Oficinas'!$I$21,0,IF(J270&gt;'Mapa Oficinas'!$I$20,0,1))</f>
        <v>0</v>
      </c>
      <c r="L270" t="s">
        <v>23</v>
      </c>
      <c r="M270" t="s">
        <v>23</v>
      </c>
      <c r="N270" t="s">
        <v>4952</v>
      </c>
      <c r="O270" t="s">
        <v>552</v>
      </c>
      <c r="P270" t="s">
        <v>61</v>
      </c>
      <c r="Q270">
        <v>2</v>
      </c>
      <c r="R270" t="s">
        <v>142</v>
      </c>
      <c r="S270" t="s">
        <v>28</v>
      </c>
      <c r="T270" t="str">
        <f>VLOOKUP(S270,'Mapa Oficinas'!$H$7:$I$16,2,FALSE)</f>
        <v>CB</v>
      </c>
      <c r="U270" t="s">
        <v>29</v>
      </c>
      <c r="V270" t="str">
        <f>VLOOKUP($R270,'Mapa Oficinas'!$A$7:$C$46,2,FALSE)</f>
        <v>CABA</v>
      </c>
      <c r="W270" t="str">
        <f>VLOOKUP($R270,'Mapa Oficinas'!$A$7:$C$46,3,FALSE)</f>
        <v>Palermo</v>
      </c>
    </row>
    <row r="271" spans="1:23" x14ac:dyDescent="0.2">
      <c r="A271" s="1">
        <v>45967</v>
      </c>
      <c r="B271" s="20">
        <f t="shared" si="8"/>
        <v>2025</v>
      </c>
      <c r="C271" s="20">
        <f t="shared" si="9"/>
        <v>11</v>
      </c>
      <c r="D271" t="s">
        <v>5066</v>
      </c>
      <c r="E271" s="49">
        <v>1</v>
      </c>
      <c r="F271" t="s">
        <v>5067</v>
      </c>
      <c r="G271" t="s">
        <v>21</v>
      </c>
      <c r="H271" t="s">
        <v>37</v>
      </c>
      <c r="I271" s="13">
        <v>55000</v>
      </c>
      <c r="J271" s="13">
        <v>50000</v>
      </c>
      <c r="K271" s="13">
        <f>IF(J271&lt;'Mapa Oficinas'!$I$21,0,IF(J271&gt;'Mapa Oficinas'!$I$20,0,1))</f>
        <v>0</v>
      </c>
      <c r="L271" t="s">
        <v>23</v>
      </c>
      <c r="M271" t="s">
        <v>23</v>
      </c>
      <c r="N271" t="s">
        <v>5068</v>
      </c>
      <c r="O271" t="s">
        <v>822</v>
      </c>
      <c r="P271" t="s">
        <v>45</v>
      </c>
      <c r="Q271">
        <v>2</v>
      </c>
      <c r="R271" t="s">
        <v>823</v>
      </c>
      <c r="S271" t="s">
        <v>28</v>
      </c>
      <c r="T271" t="str">
        <f>VLOOKUP(S271,'Mapa Oficinas'!$H$7:$I$16,2,FALSE)</f>
        <v>CB</v>
      </c>
      <c r="U271" t="s">
        <v>29</v>
      </c>
      <c r="V271" t="str">
        <f>VLOOKUP($R271,'Mapa Oficinas'!$A$7:$C$46,2,FALSE)</f>
        <v>Zona Norte (GBA)</v>
      </c>
      <c r="W271" t="str">
        <f>VLOOKUP($R271,'Mapa Oficinas'!$A$7:$C$46,3,FALSE)</f>
        <v>Pilar</v>
      </c>
    </row>
    <row r="272" spans="1:23" x14ac:dyDescent="0.2">
      <c r="A272" s="1">
        <v>45967</v>
      </c>
      <c r="B272" s="20">
        <f t="shared" si="8"/>
        <v>2025</v>
      </c>
      <c r="C272" s="20">
        <f t="shared" si="9"/>
        <v>11</v>
      </c>
      <c r="D272" t="s">
        <v>5069</v>
      </c>
      <c r="E272" s="49">
        <v>1</v>
      </c>
      <c r="F272" t="s">
        <v>5070</v>
      </c>
      <c r="G272" t="s">
        <v>21</v>
      </c>
      <c r="H272" t="s">
        <v>37</v>
      </c>
      <c r="I272" s="13">
        <v>55000</v>
      </c>
      <c r="J272" s="13">
        <v>50000</v>
      </c>
      <c r="K272" s="13">
        <f>IF(J272&lt;'Mapa Oficinas'!$I$21,0,IF(J272&gt;'Mapa Oficinas'!$I$20,0,1))</f>
        <v>0</v>
      </c>
      <c r="L272" t="s">
        <v>23</v>
      </c>
      <c r="M272" t="s">
        <v>23</v>
      </c>
      <c r="N272" t="s">
        <v>5071</v>
      </c>
      <c r="O272" t="s">
        <v>822</v>
      </c>
      <c r="P272" t="s">
        <v>45</v>
      </c>
      <c r="Q272">
        <v>2</v>
      </c>
      <c r="R272" t="s">
        <v>823</v>
      </c>
      <c r="S272" t="s">
        <v>28</v>
      </c>
      <c r="T272" t="str">
        <f>VLOOKUP(S272,'Mapa Oficinas'!$H$7:$I$16,2,FALSE)</f>
        <v>CB</v>
      </c>
      <c r="U272" t="s">
        <v>29</v>
      </c>
      <c r="V272" t="str">
        <f>VLOOKUP($R272,'Mapa Oficinas'!$A$7:$C$46,2,FALSE)</f>
        <v>Zona Norte (GBA)</v>
      </c>
      <c r="W272" t="str">
        <f>VLOOKUP($R272,'Mapa Oficinas'!$A$7:$C$46,3,FALSE)</f>
        <v>Pilar</v>
      </c>
    </row>
    <row r="273" spans="1:23" x14ac:dyDescent="0.2">
      <c r="A273" s="1">
        <v>45967</v>
      </c>
      <c r="B273" s="20">
        <f t="shared" si="8"/>
        <v>2025</v>
      </c>
      <c r="C273" s="20">
        <f t="shared" si="9"/>
        <v>11</v>
      </c>
      <c r="D273" t="s">
        <v>5072</v>
      </c>
      <c r="E273" s="49">
        <v>1</v>
      </c>
      <c r="F273" t="s">
        <v>5073</v>
      </c>
      <c r="G273" t="s">
        <v>21</v>
      </c>
      <c r="H273" t="s">
        <v>90</v>
      </c>
      <c r="I273" s="13">
        <v>9000</v>
      </c>
      <c r="J273" s="13">
        <v>50000</v>
      </c>
      <c r="K273" s="13">
        <f>IF(J273&lt;'Mapa Oficinas'!$I$21,0,IF(J273&gt;'Mapa Oficinas'!$I$20,0,1))</f>
        <v>0</v>
      </c>
      <c r="L273" t="s">
        <v>23</v>
      </c>
      <c r="M273" t="s">
        <v>23</v>
      </c>
      <c r="N273" t="s">
        <v>5074</v>
      </c>
      <c r="O273" t="s">
        <v>1907</v>
      </c>
      <c r="P273" t="s">
        <v>1625</v>
      </c>
      <c r="Q273">
        <v>2</v>
      </c>
      <c r="R273" t="s">
        <v>62</v>
      </c>
      <c r="S273" t="s">
        <v>28</v>
      </c>
      <c r="T273" t="str">
        <f>VLOOKUP(S273,'Mapa Oficinas'!$H$7:$I$16,2,FALSE)</f>
        <v>CB</v>
      </c>
      <c r="U273" t="s">
        <v>29</v>
      </c>
      <c r="V273" t="str">
        <f>VLOOKUP($R273,'Mapa Oficinas'!$A$7:$C$46,2,FALSE)</f>
        <v>CABA</v>
      </c>
      <c r="W273" t="str">
        <f>VLOOKUP($R273,'Mapa Oficinas'!$A$7:$C$46,3,FALSE)</f>
        <v>Villa Urquiza</v>
      </c>
    </row>
    <row r="274" spans="1:23" x14ac:dyDescent="0.2">
      <c r="A274" s="1">
        <v>45974</v>
      </c>
      <c r="B274" s="20">
        <f t="shared" si="8"/>
        <v>2025</v>
      </c>
      <c r="C274" s="20">
        <f t="shared" si="9"/>
        <v>11</v>
      </c>
      <c r="D274" t="s">
        <v>5181</v>
      </c>
      <c r="E274" s="49">
        <v>1</v>
      </c>
      <c r="F274" t="s">
        <v>5182</v>
      </c>
      <c r="G274" t="s">
        <v>21</v>
      </c>
      <c r="H274" t="s">
        <v>70</v>
      </c>
      <c r="I274" s="13">
        <v>55000</v>
      </c>
      <c r="J274" s="13">
        <v>50000</v>
      </c>
      <c r="K274" s="13">
        <f>IF(J274&lt;'Mapa Oficinas'!$I$21,0,IF(J274&gt;'Mapa Oficinas'!$I$20,0,1))</f>
        <v>0</v>
      </c>
      <c r="L274" t="s">
        <v>23</v>
      </c>
      <c r="M274" t="s">
        <v>23</v>
      </c>
      <c r="N274" t="s">
        <v>5183</v>
      </c>
      <c r="O274" t="s">
        <v>72</v>
      </c>
      <c r="P274" t="s">
        <v>45</v>
      </c>
      <c r="Q274">
        <v>2</v>
      </c>
      <c r="R274" t="s">
        <v>73</v>
      </c>
      <c r="S274" t="s">
        <v>28</v>
      </c>
      <c r="T274" t="str">
        <f>VLOOKUP(S274,'Mapa Oficinas'!$H$7:$I$16,2,FALSE)</f>
        <v>CB</v>
      </c>
      <c r="U274" t="s">
        <v>29</v>
      </c>
      <c r="V274" t="str">
        <f>VLOOKUP($R274,'Mapa Oficinas'!$A$7:$C$46,2,FALSE)</f>
        <v>Interior - Salta</v>
      </c>
      <c r="W274" t="str">
        <f>VLOOKUP($R274,'Mapa Oficinas'!$A$7:$C$46,3,FALSE)</f>
        <v>San Lorenzo Chico</v>
      </c>
    </row>
    <row r="275" spans="1:23" x14ac:dyDescent="0.2">
      <c r="A275" s="1">
        <v>45987</v>
      </c>
      <c r="B275" s="20">
        <f t="shared" si="8"/>
        <v>2025</v>
      </c>
      <c r="C275" s="20">
        <f t="shared" si="9"/>
        <v>11</v>
      </c>
      <c r="D275" t="s">
        <v>5375</v>
      </c>
      <c r="E275" s="49">
        <v>1</v>
      </c>
      <c r="F275" t="s">
        <v>5376</v>
      </c>
      <c r="G275" t="s">
        <v>21</v>
      </c>
      <c r="H275" t="s">
        <v>37</v>
      </c>
      <c r="I275" s="13">
        <v>55000</v>
      </c>
      <c r="J275" s="13">
        <v>50000</v>
      </c>
      <c r="K275" s="13">
        <f>IF(J275&lt;'Mapa Oficinas'!$I$21,0,IF(J275&gt;'Mapa Oficinas'!$I$20,0,1))</f>
        <v>0</v>
      </c>
      <c r="L275" t="s">
        <v>23</v>
      </c>
      <c r="M275" t="s">
        <v>23</v>
      </c>
      <c r="N275" t="s">
        <v>5377</v>
      </c>
      <c r="O275" t="s">
        <v>3842</v>
      </c>
      <c r="P275" t="s">
        <v>45</v>
      </c>
      <c r="Q275">
        <v>2</v>
      </c>
      <c r="R275" t="s">
        <v>27</v>
      </c>
      <c r="S275" t="s">
        <v>28</v>
      </c>
      <c r="T275" t="str">
        <f>VLOOKUP(S275,'Mapa Oficinas'!$H$7:$I$16,2,FALSE)</f>
        <v>CB</v>
      </c>
      <c r="U275" t="s">
        <v>29</v>
      </c>
      <c r="V275" t="str">
        <f>VLOOKUP($R275,'Mapa Oficinas'!$A$7:$C$46,2,FALSE)</f>
        <v>Zona Norte (GBA)</v>
      </c>
      <c r="W275" t="str">
        <f>VLOOKUP($R275,'Mapa Oficinas'!$A$7:$C$46,3,FALSE)</f>
        <v>Tigre</v>
      </c>
    </row>
    <row r="276" spans="1:23" x14ac:dyDescent="0.2">
      <c r="A276" s="1">
        <v>46013</v>
      </c>
      <c r="B276" s="20">
        <f t="shared" si="8"/>
        <v>2025</v>
      </c>
      <c r="C276" s="20">
        <f t="shared" si="9"/>
        <v>12</v>
      </c>
      <c r="D276" t="s">
        <v>5924</v>
      </c>
      <c r="E276" s="49">
        <v>1</v>
      </c>
      <c r="F276" t="s">
        <v>5925</v>
      </c>
      <c r="G276" t="s">
        <v>21</v>
      </c>
      <c r="H276" t="s">
        <v>22</v>
      </c>
      <c r="I276" s="13">
        <v>115000</v>
      </c>
      <c r="J276" s="13">
        <v>50000</v>
      </c>
      <c r="K276" s="13">
        <f>IF(J276&lt;'Mapa Oficinas'!$I$21,0,IF(J276&gt;'Mapa Oficinas'!$I$20,0,1))</f>
        <v>0</v>
      </c>
      <c r="L276" t="s">
        <v>23</v>
      </c>
      <c r="M276" t="s">
        <v>23</v>
      </c>
      <c r="N276" t="s">
        <v>5926</v>
      </c>
      <c r="O276" t="s">
        <v>5927</v>
      </c>
      <c r="P276" t="s">
        <v>34</v>
      </c>
      <c r="Q276">
        <v>2</v>
      </c>
      <c r="R276" t="s">
        <v>62</v>
      </c>
      <c r="S276" t="s">
        <v>28</v>
      </c>
      <c r="T276" t="str">
        <f>VLOOKUP(S276,'Mapa Oficinas'!$H$7:$I$16,2,FALSE)</f>
        <v>CB</v>
      </c>
      <c r="U276" t="s">
        <v>29</v>
      </c>
      <c r="V276" t="str">
        <f>VLOOKUP($R276,'Mapa Oficinas'!$A$7:$C$46,2,FALSE)</f>
        <v>CABA</v>
      </c>
      <c r="W276" t="str">
        <f>VLOOKUP($R276,'Mapa Oficinas'!$A$7:$C$46,3,FALSE)</f>
        <v>Villa Urquiza</v>
      </c>
    </row>
    <row r="277" spans="1:23" x14ac:dyDescent="0.2">
      <c r="A277" s="1">
        <v>46080</v>
      </c>
      <c r="B277" s="20">
        <f t="shared" si="8"/>
        <v>2026</v>
      </c>
      <c r="C277" s="20">
        <f t="shared" si="9"/>
        <v>2</v>
      </c>
      <c r="D277" t="s">
        <v>6874</v>
      </c>
      <c r="E277" s="49">
        <v>1</v>
      </c>
      <c r="F277" t="s">
        <v>6875</v>
      </c>
      <c r="G277" t="s">
        <v>21</v>
      </c>
      <c r="H277" t="s">
        <v>90</v>
      </c>
      <c r="I277" s="13">
        <v>53000</v>
      </c>
      <c r="J277" s="13">
        <v>50000</v>
      </c>
      <c r="K277" s="13">
        <f>IF(J277&lt;'Mapa Oficinas'!$I$21,0,IF(J277&gt;'Mapa Oficinas'!$I$20,0,1))</f>
        <v>0</v>
      </c>
      <c r="L277" t="s">
        <v>23</v>
      </c>
      <c r="M277" t="s">
        <v>23</v>
      </c>
      <c r="N277" t="s">
        <v>6876</v>
      </c>
      <c r="O277" t="s">
        <v>6877</v>
      </c>
      <c r="P277" t="s">
        <v>45</v>
      </c>
      <c r="Q277">
        <v>2</v>
      </c>
      <c r="R277" t="s">
        <v>62</v>
      </c>
      <c r="S277" t="s">
        <v>28</v>
      </c>
      <c r="T277" t="str">
        <f>VLOOKUP(S277,'Mapa Oficinas'!$H$7:$I$16,2,FALSE)</f>
        <v>CB</v>
      </c>
      <c r="U277" t="s">
        <v>29</v>
      </c>
      <c r="V277" t="str">
        <f>VLOOKUP($R277,'Mapa Oficinas'!$A$7:$C$46,2,FALSE)</f>
        <v>CABA</v>
      </c>
      <c r="W277" t="str">
        <f>VLOOKUP($R277,'Mapa Oficinas'!$A$7:$C$46,3,FALSE)</f>
        <v>Villa Urquiza</v>
      </c>
    </row>
    <row r="278" spans="1:23" x14ac:dyDescent="0.2">
      <c r="A278" s="1">
        <v>46091</v>
      </c>
      <c r="B278" s="20">
        <f t="shared" si="8"/>
        <v>2026</v>
      </c>
      <c r="C278" s="20">
        <f t="shared" si="9"/>
        <v>3</v>
      </c>
      <c r="D278" t="s">
        <v>7060</v>
      </c>
      <c r="E278" s="49">
        <v>1</v>
      </c>
      <c r="F278" t="s">
        <v>7061</v>
      </c>
      <c r="G278" t="s">
        <v>21</v>
      </c>
      <c r="H278" t="s">
        <v>90</v>
      </c>
      <c r="I278" s="13">
        <v>55000</v>
      </c>
      <c r="J278" s="13">
        <v>50000</v>
      </c>
      <c r="K278" s="13">
        <f>IF(J278&lt;'Mapa Oficinas'!$I$21,0,IF(J278&gt;'Mapa Oficinas'!$I$20,0,1))</f>
        <v>0</v>
      </c>
      <c r="L278" t="s">
        <v>23</v>
      </c>
      <c r="M278" t="s">
        <v>23</v>
      </c>
      <c r="N278" t="s">
        <v>7062</v>
      </c>
      <c r="O278" t="s">
        <v>7063</v>
      </c>
      <c r="P278" t="s">
        <v>34</v>
      </c>
      <c r="Q278">
        <v>2</v>
      </c>
      <c r="R278" t="s">
        <v>62</v>
      </c>
      <c r="S278" t="s">
        <v>28</v>
      </c>
      <c r="T278" t="str">
        <f>VLOOKUP(S278,'Mapa Oficinas'!$H$7:$I$16,2,FALSE)</f>
        <v>CB</v>
      </c>
      <c r="U278" t="s">
        <v>29</v>
      </c>
      <c r="V278" t="str">
        <f>VLOOKUP($R278,'Mapa Oficinas'!$A$7:$C$46,2,FALSE)</f>
        <v>CABA</v>
      </c>
      <c r="W278" t="str">
        <f>VLOOKUP($R278,'Mapa Oficinas'!$A$7:$C$46,3,FALSE)</f>
        <v>Villa Urquiza</v>
      </c>
    </row>
    <row r="279" spans="1:23" x14ac:dyDescent="0.2">
      <c r="A279" s="1">
        <v>46098</v>
      </c>
      <c r="B279" s="20">
        <f t="shared" si="8"/>
        <v>2026</v>
      </c>
      <c r="C279" s="20">
        <f t="shared" si="9"/>
        <v>3</v>
      </c>
      <c r="D279" t="s">
        <v>7226</v>
      </c>
      <c r="E279" s="49">
        <v>1</v>
      </c>
      <c r="F279" t="s">
        <v>7227</v>
      </c>
      <c r="G279" t="s">
        <v>21</v>
      </c>
      <c r="H279" t="s">
        <v>37</v>
      </c>
      <c r="I279" s="13">
        <v>50000</v>
      </c>
      <c r="J279" s="13">
        <v>50000</v>
      </c>
      <c r="K279" s="13">
        <f>IF(J279&lt;'Mapa Oficinas'!$I$21,0,IF(J279&gt;'Mapa Oficinas'!$I$20,0,1))</f>
        <v>0</v>
      </c>
      <c r="L279" t="s">
        <v>23</v>
      </c>
      <c r="M279" t="s">
        <v>23</v>
      </c>
      <c r="N279" t="s">
        <v>7228</v>
      </c>
      <c r="O279" t="s">
        <v>7229</v>
      </c>
      <c r="P279" t="s">
        <v>26</v>
      </c>
      <c r="Q279">
        <v>2</v>
      </c>
      <c r="R279" t="s">
        <v>62</v>
      </c>
      <c r="S279" t="s">
        <v>28</v>
      </c>
      <c r="T279" t="str">
        <f>VLOOKUP(S279,'Mapa Oficinas'!$H$7:$I$16,2,FALSE)</f>
        <v>CB</v>
      </c>
      <c r="U279" t="s">
        <v>29</v>
      </c>
      <c r="V279" t="str">
        <f>VLOOKUP($R279,'Mapa Oficinas'!$A$7:$C$46,2,FALSE)</f>
        <v>CABA</v>
      </c>
      <c r="W279" t="str">
        <f>VLOOKUP($R279,'Mapa Oficinas'!$A$7:$C$46,3,FALSE)</f>
        <v>Villa Urquiza</v>
      </c>
    </row>
    <row r="280" spans="1:23" x14ac:dyDescent="0.2">
      <c r="A280" s="1">
        <v>45988</v>
      </c>
      <c r="B280" s="20">
        <f t="shared" si="8"/>
        <v>2025</v>
      </c>
      <c r="C280" s="20">
        <f t="shared" si="9"/>
        <v>11</v>
      </c>
      <c r="D280" t="s">
        <v>5390</v>
      </c>
      <c r="E280" s="49">
        <v>1</v>
      </c>
      <c r="F280" t="s">
        <v>5391</v>
      </c>
      <c r="G280" t="s">
        <v>21</v>
      </c>
      <c r="H280" t="s">
        <v>81</v>
      </c>
      <c r="I280" s="13">
        <v>58000</v>
      </c>
      <c r="J280" s="13">
        <v>51000</v>
      </c>
      <c r="K280" s="13">
        <f>IF(J280&lt;'Mapa Oficinas'!$I$21,0,IF(J280&gt;'Mapa Oficinas'!$I$20,0,1))</f>
        <v>0</v>
      </c>
      <c r="L280" t="s">
        <v>23</v>
      </c>
      <c r="M280" t="s">
        <v>23</v>
      </c>
      <c r="N280" t="s">
        <v>5392</v>
      </c>
      <c r="O280" t="s">
        <v>223</v>
      </c>
      <c r="P280" t="s">
        <v>55</v>
      </c>
      <c r="Q280">
        <v>1</v>
      </c>
      <c r="R280" t="s">
        <v>167</v>
      </c>
      <c r="S280" t="s">
        <v>122</v>
      </c>
      <c r="T280" t="str">
        <f>VLOOKUP(S280,'Mapa Oficinas'!$H$7:$I$16,2,FALSE)</f>
        <v>Otra Red Búsqueda</v>
      </c>
      <c r="U280" t="s">
        <v>29</v>
      </c>
      <c r="V280" t="str">
        <f>VLOOKUP($R280,'Mapa Oficinas'!$A$7:$C$46,2,FALSE)</f>
        <v>Interior - Santa Fe</v>
      </c>
      <c r="W280" t="str">
        <f>VLOOKUP($R280,'Mapa Oficinas'!$A$7:$C$46,3,FALSE)</f>
        <v>Capital Santa Fe</v>
      </c>
    </row>
    <row r="281" spans="1:23" x14ac:dyDescent="0.2">
      <c r="A281" s="1">
        <v>45889</v>
      </c>
      <c r="B281" s="20">
        <f t="shared" si="8"/>
        <v>2025</v>
      </c>
      <c r="C281" s="20">
        <f t="shared" si="9"/>
        <v>8</v>
      </c>
      <c r="D281" t="s">
        <v>3655</v>
      </c>
      <c r="E281" s="49">
        <v>1</v>
      </c>
      <c r="F281" t="s">
        <v>3656</v>
      </c>
      <c r="G281" t="s">
        <v>21</v>
      </c>
      <c r="H281" t="s">
        <v>81</v>
      </c>
      <c r="I281" s="13">
        <v>55000</v>
      </c>
      <c r="J281" s="13">
        <v>51000</v>
      </c>
      <c r="K281" s="13">
        <f>IF(J281&lt;'Mapa Oficinas'!$I$21,0,IF(J281&gt;'Mapa Oficinas'!$I$20,0,1))</f>
        <v>0</v>
      </c>
      <c r="L281" t="s">
        <v>23</v>
      </c>
      <c r="M281" t="s">
        <v>23</v>
      </c>
      <c r="N281" t="s">
        <v>3657</v>
      </c>
      <c r="O281" t="s">
        <v>3658</v>
      </c>
      <c r="P281" t="s">
        <v>34</v>
      </c>
      <c r="Q281">
        <v>1</v>
      </c>
      <c r="R281" t="s">
        <v>167</v>
      </c>
      <c r="S281" t="s">
        <v>152</v>
      </c>
      <c r="T281" t="str">
        <f>VLOOKUP(S281,'Mapa Oficinas'!$H$7:$I$16,2,FALSE)</f>
        <v>Otra Red Captación</v>
      </c>
      <c r="U281" t="s">
        <v>29</v>
      </c>
      <c r="V281" t="str">
        <f>VLOOKUP($R281,'Mapa Oficinas'!$A$7:$C$46,2,FALSE)</f>
        <v>Interior - Santa Fe</v>
      </c>
      <c r="W281" t="str">
        <f>VLOOKUP($R281,'Mapa Oficinas'!$A$7:$C$46,3,FALSE)</f>
        <v>Capital Santa Fe</v>
      </c>
    </row>
    <row r="282" spans="1:23" x14ac:dyDescent="0.2">
      <c r="A282" s="1">
        <v>45901</v>
      </c>
      <c r="B282" s="20">
        <f t="shared" si="8"/>
        <v>2025</v>
      </c>
      <c r="C282" s="20">
        <f t="shared" si="9"/>
        <v>9</v>
      </c>
      <c r="D282" t="s">
        <v>3937</v>
      </c>
      <c r="E282" s="49">
        <v>1</v>
      </c>
      <c r="F282" t="s">
        <v>3938</v>
      </c>
      <c r="G282" t="s">
        <v>21</v>
      </c>
      <c r="H282" t="s">
        <v>37</v>
      </c>
      <c r="I282" s="13">
        <v>60000</v>
      </c>
      <c r="J282" s="13">
        <v>51000</v>
      </c>
      <c r="K282" s="13">
        <f>IF(J282&lt;'Mapa Oficinas'!$I$21,0,IF(J282&gt;'Mapa Oficinas'!$I$20,0,1))</f>
        <v>0</v>
      </c>
      <c r="L282" t="s">
        <v>23</v>
      </c>
      <c r="M282" t="s">
        <v>23</v>
      </c>
      <c r="N282" t="s">
        <v>3939</v>
      </c>
      <c r="O282" t="s">
        <v>3940</v>
      </c>
      <c r="P282" t="s">
        <v>34</v>
      </c>
      <c r="Q282">
        <v>2</v>
      </c>
      <c r="R282" t="s">
        <v>135</v>
      </c>
      <c r="S282" t="s">
        <v>79</v>
      </c>
      <c r="T282" t="str">
        <f>VLOOKUP(S282,'Mapa Oficinas'!$H$7:$I$16,2,FALSE)</f>
        <v>CB</v>
      </c>
      <c r="U282" t="s">
        <v>29</v>
      </c>
      <c r="V282" t="str">
        <f>VLOOKUP($R282,'Mapa Oficinas'!$A$7:$C$46,2,FALSE)</f>
        <v>CABA</v>
      </c>
      <c r="W282" t="str">
        <f>VLOOKUP($R282,'Mapa Oficinas'!$A$7:$C$46,3,FALSE)</f>
        <v>Recoleta</v>
      </c>
    </row>
    <row r="283" spans="1:23" x14ac:dyDescent="0.2">
      <c r="A283" s="1">
        <v>45833</v>
      </c>
      <c r="B283" s="20">
        <f t="shared" si="8"/>
        <v>2025</v>
      </c>
      <c r="C283" s="20">
        <f t="shared" si="9"/>
        <v>6</v>
      </c>
      <c r="E283" s="49">
        <v>3</v>
      </c>
      <c r="F283" t="s">
        <v>2629</v>
      </c>
      <c r="G283" t="s">
        <v>21</v>
      </c>
      <c r="H283" t="s">
        <v>76</v>
      </c>
      <c r="I283" s="13">
        <v>51000</v>
      </c>
      <c r="J283" s="13">
        <v>51000</v>
      </c>
      <c r="K283" s="13">
        <f>IF(J283&lt;'Mapa Oficinas'!$I$21,0,IF(J283&gt;'Mapa Oficinas'!$I$20,0,1))</f>
        <v>0</v>
      </c>
      <c r="L283" t="s">
        <v>23</v>
      </c>
      <c r="M283" t="s">
        <v>23</v>
      </c>
      <c r="N283" t="s">
        <v>2630</v>
      </c>
      <c r="O283" t="s">
        <v>1770</v>
      </c>
      <c r="P283" t="s">
        <v>26</v>
      </c>
      <c r="Q283">
        <v>2</v>
      </c>
      <c r="R283" t="s">
        <v>84</v>
      </c>
      <c r="S283" t="s">
        <v>241</v>
      </c>
      <c r="T283" t="str">
        <f>VLOOKUP(S283,'Mapa Oficinas'!$H$7:$I$16,2,FALSE)</f>
        <v>CB</v>
      </c>
      <c r="U283" t="s">
        <v>29</v>
      </c>
      <c r="V283" t="str">
        <f>VLOOKUP($R283,'Mapa Oficinas'!$A$7:$C$46,2,FALSE)</f>
        <v>Interior - Neuquén</v>
      </c>
      <c r="W283" t="str">
        <f>VLOOKUP($R283,'Mapa Oficinas'!$A$7:$C$46,3,FALSE)</f>
        <v>Villa La Angostura</v>
      </c>
    </row>
    <row r="284" spans="1:23" x14ac:dyDescent="0.2">
      <c r="A284" s="1">
        <v>45842</v>
      </c>
      <c r="B284" s="20">
        <f t="shared" si="8"/>
        <v>2025</v>
      </c>
      <c r="C284" s="20">
        <f t="shared" si="9"/>
        <v>7</v>
      </c>
      <c r="D284" t="s">
        <v>2866</v>
      </c>
      <c r="E284" s="49">
        <v>1</v>
      </c>
      <c r="F284" t="s">
        <v>2867</v>
      </c>
      <c r="G284" t="s">
        <v>21</v>
      </c>
      <c r="H284" t="s">
        <v>76</v>
      </c>
      <c r="I284" s="13">
        <v>55000</v>
      </c>
      <c r="J284" s="13">
        <v>51000</v>
      </c>
      <c r="K284" s="13">
        <f>IF(J284&lt;'Mapa Oficinas'!$I$21,0,IF(J284&gt;'Mapa Oficinas'!$I$20,0,1))</f>
        <v>0</v>
      </c>
      <c r="L284" t="s">
        <v>23</v>
      </c>
      <c r="M284" t="s">
        <v>23</v>
      </c>
      <c r="N284" t="s">
        <v>2868</v>
      </c>
      <c r="O284" t="s">
        <v>1958</v>
      </c>
      <c r="P284" t="s">
        <v>45</v>
      </c>
      <c r="Q284">
        <v>1</v>
      </c>
      <c r="R284" t="s">
        <v>103</v>
      </c>
      <c r="S284" t="s">
        <v>47</v>
      </c>
      <c r="T284" t="str">
        <f>VLOOKUP(S284,'Mapa Oficinas'!$H$7:$I$16,2,FALSE)</f>
        <v>Otra Red Búsqueda</v>
      </c>
      <c r="U284" t="s">
        <v>29</v>
      </c>
      <c r="V284" t="str">
        <f>VLOOKUP($R284,'Mapa Oficinas'!$A$7:$C$46,2,FALSE)</f>
        <v>Zona Sur (GBA)</v>
      </c>
      <c r="W284" t="str">
        <f>VLOOKUP($R284,'Mapa Oficinas'!$A$7:$C$46,3,FALSE)</f>
        <v>La Plata</v>
      </c>
    </row>
    <row r="285" spans="1:23" x14ac:dyDescent="0.2">
      <c r="A285" s="1">
        <v>45870</v>
      </c>
      <c r="B285" s="20">
        <f t="shared" si="8"/>
        <v>2025</v>
      </c>
      <c r="C285" s="20">
        <f t="shared" si="9"/>
        <v>8</v>
      </c>
      <c r="D285" t="s">
        <v>3371</v>
      </c>
      <c r="E285" s="49">
        <v>1</v>
      </c>
      <c r="F285" t="s">
        <v>3372</v>
      </c>
      <c r="G285" t="s">
        <v>21</v>
      </c>
      <c r="H285" t="s">
        <v>100</v>
      </c>
      <c r="I285" s="13">
        <v>55000</v>
      </c>
      <c r="J285" s="13">
        <v>51000</v>
      </c>
      <c r="K285" s="13">
        <f>IF(J285&lt;'Mapa Oficinas'!$I$21,0,IF(J285&gt;'Mapa Oficinas'!$I$20,0,1))</f>
        <v>0</v>
      </c>
      <c r="L285" t="s">
        <v>23</v>
      </c>
      <c r="M285" t="s">
        <v>23</v>
      </c>
      <c r="N285" t="s">
        <v>3373</v>
      </c>
      <c r="O285" t="s">
        <v>102</v>
      </c>
      <c r="P285" t="s">
        <v>45</v>
      </c>
      <c r="Q285">
        <v>1</v>
      </c>
      <c r="R285" t="s">
        <v>103</v>
      </c>
      <c r="S285" t="s">
        <v>47</v>
      </c>
      <c r="T285" t="str">
        <f>VLOOKUP(S285,'Mapa Oficinas'!$H$7:$I$16,2,FALSE)</f>
        <v>Otra Red Búsqueda</v>
      </c>
      <c r="U285" t="s">
        <v>29</v>
      </c>
      <c r="V285" t="str">
        <f>VLOOKUP($R285,'Mapa Oficinas'!$A$7:$C$46,2,FALSE)</f>
        <v>Zona Sur (GBA)</v>
      </c>
      <c r="W285" t="str">
        <f>VLOOKUP($R285,'Mapa Oficinas'!$A$7:$C$46,3,FALSE)</f>
        <v>La Plata</v>
      </c>
    </row>
    <row r="286" spans="1:23" x14ac:dyDescent="0.2">
      <c r="A286" s="1">
        <v>45930</v>
      </c>
      <c r="B286" s="20">
        <f t="shared" si="8"/>
        <v>2025</v>
      </c>
      <c r="C286" s="20">
        <f t="shared" si="9"/>
        <v>9</v>
      </c>
      <c r="D286">
        <v>30092025</v>
      </c>
      <c r="E286" s="49">
        <v>1</v>
      </c>
      <c r="F286" t="s">
        <v>4409</v>
      </c>
      <c r="G286" t="s">
        <v>21</v>
      </c>
      <c r="H286" t="s">
        <v>119</v>
      </c>
      <c r="I286" s="13">
        <v>51000</v>
      </c>
      <c r="J286" s="13">
        <v>51000</v>
      </c>
      <c r="K286" s="13">
        <f>IF(J286&lt;'Mapa Oficinas'!$I$21,0,IF(J286&gt;'Mapa Oficinas'!$I$20,0,1))</f>
        <v>0</v>
      </c>
      <c r="L286" t="s">
        <v>23</v>
      </c>
      <c r="M286" t="s">
        <v>23</v>
      </c>
      <c r="O286" t="s">
        <v>2285</v>
      </c>
      <c r="P286" t="s">
        <v>45</v>
      </c>
      <c r="Q286">
        <v>2</v>
      </c>
      <c r="R286" t="s">
        <v>121</v>
      </c>
      <c r="S286" t="s">
        <v>404</v>
      </c>
      <c r="T286" t="str">
        <f>VLOOKUP(S286,'Mapa Oficinas'!$H$7:$I$16,2,FALSE)</f>
        <v>CB</v>
      </c>
      <c r="U286" t="s">
        <v>29</v>
      </c>
      <c r="V286" t="str">
        <f>VLOOKUP($R286,'Mapa Oficinas'!$A$7:$C$46,2,FALSE)</f>
        <v>Interior - Río Negro</v>
      </c>
      <c r="W286" t="str">
        <f>VLOOKUP($R286,'Mapa Oficinas'!$A$7:$C$46,3,FALSE)</f>
        <v>Bariloche</v>
      </c>
    </row>
    <row r="287" spans="1:23" x14ac:dyDescent="0.2">
      <c r="A287" s="1">
        <v>45915</v>
      </c>
      <c r="B287" s="20">
        <f t="shared" si="8"/>
        <v>2025</v>
      </c>
      <c r="C287" s="20">
        <f t="shared" si="9"/>
        <v>9</v>
      </c>
      <c r="D287" t="s">
        <v>4133</v>
      </c>
      <c r="E287" s="49">
        <v>1</v>
      </c>
      <c r="F287" t="s">
        <v>4134</v>
      </c>
      <c r="G287" t="s">
        <v>21</v>
      </c>
      <c r="H287" t="s">
        <v>22</v>
      </c>
      <c r="I287" s="13">
        <v>53000</v>
      </c>
      <c r="J287" s="13">
        <v>51000</v>
      </c>
      <c r="K287" s="13">
        <f>IF(J287&lt;'Mapa Oficinas'!$I$21,0,IF(J287&gt;'Mapa Oficinas'!$I$20,0,1))</f>
        <v>0</v>
      </c>
      <c r="L287" t="s">
        <v>23</v>
      </c>
      <c r="M287" t="s">
        <v>23</v>
      </c>
      <c r="N287" t="s">
        <v>4135</v>
      </c>
      <c r="O287" t="s">
        <v>2285</v>
      </c>
      <c r="P287" t="s">
        <v>45</v>
      </c>
      <c r="Q287">
        <v>2</v>
      </c>
      <c r="R287" t="s">
        <v>62</v>
      </c>
      <c r="S287" t="s">
        <v>1265</v>
      </c>
      <c r="T287" t="str">
        <f>VLOOKUP(S287,'Mapa Oficinas'!$H$7:$I$16,2,FALSE)</f>
        <v>CB</v>
      </c>
      <c r="U287" t="s">
        <v>29</v>
      </c>
      <c r="V287" t="str">
        <f>VLOOKUP($R287,'Mapa Oficinas'!$A$7:$C$46,2,FALSE)</f>
        <v>CABA</v>
      </c>
      <c r="W287" t="str">
        <f>VLOOKUP($R287,'Mapa Oficinas'!$A$7:$C$46,3,FALSE)</f>
        <v>Villa Urquiza</v>
      </c>
    </row>
    <row r="288" spans="1:23" x14ac:dyDescent="0.2">
      <c r="A288" s="1">
        <v>45729</v>
      </c>
      <c r="B288" s="20">
        <f t="shared" si="8"/>
        <v>2025</v>
      </c>
      <c r="C288" s="20">
        <f t="shared" si="9"/>
        <v>3</v>
      </c>
      <c r="D288" t="s">
        <v>930</v>
      </c>
      <c r="E288" s="49">
        <v>1</v>
      </c>
      <c r="F288" t="s">
        <v>931</v>
      </c>
      <c r="G288" t="s">
        <v>21</v>
      </c>
      <c r="H288" t="s">
        <v>37</v>
      </c>
      <c r="I288" s="13">
        <v>51000</v>
      </c>
      <c r="J288" s="13">
        <v>51000</v>
      </c>
      <c r="K288" s="13">
        <f>IF(J288&lt;'Mapa Oficinas'!$I$21,0,IF(J288&gt;'Mapa Oficinas'!$I$20,0,1))</f>
        <v>0</v>
      </c>
      <c r="L288" t="s">
        <v>23</v>
      </c>
      <c r="M288" t="s">
        <v>23</v>
      </c>
      <c r="O288" t="s">
        <v>932</v>
      </c>
      <c r="P288" t="s">
        <v>26</v>
      </c>
      <c r="Q288">
        <v>2</v>
      </c>
      <c r="R288" t="s">
        <v>321</v>
      </c>
      <c r="S288" t="s">
        <v>28</v>
      </c>
      <c r="T288" t="str">
        <f>VLOOKUP(S288,'Mapa Oficinas'!$H$7:$I$16,2,FALSE)</f>
        <v>CB</v>
      </c>
      <c r="U288" t="s">
        <v>29</v>
      </c>
      <c r="V288" t="str">
        <f>VLOOKUP($R288,'Mapa Oficinas'!$A$7:$C$46,2,FALSE)</f>
        <v>CABA</v>
      </c>
      <c r="W288" t="str">
        <f>VLOOKUP($R288,'Mapa Oficinas'!$A$7:$C$46,3,FALSE)</f>
        <v>Palermo</v>
      </c>
    </row>
    <row r="289" spans="1:23" x14ac:dyDescent="0.2">
      <c r="A289" s="1">
        <v>45798</v>
      </c>
      <c r="B289" s="20">
        <f t="shared" si="8"/>
        <v>2025</v>
      </c>
      <c r="C289" s="20">
        <f t="shared" si="9"/>
        <v>5</v>
      </c>
      <c r="D289" t="s">
        <v>2053</v>
      </c>
      <c r="E289" s="49">
        <v>1</v>
      </c>
      <c r="F289" t="s">
        <v>2054</v>
      </c>
      <c r="G289" t="s">
        <v>21</v>
      </c>
      <c r="H289" t="s">
        <v>22</v>
      </c>
      <c r="I289" s="13">
        <v>51000</v>
      </c>
      <c r="J289" s="13">
        <v>51000</v>
      </c>
      <c r="K289" s="13">
        <f>IF(J289&lt;'Mapa Oficinas'!$I$21,0,IF(J289&gt;'Mapa Oficinas'!$I$20,0,1))</f>
        <v>0</v>
      </c>
      <c r="L289" t="s">
        <v>23</v>
      </c>
      <c r="M289" t="s">
        <v>23</v>
      </c>
      <c r="O289" t="s">
        <v>50</v>
      </c>
      <c r="P289" t="s">
        <v>45</v>
      </c>
      <c r="Q289">
        <v>2</v>
      </c>
      <c r="R289" t="s">
        <v>321</v>
      </c>
      <c r="S289" t="s">
        <v>28</v>
      </c>
      <c r="T289" t="str">
        <f>VLOOKUP(S289,'Mapa Oficinas'!$H$7:$I$16,2,FALSE)</f>
        <v>CB</v>
      </c>
      <c r="U289" t="s">
        <v>29</v>
      </c>
      <c r="V289" t="str">
        <f>VLOOKUP($R289,'Mapa Oficinas'!$A$7:$C$46,2,FALSE)</f>
        <v>CABA</v>
      </c>
      <c r="W289" t="str">
        <f>VLOOKUP($R289,'Mapa Oficinas'!$A$7:$C$46,3,FALSE)</f>
        <v>Palermo</v>
      </c>
    </row>
    <row r="290" spans="1:23" x14ac:dyDescent="0.2">
      <c r="A290" s="1">
        <v>45992</v>
      </c>
      <c r="B290" s="20">
        <f t="shared" si="8"/>
        <v>2025</v>
      </c>
      <c r="C290" s="20">
        <f t="shared" si="9"/>
        <v>12</v>
      </c>
      <c r="D290" t="s">
        <v>5485</v>
      </c>
      <c r="E290" s="49">
        <v>1</v>
      </c>
      <c r="F290" t="s">
        <v>5486</v>
      </c>
      <c r="G290" t="s">
        <v>21</v>
      </c>
      <c r="H290" t="s">
        <v>37</v>
      </c>
      <c r="I290" s="13">
        <v>56000</v>
      </c>
      <c r="J290" s="13">
        <v>51000</v>
      </c>
      <c r="K290" s="13">
        <f>IF(J290&lt;'Mapa Oficinas'!$I$21,0,IF(J290&gt;'Mapa Oficinas'!$I$20,0,1))</f>
        <v>0</v>
      </c>
      <c r="L290" t="s">
        <v>23</v>
      </c>
      <c r="M290" t="s">
        <v>23</v>
      </c>
      <c r="N290" t="s">
        <v>5487</v>
      </c>
      <c r="O290" t="s">
        <v>4157</v>
      </c>
      <c r="P290" t="s">
        <v>34</v>
      </c>
      <c r="Q290">
        <v>2</v>
      </c>
      <c r="R290" t="s">
        <v>151</v>
      </c>
      <c r="S290" t="s">
        <v>28</v>
      </c>
      <c r="T290" t="str">
        <f>VLOOKUP(S290,'Mapa Oficinas'!$H$7:$I$16,2,FALSE)</f>
        <v>CB</v>
      </c>
      <c r="U290" t="s">
        <v>29</v>
      </c>
      <c r="V290" t="str">
        <f>VLOOKUP($R290,'Mapa Oficinas'!$A$7:$C$46,2,FALSE)</f>
        <v>Interior - Mendoza</v>
      </c>
      <c r="W290" t="str">
        <f>VLOOKUP($R290,'Mapa Oficinas'!$A$7:$C$46,3,FALSE)</f>
        <v>Capital Mendoza</v>
      </c>
    </row>
    <row r="291" spans="1:23" x14ac:dyDescent="0.2">
      <c r="A291" s="1">
        <v>46046</v>
      </c>
      <c r="B291" s="20">
        <f t="shared" si="8"/>
        <v>2026</v>
      </c>
      <c r="C291" s="20">
        <f t="shared" si="9"/>
        <v>1</v>
      </c>
      <c r="E291" s="49">
        <v>1</v>
      </c>
      <c r="F291" t="s">
        <v>6395</v>
      </c>
      <c r="G291" t="s">
        <v>21</v>
      </c>
      <c r="H291" t="s">
        <v>81</v>
      </c>
      <c r="I291" s="13">
        <v>51000</v>
      </c>
      <c r="J291" s="13">
        <v>51000</v>
      </c>
      <c r="K291" s="13">
        <f>IF(J291&lt;'Mapa Oficinas'!$I$21,0,IF(J291&gt;'Mapa Oficinas'!$I$20,0,1))</f>
        <v>0</v>
      </c>
      <c r="L291" t="s">
        <v>23</v>
      </c>
      <c r="M291" t="s">
        <v>23</v>
      </c>
      <c r="N291" t="s">
        <v>1621</v>
      </c>
      <c r="O291" t="s">
        <v>505</v>
      </c>
      <c r="P291" t="s">
        <v>26</v>
      </c>
      <c r="Q291">
        <v>2</v>
      </c>
      <c r="R291" t="s">
        <v>84</v>
      </c>
      <c r="S291" t="s">
        <v>28</v>
      </c>
      <c r="T291" t="str">
        <f>VLOOKUP(S291,'Mapa Oficinas'!$H$7:$I$16,2,FALSE)</f>
        <v>CB</v>
      </c>
      <c r="U291" t="s">
        <v>29</v>
      </c>
      <c r="V291" t="str">
        <f>VLOOKUP($R291,'Mapa Oficinas'!$A$7:$C$46,2,FALSE)</f>
        <v>Interior - Neuquén</v>
      </c>
      <c r="W291" t="str">
        <f>VLOOKUP($R291,'Mapa Oficinas'!$A$7:$C$46,3,FALSE)</f>
        <v>Villa La Angostura</v>
      </c>
    </row>
    <row r="292" spans="1:23" x14ac:dyDescent="0.2">
      <c r="A292" s="1">
        <v>46058</v>
      </c>
      <c r="B292" s="20">
        <f t="shared" si="8"/>
        <v>2026</v>
      </c>
      <c r="C292" s="20">
        <f t="shared" si="9"/>
        <v>2</v>
      </c>
      <c r="D292" t="s">
        <v>6546</v>
      </c>
      <c r="E292" s="49">
        <v>1</v>
      </c>
      <c r="F292" t="s">
        <v>6547</v>
      </c>
      <c r="G292" t="s">
        <v>21</v>
      </c>
      <c r="H292" t="s">
        <v>22</v>
      </c>
      <c r="I292" s="13">
        <v>58000</v>
      </c>
      <c r="J292" s="13">
        <v>51000</v>
      </c>
      <c r="K292" s="13">
        <f>IF(J292&lt;'Mapa Oficinas'!$I$21,0,IF(J292&gt;'Mapa Oficinas'!$I$20,0,1))</f>
        <v>0</v>
      </c>
      <c r="L292" t="s">
        <v>23</v>
      </c>
      <c r="M292" t="s">
        <v>23</v>
      </c>
      <c r="N292" t="s">
        <v>6548</v>
      </c>
      <c r="O292" t="s">
        <v>634</v>
      </c>
      <c r="P292" t="s">
        <v>45</v>
      </c>
      <c r="Q292">
        <v>2</v>
      </c>
      <c r="R292" t="s">
        <v>823</v>
      </c>
      <c r="S292" t="s">
        <v>28</v>
      </c>
      <c r="T292" t="str">
        <f>VLOOKUP(S292,'Mapa Oficinas'!$H$7:$I$16,2,FALSE)</f>
        <v>CB</v>
      </c>
      <c r="U292" t="s">
        <v>29</v>
      </c>
      <c r="V292" t="str">
        <f>VLOOKUP($R292,'Mapa Oficinas'!$A$7:$C$46,2,FALSE)</f>
        <v>Zona Norte (GBA)</v>
      </c>
      <c r="W292" t="str">
        <f>VLOOKUP($R292,'Mapa Oficinas'!$A$7:$C$46,3,FALSE)</f>
        <v>Pilar</v>
      </c>
    </row>
    <row r="293" spans="1:23" x14ac:dyDescent="0.2">
      <c r="A293" s="1">
        <v>45835</v>
      </c>
      <c r="B293" s="20">
        <f t="shared" si="8"/>
        <v>2025</v>
      </c>
      <c r="C293" s="20">
        <f t="shared" si="9"/>
        <v>6</v>
      </c>
      <c r="D293" t="s">
        <v>2682</v>
      </c>
      <c r="E293" s="49">
        <v>1</v>
      </c>
      <c r="F293" t="s">
        <v>2683</v>
      </c>
      <c r="G293" t="s">
        <v>21</v>
      </c>
      <c r="H293" t="s">
        <v>81</v>
      </c>
      <c r="I293" s="13">
        <v>52000</v>
      </c>
      <c r="J293" s="13">
        <v>51500</v>
      </c>
      <c r="K293" s="13">
        <f>IF(J293&lt;'Mapa Oficinas'!$I$21,0,IF(J293&gt;'Mapa Oficinas'!$I$20,0,1))</f>
        <v>0</v>
      </c>
      <c r="L293" t="s">
        <v>23</v>
      </c>
      <c r="M293" t="s">
        <v>23</v>
      </c>
      <c r="N293" t="s">
        <v>2684</v>
      </c>
      <c r="O293" t="s">
        <v>223</v>
      </c>
      <c r="P293" t="s">
        <v>45</v>
      </c>
      <c r="Q293">
        <v>1</v>
      </c>
      <c r="R293" t="s">
        <v>167</v>
      </c>
      <c r="S293" t="s">
        <v>122</v>
      </c>
      <c r="T293" t="str">
        <f>VLOOKUP(S293,'Mapa Oficinas'!$H$7:$I$16,2,FALSE)</f>
        <v>Otra Red Búsqueda</v>
      </c>
      <c r="U293" t="s">
        <v>29</v>
      </c>
      <c r="V293" t="str">
        <f>VLOOKUP($R293,'Mapa Oficinas'!$A$7:$C$46,2,FALSE)</f>
        <v>Interior - Santa Fe</v>
      </c>
      <c r="W293" t="str">
        <f>VLOOKUP($R293,'Mapa Oficinas'!$A$7:$C$46,3,FALSE)</f>
        <v>Capital Santa Fe</v>
      </c>
    </row>
    <row r="294" spans="1:23" x14ac:dyDescent="0.2">
      <c r="A294" s="1">
        <v>45805</v>
      </c>
      <c r="B294" s="20">
        <f t="shared" si="8"/>
        <v>2025</v>
      </c>
      <c r="C294" s="20">
        <f t="shared" si="9"/>
        <v>5</v>
      </c>
      <c r="D294" t="s">
        <v>2154</v>
      </c>
      <c r="E294" s="49">
        <v>1</v>
      </c>
      <c r="F294" t="s">
        <v>2155</v>
      </c>
      <c r="G294" t="s">
        <v>21</v>
      </c>
      <c r="H294" t="s">
        <v>37</v>
      </c>
      <c r="I294" s="13">
        <v>51500</v>
      </c>
      <c r="J294" s="13">
        <v>51500</v>
      </c>
      <c r="K294" s="13">
        <f>IF(J294&lt;'Mapa Oficinas'!$I$21,0,IF(J294&gt;'Mapa Oficinas'!$I$20,0,1))</f>
        <v>0</v>
      </c>
      <c r="L294" t="s">
        <v>23</v>
      </c>
      <c r="M294" t="s">
        <v>23</v>
      </c>
      <c r="N294" t="s">
        <v>2156</v>
      </c>
      <c r="O294" t="s">
        <v>436</v>
      </c>
      <c r="P294" t="s">
        <v>45</v>
      </c>
      <c r="Q294">
        <v>2</v>
      </c>
      <c r="R294" t="s">
        <v>183</v>
      </c>
      <c r="S294" t="s">
        <v>79</v>
      </c>
      <c r="T294" t="str">
        <f>VLOOKUP(S294,'Mapa Oficinas'!$H$7:$I$16,2,FALSE)</f>
        <v>CB</v>
      </c>
      <c r="U294" t="s">
        <v>29</v>
      </c>
      <c r="V294" t="str">
        <f>VLOOKUP($R294,'Mapa Oficinas'!$A$7:$C$46,2,FALSE)</f>
        <v>Interior - Neuquén</v>
      </c>
      <c r="W294" t="str">
        <f>VLOOKUP($R294,'Mapa Oficinas'!$A$7:$C$46,3,FALSE)</f>
        <v>Capital Neuquén</v>
      </c>
    </row>
    <row r="295" spans="1:23" x14ac:dyDescent="0.2">
      <c r="A295" s="1">
        <v>45992</v>
      </c>
      <c r="B295" s="20">
        <f t="shared" si="8"/>
        <v>2025</v>
      </c>
      <c r="C295" s="20">
        <f t="shared" si="9"/>
        <v>12</v>
      </c>
      <c r="D295" t="s">
        <v>3535</v>
      </c>
      <c r="E295" s="49">
        <v>1</v>
      </c>
      <c r="F295" t="s">
        <v>3536</v>
      </c>
      <c r="G295" t="s">
        <v>21</v>
      </c>
      <c r="H295" t="s">
        <v>37</v>
      </c>
      <c r="I295" s="13">
        <v>52000</v>
      </c>
      <c r="J295" s="13">
        <v>51500</v>
      </c>
      <c r="K295" s="13">
        <f>IF(J295&lt;'Mapa Oficinas'!$I$21,0,IF(J295&gt;'Mapa Oficinas'!$I$20,0,1))</f>
        <v>0</v>
      </c>
      <c r="L295" t="s">
        <v>23</v>
      </c>
      <c r="M295" t="s">
        <v>23</v>
      </c>
      <c r="N295" t="s">
        <v>3537</v>
      </c>
      <c r="O295" t="s">
        <v>3538</v>
      </c>
      <c r="P295" t="s">
        <v>34</v>
      </c>
      <c r="Q295">
        <v>2</v>
      </c>
      <c r="R295" t="s">
        <v>103</v>
      </c>
      <c r="S295" t="s">
        <v>79</v>
      </c>
      <c r="T295" t="str">
        <f>VLOOKUP(S295,'Mapa Oficinas'!$H$7:$I$16,2,FALSE)</f>
        <v>CB</v>
      </c>
      <c r="U295" t="s">
        <v>29</v>
      </c>
      <c r="V295" t="str">
        <f>VLOOKUP($R295,'Mapa Oficinas'!$A$7:$C$46,2,FALSE)</f>
        <v>Zona Sur (GBA)</v>
      </c>
      <c r="W295" t="str">
        <f>VLOOKUP($R295,'Mapa Oficinas'!$A$7:$C$46,3,FALSE)</f>
        <v>La Plata</v>
      </c>
    </row>
    <row r="296" spans="1:23" x14ac:dyDescent="0.2">
      <c r="A296" s="1">
        <v>45797</v>
      </c>
      <c r="B296" s="20">
        <f t="shared" si="8"/>
        <v>2025</v>
      </c>
      <c r="C296" s="20">
        <f t="shared" si="9"/>
        <v>5</v>
      </c>
      <c r="D296" t="s">
        <v>2028</v>
      </c>
      <c r="E296" s="49">
        <v>3</v>
      </c>
      <c r="F296" t="s">
        <v>2029</v>
      </c>
      <c r="G296" t="s">
        <v>21</v>
      </c>
      <c r="H296" t="s">
        <v>362</v>
      </c>
      <c r="I296" s="13">
        <v>53000</v>
      </c>
      <c r="J296" s="13">
        <v>51500</v>
      </c>
      <c r="K296" s="13">
        <f>IF(J296&lt;'Mapa Oficinas'!$I$21,0,IF(J296&gt;'Mapa Oficinas'!$I$20,0,1))</f>
        <v>0</v>
      </c>
      <c r="L296" t="s">
        <v>23</v>
      </c>
      <c r="M296" t="s">
        <v>23</v>
      </c>
      <c r="N296" t="s">
        <v>2030</v>
      </c>
      <c r="O296" t="s">
        <v>2031</v>
      </c>
      <c r="P296" t="s">
        <v>26</v>
      </c>
      <c r="Q296">
        <v>2</v>
      </c>
      <c r="R296" t="s">
        <v>130</v>
      </c>
      <c r="S296" t="s">
        <v>241</v>
      </c>
      <c r="T296" t="str">
        <f>VLOOKUP(S296,'Mapa Oficinas'!$H$7:$I$16,2,FALSE)</f>
        <v>CB</v>
      </c>
      <c r="U296" t="s">
        <v>29</v>
      </c>
      <c r="V296" t="str">
        <f>VLOOKUP($R296,'Mapa Oficinas'!$A$7:$C$46,2,FALSE)</f>
        <v>Interior - Neuquén</v>
      </c>
      <c r="W296" t="str">
        <f>VLOOKUP($R296,'Mapa Oficinas'!$A$7:$C$46,3,FALSE)</f>
        <v>San Martín de los Andes</v>
      </c>
    </row>
    <row r="297" spans="1:23" x14ac:dyDescent="0.2">
      <c r="A297" s="1">
        <v>45826</v>
      </c>
      <c r="B297" s="20">
        <f t="shared" si="8"/>
        <v>2025</v>
      </c>
      <c r="C297" s="20">
        <f t="shared" si="9"/>
        <v>6</v>
      </c>
      <c r="D297" t="s">
        <v>2541</v>
      </c>
      <c r="E297" s="49">
        <v>1</v>
      </c>
      <c r="F297" t="s">
        <v>2541</v>
      </c>
      <c r="G297" t="s">
        <v>21</v>
      </c>
      <c r="H297" t="s">
        <v>37</v>
      </c>
      <c r="I297" s="13">
        <v>51500</v>
      </c>
      <c r="J297" s="13">
        <v>51500</v>
      </c>
      <c r="K297" s="13">
        <f>IF(J297&lt;'Mapa Oficinas'!$I$21,0,IF(J297&gt;'Mapa Oficinas'!$I$20,0,1))</f>
        <v>0</v>
      </c>
      <c r="L297" t="s">
        <v>23</v>
      </c>
      <c r="M297" t="s">
        <v>23</v>
      </c>
      <c r="O297" t="s">
        <v>303</v>
      </c>
      <c r="P297" t="s">
        <v>45</v>
      </c>
      <c r="Q297">
        <v>1</v>
      </c>
      <c r="R297" t="s">
        <v>183</v>
      </c>
      <c r="S297" t="s">
        <v>47</v>
      </c>
      <c r="T297" t="str">
        <f>VLOOKUP(S297,'Mapa Oficinas'!$H$7:$I$16,2,FALSE)</f>
        <v>Otra Red Búsqueda</v>
      </c>
      <c r="U297" t="s">
        <v>29</v>
      </c>
      <c r="V297" t="str">
        <f>VLOOKUP($R297,'Mapa Oficinas'!$A$7:$C$46,2,FALSE)</f>
        <v>Interior - Neuquén</v>
      </c>
      <c r="W297" t="str">
        <f>VLOOKUP($R297,'Mapa Oficinas'!$A$7:$C$46,3,FALSE)</f>
        <v>Capital Neuquén</v>
      </c>
    </row>
    <row r="298" spans="1:23" x14ac:dyDescent="0.2">
      <c r="A298" s="1">
        <v>45762</v>
      </c>
      <c r="B298" s="20">
        <f t="shared" si="8"/>
        <v>2025</v>
      </c>
      <c r="C298" s="20">
        <f t="shared" si="9"/>
        <v>4</v>
      </c>
      <c r="D298" t="s">
        <v>1436</v>
      </c>
      <c r="E298" s="49">
        <v>1</v>
      </c>
      <c r="F298" t="s">
        <v>1437</v>
      </c>
      <c r="G298" t="s">
        <v>21</v>
      </c>
      <c r="H298" t="s">
        <v>37</v>
      </c>
      <c r="I298" s="13">
        <v>60000</v>
      </c>
      <c r="J298" s="13">
        <v>51500</v>
      </c>
      <c r="K298" s="13">
        <f>IF(J298&lt;'Mapa Oficinas'!$I$21,0,IF(J298&gt;'Mapa Oficinas'!$I$20,0,1))</f>
        <v>0</v>
      </c>
      <c r="L298" t="s">
        <v>23</v>
      </c>
      <c r="M298" t="s">
        <v>23</v>
      </c>
      <c r="N298" t="s">
        <v>1438</v>
      </c>
      <c r="O298" t="s">
        <v>190</v>
      </c>
      <c r="P298" t="s">
        <v>45</v>
      </c>
      <c r="Q298">
        <v>2</v>
      </c>
      <c r="R298" t="s">
        <v>56</v>
      </c>
      <c r="S298" t="s">
        <v>28</v>
      </c>
      <c r="T298" t="str">
        <f>VLOOKUP(S298,'Mapa Oficinas'!$H$7:$I$16,2,FALSE)</f>
        <v>CB</v>
      </c>
      <c r="U298" t="s">
        <v>29</v>
      </c>
      <c r="V298" t="str">
        <f>VLOOKUP($R298,'Mapa Oficinas'!$A$7:$C$46,2,FALSE)</f>
        <v>Zona Norte (GBA)</v>
      </c>
      <c r="W298" t="str">
        <f>VLOOKUP($R298,'Mapa Oficinas'!$A$7:$C$46,3,FALSE)</f>
        <v>Vicente López</v>
      </c>
    </row>
    <row r="299" spans="1:23" x14ac:dyDescent="0.2">
      <c r="A299" s="1">
        <v>45861</v>
      </c>
      <c r="B299" s="20">
        <f t="shared" si="8"/>
        <v>2025</v>
      </c>
      <c r="C299" s="20">
        <f t="shared" si="9"/>
        <v>7</v>
      </c>
      <c r="D299" t="s">
        <v>3164</v>
      </c>
      <c r="E299" s="49">
        <v>1</v>
      </c>
      <c r="F299" t="s">
        <v>3164</v>
      </c>
      <c r="G299" t="s">
        <v>21</v>
      </c>
      <c r="H299" t="s">
        <v>37</v>
      </c>
      <c r="I299" s="13">
        <v>103000</v>
      </c>
      <c r="J299" s="13">
        <v>51500</v>
      </c>
      <c r="K299" s="13">
        <f>IF(J299&lt;'Mapa Oficinas'!$I$21,0,IF(J299&gt;'Mapa Oficinas'!$I$20,0,1))</f>
        <v>0</v>
      </c>
      <c r="L299" t="s">
        <v>23</v>
      </c>
      <c r="M299" t="s">
        <v>23</v>
      </c>
      <c r="N299" t="s">
        <v>3164</v>
      </c>
      <c r="O299" t="s">
        <v>162</v>
      </c>
      <c r="P299" t="s">
        <v>61</v>
      </c>
      <c r="Q299">
        <v>2</v>
      </c>
      <c r="R299" t="s">
        <v>62</v>
      </c>
      <c r="S299" t="s">
        <v>28</v>
      </c>
      <c r="T299" t="str">
        <f>VLOOKUP(S299,'Mapa Oficinas'!$H$7:$I$16,2,FALSE)</f>
        <v>CB</v>
      </c>
      <c r="U299" t="s">
        <v>29</v>
      </c>
      <c r="V299" t="str">
        <f>VLOOKUP($R299,'Mapa Oficinas'!$A$7:$C$46,2,FALSE)</f>
        <v>CABA</v>
      </c>
      <c r="W299" t="str">
        <f>VLOOKUP($R299,'Mapa Oficinas'!$A$7:$C$46,3,FALSE)</f>
        <v>Villa Urquiza</v>
      </c>
    </row>
    <row r="300" spans="1:23" x14ac:dyDescent="0.2">
      <c r="A300" s="1">
        <v>46048</v>
      </c>
      <c r="B300" s="20">
        <f t="shared" si="8"/>
        <v>2026</v>
      </c>
      <c r="C300" s="20">
        <f t="shared" si="9"/>
        <v>1</v>
      </c>
      <c r="D300" t="s">
        <v>6397</v>
      </c>
      <c r="E300" s="49">
        <v>1</v>
      </c>
      <c r="F300" t="s">
        <v>6398</v>
      </c>
      <c r="G300" t="s">
        <v>21</v>
      </c>
      <c r="H300" t="s">
        <v>37</v>
      </c>
      <c r="I300" s="13">
        <v>54900</v>
      </c>
      <c r="J300" s="13">
        <v>51500</v>
      </c>
      <c r="K300" s="13">
        <f>IF(J300&lt;'Mapa Oficinas'!$I$21,0,IF(J300&gt;'Mapa Oficinas'!$I$20,0,1))</f>
        <v>0</v>
      </c>
      <c r="L300" t="s">
        <v>23</v>
      </c>
      <c r="M300" t="s">
        <v>23</v>
      </c>
      <c r="N300" t="s">
        <v>6399</v>
      </c>
      <c r="O300" t="s">
        <v>976</v>
      </c>
      <c r="P300" t="s">
        <v>45</v>
      </c>
      <c r="Q300">
        <v>2</v>
      </c>
      <c r="R300" t="s">
        <v>1024</v>
      </c>
      <c r="S300" t="s">
        <v>28</v>
      </c>
      <c r="T300" t="str">
        <f>VLOOKUP(S300,'Mapa Oficinas'!$H$7:$I$16,2,FALSE)</f>
        <v>CB</v>
      </c>
      <c r="U300" t="s">
        <v>29</v>
      </c>
      <c r="V300" t="str">
        <f>VLOOKUP($R300,'Mapa Oficinas'!$A$7:$C$46,2,FALSE)</f>
        <v>CABA</v>
      </c>
      <c r="W300" t="str">
        <f>VLOOKUP($R300,'Mapa Oficinas'!$A$7:$C$46,3,FALSE)</f>
        <v>Puerto Madero</v>
      </c>
    </row>
    <row r="301" spans="1:23" x14ac:dyDescent="0.2">
      <c r="A301" s="1">
        <v>46056</v>
      </c>
      <c r="B301" s="20">
        <f t="shared" si="8"/>
        <v>2026</v>
      </c>
      <c r="C301" s="20">
        <f t="shared" si="9"/>
        <v>2</v>
      </c>
      <c r="D301" t="s">
        <v>6505</v>
      </c>
      <c r="E301" s="49">
        <v>1</v>
      </c>
      <c r="F301" t="s">
        <v>6506</v>
      </c>
      <c r="G301" t="s">
        <v>21</v>
      </c>
      <c r="H301" t="s">
        <v>81</v>
      </c>
      <c r="I301" s="13">
        <v>60000</v>
      </c>
      <c r="J301" s="13">
        <v>51500</v>
      </c>
      <c r="K301" s="13">
        <f>IF(J301&lt;'Mapa Oficinas'!$I$21,0,IF(J301&gt;'Mapa Oficinas'!$I$20,0,1))</f>
        <v>0</v>
      </c>
      <c r="L301" t="s">
        <v>23</v>
      </c>
      <c r="M301" t="s">
        <v>23</v>
      </c>
      <c r="N301" t="s">
        <v>6507</v>
      </c>
      <c r="O301" t="s">
        <v>141</v>
      </c>
      <c r="P301" t="s">
        <v>45</v>
      </c>
      <c r="Q301">
        <v>2</v>
      </c>
      <c r="R301" t="s">
        <v>5631</v>
      </c>
      <c r="S301" t="s">
        <v>28</v>
      </c>
      <c r="T301" t="str">
        <f>VLOOKUP(S301,'Mapa Oficinas'!$H$7:$I$16,2,FALSE)</f>
        <v>CB</v>
      </c>
      <c r="U301" t="s">
        <v>29</v>
      </c>
      <c r="V301" t="str">
        <f>VLOOKUP($R301,'Mapa Oficinas'!$A$7:$C$46,2,FALSE)</f>
        <v>CABA</v>
      </c>
      <c r="W301" t="str">
        <f>VLOOKUP($R301,'Mapa Oficinas'!$A$7:$C$46,3,FALSE)</f>
        <v>Caballito</v>
      </c>
    </row>
    <row r="302" spans="1:23" x14ac:dyDescent="0.2">
      <c r="A302" s="1">
        <v>45965</v>
      </c>
      <c r="B302" s="20">
        <f t="shared" si="8"/>
        <v>2025</v>
      </c>
      <c r="C302" s="20">
        <f t="shared" si="9"/>
        <v>11</v>
      </c>
      <c r="D302" t="s">
        <v>5042</v>
      </c>
      <c r="E302" s="49">
        <v>1</v>
      </c>
      <c r="F302" t="s">
        <v>5043</v>
      </c>
      <c r="G302" t="s">
        <v>21</v>
      </c>
      <c r="H302" t="s">
        <v>76</v>
      </c>
      <c r="I302" s="13">
        <v>55000</v>
      </c>
      <c r="J302" s="13">
        <v>52000</v>
      </c>
      <c r="K302" s="13">
        <f>IF(J302&lt;'Mapa Oficinas'!$I$21,0,IF(J302&gt;'Mapa Oficinas'!$I$20,0,1))</f>
        <v>0</v>
      </c>
      <c r="L302" t="s">
        <v>23</v>
      </c>
      <c r="M302" t="s">
        <v>23</v>
      </c>
      <c r="N302" t="s">
        <v>5044</v>
      </c>
      <c r="O302" t="s">
        <v>5045</v>
      </c>
      <c r="P302" t="s">
        <v>34</v>
      </c>
      <c r="Q302">
        <v>1</v>
      </c>
      <c r="R302" t="s">
        <v>167</v>
      </c>
      <c r="S302" t="s">
        <v>122</v>
      </c>
      <c r="T302" t="str">
        <f>VLOOKUP(S302,'Mapa Oficinas'!$H$7:$I$16,2,FALSE)</f>
        <v>Otra Red Búsqueda</v>
      </c>
      <c r="U302" t="s">
        <v>29</v>
      </c>
      <c r="V302" t="str">
        <f>VLOOKUP($R302,'Mapa Oficinas'!$A$7:$C$46,2,FALSE)</f>
        <v>Interior - Santa Fe</v>
      </c>
      <c r="W302" t="str">
        <f>VLOOKUP($R302,'Mapa Oficinas'!$A$7:$C$46,3,FALSE)</f>
        <v>Capital Santa Fe</v>
      </c>
    </row>
    <row r="303" spans="1:23" x14ac:dyDescent="0.2">
      <c r="A303" s="1">
        <v>45825</v>
      </c>
      <c r="B303" s="20">
        <f t="shared" si="8"/>
        <v>2025</v>
      </c>
      <c r="C303" s="20">
        <f t="shared" si="9"/>
        <v>6</v>
      </c>
      <c r="D303" t="s">
        <v>2534</v>
      </c>
      <c r="E303" s="49">
        <v>1</v>
      </c>
      <c r="F303" t="s">
        <v>2155</v>
      </c>
      <c r="G303" t="s">
        <v>21</v>
      </c>
      <c r="H303" t="s">
        <v>37</v>
      </c>
      <c r="I303" s="13">
        <v>55000</v>
      </c>
      <c r="J303" s="13">
        <v>52000</v>
      </c>
      <c r="K303" s="13">
        <f>IF(J303&lt;'Mapa Oficinas'!$I$21,0,IF(J303&gt;'Mapa Oficinas'!$I$20,0,1))</f>
        <v>0</v>
      </c>
      <c r="L303" t="s">
        <v>23</v>
      </c>
      <c r="M303" t="s">
        <v>23</v>
      </c>
      <c r="N303" t="s">
        <v>2156</v>
      </c>
      <c r="O303" t="s">
        <v>436</v>
      </c>
      <c r="P303" t="s">
        <v>45</v>
      </c>
      <c r="Q303">
        <v>2</v>
      </c>
      <c r="R303" t="s">
        <v>183</v>
      </c>
      <c r="S303" t="s">
        <v>79</v>
      </c>
      <c r="T303" t="str">
        <f>VLOOKUP(S303,'Mapa Oficinas'!$H$7:$I$16,2,FALSE)</f>
        <v>CB</v>
      </c>
      <c r="U303" t="s">
        <v>29</v>
      </c>
      <c r="V303" t="str">
        <f>VLOOKUP($R303,'Mapa Oficinas'!$A$7:$C$46,2,FALSE)</f>
        <v>Interior - Neuquén</v>
      </c>
      <c r="W303" t="str">
        <f>VLOOKUP($R303,'Mapa Oficinas'!$A$7:$C$46,3,FALSE)</f>
        <v>Capital Neuquén</v>
      </c>
    </row>
    <row r="304" spans="1:23" x14ac:dyDescent="0.2">
      <c r="A304" s="1">
        <v>45861</v>
      </c>
      <c r="B304" s="20">
        <f t="shared" si="8"/>
        <v>2025</v>
      </c>
      <c r="C304" s="20">
        <f t="shared" si="9"/>
        <v>7</v>
      </c>
      <c r="D304" t="s">
        <v>3165</v>
      </c>
      <c r="E304" s="49">
        <v>1</v>
      </c>
      <c r="F304" t="s">
        <v>3166</v>
      </c>
      <c r="G304" t="s">
        <v>21</v>
      </c>
      <c r="H304" t="s">
        <v>37</v>
      </c>
      <c r="I304" s="13">
        <v>54000</v>
      </c>
      <c r="J304" s="13">
        <v>52000</v>
      </c>
      <c r="K304" s="13">
        <f>IF(J304&lt;'Mapa Oficinas'!$I$21,0,IF(J304&gt;'Mapa Oficinas'!$I$20,0,1))</f>
        <v>0</v>
      </c>
      <c r="L304" t="s">
        <v>23</v>
      </c>
      <c r="M304" t="s">
        <v>23</v>
      </c>
      <c r="N304" t="s">
        <v>3167</v>
      </c>
      <c r="O304" t="s">
        <v>1090</v>
      </c>
      <c r="P304" t="s">
        <v>45</v>
      </c>
      <c r="Q304">
        <v>2</v>
      </c>
      <c r="R304" t="s">
        <v>110</v>
      </c>
      <c r="S304" t="s">
        <v>79</v>
      </c>
      <c r="T304" t="str">
        <f>VLOOKUP(S304,'Mapa Oficinas'!$H$7:$I$16,2,FALSE)</f>
        <v>CB</v>
      </c>
      <c r="U304" t="s">
        <v>29</v>
      </c>
      <c r="V304" t="str">
        <f>VLOOKUP($R304,'Mapa Oficinas'!$A$7:$C$46,2,FALSE)</f>
        <v>Zona Norte (GBA)</v>
      </c>
      <c r="W304" t="str">
        <f>VLOOKUP($R304,'Mapa Oficinas'!$A$7:$C$46,3,FALSE)</f>
        <v>Nordelta</v>
      </c>
    </row>
    <row r="305" spans="1:23" x14ac:dyDescent="0.2">
      <c r="A305" s="1">
        <v>46002</v>
      </c>
      <c r="B305" s="20">
        <f t="shared" si="8"/>
        <v>2025</v>
      </c>
      <c r="C305" s="20">
        <f t="shared" si="9"/>
        <v>12</v>
      </c>
      <c r="D305" t="s">
        <v>5718</v>
      </c>
      <c r="E305" s="49">
        <v>3</v>
      </c>
      <c r="F305" t="s">
        <v>5719</v>
      </c>
      <c r="G305" t="s">
        <v>21</v>
      </c>
      <c r="H305" t="s">
        <v>37</v>
      </c>
      <c r="I305" s="13">
        <v>61000</v>
      </c>
      <c r="J305" s="13">
        <v>52000</v>
      </c>
      <c r="K305" s="13">
        <f>IF(J305&lt;'Mapa Oficinas'!$I$21,0,IF(J305&gt;'Mapa Oficinas'!$I$20,0,1))</f>
        <v>0</v>
      </c>
      <c r="L305" t="s">
        <v>23</v>
      </c>
      <c r="M305" t="s">
        <v>23</v>
      </c>
      <c r="N305" t="s">
        <v>5720</v>
      </c>
      <c r="O305" t="s">
        <v>910</v>
      </c>
      <c r="P305" t="s">
        <v>55</v>
      </c>
      <c r="Q305">
        <v>2</v>
      </c>
      <c r="R305" t="s">
        <v>823</v>
      </c>
      <c r="S305" t="s">
        <v>241</v>
      </c>
      <c r="T305" t="str">
        <f>VLOOKUP(S305,'Mapa Oficinas'!$H$7:$I$16,2,FALSE)</f>
        <v>CB</v>
      </c>
      <c r="U305" t="s">
        <v>29</v>
      </c>
      <c r="V305" t="str">
        <f>VLOOKUP($R305,'Mapa Oficinas'!$A$7:$C$46,2,FALSE)</f>
        <v>Zona Norte (GBA)</v>
      </c>
      <c r="W305" t="str">
        <f>VLOOKUP($R305,'Mapa Oficinas'!$A$7:$C$46,3,FALSE)</f>
        <v>Pilar</v>
      </c>
    </row>
    <row r="306" spans="1:23" x14ac:dyDescent="0.2">
      <c r="A306" s="1">
        <v>46095</v>
      </c>
      <c r="B306" s="20">
        <f t="shared" si="8"/>
        <v>2026</v>
      </c>
      <c r="C306" s="20">
        <f t="shared" si="9"/>
        <v>3</v>
      </c>
      <c r="D306">
        <v>48</v>
      </c>
      <c r="E306" s="49">
        <v>1</v>
      </c>
      <c r="F306" t="s">
        <v>7175</v>
      </c>
      <c r="G306" t="s">
        <v>21</v>
      </c>
      <c r="H306" t="s">
        <v>37</v>
      </c>
      <c r="I306" s="13">
        <v>50000</v>
      </c>
      <c r="J306" s="13">
        <v>52000</v>
      </c>
      <c r="K306" s="13">
        <f>IF(J306&lt;'Mapa Oficinas'!$I$21,0,IF(J306&gt;'Mapa Oficinas'!$I$20,0,1))</f>
        <v>0</v>
      </c>
      <c r="L306" t="s">
        <v>23</v>
      </c>
      <c r="M306" t="s">
        <v>23</v>
      </c>
      <c r="N306" t="s">
        <v>7176</v>
      </c>
      <c r="O306" t="s">
        <v>2084</v>
      </c>
      <c r="P306" t="s">
        <v>45</v>
      </c>
      <c r="Q306">
        <v>1</v>
      </c>
      <c r="R306" t="s">
        <v>1024</v>
      </c>
      <c r="S306" t="s">
        <v>47</v>
      </c>
      <c r="T306" t="str">
        <f>VLOOKUP(S306,'Mapa Oficinas'!$H$7:$I$16,2,FALSE)</f>
        <v>Otra Red Búsqueda</v>
      </c>
      <c r="U306" t="s">
        <v>29</v>
      </c>
      <c r="V306" t="str">
        <f>VLOOKUP($R306,'Mapa Oficinas'!$A$7:$C$46,2,FALSE)</f>
        <v>CABA</v>
      </c>
      <c r="W306" t="str">
        <f>VLOOKUP($R306,'Mapa Oficinas'!$A$7:$C$46,3,FALSE)</f>
        <v>Puerto Madero</v>
      </c>
    </row>
    <row r="307" spans="1:23" x14ac:dyDescent="0.2">
      <c r="A307" s="1">
        <v>46006</v>
      </c>
      <c r="B307" s="20">
        <f t="shared" si="8"/>
        <v>2025</v>
      </c>
      <c r="C307" s="20">
        <f t="shared" si="9"/>
        <v>12</v>
      </c>
      <c r="D307" t="s">
        <v>5769</v>
      </c>
      <c r="E307" s="49">
        <v>1</v>
      </c>
      <c r="F307" t="s">
        <v>5770</v>
      </c>
      <c r="G307" t="s">
        <v>21</v>
      </c>
      <c r="H307" t="s">
        <v>37</v>
      </c>
      <c r="I307" s="13">
        <v>52000</v>
      </c>
      <c r="J307" s="13">
        <v>52000</v>
      </c>
      <c r="K307" s="13">
        <f>IF(J307&lt;'Mapa Oficinas'!$I$21,0,IF(J307&gt;'Mapa Oficinas'!$I$20,0,1))</f>
        <v>0</v>
      </c>
      <c r="L307" t="s">
        <v>23</v>
      </c>
      <c r="M307" t="s">
        <v>23</v>
      </c>
      <c r="N307" t="s">
        <v>5771</v>
      </c>
      <c r="O307" t="s">
        <v>190</v>
      </c>
      <c r="P307" t="s">
        <v>45</v>
      </c>
      <c r="Q307">
        <v>2</v>
      </c>
      <c r="R307" t="s">
        <v>135</v>
      </c>
      <c r="S307" t="s">
        <v>200</v>
      </c>
      <c r="T307" t="str">
        <f>VLOOKUP(S307,'Mapa Oficinas'!$H$7:$I$16,2,FALSE)</f>
        <v>Otra Red Captación</v>
      </c>
      <c r="U307" t="s">
        <v>29</v>
      </c>
      <c r="V307" t="str">
        <f>VLOOKUP($R307,'Mapa Oficinas'!$A$7:$C$46,2,FALSE)</f>
        <v>CABA</v>
      </c>
      <c r="W307" t="str">
        <f>VLOOKUP($R307,'Mapa Oficinas'!$A$7:$C$46,3,FALSE)</f>
        <v>Recoleta</v>
      </c>
    </row>
    <row r="308" spans="1:23" x14ac:dyDescent="0.2">
      <c r="A308" s="1">
        <v>46106</v>
      </c>
      <c r="B308" s="20">
        <f t="shared" si="8"/>
        <v>2026</v>
      </c>
      <c r="C308" s="20">
        <f t="shared" si="9"/>
        <v>3</v>
      </c>
      <c r="D308" t="s">
        <v>7389</v>
      </c>
      <c r="E308" s="49">
        <v>1</v>
      </c>
      <c r="F308" t="s">
        <v>2780</v>
      </c>
      <c r="G308" t="s">
        <v>21</v>
      </c>
      <c r="H308" t="s">
        <v>37</v>
      </c>
      <c r="I308" s="13">
        <v>59900</v>
      </c>
      <c r="J308" s="13">
        <v>52000</v>
      </c>
      <c r="K308" s="13">
        <f>IF(J308&lt;'Mapa Oficinas'!$I$21,0,IF(J308&gt;'Mapa Oficinas'!$I$20,0,1))</f>
        <v>0</v>
      </c>
      <c r="L308" t="s">
        <v>23</v>
      </c>
      <c r="M308" t="s">
        <v>23</v>
      </c>
      <c r="N308" t="s">
        <v>7390</v>
      </c>
      <c r="O308" t="s">
        <v>66</v>
      </c>
      <c r="P308" t="s">
        <v>45</v>
      </c>
      <c r="Q308">
        <v>2</v>
      </c>
      <c r="R308" t="s">
        <v>372</v>
      </c>
      <c r="S308" t="s">
        <v>200</v>
      </c>
      <c r="T308" t="str">
        <f>VLOOKUP(S308,'Mapa Oficinas'!$H$7:$I$16,2,FALSE)</f>
        <v>Otra Red Captación</v>
      </c>
      <c r="U308" t="s">
        <v>29</v>
      </c>
      <c r="V308" t="str">
        <f>VLOOKUP($R308,'Mapa Oficinas'!$A$7:$C$46,2,FALSE)</f>
        <v>CABA</v>
      </c>
      <c r="W308" t="str">
        <f>VLOOKUP($R308,'Mapa Oficinas'!$A$7:$C$46,3,FALSE)</f>
        <v>Caballito</v>
      </c>
    </row>
    <row r="309" spans="1:23" x14ac:dyDescent="0.2">
      <c r="A309" s="1">
        <v>45937</v>
      </c>
      <c r="B309" s="20">
        <f t="shared" si="8"/>
        <v>2025</v>
      </c>
      <c r="C309" s="20">
        <f t="shared" si="9"/>
        <v>10</v>
      </c>
      <c r="D309" t="s">
        <v>4535</v>
      </c>
      <c r="E309" s="49">
        <v>1</v>
      </c>
      <c r="F309" t="s">
        <v>4536</v>
      </c>
      <c r="G309" t="s">
        <v>21</v>
      </c>
      <c r="H309" t="s">
        <v>37</v>
      </c>
      <c r="I309" s="13">
        <v>52000</v>
      </c>
      <c r="J309" s="13">
        <v>52000</v>
      </c>
      <c r="K309" s="13">
        <f>IF(J309&lt;'Mapa Oficinas'!$I$21,0,IF(J309&gt;'Mapa Oficinas'!$I$20,0,1))</f>
        <v>0</v>
      </c>
      <c r="L309" t="s">
        <v>23</v>
      </c>
      <c r="M309" t="s">
        <v>23</v>
      </c>
      <c r="N309" t="s">
        <v>4537</v>
      </c>
      <c r="O309" t="s">
        <v>4538</v>
      </c>
      <c r="P309" t="s">
        <v>61</v>
      </c>
      <c r="Q309">
        <v>2</v>
      </c>
      <c r="R309" t="s">
        <v>56</v>
      </c>
      <c r="S309" t="s">
        <v>404</v>
      </c>
      <c r="T309" t="str">
        <f>VLOOKUP(S309,'Mapa Oficinas'!$H$7:$I$16,2,FALSE)</f>
        <v>CB</v>
      </c>
      <c r="U309" t="s">
        <v>29</v>
      </c>
      <c r="V309" t="str">
        <f>VLOOKUP($R309,'Mapa Oficinas'!$A$7:$C$46,2,FALSE)</f>
        <v>Zona Norte (GBA)</v>
      </c>
      <c r="W309" t="str">
        <f>VLOOKUP($R309,'Mapa Oficinas'!$A$7:$C$46,3,FALSE)</f>
        <v>Vicente López</v>
      </c>
    </row>
    <row r="310" spans="1:23" x14ac:dyDescent="0.2">
      <c r="A310" s="1">
        <v>45715</v>
      </c>
      <c r="B310" s="20">
        <f t="shared" si="8"/>
        <v>2025</v>
      </c>
      <c r="C310" s="20">
        <f t="shared" si="9"/>
        <v>2</v>
      </c>
      <c r="D310" t="s">
        <v>764</v>
      </c>
      <c r="E310" s="49">
        <v>1</v>
      </c>
      <c r="F310" t="s">
        <v>765</v>
      </c>
      <c r="G310" t="s">
        <v>21</v>
      </c>
      <c r="H310" t="s">
        <v>90</v>
      </c>
      <c r="I310" s="13">
        <v>55000</v>
      </c>
      <c r="J310" s="13">
        <v>52000</v>
      </c>
      <c r="K310" s="13">
        <f>IF(J310&lt;'Mapa Oficinas'!$I$21,0,IF(J310&gt;'Mapa Oficinas'!$I$20,0,1))</f>
        <v>0</v>
      </c>
      <c r="L310" t="s">
        <v>23</v>
      </c>
      <c r="M310" t="s">
        <v>23</v>
      </c>
      <c r="N310" t="s">
        <v>766</v>
      </c>
      <c r="O310" t="s">
        <v>767</v>
      </c>
      <c r="P310" t="s">
        <v>45</v>
      </c>
      <c r="Q310">
        <v>2</v>
      </c>
      <c r="R310" t="s">
        <v>62</v>
      </c>
      <c r="S310" t="s">
        <v>28</v>
      </c>
      <c r="T310" t="str">
        <f>VLOOKUP(S310,'Mapa Oficinas'!$H$7:$I$16,2,FALSE)</f>
        <v>CB</v>
      </c>
      <c r="U310" t="s">
        <v>29</v>
      </c>
      <c r="V310" t="str">
        <f>VLOOKUP($R310,'Mapa Oficinas'!$A$7:$C$46,2,FALSE)</f>
        <v>CABA</v>
      </c>
      <c r="W310" t="str">
        <f>VLOOKUP($R310,'Mapa Oficinas'!$A$7:$C$46,3,FALSE)</f>
        <v>Villa Urquiza</v>
      </c>
    </row>
    <row r="311" spans="1:23" x14ac:dyDescent="0.2">
      <c r="A311" s="1">
        <v>45716</v>
      </c>
      <c r="B311" s="20">
        <f t="shared" si="8"/>
        <v>2025</v>
      </c>
      <c r="C311" s="20">
        <f t="shared" si="9"/>
        <v>2</v>
      </c>
      <c r="D311" t="s">
        <v>785</v>
      </c>
      <c r="E311" s="49">
        <v>1</v>
      </c>
      <c r="F311" t="s">
        <v>786</v>
      </c>
      <c r="G311" t="s">
        <v>21</v>
      </c>
      <c r="H311" t="s">
        <v>90</v>
      </c>
      <c r="I311" s="13">
        <v>58000</v>
      </c>
      <c r="J311" s="13">
        <v>52000</v>
      </c>
      <c r="K311" s="13">
        <f>IF(J311&lt;'Mapa Oficinas'!$I$21,0,IF(J311&gt;'Mapa Oficinas'!$I$20,0,1))</f>
        <v>0</v>
      </c>
      <c r="L311" t="s">
        <v>23</v>
      </c>
      <c r="M311" t="s">
        <v>23</v>
      </c>
      <c r="N311" t="s">
        <v>787</v>
      </c>
      <c r="O311" t="s">
        <v>788</v>
      </c>
      <c r="P311" t="s">
        <v>34</v>
      </c>
      <c r="Q311">
        <v>2</v>
      </c>
      <c r="R311" t="s">
        <v>103</v>
      </c>
      <c r="S311" t="s">
        <v>28</v>
      </c>
      <c r="T311" t="str">
        <f>VLOOKUP(S311,'Mapa Oficinas'!$H$7:$I$16,2,FALSE)</f>
        <v>CB</v>
      </c>
      <c r="U311" t="s">
        <v>29</v>
      </c>
      <c r="V311" t="str">
        <f>VLOOKUP($R311,'Mapa Oficinas'!$A$7:$C$46,2,FALSE)</f>
        <v>Zona Sur (GBA)</v>
      </c>
      <c r="W311" t="str">
        <f>VLOOKUP($R311,'Mapa Oficinas'!$A$7:$C$46,3,FALSE)</f>
        <v>La Plata</v>
      </c>
    </row>
    <row r="312" spans="1:23" x14ac:dyDescent="0.2">
      <c r="A312" s="1">
        <v>45747</v>
      </c>
      <c r="B312" s="20">
        <f t="shared" si="8"/>
        <v>2025</v>
      </c>
      <c r="C312" s="20">
        <f t="shared" si="9"/>
        <v>3</v>
      </c>
      <c r="D312" t="s">
        <v>1187</v>
      </c>
      <c r="E312" s="49">
        <v>1</v>
      </c>
      <c r="F312" t="s">
        <v>1188</v>
      </c>
      <c r="G312" t="s">
        <v>21</v>
      </c>
      <c r="H312" t="s">
        <v>37</v>
      </c>
      <c r="I312" s="13">
        <v>57000</v>
      </c>
      <c r="J312" s="13">
        <v>52000</v>
      </c>
      <c r="K312" s="13">
        <f>IF(J312&lt;'Mapa Oficinas'!$I$21,0,IF(J312&gt;'Mapa Oficinas'!$I$20,0,1))</f>
        <v>0</v>
      </c>
      <c r="L312" t="s">
        <v>23</v>
      </c>
      <c r="M312" t="s">
        <v>23</v>
      </c>
      <c r="N312" t="s">
        <v>1189</v>
      </c>
      <c r="O312" t="s">
        <v>1190</v>
      </c>
      <c r="P312" t="s">
        <v>34</v>
      </c>
      <c r="Q312">
        <v>2</v>
      </c>
      <c r="R312" t="s">
        <v>183</v>
      </c>
      <c r="S312" t="s">
        <v>28</v>
      </c>
      <c r="T312" t="str">
        <f>VLOOKUP(S312,'Mapa Oficinas'!$H$7:$I$16,2,FALSE)</f>
        <v>CB</v>
      </c>
      <c r="U312" t="s">
        <v>29</v>
      </c>
      <c r="V312" t="str">
        <f>VLOOKUP($R312,'Mapa Oficinas'!$A$7:$C$46,2,FALSE)</f>
        <v>Interior - Neuquén</v>
      </c>
      <c r="W312" t="str">
        <f>VLOOKUP($R312,'Mapa Oficinas'!$A$7:$C$46,3,FALSE)</f>
        <v>Capital Neuquén</v>
      </c>
    </row>
    <row r="313" spans="1:23" x14ac:dyDescent="0.2">
      <c r="A313" s="1">
        <v>45819</v>
      </c>
      <c r="B313" s="20">
        <f t="shared" si="8"/>
        <v>2025</v>
      </c>
      <c r="C313" s="20">
        <f t="shared" si="9"/>
        <v>6</v>
      </c>
      <c r="D313" t="s">
        <v>2417</v>
      </c>
      <c r="E313" s="49">
        <v>1</v>
      </c>
      <c r="F313" t="s">
        <v>2418</v>
      </c>
      <c r="G313" t="s">
        <v>21</v>
      </c>
      <c r="H313" t="s">
        <v>90</v>
      </c>
      <c r="I313" s="13">
        <v>55000</v>
      </c>
      <c r="J313" s="13">
        <v>52000</v>
      </c>
      <c r="K313" s="13">
        <f>IF(J313&lt;'Mapa Oficinas'!$I$21,0,IF(J313&gt;'Mapa Oficinas'!$I$20,0,1))</f>
        <v>0</v>
      </c>
      <c r="L313" t="s">
        <v>23</v>
      </c>
      <c r="M313" t="s">
        <v>23</v>
      </c>
      <c r="N313" t="s">
        <v>2419</v>
      </c>
      <c r="O313" t="s">
        <v>440</v>
      </c>
      <c r="P313" t="s">
        <v>45</v>
      </c>
      <c r="Q313">
        <v>2</v>
      </c>
      <c r="R313" t="s">
        <v>62</v>
      </c>
      <c r="S313" t="s">
        <v>28</v>
      </c>
      <c r="T313" t="str">
        <f>VLOOKUP(S313,'Mapa Oficinas'!$H$7:$I$16,2,FALSE)</f>
        <v>CB</v>
      </c>
      <c r="U313" t="s">
        <v>29</v>
      </c>
      <c r="V313" t="str">
        <f>VLOOKUP($R313,'Mapa Oficinas'!$A$7:$C$46,2,FALSE)</f>
        <v>CABA</v>
      </c>
      <c r="W313" t="str">
        <f>VLOOKUP($R313,'Mapa Oficinas'!$A$7:$C$46,3,FALSE)</f>
        <v>Villa Urquiza</v>
      </c>
    </row>
    <row r="314" spans="1:23" x14ac:dyDescent="0.2">
      <c r="A314" s="1">
        <v>45849</v>
      </c>
      <c r="B314" s="20">
        <f t="shared" si="8"/>
        <v>2025</v>
      </c>
      <c r="C314" s="20">
        <f t="shared" si="9"/>
        <v>7</v>
      </c>
      <c r="D314" t="s">
        <v>2970</v>
      </c>
      <c r="E314" s="49">
        <v>1</v>
      </c>
      <c r="F314" t="s">
        <v>2971</v>
      </c>
      <c r="G314" t="s">
        <v>21</v>
      </c>
      <c r="H314" t="s">
        <v>37</v>
      </c>
      <c r="I314" s="13">
        <v>50000</v>
      </c>
      <c r="J314" s="13">
        <v>52000</v>
      </c>
      <c r="K314" s="13">
        <f>IF(J314&lt;'Mapa Oficinas'!$I$21,0,IF(J314&gt;'Mapa Oficinas'!$I$20,0,1))</f>
        <v>0</v>
      </c>
      <c r="L314" t="s">
        <v>23</v>
      </c>
      <c r="M314" t="s">
        <v>23</v>
      </c>
      <c r="N314" t="s">
        <v>2972</v>
      </c>
      <c r="O314" t="s">
        <v>552</v>
      </c>
      <c r="P314" t="s">
        <v>45</v>
      </c>
      <c r="Q314">
        <v>2</v>
      </c>
      <c r="R314" t="s">
        <v>135</v>
      </c>
      <c r="S314" t="s">
        <v>28</v>
      </c>
      <c r="T314" t="str">
        <f>VLOOKUP(S314,'Mapa Oficinas'!$H$7:$I$16,2,FALSE)</f>
        <v>CB</v>
      </c>
      <c r="U314" t="s">
        <v>29</v>
      </c>
      <c r="V314" t="str">
        <f>VLOOKUP($R314,'Mapa Oficinas'!$A$7:$C$46,2,FALSE)</f>
        <v>CABA</v>
      </c>
      <c r="W314" t="str">
        <f>VLOOKUP($R314,'Mapa Oficinas'!$A$7:$C$46,3,FALSE)</f>
        <v>Recoleta</v>
      </c>
    </row>
    <row r="315" spans="1:23" x14ac:dyDescent="0.2">
      <c r="A315" s="1">
        <v>45876</v>
      </c>
      <c r="B315" s="20">
        <f t="shared" si="8"/>
        <v>2025</v>
      </c>
      <c r="C315" s="20">
        <f t="shared" si="9"/>
        <v>8</v>
      </c>
      <c r="D315" t="s">
        <v>3450</v>
      </c>
      <c r="E315" s="49">
        <v>1</v>
      </c>
      <c r="F315" t="s">
        <v>3451</v>
      </c>
      <c r="G315" t="s">
        <v>21</v>
      </c>
      <c r="H315" t="s">
        <v>37</v>
      </c>
      <c r="I315" s="13">
        <v>55000</v>
      </c>
      <c r="J315" s="13">
        <v>52000</v>
      </c>
      <c r="K315" s="13">
        <f>IF(J315&lt;'Mapa Oficinas'!$I$21,0,IF(J315&gt;'Mapa Oficinas'!$I$20,0,1))</f>
        <v>0</v>
      </c>
      <c r="L315" t="s">
        <v>23</v>
      </c>
      <c r="M315" t="s">
        <v>23</v>
      </c>
      <c r="N315" t="s">
        <v>3452</v>
      </c>
      <c r="O315" t="s">
        <v>1045</v>
      </c>
      <c r="P315" t="s">
        <v>61</v>
      </c>
      <c r="Q315">
        <v>2</v>
      </c>
      <c r="R315" t="s">
        <v>429</v>
      </c>
      <c r="S315" t="s">
        <v>28</v>
      </c>
      <c r="T315" t="str">
        <f>VLOOKUP(S315,'Mapa Oficinas'!$H$7:$I$16,2,FALSE)</f>
        <v>CB</v>
      </c>
      <c r="U315" t="s">
        <v>29</v>
      </c>
      <c r="V315" t="str">
        <f>VLOOKUP($R315,'Mapa Oficinas'!$A$7:$C$46,2,FALSE)</f>
        <v>Zona Oeste (GBA)</v>
      </c>
      <c r="W315" t="str">
        <f>VLOOKUP($R315,'Mapa Oficinas'!$A$7:$C$46,3,FALSE)</f>
        <v>Parque Leloir</v>
      </c>
    </row>
    <row r="316" spans="1:23" x14ac:dyDescent="0.2">
      <c r="A316" s="1">
        <v>45877</v>
      </c>
      <c r="B316" s="20">
        <f t="shared" si="8"/>
        <v>2025</v>
      </c>
      <c r="C316" s="20">
        <f t="shared" si="9"/>
        <v>8</v>
      </c>
      <c r="D316" t="s">
        <v>3468</v>
      </c>
      <c r="E316" s="49">
        <v>1</v>
      </c>
      <c r="F316" t="s">
        <v>3469</v>
      </c>
      <c r="G316" t="s">
        <v>21</v>
      </c>
      <c r="H316" t="s">
        <v>37</v>
      </c>
      <c r="I316" s="13">
        <v>55000</v>
      </c>
      <c r="J316" s="13">
        <v>52000</v>
      </c>
      <c r="K316" s="13">
        <f>IF(J316&lt;'Mapa Oficinas'!$I$21,0,IF(J316&gt;'Mapa Oficinas'!$I$20,0,1))</f>
        <v>0</v>
      </c>
      <c r="L316" t="s">
        <v>23</v>
      </c>
      <c r="M316" t="s">
        <v>23</v>
      </c>
      <c r="N316" t="s">
        <v>3470</v>
      </c>
      <c r="O316" t="s">
        <v>804</v>
      </c>
      <c r="P316" t="s">
        <v>61</v>
      </c>
      <c r="Q316">
        <v>2</v>
      </c>
      <c r="R316" t="s">
        <v>67</v>
      </c>
      <c r="S316" t="s">
        <v>28</v>
      </c>
      <c r="T316" t="str">
        <f>VLOOKUP(S316,'Mapa Oficinas'!$H$7:$I$16,2,FALSE)</f>
        <v>CB</v>
      </c>
      <c r="U316" t="s">
        <v>29</v>
      </c>
      <c r="V316" t="str">
        <f>VLOOKUP($R316,'Mapa Oficinas'!$A$7:$C$46,2,FALSE)</f>
        <v>CABA</v>
      </c>
      <c r="W316" t="str">
        <f>VLOOKUP($R316,'Mapa Oficinas'!$A$7:$C$46,3,FALSE)</f>
        <v>Barrio Parque</v>
      </c>
    </row>
    <row r="317" spans="1:23" x14ac:dyDescent="0.2">
      <c r="A317" s="1">
        <v>45944</v>
      </c>
      <c r="B317" s="20">
        <f t="shared" si="8"/>
        <v>2025</v>
      </c>
      <c r="C317" s="20">
        <f t="shared" si="9"/>
        <v>10</v>
      </c>
      <c r="D317" t="s">
        <v>4652</v>
      </c>
      <c r="E317" s="49">
        <v>1</v>
      </c>
      <c r="F317" t="s">
        <v>4652</v>
      </c>
      <c r="G317" t="s">
        <v>21</v>
      </c>
      <c r="H317" t="s">
        <v>37</v>
      </c>
      <c r="I317" s="13">
        <v>104000</v>
      </c>
      <c r="J317" s="13">
        <v>52000</v>
      </c>
      <c r="K317" s="13">
        <f>IF(J317&lt;'Mapa Oficinas'!$I$21,0,IF(J317&gt;'Mapa Oficinas'!$I$20,0,1))</f>
        <v>0</v>
      </c>
      <c r="L317" t="s">
        <v>23</v>
      </c>
      <c r="M317" t="s">
        <v>23</v>
      </c>
      <c r="O317" t="s">
        <v>116</v>
      </c>
      <c r="P317" t="s">
        <v>45</v>
      </c>
      <c r="Q317">
        <v>2</v>
      </c>
      <c r="R317" t="s">
        <v>62</v>
      </c>
      <c r="S317" t="s">
        <v>28</v>
      </c>
      <c r="T317" t="str">
        <f>VLOOKUP(S317,'Mapa Oficinas'!$H$7:$I$16,2,FALSE)</f>
        <v>CB</v>
      </c>
      <c r="U317" t="s">
        <v>29</v>
      </c>
      <c r="V317" t="str">
        <f>VLOOKUP($R317,'Mapa Oficinas'!$A$7:$C$46,2,FALSE)</f>
        <v>CABA</v>
      </c>
      <c r="W317" t="str">
        <f>VLOOKUP($R317,'Mapa Oficinas'!$A$7:$C$46,3,FALSE)</f>
        <v>Villa Urquiza</v>
      </c>
    </row>
    <row r="318" spans="1:23" x14ac:dyDescent="0.2">
      <c r="A318" s="1">
        <v>46010</v>
      </c>
      <c r="B318" s="20">
        <f t="shared" si="8"/>
        <v>2025</v>
      </c>
      <c r="C318" s="20">
        <f t="shared" si="9"/>
        <v>12</v>
      </c>
      <c r="D318" t="s">
        <v>5891</v>
      </c>
      <c r="E318" s="49">
        <v>1</v>
      </c>
      <c r="F318" t="s">
        <v>5891</v>
      </c>
      <c r="G318" t="s">
        <v>21</v>
      </c>
      <c r="H318" t="s">
        <v>37</v>
      </c>
      <c r="I318" s="13">
        <v>52000</v>
      </c>
      <c r="J318" s="13">
        <v>52000</v>
      </c>
      <c r="K318" s="13">
        <f>IF(J318&lt;'Mapa Oficinas'!$I$21,0,IF(J318&gt;'Mapa Oficinas'!$I$20,0,1))</f>
        <v>0</v>
      </c>
      <c r="L318" t="s">
        <v>23</v>
      </c>
      <c r="M318" t="s">
        <v>23</v>
      </c>
      <c r="O318" t="s">
        <v>2473</v>
      </c>
      <c r="P318" t="s">
        <v>26</v>
      </c>
      <c r="Q318">
        <v>2</v>
      </c>
      <c r="R318" t="s">
        <v>183</v>
      </c>
      <c r="S318" t="s">
        <v>28</v>
      </c>
      <c r="T318" t="str">
        <f>VLOOKUP(S318,'Mapa Oficinas'!$H$7:$I$16,2,FALSE)</f>
        <v>CB</v>
      </c>
      <c r="U318" t="s">
        <v>29</v>
      </c>
      <c r="V318" t="str">
        <f>VLOOKUP($R318,'Mapa Oficinas'!$A$7:$C$46,2,FALSE)</f>
        <v>Interior - Neuquén</v>
      </c>
      <c r="W318" t="str">
        <f>VLOOKUP($R318,'Mapa Oficinas'!$A$7:$C$46,3,FALSE)</f>
        <v>Capital Neuquén</v>
      </c>
    </row>
    <row r="319" spans="1:23" x14ac:dyDescent="0.2">
      <c r="A319" s="1">
        <v>46029</v>
      </c>
      <c r="B319" s="20">
        <f t="shared" si="8"/>
        <v>2026</v>
      </c>
      <c r="C319" s="20">
        <f t="shared" si="9"/>
        <v>1</v>
      </c>
      <c r="D319" t="s">
        <v>6114</v>
      </c>
      <c r="E319" s="49">
        <v>1</v>
      </c>
      <c r="F319" t="s">
        <v>6115</v>
      </c>
      <c r="G319" t="s">
        <v>21</v>
      </c>
      <c r="H319" t="s">
        <v>37</v>
      </c>
      <c r="I319" s="13">
        <v>54000</v>
      </c>
      <c r="J319" s="13">
        <v>52000</v>
      </c>
      <c r="K319" s="13">
        <f>IF(J319&lt;'Mapa Oficinas'!$I$21,0,IF(J319&gt;'Mapa Oficinas'!$I$20,0,1))</f>
        <v>0</v>
      </c>
      <c r="L319" t="s">
        <v>23</v>
      </c>
      <c r="M319" t="s">
        <v>23</v>
      </c>
      <c r="N319" t="s">
        <v>6116</v>
      </c>
      <c r="O319" t="s">
        <v>534</v>
      </c>
      <c r="P319" t="s">
        <v>61</v>
      </c>
      <c r="Q319">
        <v>2</v>
      </c>
      <c r="R319" t="s">
        <v>670</v>
      </c>
      <c r="S319" t="s">
        <v>28</v>
      </c>
      <c r="T319" t="str">
        <f>VLOOKUP(S319,'Mapa Oficinas'!$H$7:$I$16,2,FALSE)</f>
        <v>CB</v>
      </c>
      <c r="U319" t="s">
        <v>29</v>
      </c>
      <c r="V319" t="str">
        <f>VLOOKUP($R319,'Mapa Oficinas'!$A$7:$C$46,2,FALSE)</f>
        <v>CABA</v>
      </c>
      <c r="W319" t="str">
        <f>VLOOKUP($R319,'Mapa Oficinas'!$A$7:$C$46,3,FALSE)</f>
        <v>Recoleta</v>
      </c>
    </row>
    <row r="320" spans="1:23" x14ac:dyDescent="0.2">
      <c r="A320" s="1">
        <v>46059</v>
      </c>
      <c r="B320" s="20">
        <f t="shared" si="8"/>
        <v>2026</v>
      </c>
      <c r="C320" s="20">
        <f t="shared" si="9"/>
        <v>2</v>
      </c>
      <c r="D320" t="s">
        <v>6565</v>
      </c>
      <c r="E320" s="49">
        <v>1</v>
      </c>
      <c r="F320" t="s">
        <v>6566</v>
      </c>
      <c r="G320" t="s">
        <v>21</v>
      </c>
      <c r="H320" t="s">
        <v>37</v>
      </c>
      <c r="I320" s="13">
        <v>52000</v>
      </c>
      <c r="J320" s="13">
        <v>52000</v>
      </c>
      <c r="K320" s="13">
        <f>IF(J320&lt;'Mapa Oficinas'!$I$21,0,IF(J320&gt;'Mapa Oficinas'!$I$20,0,1))</f>
        <v>0</v>
      </c>
      <c r="L320" t="s">
        <v>23</v>
      </c>
      <c r="M320" t="s">
        <v>23</v>
      </c>
      <c r="N320" t="s">
        <v>6567</v>
      </c>
      <c r="O320" t="s">
        <v>50</v>
      </c>
      <c r="P320" t="s">
        <v>45</v>
      </c>
      <c r="Q320">
        <v>2</v>
      </c>
      <c r="R320" t="s">
        <v>135</v>
      </c>
      <c r="S320" t="s">
        <v>28</v>
      </c>
      <c r="T320" t="str">
        <f>VLOOKUP(S320,'Mapa Oficinas'!$H$7:$I$16,2,FALSE)</f>
        <v>CB</v>
      </c>
      <c r="U320" t="s">
        <v>29</v>
      </c>
      <c r="V320" t="str">
        <f>VLOOKUP($R320,'Mapa Oficinas'!$A$7:$C$46,2,FALSE)</f>
        <v>CABA</v>
      </c>
      <c r="W320" t="str">
        <f>VLOOKUP($R320,'Mapa Oficinas'!$A$7:$C$46,3,FALSE)</f>
        <v>Recoleta</v>
      </c>
    </row>
    <row r="321" spans="1:23" x14ac:dyDescent="0.2">
      <c r="A321" s="1">
        <v>46111</v>
      </c>
      <c r="B321" s="20">
        <f t="shared" si="8"/>
        <v>2026</v>
      </c>
      <c r="C321" s="20">
        <f t="shared" si="9"/>
        <v>3</v>
      </c>
      <c r="D321" t="s">
        <v>7505</v>
      </c>
      <c r="E321" s="49">
        <v>1</v>
      </c>
      <c r="F321" t="s">
        <v>7506</v>
      </c>
      <c r="G321" t="s">
        <v>21</v>
      </c>
      <c r="H321" t="s">
        <v>76</v>
      </c>
      <c r="I321" s="13">
        <v>55000</v>
      </c>
      <c r="J321" s="13">
        <v>52000</v>
      </c>
      <c r="K321" s="13">
        <f>IF(J321&lt;'Mapa Oficinas'!$I$21,0,IF(J321&gt;'Mapa Oficinas'!$I$20,0,1))</f>
        <v>0</v>
      </c>
      <c r="L321" t="s">
        <v>23</v>
      </c>
      <c r="M321" t="s">
        <v>23</v>
      </c>
      <c r="N321" t="s">
        <v>7507</v>
      </c>
      <c r="O321" t="s">
        <v>621</v>
      </c>
      <c r="P321" t="s">
        <v>26</v>
      </c>
      <c r="Q321">
        <v>2</v>
      </c>
      <c r="R321" t="s">
        <v>823</v>
      </c>
      <c r="S321" t="s">
        <v>28</v>
      </c>
      <c r="T321" t="str">
        <f>VLOOKUP(S321,'Mapa Oficinas'!$H$7:$I$16,2,FALSE)</f>
        <v>CB</v>
      </c>
      <c r="U321" t="s">
        <v>29</v>
      </c>
      <c r="V321" t="str">
        <f>VLOOKUP($R321,'Mapa Oficinas'!$A$7:$C$46,2,FALSE)</f>
        <v>Zona Norte (GBA)</v>
      </c>
      <c r="W321" t="str">
        <f>VLOOKUP($R321,'Mapa Oficinas'!$A$7:$C$46,3,FALSE)</f>
        <v>Pilar</v>
      </c>
    </row>
    <row r="322" spans="1:23" x14ac:dyDescent="0.2">
      <c r="A322" s="1">
        <v>45665</v>
      </c>
      <c r="B322" s="20">
        <f t="shared" ref="B322:B385" si="10">YEAR($A322)</f>
        <v>2025</v>
      </c>
      <c r="C322" s="20">
        <f t="shared" ref="C322:C385" si="11">MONTH($A322)</f>
        <v>1</v>
      </c>
      <c r="D322" t="s">
        <v>117</v>
      </c>
      <c r="E322" s="49">
        <v>1</v>
      </c>
      <c r="F322" t="s">
        <v>118</v>
      </c>
      <c r="G322" t="s">
        <v>21</v>
      </c>
      <c r="H322" t="s">
        <v>119</v>
      </c>
      <c r="I322" s="13">
        <v>0</v>
      </c>
      <c r="J322" s="13">
        <v>52500</v>
      </c>
      <c r="K322" s="13">
        <f>IF(J322&lt;'Mapa Oficinas'!$I$21,0,IF(J322&gt;'Mapa Oficinas'!$I$20,0,1))</f>
        <v>0</v>
      </c>
      <c r="L322" t="s">
        <v>23</v>
      </c>
      <c r="M322" t="s">
        <v>23</v>
      </c>
      <c r="O322" t="s">
        <v>120</v>
      </c>
      <c r="P322" t="s">
        <v>26</v>
      </c>
      <c r="Q322">
        <v>1</v>
      </c>
      <c r="R322" t="s">
        <v>121</v>
      </c>
      <c r="S322" t="s">
        <v>122</v>
      </c>
      <c r="T322" t="str">
        <f>VLOOKUP(S322,'Mapa Oficinas'!$H$7:$I$16,2,FALSE)</f>
        <v>Otra Red Búsqueda</v>
      </c>
      <c r="U322" t="s">
        <v>29</v>
      </c>
      <c r="V322" t="str">
        <f>VLOOKUP($R322,'Mapa Oficinas'!$A$7:$C$46,2,FALSE)</f>
        <v>Interior - Río Negro</v>
      </c>
      <c r="W322" t="str">
        <f>VLOOKUP($R322,'Mapa Oficinas'!$A$7:$C$46,3,FALSE)</f>
        <v>Bariloche</v>
      </c>
    </row>
    <row r="323" spans="1:23" x14ac:dyDescent="0.2">
      <c r="A323" s="1">
        <v>45874</v>
      </c>
      <c r="B323" s="20">
        <f t="shared" si="10"/>
        <v>2025</v>
      </c>
      <c r="C323" s="20">
        <f t="shared" si="11"/>
        <v>8</v>
      </c>
      <c r="D323" t="s">
        <v>3408</v>
      </c>
      <c r="E323" s="49">
        <v>1</v>
      </c>
      <c r="F323" t="s">
        <v>3408</v>
      </c>
      <c r="G323" t="s">
        <v>21</v>
      </c>
      <c r="H323" t="s">
        <v>90</v>
      </c>
      <c r="I323" s="13">
        <v>105000</v>
      </c>
      <c r="J323" s="13">
        <v>52500</v>
      </c>
      <c r="K323" s="13">
        <f>IF(J323&lt;'Mapa Oficinas'!$I$21,0,IF(J323&gt;'Mapa Oficinas'!$I$20,0,1))</f>
        <v>0</v>
      </c>
      <c r="L323" t="s">
        <v>23</v>
      </c>
      <c r="M323" t="s">
        <v>23</v>
      </c>
      <c r="N323" t="s">
        <v>3408</v>
      </c>
      <c r="O323" t="s">
        <v>116</v>
      </c>
      <c r="P323" t="s">
        <v>45</v>
      </c>
      <c r="Q323">
        <v>2</v>
      </c>
      <c r="R323" t="s">
        <v>62</v>
      </c>
      <c r="S323" t="s">
        <v>28</v>
      </c>
      <c r="T323" t="str">
        <f>VLOOKUP(S323,'Mapa Oficinas'!$H$7:$I$16,2,FALSE)</f>
        <v>CB</v>
      </c>
      <c r="U323" t="s">
        <v>29</v>
      </c>
      <c r="V323" t="str">
        <f>VLOOKUP($R323,'Mapa Oficinas'!$A$7:$C$46,2,FALSE)</f>
        <v>CABA</v>
      </c>
      <c r="W323" t="str">
        <f>VLOOKUP($R323,'Mapa Oficinas'!$A$7:$C$46,3,FALSE)</f>
        <v>Villa Urquiza</v>
      </c>
    </row>
    <row r="324" spans="1:23" x14ac:dyDescent="0.2">
      <c r="A324" s="1">
        <v>45952</v>
      </c>
      <c r="B324" s="20">
        <f t="shared" si="10"/>
        <v>2025</v>
      </c>
      <c r="C324" s="20">
        <f t="shared" si="11"/>
        <v>10</v>
      </c>
      <c r="D324" t="s">
        <v>4834</v>
      </c>
      <c r="E324" s="49">
        <v>1</v>
      </c>
      <c r="F324" t="s">
        <v>4835</v>
      </c>
      <c r="G324" t="s">
        <v>21</v>
      </c>
      <c r="H324" t="s">
        <v>37</v>
      </c>
      <c r="I324" s="13">
        <v>52500</v>
      </c>
      <c r="J324" s="13">
        <v>52500</v>
      </c>
      <c r="K324" s="13">
        <f>IF(J324&lt;'Mapa Oficinas'!$I$21,0,IF(J324&gt;'Mapa Oficinas'!$I$20,0,1))</f>
        <v>0</v>
      </c>
      <c r="L324" t="s">
        <v>23</v>
      </c>
      <c r="M324" t="s">
        <v>23</v>
      </c>
      <c r="O324" t="s">
        <v>66</v>
      </c>
      <c r="P324" t="s">
        <v>45</v>
      </c>
      <c r="Q324">
        <v>2</v>
      </c>
      <c r="R324" t="s">
        <v>321</v>
      </c>
      <c r="S324" t="s">
        <v>28</v>
      </c>
      <c r="T324" t="str">
        <f>VLOOKUP(S324,'Mapa Oficinas'!$H$7:$I$16,2,FALSE)</f>
        <v>CB</v>
      </c>
      <c r="U324" t="s">
        <v>29</v>
      </c>
      <c r="V324" t="str">
        <f>VLOOKUP($R324,'Mapa Oficinas'!$A$7:$C$46,2,FALSE)</f>
        <v>CABA</v>
      </c>
      <c r="W324" t="str">
        <f>VLOOKUP($R324,'Mapa Oficinas'!$A$7:$C$46,3,FALSE)</f>
        <v>Palermo</v>
      </c>
    </row>
    <row r="325" spans="1:23" x14ac:dyDescent="0.2">
      <c r="A325" s="1">
        <v>45992</v>
      </c>
      <c r="B325" s="20">
        <f t="shared" si="10"/>
        <v>2025</v>
      </c>
      <c r="C325" s="20">
        <f t="shared" si="11"/>
        <v>12</v>
      </c>
      <c r="D325" t="s">
        <v>5488</v>
      </c>
      <c r="E325" s="49">
        <v>1</v>
      </c>
      <c r="F325" t="s">
        <v>5489</v>
      </c>
      <c r="G325" t="s">
        <v>21</v>
      </c>
      <c r="H325" t="s">
        <v>37</v>
      </c>
      <c r="I325" s="13">
        <v>52000</v>
      </c>
      <c r="J325" s="13">
        <v>52500</v>
      </c>
      <c r="K325" s="13">
        <f>IF(J325&lt;'Mapa Oficinas'!$I$21,0,IF(J325&gt;'Mapa Oficinas'!$I$20,0,1))</f>
        <v>0</v>
      </c>
      <c r="L325" t="s">
        <v>23</v>
      </c>
      <c r="M325" t="s">
        <v>23</v>
      </c>
      <c r="N325" t="s">
        <v>5490</v>
      </c>
      <c r="O325" t="s">
        <v>884</v>
      </c>
      <c r="P325" t="s">
        <v>45</v>
      </c>
      <c r="Q325">
        <v>2</v>
      </c>
      <c r="R325" t="s">
        <v>151</v>
      </c>
      <c r="S325" t="s">
        <v>28</v>
      </c>
      <c r="T325" t="str">
        <f>VLOOKUP(S325,'Mapa Oficinas'!$H$7:$I$16,2,FALSE)</f>
        <v>CB</v>
      </c>
      <c r="U325" t="s">
        <v>29</v>
      </c>
      <c r="V325" t="str">
        <f>VLOOKUP($R325,'Mapa Oficinas'!$A$7:$C$46,2,FALSE)</f>
        <v>Interior - Mendoza</v>
      </c>
      <c r="W325" t="str">
        <f>VLOOKUP($R325,'Mapa Oficinas'!$A$7:$C$46,3,FALSE)</f>
        <v>Capital Mendoza</v>
      </c>
    </row>
    <row r="326" spans="1:23" x14ac:dyDescent="0.2">
      <c r="A326" s="1">
        <v>45758</v>
      </c>
      <c r="B326" s="20">
        <f t="shared" si="10"/>
        <v>2025</v>
      </c>
      <c r="C326" s="20">
        <f t="shared" si="11"/>
        <v>4</v>
      </c>
      <c r="D326" t="s">
        <v>1375</v>
      </c>
      <c r="E326" s="49">
        <v>1</v>
      </c>
      <c r="F326" t="s">
        <v>1376</v>
      </c>
      <c r="G326" t="s">
        <v>21</v>
      </c>
      <c r="H326" t="s">
        <v>362</v>
      </c>
      <c r="I326" s="13">
        <v>59000</v>
      </c>
      <c r="J326" s="13">
        <v>53000</v>
      </c>
      <c r="K326" s="13">
        <f>IF(J326&lt;'Mapa Oficinas'!$I$21,0,IF(J326&gt;'Mapa Oficinas'!$I$20,0,1))</f>
        <v>0</v>
      </c>
      <c r="L326" t="s">
        <v>23</v>
      </c>
      <c r="M326" t="s">
        <v>23</v>
      </c>
      <c r="N326" t="s">
        <v>1377</v>
      </c>
      <c r="O326" t="s">
        <v>1378</v>
      </c>
      <c r="P326" t="s">
        <v>26</v>
      </c>
      <c r="Q326">
        <v>1</v>
      </c>
      <c r="R326" t="s">
        <v>167</v>
      </c>
      <c r="S326" t="s">
        <v>152</v>
      </c>
      <c r="T326" t="str">
        <f>VLOOKUP(S326,'Mapa Oficinas'!$H$7:$I$16,2,FALSE)</f>
        <v>Otra Red Captación</v>
      </c>
      <c r="U326" t="s">
        <v>29</v>
      </c>
      <c r="V326" t="str">
        <f>VLOOKUP($R326,'Mapa Oficinas'!$A$7:$C$46,2,FALSE)</f>
        <v>Interior - Santa Fe</v>
      </c>
      <c r="W326" t="str">
        <f>VLOOKUP($R326,'Mapa Oficinas'!$A$7:$C$46,3,FALSE)</f>
        <v>Capital Santa Fe</v>
      </c>
    </row>
    <row r="327" spans="1:23" x14ac:dyDescent="0.2">
      <c r="A327" s="1">
        <v>45975</v>
      </c>
      <c r="B327" s="20">
        <f t="shared" si="10"/>
        <v>2025</v>
      </c>
      <c r="C327" s="20">
        <f t="shared" si="11"/>
        <v>11</v>
      </c>
      <c r="D327" t="s">
        <v>5221</v>
      </c>
      <c r="E327" s="49">
        <v>1</v>
      </c>
      <c r="F327" t="s">
        <v>5222</v>
      </c>
      <c r="G327" t="s">
        <v>21</v>
      </c>
      <c r="H327" t="s">
        <v>81</v>
      </c>
      <c r="I327" s="13">
        <v>60000</v>
      </c>
      <c r="J327" s="13">
        <v>53000</v>
      </c>
      <c r="K327" s="13">
        <f>IF(J327&lt;'Mapa Oficinas'!$I$21,0,IF(J327&gt;'Mapa Oficinas'!$I$20,0,1))</f>
        <v>0</v>
      </c>
      <c r="L327" t="s">
        <v>23</v>
      </c>
      <c r="M327" t="s">
        <v>23</v>
      </c>
      <c r="N327" t="s">
        <v>5223</v>
      </c>
      <c r="O327" t="s">
        <v>3340</v>
      </c>
      <c r="P327" t="s">
        <v>26</v>
      </c>
      <c r="Q327">
        <v>1</v>
      </c>
      <c r="R327" t="s">
        <v>151</v>
      </c>
      <c r="S327" t="s">
        <v>152</v>
      </c>
      <c r="T327" t="str">
        <f>VLOOKUP(S327,'Mapa Oficinas'!$H$7:$I$16,2,FALSE)</f>
        <v>Otra Red Captación</v>
      </c>
      <c r="U327" t="s">
        <v>29</v>
      </c>
      <c r="V327" t="str">
        <f>VLOOKUP($R327,'Mapa Oficinas'!$A$7:$C$46,2,FALSE)</f>
        <v>Interior - Mendoza</v>
      </c>
      <c r="W327" t="str">
        <f>VLOOKUP($R327,'Mapa Oficinas'!$A$7:$C$46,3,FALSE)</f>
        <v>Capital Mendoza</v>
      </c>
    </row>
    <row r="328" spans="1:23" x14ac:dyDescent="0.2">
      <c r="A328" s="1">
        <v>45750</v>
      </c>
      <c r="B328" s="20">
        <f t="shared" si="10"/>
        <v>2025</v>
      </c>
      <c r="C328" s="20">
        <f t="shared" si="11"/>
        <v>4</v>
      </c>
      <c r="E328" s="49">
        <v>3</v>
      </c>
      <c r="F328" t="s">
        <v>1261</v>
      </c>
      <c r="G328" t="s">
        <v>21</v>
      </c>
      <c r="H328" t="s">
        <v>230</v>
      </c>
      <c r="I328" s="13">
        <v>60000</v>
      </c>
      <c r="J328" s="13">
        <v>53000</v>
      </c>
      <c r="K328" s="13">
        <f>IF(J328&lt;'Mapa Oficinas'!$I$21,0,IF(J328&gt;'Mapa Oficinas'!$I$20,0,1))</f>
        <v>0</v>
      </c>
      <c r="L328" t="s">
        <v>23</v>
      </c>
      <c r="M328" t="s">
        <v>23</v>
      </c>
      <c r="N328" t="s">
        <v>1227</v>
      </c>
      <c r="O328" t="s">
        <v>452</v>
      </c>
      <c r="P328" t="s">
        <v>45</v>
      </c>
      <c r="Q328">
        <v>2</v>
      </c>
      <c r="R328" t="s">
        <v>523</v>
      </c>
      <c r="S328" t="s">
        <v>232</v>
      </c>
      <c r="T328" t="str">
        <f>VLOOKUP(S328,'Mapa Oficinas'!$H$7:$I$16,2,FALSE)</f>
        <v>CB</v>
      </c>
      <c r="U328" t="s">
        <v>29</v>
      </c>
      <c r="V328" t="str">
        <f>VLOOKUP($R328,'Mapa Oficinas'!$A$7:$C$46,2,FALSE)</f>
        <v>CABA</v>
      </c>
      <c r="W328" t="str">
        <f>VLOOKUP($R328,'Mapa Oficinas'!$A$7:$C$46,3,FALSE)</f>
        <v>Belgrano</v>
      </c>
    </row>
    <row r="329" spans="1:23" x14ac:dyDescent="0.2">
      <c r="A329" s="1">
        <v>45832</v>
      </c>
      <c r="B329" s="20">
        <f t="shared" si="10"/>
        <v>2025</v>
      </c>
      <c r="C329" s="20">
        <f t="shared" si="11"/>
        <v>6</v>
      </c>
      <c r="D329">
        <v>21</v>
      </c>
      <c r="E329" s="49">
        <v>1</v>
      </c>
      <c r="F329" t="s">
        <v>2595</v>
      </c>
      <c r="G329" t="s">
        <v>21</v>
      </c>
      <c r="H329" t="s">
        <v>37</v>
      </c>
      <c r="I329" s="13">
        <v>53000</v>
      </c>
      <c r="J329" s="13">
        <v>53000</v>
      </c>
      <c r="K329" s="13">
        <f>IF(J329&lt;'Mapa Oficinas'!$I$21,0,IF(J329&gt;'Mapa Oficinas'!$I$20,0,1))</f>
        <v>0</v>
      </c>
      <c r="L329" t="s">
        <v>23</v>
      </c>
      <c r="M329" t="s">
        <v>23</v>
      </c>
      <c r="N329" t="s">
        <v>2596</v>
      </c>
      <c r="O329" t="s">
        <v>2084</v>
      </c>
      <c r="P329" t="s">
        <v>45</v>
      </c>
      <c r="Q329">
        <v>1</v>
      </c>
      <c r="R329" t="s">
        <v>1024</v>
      </c>
      <c r="S329" t="s">
        <v>47</v>
      </c>
      <c r="T329" t="str">
        <f>VLOOKUP(S329,'Mapa Oficinas'!$H$7:$I$16,2,FALSE)</f>
        <v>Otra Red Búsqueda</v>
      </c>
      <c r="U329" t="s">
        <v>29</v>
      </c>
      <c r="V329" t="str">
        <f>VLOOKUP($R329,'Mapa Oficinas'!$A$7:$C$46,2,FALSE)</f>
        <v>CABA</v>
      </c>
      <c r="W329" t="str">
        <f>VLOOKUP($R329,'Mapa Oficinas'!$A$7:$C$46,3,FALSE)</f>
        <v>Puerto Madero</v>
      </c>
    </row>
    <row r="330" spans="1:23" x14ac:dyDescent="0.2">
      <c r="A330" s="1">
        <v>45684</v>
      </c>
      <c r="B330" s="20">
        <f t="shared" si="10"/>
        <v>2025</v>
      </c>
      <c r="C330" s="20">
        <f t="shared" si="11"/>
        <v>1</v>
      </c>
      <c r="D330" t="s">
        <v>365</v>
      </c>
      <c r="E330" s="49">
        <v>1</v>
      </c>
      <c r="F330" t="s">
        <v>366</v>
      </c>
      <c r="G330" t="s">
        <v>21</v>
      </c>
      <c r="H330" t="s">
        <v>37</v>
      </c>
      <c r="I330" s="13">
        <v>55000</v>
      </c>
      <c r="J330" s="13">
        <v>53000</v>
      </c>
      <c r="K330" s="13">
        <f>IF(J330&lt;'Mapa Oficinas'!$I$21,0,IF(J330&gt;'Mapa Oficinas'!$I$20,0,1))</f>
        <v>0</v>
      </c>
      <c r="L330" t="s">
        <v>23</v>
      </c>
      <c r="M330" t="s">
        <v>23</v>
      </c>
      <c r="N330" t="s">
        <v>367</v>
      </c>
      <c r="O330" t="s">
        <v>114</v>
      </c>
      <c r="P330" t="s">
        <v>61</v>
      </c>
      <c r="Q330">
        <v>2</v>
      </c>
      <c r="R330" t="s">
        <v>67</v>
      </c>
      <c r="S330" t="s">
        <v>200</v>
      </c>
      <c r="T330" t="str">
        <f>VLOOKUP(S330,'Mapa Oficinas'!$H$7:$I$16,2,FALSE)</f>
        <v>Otra Red Captación</v>
      </c>
      <c r="U330" t="s">
        <v>29</v>
      </c>
      <c r="V330" t="str">
        <f>VLOOKUP($R330,'Mapa Oficinas'!$A$7:$C$46,2,FALSE)</f>
        <v>CABA</v>
      </c>
      <c r="W330" t="str">
        <f>VLOOKUP($R330,'Mapa Oficinas'!$A$7:$C$46,3,FALSE)</f>
        <v>Barrio Parque</v>
      </c>
    </row>
    <row r="331" spans="1:23" x14ac:dyDescent="0.2">
      <c r="A331" s="1">
        <v>45791</v>
      </c>
      <c r="B331" s="20">
        <f t="shared" si="10"/>
        <v>2025</v>
      </c>
      <c r="C331" s="20">
        <f t="shared" si="11"/>
        <v>5</v>
      </c>
      <c r="D331" t="s">
        <v>1917</v>
      </c>
      <c r="E331" s="49">
        <v>1</v>
      </c>
      <c r="F331" t="s">
        <v>1918</v>
      </c>
      <c r="G331" t="s">
        <v>21</v>
      </c>
      <c r="H331" t="s">
        <v>37</v>
      </c>
      <c r="I331" s="13">
        <v>54900</v>
      </c>
      <c r="J331" s="13">
        <v>53000</v>
      </c>
      <c r="K331" s="13">
        <f>IF(J331&lt;'Mapa Oficinas'!$I$21,0,IF(J331&gt;'Mapa Oficinas'!$I$20,0,1))</f>
        <v>0</v>
      </c>
      <c r="L331" t="s">
        <v>23</v>
      </c>
      <c r="M331" t="s">
        <v>23</v>
      </c>
      <c r="N331" t="s">
        <v>1919</v>
      </c>
      <c r="O331" t="s">
        <v>1920</v>
      </c>
      <c r="P331" t="s">
        <v>45</v>
      </c>
      <c r="Q331">
        <v>2</v>
      </c>
      <c r="R331" t="s">
        <v>67</v>
      </c>
      <c r="S331" t="s">
        <v>28</v>
      </c>
      <c r="T331" t="str">
        <f>VLOOKUP(S331,'Mapa Oficinas'!$H$7:$I$16,2,FALSE)</f>
        <v>CB</v>
      </c>
      <c r="U331" t="s">
        <v>29</v>
      </c>
      <c r="V331" t="str">
        <f>VLOOKUP($R331,'Mapa Oficinas'!$A$7:$C$46,2,FALSE)</f>
        <v>CABA</v>
      </c>
      <c r="W331" t="str">
        <f>VLOOKUP($R331,'Mapa Oficinas'!$A$7:$C$46,3,FALSE)</f>
        <v>Barrio Parque</v>
      </c>
    </row>
    <row r="332" spans="1:23" x14ac:dyDescent="0.2">
      <c r="A332" s="1">
        <v>45799</v>
      </c>
      <c r="B332" s="20">
        <f t="shared" si="10"/>
        <v>2025</v>
      </c>
      <c r="C332" s="20">
        <f t="shared" si="11"/>
        <v>5</v>
      </c>
      <c r="D332" t="s">
        <v>2081</v>
      </c>
      <c r="E332" s="49">
        <v>1</v>
      </c>
      <c r="F332" t="s">
        <v>2082</v>
      </c>
      <c r="G332" t="s">
        <v>21</v>
      </c>
      <c r="H332" t="s">
        <v>37</v>
      </c>
      <c r="I332" s="13">
        <v>59000</v>
      </c>
      <c r="J332" s="13">
        <v>53000</v>
      </c>
      <c r="K332" s="13">
        <f>IF(J332&lt;'Mapa Oficinas'!$I$21,0,IF(J332&gt;'Mapa Oficinas'!$I$20,0,1))</f>
        <v>0</v>
      </c>
      <c r="L332" t="s">
        <v>23</v>
      </c>
      <c r="M332" t="s">
        <v>23</v>
      </c>
      <c r="N332" t="s">
        <v>2083</v>
      </c>
      <c r="O332" t="s">
        <v>2084</v>
      </c>
      <c r="P332" t="s">
        <v>45</v>
      </c>
      <c r="Q332">
        <v>2</v>
      </c>
      <c r="R332" t="s">
        <v>46</v>
      </c>
      <c r="S332" t="s">
        <v>28</v>
      </c>
      <c r="T332" t="str">
        <f>VLOOKUP(S332,'Mapa Oficinas'!$H$7:$I$16,2,FALSE)</f>
        <v>CB</v>
      </c>
      <c r="U332" t="s">
        <v>29</v>
      </c>
      <c r="V332" t="str">
        <f>VLOOKUP($R332,'Mapa Oficinas'!$A$7:$C$46,2,FALSE)</f>
        <v>CABA</v>
      </c>
      <c r="W332" t="str">
        <f>VLOOKUP($R332,'Mapa Oficinas'!$A$7:$C$46,3,FALSE)</f>
        <v>Palermo</v>
      </c>
    </row>
    <row r="333" spans="1:23" x14ac:dyDescent="0.2">
      <c r="A333" s="1">
        <v>45996</v>
      </c>
      <c r="B333" s="20">
        <f t="shared" si="10"/>
        <v>2025</v>
      </c>
      <c r="C333" s="20">
        <f t="shared" si="11"/>
        <v>12</v>
      </c>
      <c r="D333" t="s">
        <v>5639</v>
      </c>
      <c r="E333" s="49">
        <v>1</v>
      </c>
      <c r="F333" t="s">
        <v>5640</v>
      </c>
      <c r="G333" t="s">
        <v>21</v>
      </c>
      <c r="H333" t="s">
        <v>37</v>
      </c>
      <c r="I333" s="13">
        <v>63900</v>
      </c>
      <c r="J333" s="13">
        <v>53000</v>
      </c>
      <c r="K333" s="13">
        <f>IF(J333&lt;'Mapa Oficinas'!$I$21,0,IF(J333&gt;'Mapa Oficinas'!$I$20,0,1))</f>
        <v>0</v>
      </c>
      <c r="L333" t="s">
        <v>23</v>
      </c>
      <c r="M333" t="s">
        <v>23</v>
      </c>
      <c r="N333" t="s">
        <v>5641</v>
      </c>
      <c r="O333" t="s">
        <v>60</v>
      </c>
      <c r="P333" t="s">
        <v>45</v>
      </c>
      <c r="Q333">
        <v>2</v>
      </c>
      <c r="R333" t="s">
        <v>67</v>
      </c>
      <c r="S333" t="s">
        <v>28</v>
      </c>
      <c r="T333" t="str">
        <f>VLOOKUP(S333,'Mapa Oficinas'!$H$7:$I$16,2,FALSE)</f>
        <v>CB</v>
      </c>
      <c r="U333" t="s">
        <v>29</v>
      </c>
      <c r="V333" t="str">
        <f>VLOOKUP($R333,'Mapa Oficinas'!$A$7:$C$46,2,FALSE)</f>
        <v>CABA</v>
      </c>
      <c r="W333" t="str">
        <f>VLOOKUP($R333,'Mapa Oficinas'!$A$7:$C$46,3,FALSE)</f>
        <v>Barrio Parque</v>
      </c>
    </row>
    <row r="334" spans="1:23" x14ac:dyDescent="0.2">
      <c r="A334" s="1">
        <v>46014</v>
      </c>
      <c r="B334" s="20">
        <f t="shared" si="10"/>
        <v>2025</v>
      </c>
      <c r="C334" s="20">
        <f t="shared" si="11"/>
        <v>12</v>
      </c>
      <c r="D334" t="s">
        <v>5958</v>
      </c>
      <c r="E334" s="49">
        <v>1</v>
      </c>
      <c r="F334" t="s">
        <v>5959</v>
      </c>
      <c r="G334" t="s">
        <v>21</v>
      </c>
      <c r="H334" t="s">
        <v>81</v>
      </c>
      <c r="I334" s="13">
        <v>60000</v>
      </c>
      <c r="J334" s="13">
        <v>53000</v>
      </c>
      <c r="K334" s="13">
        <f>IF(J334&lt;'Mapa Oficinas'!$I$21,0,IF(J334&gt;'Mapa Oficinas'!$I$20,0,1))</f>
        <v>0</v>
      </c>
      <c r="L334" t="s">
        <v>23</v>
      </c>
      <c r="M334" t="s">
        <v>23</v>
      </c>
      <c r="N334" t="s">
        <v>5960</v>
      </c>
      <c r="O334" t="s">
        <v>5961</v>
      </c>
      <c r="P334" t="s">
        <v>34</v>
      </c>
      <c r="Q334">
        <v>2</v>
      </c>
      <c r="R334" t="s">
        <v>482</v>
      </c>
      <c r="S334" t="s">
        <v>28</v>
      </c>
      <c r="T334" t="str">
        <f>VLOOKUP(S334,'Mapa Oficinas'!$H$7:$I$16,2,FALSE)</f>
        <v>CB</v>
      </c>
      <c r="U334" t="s">
        <v>29</v>
      </c>
      <c r="V334" t="str">
        <f>VLOOKUP($R334,'Mapa Oficinas'!$A$7:$C$46,2,FALSE)</f>
        <v>Interior - Jujuy</v>
      </c>
      <c r="W334" t="str">
        <f>VLOOKUP($R334,'Mapa Oficinas'!$A$7:$C$46,3,FALSE)</f>
        <v>Capital Jujuy</v>
      </c>
    </row>
    <row r="335" spans="1:23" x14ac:dyDescent="0.2">
      <c r="A335" s="1">
        <v>46056</v>
      </c>
      <c r="B335" s="20">
        <f t="shared" si="10"/>
        <v>2026</v>
      </c>
      <c r="C335" s="20">
        <f t="shared" si="11"/>
        <v>2</v>
      </c>
      <c r="D335" t="s">
        <v>6508</v>
      </c>
      <c r="E335" s="49">
        <v>1</v>
      </c>
      <c r="F335" t="s">
        <v>6509</v>
      </c>
      <c r="G335" t="s">
        <v>21</v>
      </c>
      <c r="H335" t="s">
        <v>37</v>
      </c>
      <c r="I335" s="13">
        <v>55000</v>
      </c>
      <c r="J335" s="13">
        <v>53000</v>
      </c>
      <c r="K335" s="13">
        <f>IF(J335&lt;'Mapa Oficinas'!$I$21,0,IF(J335&gt;'Mapa Oficinas'!$I$20,0,1))</f>
        <v>0</v>
      </c>
      <c r="L335" t="s">
        <v>23</v>
      </c>
      <c r="M335" t="s">
        <v>23</v>
      </c>
      <c r="N335" t="s">
        <v>6510</v>
      </c>
      <c r="O335" t="s">
        <v>50</v>
      </c>
      <c r="P335" t="s">
        <v>45</v>
      </c>
      <c r="Q335">
        <v>2</v>
      </c>
      <c r="R335" t="s">
        <v>135</v>
      </c>
      <c r="S335" t="s">
        <v>28</v>
      </c>
      <c r="T335" t="str">
        <f>VLOOKUP(S335,'Mapa Oficinas'!$H$7:$I$16,2,FALSE)</f>
        <v>CB</v>
      </c>
      <c r="U335" t="s">
        <v>29</v>
      </c>
      <c r="V335" t="str">
        <f>VLOOKUP($R335,'Mapa Oficinas'!$A$7:$C$46,2,FALSE)</f>
        <v>CABA</v>
      </c>
      <c r="W335" t="str">
        <f>VLOOKUP($R335,'Mapa Oficinas'!$A$7:$C$46,3,FALSE)</f>
        <v>Recoleta</v>
      </c>
    </row>
    <row r="336" spans="1:23" x14ac:dyDescent="0.2">
      <c r="A336" s="1">
        <v>45763</v>
      </c>
      <c r="B336" s="20">
        <f t="shared" si="10"/>
        <v>2025</v>
      </c>
      <c r="C336" s="20">
        <f t="shared" si="11"/>
        <v>4</v>
      </c>
      <c r="D336" t="s">
        <v>1480</v>
      </c>
      <c r="E336" s="49">
        <v>1</v>
      </c>
      <c r="F336" t="s">
        <v>1481</v>
      </c>
      <c r="G336" t="s">
        <v>21</v>
      </c>
      <c r="H336" t="s">
        <v>81</v>
      </c>
      <c r="I336" s="13">
        <v>55500</v>
      </c>
      <c r="J336" s="13">
        <v>53500</v>
      </c>
      <c r="K336" s="13">
        <f>IF(J336&lt;'Mapa Oficinas'!$I$21,0,IF(J336&gt;'Mapa Oficinas'!$I$20,0,1))</f>
        <v>0</v>
      </c>
      <c r="L336" t="s">
        <v>23</v>
      </c>
      <c r="M336" t="s">
        <v>23</v>
      </c>
      <c r="N336" t="s">
        <v>1482</v>
      </c>
      <c r="O336" t="s">
        <v>470</v>
      </c>
      <c r="P336" t="s">
        <v>45</v>
      </c>
      <c r="Q336">
        <v>2</v>
      </c>
      <c r="R336" t="s">
        <v>67</v>
      </c>
      <c r="S336" t="s">
        <v>79</v>
      </c>
      <c r="T336" t="str">
        <f>VLOOKUP(S336,'Mapa Oficinas'!$H$7:$I$16,2,FALSE)</f>
        <v>CB</v>
      </c>
      <c r="U336" t="s">
        <v>29</v>
      </c>
      <c r="V336" t="str">
        <f>VLOOKUP($R336,'Mapa Oficinas'!$A$7:$C$46,2,FALSE)</f>
        <v>CABA</v>
      </c>
      <c r="W336" t="str">
        <f>VLOOKUP($R336,'Mapa Oficinas'!$A$7:$C$46,3,FALSE)</f>
        <v>Barrio Parque</v>
      </c>
    </row>
    <row r="337" spans="1:23" x14ac:dyDescent="0.2">
      <c r="A337" s="1">
        <v>45889</v>
      </c>
      <c r="B337" s="20">
        <f t="shared" si="10"/>
        <v>2025</v>
      </c>
      <c r="C337" s="20">
        <f t="shared" si="11"/>
        <v>8</v>
      </c>
      <c r="D337" t="s">
        <v>3659</v>
      </c>
      <c r="E337" s="49">
        <v>1</v>
      </c>
      <c r="F337" t="s">
        <v>3660</v>
      </c>
      <c r="G337" t="s">
        <v>21</v>
      </c>
      <c r="H337" t="s">
        <v>81</v>
      </c>
      <c r="I337" s="13">
        <v>58000</v>
      </c>
      <c r="J337" s="13">
        <v>54000</v>
      </c>
      <c r="K337" s="13">
        <f>IF(J337&lt;'Mapa Oficinas'!$I$21,0,IF(J337&gt;'Mapa Oficinas'!$I$20,0,1))</f>
        <v>0</v>
      </c>
      <c r="L337" t="s">
        <v>23</v>
      </c>
      <c r="M337" t="s">
        <v>23</v>
      </c>
      <c r="N337" t="s">
        <v>3661</v>
      </c>
      <c r="O337" t="s">
        <v>223</v>
      </c>
      <c r="P337" t="s">
        <v>45</v>
      </c>
      <c r="Q337">
        <v>1</v>
      </c>
      <c r="R337" t="s">
        <v>167</v>
      </c>
      <c r="S337" t="s">
        <v>122</v>
      </c>
      <c r="T337" t="str">
        <f>VLOOKUP(S337,'Mapa Oficinas'!$H$7:$I$16,2,FALSE)</f>
        <v>Otra Red Búsqueda</v>
      </c>
      <c r="U337" t="s">
        <v>29</v>
      </c>
      <c r="V337" t="str">
        <f>VLOOKUP($R337,'Mapa Oficinas'!$A$7:$C$46,2,FALSE)</f>
        <v>Interior - Santa Fe</v>
      </c>
      <c r="W337" t="str">
        <f>VLOOKUP($R337,'Mapa Oficinas'!$A$7:$C$46,3,FALSE)</f>
        <v>Capital Santa Fe</v>
      </c>
    </row>
    <row r="338" spans="1:23" x14ac:dyDescent="0.2">
      <c r="A338" s="1">
        <v>45909</v>
      </c>
      <c r="B338" s="20">
        <f t="shared" si="10"/>
        <v>2025</v>
      </c>
      <c r="C338" s="20">
        <f t="shared" si="11"/>
        <v>9</v>
      </c>
      <c r="D338" t="s">
        <v>4044</v>
      </c>
      <c r="E338" s="49">
        <v>1</v>
      </c>
      <c r="F338" t="s">
        <v>4045</v>
      </c>
      <c r="G338" t="s">
        <v>21</v>
      </c>
      <c r="H338" t="s">
        <v>37</v>
      </c>
      <c r="I338" s="13">
        <v>59000</v>
      </c>
      <c r="J338" s="13">
        <v>54000</v>
      </c>
      <c r="K338" s="13">
        <f>IF(J338&lt;'Mapa Oficinas'!$I$21,0,IF(J338&gt;'Mapa Oficinas'!$I$20,0,1))</f>
        <v>0</v>
      </c>
      <c r="L338" t="s">
        <v>23</v>
      </c>
      <c r="M338" t="s">
        <v>23</v>
      </c>
      <c r="N338" t="s">
        <v>4046</v>
      </c>
      <c r="O338" t="s">
        <v>238</v>
      </c>
      <c r="P338" t="s">
        <v>55</v>
      </c>
      <c r="Q338">
        <v>2</v>
      </c>
      <c r="R338" t="s">
        <v>110</v>
      </c>
      <c r="S338" t="s">
        <v>79</v>
      </c>
      <c r="T338" t="str">
        <f>VLOOKUP(S338,'Mapa Oficinas'!$H$7:$I$16,2,FALSE)</f>
        <v>CB</v>
      </c>
      <c r="U338" t="s">
        <v>29</v>
      </c>
      <c r="V338" t="str">
        <f>VLOOKUP($R338,'Mapa Oficinas'!$A$7:$C$46,2,FALSE)</f>
        <v>Zona Norte (GBA)</v>
      </c>
      <c r="W338" t="str">
        <f>VLOOKUP($R338,'Mapa Oficinas'!$A$7:$C$46,3,FALSE)</f>
        <v>Nordelta</v>
      </c>
    </row>
    <row r="339" spans="1:23" x14ac:dyDescent="0.2">
      <c r="A339" s="1">
        <v>45936</v>
      </c>
      <c r="B339" s="20">
        <f t="shared" si="10"/>
        <v>2025</v>
      </c>
      <c r="C339" s="20">
        <f t="shared" si="11"/>
        <v>10</v>
      </c>
      <c r="D339" t="s">
        <v>4510</v>
      </c>
      <c r="E339" s="49">
        <v>0</v>
      </c>
      <c r="F339" t="s">
        <v>4509</v>
      </c>
      <c r="G339" t="s">
        <v>21</v>
      </c>
      <c r="H339" t="s">
        <v>37</v>
      </c>
      <c r="I339" s="13">
        <v>54000</v>
      </c>
      <c r="J339" s="13">
        <v>54000</v>
      </c>
      <c r="K339" s="13">
        <f>IF(J339&lt;'Mapa Oficinas'!$I$21,0,IF(J339&gt;'Mapa Oficinas'!$I$20,0,1))</f>
        <v>0</v>
      </c>
      <c r="L339" t="s">
        <v>23</v>
      </c>
      <c r="M339" t="s">
        <v>23</v>
      </c>
      <c r="N339" t="s">
        <v>751</v>
      </c>
      <c r="O339" t="s">
        <v>738</v>
      </c>
      <c r="P339" t="s">
        <v>45</v>
      </c>
      <c r="Q339">
        <v>2</v>
      </c>
      <c r="R339" t="s">
        <v>670</v>
      </c>
      <c r="S339" t="s">
        <v>232</v>
      </c>
      <c r="T339" t="str">
        <f>VLOOKUP(S339,'Mapa Oficinas'!$H$7:$I$16,2,FALSE)</f>
        <v>CB</v>
      </c>
      <c r="U339" t="s">
        <v>29</v>
      </c>
      <c r="V339" t="str">
        <f>VLOOKUP($R339,'Mapa Oficinas'!$A$7:$C$46,2,FALSE)</f>
        <v>CABA</v>
      </c>
      <c r="W339" t="str">
        <f>VLOOKUP($R339,'Mapa Oficinas'!$A$7:$C$46,3,FALSE)</f>
        <v>Recoleta</v>
      </c>
    </row>
    <row r="340" spans="1:23" x14ac:dyDescent="0.2">
      <c r="A340" s="1">
        <v>45965</v>
      </c>
      <c r="B340" s="20">
        <f t="shared" si="10"/>
        <v>2025</v>
      </c>
      <c r="C340" s="20">
        <f t="shared" si="11"/>
        <v>11</v>
      </c>
      <c r="D340" t="s">
        <v>4510</v>
      </c>
      <c r="E340" s="49">
        <v>3</v>
      </c>
      <c r="F340" t="s">
        <v>4509</v>
      </c>
      <c r="G340" t="s">
        <v>21</v>
      </c>
      <c r="H340" t="s">
        <v>37</v>
      </c>
      <c r="I340" s="13">
        <v>54000</v>
      </c>
      <c r="J340" s="13">
        <v>54000</v>
      </c>
      <c r="K340" s="13">
        <f>IF(J340&lt;'Mapa Oficinas'!$I$21,0,IF(J340&gt;'Mapa Oficinas'!$I$20,0,1))</f>
        <v>0</v>
      </c>
      <c r="L340" t="s">
        <v>23</v>
      </c>
      <c r="M340" t="s">
        <v>23</v>
      </c>
      <c r="N340" t="s">
        <v>751</v>
      </c>
      <c r="O340" t="s">
        <v>738</v>
      </c>
      <c r="P340" t="s">
        <v>45</v>
      </c>
      <c r="Q340">
        <v>2</v>
      </c>
      <c r="R340" t="s">
        <v>670</v>
      </c>
      <c r="S340" t="s">
        <v>232</v>
      </c>
      <c r="T340" t="str">
        <f>VLOOKUP(S340,'Mapa Oficinas'!$H$7:$I$16,2,FALSE)</f>
        <v>CB</v>
      </c>
      <c r="U340" t="s">
        <v>29</v>
      </c>
      <c r="V340" t="str">
        <f>VLOOKUP($R340,'Mapa Oficinas'!$A$7:$C$46,2,FALSE)</f>
        <v>CABA</v>
      </c>
      <c r="W340" t="str">
        <f>VLOOKUP($R340,'Mapa Oficinas'!$A$7:$C$46,3,FALSE)</f>
        <v>Recoleta</v>
      </c>
    </row>
    <row r="341" spans="1:23" x14ac:dyDescent="0.2">
      <c r="A341" s="1">
        <v>45982</v>
      </c>
      <c r="B341" s="20">
        <f t="shared" si="10"/>
        <v>2025</v>
      </c>
      <c r="C341" s="20">
        <f t="shared" si="11"/>
        <v>11</v>
      </c>
      <c r="D341" t="s">
        <v>5351</v>
      </c>
      <c r="E341" s="49">
        <v>1</v>
      </c>
      <c r="F341" t="s">
        <v>5352</v>
      </c>
      <c r="G341" t="s">
        <v>21</v>
      </c>
      <c r="H341" t="s">
        <v>70</v>
      </c>
      <c r="I341" s="13">
        <v>58000</v>
      </c>
      <c r="J341" s="13">
        <v>54000</v>
      </c>
      <c r="K341" s="13">
        <f>IF(J341&lt;'Mapa Oficinas'!$I$21,0,IF(J341&gt;'Mapa Oficinas'!$I$20,0,1))</f>
        <v>0</v>
      </c>
      <c r="L341" t="s">
        <v>23</v>
      </c>
      <c r="M341" t="s">
        <v>23</v>
      </c>
      <c r="N341" t="s">
        <v>5353</v>
      </c>
      <c r="O341" t="s">
        <v>3304</v>
      </c>
      <c r="P341" t="s">
        <v>45</v>
      </c>
      <c r="Q341">
        <v>2</v>
      </c>
      <c r="R341" t="s">
        <v>73</v>
      </c>
      <c r="S341" t="s">
        <v>28</v>
      </c>
      <c r="T341" t="str">
        <f>VLOOKUP(S341,'Mapa Oficinas'!$H$7:$I$16,2,FALSE)</f>
        <v>CB</v>
      </c>
      <c r="U341" t="s">
        <v>29</v>
      </c>
      <c r="V341" t="str">
        <f>VLOOKUP($R341,'Mapa Oficinas'!$A$7:$C$46,2,FALSE)</f>
        <v>Interior - Salta</v>
      </c>
      <c r="W341" t="str">
        <f>VLOOKUP($R341,'Mapa Oficinas'!$A$7:$C$46,3,FALSE)</f>
        <v>San Lorenzo Chico</v>
      </c>
    </row>
    <row r="342" spans="1:23" x14ac:dyDescent="0.2">
      <c r="A342" s="1">
        <v>46003</v>
      </c>
      <c r="B342" s="20">
        <f t="shared" si="10"/>
        <v>2025</v>
      </c>
      <c r="C342" s="20">
        <f t="shared" si="11"/>
        <v>12</v>
      </c>
      <c r="D342" t="s">
        <v>5735</v>
      </c>
      <c r="E342" s="49">
        <v>1</v>
      </c>
      <c r="F342" t="s">
        <v>5736</v>
      </c>
      <c r="G342" t="s">
        <v>21</v>
      </c>
      <c r="H342" t="s">
        <v>221</v>
      </c>
      <c r="I342" s="13">
        <v>55000</v>
      </c>
      <c r="J342" s="13">
        <v>54000</v>
      </c>
      <c r="K342" s="13">
        <f>IF(J342&lt;'Mapa Oficinas'!$I$21,0,IF(J342&gt;'Mapa Oficinas'!$I$20,0,1))</f>
        <v>0</v>
      </c>
      <c r="L342" t="s">
        <v>23</v>
      </c>
      <c r="M342" t="s">
        <v>23</v>
      </c>
      <c r="N342" t="s">
        <v>5737</v>
      </c>
      <c r="O342" t="s">
        <v>5463</v>
      </c>
      <c r="P342" t="s">
        <v>34</v>
      </c>
      <c r="Q342">
        <v>2</v>
      </c>
      <c r="R342" t="s">
        <v>151</v>
      </c>
      <c r="S342" t="s">
        <v>28</v>
      </c>
      <c r="T342" t="str">
        <f>VLOOKUP(S342,'Mapa Oficinas'!$H$7:$I$16,2,FALSE)</f>
        <v>CB</v>
      </c>
      <c r="U342" t="s">
        <v>29</v>
      </c>
      <c r="V342" t="str">
        <f>VLOOKUP($R342,'Mapa Oficinas'!$A$7:$C$46,2,FALSE)</f>
        <v>Interior - Mendoza</v>
      </c>
      <c r="W342" t="str">
        <f>VLOOKUP($R342,'Mapa Oficinas'!$A$7:$C$46,3,FALSE)</f>
        <v>Capital Mendoza</v>
      </c>
    </row>
    <row r="343" spans="1:23" x14ac:dyDescent="0.2">
      <c r="A343" s="1">
        <v>46006</v>
      </c>
      <c r="B343" s="20">
        <f t="shared" si="10"/>
        <v>2025</v>
      </c>
      <c r="C343" s="20">
        <f t="shared" si="11"/>
        <v>12</v>
      </c>
      <c r="D343" t="s">
        <v>5772</v>
      </c>
      <c r="E343" s="49">
        <v>1</v>
      </c>
      <c r="F343" t="s">
        <v>5773</v>
      </c>
      <c r="G343" t="s">
        <v>21</v>
      </c>
      <c r="H343" t="s">
        <v>100</v>
      </c>
      <c r="I343" s="13">
        <v>53500</v>
      </c>
      <c r="J343" s="13">
        <v>54000</v>
      </c>
      <c r="K343" s="13">
        <f>IF(J343&lt;'Mapa Oficinas'!$I$21,0,IF(J343&gt;'Mapa Oficinas'!$I$20,0,1))</f>
        <v>0</v>
      </c>
      <c r="L343" t="s">
        <v>23</v>
      </c>
      <c r="M343" t="s">
        <v>23</v>
      </c>
      <c r="N343" t="s">
        <v>5774</v>
      </c>
      <c r="O343" t="s">
        <v>2562</v>
      </c>
      <c r="P343" t="s">
        <v>26</v>
      </c>
      <c r="Q343">
        <v>2</v>
      </c>
      <c r="R343" t="s">
        <v>121</v>
      </c>
      <c r="S343" t="s">
        <v>28</v>
      </c>
      <c r="T343" t="str">
        <f>VLOOKUP(S343,'Mapa Oficinas'!$H$7:$I$16,2,FALSE)</f>
        <v>CB</v>
      </c>
      <c r="U343" t="s">
        <v>29</v>
      </c>
      <c r="V343" t="str">
        <f>VLOOKUP($R343,'Mapa Oficinas'!$A$7:$C$46,2,FALSE)</f>
        <v>Interior - Río Negro</v>
      </c>
      <c r="W343" t="str">
        <f>VLOOKUP($R343,'Mapa Oficinas'!$A$7:$C$46,3,FALSE)</f>
        <v>Bariloche</v>
      </c>
    </row>
    <row r="344" spans="1:23" x14ac:dyDescent="0.2">
      <c r="A344" s="1">
        <v>46080</v>
      </c>
      <c r="B344" s="20">
        <f t="shared" si="10"/>
        <v>2026</v>
      </c>
      <c r="C344" s="20">
        <f t="shared" si="11"/>
        <v>2</v>
      </c>
      <c r="D344" t="s">
        <v>6878</v>
      </c>
      <c r="E344" s="49">
        <v>1</v>
      </c>
      <c r="F344" t="s">
        <v>6879</v>
      </c>
      <c r="G344" t="s">
        <v>21</v>
      </c>
      <c r="H344" t="s">
        <v>22</v>
      </c>
      <c r="I344" s="13">
        <v>59500</v>
      </c>
      <c r="J344" s="13">
        <v>54000</v>
      </c>
      <c r="K344" s="13">
        <f>IF(J344&lt;'Mapa Oficinas'!$I$21,0,IF(J344&gt;'Mapa Oficinas'!$I$20,0,1))</f>
        <v>0</v>
      </c>
      <c r="L344" t="s">
        <v>23</v>
      </c>
      <c r="M344" t="s">
        <v>23</v>
      </c>
      <c r="N344" t="s">
        <v>6880</v>
      </c>
      <c r="O344" t="s">
        <v>992</v>
      </c>
      <c r="P344" t="s">
        <v>45</v>
      </c>
      <c r="Q344">
        <v>2</v>
      </c>
      <c r="R344" t="s">
        <v>67</v>
      </c>
      <c r="S344" t="s">
        <v>28</v>
      </c>
      <c r="T344" t="str">
        <f>VLOOKUP(S344,'Mapa Oficinas'!$H$7:$I$16,2,FALSE)</f>
        <v>CB</v>
      </c>
      <c r="U344" t="s">
        <v>29</v>
      </c>
      <c r="V344" t="str">
        <f>VLOOKUP($R344,'Mapa Oficinas'!$A$7:$C$46,2,FALSE)</f>
        <v>CABA</v>
      </c>
      <c r="W344" t="str">
        <f>VLOOKUP($R344,'Mapa Oficinas'!$A$7:$C$46,3,FALSE)</f>
        <v>Barrio Parque</v>
      </c>
    </row>
    <row r="345" spans="1:23" x14ac:dyDescent="0.2">
      <c r="A345" s="1">
        <v>46097</v>
      </c>
      <c r="B345" s="20">
        <f t="shared" si="10"/>
        <v>2026</v>
      </c>
      <c r="C345" s="20">
        <f t="shared" si="11"/>
        <v>3</v>
      </c>
      <c r="D345" t="s">
        <v>7193</v>
      </c>
      <c r="E345" s="49">
        <v>1</v>
      </c>
      <c r="F345" t="s">
        <v>7193</v>
      </c>
      <c r="G345" t="s">
        <v>21</v>
      </c>
      <c r="H345" t="s">
        <v>37</v>
      </c>
      <c r="I345" s="13">
        <v>57000</v>
      </c>
      <c r="J345" s="13">
        <v>54000</v>
      </c>
      <c r="K345" s="13">
        <f>IF(J345&lt;'Mapa Oficinas'!$I$21,0,IF(J345&gt;'Mapa Oficinas'!$I$20,0,1))</f>
        <v>0</v>
      </c>
      <c r="L345" t="s">
        <v>23</v>
      </c>
      <c r="M345" t="s">
        <v>23</v>
      </c>
      <c r="N345" t="s">
        <v>7193</v>
      </c>
      <c r="O345" t="s">
        <v>759</v>
      </c>
      <c r="P345" t="s">
        <v>34</v>
      </c>
      <c r="Q345">
        <v>2</v>
      </c>
      <c r="R345" t="s">
        <v>62</v>
      </c>
      <c r="S345" t="s">
        <v>28</v>
      </c>
      <c r="T345" t="str">
        <f>VLOOKUP(S345,'Mapa Oficinas'!$H$7:$I$16,2,FALSE)</f>
        <v>CB</v>
      </c>
      <c r="U345" t="s">
        <v>29</v>
      </c>
      <c r="V345" t="str">
        <f>VLOOKUP($R345,'Mapa Oficinas'!$A$7:$C$46,2,FALSE)</f>
        <v>CABA</v>
      </c>
      <c r="W345" t="str">
        <f>VLOOKUP($R345,'Mapa Oficinas'!$A$7:$C$46,3,FALSE)</f>
        <v>Villa Urquiza</v>
      </c>
    </row>
    <row r="346" spans="1:23" x14ac:dyDescent="0.2">
      <c r="A346" s="1">
        <v>46098</v>
      </c>
      <c r="B346" s="20">
        <f t="shared" si="10"/>
        <v>2026</v>
      </c>
      <c r="C346" s="20">
        <f t="shared" si="11"/>
        <v>3</v>
      </c>
      <c r="D346" t="s">
        <v>7230</v>
      </c>
      <c r="E346" s="49">
        <v>1</v>
      </c>
      <c r="F346" t="s">
        <v>7231</v>
      </c>
      <c r="G346" t="s">
        <v>21</v>
      </c>
      <c r="H346" t="s">
        <v>76</v>
      </c>
      <c r="I346" s="13">
        <v>60000</v>
      </c>
      <c r="J346" s="13">
        <v>54000</v>
      </c>
      <c r="K346" s="13">
        <f>IF(J346&lt;'Mapa Oficinas'!$I$21,0,IF(J346&gt;'Mapa Oficinas'!$I$20,0,1))</f>
        <v>0</v>
      </c>
      <c r="L346" t="s">
        <v>23</v>
      </c>
      <c r="M346" t="s">
        <v>23</v>
      </c>
      <c r="N346" t="s">
        <v>7232</v>
      </c>
      <c r="O346" t="s">
        <v>223</v>
      </c>
      <c r="P346" t="s">
        <v>34</v>
      </c>
      <c r="Q346">
        <v>2</v>
      </c>
      <c r="R346" t="s">
        <v>167</v>
      </c>
      <c r="S346" t="s">
        <v>28</v>
      </c>
      <c r="T346" t="str">
        <f>VLOOKUP(S346,'Mapa Oficinas'!$H$7:$I$16,2,FALSE)</f>
        <v>CB</v>
      </c>
      <c r="U346" t="s">
        <v>29</v>
      </c>
      <c r="V346" t="str">
        <f>VLOOKUP($R346,'Mapa Oficinas'!$A$7:$C$46,2,FALSE)</f>
        <v>Interior - Santa Fe</v>
      </c>
      <c r="W346" t="str">
        <f>VLOOKUP($R346,'Mapa Oficinas'!$A$7:$C$46,3,FALSE)</f>
        <v>Capital Santa Fe</v>
      </c>
    </row>
    <row r="347" spans="1:23" x14ac:dyDescent="0.2">
      <c r="A347" s="1">
        <v>45992</v>
      </c>
      <c r="B347" s="20">
        <f t="shared" si="10"/>
        <v>2025</v>
      </c>
      <c r="C347" s="20">
        <f t="shared" si="11"/>
        <v>12</v>
      </c>
      <c r="D347" t="s">
        <v>5491</v>
      </c>
      <c r="E347" s="49">
        <v>1</v>
      </c>
      <c r="F347" t="s">
        <v>5492</v>
      </c>
      <c r="G347" t="s">
        <v>21</v>
      </c>
      <c r="H347" t="s">
        <v>37</v>
      </c>
      <c r="I347" s="13">
        <v>65000</v>
      </c>
      <c r="J347" s="13">
        <v>54500</v>
      </c>
      <c r="K347" s="13">
        <f>IF(J347&lt;'Mapa Oficinas'!$I$21,0,IF(J347&gt;'Mapa Oficinas'!$I$20,0,1))</f>
        <v>0</v>
      </c>
      <c r="L347" t="s">
        <v>23</v>
      </c>
      <c r="M347" t="s">
        <v>23</v>
      </c>
      <c r="N347" t="s">
        <v>5492</v>
      </c>
      <c r="O347" t="s">
        <v>150</v>
      </c>
      <c r="P347" t="s">
        <v>45</v>
      </c>
      <c r="Q347">
        <v>2</v>
      </c>
      <c r="R347" t="s">
        <v>151</v>
      </c>
      <c r="S347" t="s">
        <v>28</v>
      </c>
      <c r="T347" t="str">
        <f>VLOOKUP(S347,'Mapa Oficinas'!$H$7:$I$16,2,FALSE)</f>
        <v>CB</v>
      </c>
      <c r="U347" t="s">
        <v>29</v>
      </c>
      <c r="V347" t="str">
        <f>VLOOKUP($R347,'Mapa Oficinas'!$A$7:$C$46,2,FALSE)</f>
        <v>Interior - Mendoza</v>
      </c>
      <c r="W347" t="str">
        <f>VLOOKUP($R347,'Mapa Oficinas'!$A$7:$C$46,3,FALSE)</f>
        <v>Capital Mendoza</v>
      </c>
    </row>
    <row r="348" spans="1:23" x14ac:dyDescent="0.2">
      <c r="A348" s="1">
        <v>45863</v>
      </c>
      <c r="B348" s="20">
        <f t="shared" si="10"/>
        <v>2025</v>
      </c>
      <c r="C348" s="20">
        <f t="shared" si="11"/>
        <v>7</v>
      </c>
      <c r="D348" t="s">
        <v>3215</v>
      </c>
      <c r="E348" s="49">
        <v>1</v>
      </c>
      <c r="F348" t="s">
        <v>3216</v>
      </c>
      <c r="G348" t="s">
        <v>21</v>
      </c>
      <c r="H348" t="s">
        <v>22</v>
      </c>
      <c r="I348" s="13">
        <v>55000</v>
      </c>
      <c r="J348" s="13">
        <v>54950</v>
      </c>
      <c r="K348" s="13">
        <f>IF(J348&lt;'Mapa Oficinas'!$I$21,0,IF(J348&gt;'Mapa Oficinas'!$I$20,0,1))</f>
        <v>0</v>
      </c>
      <c r="L348" t="s">
        <v>23</v>
      </c>
      <c r="M348" t="s">
        <v>23</v>
      </c>
      <c r="O348" t="s">
        <v>573</v>
      </c>
      <c r="P348" t="s">
        <v>26</v>
      </c>
      <c r="Q348">
        <v>2</v>
      </c>
      <c r="R348" t="s">
        <v>321</v>
      </c>
      <c r="S348" t="s">
        <v>28</v>
      </c>
      <c r="T348" t="str">
        <f>VLOOKUP(S348,'Mapa Oficinas'!$H$7:$I$16,2,FALSE)</f>
        <v>CB</v>
      </c>
      <c r="U348" t="s">
        <v>29</v>
      </c>
      <c r="V348" t="str">
        <f>VLOOKUP($R348,'Mapa Oficinas'!$A$7:$C$46,2,FALSE)</f>
        <v>CABA</v>
      </c>
      <c r="W348" t="str">
        <f>VLOOKUP($R348,'Mapa Oficinas'!$A$7:$C$46,3,FALSE)</f>
        <v>Palermo</v>
      </c>
    </row>
    <row r="349" spans="1:23" x14ac:dyDescent="0.2">
      <c r="A349" s="1">
        <v>45938</v>
      </c>
      <c r="B349" s="20">
        <f t="shared" si="10"/>
        <v>2025</v>
      </c>
      <c r="C349" s="20">
        <f t="shared" si="11"/>
        <v>10</v>
      </c>
      <c r="D349" t="s">
        <v>4577</v>
      </c>
      <c r="E349" s="49">
        <v>1</v>
      </c>
      <c r="F349" t="s">
        <v>4578</v>
      </c>
      <c r="G349" t="s">
        <v>21</v>
      </c>
      <c r="H349" t="s">
        <v>81</v>
      </c>
      <c r="I349" s="13">
        <v>55000</v>
      </c>
      <c r="J349" s="13">
        <v>55000</v>
      </c>
      <c r="K349" s="13">
        <f>IF(J349&lt;'Mapa Oficinas'!$I$21,0,IF(J349&gt;'Mapa Oficinas'!$I$20,0,1))</f>
        <v>0</v>
      </c>
      <c r="L349" t="s">
        <v>23</v>
      </c>
      <c r="M349" t="s">
        <v>23</v>
      </c>
      <c r="N349" t="s">
        <v>4579</v>
      </c>
      <c r="O349" t="s">
        <v>2852</v>
      </c>
      <c r="P349" t="s">
        <v>34</v>
      </c>
      <c r="Q349">
        <v>1</v>
      </c>
      <c r="R349" t="s">
        <v>2003</v>
      </c>
      <c r="S349" t="s">
        <v>122</v>
      </c>
      <c r="T349" t="str">
        <f>VLOOKUP(S349,'Mapa Oficinas'!$H$7:$I$16,2,FALSE)</f>
        <v>Otra Red Búsqueda</v>
      </c>
      <c r="U349" t="s">
        <v>29</v>
      </c>
      <c r="V349" t="str">
        <f>VLOOKUP($R349,'Mapa Oficinas'!$A$7:$C$46,2,FALSE)</f>
        <v>Interior - Mendoza</v>
      </c>
      <c r="W349" t="str">
        <f>VLOOKUP($R349,'Mapa Oficinas'!$A$7:$C$46,3,FALSE)</f>
        <v>San Rafael</v>
      </c>
    </row>
    <row r="350" spans="1:23" x14ac:dyDescent="0.2">
      <c r="A350" s="1">
        <v>45888</v>
      </c>
      <c r="B350" s="20">
        <f t="shared" si="10"/>
        <v>2025</v>
      </c>
      <c r="C350" s="20">
        <f t="shared" si="11"/>
        <v>8</v>
      </c>
      <c r="D350" t="s">
        <v>1476</v>
      </c>
      <c r="E350" s="49">
        <v>1</v>
      </c>
      <c r="F350" t="s">
        <v>1477</v>
      </c>
      <c r="G350" t="s">
        <v>21</v>
      </c>
      <c r="H350" t="s">
        <v>100</v>
      </c>
      <c r="I350" s="13">
        <v>55000</v>
      </c>
      <c r="J350" s="13">
        <v>55000</v>
      </c>
      <c r="K350" s="13">
        <f>IF(J350&lt;'Mapa Oficinas'!$I$21,0,IF(J350&gt;'Mapa Oficinas'!$I$20,0,1))</f>
        <v>0</v>
      </c>
      <c r="L350" t="s">
        <v>23</v>
      </c>
      <c r="M350" t="s">
        <v>23</v>
      </c>
      <c r="N350" t="s">
        <v>1478</v>
      </c>
      <c r="O350" t="s">
        <v>1479</v>
      </c>
      <c r="P350" t="s">
        <v>26</v>
      </c>
      <c r="Q350">
        <v>1</v>
      </c>
      <c r="R350" t="s">
        <v>121</v>
      </c>
      <c r="S350" t="s">
        <v>152</v>
      </c>
      <c r="T350" t="str">
        <f>VLOOKUP(S350,'Mapa Oficinas'!$H$7:$I$16,2,FALSE)</f>
        <v>Otra Red Captación</v>
      </c>
      <c r="U350" t="s">
        <v>29</v>
      </c>
      <c r="V350" t="str">
        <f>VLOOKUP($R350,'Mapa Oficinas'!$A$7:$C$46,2,FALSE)</f>
        <v>Interior - Río Negro</v>
      </c>
      <c r="W350" t="str">
        <f>VLOOKUP($R350,'Mapa Oficinas'!$A$7:$C$46,3,FALSE)</f>
        <v>Bariloche</v>
      </c>
    </row>
    <row r="351" spans="1:23" x14ac:dyDescent="0.2">
      <c r="A351" s="1">
        <v>46020</v>
      </c>
      <c r="B351" s="20">
        <f t="shared" si="10"/>
        <v>2025</v>
      </c>
      <c r="C351" s="20">
        <f t="shared" si="11"/>
        <v>12</v>
      </c>
      <c r="D351" t="s">
        <v>6048</v>
      </c>
      <c r="E351" s="49">
        <v>1</v>
      </c>
      <c r="F351" t="s">
        <v>6049</v>
      </c>
      <c r="G351" t="s">
        <v>21</v>
      </c>
      <c r="H351" t="s">
        <v>81</v>
      </c>
      <c r="I351" s="13">
        <v>62000</v>
      </c>
      <c r="J351" s="13">
        <v>55000</v>
      </c>
      <c r="K351" s="13">
        <f>IF(J351&lt;'Mapa Oficinas'!$I$21,0,IF(J351&gt;'Mapa Oficinas'!$I$20,0,1))</f>
        <v>0</v>
      </c>
      <c r="L351" t="s">
        <v>23</v>
      </c>
      <c r="M351" t="s">
        <v>23</v>
      </c>
      <c r="N351" t="s">
        <v>6050</v>
      </c>
      <c r="O351" t="s">
        <v>6051</v>
      </c>
      <c r="P351" t="s">
        <v>45</v>
      </c>
      <c r="Q351">
        <v>1</v>
      </c>
      <c r="R351" t="s">
        <v>167</v>
      </c>
      <c r="S351" t="s">
        <v>152</v>
      </c>
      <c r="T351" t="str">
        <f>VLOOKUP(S351,'Mapa Oficinas'!$H$7:$I$16,2,FALSE)</f>
        <v>Otra Red Captación</v>
      </c>
      <c r="U351" t="s">
        <v>29</v>
      </c>
      <c r="V351" t="str">
        <f>VLOOKUP($R351,'Mapa Oficinas'!$A$7:$C$46,2,FALSE)</f>
        <v>Interior - Santa Fe</v>
      </c>
      <c r="W351" t="str">
        <f>VLOOKUP($R351,'Mapa Oficinas'!$A$7:$C$46,3,FALSE)</f>
        <v>Capital Santa Fe</v>
      </c>
    </row>
    <row r="352" spans="1:23" x14ac:dyDescent="0.2">
      <c r="A352" s="1">
        <v>45809</v>
      </c>
      <c r="B352" s="20">
        <f t="shared" si="10"/>
        <v>2025</v>
      </c>
      <c r="C352" s="20">
        <f t="shared" si="11"/>
        <v>6</v>
      </c>
      <c r="D352" t="s">
        <v>2259</v>
      </c>
      <c r="E352" s="49">
        <v>1</v>
      </c>
      <c r="F352" t="s">
        <v>2260</v>
      </c>
      <c r="G352" t="s">
        <v>21</v>
      </c>
      <c r="H352" t="s">
        <v>221</v>
      </c>
      <c r="I352" s="13">
        <v>59000</v>
      </c>
      <c r="J352" s="13">
        <v>55000</v>
      </c>
      <c r="K352" s="13">
        <f>IF(J352&lt;'Mapa Oficinas'!$I$21,0,IF(J352&gt;'Mapa Oficinas'!$I$20,0,1))</f>
        <v>0</v>
      </c>
      <c r="L352" t="s">
        <v>23</v>
      </c>
      <c r="M352" t="s">
        <v>23</v>
      </c>
      <c r="N352" t="s">
        <v>2261</v>
      </c>
      <c r="O352" t="s">
        <v>2262</v>
      </c>
      <c r="P352" t="s">
        <v>34</v>
      </c>
      <c r="Q352">
        <v>2</v>
      </c>
      <c r="R352" t="s">
        <v>482</v>
      </c>
      <c r="S352" t="s">
        <v>79</v>
      </c>
      <c r="T352" t="str">
        <f>VLOOKUP(S352,'Mapa Oficinas'!$H$7:$I$16,2,FALSE)</f>
        <v>CB</v>
      </c>
      <c r="U352" t="s">
        <v>29</v>
      </c>
      <c r="V352" t="str">
        <f>VLOOKUP($R352,'Mapa Oficinas'!$A$7:$C$46,2,FALSE)</f>
        <v>Interior - Jujuy</v>
      </c>
      <c r="W352" t="str">
        <f>VLOOKUP($R352,'Mapa Oficinas'!$A$7:$C$46,3,FALSE)</f>
        <v>Capital Jujuy</v>
      </c>
    </row>
    <row r="353" spans="1:23" x14ac:dyDescent="0.2">
      <c r="A353" s="1">
        <v>45889</v>
      </c>
      <c r="B353" s="20">
        <f t="shared" si="10"/>
        <v>2025</v>
      </c>
      <c r="C353" s="20">
        <f t="shared" si="11"/>
        <v>8</v>
      </c>
      <c r="D353" t="s">
        <v>3662</v>
      </c>
      <c r="E353" s="49">
        <v>1</v>
      </c>
      <c r="F353" t="s">
        <v>3663</v>
      </c>
      <c r="G353" t="s">
        <v>21</v>
      </c>
      <c r="H353" t="s">
        <v>90</v>
      </c>
      <c r="I353" s="13">
        <v>59900</v>
      </c>
      <c r="J353" s="13">
        <v>55000</v>
      </c>
      <c r="K353" s="13">
        <f>IF(J353&lt;'Mapa Oficinas'!$I$21,0,IF(J353&gt;'Mapa Oficinas'!$I$20,0,1))</f>
        <v>0</v>
      </c>
      <c r="L353" t="s">
        <v>23</v>
      </c>
      <c r="M353" t="s">
        <v>23</v>
      </c>
      <c r="N353" t="s">
        <v>3664</v>
      </c>
      <c r="O353" t="s">
        <v>178</v>
      </c>
      <c r="P353" t="s">
        <v>45</v>
      </c>
      <c r="Q353">
        <v>2</v>
      </c>
      <c r="R353" t="s">
        <v>62</v>
      </c>
      <c r="S353" t="s">
        <v>79</v>
      </c>
      <c r="T353" t="str">
        <f>VLOOKUP(S353,'Mapa Oficinas'!$H$7:$I$16,2,FALSE)</f>
        <v>CB</v>
      </c>
      <c r="U353" t="s">
        <v>29</v>
      </c>
      <c r="V353" t="str">
        <f>VLOOKUP($R353,'Mapa Oficinas'!$A$7:$C$46,2,FALSE)</f>
        <v>CABA</v>
      </c>
      <c r="W353" t="str">
        <f>VLOOKUP($R353,'Mapa Oficinas'!$A$7:$C$46,3,FALSE)</f>
        <v>Villa Urquiza</v>
      </c>
    </row>
    <row r="354" spans="1:23" x14ac:dyDescent="0.2">
      <c r="A354" s="1">
        <v>45967</v>
      </c>
      <c r="B354" s="20">
        <f t="shared" si="10"/>
        <v>2025</v>
      </c>
      <c r="C354" s="20">
        <f t="shared" si="11"/>
        <v>11</v>
      </c>
      <c r="D354" t="s">
        <v>5075</v>
      </c>
      <c r="E354" s="49">
        <v>1</v>
      </c>
      <c r="F354" t="s">
        <v>5076</v>
      </c>
      <c r="G354" t="s">
        <v>21</v>
      </c>
      <c r="H354" t="s">
        <v>81</v>
      </c>
      <c r="I354" s="13">
        <v>69000</v>
      </c>
      <c r="J354" s="13">
        <v>55000</v>
      </c>
      <c r="K354" s="13">
        <f>IF(J354&lt;'Mapa Oficinas'!$I$21,0,IF(J354&gt;'Mapa Oficinas'!$I$20,0,1))</f>
        <v>0</v>
      </c>
      <c r="L354" t="s">
        <v>23</v>
      </c>
      <c r="M354" t="s">
        <v>23</v>
      </c>
      <c r="N354" t="s">
        <v>5077</v>
      </c>
      <c r="O354" t="s">
        <v>2985</v>
      </c>
      <c r="P354" t="s">
        <v>45</v>
      </c>
      <c r="Q354">
        <v>2</v>
      </c>
      <c r="R354" t="s">
        <v>151</v>
      </c>
      <c r="S354" t="s">
        <v>79</v>
      </c>
      <c r="T354" t="str">
        <f>VLOOKUP(S354,'Mapa Oficinas'!$H$7:$I$16,2,FALSE)</f>
        <v>CB</v>
      </c>
      <c r="U354" t="s">
        <v>29</v>
      </c>
      <c r="V354" t="str">
        <f>VLOOKUP($R354,'Mapa Oficinas'!$A$7:$C$46,2,FALSE)</f>
        <v>Interior - Mendoza</v>
      </c>
      <c r="W354" t="str">
        <f>VLOOKUP($R354,'Mapa Oficinas'!$A$7:$C$46,3,FALSE)</f>
        <v>Capital Mendoza</v>
      </c>
    </row>
    <row r="355" spans="1:23" x14ac:dyDescent="0.2">
      <c r="A355" s="1">
        <v>45777</v>
      </c>
      <c r="B355" s="20">
        <f t="shared" si="10"/>
        <v>2025</v>
      </c>
      <c r="C355" s="20">
        <f t="shared" si="11"/>
        <v>4</v>
      </c>
      <c r="D355">
        <v>10376</v>
      </c>
      <c r="E355" s="49">
        <v>1</v>
      </c>
      <c r="F355" t="s">
        <v>1722</v>
      </c>
      <c r="G355" t="s">
        <v>21</v>
      </c>
      <c r="H355" t="s">
        <v>37</v>
      </c>
      <c r="I355" s="13">
        <v>0</v>
      </c>
      <c r="J355" s="13">
        <v>55000</v>
      </c>
      <c r="K355" s="13">
        <f>IF(J355&lt;'Mapa Oficinas'!$I$21,0,IF(J355&gt;'Mapa Oficinas'!$I$20,0,1))</f>
        <v>0</v>
      </c>
      <c r="L355" t="s">
        <v>23</v>
      </c>
      <c r="M355" t="s">
        <v>23</v>
      </c>
      <c r="N355" t="s">
        <v>1723</v>
      </c>
      <c r="O355" t="s">
        <v>976</v>
      </c>
      <c r="P355" t="s">
        <v>45</v>
      </c>
      <c r="Q355">
        <v>1</v>
      </c>
      <c r="R355" t="s">
        <v>67</v>
      </c>
      <c r="S355" t="s">
        <v>47</v>
      </c>
      <c r="T355" t="str">
        <f>VLOOKUP(S355,'Mapa Oficinas'!$H$7:$I$16,2,FALSE)</f>
        <v>Otra Red Búsqueda</v>
      </c>
      <c r="U355" t="s">
        <v>29</v>
      </c>
      <c r="V355" t="str">
        <f>VLOOKUP($R355,'Mapa Oficinas'!$A$7:$C$46,2,FALSE)</f>
        <v>CABA</v>
      </c>
      <c r="W355" t="str">
        <f>VLOOKUP($R355,'Mapa Oficinas'!$A$7:$C$46,3,FALSE)</f>
        <v>Barrio Parque</v>
      </c>
    </row>
    <row r="356" spans="1:23" x14ac:dyDescent="0.2">
      <c r="A356" s="1">
        <v>45910</v>
      </c>
      <c r="B356" s="20">
        <f t="shared" si="10"/>
        <v>2025</v>
      </c>
      <c r="C356" s="20">
        <f t="shared" si="11"/>
        <v>9</v>
      </c>
      <c r="D356" t="s">
        <v>4057</v>
      </c>
      <c r="E356" s="49">
        <v>1</v>
      </c>
      <c r="F356" t="s">
        <v>4058</v>
      </c>
      <c r="G356" t="s">
        <v>21</v>
      </c>
      <c r="H356" t="s">
        <v>37</v>
      </c>
      <c r="I356" s="13">
        <v>60000</v>
      </c>
      <c r="J356" s="13">
        <v>55000</v>
      </c>
      <c r="K356" s="13">
        <f>IF(J356&lt;'Mapa Oficinas'!$I$21,0,IF(J356&gt;'Mapa Oficinas'!$I$20,0,1))</f>
        <v>0</v>
      </c>
      <c r="L356" t="s">
        <v>23</v>
      </c>
      <c r="M356" t="s">
        <v>23</v>
      </c>
      <c r="N356" t="s">
        <v>4059</v>
      </c>
      <c r="O356" t="s">
        <v>105</v>
      </c>
      <c r="P356" t="s">
        <v>45</v>
      </c>
      <c r="Q356">
        <v>2</v>
      </c>
      <c r="R356" t="s">
        <v>67</v>
      </c>
      <c r="S356" t="s">
        <v>200</v>
      </c>
      <c r="T356" t="str">
        <f>VLOOKUP(S356,'Mapa Oficinas'!$H$7:$I$16,2,FALSE)</f>
        <v>Otra Red Captación</v>
      </c>
      <c r="U356" t="s">
        <v>29</v>
      </c>
      <c r="V356" t="str">
        <f>VLOOKUP($R356,'Mapa Oficinas'!$A$7:$C$46,2,FALSE)</f>
        <v>CABA</v>
      </c>
      <c r="W356" t="str">
        <f>VLOOKUP($R356,'Mapa Oficinas'!$A$7:$C$46,3,FALSE)</f>
        <v>Barrio Parque</v>
      </c>
    </row>
    <row r="357" spans="1:23" x14ac:dyDescent="0.2">
      <c r="A357" s="1">
        <v>45951</v>
      </c>
      <c r="B357" s="20">
        <f t="shared" si="10"/>
        <v>2025</v>
      </c>
      <c r="C357" s="20">
        <f t="shared" si="11"/>
        <v>10</v>
      </c>
      <c r="D357" t="s">
        <v>4805</v>
      </c>
      <c r="E357" s="49">
        <v>1</v>
      </c>
      <c r="F357" t="s">
        <v>4806</v>
      </c>
      <c r="G357" t="s">
        <v>21</v>
      </c>
      <c r="H357" t="s">
        <v>37</v>
      </c>
      <c r="I357" s="13">
        <v>59900</v>
      </c>
      <c r="J357" s="13">
        <v>55000</v>
      </c>
      <c r="K357" s="13">
        <f>IF(J357&lt;'Mapa Oficinas'!$I$21,0,IF(J357&gt;'Mapa Oficinas'!$I$20,0,1))</f>
        <v>0</v>
      </c>
      <c r="L357" t="s">
        <v>23</v>
      </c>
      <c r="M357" t="s">
        <v>23</v>
      </c>
      <c r="N357" t="s">
        <v>4807</v>
      </c>
      <c r="O357" t="s">
        <v>105</v>
      </c>
      <c r="P357" t="s">
        <v>45</v>
      </c>
      <c r="Q357">
        <v>2</v>
      </c>
      <c r="R357" t="s">
        <v>67</v>
      </c>
      <c r="S357" t="s">
        <v>200</v>
      </c>
      <c r="T357" t="str">
        <f>VLOOKUP(S357,'Mapa Oficinas'!$H$7:$I$16,2,FALSE)</f>
        <v>Otra Red Captación</v>
      </c>
      <c r="U357" t="s">
        <v>29</v>
      </c>
      <c r="V357" t="str">
        <f>VLOOKUP($R357,'Mapa Oficinas'!$A$7:$C$46,2,FALSE)</f>
        <v>CABA</v>
      </c>
      <c r="W357" t="str">
        <f>VLOOKUP($R357,'Mapa Oficinas'!$A$7:$C$46,3,FALSE)</f>
        <v>Barrio Parque</v>
      </c>
    </row>
    <row r="358" spans="1:23" x14ac:dyDescent="0.2">
      <c r="A358" s="1">
        <v>45952</v>
      </c>
      <c r="B358" s="20">
        <f t="shared" si="10"/>
        <v>2025</v>
      </c>
      <c r="C358" s="20">
        <f t="shared" si="11"/>
        <v>10</v>
      </c>
      <c r="D358" t="s">
        <v>4444</v>
      </c>
      <c r="E358" s="49">
        <v>0</v>
      </c>
      <c r="F358" t="s">
        <v>4445</v>
      </c>
      <c r="G358" t="s">
        <v>21</v>
      </c>
      <c r="H358" t="s">
        <v>76</v>
      </c>
      <c r="I358" s="13">
        <v>58000</v>
      </c>
      <c r="J358" s="13">
        <v>55000</v>
      </c>
      <c r="K358" s="13">
        <f>IF(J358&lt;'Mapa Oficinas'!$I$21,0,IF(J358&gt;'Mapa Oficinas'!$I$20,0,1))</f>
        <v>0</v>
      </c>
      <c r="L358" t="s">
        <v>23</v>
      </c>
      <c r="M358" t="s">
        <v>23</v>
      </c>
      <c r="N358" t="s">
        <v>4446</v>
      </c>
      <c r="O358" t="s">
        <v>4447</v>
      </c>
      <c r="P358" t="s">
        <v>26</v>
      </c>
      <c r="Q358">
        <v>2</v>
      </c>
      <c r="R358" t="s">
        <v>84</v>
      </c>
      <c r="S358" t="s">
        <v>404</v>
      </c>
      <c r="T358" t="str">
        <f>VLOOKUP(S358,'Mapa Oficinas'!$H$7:$I$16,2,FALSE)</f>
        <v>CB</v>
      </c>
      <c r="U358" t="s">
        <v>29</v>
      </c>
      <c r="V358" t="str">
        <f>VLOOKUP($R358,'Mapa Oficinas'!$A$7:$C$46,2,FALSE)</f>
        <v>Interior - Neuquén</v>
      </c>
      <c r="W358" t="str">
        <f>VLOOKUP($R358,'Mapa Oficinas'!$A$7:$C$46,3,FALSE)</f>
        <v>Villa La Angostura</v>
      </c>
    </row>
    <row r="359" spans="1:23" x14ac:dyDescent="0.2">
      <c r="A359" s="1">
        <v>45931</v>
      </c>
      <c r="B359" s="20">
        <f t="shared" si="10"/>
        <v>2025</v>
      </c>
      <c r="C359" s="20">
        <f t="shared" si="11"/>
        <v>10</v>
      </c>
      <c r="D359" t="s">
        <v>4444</v>
      </c>
      <c r="E359" s="49">
        <v>1</v>
      </c>
      <c r="F359" t="s">
        <v>4445</v>
      </c>
      <c r="G359" t="s">
        <v>21</v>
      </c>
      <c r="H359" t="s">
        <v>90</v>
      </c>
      <c r="I359" s="13">
        <v>58000</v>
      </c>
      <c r="J359" s="13">
        <v>55000</v>
      </c>
      <c r="K359" s="13">
        <f>IF(J359&lt;'Mapa Oficinas'!$I$21,0,IF(J359&gt;'Mapa Oficinas'!$I$20,0,1))</f>
        <v>0</v>
      </c>
      <c r="L359" t="s">
        <v>23</v>
      </c>
      <c r="M359" t="s">
        <v>23</v>
      </c>
      <c r="N359" t="s">
        <v>4446</v>
      </c>
      <c r="O359" t="s">
        <v>4447</v>
      </c>
      <c r="P359" t="s">
        <v>26</v>
      </c>
      <c r="Q359">
        <v>2</v>
      </c>
      <c r="R359" t="s">
        <v>151</v>
      </c>
      <c r="S359" t="s">
        <v>1265</v>
      </c>
      <c r="T359" t="str">
        <f>VLOOKUP(S359,'Mapa Oficinas'!$H$7:$I$16,2,FALSE)</f>
        <v>CB</v>
      </c>
      <c r="U359" t="s">
        <v>29</v>
      </c>
      <c r="V359" t="str">
        <f>VLOOKUP($R359,'Mapa Oficinas'!$A$7:$C$46,2,FALSE)</f>
        <v>Interior - Mendoza</v>
      </c>
      <c r="W359" t="str">
        <f>VLOOKUP($R359,'Mapa Oficinas'!$A$7:$C$46,3,FALSE)</f>
        <v>Capital Mendoza</v>
      </c>
    </row>
    <row r="360" spans="1:23" x14ac:dyDescent="0.2">
      <c r="A360" s="1">
        <v>45667</v>
      </c>
      <c r="B360" s="20">
        <f t="shared" si="10"/>
        <v>2025</v>
      </c>
      <c r="C360" s="20">
        <f t="shared" si="11"/>
        <v>1</v>
      </c>
      <c r="D360" t="s">
        <v>157</v>
      </c>
      <c r="E360" s="49">
        <v>1</v>
      </c>
      <c r="F360" t="s">
        <v>158</v>
      </c>
      <c r="G360" t="s">
        <v>21</v>
      </c>
      <c r="H360" t="s">
        <v>37</v>
      </c>
      <c r="I360" s="13">
        <v>70000</v>
      </c>
      <c r="J360" s="13">
        <v>55000</v>
      </c>
      <c r="K360" s="13">
        <f>IF(J360&lt;'Mapa Oficinas'!$I$21,0,IF(J360&gt;'Mapa Oficinas'!$I$20,0,1))</f>
        <v>0</v>
      </c>
      <c r="L360" t="s">
        <v>23</v>
      </c>
      <c r="M360" t="s">
        <v>23</v>
      </c>
      <c r="N360" t="s">
        <v>159</v>
      </c>
      <c r="O360" t="s">
        <v>160</v>
      </c>
      <c r="P360" t="s">
        <v>34</v>
      </c>
      <c r="Q360">
        <v>2</v>
      </c>
      <c r="R360" t="s">
        <v>151</v>
      </c>
      <c r="S360" t="s">
        <v>28</v>
      </c>
      <c r="T360" t="str">
        <f>VLOOKUP(S360,'Mapa Oficinas'!$H$7:$I$16,2,FALSE)</f>
        <v>CB</v>
      </c>
      <c r="U360" t="s">
        <v>29</v>
      </c>
      <c r="V360" t="str">
        <f>VLOOKUP($R360,'Mapa Oficinas'!$A$7:$C$46,2,FALSE)</f>
        <v>Interior - Mendoza</v>
      </c>
      <c r="W360" t="str">
        <f>VLOOKUP($R360,'Mapa Oficinas'!$A$7:$C$46,3,FALSE)</f>
        <v>Capital Mendoza</v>
      </c>
    </row>
    <row r="361" spans="1:23" x14ac:dyDescent="0.2">
      <c r="A361" s="1">
        <v>45670</v>
      </c>
      <c r="B361" s="20">
        <f t="shared" si="10"/>
        <v>2025</v>
      </c>
      <c r="C361" s="20">
        <f t="shared" si="11"/>
        <v>1</v>
      </c>
      <c r="D361" t="s">
        <v>205</v>
      </c>
      <c r="E361" s="49">
        <v>1</v>
      </c>
      <c r="F361" t="s">
        <v>205</v>
      </c>
      <c r="G361" t="s">
        <v>21</v>
      </c>
      <c r="H361" t="s">
        <v>22</v>
      </c>
      <c r="I361" s="13">
        <v>55000</v>
      </c>
      <c r="J361" s="13">
        <v>55000</v>
      </c>
      <c r="K361" s="13">
        <f>IF(J361&lt;'Mapa Oficinas'!$I$21,0,IF(J361&gt;'Mapa Oficinas'!$I$20,0,1))</f>
        <v>0</v>
      </c>
      <c r="L361" t="s">
        <v>23</v>
      </c>
      <c r="M361" t="s">
        <v>23</v>
      </c>
      <c r="N361" t="s">
        <v>205</v>
      </c>
      <c r="O361" t="s">
        <v>116</v>
      </c>
      <c r="P361" t="s">
        <v>45</v>
      </c>
      <c r="Q361">
        <v>2</v>
      </c>
      <c r="R361" t="s">
        <v>62</v>
      </c>
      <c r="S361" t="s">
        <v>28</v>
      </c>
      <c r="T361" t="str">
        <f>VLOOKUP(S361,'Mapa Oficinas'!$H$7:$I$16,2,FALSE)</f>
        <v>CB</v>
      </c>
      <c r="U361" t="s">
        <v>29</v>
      </c>
      <c r="V361" t="str">
        <f>VLOOKUP($R361,'Mapa Oficinas'!$A$7:$C$46,2,FALSE)</f>
        <v>CABA</v>
      </c>
      <c r="W361" t="str">
        <f>VLOOKUP($R361,'Mapa Oficinas'!$A$7:$C$46,3,FALSE)</f>
        <v>Villa Urquiza</v>
      </c>
    </row>
    <row r="362" spans="1:23" x14ac:dyDescent="0.2">
      <c r="A362" s="1">
        <v>45699</v>
      </c>
      <c r="B362" s="20">
        <f t="shared" si="10"/>
        <v>2025</v>
      </c>
      <c r="C362" s="20">
        <f t="shared" si="11"/>
        <v>2</v>
      </c>
      <c r="D362" t="s">
        <v>546</v>
      </c>
      <c r="E362" s="49">
        <v>1</v>
      </c>
      <c r="F362" t="s">
        <v>547</v>
      </c>
      <c r="G362" t="s">
        <v>21</v>
      </c>
      <c r="H362" t="s">
        <v>70</v>
      </c>
      <c r="I362" s="13">
        <v>55000</v>
      </c>
      <c r="J362" s="13">
        <v>55000</v>
      </c>
      <c r="K362" s="13">
        <f>IF(J362&lt;'Mapa Oficinas'!$I$21,0,IF(J362&gt;'Mapa Oficinas'!$I$20,0,1))</f>
        <v>0</v>
      </c>
      <c r="L362" t="s">
        <v>23</v>
      </c>
      <c r="M362" t="s">
        <v>23</v>
      </c>
      <c r="N362" t="s">
        <v>548</v>
      </c>
      <c r="O362" t="s">
        <v>72</v>
      </c>
      <c r="P362" t="s">
        <v>45</v>
      </c>
      <c r="Q362">
        <v>2</v>
      </c>
      <c r="R362" t="s">
        <v>73</v>
      </c>
      <c r="S362" t="s">
        <v>28</v>
      </c>
      <c r="T362" t="str">
        <f>VLOOKUP(S362,'Mapa Oficinas'!$H$7:$I$16,2,FALSE)</f>
        <v>CB</v>
      </c>
      <c r="U362" t="s">
        <v>29</v>
      </c>
      <c r="V362" t="str">
        <f>VLOOKUP($R362,'Mapa Oficinas'!$A$7:$C$46,2,FALSE)</f>
        <v>Interior - Salta</v>
      </c>
      <c r="W362" t="str">
        <f>VLOOKUP($R362,'Mapa Oficinas'!$A$7:$C$46,3,FALSE)</f>
        <v>San Lorenzo Chico</v>
      </c>
    </row>
    <row r="363" spans="1:23" x14ac:dyDescent="0.2">
      <c r="A363" s="1">
        <v>45841</v>
      </c>
      <c r="B363" s="20">
        <f t="shared" si="10"/>
        <v>2025</v>
      </c>
      <c r="C363" s="20">
        <f t="shared" si="11"/>
        <v>7</v>
      </c>
      <c r="D363" t="s">
        <v>2835</v>
      </c>
      <c r="E363" s="49">
        <v>1</v>
      </c>
      <c r="F363" t="s">
        <v>2836</v>
      </c>
      <c r="G363" t="s">
        <v>21</v>
      </c>
      <c r="H363" t="s">
        <v>90</v>
      </c>
      <c r="I363" s="13">
        <v>54900</v>
      </c>
      <c r="J363" s="13">
        <v>55000</v>
      </c>
      <c r="K363" s="13">
        <f>IF(J363&lt;'Mapa Oficinas'!$I$21,0,IF(J363&gt;'Mapa Oficinas'!$I$20,0,1))</f>
        <v>0</v>
      </c>
      <c r="L363" t="s">
        <v>23</v>
      </c>
      <c r="M363" t="s">
        <v>23</v>
      </c>
      <c r="N363" t="s">
        <v>2837</v>
      </c>
      <c r="O363" t="s">
        <v>338</v>
      </c>
      <c r="P363" t="s">
        <v>45</v>
      </c>
      <c r="Q363">
        <v>2</v>
      </c>
      <c r="R363" t="s">
        <v>62</v>
      </c>
      <c r="S363" t="s">
        <v>28</v>
      </c>
      <c r="T363" t="str">
        <f>VLOOKUP(S363,'Mapa Oficinas'!$H$7:$I$16,2,FALSE)</f>
        <v>CB</v>
      </c>
      <c r="U363" t="s">
        <v>29</v>
      </c>
      <c r="V363" t="str">
        <f>VLOOKUP($R363,'Mapa Oficinas'!$A$7:$C$46,2,FALSE)</f>
        <v>CABA</v>
      </c>
      <c r="W363" t="str">
        <f>VLOOKUP($R363,'Mapa Oficinas'!$A$7:$C$46,3,FALSE)</f>
        <v>Villa Urquiza</v>
      </c>
    </row>
    <row r="364" spans="1:23" x14ac:dyDescent="0.2">
      <c r="A364" s="1">
        <v>45841</v>
      </c>
      <c r="B364" s="20">
        <f t="shared" si="10"/>
        <v>2025</v>
      </c>
      <c r="C364" s="20">
        <f t="shared" si="11"/>
        <v>7</v>
      </c>
      <c r="D364" t="s">
        <v>2838</v>
      </c>
      <c r="E364" s="49">
        <v>1</v>
      </c>
      <c r="F364" t="s">
        <v>2839</v>
      </c>
      <c r="G364" t="s">
        <v>21</v>
      </c>
      <c r="H364" t="s">
        <v>37</v>
      </c>
      <c r="I364" s="13">
        <v>60000</v>
      </c>
      <c r="J364" s="13">
        <v>55000</v>
      </c>
      <c r="K364" s="13">
        <f>IF(J364&lt;'Mapa Oficinas'!$I$21,0,IF(J364&gt;'Mapa Oficinas'!$I$20,0,1))</f>
        <v>0</v>
      </c>
      <c r="L364" t="s">
        <v>23</v>
      </c>
      <c r="M364" t="s">
        <v>23</v>
      </c>
      <c r="N364" t="s">
        <v>2840</v>
      </c>
      <c r="O364" t="s">
        <v>2841</v>
      </c>
      <c r="P364" t="s">
        <v>14</v>
      </c>
      <c r="Q364">
        <v>2</v>
      </c>
      <c r="R364" t="s">
        <v>151</v>
      </c>
      <c r="S364" t="s">
        <v>28</v>
      </c>
      <c r="T364" t="str">
        <f>VLOOKUP(S364,'Mapa Oficinas'!$H$7:$I$16,2,FALSE)</f>
        <v>CB</v>
      </c>
      <c r="U364" t="s">
        <v>29</v>
      </c>
      <c r="V364" t="str">
        <f>VLOOKUP($R364,'Mapa Oficinas'!$A$7:$C$46,2,FALSE)</f>
        <v>Interior - Mendoza</v>
      </c>
      <c r="W364" t="str">
        <f>VLOOKUP($R364,'Mapa Oficinas'!$A$7:$C$46,3,FALSE)</f>
        <v>Capital Mendoza</v>
      </c>
    </row>
    <row r="365" spans="1:23" x14ac:dyDescent="0.2">
      <c r="A365" s="1">
        <v>45868</v>
      </c>
      <c r="B365" s="20">
        <f t="shared" si="10"/>
        <v>2025</v>
      </c>
      <c r="C365" s="20">
        <f t="shared" si="11"/>
        <v>7</v>
      </c>
      <c r="D365" t="s">
        <v>3305</v>
      </c>
      <c r="E365" s="49">
        <v>1</v>
      </c>
      <c r="F365" t="s">
        <v>3306</v>
      </c>
      <c r="G365" t="s">
        <v>21</v>
      </c>
      <c r="H365" t="s">
        <v>90</v>
      </c>
      <c r="I365" s="13">
        <v>63900</v>
      </c>
      <c r="J365" s="13">
        <v>55000</v>
      </c>
      <c r="K365" s="13">
        <f>IF(J365&lt;'Mapa Oficinas'!$I$21,0,IF(J365&gt;'Mapa Oficinas'!$I$20,0,1))</f>
        <v>0</v>
      </c>
      <c r="L365" t="s">
        <v>23</v>
      </c>
      <c r="M365" t="s">
        <v>23</v>
      </c>
      <c r="N365" t="s">
        <v>3307</v>
      </c>
      <c r="O365" t="s">
        <v>3308</v>
      </c>
      <c r="P365" t="s">
        <v>61</v>
      </c>
      <c r="Q365">
        <v>2</v>
      </c>
      <c r="R365" t="s">
        <v>62</v>
      </c>
      <c r="S365" t="s">
        <v>28</v>
      </c>
      <c r="T365" t="str">
        <f>VLOOKUP(S365,'Mapa Oficinas'!$H$7:$I$16,2,FALSE)</f>
        <v>CB</v>
      </c>
      <c r="U365" t="s">
        <v>29</v>
      </c>
      <c r="V365" t="str">
        <f>VLOOKUP($R365,'Mapa Oficinas'!$A$7:$C$46,2,FALSE)</f>
        <v>CABA</v>
      </c>
      <c r="W365" t="str">
        <f>VLOOKUP($R365,'Mapa Oficinas'!$A$7:$C$46,3,FALSE)</f>
        <v>Villa Urquiza</v>
      </c>
    </row>
    <row r="366" spans="1:23" x14ac:dyDescent="0.2">
      <c r="A366" s="1">
        <v>45868</v>
      </c>
      <c r="B366" s="20">
        <f t="shared" si="10"/>
        <v>2025</v>
      </c>
      <c r="C366" s="20">
        <f t="shared" si="11"/>
        <v>7</v>
      </c>
      <c r="D366" t="s">
        <v>3309</v>
      </c>
      <c r="E366" s="49">
        <v>1</v>
      </c>
      <c r="F366" t="s">
        <v>3310</v>
      </c>
      <c r="G366" t="s">
        <v>21</v>
      </c>
      <c r="H366" t="s">
        <v>22</v>
      </c>
      <c r="I366" s="13">
        <v>58000</v>
      </c>
      <c r="J366" s="13">
        <v>55000</v>
      </c>
      <c r="K366" s="13">
        <f>IF(J366&lt;'Mapa Oficinas'!$I$21,0,IF(J366&gt;'Mapa Oficinas'!$I$20,0,1))</f>
        <v>0</v>
      </c>
      <c r="L366" t="s">
        <v>23</v>
      </c>
      <c r="M366" t="s">
        <v>23</v>
      </c>
      <c r="N366" t="s">
        <v>3311</v>
      </c>
      <c r="O366" t="s">
        <v>401</v>
      </c>
      <c r="P366" t="s">
        <v>45</v>
      </c>
      <c r="Q366">
        <v>2</v>
      </c>
      <c r="R366" t="s">
        <v>110</v>
      </c>
      <c r="S366" t="s">
        <v>28</v>
      </c>
      <c r="T366" t="str">
        <f>VLOOKUP(S366,'Mapa Oficinas'!$H$7:$I$16,2,FALSE)</f>
        <v>CB</v>
      </c>
      <c r="U366" t="s">
        <v>29</v>
      </c>
      <c r="V366" t="str">
        <f>VLOOKUP($R366,'Mapa Oficinas'!$A$7:$C$46,2,FALSE)</f>
        <v>Zona Norte (GBA)</v>
      </c>
      <c r="W366" t="str">
        <f>VLOOKUP($R366,'Mapa Oficinas'!$A$7:$C$46,3,FALSE)</f>
        <v>Nordelta</v>
      </c>
    </row>
    <row r="367" spans="1:23" x14ac:dyDescent="0.2">
      <c r="A367" s="1">
        <v>45882</v>
      </c>
      <c r="B367" s="20">
        <f t="shared" si="10"/>
        <v>2025</v>
      </c>
      <c r="C367" s="20">
        <f t="shared" si="11"/>
        <v>8</v>
      </c>
      <c r="D367" t="s">
        <v>3567</v>
      </c>
      <c r="E367" s="49">
        <v>1</v>
      </c>
      <c r="F367" t="s">
        <v>3568</v>
      </c>
      <c r="G367" t="s">
        <v>21</v>
      </c>
      <c r="H367" t="s">
        <v>97</v>
      </c>
      <c r="I367" s="13">
        <v>65000</v>
      </c>
      <c r="J367" s="13">
        <v>55000</v>
      </c>
      <c r="K367" s="13">
        <f>IF(J367&lt;'Mapa Oficinas'!$I$21,0,IF(J367&gt;'Mapa Oficinas'!$I$20,0,1))</f>
        <v>0</v>
      </c>
      <c r="L367" t="s">
        <v>23</v>
      </c>
      <c r="M367" t="s">
        <v>23</v>
      </c>
      <c r="N367" t="s">
        <v>3569</v>
      </c>
      <c r="O367" t="s">
        <v>162</v>
      </c>
      <c r="P367" t="s">
        <v>55</v>
      </c>
      <c r="Q367">
        <v>2</v>
      </c>
      <c r="R367" t="s">
        <v>27</v>
      </c>
      <c r="S367" t="s">
        <v>28</v>
      </c>
      <c r="T367" t="str">
        <f>VLOOKUP(S367,'Mapa Oficinas'!$H$7:$I$16,2,FALSE)</f>
        <v>CB</v>
      </c>
      <c r="U367" t="s">
        <v>29</v>
      </c>
      <c r="V367" t="str">
        <f>VLOOKUP($R367,'Mapa Oficinas'!$A$7:$C$46,2,FALSE)</f>
        <v>Zona Norte (GBA)</v>
      </c>
      <c r="W367" t="str">
        <f>VLOOKUP($R367,'Mapa Oficinas'!$A$7:$C$46,3,FALSE)</f>
        <v>Tigre</v>
      </c>
    </row>
    <row r="368" spans="1:23" x14ac:dyDescent="0.2">
      <c r="A368" s="1">
        <v>45915</v>
      </c>
      <c r="B368" s="20">
        <f t="shared" si="10"/>
        <v>2025</v>
      </c>
      <c r="C368" s="20">
        <f t="shared" si="11"/>
        <v>9</v>
      </c>
      <c r="D368" t="s">
        <v>4136</v>
      </c>
      <c r="E368" s="49">
        <v>1</v>
      </c>
      <c r="F368" t="s">
        <v>4137</v>
      </c>
      <c r="G368" t="s">
        <v>21</v>
      </c>
      <c r="H368" t="s">
        <v>37</v>
      </c>
      <c r="I368" s="13">
        <v>65000</v>
      </c>
      <c r="J368" s="13">
        <v>55000</v>
      </c>
      <c r="K368" s="13">
        <f>IF(J368&lt;'Mapa Oficinas'!$I$21,0,IF(J368&gt;'Mapa Oficinas'!$I$20,0,1))</f>
        <v>0</v>
      </c>
      <c r="L368" t="s">
        <v>23</v>
      </c>
      <c r="M368" t="s">
        <v>23</v>
      </c>
      <c r="N368" t="s">
        <v>133</v>
      </c>
      <c r="O368" t="s">
        <v>134</v>
      </c>
      <c r="P368" t="s">
        <v>34</v>
      </c>
      <c r="Q368">
        <v>2</v>
      </c>
      <c r="R368" t="s">
        <v>135</v>
      </c>
      <c r="S368" t="s">
        <v>28</v>
      </c>
      <c r="T368" t="str">
        <f>VLOOKUP(S368,'Mapa Oficinas'!$H$7:$I$16,2,FALSE)</f>
        <v>CB</v>
      </c>
      <c r="U368" t="s">
        <v>29</v>
      </c>
      <c r="V368" t="str">
        <f>VLOOKUP($R368,'Mapa Oficinas'!$A$7:$C$46,2,FALSE)</f>
        <v>CABA</v>
      </c>
      <c r="W368" t="str">
        <f>VLOOKUP($R368,'Mapa Oficinas'!$A$7:$C$46,3,FALSE)</f>
        <v>Recoleta</v>
      </c>
    </row>
    <row r="369" spans="1:23" x14ac:dyDescent="0.2">
      <c r="A369" s="1">
        <v>45919</v>
      </c>
      <c r="B369" s="20">
        <f t="shared" si="10"/>
        <v>2025</v>
      </c>
      <c r="C369" s="20">
        <f t="shared" si="11"/>
        <v>9</v>
      </c>
      <c r="D369" t="s">
        <v>4238</v>
      </c>
      <c r="E369" s="49">
        <v>1</v>
      </c>
      <c r="F369" t="s">
        <v>4239</v>
      </c>
      <c r="G369" t="s">
        <v>21</v>
      </c>
      <c r="H369" t="s">
        <v>37</v>
      </c>
      <c r="I369" s="13">
        <v>55000</v>
      </c>
      <c r="J369" s="13">
        <v>55000</v>
      </c>
      <c r="K369" s="13">
        <f>IF(J369&lt;'Mapa Oficinas'!$I$21,0,IF(J369&gt;'Mapa Oficinas'!$I$20,0,1))</f>
        <v>0</v>
      </c>
      <c r="L369" t="s">
        <v>23</v>
      </c>
      <c r="M369" t="s">
        <v>23</v>
      </c>
      <c r="N369" t="s">
        <v>4240</v>
      </c>
      <c r="O369" t="s">
        <v>4241</v>
      </c>
      <c r="P369" t="s">
        <v>34</v>
      </c>
      <c r="Q369">
        <v>2</v>
      </c>
      <c r="R369" t="s">
        <v>429</v>
      </c>
      <c r="S369" t="s">
        <v>28</v>
      </c>
      <c r="T369" t="str">
        <f>VLOOKUP(S369,'Mapa Oficinas'!$H$7:$I$16,2,FALSE)</f>
        <v>CB</v>
      </c>
      <c r="U369" t="s">
        <v>29</v>
      </c>
      <c r="V369" t="str">
        <f>VLOOKUP($R369,'Mapa Oficinas'!$A$7:$C$46,2,FALSE)</f>
        <v>Zona Oeste (GBA)</v>
      </c>
      <c r="W369" t="str">
        <f>VLOOKUP($R369,'Mapa Oficinas'!$A$7:$C$46,3,FALSE)</f>
        <v>Parque Leloir</v>
      </c>
    </row>
    <row r="370" spans="1:23" x14ac:dyDescent="0.2">
      <c r="A370" s="1">
        <v>45951</v>
      </c>
      <c r="B370" s="20">
        <f t="shared" si="10"/>
        <v>2025</v>
      </c>
      <c r="C370" s="20">
        <f t="shared" si="11"/>
        <v>10</v>
      </c>
      <c r="D370" t="s">
        <v>4808</v>
      </c>
      <c r="E370" s="49">
        <v>1</v>
      </c>
      <c r="F370" t="s">
        <v>4809</v>
      </c>
      <c r="G370" t="s">
        <v>21</v>
      </c>
      <c r="H370" t="s">
        <v>230</v>
      </c>
      <c r="I370" s="13">
        <v>55000</v>
      </c>
      <c r="J370" s="13">
        <v>55000</v>
      </c>
      <c r="K370" s="13">
        <f>IF(J370&lt;'Mapa Oficinas'!$I$21,0,IF(J370&gt;'Mapa Oficinas'!$I$20,0,1))</f>
        <v>0</v>
      </c>
      <c r="L370" t="s">
        <v>23</v>
      </c>
      <c r="M370" t="s">
        <v>23</v>
      </c>
      <c r="N370" t="s">
        <v>2340</v>
      </c>
      <c r="O370" t="s">
        <v>4728</v>
      </c>
      <c r="P370" t="s">
        <v>45</v>
      </c>
      <c r="Q370">
        <v>2</v>
      </c>
      <c r="R370" t="s">
        <v>84</v>
      </c>
      <c r="S370" t="s">
        <v>28</v>
      </c>
      <c r="T370" t="str">
        <f>VLOOKUP(S370,'Mapa Oficinas'!$H$7:$I$16,2,FALSE)</f>
        <v>CB</v>
      </c>
      <c r="U370" t="s">
        <v>29</v>
      </c>
      <c r="V370" t="str">
        <f>VLOOKUP($R370,'Mapa Oficinas'!$A$7:$C$46,2,FALSE)</f>
        <v>Interior - Neuquén</v>
      </c>
      <c r="W370" t="str">
        <f>VLOOKUP($R370,'Mapa Oficinas'!$A$7:$C$46,3,FALSE)</f>
        <v>Villa La Angostura</v>
      </c>
    </row>
    <row r="371" spans="1:23" x14ac:dyDescent="0.2">
      <c r="A371" s="1">
        <v>45989</v>
      </c>
      <c r="B371" s="20">
        <f t="shared" si="10"/>
        <v>2025</v>
      </c>
      <c r="C371" s="20">
        <f t="shared" si="11"/>
        <v>11</v>
      </c>
      <c r="D371" t="s">
        <v>5407</v>
      </c>
      <c r="E371" s="49">
        <v>1</v>
      </c>
      <c r="F371" t="s">
        <v>5408</v>
      </c>
      <c r="G371" t="s">
        <v>21</v>
      </c>
      <c r="H371" t="s">
        <v>37</v>
      </c>
      <c r="I371" s="13">
        <v>55000</v>
      </c>
      <c r="J371" s="13">
        <v>55000</v>
      </c>
      <c r="K371" s="13">
        <f>IF(J371&lt;'Mapa Oficinas'!$I$21,0,IF(J371&gt;'Mapa Oficinas'!$I$20,0,1))</f>
        <v>0</v>
      </c>
      <c r="L371" t="s">
        <v>23</v>
      </c>
      <c r="M371" t="s">
        <v>23</v>
      </c>
      <c r="N371" t="s">
        <v>5409</v>
      </c>
      <c r="O371" t="s">
        <v>1677</v>
      </c>
      <c r="P371" t="s">
        <v>34</v>
      </c>
      <c r="Q371">
        <v>2</v>
      </c>
      <c r="R371" t="s">
        <v>46</v>
      </c>
      <c r="S371" t="s">
        <v>28</v>
      </c>
      <c r="T371" t="str">
        <f>VLOOKUP(S371,'Mapa Oficinas'!$H$7:$I$16,2,FALSE)</f>
        <v>CB</v>
      </c>
      <c r="U371" t="s">
        <v>29</v>
      </c>
      <c r="V371" t="str">
        <f>VLOOKUP($R371,'Mapa Oficinas'!$A$7:$C$46,2,FALSE)</f>
        <v>CABA</v>
      </c>
      <c r="W371" t="str">
        <f>VLOOKUP($R371,'Mapa Oficinas'!$A$7:$C$46,3,FALSE)</f>
        <v>Palermo</v>
      </c>
    </row>
    <row r="372" spans="1:23" x14ac:dyDescent="0.2">
      <c r="A372" s="1">
        <v>46029</v>
      </c>
      <c r="B372" s="20">
        <f t="shared" si="10"/>
        <v>2026</v>
      </c>
      <c r="C372" s="20">
        <f t="shared" si="11"/>
        <v>1</v>
      </c>
      <c r="D372" t="s">
        <v>6117</v>
      </c>
      <c r="E372" s="49">
        <v>1</v>
      </c>
      <c r="F372" t="s">
        <v>6118</v>
      </c>
      <c r="G372" t="s">
        <v>21</v>
      </c>
      <c r="H372" t="s">
        <v>37</v>
      </c>
      <c r="I372" s="13">
        <v>65000</v>
      </c>
      <c r="J372" s="13">
        <v>55000</v>
      </c>
      <c r="K372" s="13">
        <f>IF(J372&lt;'Mapa Oficinas'!$I$21,0,IF(J372&gt;'Mapa Oficinas'!$I$20,0,1))</f>
        <v>0</v>
      </c>
      <c r="L372" t="s">
        <v>23</v>
      </c>
      <c r="M372" t="s">
        <v>23</v>
      </c>
      <c r="N372" t="s">
        <v>6119</v>
      </c>
      <c r="O372" t="s">
        <v>4573</v>
      </c>
      <c r="P372" t="s">
        <v>61</v>
      </c>
      <c r="Q372">
        <v>2</v>
      </c>
      <c r="R372" t="s">
        <v>56</v>
      </c>
      <c r="S372" t="s">
        <v>28</v>
      </c>
      <c r="T372" t="str">
        <f>VLOOKUP(S372,'Mapa Oficinas'!$H$7:$I$16,2,FALSE)</f>
        <v>CB</v>
      </c>
      <c r="U372" t="s">
        <v>29</v>
      </c>
      <c r="V372" t="str">
        <f>VLOOKUP($R372,'Mapa Oficinas'!$A$7:$C$46,2,FALSE)</f>
        <v>Zona Norte (GBA)</v>
      </c>
      <c r="W372" t="str">
        <f>VLOOKUP($R372,'Mapa Oficinas'!$A$7:$C$46,3,FALSE)</f>
        <v>Vicente López</v>
      </c>
    </row>
    <row r="373" spans="1:23" x14ac:dyDescent="0.2">
      <c r="A373" s="1">
        <v>46035</v>
      </c>
      <c r="B373" s="20">
        <f t="shared" si="10"/>
        <v>2026</v>
      </c>
      <c r="C373" s="20">
        <f t="shared" si="11"/>
        <v>1</v>
      </c>
      <c r="D373" t="s">
        <v>6188</v>
      </c>
      <c r="E373" s="49">
        <v>1</v>
      </c>
      <c r="F373" t="s">
        <v>6189</v>
      </c>
      <c r="G373" t="s">
        <v>21</v>
      </c>
      <c r="H373" t="s">
        <v>37</v>
      </c>
      <c r="I373" s="13">
        <v>55000</v>
      </c>
      <c r="J373" s="13">
        <v>55000</v>
      </c>
      <c r="K373" s="13">
        <f>IF(J373&lt;'Mapa Oficinas'!$I$21,0,IF(J373&gt;'Mapa Oficinas'!$I$20,0,1))</f>
        <v>0</v>
      </c>
      <c r="L373" t="s">
        <v>23</v>
      </c>
      <c r="M373" t="s">
        <v>23</v>
      </c>
      <c r="N373" t="s">
        <v>6190</v>
      </c>
      <c r="O373" t="s">
        <v>3362</v>
      </c>
      <c r="P373" t="s">
        <v>45</v>
      </c>
      <c r="Q373">
        <v>2</v>
      </c>
      <c r="R373" t="s">
        <v>5367</v>
      </c>
      <c r="S373" t="s">
        <v>28</v>
      </c>
      <c r="T373" t="str">
        <f>VLOOKUP(S373,'Mapa Oficinas'!$H$7:$I$16,2,FALSE)</f>
        <v>CB</v>
      </c>
      <c r="U373" t="s">
        <v>29</v>
      </c>
      <c r="V373" t="str">
        <f>VLOOKUP($R373,'Mapa Oficinas'!$A$7:$C$46,2,FALSE)</f>
        <v>CABA</v>
      </c>
      <c r="W373" t="str">
        <f>VLOOKUP($R373,'Mapa Oficinas'!$A$7:$C$46,3,FALSE)</f>
        <v>Retiro</v>
      </c>
    </row>
    <row r="374" spans="1:23" x14ac:dyDescent="0.2">
      <c r="A374" s="1">
        <v>46035</v>
      </c>
      <c r="B374" s="20">
        <f t="shared" si="10"/>
        <v>2026</v>
      </c>
      <c r="C374" s="20">
        <f t="shared" si="11"/>
        <v>1</v>
      </c>
      <c r="D374" t="s">
        <v>6191</v>
      </c>
      <c r="E374" s="49">
        <v>1</v>
      </c>
      <c r="F374" t="s">
        <v>6192</v>
      </c>
      <c r="G374" t="s">
        <v>21</v>
      </c>
      <c r="H374" t="s">
        <v>81</v>
      </c>
      <c r="I374" s="13">
        <v>58000</v>
      </c>
      <c r="J374" s="13">
        <v>55000</v>
      </c>
      <c r="K374" s="13">
        <f>IF(J374&lt;'Mapa Oficinas'!$I$21,0,IF(J374&gt;'Mapa Oficinas'!$I$20,0,1))</f>
        <v>0</v>
      </c>
      <c r="L374" t="s">
        <v>23</v>
      </c>
      <c r="M374" t="s">
        <v>23</v>
      </c>
      <c r="N374" t="s">
        <v>6193</v>
      </c>
      <c r="O374" t="s">
        <v>6194</v>
      </c>
      <c r="P374" t="s">
        <v>34</v>
      </c>
      <c r="Q374">
        <v>2</v>
      </c>
      <c r="R374" t="s">
        <v>167</v>
      </c>
      <c r="S374" t="s">
        <v>28</v>
      </c>
      <c r="T374" t="str">
        <f>VLOOKUP(S374,'Mapa Oficinas'!$H$7:$I$16,2,FALSE)</f>
        <v>CB</v>
      </c>
      <c r="U374" t="s">
        <v>29</v>
      </c>
      <c r="V374" t="str">
        <f>VLOOKUP($R374,'Mapa Oficinas'!$A$7:$C$46,2,FALSE)</f>
        <v>Interior - Santa Fe</v>
      </c>
      <c r="W374" t="str">
        <f>VLOOKUP($R374,'Mapa Oficinas'!$A$7:$C$46,3,FALSE)</f>
        <v>Capital Santa Fe</v>
      </c>
    </row>
    <row r="375" spans="1:23" x14ac:dyDescent="0.2">
      <c r="A375" s="1">
        <v>46045</v>
      </c>
      <c r="B375" s="20">
        <f t="shared" si="10"/>
        <v>2026</v>
      </c>
      <c r="C375" s="20">
        <f t="shared" si="11"/>
        <v>1</v>
      </c>
      <c r="D375" t="s">
        <v>6383</v>
      </c>
      <c r="E375" s="49">
        <v>1</v>
      </c>
      <c r="F375" t="s">
        <v>6384</v>
      </c>
      <c r="G375" t="s">
        <v>21</v>
      </c>
      <c r="H375" t="s">
        <v>37</v>
      </c>
      <c r="I375" s="13">
        <v>55000</v>
      </c>
      <c r="J375" s="13">
        <v>55000</v>
      </c>
      <c r="K375" s="13">
        <f>IF(J375&lt;'Mapa Oficinas'!$I$21,0,IF(J375&gt;'Mapa Oficinas'!$I$20,0,1))</f>
        <v>0</v>
      </c>
      <c r="L375" t="s">
        <v>23</v>
      </c>
      <c r="M375" t="s">
        <v>23</v>
      </c>
      <c r="N375" t="s">
        <v>6385</v>
      </c>
      <c r="O375" t="s">
        <v>114</v>
      </c>
      <c r="P375" t="s">
        <v>45</v>
      </c>
      <c r="Q375">
        <v>2</v>
      </c>
      <c r="R375" t="s">
        <v>5456</v>
      </c>
      <c r="S375" t="s">
        <v>28</v>
      </c>
      <c r="T375" t="str">
        <f>VLOOKUP(S375,'Mapa Oficinas'!$H$7:$I$16,2,FALSE)</f>
        <v>CB</v>
      </c>
      <c r="U375" t="s">
        <v>29</v>
      </c>
      <c r="V375" t="str">
        <f>VLOOKUP($R375,'Mapa Oficinas'!$A$7:$C$46,2,FALSE)</f>
        <v>CABA</v>
      </c>
      <c r="W375" t="str">
        <f>VLOOKUP($R375,'Mapa Oficinas'!$A$7:$C$46,3,FALSE)</f>
        <v>Núñez</v>
      </c>
    </row>
    <row r="376" spans="1:23" x14ac:dyDescent="0.2">
      <c r="A376" s="1">
        <v>46091</v>
      </c>
      <c r="B376" s="20">
        <f t="shared" si="10"/>
        <v>2026</v>
      </c>
      <c r="C376" s="20">
        <f t="shared" si="11"/>
        <v>3</v>
      </c>
      <c r="D376" t="s">
        <v>7064</v>
      </c>
      <c r="E376" s="49">
        <v>1</v>
      </c>
      <c r="F376" t="s">
        <v>7065</v>
      </c>
      <c r="G376" t="s">
        <v>21</v>
      </c>
      <c r="H376" t="s">
        <v>22</v>
      </c>
      <c r="I376" s="13">
        <v>55000</v>
      </c>
      <c r="J376" s="13">
        <v>55000</v>
      </c>
      <c r="K376" s="13">
        <f>IF(J376&lt;'Mapa Oficinas'!$I$21,0,IF(J376&gt;'Mapa Oficinas'!$I$20,0,1))</f>
        <v>0</v>
      </c>
      <c r="L376" t="s">
        <v>23</v>
      </c>
      <c r="M376" t="s">
        <v>23</v>
      </c>
      <c r="N376" t="s">
        <v>7066</v>
      </c>
      <c r="O376" t="s">
        <v>114</v>
      </c>
      <c r="P376" t="s">
        <v>45</v>
      </c>
      <c r="Q376">
        <v>2</v>
      </c>
      <c r="R376" t="s">
        <v>372</v>
      </c>
      <c r="S376" t="s">
        <v>28</v>
      </c>
      <c r="T376" t="str">
        <f>VLOOKUP(S376,'Mapa Oficinas'!$H$7:$I$16,2,FALSE)</f>
        <v>CB</v>
      </c>
      <c r="U376" t="s">
        <v>29</v>
      </c>
      <c r="V376" t="str">
        <f>VLOOKUP($R376,'Mapa Oficinas'!$A$7:$C$46,2,FALSE)</f>
        <v>CABA</v>
      </c>
      <c r="W376" t="str">
        <f>VLOOKUP($R376,'Mapa Oficinas'!$A$7:$C$46,3,FALSE)</f>
        <v>Caballito</v>
      </c>
    </row>
    <row r="377" spans="1:23" x14ac:dyDescent="0.2">
      <c r="A377" s="1">
        <v>46106</v>
      </c>
      <c r="B377" s="20">
        <f t="shared" si="10"/>
        <v>2026</v>
      </c>
      <c r="C377" s="20">
        <f t="shared" si="11"/>
        <v>3</v>
      </c>
      <c r="D377" t="s">
        <v>7391</v>
      </c>
      <c r="E377" s="49">
        <v>1</v>
      </c>
      <c r="F377" t="s">
        <v>7392</v>
      </c>
      <c r="G377" t="s">
        <v>21</v>
      </c>
      <c r="H377" t="s">
        <v>22</v>
      </c>
      <c r="I377" s="13">
        <v>55000</v>
      </c>
      <c r="J377" s="13">
        <v>55000</v>
      </c>
      <c r="K377" s="13">
        <f>IF(J377&lt;'Mapa Oficinas'!$I$21,0,IF(J377&gt;'Mapa Oficinas'!$I$20,0,1))</f>
        <v>0</v>
      </c>
      <c r="L377" t="s">
        <v>23</v>
      </c>
      <c r="M377" t="s">
        <v>23</v>
      </c>
      <c r="O377" t="s">
        <v>573</v>
      </c>
      <c r="P377" t="s">
        <v>26</v>
      </c>
      <c r="Q377">
        <v>2</v>
      </c>
      <c r="R377" t="s">
        <v>321</v>
      </c>
      <c r="S377" t="s">
        <v>28</v>
      </c>
      <c r="T377" t="str">
        <f>VLOOKUP(S377,'Mapa Oficinas'!$H$7:$I$16,2,FALSE)</f>
        <v>CB</v>
      </c>
      <c r="U377" t="s">
        <v>29</v>
      </c>
      <c r="V377" t="str">
        <f>VLOOKUP($R377,'Mapa Oficinas'!$A$7:$C$46,2,FALSE)</f>
        <v>CABA</v>
      </c>
      <c r="W377" t="str">
        <f>VLOOKUP($R377,'Mapa Oficinas'!$A$7:$C$46,3,FALSE)</f>
        <v>Palermo</v>
      </c>
    </row>
    <row r="378" spans="1:23" x14ac:dyDescent="0.2">
      <c r="A378" s="1">
        <v>45992</v>
      </c>
      <c r="B378" s="20">
        <f t="shared" si="10"/>
        <v>2025</v>
      </c>
      <c r="C378" s="20">
        <f t="shared" si="11"/>
        <v>12</v>
      </c>
      <c r="D378" t="s">
        <v>5493</v>
      </c>
      <c r="E378" s="49">
        <v>1</v>
      </c>
      <c r="F378" t="s">
        <v>5494</v>
      </c>
      <c r="G378" t="s">
        <v>21</v>
      </c>
      <c r="H378" t="s">
        <v>37</v>
      </c>
      <c r="I378" s="13">
        <v>55500</v>
      </c>
      <c r="J378" s="13">
        <v>55500</v>
      </c>
      <c r="K378" s="13">
        <f>IF(J378&lt;'Mapa Oficinas'!$I$21,0,IF(J378&gt;'Mapa Oficinas'!$I$20,0,1))</f>
        <v>0</v>
      </c>
      <c r="L378" t="s">
        <v>23</v>
      </c>
      <c r="M378" t="s">
        <v>23</v>
      </c>
      <c r="O378" t="s">
        <v>5495</v>
      </c>
      <c r="P378" t="s">
        <v>45</v>
      </c>
      <c r="Q378">
        <v>1</v>
      </c>
      <c r="R378" t="s">
        <v>103</v>
      </c>
      <c r="S378" t="s">
        <v>122</v>
      </c>
      <c r="T378" t="str">
        <f>VLOOKUP(S378,'Mapa Oficinas'!$H$7:$I$16,2,FALSE)</f>
        <v>Otra Red Búsqueda</v>
      </c>
      <c r="U378" t="s">
        <v>29</v>
      </c>
      <c r="V378" t="str">
        <f>VLOOKUP($R378,'Mapa Oficinas'!$A$7:$C$46,2,FALSE)</f>
        <v>Zona Sur (GBA)</v>
      </c>
      <c r="W378" t="str">
        <f>VLOOKUP($R378,'Mapa Oficinas'!$A$7:$C$46,3,FALSE)</f>
        <v>La Plata</v>
      </c>
    </row>
    <row r="379" spans="1:23" x14ac:dyDescent="0.2">
      <c r="A379" s="1">
        <v>45912</v>
      </c>
      <c r="B379" s="20">
        <f t="shared" si="10"/>
        <v>2025</v>
      </c>
      <c r="C379" s="20">
        <f t="shared" si="11"/>
        <v>9</v>
      </c>
      <c r="D379" t="s">
        <v>210</v>
      </c>
      <c r="E379" s="49">
        <v>1</v>
      </c>
      <c r="F379" t="s">
        <v>211</v>
      </c>
      <c r="G379" t="s">
        <v>21</v>
      </c>
      <c r="H379" t="s">
        <v>22</v>
      </c>
      <c r="I379" s="13">
        <v>50500</v>
      </c>
      <c r="J379" s="13">
        <v>55500</v>
      </c>
      <c r="K379" s="13">
        <f>IF(J379&lt;'Mapa Oficinas'!$I$21,0,IF(J379&gt;'Mapa Oficinas'!$I$20,0,1))</f>
        <v>0</v>
      </c>
      <c r="L379" t="s">
        <v>23</v>
      </c>
      <c r="M379" t="s">
        <v>23</v>
      </c>
      <c r="N379" t="s">
        <v>212</v>
      </c>
      <c r="O379" t="s">
        <v>102</v>
      </c>
      <c r="P379" t="s">
        <v>45</v>
      </c>
      <c r="Q379">
        <v>2</v>
      </c>
      <c r="R379" t="s">
        <v>103</v>
      </c>
      <c r="S379" t="s">
        <v>28</v>
      </c>
      <c r="T379" t="str">
        <f>VLOOKUP(S379,'Mapa Oficinas'!$H$7:$I$16,2,FALSE)</f>
        <v>CB</v>
      </c>
      <c r="U379" t="s">
        <v>29</v>
      </c>
      <c r="V379" t="str">
        <f>VLOOKUP($R379,'Mapa Oficinas'!$A$7:$C$46,2,FALSE)</f>
        <v>Zona Sur (GBA)</v>
      </c>
      <c r="W379" t="str">
        <f>VLOOKUP($R379,'Mapa Oficinas'!$A$7:$C$46,3,FALSE)</f>
        <v>La Plata</v>
      </c>
    </row>
    <row r="380" spans="1:23" x14ac:dyDescent="0.2">
      <c r="A380" s="1">
        <v>46036</v>
      </c>
      <c r="B380" s="20">
        <f t="shared" si="10"/>
        <v>2026</v>
      </c>
      <c r="C380" s="20">
        <f t="shared" si="11"/>
        <v>1</v>
      </c>
      <c r="D380" t="s">
        <v>6213</v>
      </c>
      <c r="E380" s="49">
        <v>1</v>
      </c>
      <c r="F380" t="s">
        <v>4253</v>
      </c>
      <c r="G380" t="s">
        <v>21</v>
      </c>
      <c r="H380" t="s">
        <v>37</v>
      </c>
      <c r="I380" s="13">
        <v>60000</v>
      </c>
      <c r="J380" s="13">
        <v>55500</v>
      </c>
      <c r="K380" s="13">
        <f>IF(J380&lt;'Mapa Oficinas'!$I$21,0,IF(J380&gt;'Mapa Oficinas'!$I$20,0,1))</f>
        <v>0</v>
      </c>
      <c r="L380" t="s">
        <v>23</v>
      </c>
      <c r="M380" t="s">
        <v>23</v>
      </c>
      <c r="N380" t="s">
        <v>6214</v>
      </c>
      <c r="O380" t="s">
        <v>50</v>
      </c>
      <c r="P380" t="s">
        <v>14</v>
      </c>
      <c r="Q380">
        <v>2</v>
      </c>
      <c r="R380" t="s">
        <v>1605</v>
      </c>
      <c r="S380" t="s">
        <v>28</v>
      </c>
      <c r="T380" t="str">
        <f>VLOOKUP(S380,'Mapa Oficinas'!$H$7:$I$16,2,FALSE)</f>
        <v>CB</v>
      </c>
      <c r="U380" t="s">
        <v>29</v>
      </c>
      <c r="V380" t="str">
        <f>VLOOKUP($R380,'Mapa Oficinas'!$A$7:$C$46,2,FALSE)</f>
        <v>CABA</v>
      </c>
      <c r="W380" t="str">
        <f>VLOOKUP($R380,'Mapa Oficinas'!$A$7:$C$46,3,FALSE)</f>
        <v>Núñez</v>
      </c>
    </row>
    <row r="381" spans="1:23" x14ac:dyDescent="0.2">
      <c r="A381" s="1">
        <v>45846</v>
      </c>
      <c r="B381" s="20">
        <f t="shared" si="10"/>
        <v>2025</v>
      </c>
      <c r="C381" s="20">
        <f t="shared" si="11"/>
        <v>7</v>
      </c>
      <c r="D381" t="s">
        <v>2918</v>
      </c>
      <c r="E381" s="49">
        <v>1</v>
      </c>
      <c r="F381" t="s">
        <v>2919</v>
      </c>
      <c r="G381" t="s">
        <v>21</v>
      </c>
      <c r="H381" t="s">
        <v>37</v>
      </c>
      <c r="I381" s="13">
        <v>57000</v>
      </c>
      <c r="J381" s="13">
        <v>56000</v>
      </c>
      <c r="K381" s="13">
        <f>IF(J381&lt;'Mapa Oficinas'!$I$21,0,IF(J381&gt;'Mapa Oficinas'!$I$20,0,1))</f>
        <v>0</v>
      </c>
      <c r="L381" t="s">
        <v>23</v>
      </c>
      <c r="M381" t="s">
        <v>23</v>
      </c>
      <c r="N381" t="s">
        <v>2920</v>
      </c>
      <c r="O381" t="s">
        <v>236</v>
      </c>
      <c r="P381" t="s">
        <v>45</v>
      </c>
      <c r="Q381">
        <v>2</v>
      </c>
      <c r="R381" t="s">
        <v>62</v>
      </c>
      <c r="S381" t="s">
        <v>28</v>
      </c>
      <c r="T381" t="str">
        <f>VLOOKUP(S381,'Mapa Oficinas'!$H$7:$I$16,2,FALSE)</f>
        <v>CB</v>
      </c>
      <c r="U381" t="s">
        <v>29</v>
      </c>
      <c r="V381" t="str">
        <f>VLOOKUP($R381,'Mapa Oficinas'!$A$7:$C$46,2,FALSE)</f>
        <v>CABA</v>
      </c>
      <c r="W381" t="str">
        <f>VLOOKUP($R381,'Mapa Oficinas'!$A$7:$C$46,3,FALSE)</f>
        <v>Villa Urquiza</v>
      </c>
    </row>
    <row r="382" spans="1:23" x14ac:dyDescent="0.2">
      <c r="A382" s="1">
        <v>45994</v>
      </c>
      <c r="B382" s="20">
        <f t="shared" si="10"/>
        <v>2025</v>
      </c>
      <c r="C382" s="20">
        <f t="shared" si="11"/>
        <v>12</v>
      </c>
      <c r="D382" t="s">
        <v>5599</v>
      </c>
      <c r="E382" s="49">
        <v>1</v>
      </c>
      <c r="F382" t="s">
        <v>5600</v>
      </c>
      <c r="G382" t="s">
        <v>21</v>
      </c>
      <c r="H382" t="s">
        <v>37</v>
      </c>
      <c r="I382" s="13">
        <v>56000</v>
      </c>
      <c r="J382" s="13">
        <v>56000</v>
      </c>
      <c r="K382" s="13">
        <f>IF(J382&lt;'Mapa Oficinas'!$I$21,0,IF(J382&gt;'Mapa Oficinas'!$I$20,0,1))</f>
        <v>0</v>
      </c>
      <c r="L382" t="s">
        <v>23</v>
      </c>
      <c r="M382" t="s">
        <v>23</v>
      </c>
      <c r="N382" t="s">
        <v>751</v>
      </c>
      <c r="O382" t="s">
        <v>738</v>
      </c>
      <c r="P382" t="s">
        <v>45</v>
      </c>
      <c r="Q382">
        <v>2</v>
      </c>
      <c r="R382" t="s">
        <v>135</v>
      </c>
      <c r="S382" t="s">
        <v>28</v>
      </c>
      <c r="T382" t="str">
        <f>VLOOKUP(S382,'Mapa Oficinas'!$H$7:$I$16,2,FALSE)</f>
        <v>CB</v>
      </c>
      <c r="U382" t="s">
        <v>29</v>
      </c>
      <c r="V382" t="str">
        <f>VLOOKUP($R382,'Mapa Oficinas'!$A$7:$C$46,2,FALSE)</f>
        <v>CABA</v>
      </c>
      <c r="W382" t="str">
        <f>VLOOKUP($R382,'Mapa Oficinas'!$A$7:$C$46,3,FALSE)</f>
        <v>Recoleta</v>
      </c>
    </row>
    <row r="383" spans="1:23" x14ac:dyDescent="0.2">
      <c r="A383" s="1">
        <v>46007</v>
      </c>
      <c r="B383" s="20">
        <f t="shared" si="10"/>
        <v>2025</v>
      </c>
      <c r="C383" s="20">
        <f t="shared" si="11"/>
        <v>12</v>
      </c>
      <c r="D383" t="s">
        <v>5808</v>
      </c>
      <c r="E383" s="49">
        <v>1</v>
      </c>
      <c r="F383" t="s">
        <v>5808</v>
      </c>
      <c r="G383" t="s">
        <v>21</v>
      </c>
      <c r="H383" t="s">
        <v>22</v>
      </c>
      <c r="I383" s="13">
        <v>112000</v>
      </c>
      <c r="J383" s="13">
        <v>56000</v>
      </c>
      <c r="K383" s="13">
        <f>IF(J383&lt;'Mapa Oficinas'!$I$21,0,IF(J383&gt;'Mapa Oficinas'!$I$20,0,1))</f>
        <v>0</v>
      </c>
      <c r="L383" t="s">
        <v>23</v>
      </c>
      <c r="M383" t="s">
        <v>23</v>
      </c>
      <c r="P383" t="s">
        <v>45</v>
      </c>
      <c r="Q383">
        <v>2</v>
      </c>
      <c r="R383" t="s">
        <v>62</v>
      </c>
      <c r="S383" t="s">
        <v>28</v>
      </c>
      <c r="T383" t="str">
        <f>VLOOKUP(S383,'Mapa Oficinas'!$H$7:$I$16,2,FALSE)</f>
        <v>CB</v>
      </c>
      <c r="U383" t="s">
        <v>29</v>
      </c>
      <c r="V383" t="str">
        <f>VLOOKUP($R383,'Mapa Oficinas'!$A$7:$C$46,2,FALSE)</f>
        <v>CABA</v>
      </c>
      <c r="W383" t="str">
        <f>VLOOKUP($R383,'Mapa Oficinas'!$A$7:$C$46,3,FALSE)</f>
        <v>Villa Urquiza</v>
      </c>
    </row>
    <row r="384" spans="1:23" x14ac:dyDescent="0.2">
      <c r="A384" s="1">
        <v>45973</v>
      </c>
      <c r="B384" s="20">
        <f t="shared" si="10"/>
        <v>2025</v>
      </c>
      <c r="C384" s="20">
        <f t="shared" si="11"/>
        <v>11</v>
      </c>
      <c r="D384" t="s">
        <v>5148</v>
      </c>
      <c r="E384" s="49">
        <v>1</v>
      </c>
      <c r="F384" t="s">
        <v>5149</v>
      </c>
      <c r="G384" t="s">
        <v>21</v>
      </c>
      <c r="H384" t="s">
        <v>37</v>
      </c>
      <c r="I384" s="13">
        <v>64000</v>
      </c>
      <c r="J384" s="13">
        <v>56500</v>
      </c>
      <c r="K384" s="13">
        <f>IF(J384&lt;'Mapa Oficinas'!$I$21,0,IF(J384&gt;'Mapa Oficinas'!$I$20,0,1))</f>
        <v>0</v>
      </c>
      <c r="L384" t="s">
        <v>23</v>
      </c>
      <c r="M384" t="s">
        <v>23</v>
      </c>
      <c r="N384" t="s">
        <v>5150</v>
      </c>
      <c r="O384" t="s">
        <v>421</v>
      </c>
      <c r="P384" t="s">
        <v>45</v>
      </c>
      <c r="Q384">
        <v>2</v>
      </c>
      <c r="R384" t="s">
        <v>67</v>
      </c>
      <c r="S384" t="s">
        <v>200</v>
      </c>
      <c r="T384" t="str">
        <f>VLOOKUP(S384,'Mapa Oficinas'!$H$7:$I$16,2,FALSE)</f>
        <v>Otra Red Captación</v>
      </c>
      <c r="U384" t="s">
        <v>29</v>
      </c>
      <c r="V384" t="str">
        <f>VLOOKUP($R384,'Mapa Oficinas'!$A$7:$C$46,2,FALSE)</f>
        <v>CABA</v>
      </c>
      <c r="W384" t="str">
        <f>VLOOKUP($R384,'Mapa Oficinas'!$A$7:$C$46,3,FALSE)</f>
        <v>Barrio Parque</v>
      </c>
    </row>
    <row r="385" spans="1:23" x14ac:dyDescent="0.2">
      <c r="A385" s="1">
        <v>45974</v>
      </c>
      <c r="B385" s="20">
        <f t="shared" si="10"/>
        <v>2025</v>
      </c>
      <c r="C385" s="20">
        <f t="shared" si="11"/>
        <v>11</v>
      </c>
      <c r="D385" t="s">
        <v>5184</v>
      </c>
      <c r="E385" s="49">
        <v>1</v>
      </c>
      <c r="F385" t="s">
        <v>5185</v>
      </c>
      <c r="G385" t="s">
        <v>21</v>
      </c>
      <c r="H385" t="s">
        <v>37</v>
      </c>
      <c r="I385" s="13">
        <v>62000</v>
      </c>
      <c r="J385" s="13">
        <v>56500</v>
      </c>
      <c r="K385" s="13">
        <f>IF(J385&lt;'Mapa Oficinas'!$I$21,0,IF(J385&gt;'Mapa Oficinas'!$I$20,0,1))</f>
        <v>0</v>
      </c>
      <c r="L385" t="s">
        <v>23</v>
      </c>
      <c r="M385" t="s">
        <v>23</v>
      </c>
      <c r="N385" t="s">
        <v>5186</v>
      </c>
      <c r="O385" t="s">
        <v>141</v>
      </c>
      <c r="P385" t="s">
        <v>45</v>
      </c>
      <c r="Q385">
        <v>2</v>
      </c>
      <c r="R385" t="s">
        <v>67</v>
      </c>
      <c r="S385" t="s">
        <v>28</v>
      </c>
      <c r="T385" t="str">
        <f>VLOOKUP(S385,'Mapa Oficinas'!$H$7:$I$16,2,FALSE)</f>
        <v>CB</v>
      </c>
      <c r="U385" t="s">
        <v>29</v>
      </c>
      <c r="V385" t="str">
        <f>VLOOKUP($R385,'Mapa Oficinas'!$A$7:$C$46,2,FALSE)</f>
        <v>CABA</v>
      </c>
      <c r="W385" t="str">
        <f>VLOOKUP($R385,'Mapa Oficinas'!$A$7:$C$46,3,FALSE)</f>
        <v>Barrio Parque</v>
      </c>
    </row>
    <row r="386" spans="1:23" x14ac:dyDescent="0.2">
      <c r="A386" s="1">
        <v>45936</v>
      </c>
      <c r="B386" s="20">
        <f t="shared" ref="B386:B449" si="12">YEAR($A386)</f>
        <v>2025</v>
      </c>
      <c r="C386" s="20">
        <f t="shared" ref="C386:C449" si="13">MONTH($A386)</f>
        <v>10</v>
      </c>
      <c r="D386" t="s">
        <v>4511</v>
      </c>
      <c r="E386" s="49">
        <v>1</v>
      </c>
      <c r="F386" t="s">
        <v>4512</v>
      </c>
      <c r="G386" t="s">
        <v>21</v>
      </c>
      <c r="H386" t="s">
        <v>22</v>
      </c>
      <c r="I386" s="13">
        <v>60000</v>
      </c>
      <c r="J386" s="13">
        <v>57000</v>
      </c>
      <c r="K386" s="13">
        <f>IF(J386&lt;'Mapa Oficinas'!$I$21,0,IF(J386&gt;'Mapa Oficinas'!$I$20,0,1))</f>
        <v>0</v>
      </c>
      <c r="L386" t="s">
        <v>23</v>
      </c>
      <c r="M386" t="s">
        <v>23</v>
      </c>
      <c r="N386" t="s">
        <v>4513</v>
      </c>
      <c r="O386" t="s">
        <v>4514</v>
      </c>
      <c r="P386" t="s">
        <v>34</v>
      </c>
      <c r="Q386">
        <v>1</v>
      </c>
      <c r="R386" t="s">
        <v>167</v>
      </c>
      <c r="S386" t="s">
        <v>122</v>
      </c>
      <c r="T386" t="str">
        <f>VLOOKUP(S386,'Mapa Oficinas'!$H$7:$I$16,2,FALSE)</f>
        <v>Otra Red Búsqueda</v>
      </c>
      <c r="U386" t="s">
        <v>29</v>
      </c>
      <c r="V386" t="str">
        <f>VLOOKUP($R386,'Mapa Oficinas'!$A$7:$C$46,2,FALSE)</f>
        <v>Interior - Santa Fe</v>
      </c>
      <c r="W386" t="str">
        <f>VLOOKUP($R386,'Mapa Oficinas'!$A$7:$C$46,3,FALSE)</f>
        <v>Capital Santa Fe</v>
      </c>
    </row>
    <row r="387" spans="1:23" x14ac:dyDescent="0.2">
      <c r="A387" s="1">
        <v>45841</v>
      </c>
      <c r="B387" s="20">
        <f t="shared" si="12"/>
        <v>2025</v>
      </c>
      <c r="C387" s="20">
        <f t="shared" si="13"/>
        <v>7</v>
      </c>
      <c r="D387" t="s">
        <v>2842</v>
      </c>
      <c r="E387" s="49">
        <v>1</v>
      </c>
      <c r="F387" t="s">
        <v>2843</v>
      </c>
      <c r="G387" t="s">
        <v>21</v>
      </c>
      <c r="H387" t="s">
        <v>37</v>
      </c>
      <c r="I387" s="13">
        <v>65000</v>
      </c>
      <c r="J387" s="13">
        <v>57000</v>
      </c>
      <c r="K387" s="13">
        <f>IF(J387&lt;'Mapa Oficinas'!$I$21,0,IF(J387&gt;'Mapa Oficinas'!$I$20,0,1))</f>
        <v>0</v>
      </c>
      <c r="L387" t="s">
        <v>23</v>
      </c>
      <c r="M387" t="s">
        <v>23</v>
      </c>
      <c r="N387" t="s">
        <v>2844</v>
      </c>
      <c r="O387" t="s">
        <v>2845</v>
      </c>
      <c r="P387" t="s">
        <v>45</v>
      </c>
      <c r="Q387">
        <v>2</v>
      </c>
      <c r="R387" t="s">
        <v>62</v>
      </c>
      <c r="S387" t="s">
        <v>79</v>
      </c>
      <c r="T387" t="str">
        <f>VLOOKUP(S387,'Mapa Oficinas'!$H$7:$I$16,2,FALSE)</f>
        <v>CB</v>
      </c>
      <c r="U387" t="s">
        <v>29</v>
      </c>
      <c r="V387" t="str">
        <f>VLOOKUP($R387,'Mapa Oficinas'!$A$7:$C$46,2,FALSE)</f>
        <v>CABA</v>
      </c>
      <c r="W387" t="str">
        <f>VLOOKUP($R387,'Mapa Oficinas'!$A$7:$C$46,3,FALSE)</f>
        <v>Villa Urquiza</v>
      </c>
    </row>
    <row r="388" spans="1:23" x14ac:dyDescent="0.2">
      <c r="A388" s="1">
        <v>45886</v>
      </c>
      <c r="B388" s="20">
        <f t="shared" si="12"/>
        <v>2025</v>
      </c>
      <c r="C388" s="20">
        <f t="shared" si="13"/>
        <v>8</v>
      </c>
      <c r="D388" t="s">
        <v>3612</v>
      </c>
      <c r="E388" s="49">
        <v>1</v>
      </c>
      <c r="F388" t="s">
        <v>3613</v>
      </c>
      <c r="G388" t="s">
        <v>21</v>
      </c>
      <c r="H388" t="s">
        <v>37</v>
      </c>
      <c r="I388" s="13">
        <v>35000</v>
      </c>
      <c r="J388" s="13">
        <v>57000</v>
      </c>
      <c r="K388" s="13">
        <f>IF(J388&lt;'Mapa Oficinas'!$I$21,0,IF(J388&gt;'Mapa Oficinas'!$I$20,0,1))</f>
        <v>0</v>
      </c>
      <c r="L388" t="s">
        <v>23</v>
      </c>
      <c r="M388" t="s">
        <v>23</v>
      </c>
      <c r="N388" t="s">
        <v>3613</v>
      </c>
      <c r="O388" t="s">
        <v>1598</v>
      </c>
      <c r="P388" t="s">
        <v>26</v>
      </c>
      <c r="Q388">
        <v>2</v>
      </c>
      <c r="R388" t="s">
        <v>110</v>
      </c>
      <c r="S388" t="s">
        <v>79</v>
      </c>
      <c r="T388" t="str">
        <f>VLOOKUP(S388,'Mapa Oficinas'!$H$7:$I$16,2,FALSE)</f>
        <v>CB</v>
      </c>
      <c r="U388" t="s">
        <v>29</v>
      </c>
      <c r="V388" t="str">
        <f>VLOOKUP($R388,'Mapa Oficinas'!$A$7:$C$46,2,FALSE)</f>
        <v>Zona Norte (GBA)</v>
      </c>
      <c r="W388" t="str">
        <f>VLOOKUP($R388,'Mapa Oficinas'!$A$7:$C$46,3,FALSE)</f>
        <v>Nordelta</v>
      </c>
    </row>
    <row r="389" spans="1:23" x14ac:dyDescent="0.2">
      <c r="A389" s="1">
        <v>45972</v>
      </c>
      <c r="B389" s="20">
        <f t="shared" si="12"/>
        <v>2025</v>
      </c>
      <c r="C389" s="20">
        <f t="shared" si="13"/>
        <v>11</v>
      </c>
      <c r="D389" t="s">
        <v>5125</v>
      </c>
      <c r="E389" s="49">
        <v>1</v>
      </c>
      <c r="F389" t="s">
        <v>5126</v>
      </c>
      <c r="G389" t="s">
        <v>21</v>
      </c>
      <c r="H389" t="s">
        <v>37</v>
      </c>
      <c r="I389" s="13">
        <v>59000</v>
      </c>
      <c r="J389" s="13">
        <v>57000</v>
      </c>
      <c r="K389" s="13">
        <f>IF(J389&lt;'Mapa Oficinas'!$I$21,0,IF(J389&gt;'Mapa Oficinas'!$I$20,0,1))</f>
        <v>0</v>
      </c>
      <c r="L389" t="s">
        <v>23</v>
      </c>
      <c r="M389" t="s">
        <v>23</v>
      </c>
      <c r="N389" t="s">
        <v>5127</v>
      </c>
      <c r="O389" t="s">
        <v>5128</v>
      </c>
      <c r="P389" t="s">
        <v>45</v>
      </c>
      <c r="Q389">
        <v>2</v>
      </c>
      <c r="R389" t="s">
        <v>110</v>
      </c>
      <c r="S389" t="s">
        <v>79</v>
      </c>
      <c r="T389" t="str">
        <f>VLOOKUP(S389,'Mapa Oficinas'!$H$7:$I$16,2,FALSE)</f>
        <v>CB</v>
      </c>
      <c r="U389" t="s">
        <v>29</v>
      </c>
      <c r="V389" t="str">
        <f>VLOOKUP($R389,'Mapa Oficinas'!$A$7:$C$46,2,FALSE)</f>
        <v>Zona Norte (GBA)</v>
      </c>
      <c r="W389" t="str">
        <f>VLOOKUP($R389,'Mapa Oficinas'!$A$7:$C$46,3,FALSE)</f>
        <v>Nordelta</v>
      </c>
    </row>
    <row r="390" spans="1:23" x14ac:dyDescent="0.2">
      <c r="A390" s="1">
        <v>46066</v>
      </c>
      <c r="B390" s="20">
        <f t="shared" si="12"/>
        <v>2026</v>
      </c>
      <c r="C390" s="20">
        <f t="shared" si="13"/>
        <v>2</v>
      </c>
      <c r="E390" s="49">
        <v>1</v>
      </c>
      <c r="F390" t="s">
        <v>6703</v>
      </c>
      <c r="G390" t="s">
        <v>21</v>
      </c>
      <c r="H390" t="s">
        <v>362</v>
      </c>
      <c r="I390" s="13">
        <v>57000</v>
      </c>
      <c r="J390" s="13">
        <v>57000</v>
      </c>
      <c r="K390" s="13">
        <f>IF(J390&lt;'Mapa Oficinas'!$I$21,0,IF(J390&gt;'Mapa Oficinas'!$I$20,0,1))</f>
        <v>0</v>
      </c>
      <c r="L390" t="s">
        <v>23</v>
      </c>
      <c r="M390" t="s">
        <v>23</v>
      </c>
      <c r="N390" t="s">
        <v>1621</v>
      </c>
      <c r="O390" t="s">
        <v>505</v>
      </c>
      <c r="P390" t="s">
        <v>26</v>
      </c>
      <c r="Q390">
        <v>2</v>
      </c>
      <c r="R390" t="s">
        <v>84</v>
      </c>
      <c r="S390" t="s">
        <v>79</v>
      </c>
      <c r="T390" t="str">
        <f>VLOOKUP(S390,'Mapa Oficinas'!$H$7:$I$16,2,FALSE)</f>
        <v>CB</v>
      </c>
      <c r="U390" t="s">
        <v>29</v>
      </c>
      <c r="V390" t="str">
        <f>VLOOKUP($R390,'Mapa Oficinas'!$A$7:$C$46,2,FALSE)</f>
        <v>Interior - Neuquén</v>
      </c>
      <c r="W390" t="str">
        <f>VLOOKUP($R390,'Mapa Oficinas'!$A$7:$C$46,3,FALSE)</f>
        <v>Villa La Angostura</v>
      </c>
    </row>
    <row r="391" spans="1:23" x14ac:dyDescent="0.2">
      <c r="A391" s="1">
        <v>45967</v>
      </c>
      <c r="B391" s="20">
        <f t="shared" si="12"/>
        <v>2025</v>
      </c>
      <c r="C391" s="20">
        <f t="shared" si="13"/>
        <v>11</v>
      </c>
      <c r="D391">
        <v>3</v>
      </c>
      <c r="E391" s="49">
        <v>1</v>
      </c>
      <c r="F391" t="s">
        <v>5078</v>
      </c>
      <c r="G391" t="s">
        <v>21</v>
      </c>
      <c r="H391" t="s">
        <v>37</v>
      </c>
      <c r="I391" s="13">
        <v>57000</v>
      </c>
      <c r="J391" s="13">
        <v>57000</v>
      </c>
      <c r="K391" s="13">
        <f>IF(J391&lt;'Mapa Oficinas'!$I$21,0,IF(J391&gt;'Mapa Oficinas'!$I$20,0,1))</f>
        <v>0</v>
      </c>
      <c r="L391" t="s">
        <v>23</v>
      </c>
      <c r="M391" t="s">
        <v>23</v>
      </c>
      <c r="N391" t="s">
        <v>5079</v>
      </c>
      <c r="O391" t="s">
        <v>114</v>
      </c>
      <c r="P391" t="s">
        <v>45</v>
      </c>
      <c r="Q391">
        <v>1</v>
      </c>
      <c r="R391" t="s">
        <v>372</v>
      </c>
      <c r="S391" t="s">
        <v>47</v>
      </c>
      <c r="T391" t="str">
        <f>VLOOKUP(S391,'Mapa Oficinas'!$H$7:$I$16,2,FALSE)</f>
        <v>Otra Red Búsqueda</v>
      </c>
      <c r="U391" t="s">
        <v>29</v>
      </c>
      <c r="V391" t="str">
        <f>VLOOKUP($R391,'Mapa Oficinas'!$A$7:$C$46,2,FALSE)</f>
        <v>CABA</v>
      </c>
      <c r="W391" t="str">
        <f>VLOOKUP($R391,'Mapa Oficinas'!$A$7:$C$46,3,FALSE)</f>
        <v>Caballito</v>
      </c>
    </row>
    <row r="392" spans="1:23" x14ac:dyDescent="0.2">
      <c r="A392" s="1">
        <v>46087</v>
      </c>
      <c r="B392" s="20">
        <f t="shared" si="12"/>
        <v>2026</v>
      </c>
      <c r="C392" s="20">
        <f t="shared" si="13"/>
        <v>3</v>
      </c>
      <c r="E392" s="49">
        <v>1</v>
      </c>
      <c r="F392" t="s">
        <v>6988</v>
      </c>
      <c r="G392" t="s">
        <v>21</v>
      </c>
      <c r="H392" t="s">
        <v>37</v>
      </c>
      <c r="I392" s="13">
        <v>57000</v>
      </c>
      <c r="J392" s="13">
        <v>57000</v>
      </c>
      <c r="K392" s="13">
        <f>IF(J392&lt;'Mapa Oficinas'!$I$21,0,IF(J392&gt;'Mapa Oficinas'!$I$20,0,1))</f>
        <v>0</v>
      </c>
      <c r="L392" t="s">
        <v>23</v>
      </c>
      <c r="M392" t="s">
        <v>23</v>
      </c>
      <c r="N392" t="s">
        <v>6989</v>
      </c>
      <c r="O392" t="s">
        <v>965</v>
      </c>
      <c r="P392" t="s">
        <v>45</v>
      </c>
      <c r="Q392">
        <v>1</v>
      </c>
      <c r="R392" t="s">
        <v>135</v>
      </c>
      <c r="S392" t="s">
        <v>47</v>
      </c>
      <c r="T392" t="str">
        <f>VLOOKUP(S392,'Mapa Oficinas'!$H$7:$I$16,2,FALSE)</f>
        <v>Otra Red Búsqueda</v>
      </c>
      <c r="U392" t="s">
        <v>29</v>
      </c>
      <c r="V392" t="str">
        <f>VLOOKUP($R392,'Mapa Oficinas'!$A$7:$C$46,2,FALSE)</f>
        <v>CABA</v>
      </c>
      <c r="W392" t="str">
        <f>VLOOKUP($R392,'Mapa Oficinas'!$A$7:$C$46,3,FALSE)</f>
        <v>Recoleta</v>
      </c>
    </row>
    <row r="393" spans="1:23" x14ac:dyDescent="0.2">
      <c r="A393" s="1">
        <v>45807</v>
      </c>
      <c r="B393" s="20">
        <f t="shared" si="12"/>
        <v>2025</v>
      </c>
      <c r="C393" s="20">
        <f t="shared" si="13"/>
        <v>5</v>
      </c>
      <c r="D393" t="s">
        <v>2228</v>
      </c>
      <c r="E393" s="49">
        <v>1</v>
      </c>
      <c r="F393" t="s">
        <v>2229</v>
      </c>
      <c r="G393" t="s">
        <v>21</v>
      </c>
      <c r="H393" t="s">
        <v>37</v>
      </c>
      <c r="I393" s="13">
        <v>59500</v>
      </c>
      <c r="J393" s="13">
        <v>57000</v>
      </c>
      <c r="K393" s="13">
        <f>IF(J393&lt;'Mapa Oficinas'!$I$21,0,IF(J393&gt;'Mapa Oficinas'!$I$20,0,1))</f>
        <v>0</v>
      </c>
      <c r="L393" t="s">
        <v>23</v>
      </c>
      <c r="M393" t="s">
        <v>23</v>
      </c>
      <c r="N393" t="s">
        <v>2230</v>
      </c>
      <c r="O393" t="s">
        <v>2231</v>
      </c>
      <c r="P393" t="s">
        <v>61</v>
      </c>
      <c r="Q393">
        <v>2</v>
      </c>
      <c r="R393" t="s">
        <v>103</v>
      </c>
      <c r="S393" t="s">
        <v>200</v>
      </c>
      <c r="T393" t="str">
        <f>VLOOKUP(S393,'Mapa Oficinas'!$H$7:$I$16,2,FALSE)</f>
        <v>Otra Red Captación</v>
      </c>
      <c r="U393" t="s">
        <v>29</v>
      </c>
      <c r="V393" t="str">
        <f>VLOOKUP($R393,'Mapa Oficinas'!$A$7:$C$46,2,FALSE)</f>
        <v>Zona Sur (GBA)</v>
      </c>
      <c r="W393" t="str">
        <f>VLOOKUP($R393,'Mapa Oficinas'!$A$7:$C$46,3,FALSE)</f>
        <v>La Plata</v>
      </c>
    </row>
    <row r="394" spans="1:23" x14ac:dyDescent="0.2">
      <c r="A394" s="1">
        <v>45827</v>
      </c>
      <c r="B394" s="20">
        <f t="shared" si="12"/>
        <v>2025</v>
      </c>
      <c r="C394" s="20">
        <f t="shared" si="13"/>
        <v>6</v>
      </c>
      <c r="D394" t="s">
        <v>2563</v>
      </c>
      <c r="E394" s="49">
        <v>1</v>
      </c>
      <c r="F394" t="s">
        <v>2564</v>
      </c>
      <c r="G394" t="s">
        <v>21</v>
      </c>
      <c r="H394" t="s">
        <v>221</v>
      </c>
      <c r="I394" s="13">
        <v>59000</v>
      </c>
      <c r="J394" s="13">
        <v>57000</v>
      </c>
      <c r="K394" s="13">
        <f>IF(J394&lt;'Mapa Oficinas'!$I$21,0,IF(J394&gt;'Mapa Oficinas'!$I$20,0,1))</f>
        <v>0</v>
      </c>
      <c r="L394" t="s">
        <v>23</v>
      </c>
      <c r="M394" t="s">
        <v>23</v>
      </c>
      <c r="N394" t="s">
        <v>2565</v>
      </c>
      <c r="O394" t="s">
        <v>2566</v>
      </c>
      <c r="P394" t="s">
        <v>34</v>
      </c>
      <c r="Q394">
        <v>2</v>
      </c>
      <c r="R394" t="s">
        <v>429</v>
      </c>
      <c r="S394" t="s">
        <v>28</v>
      </c>
      <c r="T394" t="str">
        <f>VLOOKUP(S394,'Mapa Oficinas'!$H$7:$I$16,2,FALSE)</f>
        <v>CB</v>
      </c>
      <c r="U394" t="s">
        <v>29</v>
      </c>
      <c r="V394" t="str">
        <f>VLOOKUP($R394,'Mapa Oficinas'!$A$7:$C$46,2,FALSE)</f>
        <v>Zona Oeste (GBA)</v>
      </c>
      <c r="W394" t="str">
        <f>VLOOKUP($R394,'Mapa Oficinas'!$A$7:$C$46,3,FALSE)</f>
        <v>Parque Leloir</v>
      </c>
    </row>
    <row r="395" spans="1:23" x14ac:dyDescent="0.2">
      <c r="A395" s="1">
        <v>45904</v>
      </c>
      <c r="B395" s="20">
        <f t="shared" si="12"/>
        <v>2025</v>
      </c>
      <c r="C395" s="20">
        <f t="shared" si="13"/>
        <v>9</v>
      </c>
      <c r="D395" t="s">
        <v>3975</v>
      </c>
      <c r="E395" s="49">
        <v>1</v>
      </c>
      <c r="F395" t="s">
        <v>3976</v>
      </c>
      <c r="G395" t="s">
        <v>21</v>
      </c>
      <c r="H395" t="s">
        <v>37</v>
      </c>
      <c r="I395" s="13">
        <v>59000</v>
      </c>
      <c r="J395" s="13">
        <v>57000</v>
      </c>
      <c r="K395" s="13">
        <f>IF(J395&lt;'Mapa Oficinas'!$I$21,0,IF(J395&gt;'Mapa Oficinas'!$I$20,0,1))</f>
        <v>0</v>
      </c>
      <c r="L395" t="s">
        <v>23</v>
      </c>
      <c r="M395" t="s">
        <v>23</v>
      </c>
      <c r="N395" t="s">
        <v>3977</v>
      </c>
      <c r="O395" t="s">
        <v>914</v>
      </c>
      <c r="P395" t="s">
        <v>55</v>
      </c>
      <c r="Q395">
        <v>2</v>
      </c>
      <c r="R395" t="s">
        <v>56</v>
      </c>
      <c r="S395" t="s">
        <v>28</v>
      </c>
      <c r="T395" t="str">
        <f>VLOOKUP(S395,'Mapa Oficinas'!$H$7:$I$16,2,FALSE)</f>
        <v>CB</v>
      </c>
      <c r="U395" t="s">
        <v>29</v>
      </c>
      <c r="V395" t="str">
        <f>VLOOKUP($R395,'Mapa Oficinas'!$A$7:$C$46,2,FALSE)</f>
        <v>Zona Norte (GBA)</v>
      </c>
      <c r="W395" t="str">
        <f>VLOOKUP($R395,'Mapa Oficinas'!$A$7:$C$46,3,FALSE)</f>
        <v>Vicente López</v>
      </c>
    </row>
    <row r="396" spans="1:23" x14ac:dyDescent="0.2">
      <c r="A396" s="1">
        <v>45913</v>
      </c>
      <c r="B396" s="20">
        <f t="shared" si="12"/>
        <v>2025</v>
      </c>
      <c r="C396" s="20">
        <f t="shared" si="13"/>
        <v>9</v>
      </c>
      <c r="D396" t="s">
        <v>4123</v>
      </c>
      <c r="E396" s="49">
        <v>1</v>
      </c>
      <c r="F396" t="s">
        <v>4124</v>
      </c>
      <c r="G396" t="s">
        <v>21</v>
      </c>
      <c r="H396" t="s">
        <v>37</v>
      </c>
      <c r="I396" s="13">
        <v>59800</v>
      </c>
      <c r="J396" s="13">
        <v>57000</v>
      </c>
      <c r="K396" s="13">
        <f>IF(J396&lt;'Mapa Oficinas'!$I$21,0,IF(J396&gt;'Mapa Oficinas'!$I$20,0,1))</f>
        <v>0</v>
      </c>
      <c r="L396" t="s">
        <v>23</v>
      </c>
      <c r="M396" t="s">
        <v>23</v>
      </c>
      <c r="N396" t="s">
        <v>4125</v>
      </c>
      <c r="O396" t="s">
        <v>4126</v>
      </c>
      <c r="P396" t="s">
        <v>45</v>
      </c>
      <c r="Q396">
        <v>2</v>
      </c>
      <c r="R396" t="s">
        <v>67</v>
      </c>
      <c r="S396" t="s">
        <v>28</v>
      </c>
      <c r="T396" t="str">
        <f>VLOOKUP(S396,'Mapa Oficinas'!$H$7:$I$16,2,FALSE)</f>
        <v>CB</v>
      </c>
      <c r="U396" t="s">
        <v>29</v>
      </c>
      <c r="V396" t="str">
        <f>VLOOKUP($R396,'Mapa Oficinas'!$A$7:$C$46,2,FALSE)</f>
        <v>CABA</v>
      </c>
      <c r="W396" t="str">
        <f>VLOOKUP($R396,'Mapa Oficinas'!$A$7:$C$46,3,FALSE)</f>
        <v>Barrio Parque</v>
      </c>
    </row>
    <row r="397" spans="1:23" x14ac:dyDescent="0.2">
      <c r="A397" s="1">
        <v>45937</v>
      </c>
      <c r="B397" s="20">
        <f t="shared" si="12"/>
        <v>2025</v>
      </c>
      <c r="C397" s="20">
        <f t="shared" si="13"/>
        <v>10</v>
      </c>
      <c r="D397" t="s">
        <v>4539</v>
      </c>
      <c r="E397" s="49">
        <v>1</v>
      </c>
      <c r="F397" t="s">
        <v>4540</v>
      </c>
      <c r="G397" t="s">
        <v>21</v>
      </c>
      <c r="H397" t="s">
        <v>37</v>
      </c>
      <c r="I397" s="13">
        <v>54000</v>
      </c>
      <c r="J397" s="13">
        <v>57000</v>
      </c>
      <c r="K397" s="13">
        <f>IF(J397&lt;'Mapa Oficinas'!$I$21,0,IF(J397&gt;'Mapa Oficinas'!$I$20,0,1))</f>
        <v>0</v>
      </c>
      <c r="L397" t="s">
        <v>23</v>
      </c>
      <c r="M397" t="s">
        <v>23</v>
      </c>
      <c r="N397" t="s">
        <v>4541</v>
      </c>
      <c r="O397" t="s">
        <v>4542</v>
      </c>
      <c r="P397" t="s">
        <v>45</v>
      </c>
      <c r="Q397">
        <v>2</v>
      </c>
      <c r="R397" t="s">
        <v>183</v>
      </c>
      <c r="S397" t="s">
        <v>28</v>
      </c>
      <c r="T397" t="str">
        <f>VLOOKUP(S397,'Mapa Oficinas'!$H$7:$I$16,2,FALSE)</f>
        <v>CB</v>
      </c>
      <c r="U397" t="s">
        <v>29</v>
      </c>
      <c r="V397" t="str">
        <f>VLOOKUP($R397,'Mapa Oficinas'!$A$7:$C$46,2,FALSE)</f>
        <v>Interior - Neuquén</v>
      </c>
      <c r="W397" t="str">
        <f>VLOOKUP($R397,'Mapa Oficinas'!$A$7:$C$46,3,FALSE)</f>
        <v>Capital Neuquén</v>
      </c>
    </row>
    <row r="398" spans="1:23" x14ac:dyDescent="0.2">
      <c r="A398" s="1">
        <v>45939</v>
      </c>
      <c r="B398" s="20">
        <f t="shared" si="12"/>
        <v>2025</v>
      </c>
      <c r="C398" s="20">
        <f t="shared" si="13"/>
        <v>10</v>
      </c>
      <c r="D398" t="s">
        <v>4609</v>
      </c>
      <c r="E398" s="49">
        <v>1</v>
      </c>
      <c r="F398" t="s">
        <v>4610</v>
      </c>
      <c r="G398" t="s">
        <v>21</v>
      </c>
      <c r="H398" t="s">
        <v>37</v>
      </c>
      <c r="I398" s="13">
        <v>62900</v>
      </c>
      <c r="J398" s="13">
        <v>57000</v>
      </c>
      <c r="K398" s="13">
        <f>IF(J398&lt;'Mapa Oficinas'!$I$21,0,IF(J398&gt;'Mapa Oficinas'!$I$20,0,1))</f>
        <v>0</v>
      </c>
      <c r="L398" t="s">
        <v>23</v>
      </c>
      <c r="M398" t="s">
        <v>23</v>
      </c>
      <c r="N398" t="s">
        <v>4611</v>
      </c>
      <c r="O398" t="s">
        <v>196</v>
      </c>
      <c r="P398" t="s">
        <v>26</v>
      </c>
      <c r="Q398">
        <v>2</v>
      </c>
      <c r="R398" t="s">
        <v>67</v>
      </c>
      <c r="S398" t="s">
        <v>28</v>
      </c>
      <c r="T398" t="str">
        <f>VLOOKUP(S398,'Mapa Oficinas'!$H$7:$I$16,2,FALSE)</f>
        <v>CB</v>
      </c>
      <c r="U398" t="s">
        <v>29</v>
      </c>
      <c r="V398" t="str">
        <f>VLOOKUP($R398,'Mapa Oficinas'!$A$7:$C$46,2,FALSE)</f>
        <v>CABA</v>
      </c>
      <c r="W398" t="str">
        <f>VLOOKUP($R398,'Mapa Oficinas'!$A$7:$C$46,3,FALSE)</f>
        <v>Barrio Parque</v>
      </c>
    </row>
    <row r="399" spans="1:23" x14ac:dyDescent="0.2">
      <c r="A399" s="1">
        <v>45974</v>
      </c>
      <c r="B399" s="20">
        <f t="shared" si="12"/>
        <v>2025</v>
      </c>
      <c r="C399" s="20">
        <f t="shared" si="13"/>
        <v>11</v>
      </c>
      <c r="D399" t="s">
        <v>5187</v>
      </c>
      <c r="E399" s="49">
        <v>1</v>
      </c>
      <c r="F399" t="s">
        <v>5188</v>
      </c>
      <c r="G399" t="s">
        <v>21</v>
      </c>
      <c r="H399" t="s">
        <v>37</v>
      </c>
      <c r="I399" s="13">
        <v>60000</v>
      </c>
      <c r="J399" s="13">
        <v>57000</v>
      </c>
      <c r="K399" s="13">
        <f>IF(J399&lt;'Mapa Oficinas'!$I$21,0,IF(J399&gt;'Mapa Oficinas'!$I$20,0,1))</f>
        <v>0</v>
      </c>
      <c r="L399" t="s">
        <v>23</v>
      </c>
      <c r="M399" t="s">
        <v>23</v>
      </c>
      <c r="N399" t="s">
        <v>5189</v>
      </c>
      <c r="O399" t="s">
        <v>965</v>
      </c>
      <c r="P399" t="s">
        <v>45</v>
      </c>
      <c r="Q399">
        <v>2</v>
      </c>
      <c r="R399" t="s">
        <v>46</v>
      </c>
      <c r="S399" t="s">
        <v>28</v>
      </c>
      <c r="T399" t="str">
        <f>VLOOKUP(S399,'Mapa Oficinas'!$H$7:$I$16,2,FALSE)</f>
        <v>CB</v>
      </c>
      <c r="U399" t="s">
        <v>29</v>
      </c>
      <c r="V399" t="str">
        <f>VLOOKUP($R399,'Mapa Oficinas'!$A$7:$C$46,2,FALSE)</f>
        <v>CABA</v>
      </c>
      <c r="W399" t="str">
        <f>VLOOKUP($R399,'Mapa Oficinas'!$A$7:$C$46,3,FALSE)</f>
        <v>Palermo</v>
      </c>
    </row>
    <row r="400" spans="1:23" x14ac:dyDescent="0.2">
      <c r="A400" s="1">
        <v>46041</v>
      </c>
      <c r="B400" s="20">
        <f t="shared" si="12"/>
        <v>2026</v>
      </c>
      <c r="C400" s="20">
        <f t="shared" si="13"/>
        <v>1</v>
      </c>
      <c r="D400" t="s">
        <v>6303</v>
      </c>
      <c r="E400" s="49">
        <v>1</v>
      </c>
      <c r="F400" t="s">
        <v>6304</v>
      </c>
      <c r="G400" t="s">
        <v>21</v>
      </c>
      <c r="H400" t="s">
        <v>37</v>
      </c>
      <c r="I400" s="13">
        <v>63000</v>
      </c>
      <c r="J400" s="13">
        <v>57000</v>
      </c>
      <c r="K400" s="13">
        <f>IF(J400&lt;'Mapa Oficinas'!$I$21,0,IF(J400&gt;'Mapa Oficinas'!$I$20,0,1))</f>
        <v>0</v>
      </c>
      <c r="L400" t="s">
        <v>23</v>
      </c>
      <c r="M400" t="s">
        <v>23</v>
      </c>
      <c r="N400" t="s">
        <v>6305</v>
      </c>
      <c r="O400" t="s">
        <v>2194</v>
      </c>
      <c r="P400" t="s">
        <v>45</v>
      </c>
      <c r="Q400">
        <v>2</v>
      </c>
      <c r="R400" t="s">
        <v>135</v>
      </c>
      <c r="S400" t="s">
        <v>28</v>
      </c>
      <c r="T400" t="str">
        <f>VLOOKUP(S400,'Mapa Oficinas'!$H$7:$I$16,2,FALSE)</f>
        <v>CB</v>
      </c>
      <c r="U400" t="s">
        <v>29</v>
      </c>
      <c r="V400" t="str">
        <f>VLOOKUP($R400,'Mapa Oficinas'!$A$7:$C$46,2,FALSE)</f>
        <v>CABA</v>
      </c>
      <c r="W400" t="str">
        <f>VLOOKUP($R400,'Mapa Oficinas'!$A$7:$C$46,3,FALSE)</f>
        <v>Recoleta</v>
      </c>
    </row>
    <row r="401" spans="1:23" x14ac:dyDescent="0.2">
      <c r="A401" s="1">
        <v>46080</v>
      </c>
      <c r="B401" s="20">
        <f t="shared" si="12"/>
        <v>2026</v>
      </c>
      <c r="C401" s="20">
        <f t="shared" si="13"/>
        <v>2</v>
      </c>
      <c r="D401" t="s">
        <v>6881</v>
      </c>
      <c r="E401" s="49">
        <v>1</v>
      </c>
      <c r="F401" t="s">
        <v>6882</v>
      </c>
      <c r="G401" t="s">
        <v>21</v>
      </c>
      <c r="H401" t="s">
        <v>81</v>
      </c>
      <c r="I401" s="13">
        <v>58000</v>
      </c>
      <c r="J401" s="13">
        <v>57000</v>
      </c>
      <c r="K401" s="13">
        <f>IF(J401&lt;'Mapa Oficinas'!$I$21,0,IF(J401&gt;'Mapa Oficinas'!$I$20,0,1))</f>
        <v>0</v>
      </c>
      <c r="L401" t="s">
        <v>23</v>
      </c>
      <c r="M401" t="s">
        <v>23</v>
      </c>
      <c r="N401" t="s">
        <v>6883</v>
      </c>
      <c r="O401" t="s">
        <v>1629</v>
      </c>
      <c r="P401" t="s">
        <v>45</v>
      </c>
      <c r="Q401">
        <v>2</v>
      </c>
      <c r="R401" t="s">
        <v>482</v>
      </c>
      <c r="S401" t="s">
        <v>28</v>
      </c>
      <c r="T401" t="str">
        <f>VLOOKUP(S401,'Mapa Oficinas'!$H$7:$I$16,2,FALSE)</f>
        <v>CB</v>
      </c>
      <c r="U401" t="s">
        <v>29</v>
      </c>
      <c r="V401" t="str">
        <f>VLOOKUP($R401,'Mapa Oficinas'!$A$7:$C$46,2,FALSE)</f>
        <v>Interior - Jujuy</v>
      </c>
      <c r="W401" t="str">
        <f>VLOOKUP($R401,'Mapa Oficinas'!$A$7:$C$46,3,FALSE)</f>
        <v>Capital Jujuy</v>
      </c>
    </row>
    <row r="402" spans="1:23" x14ac:dyDescent="0.2">
      <c r="A402" s="1">
        <v>46100</v>
      </c>
      <c r="B402" s="20">
        <f t="shared" si="12"/>
        <v>2026</v>
      </c>
      <c r="C402" s="20">
        <f t="shared" si="13"/>
        <v>3</v>
      </c>
      <c r="D402" t="s">
        <v>7292</v>
      </c>
      <c r="E402" s="49">
        <v>1</v>
      </c>
      <c r="F402" t="s">
        <v>7293</v>
      </c>
      <c r="G402" t="s">
        <v>21</v>
      </c>
      <c r="H402" t="s">
        <v>90</v>
      </c>
      <c r="I402" s="13">
        <v>64900</v>
      </c>
      <c r="J402" s="13">
        <v>57000</v>
      </c>
      <c r="K402" s="13">
        <f>IF(J402&lt;'Mapa Oficinas'!$I$21,0,IF(J402&gt;'Mapa Oficinas'!$I$20,0,1))</f>
        <v>0</v>
      </c>
      <c r="L402" t="s">
        <v>23</v>
      </c>
      <c r="M402" t="s">
        <v>23</v>
      </c>
      <c r="N402" t="s">
        <v>7294</v>
      </c>
      <c r="O402" t="s">
        <v>6877</v>
      </c>
      <c r="P402" t="s">
        <v>34</v>
      </c>
      <c r="Q402">
        <v>2</v>
      </c>
      <c r="R402" t="s">
        <v>62</v>
      </c>
      <c r="S402" t="s">
        <v>28</v>
      </c>
      <c r="T402" t="str">
        <f>VLOOKUP(S402,'Mapa Oficinas'!$H$7:$I$16,2,FALSE)</f>
        <v>CB</v>
      </c>
      <c r="U402" t="s">
        <v>29</v>
      </c>
      <c r="V402" t="str">
        <f>VLOOKUP($R402,'Mapa Oficinas'!$A$7:$C$46,2,FALSE)</f>
        <v>CABA</v>
      </c>
      <c r="W402" t="str">
        <f>VLOOKUP($R402,'Mapa Oficinas'!$A$7:$C$46,3,FALSE)</f>
        <v>Villa Urquiza</v>
      </c>
    </row>
    <row r="403" spans="1:23" x14ac:dyDescent="0.2">
      <c r="A403" s="1">
        <v>45834</v>
      </c>
      <c r="B403" s="20">
        <f t="shared" si="12"/>
        <v>2025</v>
      </c>
      <c r="C403" s="20">
        <f t="shared" si="13"/>
        <v>6</v>
      </c>
      <c r="D403" t="s">
        <v>2649</v>
      </c>
      <c r="E403" s="49">
        <v>1</v>
      </c>
      <c r="F403" t="s">
        <v>2650</v>
      </c>
      <c r="G403" t="s">
        <v>21</v>
      </c>
      <c r="H403" t="s">
        <v>37</v>
      </c>
      <c r="I403" s="13">
        <v>59000</v>
      </c>
      <c r="J403" s="13">
        <v>57500</v>
      </c>
      <c r="K403" s="13">
        <f>IF(J403&lt;'Mapa Oficinas'!$I$21,0,IF(J403&gt;'Mapa Oficinas'!$I$20,0,1))</f>
        <v>0</v>
      </c>
      <c r="L403" t="s">
        <v>23</v>
      </c>
      <c r="M403" t="s">
        <v>23</v>
      </c>
      <c r="N403" t="s">
        <v>2651</v>
      </c>
      <c r="O403" t="s">
        <v>236</v>
      </c>
      <c r="P403" t="s">
        <v>45</v>
      </c>
      <c r="Q403">
        <v>2</v>
      </c>
      <c r="R403" t="s">
        <v>372</v>
      </c>
      <c r="S403" t="s">
        <v>200</v>
      </c>
      <c r="T403" t="str">
        <f>VLOOKUP(S403,'Mapa Oficinas'!$H$7:$I$16,2,FALSE)</f>
        <v>Otra Red Captación</v>
      </c>
      <c r="U403" t="s">
        <v>29</v>
      </c>
      <c r="V403" t="str">
        <f>VLOOKUP($R403,'Mapa Oficinas'!$A$7:$C$46,2,FALSE)</f>
        <v>CABA</v>
      </c>
      <c r="W403" t="str">
        <f>VLOOKUP($R403,'Mapa Oficinas'!$A$7:$C$46,3,FALSE)</f>
        <v>Caballito</v>
      </c>
    </row>
    <row r="404" spans="1:23" x14ac:dyDescent="0.2">
      <c r="A404" s="1">
        <v>46057</v>
      </c>
      <c r="B404" s="20">
        <f t="shared" si="12"/>
        <v>2026</v>
      </c>
      <c r="C404" s="20">
        <f t="shared" si="13"/>
        <v>2</v>
      </c>
      <c r="D404" t="s">
        <v>6514</v>
      </c>
      <c r="E404" s="49">
        <v>1</v>
      </c>
      <c r="F404" t="s">
        <v>6515</v>
      </c>
      <c r="G404" t="s">
        <v>21</v>
      </c>
      <c r="H404" t="s">
        <v>37</v>
      </c>
      <c r="I404" s="13">
        <v>60000</v>
      </c>
      <c r="J404" s="13">
        <v>57500</v>
      </c>
      <c r="K404" s="13">
        <f>IF(J404&lt;'Mapa Oficinas'!$I$21,0,IF(J404&gt;'Mapa Oficinas'!$I$20,0,1))</f>
        <v>0</v>
      </c>
      <c r="L404" t="s">
        <v>23</v>
      </c>
      <c r="M404" t="s">
        <v>23</v>
      </c>
      <c r="N404" t="s">
        <v>6516</v>
      </c>
      <c r="O404" t="s">
        <v>1774</v>
      </c>
      <c r="P404" t="s">
        <v>45</v>
      </c>
      <c r="Q404">
        <v>2</v>
      </c>
      <c r="R404" t="s">
        <v>670</v>
      </c>
      <c r="S404" t="s">
        <v>200</v>
      </c>
      <c r="T404" t="str">
        <f>VLOOKUP(S404,'Mapa Oficinas'!$H$7:$I$16,2,FALSE)</f>
        <v>Otra Red Captación</v>
      </c>
      <c r="U404" t="s">
        <v>29</v>
      </c>
      <c r="V404" t="str">
        <f>VLOOKUP($R404,'Mapa Oficinas'!$A$7:$C$46,2,FALSE)</f>
        <v>CABA</v>
      </c>
      <c r="W404" t="str">
        <f>VLOOKUP($R404,'Mapa Oficinas'!$A$7:$C$46,3,FALSE)</f>
        <v>Recoleta</v>
      </c>
    </row>
    <row r="405" spans="1:23" x14ac:dyDescent="0.2">
      <c r="A405" s="1">
        <v>45717</v>
      </c>
      <c r="B405" s="20">
        <f t="shared" si="12"/>
        <v>2025</v>
      </c>
      <c r="C405" s="20">
        <f t="shared" si="13"/>
        <v>3</v>
      </c>
      <c r="D405" t="s">
        <v>819</v>
      </c>
      <c r="E405" s="49">
        <v>1</v>
      </c>
      <c r="F405" t="s">
        <v>820</v>
      </c>
      <c r="G405" t="s">
        <v>21</v>
      </c>
      <c r="H405" t="s">
        <v>37</v>
      </c>
      <c r="I405" s="13">
        <v>57500</v>
      </c>
      <c r="J405" s="13">
        <v>57500</v>
      </c>
      <c r="K405" s="13">
        <f>IF(J405&lt;'Mapa Oficinas'!$I$21,0,IF(J405&gt;'Mapa Oficinas'!$I$20,0,1))</f>
        <v>0</v>
      </c>
      <c r="L405" t="s">
        <v>23</v>
      </c>
      <c r="M405" t="s">
        <v>23</v>
      </c>
      <c r="N405" t="s">
        <v>821</v>
      </c>
      <c r="O405" t="s">
        <v>822</v>
      </c>
      <c r="P405" t="s">
        <v>45</v>
      </c>
      <c r="Q405">
        <v>2</v>
      </c>
      <c r="R405" t="s">
        <v>823</v>
      </c>
      <c r="S405" t="s">
        <v>28</v>
      </c>
      <c r="T405" t="str">
        <f>VLOOKUP(S405,'Mapa Oficinas'!$H$7:$I$16,2,FALSE)</f>
        <v>CB</v>
      </c>
      <c r="U405" t="s">
        <v>29</v>
      </c>
      <c r="V405" t="str">
        <f>VLOOKUP($R405,'Mapa Oficinas'!$A$7:$C$46,2,FALSE)</f>
        <v>Zona Norte (GBA)</v>
      </c>
      <c r="W405" t="str">
        <f>VLOOKUP($R405,'Mapa Oficinas'!$A$7:$C$46,3,FALSE)</f>
        <v>Pilar</v>
      </c>
    </row>
    <row r="406" spans="1:23" x14ac:dyDescent="0.2">
      <c r="A406" s="1">
        <v>45789</v>
      </c>
      <c r="B406" s="20">
        <f t="shared" si="12"/>
        <v>2025</v>
      </c>
      <c r="C406" s="20">
        <f t="shared" si="13"/>
        <v>5</v>
      </c>
      <c r="D406" t="s">
        <v>1860</v>
      </c>
      <c r="E406" s="49">
        <v>1</v>
      </c>
      <c r="F406" t="s">
        <v>1861</v>
      </c>
      <c r="G406" t="s">
        <v>21</v>
      </c>
      <c r="H406" t="s">
        <v>37</v>
      </c>
      <c r="I406" s="13">
        <v>58000</v>
      </c>
      <c r="J406" s="13">
        <v>58000</v>
      </c>
      <c r="K406" s="13">
        <f>IF(J406&lt;'Mapa Oficinas'!$I$21,0,IF(J406&gt;'Mapa Oficinas'!$I$20,0,1))</f>
        <v>0</v>
      </c>
      <c r="L406" t="s">
        <v>23</v>
      </c>
      <c r="M406" t="s">
        <v>23</v>
      </c>
      <c r="N406" t="s">
        <v>1861</v>
      </c>
      <c r="O406" t="s">
        <v>1862</v>
      </c>
      <c r="P406" t="s">
        <v>34</v>
      </c>
      <c r="Q406">
        <v>1</v>
      </c>
      <c r="R406" t="s">
        <v>495</v>
      </c>
      <c r="S406" t="s">
        <v>122</v>
      </c>
      <c r="T406" t="str">
        <f>VLOOKUP(S406,'Mapa Oficinas'!$H$7:$I$16,2,FALSE)</f>
        <v>Otra Red Búsqueda</v>
      </c>
      <c r="U406" t="s">
        <v>29</v>
      </c>
      <c r="V406" t="str">
        <f>VLOOKUP($R406,'Mapa Oficinas'!$A$7:$C$46,2,FALSE)</f>
        <v>Zona Norte (GBA)</v>
      </c>
      <c r="W406" t="str">
        <f>VLOOKUP($R406,'Mapa Oficinas'!$A$7:$C$46,3,FALSE)</f>
        <v>Escobar</v>
      </c>
    </row>
    <row r="407" spans="1:23" x14ac:dyDescent="0.2">
      <c r="A407" s="1">
        <v>45979</v>
      </c>
      <c r="B407" s="20">
        <f t="shared" si="12"/>
        <v>2025</v>
      </c>
      <c r="C407" s="20">
        <f t="shared" si="13"/>
        <v>11</v>
      </c>
      <c r="D407" t="s">
        <v>5269</v>
      </c>
      <c r="E407" s="49">
        <v>1</v>
      </c>
      <c r="F407" t="s">
        <v>5270</v>
      </c>
      <c r="G407" t="s">
        <v>21</v>
      </c>
      <c r="H407" t="s">
        <v>76</v>
      </c>
      <c r="I407" s="13">
        <v>62000</v>
      </c>
      <c r="J407" s="13">
        <v>58000</v>
      </c>
      <c r="K407" s="13">
        <f>IF(J407&lt;'Mapa Oficinas'!$I$21,0,IF(J407&gt;'Mapa Oficinas'!$I$20,0,1))</f>
        <v>0</v>
      </c>
      <c r="L407" t="s">
        <v>23</v>
      </c>
      <c r="M407" t="s">
        <v>23</v>
      </c>
      <c r="N407" t="s">
        <v>5271</v>
      </c>
      <c r="O407" t="s">
        <v>223</v>
      </c>
      <c r="P407" t="s">
        <v>34</v>
      </c>
      <c r="Q407">
        <v>1</v>
      </c>
      <c r="R407" t="s">
        <v>167</v>
      </c>
      <c r="S407" t="s">
        <v>122</v>
      </c>
      <c r="T407" t="str">
        <f>VLOOKUP(S407,'Mapa Oficinas'!$H$7:$I$16,2,FALSE)</f>
        <v>Otra Red Búsqueda</v>
      </c>
      <c r="U407" t="s">
        <v>29</v>
      </c>
      <c r="V407" t="str">
        <f>VLOOKUP($R407,'Mapa Oficinas'!$A$7:$C$46,2,FALSE)</f>
        <v>Interior - Santa Fe</v>
      </c>
      <c r="W407" t="str">
        <f>VLOOKUP($R407,'Mapa Oficinas'!$A$7:$C$46,3,FALSE)</f>
        <v>Capital Santa Fe</v>
      </c>
    </row>
    <row r="408" spans="1:23" x14ac:dyDescent="0.2">
      <c r="A408" s="1">
        <v>45772</v>
      </c>
      <c r="B408" s="20">
        <f t="shared" si="12"/>
        <v>2025</v>
      </c>
      <c r="C408" s="20">
        <f t="shared" si="13"/>
        <v>4</v>
      </c>
      <c r="E408" s="49">
        <v>1</v>
      </c>
      <c r="F408" t="s">
        <v>1620</v>
      </c>
      <c r="G408" t="s">
        <v>21</v>
      </c>
      <c r="H408" t="s">
        <v>70</v>
      </c>
      <c r="I408" s="13">
        <v>58000</v>
      </c>
      <c r="J408" s="13">
        <v>58000</v>
      </c>
      <c r="K408" s="13">
        <f>IF(J408&lt;'Mapa Oficinas'!$I$21,0,IF(J408&gt;'Mapa Oficinas'!$I$20,0,1))</f>
        <v>0</v>
      </c>
      <c r="L408" t="s">
        <v>23</v>
      </c>
      <c r="M408" t="s">
        <v>23</v>
      </c>
      <c r="N408" t="s">
        <v>1621</v>
      </c>
      <c r="O408" t="s">
        <v>545</v>
      </c>
      <c r="P408" t="s">
        <v>26</v>
      </c>
      <c r="Q408">
        <v>2</v>
      </c>
      <c r="R408" t="s">
        <v>84</v>
      </c>
      <c r="S408" t="s">
        <v>79</v>
      </c>
      <c r="T408" t="str">
        <f>VLOOKUP(S408,'Mapa Oficinas'!$H$7:$I$16,2,FALSE)</f>
        <v>CB</v>
      </c>
      <c r="U408" t="s">
        <v>29</v>
      </c>
      <c r="V408" t="str">
        <f>VLOOKUP($R408,'Mapa Oficinas'!$A$7:$C$46,2,FALSE)</f>
        <v>Interior - Neuquén</v>
      </c>
      <c r="W408" t="str">
        <f>VLOOKUP($R408,'Mapa Oficinas'!$A$7:$C$46,3,FALSE)</f>
        <v>Villa La Angostura</v>
      </c>
    </row>
    <row r="409" spans="1:23" x14ac:dyDescent="0.2">
      <c r="A409" s="1">
        <v>45736</v>
      </c>
      <c r="B409" s="20">
        <f t="shared" si="12"/>
        <v>2025</v>
      </c>
      <c r="C409" s="20">
        <f t="shared" si="13"/>
        <v>3</v>
      </c>
      <c r="D409" t="s">
        <v>1011</v>
      </c>
      <c r="E409" s="49">
        <v>1</v>
      </c>
      <c r="F409" t="s">
        <v>1012</v>
      </c>
      <c r="G409" t="s">
        <v>21</v>
      </c>
      <c r="H409" t="s">
        <v>100</v>
      </c>
      <c r="I409" s="13">
        <v>69500</v>
      </c>
      <c r="J409" s="13">
        <v>58000</v>
      </c>
      <c r="K409" s="13">
        <f>IF(J409&lt;'Mapa Oficinas'!$I$21,0,IF(J409&gt;'Mapa Oficinas'!$I$20,0,1))</f>
        <v>0</v>
      </c>
      <c r="L409" t="s">
        <v>23</v>
      </c>
      <c r="M409" t="s">
        <v>23</v>
      </c>
      <c r="N409" t="s">
        <v>1013</v>
      </c>
      <c r="O409" t="s">
        <v>1014</v>
      </c>
      <c r="P409" t="s">
        <v>45</v>
      </c>
      <c r="Q409">
        <v>2</v>
      </c>
      <c r="R409" t="s">
        <v>103</v>
      </c>
      <c r="S409" t="s">
        <v>200</v>
      </c>
      <c r="T409" t="str">
        <f>VLOOKUP(S409,'Mapa Oficinas'!$H$7:$I$16,2,FALSE)</f>
        <v>Otra Red Captación</v>
      </c>
      <c r="U409" t="s">
        <v>29</v>
      </c>
      <c r="V409" t="str">
        <f>VLOOKUP($R409,'Mapa Oficinas'!$A$7:$C$46,2,FALSE)</f>
        <v>Zona Sur (GBA)</v>
      </c>
      <c r="W409" t="str">
        <f>VLOOKUP($R409,'Mapa Oficinas'!$A$7:$C$46,3,FALSE)</f>
        <v>La Plata</v>
      </c>
    </row>
    <row r="410" spans="1:23" x14ac:dyDescent="0.2">
      <c r="A410" s="1">
        <v>45738</v>
      </c>
      <c r="B410" s="20">
        <f t="shared" si="12"/>
        <v>2025</v>
      </c>
      <c r="C410" s="20">
        <f t="shared" si="13"/>
        <v>3</v>
      </c>
      <c r="D410" t="s">
        <v>1061</v>
      </c>
      <c r="E410" s="49">
        <v>1</v>
      </c>
      <c r="F410" t="s">
        <v>1062</v>
      </c>
      <c r="G410" t="s">
        <v>21</v>
      </c>
      <c r="H410" t="s">
        <v>37</v>
      </c>
      <c r="I410" s="13">
        <v>58000</v>
      </c>
      <c r="J410" s="13">
        <v>58000</v>
      </c>
      <c r="K410" s="13">
        <f>IF(J410&lt;'Mapa Oficinas'!$I$21,0,IF(J410&gt;'Mapa Oficinas'!$I$20,0,1))</f>
        <v>0</v>
      </c>
      <c r="L410" t="s">
        <v>23</v>
      </c>
      <c r="M410" t="s">
        <v>23</v>
      </c>
      <c r="N410" t="s">
        <v>1063</v>
      </c>
      <c r="O410" t="s">
        <v>914</v>
      </c>
      <c r="P410" t="s">
        <v>45</v>
      </c>
      <c r="Q410">
        <v>2</v>
      </c>
      <c r="R410" t="s">
        <v>56</v>
      </c>
      <c r="S410" t="s">
        <v>28</v>
      </c>
      <c r="T410" t="str">
        <f>VLOOKUP(S410,'Mapa Oficinas'!$H$7:$I$16,2,FALSE)</f>
        <v>CB</v>
      </c>
      <c r="U410" t="s">
        <v>29</v>
      </c>
      <c r="V410" t="str">
        <f>VLOOKUP($R410,'Mapa Oficinas'!$A$7:$C$46,2,FALSE)</f>
        <v>Zona Norte (GBA)</v>
      </c>
      <c r="W410" t="str">
        <f>VLOOKUP($R410,'Mapa Oficinas'!$A$7:$C$46,3,FALSE)</f>
        <v>Vicente López</v>
      </c>
    </row>
    <row r="411" spans="1:23" x14ac:dyDescent="0.2">
      <c r="A411" s="1">
        <v>45812</v>
      </c>
      <c r="B411" s="20">
        <f t="shared" si="12"/>
        <v>2025</v>
      </c>
      <c r="C411" s="20">
        <f t="shared" si="13"/>
        <v>6</v>
      </c>
      <c r="D411" t="s">
        <v>2294</v>
      </c>
      <c r="E411" s="49">
        <v>1</v>
      </c>
      <c r="F411" t="s">
        <v>2295</v>
      </c>
      <c r="G411" t="s">
        <v>21</v>
      </c>
      <c r="H411" t="s">
        <v>37</v>
      </c>
      <c r="I411" s="13">
        <v>60000</v>
      </c>
      <c r="J411" s="13">
        <v>58000</v>
      </c>
      <c r="K411" s="13">
        <f>IF(J411&lt;'Mapa Oficinas'!$I$21,0,IF(J411&gt;'Mapa Oficinas'!$I$20,0,1))</f>
        <v>0</v>
      </c>
      <c r="L411" t="s">
        <v>23</v>
      </c>
      <c r="M411" t="s">
        <v>23</v>
      </c>
      <c r="N411" t="s">
        <v>2296</v>
      </c>
      <c r="O411" t="s">
        <v>102</v>
      </c>
      <c r="P411" t="s">
        <v>61</v>
      </c>
      <c r="Q411">
        <v>2</v>
      </c>
      <c r="R411" t="s">
        <v>103</v>
      </c>
      <c r="S411" t="s">
        <v>28</v>
      </c>
      <c r="T411" t="str">
        <f>VLOOKUP(S411,'Mapa Oficinas'!$H$7:$I$16,2,FALSE)</f>
        <v>CB</v>
      </c>
      <c r="U411" t="s">
        <v>29</v>
      </c>
      <c r="V411" t="str">
        <f>VLOOKUP($R411,'Mapa Oficinas'!$A$7:$C$46,2,FALSE)</f>
        <v>Zona Sur (GBA)</v>
      </c>
      <c r="W411" t="str">
        <f>VLOOKUP($R411,'Mapa Oficinas'!$A$7:$C$46,3,FALSE)</f>
        <v>La Plata</v>
      </c>
    </row>
    <row r="412" spans="1:23" x14ac:dyDescent="0.2">
      <c r="A412" s="1">
        <v>45854</v>
      </c>
      <c r="B412" s="20">
        <f t="shared" si="12"/>
        <v>2025</v>
      </c>
      <c r="C412" s="20">
        <f t="shared" si="13"/>
        <v>7</v>
      </c>
      <c r="D412" t="s">
        <v>3061</v>
      </c>
      <c r="E412" s="49">
        <v>1</v>
      </c>
      <c r="F412" t="s">
        <v>3062</v>
      </c>
      <c r="G412" t="s">
        <v>21</v>
      </c>
      <c r="H412" t="s">
        <v>37</v>
      </c>
      <c r="I412" s="13">
        <v>58000</v>
      </c>
      <c r="J412" s="13">
        <v>58000</v>
      </c>
      <c r="K412" s="13">
        <f>IF(J412&lt;'Mapa Oficinas'!$I$21,0,IF(J412&gt;'Mapa Oficinas'!$I$20,0,1))</f>
        <v>0</v>
      </c>
      <c r="L412" t="s">
        <v>23</v>
      </c>
      <c r="M412" t="s">
        <v>23</v>
      </c>
      <c r="O412" t="s">
        <v>105</v>
      </c>
      <c r="P412" t="s">
        <v>45</v>
      </c>
      <c r="Q412">
        <v>2</v>
      </c>
      <c r="R412" t="s">
        <v>321</v>
      </c>
      <c r="S412" t="s">
        <v>28</v>
      </c>
      <c r="T412" t="str">
        <f>VLOOKUP(S412,'Mapa Oficinas'!$H$7:$I$16,2,FALSE)</f>
        <v>CB</v>
      </c>
      <c r="U412" t="s">
        <v>29</v>
      </c>
      <c r="V412" t="str">
        <f>VLOOKUP($R412,'Mapa Oficinas'!$A$7:$C$46,2,FALSE)</f>
        <v>CABA</v>
      </c>
      <c r="W412" t="str">
        <f>VLOOKUP($R412,'Mapa Oficinas'!$A$7:$C$46,3,FALSE)</f>
        <v>Palermo</v>
      </c>
    </row>
    <row r="413" spans="1:23" x14ac:dyDescent="0.2">
      <c r="A413" s="1">
        <v>45973</v>
      </c>
      <c r="B413" s="20">
        <f t="shared" si="12"/>
        <v>2025</v>
      </c>
      <c r="C413" s="20">
        <f t="shared" si="13"/>
        <v>11</v>
      </c>
      <c r="D413" t="s">
        <v>5151</v>
      </c>
      <c r="E413" s="49">
        <v>1</v>
      </c>
      <c r="F413" t="s">
        <v>5152</v>
      </c>
      <c r="G413" t="s">
        <v>21</v>
      </c>
      <c r="H413" t="s">
        <v>81</v>
      </c>
      <c r="I413" s="13">
        <v>65000</v>
      </c>
      <c r="J413" s="13">
        <v>58000</v>
      </c>
      <c r="K413" s="13">
        <f>IF(J413&lt;'Mapa Oficinas'!$I$21,0,IF(J413&gt;'Mapa Oficinas'!$I$20,0,1))</f>
        <v>0</v>
      </c>
      <c r="L413" t="s">
        <v>23</v>
      </c>
      <c r="M413" t="s">
        <v>23</v>
      </c>
      <c r="N413" t="s">
        <v>5153</v>
      </c>
      <c r="O413" t="s">
        <v>5154</v>
      </c>
      <c r="P413" t="s">
        <v>26</v>
      </c>
      <c r="Q413">
        <v>2</v>
      </c>
      <c r="R413" t="s">
        <v>167</v>
      </c>
      <c r="S413" t="s">
        <v>28</v>
      </c>
      <c r="T413" t="str">
        <f>VLOOKUP(S413,'Mapa Oficinas'!$H$7:$I$16,2,FALSE)</f>
        <v>CB</v>
      </c>
      <c r="U413" t="s">
        <v>29</v>
      </c>
      <c r="V413" t="str">
        <f>VLOOKUP($R413,'Mapa Oficinas'!$A$7:$C$46,2,FALSE)</f>
        <v>Interior - Santa Fe</v>
      </c>
      <c r="W413" t="str">
        <f>VLOOKUP($R413,'Mapa Oficinas'!$A$7:$C$46,3,FALSE)</f>
        <v>Capital Santa Fe</v>
      </c>
    </row>
    <row r="414" spans="1:23" x14ac:dyDescent="0.2">
      <c r="A414" s="1">
        <v>46107</v>
      </c>
      <c r="B414" s="20">
        <f t="shared" si="12"/>
        <v>2026</v>
      </c>
      <c r="C414" s="20">
        <f t="shared" si="13"/>
        <v>3</v>
      </c>
      <c r="D414" t="s">
        <v>7422</v>
      </c>
      <c r="E414" s="49">
        <v>1</v>
      </c>
      <c r="F414" t="s">
        <v>132</v>
      </c>
      <c r="G414" t="s">
        <v>21</v>
      </c>
      <c r="H414" t="s">
        <v>37</v>
      </c>
      <c r="I414" s="13">
        <v>67000</v>
      </c>
      <c r="J414" s="13">
        <v>58000</v>
      </c>
      <c r="K414" s="13">
        <f>IF(J414&lt;'Mapa Oficinas'!$I$21,0,IF(J414&gt;'Mapa Oficinas'!$I$20,0,1))</f>
        <v>0</v>
      </c>
      <c r="L414" t="s">
        <v>23</v>
      </c>
      <c r="M414" t="s">
        <v>23</v>
      </c>
      <c r="N414" t="s">
        <v>133</v>
      </c>
      <c r="O414" t="s">
        <v>134</v>
      </c>
      <c r="P414" t="s">
        <v>2934</v>
      </c>
      <c r="Q414">
        <v>2</v>
      </c>
      <c r="R414" t="s">
        <v>135</v>
      </c>
      <c r="S414" t="s">
        <v>28</v>
      </c>
      <c r="T414" t="str">
        <f>VLOOKUP(S414,'Mapa Oficinas'!$H$7:$I$16,2,FALSE)</f>
        <v>CB</v>
      </c>
      <c r="U414" t="s">
        <v>29</v>
      </c>
      <c r="V414" t="str">
        <f>VLOOKUP($R414,'Mapa Oficinas'!$A$7:$C$46,2,FALSE)</f>
        <v>CABA</v>
      </c>
      <c r="W414" t="str">
        <f>VLOOKUP($R414,'Mapa Oficinas'!$A$7:$C$46,3,FALSE)</f>
        <v>Recoleta</v>
      </c>
    </row>
    <row r="415" spans="1:23" x14ac:dyDescent="0.2">
      <c r="A415" s="1">
        <v>45974</v>
      </c>
      <c r="B415" s="20">
        <f t="shared" si="12"/>
        <v>2025</v>
      </c>
      <c r="C415" s="20">
        <f t="shared" si="13"/>
        <v>11</v>
      </c>
      <c r="D415" t="s">
        <v>5190</v>
      </c>
      <c r="E415" s="49">
        <v>1</v>
      </c>
      <c r="F415" t="s">
        <v>5191</v>
      </c>
      <c r="G415" t="s">
        <v>21</v>
      </c>
      <c r="H415" t="s">
        <v>90</v>
      </c>
      <c r="I415" s="13">
        <v>53280</v>
      </c>
      <c r="J415" s="13">
        <v>58336</v>
      </c>
      <c r="K415" s="13">
        <f>IF(J415&lt;'Mapa Oficinas'!$I$21,0,IF(J415&gt;'Mapa Oficinas'!$I$20,0,1))</f>
        <v>0</v>
      </c>
      <c r="L415" t="s">
        <v>23</v>
      </c>
      <c r="M415" t="s">
        <v>23</v>
      </c>
      <c r="N415" t="s">
        <v>5192</v>
      </c>
      <c r="O415" t="s">
        <v>552</v>
      </c>
      <c r="P415" t="s">
        <v>45</v>
      </c>
      <c r="Q415">
        <v>2</v>
      </c>
      <c r="R415" t="s">
        <v>62</v>
      </c>
      <c r="S415" t="s">
        <v>28</v>
      </c>
      <c r="T415" t="str">
        <f>VLOOKUP(S415,'Mapa Oficinas'!$H$7:$I$16,2,FALSE)</f>
        <v>CB</v>
      </c>
      <c r="U415" t="s">
        <v>29</v>
      </c>
      <c r="V415" t="str">
        <f>VLOOKUP($R415,'Mapa Oficinas'!$A$7:$C$46,2,FALSE)</f>
        <v>CABA</v>
      </c>
      <c r="W415" t="str">
        <f>VLOOKUP($R415,'Mapa Oficinas'!$A$7:$C$46,3,FALSE)</f>
        <v>Villa Urquiza</v>
      </c>
    </row>
    <row r="416" spans="1:23" x14ac:dyDescent="0.2">
      <c r="A416" s="1">
        <v>45991</v>
      </c>
      <c r="B416" s="20">
        <f t="shared" si="12"/>
        <v>2025</v>
      </c>
      <c r="C416" s="20">
        <f t="shared" si="13"/>
        <v>11</v>
      </c>
      <c r="D416" t="s">
        <v>5442</v>
      </c>
      <c r="E416" s="49">
        <v>1</v>
      </c>
      <c r="F416" t="s">
        <v>5443</v>
      </c>
      <c r="G416" t="s">
        <v>21</v>
      </c>
      <c r="H416" t="s">
        <v>37</v>
      </c>
      <c r="I416" s="13">
        <v>60000</v>
      </c>
      <c r="J416" s="13">
        <v>58445</v>
      </c>
      <c r="K416" s="13">
        <f>IF(J416&lt;'Mapa Oficinas'!$I$21,0,IF(J416&gt;'Mapa Oficinas'!$I$20,0,1))</f>
        <v>0</v>
      </c>
      <c r="L416" t="s">
        <v>23</v>
      </c>
      <c r="M416" t="s">
        <v>23</v>
      </c>
      <c r="N416" t="s">
        <v>5444</v>
      </c>
      <c r="O416" t="s">
        <v>5445</v>
      </c>
      <c r="P416" t="s">
        <v>26</v>
      </c>
      <c r="Q416">
        <v>2</v>
      </c>
      <c r="R416" t="s">
        <v>27</v>
      </c>
      <c r="S416" t="s">
        <v>28</v>
      </c>
      <c r="T416" t="str">
        <f>VLOOKUP(S416,'Mapa Oficinas'!$H$7:$I$16,2,FALSE)</f>
        <v>CB</v>
      </c>
      <c r="U416" t="s">
        <v>29</v>
      </c>
      <c r="V416" t="str">
        <f>VLOOKUP($R416,'Mapa Oficinas'!$A$7:$C$46,2,FALSE)</f>
        <v>Zona Norte (GBA)</v>
      </c>
      <c r="W416" t="str">
        <f>VLOOKUP($R416,'Mapa Oficinas'!$A$7:$C$46,3,FALSE)</f>
        <v>Tigre</v>
      </c>
    </row>
    <row r="417" spans="1:23" x14ac:dyDescent="0.2">
      <c r="A417" s="1">
        <v>45992</v>
      </c>
      <c r="B417" s="20">
        <f t="shared" si="12"/>
        <v>2025</v>
      </c>
      <c r="C417" s="20">
        <f t="shared" si="13"/>
        <v>12</v>
      </c>
      <c r="D417" t="s">
        <v>5496</v>
      </c>
      <c r="E417" s="49">
        <v>1</v>
      </c>
      <c r="F417" t="s">
        <v>5497</v>
      </c>
      <c r="G417" t="s">
        <v>21</v>
      </c>
      <c r="H417" t="s">
        <v>37</v>
      </c>
      <c r="I417" s="13">
        <v>59000</v>
      </c>
      <c r="J417" s="13">
        <v>59000</v>
      </c>
      <c r="K417" s="13">
        <f>IF(J417&lt;'Mapa Oficinas'!$I$21,0,IF(J417&gt;'Mapa Oficinas'!$I$20,0,1))</f>
        <v>0</v>
      </c>
      <c r="L417" t="s">
        <v>23</v>
      </c>
      <c r="M417" t="s">
        <v>23</v>
      </c>
      <c r="O417" t="s">
        <v>102</v>
      </c>
      <c r="P417" t="s">
        <v>61</v>
      </c>
      <c r="Q417">
        <v>1</v>
      </c>
      <c r="R417" t="s">
        <v>103</v>
      </c>
      <c r="S417" t="s">
        <v>152</v>
      </c>
      <c r="T417" t="str">
        <f>VLOOKUP(S417,'Mapa Oficinas'!$H$7:$I$16,2,FALSE)</f>
        <v>Otra Red Captación</v>
      </c>
      <c r="U417" t="s">
        <v>29</v>
      </c>
      <c r="V417" t="str">
        <f>VLOOKUP($R417,'Mapa Oficinas'!$A$7:$C$46,2,FALSE)</f>
        <v>Zona Sur (GBA)</v>
      </c>
      <c r="W417" t="str">
        <f>VLOOKUP($R417,'Mapa Oficinas'!$A$7:$C$46,3,FALSE)</f>
        <v>La Plata</v>
      </c>
    </row>
    <row r="418" spans="1:23" x14ac:dyDescent="0.2">
      <c r="A418" s="1">
        <v>45877</v>
      </c>
      <c r="B418" s="20">
        <f t="shared" si="12"/>
        <v>2025</v>
      </c>
      <c r="C418" s="20">
        <f t="shared" si="13"/>
        <v>8</v>
      </c>
      <c r="D418" t="s">
        <v>3471</v>
      </c>
      <c r="E418" s="49">
        <v>1</v>
      </c>
      <c r="F418" t="s">
        <v>3472</v>
      </c>
      <c r="G418" t="s">
        <v>21</v>
      </c>
      <c r="H418" t="s">
        <v>100</v>
      </c>
      <c r="I418" s="13">
        <v>59000</v>
      </c>
      <c r="J418" s="13">
        <v>59000</v>
      </c>
      <c r="K418" s="13">
        <f>IF(J418&lt;'Mapa Oficinas'!$I$21,0,IF(J418&gt;'Mapa Oficinas'!$I$20,0,1))</f>
        <v>0</v>
      </c>
      <c r="L418" t="s">
        <v>23</v>
      </c>
      <c r="M418" t="s">
        <v>23</v>
      </c>
      <c r="N418" t="s">
        <v>3473</v>
      </c>
      <c r="O418" t="s">
        <v>3474</v>
      </c>
      <c r="P418" t="s">
        <v>26</v>
      </c>
      <c r="Q418">
        <v>2</v>
      </c>
      <c r="R418" t="s">
        <v>121</v>
      </c>
      <c r="S418" t="s">
        <v>79</v>
      </c>
      <c r="T418" t="str">
        <f>VLOOKUP(S418,'Mapa Oficinas'!$H$7:$I$16,2,FALSE)</f>
        <v>CB</v>
      </c>
      <c r="U418" t="s">
        <v>29</v>
      </c>
      <c r="V418" t="str">
        <f>VLOOKUP($R418,'Mapa Oficinas'!$A$7:$C$46,2,FALSE)</f>
        <v>Interior - Río Negro</v>
      </c>
      <c r="W418" t="str">
        <f>VLOOKUP($R418,'Mapa Oficinas'!$A$7:$C$46,3,FALSE)</f>
        <v>Bariloche</v>
      </c>
    </row>
    <row r="419" spans="1:23" x14ac:dyDescent="0.2">
      <c r="A419" s="1">
        <v>46009</v>
      </c>
      <c r="B419" s="20">
        <f t="shared" si="12"/>
        <v>2025</v>
      </c>
      <c r="C419" s="20">
        <f t="shared" si="13"/>
        <v>12</v>
      </c>
      <c r="D419" t="s">
        <v>5864</v>
      </c>
      <c r="E419" s="49">
        <v>1</v>
      </c>
      <c r="F419" t="s">
        <v>5865</v>
      </c>
      <c r="G419" t="s">
        <v>21</v>
      </c>
      <c r="H419" t="s">
        <v>100</v>
      </c>
      <c r="I419" s="13">
        <v>60000</v>
      </c>
      <c r="J419" s="13">
        <v>59000</v>
      </c>
      <c r="K419" s="13">
        <f>IF(J419&lt;'Mapa Oficinas'!$I$21,0,IF(J419&gt;'Mapa Oficinas'!$I$20,0,1))</f>
        <v>0</v>
      </c>
      <c r="L419" t="s">
        <v>23</v>
      </c>
      <c r="M419" t="s">
        <v>23</v>
      </c>
      <c r="N419" t="s">
        <v>5774</v>
      </c>
      <c r="O419" t="s">
        <v>2562</v>
      </c>
      <c r="P419" t="s">
        <v>26</v>
      </c>
      <c r="Q419">
        <v>2</v>
      </c>
      <c r="R419" t="s">
        <v>121</v>
      </c>
      <c r="S419" t="s">
        <v>79</v>
      </c>
      <c r="T419" t="str">
        <f>VLOOKUP(S419,'Mapa Oficinas'!$H$7:$I$16,2,FALSE)</f>
        <v>CB</v>
      </c>
      <c r="U419" t="s">
        <v>29</v>
      </c>
      <c r="V419" t="str">
        <f>VLOOKUP($R419,'Mapa Oficinas'!$A$7:$C$46,2,FALSE)</f>
        <v>Interior - Río Negro</v>
      </c>
      <c r="W419" t="str">
        <f>VLOOKUP($R419,'Mapa Oficinas'!$A$7:$C$46,3,FALSE)</f>
        <v>Bariloche</v>
      </c>
    </row>
    <row r="420" spans="1:23" x14ac:dyDescent="0.2">
      <c r="A420" s="1">
        <v>45673</v>
      </c>
      <c r="B420" s="20">
        <f t="shared" si="12"/>
        <v>2025</v>
      </c>
      <c r="C420" s="20">
        <f t="shared" si="13"/>
        <v>1</v>
      </c>
      <c r="D420" t="s">
        <v>242</v>
      </c>
      <c r="E420" s="49">
        <v>1</v>
      </c>
      <c r="F420" t="s">
        <v>243</v>
      </c>
      <c r="G420" t="s">
        <v>21</v>
      </c>
      <c r="H420" t="s">
        <v>37</v>
      </c>
      <c r="I420" s="13">
        <v>59000</v>
      </c>
      <c r="J420" s="13">
        <v>59000</v>
      </c>
      <c r="K420" s="13">
        <f>IF(J420&lt;'Mapa Oficinas'!$I$21,0,IF(J420&gt;'Mapa Oficinas'!$I$20,0,1))</f>
        <v>0</v>
      </c>
      <c r="L420" t="s">
        <v>23</v>
      </c>
      <c r="M420" t="s">
        <v>23</v>
      </c>
      <c r="N420" t="s">
        <v>244</v>
      </c>
      <c r="O420" t="s">
        <v>245</v>
      </c>
      <c r="P420" t="s">
        <v>45</v>
      </c>
      <c r="Q420">
        <v>2</v>
      </c>
      <c r="R420" t="s">
        <v>183</v>
      </c>
      <c r="S420" t="s">
        <v>200</v>
      </c>
      <c r="T420" t="str">
        <f>VLOOKUP(S420,'Mapa Oficinas'!$H$7:$I$16,2,FALSE)</f>
        <v>Otra Red Captación</v>
      </c>
      <c r="U420" t="s">
        <v>29</v>
      </c>
      <c r="V420" t="str">
        <f>VLOOKUP($R420,'Mapa Oficinas'!$A$7:$C$46,2,FALSE)</f>
        <v>Interior - Neuquén</v>
      </c>
      <c r="W420" t="str">
        <f>VLOOKUP($R420,'Mapa Oficinas'!$A$7:$C$46,3,FALSE)</f>
        <v>Capital Neuquén</v>
      </c>
    </row>
    <row r="421" spans="1:23" x14ac:dyDescent="0.2">
      <c r="A421" s="1">
        <v>45860</v>
      </c>
      <c r="B421" s="20">
        <f t="shared" si="12"/>
        <v>2025</v>
      </c>
      <c r="C421" s="20">
        <f t="shared" si="13"/>
        <v>7</v>
      </c>
      <c r="D421" t="s">
        <v>3140</v>
      </c>
      <c r="E421" s="49">
        <v>1</v>
      </c>
      <c r="F421" t="s">
        <v>3141</v>
      </c>
      <c r="G421" t="s">
        <v>21</v>
      </c>
      <c r="H421" t="s">
        <v>37</v>
      </c>
      <c r="I421" s="13">
        <v>59900</v>
      </c>
      <c r="J421" s="13">
        <v>59000</v>
      </c>
      <c r="K421" s="13">
        <f>IF(J421&lt;'Mapa Oficinas'!$I$21,0,IF(J421&gt;'Mapa Oficinas'!$I$20,0,1))</f>
        <v>0</v>
      </c>
      <c r="L421" t="s">
        <v>23</v>
      </c>
      <c r="M421" t="s">
        <v>23</v>
      </c>
      <c r="N421" t="s">
        <v>3142</v>
      </c>
      <c r="O421" t="s">
        <v>60</v>
      </c>
      <c r="P421" t="s">
        <v>45</v>
      </c>
      <c r="Q421">
        <v>2</v>
      </c>
      <c r="R421" t="s">
        <v>56</v>
      </c>
      <c r="S421" t="s">
        <v>28</v>
      </c>
      <c r="T421" t="str">
        <f>VLOOKUP(S421,'Mapa Oficinas'!$H$7:$I$16,2,FALSE)</f>
        <v>CB</v>
      </c>
      <c r="U421" t="s">
        <v>29</v>
      </c>
      <c r="V421" t="str">
        <f>VLOOKUP($R421,'Mapa Oficinas'!$A$7:$C$46,2,FALSE)</f>
        <v>Zona Norte (GBA)</v>
      </c>
      <c r="W421" t="str">
        <f>VLOOKUP($R421,'Mapa Oficinas'!$A$7:$C$46,3,FALSE)</f>
        <v>Vicente López</v>
      </c>
    </row>
    <row r="422" spans="1:23" x14ac:dyDescent="0.2">
      <c r="A422" s="1">
        <v>45873</v>
      </c>
      <c r="B422" s="20">
        <f t="shared" si="12"/>
        <v>2025</v>
      </c>
      <c r="C422" s="20">
        <f t="shared" si="13"/>
        <v>8</v>
      </c>
      <c r="D422" t="s">
        <v>3386</v>
      </c>
      <c r="E422" s="49">
        <v>1</v>
      </c>
      <c r="F422" t="s">
        <v>3387</v>
      </c>
      <c r="G422" t="s">
        <v>21</v>
      </c>
      <c r="H422" t="s">
        <v>37</v>
      </c>
      <c r="I422" s="13">
        <v>48000</v>
      </c>
      <c r="J422" s="13">
        <v>59000</v>
      </c>
      <c r="K422" s="13">
        <f>IF(J422&lt;'Mapa Oficinas'!$I$21,0,IF(J422&gt;'Mapa Oficinas'!$I$20,0,1))</f>
        <v>0</v>
      </c>
      <c r="L422" t="s">
        <v>23</v>
      </c>
      <c r="M422" t="s">
        <v>23</v>
      </c>
      <c r="N422" t="s">
        <v>3388</v>
      </c>
      <c r="O422" t="s">
        <v>3389</v>
      </c>
      <c r="P422" t="s">
        <v>34</v>
      </c>
      <c r="Q422">
        <v>2</v>
      </c>
      <c r="R422" t="s">
        <v>151</v>
      </c>
      <c r="S422" t="s">
        <v>28</v>
      </c>
      <c r="T422" t="str">
        <f>VLOOKUP(S422,'Mapa Oficinas'!$H$7:$I$16,2,FALSE)</f>
        <v>CB</v>
      </c>
      <c r="U422" t="s">
        <v>29</v>
      </c>
      <c r="V422" t="str">
        <f>VLOOKUP($R422,'Mapa Oficinas'!$A$7:$C$46,2,FALSE)</f>
        <v>Interior - Mendoza</v>
      </c>
      <c r="W422" t="str">
        <f>VLOOKUP($R422,'Mapa Oficinas'!$A$7:$C$46,3,FALSE)</f>
        <v>Capital Mendoza</v>
      </c>
    </row>
    <row r="423" spans="1:23" x14ac:dyDescent="0.2">
      <c r="A423" s="1">
        <v>46057</v>
      </c>
      <c r="B423" s="20">
        <f t="shared" si="12"/>
        <v>2026</v>
      </c>
      <c r="C423" s="20">
        <f t="shared" si="13"/>
        <v>2</v>
      </c>
      <c r="D423" t="s">
        <v>6517</v>
      </c>
      <c r="E423" s="49">
        <v>1</v>
      </c>
      <c r="F423" t="s">
        <v>6518</v>
      </c>
      <c r="G423" t="s">
        <v>21</v>
      </c>
      <c r="H423" t="s">
        <v>37</v>
      </c>
      <c r="I423" s="13">
        <v>61000</v>
      </c>
      <c r="J423" s="13">
        <v>59000</v>
      </c>
      <c r="K423" s="13">
        <f>IF(J423&lt;'Mapa Oficinas'!$I$21,0,IF(J423&gt;'Mapa Oficinas'!$I$20,0,1))</f>
        <v>0</v>
      </c>
      <c r="L423" t="s">
        <v>23</v>
      </c>
      <c r="M423" t="s">
        <v>23</v>
      </c>
      <c r="N423" t="s">
        <v>6519</v>
      </c>
      <c r="O423" t="s">
        <v>1774</v>
      </c>
      <c r="P423" t="s">
        <v>45</v>
      </c>
      <c r="Q423">
        <v>2</v>
      </c>
      <c r="R423" t="s">
        <v>670</v>
      </c>
      <c r="S423" t="s">
        <v>28</v>
      </c>
      <c r="T423" t="str">
        <f>VLOOKUP(S423,'Mapa Oficinas'!$H$7:$I$16,2,FALSE)</f>
        <v>CB</v>
      </c>
      <c r="U423" t="s">
        <v>29</v>
      </c>
      <c r="V423" t="str">
        <f>VLOOKUP($R423,'Mapa Oficinas'!$A$7:$C$46,2,FALSE)</f>
        <v>CABA</v>
      </c>
      <c r="W423" t="str">
        <f>VLOOKUP($R423,'Mapa Oficinas'!$A$7:$C$46,3,FALSE)</f>
        <v>Recoleta</v>
      </c>
    </row>
    <row r="424" spans="1:23" x14ac:dyDescent="0.2">
      <c r="A424" s="1">
        <v>46101</v>
      </c>
      <c r="B424" s="20">
        <f t="shared" si="12"/>
        <v>2026</v>
      </c>
      <c r="C424" s="20">
        <f t="shared" si="13"/>
        <v>3</v>
      </c>
      <c r="D424" t="s">
        <v>7339</v>
      </c>
      <c r="E424" s="49">
        <v>1</v>
      </c>
      <c r="F424" t="s">
        <v>5070</v>
      </c>
      <c r="G424" t="s">
        <v>21</v>
      </c>
      <c r="H424" t="s">
        <v>81</v>
      </c>
      <c r="I424" s="13">
        <v>65000</v>
      </c>
      <c r="J424" s="13">
        <v>59000</v>
      </c>
      <c r="K424" s="13">
        <f>IF(J424&lt;'Mapa Oficinas'!$I$21,0,IF(J424&gt;'Mapa Oficinas'!$I$20,0,1))</f>
        <v>0</v>
      </c>
      <c r="L424" t="s">
        <v>23</v>
      </c>
      <c r="M424" t="s">
        <v>23</v>
      </c>
      <c r="N424" t="s">
        <v>5071</v>
      </c>
      <c r="O424" t="s">
        <v>1105</v>
      </c>
      <c r="P424" t="s">
        <v>45</v>
      </c>
      <c r="Q424">
        <v>2</v>
      </c>
      <c r="R424" t="s">
        <v>823</v>
      </c>
      <c r="S424" t="s">
        <v>28</v>
      </c>
      <c r="T424" t="str">
        <f>VLOOKUP(S424,'Mapa Oficinas'!$H$7:$I$16,2,FALSE)</f>
        <v>CB</v>
      </c>
      <c r="U424" t="s">
        <v>29</v>
      </c>
      <c r="V424" t="str">
        <f>VLOOKUP($R424,'Mapa Oficinas'!$A$7:$C$46,2,FALSE)</f>
        <v>Zona Norte (GBA)</v>
      </c>
      <c r="W424" t="str">
        <f>VLOOKUP($R424,'Mapa Oficinas'!$A$7:$C$46,3,FALSE)</f>
        <v>Pilar</v>
      </c>
    </row>
    <row r="425" spans="1:23" x14ac:dyDescent="0.2">
      <c r="A425" s="1">
        <v>45863</v>
      </c>
      <c r="B425" s="20">
        <f t="shared" si="12"/>
        <v>2025</v>
      </c>
      <c r="C425" s="20">
        <f t="shared" si="13"/>
        <v>7</v>
      </c>
      <c r="D425">
        <v>24072025</v>
      </c>
      <c r="E425" s="49">
        <v>1</v>
      </c>
      <c r="F425" t="s">
        <v>3217</v>
      </c>
      <c r="G425" t="s">
        <v>21</v>
      </c>
      <c r="H425" t="s">
        <v>100</v>
      </c>
      <c r="I425" s="13">
        <v>60000</v>
      </c>
      <c r="J425" s="13">
        <v>60000</v>
      </c>
      <c r="K425" s="13">
        <f>IF(J425&lt;'Mapa Oficinas'!$I$21,0,IF(J425&gt;'Mapa Oficinas'!$I$20,0,1))</f>
        <v>0</v>
      </c>
      <c r="L425" t="s">
        <v>23</v>
      </c>
      <c r="M425" t="s">
        <v>23</v>
      </c>
      <c r="O425" t="s">
        <v>120</v>
      </c>
      <c r="P425" t="s">
        <v>61</v>
      </c>
      <c r="Q425">
        <v>1</v>
      </c>
      <c r="R425" t="s">
        <v>121</v>
      </c>
      <c r="S425" t="s">
        <v>122</v>
      </c>
      <c r="T425" t="str">
        <f>VLOOKUP(S425,'Mapa Oficinas'!$H$7:$I$16,2,FALSE)</f>
        <v>Otra Red Búsqueda</v>
      </c>
      <c r="U425" t="s">
        <v>29</v>
      </c>
      <c r="V425" t="str">
        <f>VLOOKUP($R425,'Mapa Oficinas'!$A$7:$C$46,2,FALSE)</f>
        <v>Interior - Río Negro</v>
      </c>
      <c r="W425" t="str">
        <f>VLOOKUP($R425,'Mapa Oficinas'!$A$7:$C$46,3,FALSE)</f>
        <v>Bariloche</v>
      </c>
    </row>
    <row r="426" spans="1:23" x14ac:dyDescent="0.2">
      <c r="A426" s="1">
        <v>46003</v>
      </c>
      <c r="B426" s="20">
        <f t="shared" si="12"/>
        <v>2025</v>
      </c>
      <c r="C426" s="20">
        <f t="shared" si="13"/>
        <v>12</v>
      </c>
      <c r="D426">
        <v>12122025</v>
      </c>
      <c r="E426" s="49">
        <v>1</v>
      </c>
      <c r="F426" t="s">
        <v>5738</v>
      </c>
      <c r="G426" t="s">
        <v>21</v>
      </c>
      <c r="H426" t="s">
        <v>100</v>
      </c>
      <c r="I426" s="13">
        <v>60000</v>
      </c>
      <c r="J426" s="13">
        <v>60000</v>
      </c>
      <c r="K426" s="13">
        <f>IF(J426&lt;'Mapa Oficinas'!$I$21,0,IF(J426&gt;'Mapa Oficinas'!$I$20,0,1))</f>
        <v>0</v>
      </c>
      <c r="L426" t="s">
        <v>23</v>
      </c>
      <c r="M426" t="s">
        <v>23</v>
      </c>
      <c r="O426" t="s">
        <v>120</v>
      </c>
      <c r="P426" t="s">
        <v>45</v>
      </c>
      <c r="Q426">
        <v>1</v>
      </c>
      <c r="R426" t="s">
        <v>121</v>
      </c>
      <c r="S426" t="s">
        <v>122</v>
      </c>
      <c r="T426" t="str">
        <f>VLOOKUP(S426,'Mapa Oficinas'!$H$7:$I$16,2,FALSE)</f>
        <v>Otra Red Búsqueda</v>
      </c>
      <c r="U426" t="s">
        <v>29</v>
      </c>
      <c r="V426" t="str">
        <f>VLOOKUP($R426,'Mapa Oficinas'!$A$7:$C$46,2,FALSE)</f>
        <v>Interior - Río Negro</v>
      </c>
      <c r="W426" t="str">
        <f>VLOOKUP($R426,'Mapa Oficinas'!$A$7:$C$46,3,FALSE)</f>
        <v>Bariloche</v>
      </c>
    </row>
    <row r="427" spans="1:23" x14ac:dyDescent="0.2">
      <c r="A427" s="1">
        <v>46003</v>
      </c>
      <c r="B427" s="20">
        <f t="shared" si="12"/>
        <v>2025</v>
      </c>
      <c r="C427" s="20">
        <f t="shared" si="13"/>
        <v>12</v>
      </c>
      <c r="D427" t="s">
        <v>5739</v>
      </c>
      <c r="E427" s="49">
        <v>1</v>
      </c>
      <c r="F427" t="s">
        <v>5740</v>
      </c>
      <c r="G427" t="s">
        <v>21</v>
      </c>
      <c r="H427" t="s">
        <v>81</v>
      </c>
      <c r="I427" s="13">
        <v>60000</v>
      </c>
      <c r="J427" s="13">
        <v>60000</v>
      </c>
      <c r="K427" s="13">
        <f>IF(J427&lt;'Mapa Oficinas'!$I$21,0,IF(J427&gt;'Mapa Oficinas'!$I$20,0,1))</f>
        <v>0</v>
      </c>
      <c r="L427" t="s">
        <v>23</v>
      </c>
      <c r="M427" t="s">
        <v>23</v>
      </c>
      <c r="O427" t="s">
        <v>577</v>
      </c>
      <c r="P427" t="s">
        <v>45</v>
      </c>
      <c r="Q427">
        <v>1</v>
      </c>
      <c r="R427" t="s">
        <v>151</v>
      </c>
      <c r="S427" t="s">
        <v>122</v>
      </c>
      <c r="T427" t="str">
        <f>VLOOKUP(S427,'Mapa Oficinas'!$H$7:$I$16,2,FALSE)</f>
        <v>Otra Red Búsqueda</v>
      </c>
      <c r="U427" t="s">
        <v>29</v>
      </c>
      <c r="V427" t="str">
        <f>VLOOKUP($R427,'Mapa Oficinas'!$A$7:$C$46,2,FALSE)</f>
        <v>Interior - Mendoza</v>
      </c>
      <c r="W427" t="str">
        <f>VLOOKUP($R427,'Mapa Oficinas'!$A$7:$C$46,3,FALSE)</f>
        <v>Capital Mendoza</v>
      </c>
    </row>
    <row r="428" spans="1:23" x14ac:dyDescent="0.2">
      <c r="A428" s="1">
        <v>46099</v>
      </c>
      <c r="B428" s="20">
        <f t="shared" si="12"/>
        <v>2026</v>
      </c>
      <c r="C428" s="20">
        <f t="shared" si="13"/>
        <v>3</v>
      </c>
      <c r="E428" s="49">
        <v>1</v>
      </c>
      <c r="F428" t="s">
        <v>7264</v>
      </c>
      <c r="G428" t="s">
        <v>21</v>
      </c>
      <c r="H428" t="s">
        <v>81</v>
      </c>
      <c r="I428" s="13">
        <v>60000</v>
      </c>
      <c r="J428" s="13">
        <v>60000</v>
      </c>
      <c r="K428" s="13">
        <f>IF(J428&lt;'Mapa Oficinas'!$I$21,0,IF(J428&gt;'Mapa Oficinas'!$I$20,0,1))</f>
        <v>0</v>
      </c>
      <c r="L428" t="s">
        <v>23</v>
      </c>
      <c r="M428" t="s">
        <v>23</v>
      </c>
      <c r="O428" t="s">
        <v>2797</v>
      </c>
      <c r="P428" t="s">
        <v>34</v>
      </c>
      <c r="Q428">
        <v>1</v>
      </c>
      <c r="R428" t="s">
        <v>130</v>
      </c>
      <c r="S428" t="s">
        <v>122</v>
      </c>
      <c r="T428" t="str">
        <f>VLOOKUP(S428,'Mapa Oficinas'!$H$7:$I$16,2,FALSE)</f>
        <v>Otra Red Búsqueda</v>
      </c>
      <c r="U428" t="s">
        <v>29</v>
      </c>
      <c r="V428" t="str">
        <f>VLOOKUP($R428,'Mapa Oficinas'!$A$7:$C$46,2,FALSE)</f>
        <v>Interior - Neuquén</v>
      </c>
      <c r="W428" t="str">
        <f>VLOOKUP($R428,'Mapa Oficinas'!$A$7:$C$46,3,FALSE)</f>
        <v>San Martín de los Andes</v>
      </c>
    </row>
    <row r="429" spans="1:23" x14ac:dyDescent="0.2">
      <c r="A429" s="1">
        <v>45925</v>
      </c>
      <c r="B429" s="20">
        <f t="shared" si="12"/>
        <v>2025</v>
      </c>
      <c r="C429" s="20">
        <f t="shared" si="13"/>
        <v>9</v>
      </c>
      <c r="D429" t="s">
        <v>4342</v>
      </c>
      <c r="E429" s="49">
        <v>1</v>
      </c>
      <c r="F429" t="s">
        <v>4343</v>
      </c>
      <c r="G429" t="s">
        <v>21</v>
      </c>
      <c r="H429" t="s">
        <v>81</v>
      </c>
      <c r="I429" s="13">
        <v>68000</v>
      </c>
      <c r="J429" s="13">
        <v>60000</v>
      </c>
      <c r="K429" s="13">
        <f>IF(J429&lt;'Mapa Oficinas'!$I$21,0,IF(J429&gt;'Mapa Oficinas'!$I$20,0,1))</f>
        <v>0</v>
      </c>
      <c r="L429" t="s">
        <v>23</v>
      </c>
      <c r="M429" t="s">
        <v>23</v>
      </c>
      <c r="N429" t="s">
        <v>4344</v>
      </c>
      <c r="O429" t="s">
        <v>223</v>
      </c>
      <c r="P429" t="s">
        <v>34</v>
      </c>
      <c r="Q429">
        <v>1</v>
      </c>
      <c r="R429" t="s">
        <v>167</v>
      </c>
      <c r="S429" t="s">
        <v>152</v>
      </c>
      <c r="T429" t="str">
        <f>VLOOKUP(S429,'Mapa Oficinas'!$H$7:$I$16,2,FALSE)</f>
        <v>Otra Red Captación</v>
      </c>
      <c r="U429" t="s">
        <v>29</v>
      </c>
      <c r="V429" t="str">
        <f>VLOOKUP($R429,'Mapa Oficinas'!$A$7:$C$46,2,FALSE)</f>
        <v>Interior - Santa Fe</v>
      </c>
      <c r="W429" t="str">
        <f>VLOOKUP($R429,'Mapa Oficinas'!$A$7:$C$46,3,FALSE)</f>
        <v>Capital Santa Fe</v>
      </c>
    </row>
    <row r="430" spans="1:23" x14ac:dyDescent="0.2">
      <c r="A430" s="1">
        <v>45992</v>
      </c>
      <c r="B430" s="20">
        <f t="shared" si="12"/>
        <v>2025</v>
      </c>
      <c r="C430" s="20">
        <f t="shared" si="13"/>
        <v>12</v>
      </c>
      <c r="D430" t="s">
        <v>5498</v>
      </c>
      <c r="E430" s="49">
        <v>1</v>
      </c>
      <c r="F430" t="s">
        <v>5499</v>
      </c>
      <c r="G430" t="s">
        <v>21</v>
      </c>
      <c r="H430" t="s">
        <v>37</v>
      </c>
      <c r="I430" s="13">
        <v>65000</v>
      </c>
      <c r="J430" s="13">
        <v>60000</v>
      </c>
      <c r="K430" s="13">
        <f>IF(J430&lt;'Mapa Oficinas'!$I$21,0,IF(J430&gt;'Mapa Oficinas'!$I$20,0,1))</f>
        <v>0</v>
      </c>
      <c r="L430" t="s">
        <v>23</v>
      </c>
      <c r="M430" t="s">
        <v>23</v>
      </c>
      <c r="N430" t="s">
        <v>5500</v>
      </c>
      <c r="O430" t="s">
        <v>577</v>
      </c>
      <c r="P430" t="s">
        <v>45</v>
      </c>
      <c r="Q430">
        <v>1</v>
      </c>
      <c r="R430" t="s">
        <v>151</v>
      </c>
      <c r="S430" t="s">
        <v>152</v>
      </c>
      <c r="T430" t="str">
        <f>VLOOKUP(S430,'Mapa Oficinas'!$H$7:$I$16,2,FALSE)</f>
        <v>Otra Red Captación</v>
      </c>
      <c r="U430" t="s">
        <v>29</v>
      </c>
      <c r="V430" t="str">
        <f>VLOOKUP($R430,'Mapa Oficinas'!$A$7:$C$46,2,FALSE)</f>
        <v>Interior - Mendoza</v>
      </c>
      <c r="W430" t="str">
        <f>VLOOKUP($R430,'Mapa Oficinas'!$A$7:$C$46,3,FALSE)</f>
        <v>Capital Mendoza</v>
      </c>
    </row>
    <row r="431" spans="1:23" x14ac:dyDescent="0.2">
      <c r="A431" s="1">
        <v>46108</v>
      </c>
      <c r="B431" s="20">
        <f t="shared" si="12"/>
        <v>2026</v>
      </c>
      <c r="C431" s="20">
        <f t="shared" si="13"/>
        <v>3</v>
      </c>
      <c r="D431" t="s">
        <v>7456</v>
      </c>
      <c r="E431" s="49">
        <v>1</v>
      </c>
      <c r="F431" t="s">
        <v>7457</v>
      </c>
      <c r="G431" t="s">
        <v>21</v>
      </c>
      <c r="H431" t="s">
        <v>81</v>
      </c>
      <c r="I431" s="13">
        <v>75000</v>
      </c>
      <c r="J431" s="13">
        <v>60000</v>
      </c>
      <c r="K431" s="13">
        <f>IF(J431&lt;'Mapa Oficinas'!$I$21,0,IF(J431&gt;'Mapa Oficinas'!$I$20,0,1))</f>
        <v>0</v>
      </c>
      <c r="L431" t="s">
        <v>23</v>
      </c>
      <c r="M431" t="s">
        <v>23</v>
      </c>
      <c r="N431" t="s">
        <v>7458</v>
      </c>
      <c r="O431" t="s">
        <v>7459</v>
      </c>
      <c r="P431" t="s">
        <v>2681</v>
      </c>
      <c r="Q431">
        <v>1</v>
      </c>
      <c r="R431" t="s">
        <v>2003</v>
      </c>
      <c r="S431" t="s">
        <v>152</v>
      </c>
      <c r="T431" t="str">
        <f>VLOOKUP(S431,'Mapa Oficinas'!$H$7:$I$16,2,FALSE)</f>
        <v>Otra Red Captación</v>
      </c>
      <c r="U431" t="s">
        <v>29</v>
      </c>
      <c r="V431" t="str">
        <f>VLOOKUP($R431,'Mapa Oficinas'!$A$7:$C$46,2,FALSE)</f>
        <v>Interior - Mendoza</v>
      </c>
      <c r="W431" t="str">
        <f>VLOOKUP($R431,'Mapa Oficinas'!$A$7:$C$46,3,FALSE)</f>
        <v>San Rafael</v>
      </c>
    </row>
    <row r="432" spans="1:23" x14ac:dyDescent="0.2">
      <c r="A432" s="1">
        <v>45818</v>
      </c>
      <c r="B432" s="20">
        <f t="shared" si="12"/>
        <v>2025</v>
      </c>
      <c r="C432" s="20">
        <f t="shared" si="13"/>
        <v>6</v>
      </c>
      <c r="D432" t="s">
        <v>2400</v>
      </c>
      <c r="E432" s="49">
        <v>1</v>
      </c>
      <c r="F432" t="s">
        <v>2401</v>
      </c>
      <c r="G432" t="s">
        <v>21</v>
      </c>
      <c r="H432" t="s">
        <v>76</v>
      </c>
      <c r="I432" s="13">
        <v>65000</v>
      </c>
      <c r="J432" s="13">
        <v>60000</v>
      </c>
      <c r="K432" s="13">
        <f>IF(J432&lt;'Mapa Oficinas'!$I$21,0,IF(J432&gt;'Mapa Oficinas'!$I$20,0,1))</f>
        <v>0</v>
      </c>
      <c r="L432" t="s">
        <v>23</v>
      </c>
      <c r="M432" t="s">
        <v>23</v>
      </c>
      <c r="N432" t="s">
        <v>2402</v>
      </c>
      <c r="O432" t="s">
        <v>223</v>
      </c>
      <c r="P432" t="s">
        <v>34</v>
      </c>
      <c r="Q432">
        <v>2</v>
      </c>
      <c r="R432" t="s">
        <v>167</v>
      </c>
      <c r="S432" t="s">
        <v>79</v>
      </c>
      <c r="T432" t="str">
        <f>VLOOKUP(S432,'Mapa Oficinas'!$H$7:$I$16,2,FALSE)</f>
        <v>CB</v>
      </c>
      <c r="U432" t="s">
        <v>29</v>
      </c>
      <c r="V432" t="str">
        <f>VLOOKUP($R432,'Mapa Oficinas'!$A$7:$C$46,2,FALSE)</f>
        <v>Interior - Santa Fe</v>
      </c>
      <c r="W432" t="str">
        <f>VLOOKUP($R432,'Mapa Oficinas'!$A$7:$C$46,3,FALSE)</f>
        <v>Capital Santa Fe</v>
      </c>
    </row>
    <row r="433" spans="1:23" x14ac:dyDescent="0.2">
      <c r="A433" s="1">
        <v>45867</v>
      </c>
      <c r="B433" s="20">
        <f t="shared" si="12"/>
        <v>2025</v>
      </c>
      <c r="C433" s="20">
        <f t="shared" si="13"/>
        <v>7</v>
      </c>
      <c r="D433" t="s">
        <v>3271</v>
      </c>
      <c r="E433" s="49">
        <v>1</v>
      </c>
      <c r="F433" t="s">
        <v>3272</v>
      </c>
      <c r="G433" t="s">
        <v>21</v>
      </c>
      <c r="H433" t="s">
        <v>70</v>
      </c>
      <c r="I433" s="13">
        <v>63000</v>
      </c>
      <c r="J433" s="13">
        <v>60000</v>
      </c>
      <c r="K433" s="13">
        <f>IF(J433&lt;'Mapa Oficinas'!$I$21,0,IF(J433&gt;'Mapa Oficinas'!$I$20,0,1))</f>
        <v>0</v>
      </c>
      <c r="L433" t="s">
        <v>23</v>
      </c>
      <c r="M433" t="s">
        <v>23</v>
      </c>
      <c r="N433" t="s">
        <v>3273</v>
      </c>
      <c r="O433" t="s">
        <v>1116</v>
      </c>
      <c r="P433" t="s">
        <v>45</v>
      </c>
      <c r="Q433">
        <v>2</v>
      </c>
      <c r="R433" t="s">
        <v>73</v>
      </c>
      <c r="S433" t="s">
        <v>79</v>
      </c>
      <c r="T433" t="str">
        <f>VLOOKUP(S433,'Mapa Oficinas'!$H$7:$I$16,2,FALSE)</f>
        <v>CB</v>
      </c>
      <c r="U433" t="s">
        <v>29</v>
      </c>
      <c r="V433" t="str">
        <f>VLOOKUP($R433,'Mapa Oficinas'!$A$7:$C$46,2,FALSE)</f>
        <v>Interior - Salta</v>
      </c>
      <c r="W433" t="str">
        <f>VLOOKUP($R433,'Mapa Oficinas'!$A$7:$C$46,3,FALSE)</f>
        <v>San Lorenzo Chico</v>
      </c>
    </row>
    <row r="434" spans="1:23" x14ac:dyDescent="0.2">
      <c r="A434" s="1">
        <v>45868</v>
      </c>
      <c r="B434" s="20">
        <f t="shared" si="12"/>
        <v>2025</v>
      </c>
      <c r="C434" s="20">
        <f t="shared" si="13"/>
        <v>7</v>
      </c>
      <c r="D434" t="s">
        <v>3315</v>
      </c>
      <c r="E434" s="49">
        <v>1</v>
      </c>
      <c r="F434" t="s">
        <v>3316</v>
      </c>
      <c r="G434" t="s">
        <v>21</v>
      </c>
      <c r="H434" t="s">
        <v>37</v>
      </c>
      <c r="I434" s="13">
        <v>63000</v>
      </c>
      <c r="J434" s="13">
        <v>60000</v>
      </c>
      <c r="K434" s="13">
        <f>IF(J434&lt;'Mapa Oficinas'!$I$21,0,IF(J434&gt;'Mapa Oficinas'!$I$20,0,1))</f>
        <v>0</v>
      </c>
      <c r="L434" t="s">
        <v>23</v>
      </c>
      <c r="M434" t="s">
        <v>23</v>
      </c>
      <c r="N434" t="s">
        <v>3317</v>
      </c>
      <c r="O434" t="s">
        <v>282</v>
      </c>
      <c r="P434" t="s">
        <v>34</v>
      </c>
      <c r="Q434">
        <v>2</v>
      </c>
      <c r="R434" t="s">
        <v>73</v>
      </c>
      <c r="S434" t="s">
        <v>79</v>
      </c>
      <c r="T434" t="str">
        <f>VLOOKUP(S434,'Mapa Oficinas'!$H$7:$I$16,2,FALSE)</f>
        <v>CB</v>
      </c>
      <c r="U434" t="s">
        <v>29</v>
      </c>
      <c r="V434" t="str">
        <f>VLOOKUP($R434,'Mapa Oficinas'!$A$7:$C$46,2,FALSE)</f>
        <v>Interior - Salta</v>
      </c>
      <c r="W434" t="str">
        <f>VLOOKUP($R434,'Mapa Oficinas'!$A$7:$C$46,3,FALSE)</f>
        <v>San Lorenzo Chico</v>
      </c>
    </row>
    <row r="435" spans="1:23" x14ac:dyDescent="0.2">
      <c r="A435" s="1">
        <v>45904</v>
      </c>
      <c r="B435" s="20">
        <f t="shared" si="12"/>
        <v>2025</v>
      </c>
      <c r="C435" s="20">
        <f t="shared" si="13"/>
        <v>9</v>
      </c>
      <c r="D435" t="s">
        <v>3978</v>
      </c>
      <c r="E435" s="49">
        <v>1</v>
      </c>
      <c r="F435" t="s">
        <v>3979</v>
      </c>
      <c r="G435" t="s">
        <v>21</v>
      </c>
      <c r="H435" t="s">
        <v>81</v>
      </c>
      <c r="I435" s="13">
        <v>65000</v>
      </c>
      <c r="J435" s="13">
        <v>60000</v>
      </c>
      <c r="K435" s="13">
        <f>IF(J435&lt;'Mapa Oficinas'!$I$21,0,IF(J435&gt;'Mapa Oficinas'!$I$20,0,1))</f>
        <v>0</v>
      </c>
      <c r="L435" t="s">
        <v>23</v>
      </c>
      <c r="M435" t="s">
        <v>23</v>
      </c>
      <c r="N435" t="s">
        <v>3980</v>
      </c>
      <c r="O435" t="s">
        <v>3981</v>
      </c>
      <c r="P435" t="s">
        <v>8587</v>
      </c>
      <c r="Q435">
        <v>2</v>
      </c>
      <c r="R435" t="s">
        <v>167</v>
      </c>
      <c r="S435" t="s">
        <v>79</v>
      </c>
      <c r="T435" t="str">
        <f>VLOOKUP(S435,'Mapa Oficinas'!$H$7:$I$16,2,FALSE)</f>
        <v>CB</v>
      </c>
      <c r="U435" t="s">
        <v>29</v>
      </c>
      <c r="V435" t="str">
        <f>VLOOKUP($R435,'Mapa Oficinas'!$A$7:$C$46,2,FALSE)</f>
        <v>Interior - Santa Fe</v>
      </c>
      <c r="W435" t="str">
        <f>VLOOKUP($R435,'Mapa Oficinas'!$A$7:$C$46,3,FALSE)</f>
        <v>Capital Santa Fe</v>
      </c>
    </row>
    <row r="436" spans="1:23" x14ac:dyDescent="0.2">
      <c r="A436" s="1">
        <v>46014</v>
      </c>
      <c r="B436" s="20">
        <f t="shared" si="12"/>
        <v>2025</v>
      </c>
      <c r="C436" s="20">
        <f t="shared" si="13"/>
        <v>12</v>
      </c>
      <c r="D436" t="s">
        <v>5966</v>
      </c>
      <c r="E436" s="49">
        <v>0</v>
      </c>
      <c r="F436" t="s">
        <v>5967</v>
      </c>
      <c r="G436" t="s">
        <v>21</v>
      </c>
      <c r="H436" t="s">
        <v>37</v>
      </c>
      <c r="I436" s="13">
        <v>70000</v>
      </c>
      <c r="J436" s="13">
        <v>60000</v>
      </c>
      <c r="K436" s="13">
        <f>IF(J436&lt;'Mapa Oficinas'!$I$21,0,IF(J436&gt;'Mapa Oficinas'!$I$20,0,1))</f>
        <v>0</v>
      </c>
      <c r="L436" t="s">
        <v>23</v>
      </c>
      <c r="M436" t="s">
        <v>23</v>
      </c>
      <c r="N436" t="s">
        <v>5968</v>
      </c>
      <c r="O436" t="s">
        <v>265</v>
      </c>
      <c r="P436" t="s">
        <v>45</v>
      </c>
      <c r="Q436">
        <v>2</v>
      </c>
      <c r="R436" t="s">
        <v>67</v>
      </c>
      <c r="S436" t="s">
        <v>232</v>
      </c>
      <c r="T436" t="str">
        <f>VLOOKUP(S436,'Mapa Oficinas'!$H$7:$I$16,2,FALSE)</f>
        <v>CB</v>
      </c>
      <c r="U436" t="s">
        <v>29</v>
      </c>
      <c r="V436" t="str">
        <f>VLOOKUP($R436,'Mapa Oficinas'!$A$7:$C$46,2,FALSE)</f>
        <v>CABA</v>
      </c>
      <c r="W436" t="str">
        <f>VLOOKUP($R436,'Mapa Oficinas'!$A$7:$C$46,3,FALSE)</f>
        <v>Barrio Parque</v>
      </c>
    </row>
    <row r="437" spans="1:23" x14ac:dyDescent="0.2">
      <c r="A437" s="1">
        <v>46014</v>
      </c>
      <c r="B437" s="20">
        <f t="shared" si="12"/>
        <v>2025</v>
      </c>
      <c r="C437" s="20">
        <f t="shared" si="13"/>
        <v>12</v>
      </c>
      <c r="D437">
        <v>223</v>
      </c>
      <c r="E437" s="49">
        <v>1</v>
      </c>
      <c r="F437" t="s">
        <v>5962</v>
      </c>
      <c r="G437" t="s">
        <v>21</v>
      </c>
      <c r="H437" t="s">
        <v>37</v>
      </c>
      <c r="I437" s="13">
        <v>60000</v>
      </c>
      <c r="J437" s="13">
        <v>60000</v>
      </c>
      <c r="K437" s="13">
        <f>IF(J437&lt;'Mapa Oficinas'!$I$21,0,IF(J437&gt;'Mapa Oficinas'!$I$20,0,1))</f>
        <v>0</v>
      </c>
      <c r="L437" t="s">
        <v>23</v>
      </c>
      <c r="M437" t="s">
        <v>23</v>
      </c>
      <c r="N437" t="s">
        <v>5962</v>
      </c>
      <c r="O437" t="s">
        <v>66</v>
      </c>
      <c r="P437" t="s">
        <v>45</v>
      </c>
      <c r="Q437">
        <v>2</v>
      </c>
      <c r="R437" t="s">
        <v>46</v>
      </c>
      <c r="S437" t="s">
        <v>232</v>
      </c>
      <c r="T437" t="str">
        <f>VLOOKUP(S437,'Mapa Oficinas'!$H$7:$I$16,2,FALSE)</f>
        <v>CB</v>
      </c>
      <c r="U437" t="s">
        <v>29</v>
      </c>
      <c r="V437" t="str">
        <f>VLOOKUP($R437,'Mapa Oficinas'!$A$7:$C$46,2,FALSE)</f>
        <v>CABA</v>
      </c>
      <c r="W437" t="str">
        <f>VLOOKUP($R437,'Mapa Oficinas'!$A$7:$C$46,3,FALSE)</f>
        <v>Palermo</v>
      </c>
    </row>
    <row r="438" spans="1:23" x14ac:dyDescent="0.2">
      <c r="A438" s="1">
        <v>45784</v>
      </c>
      <c r="B438" s="20">
        <f t="shared" si="12"/>
        <v>2025</v>
      </c>
      <c r="C438" s="20">
        <f t="shared" si="13"/>
        <v>5</v>
      </c>
      <c r="E438" s="49">
        <v>1</v>
      </c>
      <c r="F438" t="s">
        <v>1800</v>
      </c>
      <c r="G438" t="s">
        <v>21</v>
      </c>
      <c r="H438" t="s">
        <v>22</v>
      </c>
      <c r="I438" s="13">
        <v>60000</v>
      </c>
      <c r="J438" s="13">
        <v>60000</v>
      </c>
      <c r="K438" s="13">
        <f>IF(J438&lt;'Mapa Oficinas'!$I$21,0,IF(J438&gt;'Mapa Oficinas'!$I$20,0,1))</f>
        <v>0</v>
      </c>
      <c r="L438" t="s">
        <v>23</v>
      </c>
      <c r="M438" t="s">
        <v>23</v>
      </c>
      <c r="N438" t="s">
        <v>1801</v>
      </c>
      <c r="O438" t="s">
        <v>66</v>
      </c>
      <c r="P438" t="s">
        <v>45</v>
      </c>
      <c r="Q438">
        <v>1</v>
      </c>
      <c r="R438" t="s">
        <v>135</v>
      </c>
      <c r="S438" t="s">
        <v>47</v>
      </c>
      <c r="T438" t="str">
        <f>VLOOKUP(S438,'Mapa Oficinas'!$H$7:$I$16,2,FALSE)</f>
        <v>Otra Red Búsqueda</v>
      </c>
      <c r="U438" t="s">
        <v>29</v>
      </c>
      <c r="V438" t="str">
        <f>VLOOKUP($R438,'Mapa Oficinas'!$A$7:$C$46,2,FALSE)</f>
        <v>CABA</v>
      </c>
      <c r="W438" t="str">
        <f>VLOOKUP($R438,'Mapa Oficinas'!$A$7:$C$46,3,FALSE)</f>
        <v>Recoleta</v>
      </c>
    </row>
    <row r="439" spans="1:23" x14ac:dyDescent="0.2">
      <c r="A439" s="1">
        <v>45805</v>
      </c>
      <c r="B439" s="20">
        <f t="shared" si="12"/>
        <v>2025</v>
      </c>
      <c r="C439" s="20">
        <f t="shared" si="13"/>
        <v>5</v>
      </c>
      <c r="D439" t="s">
        <v>2157</v>
      </c>
      <c r="E439" s="49">
        <v>1</v>
      </c>
      <c r="F439" t="s">
        <v>2158</v>
      </c>
      <c r="G439" t="s">
        <v>21</v>
      </c>
      <c r="H439" t="s">
        <v>37</v>
      </c>
      <c r="I439" s="13">
        <v>30000</v>
      </c>
      <c r="J439" s="13">
        <v>60000</v>
      </c>
      <c r="K439" s="13">
        <f>IF(J439&lt;'Mapa Oficinas'!$I$21,0,IF(J439&gt;'Mapa Oficinas'!$I$20,0,1))</f>
        <v>0</v>
      </c>
      <c r="L439" t="s">
        <v>23</v>
      </c>
      <c r="M439" t="s">
        <v>23</v>
      </c>
      <c r="O439" t="s">
        <v>303</v>
      </c>
      <c r="P439" t="s">
        <v>45</v>
      </c>
      <c r="Q439">
        <v>1</v>
      </c>
      <c r="R439" t="s">
        <v>183</v>
      </c>
      <c r="S439" t="s">
        <v>47</v>
      </c>
      <c r="T439" t="str">
        <f>VLOOKUP(S439,'Mapa Oficinas'!$H$7:$I$16,2,FALSE)</f>
        <v>Otra Red Búsqueda</v>
      </c>
      <c r="U439" t="s">
        <v>29</v>
      </c>
      <c r="V439" t="str">
        <f>VLOOKUP($R439,'Mapa Oficinas'!$A$7:$C$46,2,FALSE)</f>
        <v>Interior - Neuquén</v>
      </c>
      <c r="W439" t="str">
        <f>VLOOKUP($R439,'Mapa Oficinas'!$A$7:$C$46,3,FALSE)</f>
        <v>Capital Neuquén</v>
      </c>
    </row>
    <row r="440" spans="1:23" x14ac:dyDescent="0.2">
      <c r="A440" s="1">
        <v>45859</v>
      </c>
      <c r="B440" s="20">
        <f t="shared" si="12"/>
        <v>2025</v>
      </c>
      <c r="C440" s="20">
        <f t="shared" si="13"/>
        <v>7</v>
      </c>
      <c r="D440" t="s">
        <v>3134</v>
      </c>
      <c r="E440" s="49">
        <v>1</v>
      </c>
      <c r="F440" t="s">
        <v>3135</v>
      </c>
      <c r="G440" t="s">
        <v>21</v>
      </c>
      <c r="H440" t="s">
        <v>37</v>
      </c>
      <c r="I440" s="13">
        <v>63000</v>
      </c>
      <c r="J440" s="13">
        <v>60000</v>
      </c>
      <c r="K440" s="13">
        <f>IF(J440&lt;'Mapa Oficinas'!$I$21,0,IF(J440&gt;'Mapa Oficinas'!$I$20,0,1))</f>
        <v>0</v>
      </c>
      <c r="L440" t="s">
        <v>23</v>
      </c>
      <c r="M440" t="s">
        <v>23</v>
      </c>
      <c r="N440" t="s">
        <v>3136</v>
      </c>
      <c r="O440" t="s">
        <v>440</v>
      </c>
      <c r="P440" t="s">
        <v>45</v>
      </c>
      <c r="Q440">
        <v>2</v>
      </c>
      <c r="R440" t="s">
        <v>67</v>
      </c>
      <c r="S440" t="s">
        <v>200</v>
      </c>
      <c r="T440" t="str">
        <f>VLOOKUP(S440,'Mapa Oficinas'!$H$7:$I$16,2,FALSE)</f>
        <v>Otra Red Captación</v>
      </c>
      <c r="U440" t="s">
        <v>29</v>
      </c>
      <c r="V440" t="str">
        <f>VLOOKUP($R440,'Mapa Oficinas'!$A$7:$C$46,2,FALSE)</f>
        <v>CABA</v>
      </c>
      <c r="W440" t="str">
        <f>VLOOKUP($R440,'Mapa Oficinas'!$A$7:$C$46,3,FALSE)</f>
        <v>Barrio Parque</v>
      </c>
    </row>
    <row r="441" spans="1:23" x14ac:dyDescent="0.2">
      <c r="A441" s="1">
        <v>45919</v>
      </c>
      <c r="B441" s="20">
        <f t="shared" si="12"/>
        <v>2025</v>
      </c>
      <c r="C441" s="20">
        <f t="shared" si="13"/>
        <v>9</v>
      </c>
      <c r="D441" t="s">
        <v>4242</v>
      </c>
      <c r="E441" s="49">
        <v>1</v>
      </c>
      <c r="F441" t="s">
        <v>4243</v>
      </c>
      <c r="G441" t="s">
        <v>21</v>
      </c>
      <c r="H441" t="s">
        <v>37</v>
      </c>
      <c r="I441" s="13">
        <v>63900</v>
      </c>
      <c r="J441" s="13">
        <v>60000</v>
      </c>
      <c r="K441" s="13">
        <f>IF(J441&lt;'Mapa Oficinas'!$I$21,0,IF(J441&gt;'Mapa Oficinas'!$I$20,0,1))</f>
        <v>0</v>
      </c>
      <c r="L441" t="s">
        <v>23</v>
      </c>
      <c r="M441" t="s">
        <v>23</v>
      </c>
      <c r="N441" t="s">
        <v>4244</v>
      </c>
      <c r="O441" t="s">
        <v>2394</v>
      </c>
      <c r="P441" t="s">
        <v>61</v>
      </c>
      <c r="Q441">
        <v>2</v>
      </c>
      <c r="R441" t="s">
        <v>67</v>
      </c>
      <c r="S441" t="s">
        <v>200</v>
      </c>
      <c r="T441" t="str">
        <f>VLOOKUP(S441,'Mapa Oficinas'!$H$7:$I$16,2,FALSE)</f>
        <v>Otra Red Captación</v>
      </c>
      <c r="U441" t="s">
        <v>29</v>
      </c>
      <c r="V441" t="str">
        <f>VLOOKUP($R441,'Mapa Oficinas'!$A$7:$C$46,2,FALSE)</f>
        <v>CABA</v>
      </c>
      <c r="W441" t="str">
        <f>VLOOKUP($R441,'Mapa Oficinas'!$A$7:$C$46,3,FALSE)</f>
        <v>Barrio Parque</v>
      </c>
    </row>
    <row r="442" spans="1:23" x14ac:dyDescent="0.2">
      <c r="A442" s="1">
        <v>45716</v>
      </c>
      <c r="B442" s="20">
        <f t="shared" si="12"/>
        <v>2025</v>
      </c>
      <c r="C442" s="20">
        <f t="shared" si="13"/>
        <v>2</v>
      </c>
      <c r="D442" t="s">
        <v>789</v>
      </c>
      <c r="E442" s="49">
        <v>1</v>
      </c>
      <c r="F442" t="s">
        <v>790</v>
      </c>
      <c r="G442" t="s">
        <v>21</v>
      </c>
      <c r="H442" t="s">
        <v>37</v>
      </c>
      <c r="I442" s="13">
        <v>72000</v>
      </c>
      <c r="J442" s="13">
        <v>60000</v>
      </c>
      <c r="K442" s="13">
        <f>IF(J442&lt;'Mapa Oficinas'!$I$21,0,IF(J442&gt;'Mapa Oficinas'!$I$20,0,1))</f>
        <v>0</v>
      </c>
      <c r="L442" t="s">
        <v>23</v>
      </c>
      <c r="M442" t="s">
        <v>23</v>
      </c>
      <c r="N442" t="s">
        <v>791</v>
      </c>
      <c r="O442" t="s">
        <v>25</v>
      </c>
      <c r="P442" t="s">
        <v>45</v>
      </c>
      <c r="Q442">
        <v>2</v>
      </c>
      <c r="R442" t="s">
        <v>46</v>
      </c>
      <c r="S442" t="s">
        <v>28</v>
      </c>
      <c r="T442" t="str">
        <f>VLOOKUP(S442,'Mapa Oficinas'!$H$7:$I$16,2,FALSE)</f>
        <v>CB</v>
      </c>
      <c r="U442" t="s">
        <v>29</v>
      </c>
      <c r="V442" t="str">
        <f>VLOOKUP($R442,'Mapa Oficinas'!$A$7:$C$46,2,FALSE)</f>
        <v>CABA</v>
      </c>
      <c r="W442" t="str">
        <f>VLOOKUP($R442,'Mapa Oficinas'!$A$7:$C$46,3,FALSE)</f>
        <v>Palermo</v>
      </c>
    </row>
    <row r="443" spans="1:23" x14ac:dyDescent="0.2">
      <c r="A443" s="1">
        <v>45717</v>
      </c>
      <c r="B443" s="20">
        <f t="shared" si="12"/>
        <v>2025</v>
      </c>
      <c r="C443" s="20">
        <f t="shared" si="13"/>
        <v>3</v>
      </c>
      <c r="D443" t="s">
        <v>824</v>
      </c>
      <c r="E443" s="49">
        <v>1</v>
      </c>
      <c r="F443" t="s">
        <v>825</v>
      </c>
      <c r="G443" t="s">
        <v>21</v>
      </c>
      <c r="H443" t="s">
        <v>22</v>
      </c>
      <c r="I443" s="13">
        <v>60000</v>
      </c>
      <c r="J443" s="13">
        <v>60000</v>
      </c>
      <c r="K443" s="13">
        <f>IF(J443&lt;'Mapa Oficinas'!$I$21,0,IF(J443&gt;'Mapa Oficinas'!$I$20,0,1))</f>
        <v>0</v>
      </c>
      <c r="L443" t="s">
        <v>23</v>
      </c>
      <c r="M443" t="s">
        <v>23</v>
      </c>
      <c r="N443" t="s">
        <v>826</v>
      </c>
      <c r="O443" t="s">
        <v>827</v>
      </c>
      <c r="P443" t="s">
        <v>45</v>
      </c>
      <c r="Q443">
        <v>2</v>
      </c>
      <c r="R443" t="s">
        <v>27</v>
      </c>
      <c r="S443" t="s">
        <v>28</v>
      </c>
      <c r="T443" t="str">
        <f>VLOOKUP(S443,'Mapa Oficinas'!$H$7:$I$16,2,FALSE)</f>
        <v>CB</v>
      </c>
      <c r="U443" t="s">
        <v>29</v>
      </c>
      <c r="V443" t="str">
        <f>VLOOKUP($R443,'Mapa Oficinas'!$A$7:$C$46,2,FALSE)</f>
        <v>Zona Norte (GBA)</v>
      </c>
      <c r="W443" t="str">
        <f>VLOOKUP($R443,'Mapa Oficinas'!$A$7:$C$46,3,FALSE)</f>
        <v>Tigre</v>
      </c>
    </row>
    <row r="444" spans="1:23" x14ac:dyDescent="0.2">
      <c r="A444" s="1">
        <v>45730</v>
      </c>
      <c r="B444" s="20">
        <f t="shared" si="12"/>
        <v>2025</v>
      </c>
      <c r="C444" s="20">
        <f t="shared" si="13"/>
        <v>3</v>
      </c>
      <c r="D444" t="s">
        <v>954</v>
      </c>
      <c r="E444" s="49">
        <v>1</v>
      </c>
      <c r="F444" t="s">
        <v>955</v>
      </c>
      <c r="G444" t="s">
        <v>21</v>
      </c>
      <c r="H444" t="s">
        <v>90</v>
      </c>
      <c r="I444" s="13">
        <v>66900</v>
      </c>
      <c r="J444" s="13">
        <v>60000</v>
      </c>
      <c r="K444" s="13">
        <f>IF(J444&lt;'Mapa Oficinas'!$I$21,0,IF(J444&gt;'Mapa Oficinas'!$I$20,0,1))</f>
        <v>0</v>
      </c>
      <c r="L444" t="s">
        <v>23</v>
      </c>
      <c r="M444" t="s">
        <v>23</v>
      </c>
      <c r="N444" t="s">
        <v>956</v>
      </c>
      <c r="O444" t="s">
        <v>552</v>
      </c>
      <c r="P444" t="s">
        <v>45</v>
      </c>
      <c r="Q444">
        <v>2</v>
      </c>
      <c r="R444" t="s">
        <v>62</v>
      </c>
      <c r="S444" t="s">
        <v>28</v>
      </c>
      <c r="T444" t="str">
        <f>VLOOKUP(S444,'Mapa Oficinas'!$H$7:$I$16,2,FALSE)</f>
        <v>CB</v>
      </c>
      <c r="U444" t="s">
        <v>29</v>
      </c>
      <c r="V444" t="str">
        <f>VLOOKUP($R444,'Mapa Oficinas'!$A$7:$C$46,2,FALSE)</f>
        <v>CABA</v>
      </c>
      <c r="W444" t="str">
        <f>VLOOKUP($R444,'Mapa Oficinas'!$A$7:$C$46,3,FALSE)</f>
        <v>Villa Urquiza</v>
      </c>
    </row>
    <row r="445" spans="1:23" x14ac:dyDescent="0.2">
      <c r="A445" s="1">
        <v>45747</v>
      </c>
      <c r="B445" s="20">
        <f t="shared" si="12"/>
        <v>2025</v>
      </c>
      <c r="C445" s="20">
        <f t="shared" si="13"/>
        <v>3</v>
      </c>
      <c r="D445" t="s">
        <v>1191</v>
      </c>
      <c r="E445" s="49">
        <v>1</v>
      </c>
      <c r="F445" t="s">
        <v>1192</v>
      </c>
      <c r="G445" t="s">
        <v>21</v>
      </c>
      <c r="H445" t="s">
        <v>37</v>
      </c>
      <c r="I445" s="13">
        <v>60000</v>
      </c>
      <c r="J445" s="13">
        <v>60000</v>
      </c>
      <c r="K445" s="13">
        <f>IF(J445&lt;'Mapa Oficinas'!$I$21,0,IF(J445&gt;'Mapa Oficinas'!$I$20,0,1))</f>
        <v>0</v>
      </c>
      <c r="L445" t="s">
        <v>23</v>
      </c>
      <c r="M445" t="s">
        <v>23</v>
      </c>
      <c r="N445" t="s">
        <v>1193</v>
      </c>
      <c r="O445" t="s">
        <v>1194</v>
      </c>
      <c r="P445" t="s">
        <v>34</v>
      </c>
      <c r="Q445">
        <v>2</v>
      </c>
      <c r="R445" t="s">
        <v>183</v>
      </c>
      <c r="S445" t="s">
        <v>28</v>
      </c>
      <c r="T445" t="str">
        <f>VLOOKUP(S445,'Mapa Oficinas'!$H$7:$I$16,2,FALSE)</f>
        <v>CB</v>
      </c>
      <c r="U445" t="s">
        <v>29</v>
      </c>
      <c r="V445" t="str">
        <f>VLOOKUP($R445,'Mapa Oficinas'!$A$7:$C$46,2,FALSE)</f>
        <v>Interior - Neuquén</v>
      </c>
      <c r="W445" t="str">
        <f>VLOOKUP($R445,'Mapa Oficinas'!$A$7:$C$46,3,FALSE)</f>
        <v>Capital Neuquén</v>
      </c>
    </row>
    <row r="446" spans="1:23" x14ac:dyDescent="0.2">
      <c r="A446" s="1">
        <v>45762</v>
      </c>
      <c r="B446" s="20">
        <f t="shared" si="12"/>
        <v>2025</v>
      </c>
      <c r="C446" s="20">
        <f t="shared" si="13"/>
        <v>4</v>
      </c>
      <c r="D446" t="s">
        <v>1439</v>
      </c>
      <c r="E446" s="49">
        <v>1</v>
      </c>
      <c r="F446" t="s">
        <v>1440</v>
      </c>
      <c r="G446" t="s">
        <v>21</v>
      </c>
      <c r="H446" t="s">
        <v>37</v>
      </c>
      <c r="I446" s="13">
        <v>60000</v>
      </c>
      <c r="J446" s="13">
        <v>60000</v>
      </c>
      <c r="K446" s="13">
        <f>IF(J446&lt;'Mapa Oficinas'!$I$21,0,IF(J446&gt;'Mapa Oficinas'!$I$20,0,1))</f>
        <v>0</v>
      </c>
      <c r="L446" t="s">
        <v>23</v>
      </c>
      <c r="M446" t="s">
        <v>23</v>
      </c>
      <c r="N446" t="s">
        <v>1441</v>
      </c>
      <c r="O446" t="s">
        <v>440</v>
      </c>
      <c r="P446" t="s">
        <v>45</v>
      </c>
      <c r="Q446">
        <v>2</v>
      </c>
      <c r="R446" t="s">
        <v>523</v>
      </c>
      <c r="S446" t="s">
        <v>28</v>
      </c>
      <c r="T446" t="str">
        <f>VLOOKUP(S446,'Mapa Oficinas'!$H$7:$I$16,2,FALSE)</f>
        <v>CB</v>
      </c>
      <c r="U446" t="s">
        <v>29</v>
      </c>
      <c r="V446" t="str">
        <f>VLOOKUP($R446,'Mapa Oficinas'!$A$7:$C$46,2,FALSE)</f>
        <v>CABA</v>
      </c>
      <c r="W446" t="str">
        <f>VLOOKUP($R446,'Mapa Oficinas'!$A$7:$C$46,3,FALSE)</f>
        <v>Belgrano</v>
      </c>
    </row>
    <row r="447" spans="1:23" x14ac:dyDescent="0.2">
      <c r="A447" s="1">
        <v>45776</v>
      </c>
      <c r="B447" s="20">
        <f t="shared" si="12"/>
        <v>2025</v>
      </c>
      <c r="C447" s="20">
        <f t="shared" si="13"/>
        <v>4</v>
      </c>
      <c r="D447" t="s">
        <v>1672</v>
      </c>
      <c r="E447" s="49">
        <v>1</v>
      </c>
      <c r="F447" t="s">
        <v>1673</v>
      </c>
      <c r="G447" t="s">
        <v>21</v>
      </c>
      <c r="H447" t="s">
        <v>37</v>
      </c>
      <c r="I447" s="13">
        <v>65000</v>
      </c>
      <c r="J447" s="13">
        <v>60000</v>
      </c>
      <c r="K447" s="13">
        <f>IF(J447&lt;'Mapa Oficinas'!$I$21,0,IF(J447&gt;'Mapa Oficinas'!$I$20,0,1))</f>
        <v>0</v>
      </c>
      <c r="L447" t="s">
        <v>23</v>
      </c>
      <c r="M447" t="s">
        <v>23</v>
      </c>
      <c r="N447" t="s">
        <v>558</v>
      </c>
      <c r="O447" t="s">
        <v>299</v>
      </c>
      <c r="P447" t="s">
        <v>45</v>
      </c>
      <c r="Q447">
        <v>2</v>
      </c>
      <c r="R447" t="s">
        <v>46</v>
      </c>
      <c r="S447" t="s">
        <v>28</v>
      </c>
      <c r="T447" t="str">
        <f>VLOOKUP(S447,'Mapa Oficinas'!$H$7:$I$16,2,FALSE)</f>
        <v>CB</v>
      </c>
      <c r="U447" t="s">
        <v>29</v>
      </c>
      <c r="V447" t="str">
        <f>VLOOKUP($R447,'Mapa Oficinas'!$A$7:$C$46,2,FALSE)</f>
        <v>CABA</v>
      </c>
      <c r="W447" t="str">
        <f>VLOOKUP($R447,'Mapa Oficinas'!$A$7:$C$46,3,FALSE)</f>
        <v>Palermo</v>
      </c>
    </row>
    <row r="448" spans="1:23" x14ac:dyDescent="0.2">
      <c r="A448" s="1">
        <v>45797</v>
      </c>
      <c r="B448" s="20">
        <f t="shared" si="12"/>
        <v>2025</v>
      </c>
      <c r="C448" s="20">
        <f t="shared" si="13"/>
        <v>5</v>
      </c>
      <c r="D448" t="s">
        <v>2032</v>
      </c>
      <c r="E448" s="49">
        <v>1</v>
      </c>
      <c r="F448" t="s">
        <v>2033</v>
      </c>
      <c r="G448" t="s">
        <v>21</v>
      </c>
      <c r="H448" t="s">
        <v>37</v>
      </c>
      <c r="I448" s="13">
        <v>64900</v>
      </c>
      <c r="J448" s="13">
        <v>60000</v>
      </c>
      <c r="K448" s="13">
        <f>IF(J448&lt;'Mapa Oficinas'!$I$21,0,IF(J448&gt;'Mapa Oficinas'!$I$20,0,1))</f>
        <v>0</v>
      </c>
      <c r="L448" t="s">
        <v>23</v>
      </c>
      <c r="M448" t="s">
        <v>23</v>
      </c>
      <c r="N448" t="s">
        <v>2034</v>
      </c>
      <c r="O448" t="s">
        <v>408</v>
      </c>
      <c r="P448" t="s">
        <v>45</v>
      </c>
      <c r="Q448">
        <v>2</v>
      </c>
      <c r="R448" t="s">
        <v>62</v>
      </c>
      <c r="S448" t="s">
        <v>28</v>
      </c>
      <c r="T448" t="str">
        <f>VLOOKUP(S448,'Mapa Oficinas'!$H$7:$I$16,2,FALSE)</f>
        <v>CB</v>
      </c>
      <c r="U448" t="s">
        <v>29</v>
      </c>
      <c r="V448" t="str">
        <f>VLOOKUP($R448,'Mapa Oficinas'!$A$7:$C$46,2,FALSE)</f>
        <v>CABA</v>
      </c>
      <c r="W448" t="str">
        <f>VLOOKUP($R448,'Mapa Oficinas'!$A$7:$C$46,3,FALSE)</f>
        <v>Villa Urquiza</v>
      </c>
    </row>
    <row r="449" spans="1:23" x14ac:dyDescent="0.2">
      <c r="A449" s="1">
        <v>45813</v>
      </c>
      <c r="B449" s="20">
        <f t="shared" si="12"/>
        <v>2025</v>
      </c>
      <c r="C449" s="20">
        <f t="shared" si="13"/>
        <v>6</v>
      </c>
      <c r="D449" t="s">
        <v>2323</v>
      </c>
      <c r="E449" s="49">
        <v>1</v>
      </c>
      <c r="F449" t="s">
        <v>2324</v>
      </c>
      <c r="G449" t="s">
        <v>21</v>
      </c>
      <c r="H449" t="s">
        <v>37</v>
      </c>
      <c r="I449" s="13">
        <v>65000</v>
      </c>
      <c r="J449" s="13">
        <v>60000</v>
      </c>
      <c r="K449" s="13">
        <f>IF(J449&lt;'Mapa Oficinas'!$I$21,0,IF(J449&gt;'Mapa Oficinas'!$I$20,0,1))</f>
        <v>0</v>
      </c>
      <c r="L449" t="s">
        <v>23</v>
      </c>
      <c r="M449" t="s">
        <v>23</v>
      </c>
      <c r="N449" t="s">
        <v>2324</v>
      </c>
      <c r="O449" t="s">
        <v>2325</v>
      </c>
      <c r="P449" t="s">
        <v>34</v>
      </c>
      <c r="Q449">
        <v>2</v>
      </c>
      <c r="R449" t="s">
        <v>151</v>
      </c>
      <c r="S449" t="s">
        <v>28</v>
      </c>
      <c r="T449" t="str">
        <f>VLOOKUP(S449,'Mapa Oficinas'!$H$7:$I$16,2,FALSE)</f>
        <v>CB</v>
      </c>
      <c r="U449" t="s">
        <v>29</v>
      </c>
      <c r="V449" t="str">
        <f>VLOOKUP($R449,'Mapa Oficinas'!$A$7:$C$46,2,FALSE)</f>
        <v>Interior - Mendoza</v>
      </c>
      <c r="W449" t="str">
        <f>VLOOKUP($R449,'Mapa Oficinas'!$A$7:$C$46,3,FALSE)</f>
        <v>Capital Mendoza</v>
      </c>
    </row>
    <row r="450" spans="1:23" x14ac:dyDescent="0.2">
      <c r="A450" s="1">
        <v>45821</v>
      </c>
      <c r="B450" s="20">
        <f t="shared" ref="B450:B513" si="14">YEAR($A450)</f>
        <v>2025</v>
      </c>
      <c r="C450" s="20">
        <f t="shared" ref="C450:C513" si="15">MONTH($A450)</f>
        <v>6</v>
      </c>
      <c r="D450" t="s">
        <v>2483</v>
      </c>
      <c r="E450" s="49">
        <v>1</v>
      </c>
      <c r="F450" t="s">
        <v>2484</v>
      </c>
      <c r="G450" t="s">
        <v>21</v>
      </c>
      <c r="H450" t="s">
        <v>90</v>
      </c>
      <c r="I450" s="13">
        <v>68000</v>
      </c>
      <c r="J450" s="13">
        <v>60000</v>
      </c>
      <c r="K450" s="13">
        <f>IF(J450&lt;'Mapa Oficinas'!$I$21,0,IF(J450&gt;'Mapa Oficinas'!$I$20,0,1))</f>
        <v>0</v>
      </c>
      <c r="L450" t="s">
        <v>23</v>
      </c>
      <c r="M450" t="s">
        <v>23</v>
      </c>
      <c r="N450" t="s">
        <v>2485</v>
      </c>
      <c r="O450" t="s">
        <v>380</v>
      </c>
      <c r="P450" t="s">
        <v>45</v>
      </c>
      <c r="Q450">
        <v>2</v>
      </c>
      <c r="R450" t="s">
        <v>62</v>
      </c>
      <c r="S450" t="s">
        <v>28</v>
      </c>
      <c r="T450" t="str">
        <f>VLOOKUP(S450,'Mapa Oficinas'!$H$7:$I$16,2,FALSE)</f>
        <v>CB</v>
      </c>
      <c r="U450" t="s">
        <v>29</v>
      </c>
      <c r="V450" t="str">
        <f>VLOOKUP($R450,'Mapa Oficinas'!$A$7:$C$46,2,FALSE)</f>
        <v>CABA</v>
      </c>
      <c r="W450" t="str">
        <f>VLOOKUP($R450,'Mapa Oficinas'!$A$7:$C$46,3,FALSE)</f>
        <v>Villa Urquiza</v>
      </c>
    </row>
    <row r="451" spans="1:23" x14ac:dyDescent="0.2">
      <c r="A451" s="1">
        <v>45841</v>
      </c>
      <c r="B451" s="20">
        <f t="shared" si="14"/>
        <v>2025</v>
      </c>
      <c r="C451" s="20">
        <f t="shared" si="15"/>
        <v>7</v>
      </c>
      <c r="D451" t="s">
        <v>2846</v>
      </c>
      <c r="E451" s="49">
        <v>1</v>
      </c>
      <c r="F451" t="s">
        <v>2847</v>
      </c>
      <c r="G451" t="s">
        <v>21</v>
      </c>
      <c r="H451" t="s">
        <v>37</v>
      </c>
      <c r="I451" s="13">
        <v>62000</v>
      </c>
      <c r="J451" s="13">
        <v>60000</v>
      </c>
      <c r="K451" s="13">
        <f>IF(J451&lt;'Mapa Oficinas'!$I$21,0,IF(J451&gt;'Mapa Oficinas'!$I$20,0,1))</f>
        <v>0</v>
      </c>
      <c r="L451" t="s">
        <v>23</v>
      </c>
      <c r="M451" t="s">
        <v>23</v>
      </c>
      <c r="N451" t="s">
        <v>2848</v>
      </c>
      <c r="O451" t="s">
        <v>440</v>
      </c>
      <c r="P451" t="s">
        <v>45</v>
      </c>
      <c r="Q451">
        <v>2</v>
      </c>
      <c r="R451" t="s">
        <v>56</v>
      </c>
      <c r="S451" t="s">
        <v>28</v>
      </c>
      <c r="T451" t="str">
        <f>VLOOKUP(S451,'Mapa Oficinas'!$H$7:$I$16,2,FALSE)</f>
        <v>CB</v>
      </c>
      <c r="U451" t="s">
        <v>29</v>
      </c>
      <c r="V451" t="str">
        <f>VLOOKUP($R451,'Mapa Oficinas'!$A$7:$C$46,2,FALSE)</f>
        <v>Zona Norte (GBA)</v>
      </c>
      <c r="W451" t="str">
        <f>VLOOKUP($R451,'Mapa Oficinas'!$A$7:$C$46,3,FALSE)</f>
        <v>Vicente López</v>
      </c>
    </row>
    <row r="452" spans="1:23" x14ac:dyDescent="0.2">
      <c r="A452" s="1">
        <v>45846</v>
      </c>
      <c r="B452" s="20">
        <f t="shared" si="14"/>
        <v>2025</v>
      </c>
      <c r="C452" s="20">
        <f t="shared" si="15"/>
        <v>7</v>
      </c>
      <c r="D452" t="s">
        <v>2921</v>
      </c>
      <c r="E452" s="49">
        <v>1</v>
      </c>
      <c r="F452" t="s">
        <v>2922</v>
      </c>
      <c r="G452" t="s">
        <v>21</v>
      </c>
      <c r="H452" t="s">
        <v>81</v>
      </c>
      <c r="I452" s="13">
        <v>80000</v>
      </c>
      <c r="J452" s="13">
        <v>60000</v>
      </c>
      <c r="K452" s="13">
        <f>IF(J452&lt;'Mapa Oficinas'!$I$21,0,IF(J452&gt;'Mapa Oficinas'!$I$20,0,1))</f>
        <v>0</v>
      </c>
      <c r="L452" t="s">
        <v>23</v>
      </c>
      <c r="M452" t="s">
        <v>23</v>
      </c>
      <c r="N452" t="s">
        <v>2923</v>
      </c>
      <c r="O452" t="s">
        <v>2924</v>
      </c>
      <c r="P452" t="s">
        <v>2681</v>
      </c>
      <c r="Q452">
        <v>2</v>
      </c>
      <c r="R452" t="s">
        <v>2003</v>
      </c>
      <c r="S452" t="s">
        <v>28</v>
      </c>
      <c r="T452" t="str">
        <f>VLOOKUP(S452,'Mapa Oficinas'!$H$7:$I$16,2,FALSE)</f>
        <v>CB</v>
      </c>
      <c r="U452" t="s">
        <v>29</v>
      </c>
      <c r="V452" t="str">
        <f>VLOOKUP($R452,'Mapa Oficinas'!$A$7:$C$46,2,FALSE)</f>
        <v>Interior - Mendoza</v>
      </c>
      <c r="W452" t="str">
        <f>VLOOKUP($R452,'Mapa Oficinas'!$A$7:$C$46,3,FALSE)</f>
        <v>San Rafael</v>
      </c>
    </row>
    <row r="453" spans="1:23" x14ac:dyDescent="0.2">
      <c r="A453" s="1">
        <v>45849</v>
      </c>
      <c r="B453" s="20">
        <f t="shared" si="14"/>
        <v>2025</v>
      </c>
      <c r="C453" s="20">
        <f t="shared" si="15"/>
        <v>7</v>
      </c>
      <c r="D453" t="s">
        <v>2973</v>
      </c>
      <c r="E453" s="49">
        <v>1</v>
      </c>
      <c r="F453" t="s">
        <v>2974</v>
      </c>
      <c r="G453" t="s">
        <v>21</v>
      </c>
      <c r="H453" t="s">
        <v>37</v>
      </c>
      <c r="I453" s="13">
        <v>60000</v>
      </c>
      <c r="J453" s="13">
        <v>60000</v>
      </c>
      <c r="K453" s="13">
        <f>IF(J453&lt;'Mapa Oficinas'!$I$21,0,IF(J453&gt;'Mapa Oficinas'!$I$20,0,1))</f>
        <v>0</v>
      </c>
      <c r="L453" t="s">
        <v>23</v>
      </c>
      <c r="M453" t="s">
        <v>23</v>
      </c>
      <c r="N453" t="s">
        <v>2975</v>
      </c>
      <c r="O453" t="s">
        <v>976</v>
      </c>
      <c r="P453" t="s">
        <v>45</v>
      </c>
      <c r="Q453">
        <v>2</v>
      </c>
      <c r="R453" t="s">
        <v>495</v>
      </c>
      <c r="S453" t="s">
        <v>28</v>
      </c>
      <c r="T453" t="str">
        <f>VLOOKUP(S453,'Mapa Oficinas'!$H$7:$I$16,2,FALSE)</f>
        <v>CB</v>
      </c>
      <c r="U453" t="s">
        <v>29</v>
      </c>
      <c r="V453" t="str">
        <f>VLOOKUP($R453,'Mapa Oficinas'!$A$7:$C$46,2,FALSE)</f>
        <v>Zona Norte (GBA)</v>
      </c>
      <c r="W453" t="str">
        <f>VLOOKUP($R453,'Mapa Oficinas'!$A$7:$C$46,3,FALSE)</f>
        <v>Escobar</v>
      </c>
    </row>
    <row r="454" spans="1:23" x14ac:dyDescent="0.2">
      <c r="A454" s="1">
        <v>45868</v>
      </c>
      <c r="B454" s="20">
        <f t="shared" si="14"/>
        <v>2025</v>
      </c>
      <c r="C454" s="20">
        <f t="shared" si="15"/>
        <v>7</v>
      </c>
      <c r="D454" t="s">
        <v>3312</v>
      </c>
      <c r="E454" s="49">
        <v>1</v>
      </c>
      <c r="F454" t="s">
        <v>3313</v>
      </c>
      <c r="G454" t="s">
        <v>21</v>
      </c>
      <c r="H454" t="s">
        <v>90</v>
      </c>
      <c r="I454" s="13">
        <v>750000</v>
      </c>
      <c r="J454" s="13">
        <v>60000</v>
      </c>
      <c r="K454" s="13">
        <f>IF(J454&lt;'Mapa Oficinas'!$I$21,0,IF(J454&gt;'Mapa Oficinas'!$I$20,0,1))</f>
        <v>0</v>
      </c>
      <c r="L454" t="s">
        <v>23</v>
      </c>
      <c r="M454" t="s">
        <v>1927</v>
      </c>
      <c r="N454" t="s">
        <v>3314</v>
      </c>
      <c r="O454" t="s">
        <v>1196</v>
      </c>
      <c r="P454" t="s">
        <v>45</v>
      </c>
      <c r="Q454">
        <v>2</v>
      </c>
      <c r="R454" t="s">
        <v>62</v>
      </c>
      <c r="S454" t="s">
        <v>28</v>
      </c>
      <c r="T454" t="str">
        <f>VLOOKUP(S454,'Mapa Oficinas'!$H$7:$I$16,2,FALSE)</f>
        <v>CB</v>
      </c>
      <c r="U454" t="s">
        <v>29</v>
      </c>
      <c r="V454" t="str">
        <f>VLOOKUP($R454,'Mapa Oficinas'!$A$7:$C$46,2,FALSE)</f>
        <v>CABA</v>
      </c>
      <c r="W454" t="str">
        <f>VLOOKUP($R454,'Mapa Oficinas'!$A$7:$C$46,3,FALSE)</f>
        <v>Villa Urquiza</v>
      </c>
    </row>
    <row r="455" spans="1:23" x14ac:dyDescent="0.2">
      <c r="A455" s="1">
        <v>45874</v>
      </c>
      <c r="B455" s="20">
        <f t="shared" si="14"/>
        <v>2025</v>
      </c>
      <c r="C455" s="20">
        <f t="shared" si="15"/>
        <v>8</v>
      </c>
      <c r="D455" t="s">
        <v>3409</v>
      </c>
      <c r="E455" s="49">
        <v>1</v>
      </c>
      <c r="F455" t="s">
        <v>3410</v>
      </c>
      <c r="G455" t="s">
        <v>21</v>
      </c>
      <c r="H455" t="s">
        <v>37</v>
      </c>
      <c r="I455" s="13">
        <v>65000</v>
      </c>
      <c r="J455" s="13">
        <v>60000</v>
      </c>
      <c r="K455" s="13">
        <f>IF(J455&lt;'Mapa Oficinas'!$I$21,0,IF(J455&gt;'Mapa Oficinas'!$I$20,0,1))</f>
        <v>0</v>
      </c>
      <c r="L455" t="s">
        <v>23</v>
      </c>
      <c r="M455" t="s">
        <v>23</v>
      </c>
      <c r="N455" t="s">
        <v>3411</v>
      </c>
      <c r="O455" t="s">
        <v>92</v>
      </c>
      <c r="P455" t="s">
        <v>61</v>
      </c>
      <c r="Q455">
        <v>2</v>
      </c>
      <c r="R455" t="s">
        <v>429</v>
      </c>
      <c r="S455" t="s">
        <v>28</v>
      </c>
      <c r="T455" t="str">
        <f>VLOOKUP(S455,'Mapa Oficinas'!$H$7:$I$16,2,FALSE)</f>
        <v>CB</v>
      </c>
      <c r="U455" t="s">
        <v>29</v>
      </c>
      <c r="V455" t="str">
        <f>VLOOKUP($R455,'Mapa Oficinas'!$A$7:$C$46,2,FALSE)</f>
        <v>Zona Oeste (GBA)</v>
      </c>
      <c r="W455" t="str">
        <f>VLOOKUP($R455,'Mapa Oficinas'!$A$7:$C$46,3,FALSE)</f>
        <v>Parque Leloir</v>
      </c>
    </row>
    <row r="456" spans="1:23" x14ac:dyDescent="0.2">
      <c r="A456" s="1">
        <v>45897</v>
      </c>
      <c r="B456" s="20">
        <f t="shared" si="14"/>
        <v>2025</v>
      </c>
      <c r="C456" s="20">
        <f t="shared" si="15"/>
        <v>8</v>
      </c>
      <c r="D456" t="s">
        <v>3808</v>
      </c>
      <c r="E456" s="49">
        <v>1</v>
      </c>
      <c r="F456" t="s">
        <v>3809</v>
      </c>
      <c r="G456" t="s">
        <v>21</v>
      </c>
      <c r="H456" t="s">
        <v>37</v>
      </c>
      <c r="I456" s="13">
        <v>31500</v>
      </c>
      <c r="J456" s="13">
        <v>60000</v>
      </c>
      <c r="K456" s="13">
        <f>IF(J456&lt;'Mapa Oficinas'!$I$21,0,IF(J456&gt;'Mapa Oficinas'!$I$20,0,1))</f>
        <v>0</v>
      </c>
      <c r="L456" t="s">
        <v>23</v>
      </c>
      <c r="M456" t="s">
        <v>23</v>
      </c>
      <c r="N456" t="s">
        <v>3810</v>
      </c>
      <c r="O456" t="s">
        <v>3811</v>
      </c>
      <c r="P456" t="s">
        <v>45</v>
      </c>
      <c r="Q456">
        <v>2</v>
      </c>
      <c r="R456" t="s">
        <v>429</v>
      </c>
      <c r="S456" t="s">
        <v>28</v>
      </c>
      <c r="T456" t="str">
        <f>VLOOKUP(S456,'Mapa Oficinas'!$H$7:$I$16,2,FALSE)</f>
        <v>CB</v>
      </c>
      <c r="U456" t="s">
        <v>29</v>
      </c>
      <c r="V456" t="str">
        <f>VLOOKUP($R456,'Mapa Oficinas'!$A$7:$C$46,2,FALSE)</f>
        <v>Zona Oeste (GBA)</v>
      </c>
      <c r="W456" t="str">
        <f>VLOOKUP($R456,'Mapa Oficinas'!$A$7:$C$46,3,FALSE)</f>
        <v>Parque Leloir</v>
      </c>
    </row>
    <row r="457" spans="1:23" x14ac:dyDescent="0.2">
      <c r="A457" s="1">
        <v>45898</v>
      </c>
      <c r="B457" s="20">
        <f t="shared" si="14"/>
        <v>2025</v>
      </c>
      <c r="C457" s="20">
        <f t="shared" si="15"/>
        <v>8</v>
      </c>
      <c r="D457" t="s">
        <v>3862</v>
      </c>
      <c r="E457" s="49">
        <v>1</v>
      </c>
      <c r="F457" t="s">
        <v>3863</v>
      </c>
      <c r="G457" t="s">
        <v>21</v>
      </c>
      <c r="H457" t="s">
        <v>37</v>
      </c>
      <c r="I457" s="13">
        <v>38500</v>
      </c>
      <c r="J457" s="13">
        <v>60000</v>
      </c>
      <c r="K457" s="13">
        <f>IF(J457&lt;'Mapa Oficinas'!$I$21,0,IF(J457&gt;'Mapa Oficinas'!$I$20,0,1))</f>
        <v>0</v>
      </c>
      <c r="L457" t="s">
        <v>23</v>
      </c>
      <c r="M457" t="s">
        <v>23</v>
      </c>
      <c r="N457" t="s">
        <v>3864</v>
      </c>
      <c r="O457" t="s">
        <v>1260</v>
      </c>
      <c r="P457" t="s">
        <v>45</v>
      </c>
      <c r="Q457">
        <v>2</v>
      </c>
      <c r="R457" t="s">
        <v>429</v>
      </c>
      <c r="S457" t="s">
        <v>28</v>
      </c>
      <c r="T457" t="str">
        <f>VLOOKUP(S457,'Mapa Oficinas'!$H$7:$I$16,2,FALSE)</f>
        <v>CB</v>
      </c>
      <c r="U457" t="s">
        <v>29</v>
      </c>
      <c r="V457" t="str">
        <f>VLOOKUP($R457,'Mapa Oficinas'!$A$7:$C$46,2,FALSE)</f>
        <v>Zona Oeste (GBA)</v>
      </c>
      <c r="W457" t="str">
        <f>VLOOKUP($R457,'Mapa Oficinas'!$A$7:$C$46,3,FALSE)</f>
        <v>Parque Leloir</v>
      </c>
    </row>
    <row r="458" spans="1:23" x14ac:dyDescent="0.2">
      <c r="A458" s="1">
        <v>45916</v>
      </c>
      <c r="B458" s="20">
        <f t="shared" si="14"/>
        <v>2025</v>
      </c>
      <c r="C458" s="20">
        <f t="shared" si="15"/>
        <v>9</v>
      </c>
      <c r="D458" t="s">
        <v>4181</v>
      </c>
      <c r="E458" s="49">
        <v>1</v>
      </c>
      <c r="F458" t="s">
        <v>4182</v>
      </c>
      <c r="G458" t="s">
        <v>21</v>
      </c>
      <c r="H458" t="s">
        <v>22</v>
      </c>
      <c r="I458" s="13">
        <v>60000</v>
      </c>
      <c r="J458" s="13">
        <v>60000</v>
      </c>
      <c r="K458" s="13">
        <f>IF(J458&lt;'Mapa Oficinas'!$I$21,0,IF(J458&gt;'Mapa Oficinas'!$I$20,0,1))</f>
        <v>0</v>
      </c>
      <c r="L458" t="s">
        <v>23</v>
      </c>
      <c r="M458" t="s">
        <v>23</v>
      </c>
      <c r="N458" t="s">
        <v>4183</v>
      </c>
      <c r="O458" t="s">
        <v>1196</v>
      </c>
      <c r="P458" t="s">
        <v>45</v>
      </c>
      <c r="Q458">
        <v>2</v>
      </c>
      <c r="R458" t="s">
        <v>62</v>
      </c>
      <c r="S458" t="s">
        <v>28</v>
      </c>
      <c r="T458" t="str">
        <f>VLOOKUP(S458,'Mapa Oficinas'!$H$7:$I$16,2,FALSE)</f>
        <v>CB</v>
      </c>
      <c r="U458" t="s">
        <v>29</v>
      </c>
      <c r="V458" t="str">
        <f>VLOOKUP($R458,'Mapa Oficinas'!$A$7:$C$46,2,FALSE)</f>
        <v>CABA</v>
      </c>
      <c r="W458" t="str">
        <f>VLOOKUP($R458,'Mapa Oficinas'!$A$7:$C$46,3,FALSE)</f>
        <v>Villa Urquiza</v>
      </c>
    </row>
    <row r="459" spans="1:23" x14ac:dyDescent="0.2">
      <c r="A459" s="1">
        <v>45951</v>
      </c>
      <c r="B459" s="20">
        <f t="shared" si="14"/>
        <v>2025</v>
      </c>
      <c r="C459" s="20">
        <f t="shared" si="15"/>
        <v>10</v>
      </c>
      <c r="D459" t="s">
        <v>4810</v>
      </c>
      <c r="E459" s="49">
        <v>1</v>
      </c>
      <c r="F459" t="s">
        <v>4811</v>
      </c>
      <c r="G459" t="s">
        <v>21</v>
      </c>
      <c r="H459" t="s">
        <v>37</v>
      </c>
      <c r="I459" s="13">
        <v>69500</v>
      </c>
      <c r="J459" s="13">
        <v>60000</v>
      </c>
      <c r="K459" s="13">
        <f>IF(J459&lt;'Mapa Oficinas'!$I$21,0,IF(J459&gt;'Mapa Oficinas'!$I$20,0,1))</f>
        <v>0</v>
      </c>
      <c r="L459" t="s">
        <v>23</v>
      </c>
      <c r="M459" t="s">
        <v>23</v>
      </c>
      <c r="N459" t="s">
        <v>4812</v>
      </c>
      <c r="O459" t="s">
        <v>92</v>
      </c>
      <c r="P459" t="s">
        <v>45</v>
      </c>
      <c r="Q459">
        <v>2</v>
      </c>
      <c r="R459" t="s">
        <v>67</v>
      </c>
      <c r="S459" t="s">
        <v>28</v>
      </c>
      <c r="T459" t="str">
        <f>VLOOKUP(S459,'Mapa Oficinas'!$H$7:$I$16,2,FALSE)</f>
        <v>CB</v>
      </c>
      <c r="U459" t="s">
        <v>29</v>
      </c>
      <c r="V459" t="str">
        <f>VLOOKUP($R459,'Mapa Oficinas'!$A$7:$C$46,2,FALSE)</f>
        <v>CABA</v>
      </c>
      <c r="W459" t="str">
        <f>VLOOKUP($R459,'Mapa Oficinas'!$A$7:$C$46,3,FALSE)</f>
        <v>Barrio Parque</v>
      </c>
    </row>
    <row r="460" spans="1:23" x14ac:dyDescent="0.2">
      <c r="A460" s="1">
        <v>45954</v>
      </c>
      <c r="B460" s="20">
        <f t="shared" si="14"/>
        <v>2025</v>
      </c>
      <c r="C460" s="20">
        <f t="shared" si="15"/>
        <v>10</v>
      </c>
      <c r="D460" t="s">
        <v>4891</v>
      </c>
      <c r="E460" s="49">
        <v>1</v>
      </c>
      <c r="F460" t="s">
        <v>4892</v>
      </c>
      <c r="G460" t="s">
        <v>21</v>
      </c>
      <c r="H460" t="s">
        <v>37</v>
      </c>
      <c r="I460" s="13">
        <v>66000</v>
      </c>
      <c r="J460" s="13">
        <v>60000</v>
      </c>
      <c r="K460" s="13">
        <f>IF(J460&lt;'Mapa Oficinas'!$I$21,0,IF(J460&gt;'Mapa Oficinas'!$I$20,0,1))</f>
        <v>0</v>
      </c>
      <c r="L460" t="s">
        <v>23</v>
      </c>
      <c r="M460" t="s">
        <v>23</v>
      </c>
      <c r="N460" t="s">
        <v>4893</v>
      </c>
      <c r="O460" t="s">
        <v>1907</v>
      </c>
      <c r="P460" t="s">
        <v>45</v>
      </c>
      <c r="Q460">
        <v>2</v>
      </c>
      <c r="R460" t="s">
        <v>67</v>
      </c>
      <c r="S460" t="s">
        <v>28</v>
      </c>
      <c r="T460" t="str">
        <f>VLOOKUP(S460,'Mapa Oficinas'!$H$7:$I$16,2,FALSE)</f>
        <v>CB</v>
      </c>
      <c r="U460" t="s">
        <v>29</v>
      </c>
      <c r="V460" t="str">
        <f>VLOOKUP($R460,'Mapa Oficinas'!$A$7:$C$46,2,FALSE)</f>
        <v>CABA</v>
      </c>
      <c r="W460" t="str">
        <f>VLOOKUP($R460,'Mapa Oficinas'!$A$7:$C$46,3,FALSE)</f>
        <v>Barrio Parque</v>
      </c>
    </row>
    <row r="461" spans="1:23" x14ac:dyDescent="0.2">
      <c r="A461" s="1">
        <v>45972</v>
      </c>
      <c r="B461" s="20">
        <f t="shared" si="14"/>
        <v>2025</v>
      </c>
      <c r="C461" s="20">
        <f t="shared" si="15"/>
        <v>11</v>
      </c>
      <c r="D461" t="s">
        <v>5129</v>
      </c>
      <c r="E461" s="49">
        <v>1</v>
      </c>
      <c r="F461" t="s">
        <v>5130</v>
      </c>
      <c r="G461" t="s">
        <v>21</v>
      </c>
      <c r="H461" t="s">
        <v>37</v>
      </c>
      <c r="I461" s="13">
        <v>62000</v>
      </c>
      <c r="J461" s="13">
        <v>60000</v>
      </c>
      <c r="K461" s="13">
        <f>IF(J461&lt;'Mapa Oficinas'!$I$21,0,IF(J461&gt;'Mapa Oficinas'!$I$20,0,1))</f>
        <v>0</v>
      </c>
      <c r="L461" t="s">
        <v>23</v>
      </c>
      <c r="M461" t="s">
        <v>23</v>
      </c>
      <c r="N461" t="s">
        <v>5131</v>
      </c>
      <c r="O461" t="s">
        <v>1321</v>
      </c>
      <c r="P461" t="s">
        <v>34</v>
      </c>
      <c r="Q461">
        <v>2</v>
      </c>
      <c r="R461" t="s">
        <v>151</v>
      </c>
      <c r="S461" t="s">
        <v>28</v>
      </c>
      <c r="T461" t="str">
        <f>VLOOKUP(S461,'Mapa Oficinas'!$H$7:$I$16,2,FALSE)</f>
        <v>CB</v>
      </c>
      <c r="U461" t="s">
        <v>29</v>
      </c>
      <c r="V461" t="str">
        <f>VLOOKUP($R461,'Mapa Oficinas'!$A$7:$C$46,2,FALSE)</f>
        <v>Interior - Mendoza</v>
      </c>
      <c r="W461" t="str">
        <f>VLOOKUP($R461,'Mapa Oficinas'!$A$7:$C$46,3,FALSE)</f>
        <v>Capital Mendoza</v>
      </c>
    </row>
    <row r="462" spans="1:23" x14ac:dyDescent="0.2">
      <c r="A462" s="1">
        <v>45992</v>
      </c>
      <c r="B462" s="20">
        <f t="shared" si="14"/>
        <v>2025</v>
      </c>
      <c r="C462" s="20">
        <f t="shared" si="15"/>
        <v>12</v>
      </c>
      <c r="D462" t="s">
        <v>5501</v>
      </c>
      <c r="E462" s="49">
        <v>1</v>
      </c>
      <c r="F462" t="s">
        <v>5502</v>
      </c>
      <c r="G462" t="s">
        <v>21</v>
      </c>
      <c r="H462" t="s">
        <v>37</v>
      </c>
      <c r="I462" s="13">
        <v>60000</v>
      </c>
      <c r="J462" s="13">
        <v>60000</v>
      </c>
      <c r="K462" s="13">
        <f>IF(J462&lt;'Mapa Oficinas'!$I$21,0,IF(J462&gt;'Mapa Oficinas'!$I$20,0,1))</f>
        <v>0</v>
      </c>
      <c r="L462" t="s">
        <v>23</v>
      </c>
      <c r="M462" t="s">
        <v>23</v>
      </c>
      <c r="N462" t="s">
        <v>5503</v>
      </c>
      <c r="O462" t="s">
        <v>1654</v>
      </c>
      <c r="P462" t="s">
        <v>45</v>
      </c>
      <c r="Q462">
        <v>2</v>
      </c>
      <c r="R462" t="s">
        <v>151</v>
      </c>
      <c r="S462" t="s">
        <v>28</v>
      </c>
      <c r="T462" t="str">
        <f>VLOOKUP(S462,'Mapa Oficinas'!$H$7:$I$16,2,FALSE)</f>
        <v>CB</v>
      </c>
      <c r="U462" t="s">
        <v>29</v>
      </c>
      <c r="V462" t="str">
        <f>VLOOKUP($R462,'Mapa Oficinas'!$A$7:$C$46,2,FALSE)</f>
        <v>Interior - Mendoza</v>
      </c>
      <c r="W462" t="str">
        <f>VLOOKUP($R462,'Mapa Oficinas'!$A$7:$C$46,3,FALSE)</f>
        <v>Capital Mendoza</v>
      </c>
    </row>
    <row r="463" spans="1:23" x14ac:dyDescent="0.2">
      <c r="A463" s="1">
        <v>46014</v>
      </c>
      <c r="B463" s="20">
        <f t="shared" si="14"/>
        <v>2025</v>
      </c>
      <c r="C463" s="20">
        <f t="shared" si="15"/>
        <v>12</v>
      </c>
      <c r="D463" t="s">
        <v>5963</v>
      </c>
      <c r="E463" s="49">
        <v>1</v>
      </c>
      <c r="F463" t="s">
        <v>5964</v>
      </c>
      <c r="G463" t="s">
        <v>21</v>
      </c>
      <c r="H463" t="s">
        <v>37</v>
      </c>
      <c r="I463" s="13">
        <v>62000</v>
      </c>
      <c r="J463" s="13">
        <v>60000</v>
      </c>
      <c r="K463" s="13">
        <f>IF(J463&lt;'Mapa Oficinas'!$I$21,0,IF(J463&gt;'Mapa Oficinas'!$I$20,0,1))</f>
        <v>0</v>
      </c>
      <c r="L463" t="s">
        <v>23</v>
      </c>
      <c r="M463" t="s">
        <v>23</v>
      </c>
      <c r="N463" t="s">
        <v>5965</v>
      </c>
      <c r="O463" t="s">
        <v>577</v>
      </c>
      <c r="P463" t="s">
        <v>45</v>
      </c>
      <c r="Q463">
        <v>2</v>
      </c>
      <c r="R463" t="s">
        <v>151</v>
      </c>
      <c r="S463" t="s">
        <v>28</v>
      </c>
      <c r="T463" t="str">
        <f>VLOOKUP(S463,'Mapa Oficinas'!$H$7:$I$16,2,FALSE)</f>
        <v>CB</v>
      </c>
      <c r="U463" t="s">
        <v>29</v>
      </c>
      <c r="V463" t="str">
        <f>VLOOKUP($R463,'Mapa Oficinas'!$A$7:$C$46,2,FALSE)</f>
        <v>Interior - Mendoza</v>
      </c>
      <c r="W463" t="str">
        <f>VLOOKUP($R463,'Mapa Oficinas'!$A$7:$C$46,3,FALSE)</f>
        <v>Capital Mendoza</v>
      </c>
    </row>
    <row r="464" spans="1:23" x14ac:dyDescent="0.2">
      <c r="A464" s="1">
        <v>46053</v>
      </c>
      <c r="B464" s="20">
        <f t="shared" si="14"/>
        <v>2026</v>
      </c>
      <c r="C464" s="20">
        <f t="shared" si="15"/>
        <v>1</v>
      </c>
      <c r="D464" t="s">
        <v>2521</v>
      </c>
      <c r="E464" s="49">
        <v>1</v>
      </c>
      <c r="F464" t="s">
        <v>2522</v>
      </c>
      <c r="G464" t="s">
        <v>21</v>
      </c>
      <c r="H464" t="s">
        <v>76</v>
      </c>
      <c r="I464" s="13">
        <v>70000</v>
      </c>
      <c r="J464" s="13">
        <v>60000</v>
      </c>
      <c r="K464" s="13">
        <f>IF(J464&lt;'Mapa Oficinas'!$I$21,0,IF(J464&gt;'Mapa Oficinas'!$I$20,0,1))</f>
        <v>0</v>
      </c>
      <c r="L464" t="s">
        <v>23</v>
      </c>
      <c r="M464" t="s">
        <v>23</v>
      </c>
      <c r="N464" t="s">
        <v>2523</v>
      </c>
      <c r="O464" t="s">
        <v>129</v>
      </c>
      <c r="P464" t="s">
        <v>34</v>
      </c>
      <c r="Q464">
        <v>2</v>
      </c>
      <c r="R464" t="s">
        <v>130</v>
      </c>
      <c r="S464" t="s">
        <v>28</v>
      </c>
      <c r="T464" t="str">
        <f>VLOOKUP(S464,'Mapa Oficinas'!$H$7:$I$16,2,FALSE)</f>
        <v>CB</v>
      </c>
      <c r="U464" t="s">
        <v>29</v>
      </c>
      <c r="V464" t="str">
        <f>VLOOKUP($R464,'Mapa Oficinas'!$A$7:$C$46,2,FALSE)</f>
        <v>Interior - Neuquén</v>
      </c>
      <c r="W464" t="str">
        <f>VLOOKUP($R464,'Mapa Oficinas'!$A$7:$C$46,3,FALSE)</f>
        <v>San Martín de los Andes</v>
      </c>
    </row>
    <row r="465" spans="1:23" x14ac:dyDescent="0.2">
      <c r="A465" s="1">
        <v>46059</v>
      </c>
      <c r="B465" s="20">
        <f t="shared" si="14"/>
        <v>2026</v>
      </c>
      <c r="C465" s="20">
        <f t="shared" si="15"/>
        <v>2</v>
      </c>
      <c r="D465" t="s">
        <v>6568</v>
      </c>
      <c r="E465" s="49">
        <v>1</v>
      </c>
      <c r="F465" t="s">
        <v>6569</v>
      </c>
      <c r="G465" t="s">
        <v>21</v>
      </c>
      <c r="H465" t="s">
        <v>90</v>
      </c>
      <c r="I465" s="13">
        <v>60000</v>
      </c>
      <c r="J465" s="13">
        <v>60000</v>
      </c>
      <c r="K465" s="13">
        <f>IF(J465&lt;'Mapa Oficinas'!$I$21,0,IF(J465&gt;'Mapa Oficinas'!$I$20,0,1))</f>
        <v>0</v>
      </c>
      <c r="L465" t="s">
        <v>23</v>
      </c>
      <c r="M465" t="s">
        <v>23</v>
      </c>
      <c r="N465" t="s">
        <v>6570</v>
      </c>
      <c r="O465" t="s">
        <v>236</v>
      </c>
      <c r="P465" t="s">
        <v>45</v>
      </c>
      <c r="Q465">
        <v>2</v>
      </c>
      <c r="R465" t="s">
        <v>56</v>
      </c>
      <c r="S465" t="s">
        <v>28</v>
      </c>
      <c r="T465" t="str">
        <f>VLOOKUP(S465,'Mapa Oficinas'!$H$7:$I$16,2,FALSE)</f>
        <v>CB</v>
      </c>
      <c r="U465" t="s">
        <v>29</v>
      </c>
      <c r="V465" t="str">
        <f>VLOOKUP($R465,'Mapa Oficinas'!$A$7:$C$46,2,FALSE)</f>
        <v>Zona Norte (GBA)</v>
      </c>
      <c r="W465" t="str">
        <f>VLOOKUP($R465,'Mapa Oficinas'!$A$7:$C$46,3,FALSE)</f>
        <v>Vicente López</v>
      </c>
    </row>
    <row r="466" spans="1:23" x14ac:dyDescent="0.2">
      <c r="A466" s="1">
        <v>46062</v>
      </c>
      <c r="B466" s="20">
        <f t="shared" si="14"/>
        <v>2026</v>
      </c>
      <c r="C466" s="20">
        <f t="shared" si="15"/>
        <v>2</v>
      </c>
      <c r="D466" t="s">
        <v>6586</v>
      </c>
      <c r="E466" s="49">
        <v>1</v>
      </c>
      <c r="F466" t="s">
        <v>6587</v>
      </c>
      <c r="G466" t="s">
        <v>21</v>
      </c>
      <c r="H466" t="s">
        <v>22</v>
      </c>
      <c r="I466" s="13">
        <v>64900</v>
      </c>
      <c r="J466" s="13">
        <v>60000</v>
      </c>
      <c r="K466" s="13">
        <f>IF(J466&lt;'Mapa Oficinas'!$I$21,0,IF(J466&gt;'Mapa Oficinas'!$I$20,0,1))</f>
        <v>0</v>
      </c>
      <c r="L466" t="s">
        <v>23</v>
      </c>
      <c r="M466" t="s">
        <v>23</v>
      </c>
      <c r="N466" t="s">
        <v>6588</v>
      </c>
      <c r="O466" t="s">
        <v>4126</v>
      </c>
      <c r="P466" t="s">
        <v>45</v>
      </c>
      <c r="Q466">
        <v>2</v>
      </c>
      <c r="R466" t="s">
        <v>62</v>
      </c>
      <c r="S466" t="s">
        <v>28</v>
      </c>
      <c r="T466" t="str">
        <f>VLOOKUP(S466,'Mapa Oficinas'!$H$7:$I$16,2,FALSE)</f>
        <v>CB</v>
      </c>
      <c r="U466" t="s">
        <v>29</v>
      </c>
      <c r="V466" t="str">
        <f>VLOOKUP($R466,'Mapa Oficinas'!$A$7:$C$46,2,FALSE)</f>
        <v>CABA</v>
      </c>
      <c r="W466" t="str">
        <f>VLOOKUP($R466,'Mapa Oficinas'!$A$7:$C$46,3,FALSE)</f>
        <v>Villa Urquiza</v>
      </c>
    </row>
    <row r="467" spans="1:23" x14ac:dyDescent="0.2">
      <c r="A467" s="1">
        <v>46097</v>
      </c>
      <c r="B467" s="20">
        <f t="shared" si="14"/>
        <v>2026</v>
      </c>
      <c r="C467" s="20">
        <f t="shared" si="15"/>
        <v>3</v>
      </c>
      <c r="D467" t="s">
        <v>7194</v>
      </c>
      <c r="E467" s="49">
        <v>1</v>
      </c>
      <c r="F467" t="s">
        <v>7195</v>
      </c>
      <c r="G467" t="s">
        <v>21</v>
      </c>
      <c r="H467" t="s">
        <v>37</v>
      </c>
      <c r="I467" s="13">
        <v>65000</v>
      </c>
      <c r="J467" s="13">
        <v>60000</v>
      </c>
      <c r="K467" s="13">
        <f>IF(J467&lt;'Mapa Oficinas'!$I$21,0,IF(J467&gt;'Mapa Oficinas'!$I$20,0,1))</f>
        <v>0</v>
      </c>
      <c r="L467" t="s">
        <v>23</v>
      </c>
      <c r="M467" t="s">
        <v>23</v>
      </c>
      <c r="N467" t="s">
        <v>7196</v>
      </c>
      <c r="O467" t="s">
        <v>274</v>
      </c>
      <c r="P467" t="s">
        <v>45</v>
      </c>
      <c r="Q467">
        <v>2</v>
      </c>
      <c r="R467" t="s">
        <v>5631</v>
      </c>
      <c r="S467" t="s">
        <v>28</v>
      </c>
      <c r="T467" t="str">
        <f>VLOOKUP(S467,'Mapa Oficinas'!$H$7:$I$16,2,FALSE)</f>
        <v>CB</v>
      </c>
      <c r="U467" t="s">
        <v>29</v>
      </c>
      <c r="V467" t="str">
        <f>VLOOKUP($R467,'Mapa Oficinas'!$A$7:$C$46,2,FALSE)</f>
        <v>CABA</v>
      </c>
      <c r="W467" t="str">
        <f>VLOOKUP($R467,'Mapa Oficinas'!$A$7:$C$46,3,FALSE)</f>
        <v>Caballito</v>
      </c>
    </row>
    <row r="468" spans="1:23" x14ac:dyDescent="0.2">
      <c r="A468" s="1">
        <v>45755</v>
      </c>
      <c r="B468" s="20">
        <f t="shared" si="14"/>
        <v>2025</v>
      </c>
      <c r="C468" s="20">
        <f t="shared" si="15"/>
        <v>4</v>
      </c>
      <c r="D468">
        <v>5</v>
      </c>
      <c r="E468" s="49">
        <v>1</v>
      </c>
      <c r="F468" t="s">
        <v>1331</v>
      </c>
      <c r="G468" t="s">
        <v>21</v>
      </c>
      <c r="H468" t="s">
        <v>37</v>
      </c>
      <c r="I468" s="13">
        <v>57000</v>
      </c>
      <c r="J468" s="13">
        <v>61000</v>
      </c>
      <c r="K468" s="13">
        <f>IF(J468&lt;'Mapa Oficinas'!$I$21,0,IF(J468&gt;'Mapa Oficinas'!$I$20,0,1))</f>
        <v>0</v>
      </c>
      <c r="L468" t="s">
        <v>23</v>
      </c>
      <c r="M468" t="s">
        <v>23</v>
      </c>
      <c r="N468" t="s">
        <v>1332</v>
      </c>
      <c r="O468" t="s">
        <v>965</v>
      </c>
      <c r="P468" t="s">
        <v>45</v>
      </c>
      <c r="Q468">
        <v>1</v>
      </c>
      <c r="R468" t="s">
        <v>1024</v>
      </c>
      <c r="S468" t="s">
        <v>47</v>
      </c>
      <c r="T468" t="str">
        <f>VLOOKUP(S468,'Mapa Oficinas'!$H$7:$I$16,2,FALSE)</f>
        <v>Otra Red Búsqueda</v>
      </c>
      <c r="U468" t="s">
        <v>29</v>
      </c>
      <c r="V468" t="str">
        <f>VLOOKUP($R468,'Mapa Oficinas'!$A$7:$C$46,2,FALSE)</f>
        <v>CABA</v>
      </c>
      <c r="W468" t="str">
        <f>VLOOKUP($R468,'Mapa Oficinas'!$A$7:$C$46,3,FALSE)</f>
        <v>Puerto Madero</v>
      </c>
    </row>
    <row r="469" spans="1:23" x14ac:dyDescent="0.2">
      <c r="A469" s="1">
        <v>45756</v>
      </c>
      <c r="B469" s="20">
        <f t="shared" si="14"/>
        <v>2025</v>
      </c>
      <c r="C469" s="20">
        <f t="shared" si="15"/>
        <v>4</v>
      </c>
      <c r="D469" t="s">
        <v>1350</v>
      </c>
      <c r="E469" s="49">
        <v>1</v>
      </c>
      <c r="F469" t="s">
        <v>1351</v>
      </c>
      <c r="G469" t="s">
        <v>21</v>
      </c>
      <c r="H469" t="s">
        <v>37</v>
      </c>
      <c r="I469" s="13">
        <v>65000</v>
      </c>
      <c r="J469" s="13">
        <v>61000</v>
      </c>
      <c r="K469" s="13">
        <f>IF(J469&lt;'Mapa Oficinas'!$I$21,0,IF(J469&gt;'Mapa Oficinas'!$I$20,0,1))</f>
        <v>0</v>
      </c>
      <c r="L469" t="s">
        <v>23</v>
      </c>
      <c r="M469" t="s">
        <v>23</v>
      </c>
      <c r="N469" t="s">
        <v>1352</v>
      </c>
      <c r="O469" t="s">
        <v>114</v>
      </c>
      <c r="P469" t="s">
        <v>45</v>
      </c>
      <c r="Q469">
        <v>2</v>
      </c>
      <c r="R469" t="s">
        <v>67</v>
      </c>
      <c r="S469" t="s">
        <v>28</v>
      </c>
      <c r="T469" t="str">
        <f>VLOOKUP(S469,'Mapa Oficinas'!$H$7:$I$16,2,FALSE)</f>
        <v>CB</v>
      </c>
      <c r="U469" t="s">
        <v>29</v>
      </c>
      <c r="V469" t="str">
        <f>VLOOKUP($R469,'Mapa Oficinas'!$A$7:$C$46,2,FALSE)</f>
        <v>CABA</v>
      </c>
      <c r="W469" t="str">
        <f>VLOOKUP($R469,'Mapa Oficinas'!$A$7:$C$46,3,FALSE)</f>
        <v>Barrio Parque</v>
      </c>
    </row>
    <row r="470" spans="1:23" x14ac:dyDescent="0.2">
      <c r="A470" s="1">
        <v>45835</v>
      </c>
      <c r="B470" s="20">
        <f t="shared" si="14"/>
        <v>2025</v>
      </c>
      <c r="C470" s="20">
        <f t="shared" si="15"/>
        <v>6</v>
      </c>
      <c r="D470" t="s">
        <v>2685</v>
      </c>
      <c r="E470" s="49">
        <v>1</v>
      </c>
      <c r="F470" t="s">
        <v>2686</v>
      </c>
      <c r="G470" t="s">
        <v>21</v>
      </c>
      <c r="H470" t="s">
        <v>37</v>
      </c>
      <c r="I470" s="13">
        <v>64500</v>
      </c>
      <c r="J470" s="13">
        <v>61000</v>
      </c>
      <c r="K470" s="13">
        <f>IF(J470&lt;'Mapa Oficinas'!$I$21,0,IF(J470&gt;'Mapa Oficinas'!$I$20,0,1))</f>
        <v>0</v>
      </c>
      <c r="L470" t="s">
        <v>23</v>
      </c>
      <c r="M470" t="s">
        <v>23</v>
      </c>
      <c r="N470" t="s">
        <v>2687</v>
      </c>
      <c r="O470" t="s">
        <v>534</v>
      </c>
      <c r="P470" t="s">
        <v>45</v>
      </c>
      <c r="Q470">
        <v>2</v>
      </c>
      <c r="R470" t="s">
        <v>56</v>
      </c>
      <c r="S470" t="s">
        <v>28</v>
      </c>
      <c r="T470" t="str">
        <f>VLOOKUP(S470,'Mapa Oficinas'!$H$7:$I$16,2,FALSE)</f>
        <v>CB</v>
      </c>
      <c r="U470" t="s">
        <v>29</v>
      </c>
      <c r="V470" t="str">
        <f>VLOOKUP($R470,'Mapa Oficinas'!$A$7:$C$46,2,FALSE)</f>
        <v>Zona Norte (GBA)</v>
      </c>
      <c r="W470" t="str">
        <f>VLOOKUP($R470,'Mapa Oficinas'!$A$7:$C$46,3,FALSE)</f>
        <v>Vicente López</v>
      </c>
    </row>
    <row r="471" spans="1:23" x14ac:dyDescent="0.2">
      <c r="A471" s="1">
        <v>45912</v>
      </c>
      <c r="B471" s="20">
        <f t="shared" si="14"/>
        <v>2025</v>
      </c>
      <c r="C471" s="20">
        <f t="shared" si="15"/>
        <v>9</v>
      </c>
      <c r="D471" t="s">
        <v>4099</v>
      </c>
      <c r="E471" s="49">
        <v>1</v>
      </c>
      <c r="F471" t="s">
        <v>4100</v>
      </c>
      <c r="G471" t="s">
        <v>21</v>
      </c>
      <c r="H471" t="s">
        <v>37</v>
      </c>
      <c r="I471" s="13">
        <v>66000</v>
      </c>
      <c r="J471" s="13">
        <v>61000</v>
      </c>
      <c r="K471" s="13">
        <f>IF(J471&lt;'Mapa Oficinas'!$I$21,0,IF(J471&gt;'Mapa Oficinas'!$I$20,0,1))</f>
        <v>0</v>
      </c>
      <c r="L471" t="s">
        <v>23</v>
      </c>
      <c r="M471" t="s">
        <v>23</v>
      </c>
      <c r="N471" t="s">
        <v>4101</v>
      </c>
      <c r="O471" t="s">
        <v>4102</v>
      </c>
      <c r="P471" t="s">
        <v>45</v>
      </c>
      <c r="Q471">
        <v>2</v>
      </c>
      <c r="R471" t="s">
        <v>67</v>
      </c>
      <c r="S471" t="s">
        <v>28</v>
      </c>
      <c r="T471" t="str">
        <f>VLOOKUP(S471,'Mapa Oficinas'!$H$7:$I$16,2,FALSE)</f>
        <v>CB</v>
      </c>
      <c r="U471" t="s">
        <v>29</v>
      </c>
      <c r="V471" t="str">
        <f>VLOOKUP($R471,'Mapa Oficinas'!$A$7:$C$46,2,FALSE)</f>
        <v>CABA</v>
      </c>
      <c r="W471" t="str">
        <f>VLOOKUP($R471,'Mapa Oficinas'!$A$7:$C$46,3,FALSE)</f>
        <v>Barrio Parque</v>
      </c>
    </row>
    <row r="472" spans="1:23" x14ac:dyDescent="0.2">
      <c r="A472" s="1">
        <v>45974</v>
      </c>
      <c r="B472" s="20">
        <f t="shared" si="14"/>
        <v>2025</v>
      </c>
      <c r="C472" s="20">
        <f t="shared" si="15"/>
        <v>11</v>
      </c>
      <c r="D472" t="s">
        <v>5193</v>
      </c>
      <c r="E472" s="49">
        <v>1</v>
      </c>
      <c r="F472" t="s">
        <v>5194</v>
      </c>
      <c r="G472" t="s">
        <v>21</v>
      </c>
      <c r="H472" t="s">
        <v>37</v>
      </c>
      <c r="I472" s="13">
        <v>63000</v>
      </c>
      <c r="J472" s="13">
        <v>61000</v>
      </c>
      <c r="K472" s="13">
        <f>IF(J472&lt;'Mapa Oficinas'!$I$21,0,IF(J472&gt;'Mapa Oficinas'!$I$20,0,1))</f>
        <v>0</v>
      </c>
      <c r="L472" t="s">
        <v>23</v>
      </c>
      <c r="M472" t="s">
        <v>23</v>
      </c>
      <c r="N472" t="s">
        <v>5195</v>
      </c>
      <c r="O472" t="s">
        <v>2669</v>
      </c>
      <c r="P472" t="s">
        <v>45</v>
      </c>
      <c r="Q472">
        <v>2</v>
      </c>
      <c r="R472" t="s">
        <v>372</v>
      </c>
      <c r="S472" t="s">
        <v>28</v>
      </c>
      <c r="T472" t="str">
        <f>VLOOKUP(S472,'Mapa Oficinas'!$H$7:$I$16,2,FALSE)</f>
        <v>CB</v>
      </c>
      <c r="U472" t="s">
        <v>29</v>
      </c>
      <c r="V472" t="str">
        <f>VLOOKUP($R472,'Mapa Oficinas'!$A$7:$C$46,2,FALSE)</f>
        <v>CABA</v>
      </c>
      <c r="W472" t="str">
        <f>VLOOKUP($R472,'Mapa Oficinas'!$A$7:$C$46,3,FALSE)</f>
        <v>Caballito</v>
      </c>
    </row>
    <row r="473" spans="1:23" x14ac:dyDescent="0.2">
      <c r="A473" s="1">
        <v>46093</v>
      </c>
      <c r="B473" s="20">
        <f t="shared" si="14"/>
        <v>2026</v>
      </c>
      <c r="C473" s="20">
        <f t="shared" si="15"/>
        <v>3</v>
      </c>
      <c r="D473" t="s">
        <v>7126</v>
      </c>
      <c r="E473" s="49">
        <v>1</v>
      </c>
      <c r="F473" t="s">
        <v>7127</v>
      </c>
      <c r="G473" t="s">
        <v>21</v>
      </c>
      <c r="H473" t="s">
        <v>100</v>
      </c>
      <c r="I473" s="13">
        <v>64000</v>
      </c>
      <c r="J473" s="13">
        <v>61000</v>
      </c>
      <c r="K473" s="13">
        <f>IF(J473&lt;'Mapa Oficinas'!$I$21,0,IF(J473&gt;'Mapa Oficinas'!$I$20,0,1))</f>
        <v>0</v>
      </c>
      <c r="L473" t="s">
        <v>23</v>
      </c>
      <c r="M473" t="s">
        <v>23</v>
      </c>
      <c r="N473" t="s">
        <v>7128</v>
      </c>
      <c r="O473" t="s">
        <v>7129</v>
      </c>
      <c r="P473" t="s">
        <v>26</v>
      </c>
      <c r="Q473">
        <v>2</v>
      </c>
      <c r="R473" t="s">
        <v>121</v>
      </c>
      <c r="S473" t="s">
        <v>28</v>
      </c>
      <c r="T473" t="str">
        <f>VLOOKUP(S473,'Mapa Oficinas'!$H$7:$I$16,2,FALSE)</f>
        <v>CB</v>
      </c>
      <c r="U473" t="s">
        <v>29</v>
      </c>
      <c r="V473" t="str">
        <f>VLOOKUP($R473,'Mapa Oficinas'!$A$7:$C$46,2,FALSE)</f>
        <v>Interior - Río Negro</v>
      </c>
      <c r="W473" t="str">
        <f>VLOOKUP($R473,'Mapa Oficinas'!$A$7:$C$46,3,FALSE)</f>
        <v>Bariloche</v>
      </c>
    </row>
    <row r="474" spans="1:23" x14ac:dyDescent="0.2">
      <c r="A474" s="1">
        <v>45975</v>
      </c>
      <c r="B474" s="20">
        <f t="shared" si="14"/>
        <v>2025</v>
      </c>
      <c r="C474" s="20">
        <f t="shared" si="15"/>
        <v>11</v>
      </c>
      <c r="D474" t="s">
        <v>5224</v>
      </c>
      <c r="E474" s="49">
        <v>1</v>
      </c>
      <c r="F474" t="s">
        <v>5225</v>
      </c>
      <c r="G474" t="s">
        <v>21</v>
      </c>
      <c r="H474" t="s">
        <v>37</v>
      </c>
      <c r="I474" s="13">
        <v>61500</v>
      </c>
      <c r="J474" s="13">
        <v>61500</v>
      </c>
      <c r="K474" s="13">
        <f>IF(J474&lt;'Mapa Oficinas'!$I$21,0,IF(J474&gt;'Mapa Oficinas'!$I$20,0,1))</f>
        <v>0</v>
      </c>
      <c r="L474" t="s">
        <v>23</v>
      </c>
      <c r="M474" t="s">
        <v>23</v>
      </c>
      <c r="N474" t="s">
        <v>5226</v>
      </c>
      <c r="O474" t="s">
        <v>223</v>
      </c>
      <c r="P474" t="s">
        <v>34</v>
      </c>
      <c r="Q474">
        <v>1</v>
      </c>
      <c r="R474" t="s">
        <v>167</v>
      </c>
      <c r="S474" t="s">
        <v>122</v>
      </c>
      <c r="T474" t="str">
        <f>VLOOKUP(S474,'Mapa Oficinas'!$H$7:$I$16,2,FALSE)</f>
        <v>Otra Red Búsqueda</v>
      </c>
      <c r="U474" t="s">
        <v>29</v>
      </c>
      <c r="V474" t="str">
        <f>VLOOKUP($R474,'Mapa Oficinas'!$A$7:$C$46,2,FALSE)</f>
        <v>Interior - Santa Fe</v>
      </c>
      <c r="W474" t="str">
        <f>VLOOKUP($R474,'Mapa Oficinas'!$A$7:$C$46,3,FALSE)</f>
        <v>Capital Santa Fe</v>
      </c>
    </row>
    <row r="475" spans="1:23" x14ac:dyDescent="0.2">
      <c r="A475" s="1">
        <v>46092</v>
      </c>
      <c r="B475" s="20">
        <f t="shared" si="14"/>
        <v>2026</v>
      </c>
      <c r="C475" s="20">
        <f t="shared" si="15"/>
        <v>3</v>
      </c>
      <c r="D475" t="s">
        <v>7092</v>
      </c>
      <c r="E475" s="49">
        <v>1</v>
      </c>
      <c r="F475" t="s">
        <v>7093</v>
      </c>
      <c r="G475" t="s">
        <v>21</v>
      </c>
      <c r="H475" t="s">
        <v>221</v>
      </c>
      <c r="I475" s="13">
        <v>61500</v>
      </c>
      <c r="J475" s="13">
        <v>61500</v>
      </c>
      <c r="K475" s="13">
        <f>IF(J475&lt;'Mapa Oficinas'!$I$21,0,IF(J475&gt;'Mapa Oficinas'!$I$20,0,1))</f>
        <v>0</v>
      </c>
      <c r="L475" t="s">
        <v>23</v>
      </c>
      <c r="M475" t="s">
        <v>23</v>
      </c>
      <c r="N475" t="s">
        <v>7094</v>
      </c>
      <c r="O475" t="s">
        <v>7095</v>
      </c>
      <c r="P475" t="s">
        <v>45</v>
      </c>
      <c r="Q475">
        <v>1</v>
      </c>
      <c r="R475" t="s">
        <v>167</v>
      </c>
      <c r="S475" t="s">
        <v>152</v>
      </c>
      <c r="T475" t="str">
        <f>VLOOKUP(S475,'Mapa Oficinas'!$H$7:$I$16,2,FALSE)</f>
        <v>Otra Red Captación</v>
      </c>
      <c r="U475" t="s">
        <v>29</v>
      </c>
      <c r="V475" t="str">
        <f>VLOOKUP($R475,'Mapa Oficinas'!$A$7:$C$46,2,FALSE)</f>
        <v>Interior - Santa Fe</v>
      </c>
      <c r="W475" t="str">
        <f>VLOOKUP($R475,'Mapa Oficinas'!$A$7:$C$46,3,FALSE)</f>
        <v>Capital Santa Fe</v>
      </c>
    </row>
    <row r="476" spans="1:23" x14ac:dyDescent="0.2">
      <c r="A476" s="1">
        <v>45868</v>
      </c>
      <c r="B476" s="20">
        <f t="shared" si="14"/>
        <v>2025</v>
      </c>
      <c r="C476" s="20">
        <f t="shared" si="15"/>
        <v>7</v>
      </c>
      <c r="D476" t="s">
        <v>3318</v>
      </c>
      <c r="E476" s="49">
        <v>1</v>
      </c>
      <c r="F476" t="s">
        <v>3319</v>
      </c>
      <c r="G476" t="s">
        <v>21</v>
      </c>
      <c r="H476" t="s">
        <v>76</v>
      </c>
      <c r="I476" s="13">
        <v>65000</v>
      </c>
      <c r="J476" s="13">
        <v>62000</v>
      </c>
      <c r="K476" s="13">
        <f>IF(J476&lt;'Mapa Oficinas'!$I$21,0,IF(J476&gt;'Mapa Oficinas'!$I$20,0,1))</f>
        <v>0</v>
      </c>
      <c r="L476" t="s">
        <v>23</v>
      </c>
      <c r="M476" t="s">
        <v>23</v>
      </c>
      <c r="N476" t="s">
        <v>3320</v>
      </c>
      <c r="O476" t="s">
        <v>223</v>
      </c>
      <c r="P476" t="s">
        <v>45</v>
      </c>
      <c r="Q476">
        <v>1</v>
      </c>
      <c r="R476" t="s">
        <v>167</v>
      </c>
      <c r="S476" t="s">
        <v>122</v>
      </c>
      <c r="T476" t="str">
        <f>VLOOKUP(S476,'Mapa Oficinas'!$H$7:$I$16,2,FALSE)</f>
        <v>Otra Red Búsqueda</v>
      </c>
      <c r="U476" t="s">
        <v>29</v>
      </c>
      <c r="V476" t="str">
        <f>VLOOKUP($R476,'Mapa Oficinas'!$A$7:$C$46,2,FALSE)</f>
        <v>Interior - Santa Fe</v>
      </c>
      <c r="W476" t="str">
        <f>VLOOKUP($R476,'Mapa Oficinas'!$A$7:$C$46,3,FALSE)</f>
        <v>Capital Santa Fe</v>
      </c>
    </row>
    <row r="477" spans="1:23" x14ac:dyDescent="0.2">
      <c r="A477" s="1">
        <v>46006</v>
      </c>
      <c r="B477" s="20">
        <f t="shared" si="14"/>
        <v>2025</v>
      </c>
      <c r="C477" s="20">
        <f t="shared" si="15"/>
        <v>12</v>
      </c>
      <c r="D477" t="s">
        <v>5775</v>
      </c>
      <c r="E477" s="49">
        <v>1</v>
      </c>
      <c r="F477" t="s">
        <v>5776</v>
      </c>
      <c r="G477" t="s">
        <v>21</v>
      </c>
      <c r="H477" t="s">
        <v>37</v>
      </c>
      <c r="I477" s="13">
        <v>62000</v>
      </c>
      <c r="J477" s="13">
        <v>62000</v>
      </c>
      <c r="K477" s="13">
        <f>IF(J477&lt;'Mapa Oficinas'!$I$21,0,IF(J477&gt;'Mapa Oficinas'!$I$20,0,1))</f>
        <v>0</v>
      </c>
      <c r="L477" t="s">
        <v>23</v>
      </c>
      <c r="M477" t="s">
        <v>23</v>
      </c>
      <c r="N477" t="s">
        <v>5777</v>
      </c>
      <c r="O477" t="s">
        <v>3192</v>
      </c>
      <c r="P477" t="s">
        <v>45</v>
      </c>
      <c r="Q477">
        <v>1</v>
      </c>
      <c r="R477" t="s">
        <v>151</v>
      </c>
      <c r="S477" t="s">
        <v>152</v>
      </c>
      <c r="T477" t="str">
        <f>VLOOKUP(S477,'Mapa Oficinas'!$H$7:$I$16,2,FALSE)</f>
        <v>Otra Red Captación</v>
      </c>
      <c r="U477" t="s">
        <v>29</v>
      </c>
      <c r="V477" t="str">
        <f>VLOOKUP($R477,'Mapa Oficinas'!$A$7:$C$46,2,FALSE)</f>
        <v>Interior - Mendoza</v>
      </c>
      <c r="W477" t="str">
        <f>VLOOKUP($R477,'Mapa Oficinas'!$A$7:$C$46,3,FALSE)</f>
        <v>Capital Mendoza</v>
      </c>
    </row>
    <row r="478" spans="1:23" x14ac:dyDescent="0.2">
      <c r="A478" s="1">
        <v>45852</v>
      </c>
      <c r="B478" s="20">
        <f t="shared" si="14"/>
        <v>2025</v>
      </c>
      <c r="C478" s="20">
        <f t="shared" si="15"/>
        <v>7</v>
      </c>
      <c r="D478" t="s">
        <v>3005</v>
      </c>
      <c r="E478" s="49">
        <v>1</v>
      </c>
      <c r="F478" t="s">
        <v>3006</v>
      </c>
      <c r="G478" t="s">
        <v>21</v>
      </c>
      <c r="H478" t="s">
        <v>37</v>
      </c>
      <c r="I478" s="13">
        <v>65000</v>
      </c>
      <c r="J478" s="13">
        <v>62000</v>
      </c>
      <c r="K478" s="13">
        <f>IF(J478&lt;'Mapa Oficinas'!$I$21,0,IF(J478&gt;'Mapa Oficinas'!$I$20,0,1))</f>
        <v>0</v>
      </c>
      <c r="L478" t="s">
        <v>23</v>
      </c>
      <c r="M478" t="s">
        <v>23</v>
      </c>
      <c r="N478" t="s">
        <v>3007</v>
      </c>
      <c r="O478" t="s">
        <v>329</v>
      </c>
      <c r="P478" t="s">
        <v>45</v>
      </c>
      <c r="Q478">
        <v>2</v>
      </c>
      <c r="R478" t="s">
        <v>183</v>
      </c>
      <c r="S478" t="s">
        <v>79</v>
      </c>
      <c r="T478" t="str">
        <f>VLOOKUP(S478,'Mapa Oficinas'!$H$7:$I$16,2,FALSE)</f>
        <v>CB</v>
      </c>
      <c r="U478" t="s">
        <v>29</v>
      </c>
      <c r="V478" t="str">
        <f>VLOOKUP($R478,'Mapa Oficinas'!$A$7:$C$46,2,FALSE)</f>
        <v>Interior - Neuquén</v>
      </c>
      <c r="W478" t="str">
        <f>VLOOKUP($R478,'Mapa Oficinas'!$A$7:$C$46,3,FALSE)</f>
        <v>Capital Neuquén</v>
      </c>
    </row>
    <row r="479" spans="1:23" x14ac:dyDescent="0.2">
      <c r="A479" s="1">
        <v>45926</v>
      </c>
      <c r="B479" s="20">
        <f t="shared" si="14"/>
        <v>2025</v>
      </c>
      <c r="C479" s="20">
        <f t="shared" si="15"/>
        <v>9</v>
      </c>
      <c r="D479" t="s">
        <v>4371</v>
      </c>
      <c r="E479" s="49">
        <v>1</v>
      </c>
      <c r="F479" t="s">
        <v>4372</v>
      </c>
      <c r="G479" t="s">
        <v>21</v>
      </c>
      <c r="H479" t="s">
        <v>81</v>
      </c>
      <c r="I479" s="13">
        <v>65000</v>
      </c>
      <c r="J479" s="13">
        <v>62000</v>
      </c>
      <c r="K479" s="13">
        <f>IF(J479&lt;'Mapa Oficinas'!$I$21,0,IF(J479&gt;'Mapa Oficinas'!$I$20,0,1))</f>
        <v>0</v>
      </c>
      <c r="L479" t="s">
        <v>23</v>
      </c>
      <c r="M479" t="s">
        <v>23</v>
      </c>
      <c r="N479" t="s">
        <v>4373</v>
      </c>
      <c r="O479" t="s">
        <v>1408</v>
      </c>
      <c r="P479" t="s">
        <v>34</v>
      </c>
      <c r="Q479">
        <v>2</v>
      </c>
      <c r="R479" t="s">
        <v>482</v>
      </c>
      <c r="S479" t="s">
        <v>79</v>
      </c>
      <c r="T479" t="str">
        <f>VLOOKUP(S479,'Mapa Oficinas'!$H$7:$I$16,2,FALSE)</f>
        <v>CB</v>
      </c>
      <c r="U479" t="s">
        <v>29</v>
      </c>
      <c r="V479" t="str">
        <f>VLOOKUP($R479,'Mapa Oficinas'!$A$7:$C$46,2,FALSE)</f>
        <v>Interior - Jujuy</v>
      </c>
      <c r="W479" t="str">
        <f>VLOOKUP($R479,'Mapa Oficinas'!$A$7:$C$46,3,FALSE)</f>
        <v>Capital Jujuy</v>
      </c>
    </row>
    <row r="480" spans="1:23" x14ac:dyDescent="0.2">
      <c r="A480" s="1">
        <v>45877</v>
      </c>
      <c r="B480" s="20">
        <f t="shared" si="14"/>
        <v>2025</v>
      </c>
      <c r="C480" s="20">
        <f t="shared" si="15"/>
        <v>8</v>
      </c>
      <c r="D480">
        <v>11</v>
      </c>
      <c r="E480" s="49">
        <v>1</v>
      </c>
      <c r="F480" t="s">
        <v>3475</v>
      </c>
      <c r="G480" t="s">
        <v>21</v>
      </c>
      <c r="H480" t="s">
        <v>37</v>
      </c>
      <c r="I480" s="13">
        <v>62000</v>
      </c>
      <c r="J480" s="13">
        <v>62000</v>
      </c>
      <c r="K480" s="13">
        <f>IF(J480&lt;'Mapa Oficinas'!$I$21,0,IF(J480&gt;'Mapa Oficinas'!$I$20,0,1))</f>
        <v>0</v>
      </c>
      <c r="L480" t="s">
        <v>23</v>
      </c>
      <c r="M480" t="s">
        <v>23</v>
      </c>
      <c r="N480" t="s">
        <v>3476</v>
      </c>
      <c r="O480" t="s">
        <v>440</v>
      </c>
      <c r="P480" t="s">
        <v>45</v>
      </c>
      <c r="Q480">
        <v>1</v>
      </c>
      <c r="R480" t="s">
        <v>372</v>
      </c>
      <c r="S480" t="s">
        <v>47</v>
      </c>
      <c r="T480" t="str">
        <f>VLOOKUP(S480,'Mapa Oficinas'!$H$7:$I$16,2,FALSE)</f>
        <v>Otra Red Búsqueda</v>
      </c>
      <c r="U480" t="s">
        <v>29</v>
      </c>
      <c r="V480" t="str">
        <f>VLOOKUP($R480,'Mapa Oficinas'!$A$7:$C$46,2,FALSE)</f>
        <v>CABA</v>
      </c>
      <c r="W480" t="str">
        <f>VLOOKUP($R480,'Mapa Oficinas'!$A$7:$C$46,3,FALSE)</f>
        <v>Caballito</v>
      </c>
    </row>
    <row r="481" spans="1:23" x14ac:dyDescent="0.2">
      <c r="A481" s="1">
        <v>45750</v>
      </c>
      <c r="B481" s="20">
        <f t="shared" si="14"/>
        <v>2025</v>
      </c>
      <c r="C481" s="20">
        <f t="shared" si="15"/>
        <v>4</v>
      </c>
      <c r="D481" t="s">
        <v>1266</v>
      </c>
      <c r="E481" s="49">
        <v>0</v>
      </c>
      <c r="F481" t="s">
        <v>1267</v>
      </c>
      <c r="G481" t="s">
        <v>21</v>
      </c>
      <c r="H481" t="s">
        <v>76</v>
      </c>
      <c r="I481" s="13">
        <v>65000</v>
      </c>
      <c r="J481" s="13">
        <v>62000</v>
      </c>
      <c r="K481" s="13">
        <f>IF(J481&lt;'Mapa Oficinas'!$I$21,0,IF(J481&gt;'Mapa Oficinas'!$I$20,0,1))</f>
        <v>0</v>
      </c>
      <c r="L481" t="s">
        <v>23</v>
      </c>
      <c r="M481" t="s">
        <v>23</v>
      </c>
      <c r="N481" t="s">
        <v>1266</v>
      </c>
      <c r="O481" t="s">
        <v>178</v>
      </c>
      <c r="P481" t="s">
        <v>45</v>
      </c>
      <c r="Q481">
        <v>2</v>
      </c>
      <c r="R481" t="s">
        <v>257</v>
      </c>
      <c r="S481" t="s">
        <v>404</v>
      </c>
      <c r="T481" t="str">
        <f>VLOOKUP(S481,'Mapa Oficinas'!$H$7:$I$16,2,FALSE)</f>
        <v>CB</v>
      </c>
      <c r="U481" t="s">
        <v>29</v>
      </c>
      <c r="V481" t="str">
        <f>VLOOKUP($R481,'Mapa Oficinas'!$A$7:$C$46,2,FALSE)</f>
        <v>Zona Norte (GBA)</v>
      </c>
      <c r="W481" t="str">
        <f>VLOOKUP($R481,'Mapa Oficinas'!$A$7:$C$46,3,FALSE)</f>
        <v>Pilar</v>
      </c>
    </row>
    <row r="482" spans="1:23" x14ac:dyDescent="0.2">
      <c r="A482" s="1">
        <v>45831</v>
      </c>
      <c r="B482" s="20">
        <f t="shared" si="14"/>
        <v>2025</v>
      </c>
      <c r="C482" s="20">
        <f t="shared" si="15"/>
        <v>6</v>
      </c>
      <c r="D482" t="s">
        <v>1955</v>
      </c>
      <c r="E482" s="49">
        <v>0</v>
      </c>
      <c r="F482" t="s">
        <v>1956</v>
      </c>
      <c r="G482" t="s">
        <v>21</v>
      </c>
      <c r="H482" t="s">
        <v>76</v>
      </c>
      <c r="I482" s="13">
        <v>63000</v>
      </c>
      <c r="J482" s="13">
        <v>62000</v>
      </c>
      <c r="K482" s="13">
        <f>IF(J482&lt;'Mapa Oficinas'!$I$21,0,IF(J482&gt;'Mapa Oficinas'!$I$20,0,1))</f>
        <v>0</v>
      </c>
      <c r="L482" t="s">
        <v>23</v>
      </c>
      <c r="M482" t="s">
        <v>23</v>
      </c>
      <c r="N482" t="s">
        <v>1957</v>
      </c>
      <c r="O482" t="s">
        <v>1958</v>
      </c>
      <c r="P482" t="s">
        <v>45</v>
      </c>
      <c r="Q482">
        <v>2</v>
      </c>
      <c r="R482" t="s">
        <v>130</v>
      </c>
      <c r="S482" t="s">
        <v>404</v>
      </c>
      <c r="T482" t="str">
        <f>VLOOKUP(S482,'Mapa Oficinas'!$H$7:$I$16,2,FALSE)</f>
        <v>CB</v>
      </c>
      <c r="U482" t="s">
        <v>29</v>
      </c>
      <c r="V482" t="str">
        <f>VLOOKUP($R482,'Mapa Oficinas'!$A$7:$C$46,2,FALSE)</f>
        <v>Interior - Neuquén</v>
      </c>
      <c r="W482" t="str">
        <f>VLOOKUP($R482,'Mapa Oficinas'!$A$7:$C$46,3,FALSE)</f>
        <v>San Martín de los Andes</v>
      </c>
    </row>
    <row r="483" spans="1:23" x14ac:dyDescent="0.2">
      <c r="A483" s="1">
        <v>45750</v>
      </c>
      <c r="B483" s="20">
        <f t="shared" si="14"/>
        <v>2025</v>
      </c>
      <c r="C483" s="20">
        <f t="shared" si="15"/>
        <v>4</v>
      </c>
      <c r="D483" t="s">
        <v>1262</v>
      </c>
      <c r="E483" s="49">
        <v>1</v>
      </c>
      <c r="F483" t="s">
        <v>1263</v>
      </c>
      <c r="G483" t="s">
        <v>21</v>
      </c>
      <c r="H483" t="s">
        <v>37</v>
      </c>
      <c r="I483" s="13">
        <v>65000</v>
      </c>
      <c r="J483" s="13">
        <v>62000</v>
      </c>
      <c r="K483" s="13">
        <f>IF(J483&lt;'Mapa Oficinas'!$I$21,0,IF(J483&gt;'Mapa Oficinas'!$I$20,0,1))</f>
        <v>0</v>
      </c>
      <c r="L483" t="s">
        <v>23</v>
      </c>
      <c r="M483" t="s">
        <v>23</v>
      </c>
      <c r="N483" t="s">
        <v>1264</v>
      </c>
      <c r="O483" t="s">
        <v>178</v>
      </c>
      <c r="P483" t="s">
        <v>45</v>
      </c>
      <c r="Q483">
        <v>2</v>
      </c>
      <c r="R483" t="s">
        <v>372</v>
      </c>
      <c r="S483" t="s">
        <v>1265</v>
      </c>
      <c r="T483" t="str">
        <f>VLOOKUP(S483,'Mapa Oficinas'!$H$7:$I$16,2,FALSE)</f>
        <v>CB</v>
      </c>
      <c r="U483" t="s">
        <v>29</v>
      </c>
      <c r="V483" t="str">
        <f>VLOOKUP($R483,'Mapa Oficinas'!$A$7:$C$46,2,FALSE)</f>
        <v>CABA</v>
      </c>
      <c r="W483" t="str">
        <f>VLOOKUP($R483,'Mapa Oficinas'!$A$7:$C$46,3,FALSE)</f>
        <v>Caballito</v>
      </c>
    </row>
    <row r="484" spans="1:23" x14ac:dyDescent="0.2">
      <c r="A484" s="1">
        <v>45792</v>
      </c>
      <c r="B484" s="20">
        <f t="shared" si="14"/>
        <v>2025</v>
      </c>
      <c r="C484" s="20">
        <f t="shared" si="15"/>
        <v>5</v>
      </c>
      <c r="D484" t="s">
        <v>1955</v>
      </c>
      <c r="E484" s="49">
        <v>1</v>
      </c>
      <c r="F484" t="s">
        <v>1956</v>
      </c>
      <c r="G484" t="s">
        <v>21</v>
      </c>
      <c r="H484" t="s">
        <v>76</v>
      </c>
      <c r="I484" s="13">
        <v>63000</v>
      </c>
      <c r="J484" s="13">
        <v>62000</v>
      </c>
      <c r="K484" s="13">
        <f>IF(J484&lt;'Mapa Oficinas'!$I$21,0,IF(J484&gt;'Mapa Oficinas'!$I$20,0,1))</f>
        <v>0</v>
      </c>
      <c r="L484" t="s">
        <v>23</v>
      </c>
      <c r="M484" t="s">
        <v>23</v>
      </c>
      <c r="N484" t="s">
        <v>1957</v>
      </c>
      <c r="O484" t="s">
        <v>1958</v>
      </c>
      <c r="P484" t="s">
        <v>45</v>
      </c>
      <c r="Q484">
        <v>2</v>
      </c>
      <c r="R484" t="s">
        <v>103</v>
      </c>
      <c r="S484" t="s">
        <v>1265</v>
      </c>
      <c r="T484" t="str">
        <f>VLOOKUP(S484,'Mapa Oficinas'!$H$7:$I$16,2,FALSE)</f>
        <v>CB</v>
      </c>
      <c r="U484" t="s">
        <v>29</v>
      </c>
      <c r="V484" t="str">
        <f>VLOOKUP($R484,'Mapa Oficinas'!$A$7:$C$46,2,FALSE)</f>
        <v>Zona Sur (GBA)</v>
      </c>
      <c r="W484" t="str">
        <f>VLOOKUP($R484,'Mapa Oficinas'!$A$7:$C$46,3,FALSE)</f>
        <v>La Plata</v>
      </c>
    </row>
    <row r="485" spans="1:23" x14ac:dyDescent="0.2">
      <c r="A485" s="1">
        <v>45712</v>
      </c>
      <c r="B485" s="20">
        <f t="shared" si="14"/>
        <v>2025</v>
      </c>
      <c r="C485" s="20">
        <f t="shared" si="15"/>
        <v>2</v>
      </c>
      <c r="D485" t="s">
        <v>732</v>
      </c>
      <c r="E485" s="49">
        <v>1</v>
      </c>
      <c r="F485" t="s">
        <v>733</v>
      </c>
      <c r="G485" t="s">
        <v>21</v>
      </c>
      <c r="H485" t="s">
        <v>37</v>
      </c>
      <c r="I485" s="13">
        <v>65000</v>
      </c>
      <c r="J485" s="13">
        <v>62000</v>
      </c>
      <c r="K485" s="13">
        <f>IF(J485&lt;'Mapa Oficinas'!$I$21,0,IF(J485&gt;'Mapa Oficinas'!$I$20,0,1))</f>
        <v>0</v>
      </c>
      <c r="L485" t="s">
        <v>23</v>
      </c>
      <c r="M485" t="s">
        <v>23</v>
      </c>
      <c r="N485" t="s">
        <v>734</v>
      </c>
      <c r="O485" t="s">
        <v>299</v>
      </c>
      <c r="P485" t="s">
        <v>45</v>
      </c>
      <c r="Q485">
        <v>2</v>
      </c>
      <c r="R485" t="s">
        <v>67</v>
      </c>
      <c r="S485" t="s">
        <v>28</v>
      </c>
      <c r="T485" t="str">
        <f>VLOOKUP(S485,'Mapa Oficinas'!$H$7:$I$16,2,FALSE)</f>
        <v>CB</v>
      </c>
      <c r="U485" t="s">
        <v>29</v>
      </c>
      <c r="V485" t="str">
        <f>VLOOKUP($R485,'Mapa Oficinas'!$A$7:$C$46,2,FALSE)</f>
        <v>CABA</v>
      </c>
      <c r="W485" t="str">
        <f>VLOOKUP($R485,'Mapa Oficinas'!$A$7:$C$46,3,FALSE)</f>
        <v>Barrio Parque</v>
      </c>
    </row>
    <row r="486" spans="1:23" x14ac:dyDescent="0.2">
      <c r="A486" s="1">
        <v>45714</v>
      </c>
      <c r="B486" s="20">
        <f t="shared" si="14"/>
        <v>2025</v>
      </c>
      <c r="C486" s="20">
        <f t="shared" si="15"/>
        <v>2</v>
      </c>
      <c r="D486" t="s">
        <v>756</v>
      </c>
      <c r="E486" s="49">
        <v>1</v>
      </c>
      <c r="F486" t="s">
        <v>757</v>
      </c>
      <c r="G486" t="s">
        <v>21</v>
      </c>
      <c r="H486" t="s">
        <v>37</v>
      </c>
      <c r="I486" s="13">
        <v>68000</v>
      </c>
      <c r="J486" s="13">
        <v>62000</v>
      </c>
      <c r="K486" s="13">
        <f>IF(J486&lt;'Mapa Oficinas'!$I$21,0,IF(J486&gt;'Mapa Oficinas'!$I$20,0,1))</f>
        <v>0</v>
      </c>
      <c r="L486" t="s">
        <v>23</v>
      </c>
      <c r="M486" t="s">
        <v>23</v>
      </c>
      <c r="N486" t="s">
        <v>758</v>
      </c>
      <c r="O486" t="s">
        <v>759</v>
      </c>
      <c r="P486" t="s">
        <v>45</v>
      </c>
      <c r="Q486">
        <v>2</v>
      </c>
      <c r="R486" t="s">
        <v>67</v>
      </c>
      <c r="S486" t="s">
        <v>28</v>
      </c>
      <c r="T486" t="str">
        <f>VLOOKUP(S486,'Mapa Oficinas'!$H$7:$I$16,2,FALSE)</f>
        <v>CB</v>
      </c>
      <c r="U486" t="s">
        <v>29</v>
      </c>
      <c r="V486" t="str">
        <f>VLOOKUP($R486,'Mapa Oficinas'!$A$7:$C$46,2,FALSE)</f>
        <v>CABA</v>
      </c>
      <c r="W486" t="str">
        <f>VLOOKUP($R486,'Mapa Oficinas'!$A$7:$C$46,3,FALSE)</f>
        <v>Barrio Parque</v>
      </c>
    </row>
    <row r="487" spans="1:23" x14ac:dyDescent="0.2">
      <c r="A487" s="1">
        <v>45747</v>
      </c>
      <c r="B487" s="20">
        <f t="shared" si="14"/>
        <v>2025</v>
      </c>
      <c r="C487" s="20">
        <f t="shared" si="15"/>
        <v>3</v>
      </c>
      <c r="D487" t="s">
        <v>1195</v>
      </c>
      <c r="E487" s="49">
        <v>1</v>
      </c>
      <c r="F487" t="s">
        <v>1195</v>
      </c>
      <c r="G487" t="s">
        <v>21</v>
      </c>
      <c r="H487" t="s">
        <v>37</v>
      </c>
      <c r="I487" s="13">
        <v>62000</v>
      </c>
      <c r="J487" s="13">
        <v>62000</v>
      </c>
      <c r="K487" s="13">
        <f>IF(J487&lt;'Mapa Oficinas'!$I$21,0,IF(J487&gt;'Mapa Oficinas'!$I$20,0,1))</f>
        <v>0</v>
      </c>
      <c r="L487" t="s">
        <v>23</v>
      </c>
      <c r="M487" t="s">
        <v>23</v>
      </c>
      <c r="N487" t="s">
        <v>1195</v>
      </c>
      <c r="O487" t="s">
        <v>1196</v>
      </c>
      <c r="P487" t="s">
        <v>45</v>
      </c>
      <c r="Q487">
        <v>2</v>
      </c>
      <c r="R487" t="s">
        <v>56</v>
      </c>
      <c r="S487" t="s">
        <v>28</v>
      </c>
      <c r="T487" t="str">
        <f>VLOOKUP(S487,'Mapa Oficinas'!$H$7:$I$16,2,FALSE)</f>
        <v>CB</v>
      </c>
      <c r="U487" t="s">
        <v>29</v>
      </c>
      <c r="V487" t="str">
        <f>VLOOKUP($R487,'Mapa Oficinas'!$A$7:$C$46,2,FALSE)</f>
        <v>Zona Norte (GBA)</v>
      </c>
      <c r="W487" t="str">
        <f>VLOOKUP($R487,'Mapa Oficinas'!$A$7:$C$46,3,FALSE)</f>
        <v>Vicente López</v>
      </c>
    </row>
    <row r="488" spans="1:23" x14ac:dyDescent="0.2">
      <c r="A488" s="1">
        <v>45818</v>
      </c>
      <c r="B488" s="20">
        <f t="shared" si="14"/>
        <v>2025</v>
      </c>
      <c r="C488" s="20">
        <f t="shared" si="15"/>
        <v>6</v>
      </c>
      <c r="D488" t="s">
        <v>2403</v>
      </c>
      <c r="E488" s="49">
        <v>1</v>
      </c>
      <c r="F488" t="s">
        <v>2404</v>
      </c>
      <c r="G488" t="s">
        <v>21</v>
      </c>
      <c r="H488" t="s">
        <v>100</v>
      </c>
      <c r="I488" s="13">
        <v>62000</v>
      </c>
      <c r="J488" s="13">
        <v>62000</v>
      </c>
      <c r="K488" s="13">
        <f>IF(J488&lt;'Mapa Oficinas'!$I$21,0,IF(J488&gt;'Mapa Oficinas'!$I$20,0,1))</f>
        <v>0</v>
      </c>
      <c r="L488" t="s">
        <v>23</v>
      </c>
      <c r="M488" t="s">
        <v>23</v>
      </c>
      <c r="N488" t="s">
        <v>2405</v>
      </c>
      <c r="O488" t="s">
        <v>120</v>
      </c>
      <c r="P488" t="s">
        <v>26</v>
      </c>
      <c r="Q488">
        <v>2</v>
      </c>
      <c r="R488" t="s">
        <v>121</v>
      </c>
      <c r="S488" t="s">
        <v>28</v>
      </c>
      <c r="T488" t="str">
        <f>VLOOKUP(S488,'Mapa Oficinas'!$H$7:$I$16,2,FALSE)</f>
        <v>CB</v>
      </c>
      <c r="U488" t="s">
        <v>29</v>
      </c>
      <c r="V488" t="str">
        <f>VLOOKUP($R488,'Mapa Oficinas'!$A$7:$C$46,2,FALSE)</f>
        <v>Interior - Río Negro</v>
      </c>
      <c r="W488" t="str">
        <f>VLOOKUP($R488,'Mapa Oficinas'!$A$7:$C$46,3,FALSE)</f>
        <v>Bariloche</v>
      </c>
    </row>
    <row r="489" spans="1:23" x14ac:dyDescent="0.2">
      <c r="A489" s="1">
        <v>45848</v>
      </c>
      <c r="B489" s="20">
        <f t="shared" si="14"/>
        <v>2025</v>
      </c>
      <c r="C489" s="20">
        <f t="shared" si="15"/>
        <v>7</v>
      </c>
      <c r="D489" t="s">
        <v>2949</v>
      </c>
      <c r="E489" s="49">
        <v>1</v>
      </c>
      <c r="F489" t="s">
        <v>2950</v>
      </c>
      <c r="G489" t="s">
        <v>21</v>
      </c>
      <c r="H489" t="s">
        <v>70</v>
      </c>
      <c r="I489" s="13">
        <v>62000</v>
      </c>
      <c r="J489" s="13">
        <v>62000</v>
      </c>
      <c r="K489" s="13">
        <f>IF(J489&lt;'Mapa Oficinas'!$I$21,0,IF(J489&gt;'Mapa Oficinas'!$I$20,0,1))</f>
        <v>0</v>
      </c>
      <c r="L489" t="s">
        <v>23</v>
      </c>
      <c r="M489" t="s">
        <v>23</v>
      </c>
      <c r="N489" t="s">
        <v>2951</v>
      </c>
      <c r="O489" t="s">
        <v>1116</v>
      </c>
      <c r="P489" t="s">
        <v>34</v>
      </c>
      <c r="Q489">
        <v>2</v>
      </c>
      <c r="R489" t="s">
        <v>73</v>
      </c>
      <c r="S489" t="s">
        <v>28</v>
      </c>
      <c r="T489" t="str">
        <f>VLOOKUP(S489,'Mapa Oficinas'!$H$7:$I$16,2,FALSE)</f>
        <v>CB</v>
      </c>
      <c r="U489" t="s">
        <v>29</v>
      </c>
      <c r="V489" t="str">
        <f>VLOOKUP($R489,'Mapa Oficinas'!$A$7:$C$46,2,FALSE)</f>
        <v>Interior - Salta</v>
      </c>
      <c r="W489" t="str">
        <f>VLOOKUP($R489,'Mapa Oficinas'!$A$7:$C$46,3,FALSE)</f>
        <v>San Lorenzo Chico</v>
      </c>
    </row>
    <row r="490" spans="1:23" x14ac:dyDescent="0.2">
      <c r="A490" s="1">
        <v>45870</v>
      </c>
      <c r="B490" s="20">
        <f t="shared" si="14"/>
        <v>2025</v>
      </c>
      <c r="C490" s="20">
        <f t="shared" si="15"/>
        <v>8</v>
      </c>
      <c r="D490" t="s">
        <v>3374</v>
      </c>
      <c r="E490" s="49">
        <v>1</v>
      </c>
      <c r="F490" t="s">
        <v>3375</v>
      </c>
      <c r="G490" t="s">
        <v>21</v>
      </c>
      <c r="H490" t="s">
        <v>22</v>
      </c>
      <c r="I490" s="13">
        <v>65000</v>
      </c>
      <c r="J490" s="13">
        <v>62000</v>
      </c>
      <c r="K490" s="13">
        <f>IF(J490&lt;'Mapa Oficinas'!$I$21,0,IF(J490&gt;'Mapa Oficinas'!$I$20,0,1))</f>
        <v>0</v>
      </c>
      <c r="L490" t="s">
        <v>23</v>
      </c>
      <c r="M490" t="s">
        <v>23</v>
      </c>
      <c r="N490" t="s">
        <v>3376</v>
      </c>
      <c r="O490" t="s">
        <v>634</v>
      </c>
      <c r="P490" t="s">
        <v>61</v>
      </c>
      <c r="Q490">
        <v>2</v>
      </c>
      <c r="R490" t="s">
        <v>62</v>
      </c>
      <c r="S490" t="s">
        <v>28</v>
      </c>
      <c r="T490" t="str">
        <f>VLOOKUP(S490,'Mapa Oficinas'!$H$7:$I$16,2,FALSE)</f>
        <v>CB</v>
      </c>
      <c r="U490" t="s">
        <v>29</v>
      </c>
      <c r="V490" t="str">
        <f>VLOOKUP($R490,'Mapa Oficinas'!$A$7:$C$46,2,FALSE)</f>
        <v>CABA</v>
      </c>
      <c r="W490" t="str">
        <f>VLOOKUP($R490,'Mapa Oficinas'!$A$7:$C$46,3,FALSE)</f>
        <v>Villa Urquiza</v>
      </c>
    </row>
    <row r="491" spans="1:23" x14ac:dyDescent="0.2">
      <c r="A491" s="1">
        <v>45944</v>
      </c>
      <c r="B491" s="20">
        <f t="shared" si="14"/>
        <v>2025</v>
      </c>
      <c r="C491" s="20">
        <f t="shared" si="15"/>
        <v>10</v>
      </c>
      <c r="D491" t="s">
        <v>789</v>
      </c>
      <c r="E491" s="49">
        <v>1</v>
      </c>
      <c r="F491" t="s">
        <v>790</v>
      </c>
      <c r="G491" t="s">
        <v>21</v>
      </c>
      <c r="H491" t="s">
        <v>37</v>
      </c>
      <c r="I491" s="13">
        <v>60000</v>
      </c>
      <c r="J491" s="13">
        <v>62000</v>
      </c>
      <c r="K491" s="13">
        <f>IF(J491&lt;'Mapa Oficinas'!$I$21,0,IF(J491&gt;'Mapa Oficinas'!$I$20,0,1))</f>
        <v>0</v>
      </c>
      <c r="L491" t="s">
        <v>23</v>
      </c>
      <c r="M491" t="s">
        <v>23</v>
      </c>
      <c r="N491" t="s">
        <v>791</v>
      </c>
      <c r="O491" t="s">
        <v>25</v>
      </c>
      <c r="P491" t="s">
        <v>45</v>
      </c>
      <c r="Q491">
        <v>2</v>
      </c>
      <c r="R491" t="s">
        <v>46</v>
      </c>
      <c r="S491" t="s">
        <v>28</v>
      </c>
      <c r="T491" t="str">
        <f>VLOOKUP(S491,'Mapa Oficinas'!$H$7:$I$16,2,FALSE)</f>
        <v>CB</v>
      </c>
      <c r="U491" t="s">
        <v>29</v>
      </c>
      <c r="V491" t="str">
        <f>VLOOKUP($R491,'Mapa Oficinas'!$A$7:$C$46,2,FALSE)</f>
        <v>CABA</v>
      </c>
      <c r="W491" t="str">
        <f>VLOOKUP($R491,'Mapa Oficinas'!$A$7:$C$46,3,FALSE)</f>
        <v>Palermo</v>
      </c>
    </row>
    <row r="492" spans="1:23" x14ac:dyDescent="0.2">
      <c r="A492" s="1">
        <v>45995</v>
      </c>
      <c r="B492" s="20">
        <f t="shared" si="14"/>
        <v>2025</v>
      </c>
      <c r="C492" s="20">
        <f t="shared" si="15"/>
        <v>12</v>
      </c>
      <c r="D492" t="s">
        <v>5615</v>
      </c>
      <c r="E492" s="49">
        <v>1</v>
      </c>
      <c r="F492" t="s">
        <v>5616</v>
      </c>
      <c r="G492" t="s">
        <v>21</v>
      </c>
      <c r="H492" t="s">
        <v>37</v>
      </c>
      <c r="I492" s="13">
        <v>65000</v>
      </c>
      <c r="J492" s="13">
        <v>62000</v>
      </c>
      <c r="K492" s="13">
        <f>IF(J492&lt;'Mapa Oficinas'!$I$21,0,IF(J492&gt;'Mapa Oficinas'!$I$20,0,1))</f>
        <v>0</v>
      </c>
      <c r="L492" t="s">
        <v>23</v>
      </c>
      <c r="M492" t="s">
        <v>23</v>
      </c>
      <c r="N492" t="s">
        <v>5617</v>
      </c>
      <c r="O492" t="s">
        <v>5618</v>
      </c>
      <c r="P492" t="s">
        <v>45</v>
      </c>
      <c r="Q492">
        <v>2</v>
      </c>
      <c r="R492" t="s">
        <v>62</v>
      </c>
      <c r="S492" t="s">
        <v>28</v>
      </c>
      <c r="T492" t="str">
        <f>VLOOKUP(S492,'Mapa Oficinas'!$H$7:$I$16,2,FALSE)</f>
        <v>CB</v>
      </c>
      <c r="U492" t="s">
        <v>29</v>
      </c>
      <c r="V492" t="str">
        <f>VLOOKUP($R492,'Mapa Oficinas'!$A$7:$C$46,2,FALSE)</f>
        <v>CABA</v>
      </c>
      <c r="W492" t="str">
        <f>VLOOKUP($R492,'Mapa Oficinas'!$A$7:$C$46,3,FALSE)</f>
        <v>Villa Urquiza</v>
      </c>
    </row>
    <row r="493" spans="1:23" x14ac:dyDescent="0.2">
      <c r="A493" s="1">
        <v>46029</v>
      </c>
      <c r="B493" s="20">
        <f t="shared" si="14"/>
        <v>2026</v>
      </c>
      <c r="C493" s="20">
        <f t="shared" si="15"/>
        <v>1</v>
      </c>
      <c r="D493" t="s">
        <v>6120</v>
      </c>
      <c r="E493" s="49">
        <v>1</v>
      </c>
      <c r="F493" t="s">
        <v>6121</v>
      </c>
      <c r="G493" t="s">
        <v>21</v>
      </c>
      <c r="H493" t="s">
        <v>37</v>
      </c>
      <c r="I493" s="13">
        <v>68000</v>
      </c>
      <c r="J493" s="13">
        <v>62000</v>
      </c>
      <c r="K493" s="13">
        <f>IF(J493&lt;'Mapa Oficinas'!$I$21,0,IF(J493&gt;'Mapa Oficinas'!$I$20,0,1))</f>
        <v>0</v>
      </c>
      <c r="L493" t="s">
        <v>23</v>
      </c>
      <c r="M493" t="s">
        <v>23</v>
      </c>
      <c r="N493" t="s">
        <v>6122</v>
      </c>
      <c r="O493" t="s">
        <v>4645</v>
      </c>
      <c r="P493" t="s">
        <v>61</v>
      </c>
      <c r="Q493">
        <v>2</v>
      </c>
      <c r="R493" t="s">
        <v>670</v>
      </c>
      <c r="S493" t="s">
        <v>28</v>
      </c>
      <c r="T493" t="str">
        <f>VLOOKUP(S493,'Mapa Oficinas'!$H$7:$I$16,2,FALSE)</f>
        <v>CB</v>
      </c>
      <c r="U493" t="s">
        <v>29</v>
      </c>
      <c r="V493" t="str">
        <f>VLOOKUP($R493,'Mapa Oficinas'!$A$7:$C$46,2,FALSE)</f>
        <v>CABA</v>
      </c>
      <c r="W493" t="str">
        <f>VLOOKUP($R493,'Mapa Oficinas'!$A$7:$C$46,3,FALSE)</f>
        <v>Recoleta</v>
      </c>
    </row>
    <row r="494" spans="1:23" x14ac:dyDescent="0.2">
      <c r="A494" s="1">
        <v>46095</v>
      </c>
      <c r="B494" s="20">
        <f t="shared" si="14"/>
        <v>2026</v>
      </c>
      <c r="C494" s="20">
        <f t="shared" si="15"/>
        <v>3</v>
      </c>
      <c r="D494" t="s">
        <v>7177</v>
      </c>
      <c r="E494" s="49">
        <v>1</v>
      </c>
      <c r="F494" t="s">
        <v>7178</v>
      </c>
      <c r="G494" t="s">
        <v>21</v>
      </c>
      <c r="H494" t="s">
        <v>90</v>
      </c>
      <c r="I494" s="13">
        <v>64900</v>
      </c>
      <c r="J494" s="13">
        <v>62000</v>
      </c>
      <c r="K494" s="13">
        <f>IF(J494&lt;'Mapa Oficinas'!$I$21,0,IF(J494&gt;'Mapa Oficinas'!$I$20,0,1))</f>
        <v>0</v>
      </c>
      <c r="L494" t="s">
        <v>23</v>
      </c>
      <c r="M494" t="s">
        <v>23</v>
      </c>
      <c r="N494" t="s">
        <v>7179</v>
      </c>
      <c r="O494" t="s">
        <v>1002</v>
      </c>
      <c r="P494" t="s">
        <v>61</v>
      </c>
      <c r="Q494">
        <v>2</v>
      </c>
      <c r="R494" t="s">
        <v>62</v>
      </c>
      <c r="S494" t="s">
        <v>28</v>
      </c>
      <c r="T494" t="str">
        <f>VLOOKUP(S494,'Mapa Oficinas'!$H$7:$I$16,2,FALSE)</f>
        <v>CB</v>
      </c>
      <c r="U494" t="s">
        <v>29</v>
      </c>
      <c r="V494" t="str">
        <f>VLOOKUP($R494,'Mapa Oficinas'!$A$7:$C$46,2,FALSE)</f>
        <v>CABA</v>
      </c>
      <c r="W494" t="str">
        <f>VLOOKUP($R494,'Mapa Oficinas'!$A$7:$C$46,3,FALSE)</f>
        <v>Villa Urquiza</v>
      </c>
    </row>
    <row r="495" spans="1:23" x14ac:dyDescent="0.2">
      <c r="A495" s="1">
        <v>46008</v>
      </c>
      <c r="B495" s="20">
        <f t="shared" si="14"/>
        <v>2025</v>
      </c>
      <c r="C495" s="20">
        <f t="shared" si="15"/>
        <v>12</v>
      </c>
      <c r="D495" t="s">
        <v>1320</v>
      </c>
      <c r="E495" s="49">
        <v>1</v>
      </c>
      <c r="F495" t="s">
        <v>1320</v>
      </c>
      <c r="G495" t="s">
        <v>21</v>
      </c>
      <c r="H495" t="s">
        <v>76</v>
      </c>
      <c r="I495" s="13">
        <v>125000</v>
      </c>
      <c r="J495" s="13">
        <v>62500</v>
      </c>
      <c r="K495" s="13">
        <f>IF(J495&lt;'Mapa Oficinas'!$I$21,0,IF(J495&gt;'Mapa Oficinas'!$I$20,0,1))</f>
        <v>0</v>
      </c>
      <c r="L495" t="s">
        <v>23</v>
      </c>
      <c r="M495" t="s">
        <v>23</v>
      </c>
      <c r="O495" t="s">
        <v>1321</v>
      </c>
      <c r="P495" t="s">
        <v>45</v>
      </c>
      <c r="Q495">
        <v>1</v>
      </c>
      <c r="R495" t="s">
        <v>151</v>
      </c>
      <c r="S495" t="s">
        <v>122</v>
      </c>
      <c r="T495" t="str">
        <f>VLOOKUP(S495,'Mapa Oficinas'!$H$7:$I$16,2,FALSE)</f>
        <v>Otra Red Búsqueda</v>
      </c>
      <c r="U495" t="s">
        <v>29</v>
      </c>
      <c r="V495" t="str">
        <f>VLOOKUP($R495,'Mapa Oficinas'!$A$7:$C$46,2,FALSE)</f>
        <v>Interior - Mendoza</v>
      </c>
      <c r="W495" t="str">
        <f>VLOOKUP($R495,'Mapa Oficinas'!$A$7:$C$46,3,FALSE)</f>
        <v>Capital Mendoza</v>
      </c>
    </row>
    <row r="496" spans="1:23" x14ac:dyDescent="0.2">
      <c r="A496" s="1">
        <v>46065</v>
      </c>
      <c r="B496" s="20">
        <f t="shared" si="14"/>
        <v>2026</v>
      </c>
      <c r="C496" s="20">
        <f t="shared" si="15"/>
        <v>2</v>
      </c>
      <c r="D496" t="s">
        <v>6664</v>
      </c>
      <c r="E496" s="49">
        <v>1</v>
      </c>
      <c r="F496" t="s">
        <v>6665</v>
      </c>
      <c r="G496" t="s">
        <v>21</v>
      </c>
      <c r="H496" t="s">
        <v>81</v>
      </c>
      <c r="I496" s="13">
        <v>64900</v>
      </c>
      <c r="J496" s="13">
        <v>62500</v>
      </c>
      <c r="K496" s="13">
        <f>IF(J496&lt;'Mapa Oficinas'!$I$21,0,IF(J496&gt;'Mapa Oficinas'!$I$20,0,1))</f>
        <v>0</v>
      </c>
      <c r="L496" t="s">
        <v>23</v>
      </c>
      <c r="M496" t="s">
        <v>23</v>
      </c>
      <c r="N496" t="s">
        <v>6666</v>
      </c>
      <c r="O496" t="s">
        <v>66</v>
      </c>
      <c r="P496" t="s">
        <v>45</v>
      </c>
      <c r="Q496">
        <v>2</v>
      </c>
      <c r="R496" t="s">
        <v>1024</v>
      </c>
      <c r="S496" t="s">
        <v>28</v>
      </c>
      <c r="T496" t="str">
        <f>VLOOKUP(S496,'Mapa Oficinas'!$H$7:$I$16,2,FALSE)</f>
        <v>CB</v>
      </c>
      <c r="U496" t="s">
        <v>29</v>
      </c>
      <c r="V496" t="str">
        <f>VLOOKUP($R496,'Mapa Oficinas'!$A$7:$C$46,2,FALSE)</f>
        <v>CABA</v>
      </c>
      <c r="W496" t="str">
        <f>VLOOKUP($R496,'Mapa Oficinas'!$A$7:$C$46,3,FALSE)</f>
        <v>Puerto Madero</v>
      </c>
    </row>
    <row r="497" spans="1:23" x14ac:dyDescent="0.2">
      <c r="A497" s="1">
        <v>45961</v>
      </c>
      <c r="B497" s="20">
        <f t="shared" si="14"/>
        <v>2025</v>
      </c>
      <c r="C497" s="20">
        <f t="shared" si="15"/>
        <v>10</v>
      </c>
      <c r="D497" t="s">
        <v>5017</v>
      </c>
      <c r="E497" s="49">
        <v>1</v>
      </c>
      <c r="F497" t="s">
        <v>5018</v>
      </c>
      <c r="G497" t="s">
        <v>21</v>
      </c>
      <c r="H497" t="s">
        <v>37</v>
      </c>
      <c r="I497" s="13">
        <v>67000</v>
      </c>
      <c r="J497" s="13">
        <v>63000</v>
      </c>
      <c r="K497" s="13">
        <f>IF(J497&lt;'Mapa Oficinas'!$I$21,0,IF(J497&gt;'Mapa Oficinas'!$I$20,0,1))</f>
        <v>0</v>
      </c>
      <c r="L497" t="s">
        <v>23</v>
      </c>
      <c r="M497" t="s">
        <v>23</v>
      </c>
      <c r="N497">
        <v>1801</v>
      </c>
      <c r="O497" t="s">
        <v>4329</v>
      </c>
      <c r="P497" t="s">
        <v>55</v>
      </c>
      <c r="Q497">
        <v>1</v>
      </c>
      <c r="R497" t="s">
        <v>167</v>
      </c>
      <c r="S497" t="s">
        <v>122</v>
      </c>
      <c r="T497" t="str">
        <f>VLOOKUP(S497,'Mapa Oficinas'!$H$7:$I$16,2,FALSE)</f>
        <v>Otra Red Búsqueda</v>
      </c>
      <c r="U497" t="s">
        <v>29</v>
      </c>
      <c r="V497" t="str">
        <f>VLOOKUP($R497,'Mapa Oficinas'!$A$7:$C$46,2,FALSE)</f>
        <v>Interior - Santa Fe</v>
      </c>
      <c r="W497" t="str">
        <f>VLOOKUP($R497,'Mapa Oficinas'!$A$7:$C$46,3,FALSE)</f>
        <v>Capital Santa Fe</v>
      </c>
    </row>
    <row r="498" spans="1:23" x14ac:dyDescent="0.2">
      <c r="A498" s="1">
        <v>45845</v>
      </c>
      <c r="B498" s="20">
        <f t="shared" si="14"/>
        <v>2025</v>
      </c>
      <c r="C498" s="20">
        <f t="shared" si="15"/>
        <v>7</v>
      </c>
      <c r="D498" t="s">
        <v>2898</v>
      </c>
      <c r="E498" s="49">
        <v>1</v>
      </c>
      <c r="F498" t="s">
        <v>2899</v>
      </c>
      <c r="G498" t="s">
        <v>21</v>
      </c>
      <c r="H498" t="s">
        <v>37</v>
      </c>
      <c r="I498" s="13">
        <v>70000</v>
      </c>
      <c r="J498" s="13">
        <v>63000</v>
      </c>
      <c r="K498" s="13">
        <f>IF(J498&lt;'Mapa Oficinas'!$I$21,0,IF(J498&gt;'Mapa Oficinas'!$I$20,0,1))</f>
        <v>0</v>
      </c>
      <c r="L498" t="s">
        <v>23</v>
      </c>
      <c r="M498" t="s">
        <v>23</v>
      </c>
      <c r="N498" t="s">
        <v>2900</v>
      </c>
      <c r="O498" t="s">
        <v>329</v>
      </c>
      <c r="P498" t="s">
        <v>61</v>
      </c>
      <c r="Q498">
        <v>1</v>
      </c>
      <c r="R498" t="s">
        <v>183</v>
      </c>
      <c r="S498" t="s">
        <v>152</v>
      </c>
      <c r="T498" t="str">
        <f>VLOOKUP(S498,'Mapa Oficinas'!$H$7:$I$16,2,FALSE)</f>
        <v>Otra Red Captación</v>
      </c>
      <c r="U498" t="s">
        <v>29</v>
      </c>
      <c r="V498" t="str">
        <f>VLOOKUP($R498,'Mapa Oficinas'!$A$7:$C$46,2,FALSE)</f>
        <v>Interior - Neuquén</v>
      </c>
      <c r="W498" t="str">
        <f>VLOOKUP($R498,'Mapa Oficinas'!$A$7:$C$46,3,FALSE)</f>
        <v>Capital Neuquén</v>
      </c>
    </row>
    <row r="499" spans="1:23" x14ac:dyDescent="0.2">
      <c r="A499" s="1">
        <v>46108</v>
      </c>
      <c r="B499" s="20">
        <f t="shared" si="14"/>
        <v>2026</v>
      </c>
      <c r="C499" s="20">
        <f t="shared" si="15"/>
        <v>3</v>
      </c>
      <c r="D499" t="s">
        <v>7460</v>
      </c>
      <c r="E499" s="49">
        <v>1</v>
      </c>
      <c r="F499" t="s">
        <v>7461</v>
      </c>
      <c r="G499" t="s">
        <v>21</v>
      </c>
      <c r="H499" t="s">
        <v>76</v>
      </c>
      <c r="I499" s="13">
        <v>68000</v>
      </c>
      <c r="J499" s="13">
        <v>63000</v>
      </c>
      <c r="K499" s="13">
        <f>IF(J499&lt;'Mapa Oficinas'!$I$21,0,IF(J499&gt;'Mapa Oficinas'!$I$20,0,1))</f>
        <v>0</v>
      </c>
      <c r="L499" t="s">
        <v>23</v>
      </c>
      <c r="M499" t="s">
        <v>23</v>
      </c>
      <c r="N499" t="s">
        <v>7462</v>
      </c>
      <c r="O499" t="s">
        <v>6051</v>
      </c>
      <c r="P499" t="s">
        <v>45</v>
      </c>
      <c r="Q499">
        <v>1</v>
      </c>
      <c r="R499" t="s">
        <v>167</v>
      </c>
      <c r="S499" t="s">
        <v>152</v>
      </c>
      <c r="T499" t="str">
        <f>VLOOKUP(S499,'Mapa Oficinas'!$H$7:$I$16,2,FALSE)</f>
        <v>Otra Red Captación</v>
      </c>
      <c r="U499" t="s">
        <v>29</v>
      </c>
      <c r="V499" t="str">
        <f>VLOOKUP($R499,'Mapa Oficinas'!$A$7:$C$46,2,FALSE)</f>
        <v>Interior - Santa Fe</v>
      </c>
      <c r="W499" t="str">
        <f>VLOOKUP($R499,'Mapa Oficinas'!$A$7:$C$46,3,FALSE)</f>
        <v>Capital Santa Fe</v>
      </c>
    </row>
    <row r="500" spans="1:23" x14ac:dyDescent="0.2">
      <c r="A500" s="1">
        <v>45687</v>
      </c>
      <c r="B500" s="20">
        <f t="shared" si="14"/>
        <v>2025</v>
      </c>
      <c r="C500" s="20">
        <f t="shared" si="15"/>
        <v>1</v>
      </c>
      <c r="D500" t="s">
        <v>430</v>
      </c>
      <c r="E500" s="49">
        <v>1</v>
      </c>
      <c r="F500" t="s">
        <v>431</v>
      </c>
      <c r="G500" t="s">
        <v>21</v>
      </c>
      <c r="H500" t="s">
        <v>37</v>
      </c>
      <c r="I500" s="13">
        <v>63000</v>
      </c>
      <c r="J500" s="13">
        <v>63000</v>
      </c>
      <c r="K500" s="13">
        <f>IF(J500&lt;'Mapa Oficinas'!$I$21,0,IF(J500&gt;'Mapa Oficinas'!$I$20,0,1))</f>
        <v>0</v>
      </c>
      <c r="L500" t="s">
        <v>23</v>
      </c>
      <c r="M500" t="s">
        <v>23</v>
      </c>
      <c r="N500" t="s">
        <v>432</v>
      </c>
      <c r="O500" t="s">
        <v>245</v>
      </c>
      <c r="P500" t="s">
        <v>45</v>
      </c>
      <c r="Q500">
        <v>2</v>
      </c>
      <c r="R500" t="s">
        <v>183</v>
      </c>
      <c r="S500" t="s">
        <v>79</v>
      </c>
      <c r="T500" t="str">
        <f>VLOOKUP(S500,'Mapa Oficinas'!$H$7:$I$16,2,FALSE)</f>
        <v>CB</v>
      </c>
      <c r="U500" t="s">
        <v>29</v>
      </c>
      <c r="V500" t="str">
        <f>VLOOKUP($R500,'Mapa Oficinas'!$A$7:$C$46,2,FALSE)</f>
        <v>Interior - Neuquén</v>
      </c>
      <c r="W500" t="str">
        <f>VLOOKUP($R500,'Mapa Oficinas'!$A$7:$C$46,3,FALSE)</f>
        <v>Capital Neuquén</v>
      </c>
    </row>
    <row r="501" spans="1:23" x14ac:dyDescent="0.2">
      <c r="A501" s="1">
        <v>46035</v>
      </c>
      <c r="B501" s="20">
        <f t="shared" si="14"/>
        <v>2026</v>
      </c>
      <c r="C501" s="20">
        <f t="shared" si="15"/>
        <v>1</v>
      </c>
      <c r="D501" t="s">
        <v>6195</v>
      </c>
      <c r="E501" s="49">
        <v>1</v>
      </c>
      <c r="F501" t="s">
        <v>6196</v>
      </c>
      <c r="G501" t="s">
        <v>21</v>
      </c>
      <c r="H501" t="s">
        <v>119</v>
      </c>
      <c r="I501" s="13">
        <v>73000</v>
      </c>
      <c r="J501" s="13">
        <v>63000</v>
      </c>
      <c r="K501" s="13">
        <f>IF(J501&lt;'Mapa Oficinas'!$I$21,0,IF(J501&gt;'Mapa Oficinas'!$I$20,0,1))</f>
        <v>0</v>
      </c>
      <c r="L501" t="s">
        <v>23</v>
      </c>
      <c r="M501" t="s">
        <v>23</v>
      </c>
      <c r="N501" t="s">
        <v>285</v>
      </c>
      <c r="O501" t="s">
        <v>209</v>
      </c>
      <c r="P501" t="s">
        <v>45</v>
      </c>
      <c r="Q501">
        <v>2</v>
      </c>
      <c r="R501" t="s">
        <v>121</v>
      </c>
      <c r="S501" t="s">
        <v>79</v>
      </c>
      <c r="T501" t="str">
        <f>VLOOKUP(S501,'Mapa Oficinas'!$H$7:$I$16,2,FALSE)</f>
        <v>CB</v>
      </c>
      <c r="U501" t="s">
        <v>29</v>
      </c>
      <c r="V501" t="str">
        <f>VLOOKUP($R501,'Mapa Oficinas'!$A$7:$C$46,2,FALSE)</f>
        <v>Interior - Río Negro</v>
      </c>
      <c r="W501" t="str">
        <f>VLOOKUP($R501,'Mapa Oficinas'!$A$7:$C$46,3,FALSE)</f>
        <v>Bariloche</v>
      </c>
    </row>
    <row r="502" spans="1:23" x14ac:dyDescent="0.2">
      <c r="A502" s="1">
        <v>45842</v>
      </c>
      <c r="B502" s="20">
        <f t="shared" si="14"/>
        <v>2025</v>
      </c>
      <c r="C502" s="20">
        <f t="shared" si="15"/>
        <v>7</v>
      </c>
      <c r="E502" s="49">
        <v>3</v>
      </c>
      <c r="F502" t="s">
        <v>2869</v>
      </c>
      <c r="G502" t="s">
        <v>21</v>
      </c>
      <c r="H502" t="s">
        <v>22</v>
      </c>
      <c r="I502" s="13">
        <v>52000</v>
      </c>
      <c r="J502" s="13">
        <v>63000</v>
      </c>
      <c r="K502" s="13">
        <f>IF(J502&lt;'Mapa Oficinas'!$I$21,0,IF(J502&gt;'Mapa Oficinas'!$I$20,0,1))</f>
        <v>0</v>
      </c>
      <c r="L502" t="s">
        <v>23</v>
      </c>
      <c r="M502" t="s">
        <v>23</v>
      </c>
      <c r="N502" t="s">
        <v>2869</v>
      </c>
      <c r="O502" t="s">
        <v>1770</v>
      </c>
      <c r="P502" t="s">
        <v>8586</v>
      </c>
      <c r="Q502">
        <v>2</v>
      </c>
      <c r="R502" t="s">
        <v>84</v>
      </c>
      <c r="S502" t="s">
        <v>241</v>
      </c>
      <c r="T502" t="str">
        <f>VLOOKUP(S502,'Mapa Oficinas'!$H$7:$I$16,2,FALSE)</f>
        <v>CB</v>
      </c>
      <c r="U502" t="s">
        <v>29</v>
      </c>
      <c r="V502" t="str">
        <f>VLOOKUP($R502,'Mapa Oficinas'!$A$7:$C$46,2,FALSE)</f>
        <v>Interior - Neuquén</v>
      </c>
      <c r="W502" t="str">
        <f>VLOOKUP($R502,'Mapa Oficinas'!$A$7:$C$46,3,FALSE)</f>
        <v>Villa La Angostura</v>
      </c>
    </row>
    <row r="503" spans="1:23" x14ac:dyDescent="0.2">
      <c r="A503" s="1">
        <v>46108</v>
      </c>
      <c r="B503" s="20">
        <f t="shared" si="14"/>
        <v>2026</v>
      </c>
      <c r="C503" s="20">
        <f t="shared" si="15"/>
        <v>3</v>
      </c>
      <c r="E503" s="49">
        <v>1</v>
      </c>
      <c r="F503" t="s">
        <v>7463</v>
      </c>
      <c r="G503" t="s">
        <v>21</v>
      </c>
      <c r="H503" t="s">
        <v>81</v>
      </c>
      <c r="I503" s="13">
        <v>63000</v>
      </c>
      <c r="J503" s="13">
        <v>63000</v>
      </c>
      <c r="K503" s="13">
        <f>IF(J503&lt;'Mapa Oficinas'!$I$21,0,IF(J503&gt;'Mapa Oficinas'!$I$20,0,1))</f>
        <v>0</v>
      </c>
      <c r="L503" t="s">
        <v>23</v>
      </c>
      <c r="M503" t="s">
        <v>23</v>
      </c>
      <c r="N503" t="s">
        <v>7464</v>
      </c>
      <c r="O503" t="s">
        <v>105</v>
      </c>
      <c r="P503" t="s">
        <v>45</v>
      </c>
      <c r="Q503">
        <v>1</v>
      </c>
      <c r="R503" t="s">
        <v>429</v>
      </c>
      <c r="S503" t="s">
        <v>47</v>
      </c>
      <c r="T503" t="str">
        <f>VLOOKUP(S503,'Mapa Oficinas'!$H$7:$I$16,2,FALSE)</f>
        <v>Otra Red Búsqueda</v>
      </c>
      <c r="U503" t="s">
        <v>29</v>
      </c>
      <c r="V503" t="str">
        <f>VLOOKUP($R503,'Mapa Oficinas'!$A$7:$C$46,2,FALSE)</f>
        <v>Zona Oeste (GBA)</v>
      </c>
      <c r="W503" t="str">
        <f>VLOOKUP($R503,'Mapa Oficinas'!$A$7:$C$46,3,FALSE)</f>
        <v>Parque Leloir</v>
      </c>
    </row>
    <row r="504" spans="1:23" x14ac:dyDescent="0.2">
      <c r="A504" s="1">
        <v>45663</v>
      </c>
      <c r="B504" s="20">
        <f t="shared" si="14"/>
        <v>2025</v>
      </c>
      <c r="C504" s="20">
        <f t="shared" si="15"/>
        <v>1</v>
      </c>
      <c r="D504" t="s">
        <v>68</v>
      </c>
      <c r="E504" s="49">
        <v>1</v>
      </c>
      <c r="F504" t="s">
        <v>69</v>
      </c>
      <c r="G504" t="s">
        <v>21</v>
      </c>
      <c r="H504" t="s">
        <v>70</v>
      </c>
      <c r="I504" s="13">
        <v>58000</v>
      </c>
      <c r="J504" s="13">
        <v>63000</v>
      </c>
      <c r="K504" s="13">
        <f>IF(J504&lt;'Mapa Oficinas'!$I$21,0,IF(J504&gt;'Mapa Oficinas'!$I$20,0,1))</f>
        <v>0</v>
      </c>
      <c r="L504" t="s">
        <v>23</v>
      </c>
      <c r="M504" t="s">
        <v>23</v>
      </c>
      <c r="N504" t="s">
        <v>71</v>
      </c>
      <c r="O504" t="s">
        <v>72</v>
      </c>
      <c r="P504" t="s">
        <v>45</v>
      </c>
      <c r="Q504">
        <v>2</v>
      </c>
      <c r="R504" t="s">
        <v>73</v>
      </c>
      <c r="S504" t="s">
        <v>28</v>
      </c>
      <c r="T504" t="str">
        <f>VLOOKUP(S504,'Mapa Oficinas'!$H$7:$I$16,2,FALSE)</f>
        <v>CB</v>
      </c>
      <c r="U504" t="s">
        <v>29</v>
      </c>
      <c r="V504" t="str">
        <f>VLOOKUP($R504,'Mapa Oficinas'!$A$7:$C$46,2,FALSE)</f>
        <v>Interior - Salta</v>
      </c>
      <c r="W504" t="str">
        <f>VLOOKUP($R504,'Mapa Oficinas'!$A$7:$C$46,3,FALSE)</f>
        <v>San Lorenzo Chico</v>
      </c>
    </row>
    <row r="505" spans="1:23" x14ac:dyDescent="0.2">
      <c r="A505" s="1">
        <v>45741</v>
      </c>
      <c r="B505" s="20">
        <f t="shared" si="14"/>
        <v>2025</v>
      </c>
      <c r="C505" s="20">
        <f t="shared" si="15"/>
        <v>3</v>
      </c>
      <c r="D505" t="s">
        <v>1075</v>
      </c>
      <c r="E505" s="49">
        <v>1</v>
      </c>
      <c r="F505" t="s">
        <v>1076</v>
      </c>
      <c r="G505" t="s">
        <v>21</v>
      </c>
      <c r="H505" t="s">
        <v>37</v>
      </c>
      <c r="I505" s="13">
        <v>64900</v>
      </c>
      <c r="J505" s="13">
        <v>63000</v>
      </c>
      <c r="K505" s="13">
        <f>IF(J505&lt;'Mapa Oficinas'!$I$21,0,IF(J505&gt;'Mapa Oficinas'!$I$20,0,1))</f>
        <v>0</v>
      </c>
      <c r="L505" t="s">
        <v>23</v>
      </c>
      <c r="M505" t="s">
        <v>23</v>
      </c>
      <c r="N505" t="s">
        <v>1077</v>
      </c>
      <c r="O505" t="s">
        <v>105</v>
      </c>
      <c r="P505" t="s">
        <v>45</v>
      </c>
      <c r="Q505">
        <v>2</v>
      </c>
      <c r="R505" t="s">
        <v>67</v>
      </c>
      <c r="S505" t="s">
        <v>28</v>
      </c>
      <c r="T505" t="str">
        <f>VLOOKUP(S505,'Mapa Oficinas'!$H$7:$I$16,2,FALSE)</f>
        <v>CB</v>
      </c>
      <c r="U505" t="s">
        <v>29</v>
      </c>
      <c r="V505" t="str">
        <f>VLOOKUP($R505,'Mapa Oficinas'!$A$7:$C$46,2,FALSE)</f>
        <v>CABA</v>
      </c>
      <c r="W505" t="str">
        <f>VLOOKUP($R505,'Mapa Oficinas'!$A$7:$C$46,3,FALSE)</f>
        <v>Barrio Parque</v>
      </c>
    </row>
    <row r="506" spans="1:23" x14ac:dyDescent="0.2">
      <c r="A506" s="1">
        <v>45755</v>
      </c>
      <c r="B506" s="20">
        <f t="shared" si="14"/>
        <v>2025</v>
      </c>
      <c r="C506" s="20">
        <f t="shared" si="15"/>
        <v>4</v>
      </c>
      <c r="D506" t="s">
        <v>1333</v>
      </c>
      <c r="E506" s="49">
        <v>1</v>
      </c>
      <c r="F506" t="s">
        <v>1334</v>
      </c>
      <c r="G506" t="s">
        <v>21</v>
      </c>
      <c r="H506" t="s">
        <v>22</v>
      </c>
      <c r="I506" s="13">
        <v>65000</v>
      </c>
      <c r="J506" s="13">
        <v>63000</v>
      </c>
      <c r="K506" s="13">
        <f>IF(J506&lt;'Mapa Oficinas'!$I$21,0,IF(J506&gt;'Mapa Oficinas'!$I$20,0,1))</f>
        <v>0</v>
      </c>
      <c r="L506" t="s">
        <v>23</v>
      </c>
      <c r="M506" t="s">
        <v>23</v>
      </c>
      <c r="N506" t="s">
        <v>1335</v>
      </c>
      <c r="O506" t="s">
        <v>50</v>
      </c>
      <c r="P506" t="s">
        <v>45</v>
      </c>
      <c r="Q506">
        <v>2</v>
      </c>
      <c r="R506" t="s">
        <v>170</v>
      </c>
      <c r="S506" t="s">
        <v>28</v>
      </c>
      <c r="T506" t="str">
        <f>VLOOKUP(S506,'Mapa Oficinas'!$H$7:$I$16,2,FALSE)</f>
        <v>CB</v>
      </c>
      <c r="U506" t="s">
        <v>29</v>
      </c>
      <c r="V506" t="str">
        <f>VLOOKUP($R506,'Mapa Oficinas'!$A$7:$C$46,2,FALSE)</f>
        <v>CABA</v>
      </c>
      <c r="W506" t="str">
        <f>VLOOKUP($R506,'Mapa Oficinas'!$A$7:$C$46,3,FALSE)</f>
        <v>Belgrano</v>
      </c>
    </row>
    <row r="507" spans="1:23" x14ac:dyDescent="0.2">
      <c r="A507" s="1">
        <v>45763</v>
      </c>
      <c r="B507" s="20">
        <f t="shared" si="14"/>
        <v>2025</v>
      </c>
      <c r="C507" s="20">
        <f t="shared" si="15"/>
        <v>4</v>
      </c>
      <c r="D507" t="s">
        <v>1483</v>
      </c>
      <c r="E507" s="49">
        <v>1</v>
      </c>
      <c r="F507" t="s">
        <v>1484</v>
      </c>
      <c r="G507" t="s">
        <v>21</v>
      </c>
      <c r="H507" t="s">
        <v>37</v>
      </c>
      <c r="I507" s="13">
        <v>65000</v>
      </c>
      <c r="J507" s="13">
        <v>63000</v>
      </c>
      <c r="K507" s="13">
        <f>IF(J507&lt;'Mapa Oficinas'!$I$21,0,IF(J507&gt;'Mapa Oficinas'!$I$20,0,1))</f>
        <v>0</v>
      </c>
      <c r="L507" t="s">
        <v>23</v>
      </c>
      <c r="M507" t="s">
        <v>23</v>
      </c>
      <c r="N507" t="s">
        <v>1485</v>
      </c>
      <c r="O507" t="s">
        <v>299</v>
      </c>
      <c r="P507" t="s">
        <v>45</v>
      </c>
      <c r="Q507">
        <v>2</v>
      </c>
      <c r="R507" t="s">
        <v>46</v>
      </c>
      <c r="S507" t="s">
        <v>28</v>
      </c>
      <c r="T507" t="str">
        <f>VLOOKUP(S507,'Mapa Oficinas'!$H$7:$I$16,2,FALSE)</f>
        <v>CB</v>
      </c>
      <c r="U507" t="s">
        <v>29</v>
      </c>
      <c r="V507" t="str">
        <f>VLOOKUP($R507,'Mapa Oficinas'!$A$7:$C$46,2,FALSE)</f>
        <v>CABA</v>
      </c>
      <c r="W507" t="str">
        <f>VLOOKUP($R507,'Mapa Oficinas'!$A$7:$C$46,3,FALSE)</f>
        <v>Palermo</v>
      </c>
    </row>
    <row r="508" spans="1:23" x14ac:dyDescent="0.2">
      <c r="A508" s="1">
        <v>45790</v>
      </c>
      <c r="B508" s="20">
        <f t="shared" si="14"/>
        <v>2025</v>
      </c>
      <c r="C508" s="20">
        <f t="shared" si="15"/>
        <v>5</v>
      </c>
      <c r="D508" t="s">
        <v>1887</v>
      </c>
      <c r="E508" s="49">
        <v>1</v>
      </c>
      <c r="F508" t="s">
        <v>1888</v>
      </c>
      <c r="G508" t="s">
        <v>21</v>
      </c>
      <c r="H508" t="s">
        <v>37</v>
      </c>
      <c r="I508" s="13">
        <v>68000</v>
      </c>
      <c r="J508" s="13">
        <v>63000</v>
      </c>
      <c r="K508" s="13">
        <f>IF(J508&lt;'Mapa Oficinas'!$I$21,0,IF(J508&gt;'Mapa Oficinas'!$I$20,0,1))</f>
        <v>0</v>
      </c>
      <c r="L508" t="s">
        <v>23</v>
      </c>
      <c r="M508" t="s">
        <v>23</v>
      </c>
      <c r="N508" t="s">
        <v>1889</v>
      </c>
      <c r="O508" t="s">
        <v>105</v>
      </c>
      <c r="P508" t="s">
        <v>45</v>
      </c>
      <c r="Q508">
        <v>2</v>
      </c>
      <c r="R508" t="s">
        <v>135</v>
      </c>
      <c r="S508" t="s">
        <v>28</v>
      </c>
      <c r="T508" t="str">
        <f>VLOOKUP(S508,'Mapa Oficinas'!$H$7:$I$16,2,FALSE)</f>
        <v>CB</v>
      </c>
      <c r="U508" t="s">
        <v>29</v>
      </c>
      <c r="V508" t="str">
        <f>VLOOKUP($R508,'Mapa Oficinas'!$A$7:$C$46,2,FALSE)</f>
        <v>CABA</v>
      </c>
      <c r="W508" t="str">
        <f>VLOOKUP($R508,'Mapa Oficinas'!$A$7:$C$46,3,FALSE)</f>
        <v>Recoleta</v>
      </c>
    </row>
    <row r="509" spans="1:23" x14ac:dyDescent="0.2">
      <c r="A509" s="1">
        <v>45944</v>
      </c>
      <c r="B509" s="20">
        <f t="shared" si="14"/>
        <v>2025</v>
      </c>
      <c r="C509" s="20">
        <f t="shared" si="15"/>
        <v>10</v>
      </c>
      <c r="D509" t="s">
        <v>4653</v>
      </c>
      <c r="E509" s="49">
        <v>1</v>
      </c>
      <c r="F509" t="s">
        <v>4654</v>
      </c>
      <c r="G509" t="s">
        <v>21</v>
      </c>
      <c r="H509" t="s">
        <v>37</v>
      </c>
      <c r="I509" s="13">
        <v>65000</v>
      </c>
      <c r="J509" s="13">
        <v>63000</v>
      </c>
      <c r="K509" s="13">
        <f>IF(J509&lt;'Mapa Oficinas'!$I$21,0,IF(J509&gt;'Mapa Oficinas'!$I$20,0,1))</f>
        <v>0</v>
      </c>
      <c r="L509" t="s">
        <v>23</v>
      </c>
      <c r="M509" t="s">
        <v>23</v>
      </c>
      <c r="N509" t="s">
        <v>2695</v>
      </c>
      <c r="O509" t="s">
        <v>2696</v>
      </c>
      <c r="P509" t="s">
        <v>45</v>
      </c>
      <c r="Q509">
        <v>2</v>
      </c>
      <c r="R509" t="s">
        <v>67</v>
      </c>
      <c r="S509" t="s">
        <v>28</v>
      </c>
      <c r="T509" t="str">
        <f>VLOOKUP(S509,'Mapa Oficinas'!$H$7:$I$16,2,FALSE)</f>
        <v>CB</v>
      </c>
      <c r="U509" t="s">
        <v>29</v>
      </c>
      <c r="V509" t="str">
        <f>VLOOKUP($R509,'Mapa Oficinas'!$A$7:$C$46,2,FALSE)</f>
        <v>CABA</v>
      </c>
      <c r="W509" t="str">
        <f>VLOOKUP($R509,'Mapa Oficinas'!$A$7:$C$46,3,FALSE)</f>
        <v>Barrio Parque</v>
      </c>
    </row>
    <row r="510" spans="1:23" x14ac:dyDescent="0.2">
      <c r="A510" s="1">
        <v>46020</v>
      </c>
      <c r="B510" s="20">
        <f t="shared" si="14"/>
        <v>2025</v>
      </c>
      <c r="C510" s="20">
        <f t="shared" si="15"/>
        <v>12</v>
      </c>
      <c r="D510" t="s">
        <v>6052</v>
      </c>
      <c r="E510" s="49">
        <v>1</v>
      </c>
      <c r="F510" t="s">
        <v>6052</v>
      </c>
      <c r="G510" t="s">
        <v>21</v>
      </c>
      <c r="H510" t="s">
        <v>37</v>
      </c>
      <c r="I510" s="13">
        <v>63000</v>
      </c>
      <c r="J510" s="13">
        <v>63000</v>
      </c>
      <c r="K510" s="13">
        <f>IF(J510&lt;'Mapa Oficinas'!$I$21,0,IF(J510&gt;'Mapa Oficinas'!$I$20,0,1))</f>
        <v>0</v>
      </c>
      <c r="L510" t="s">
        <v>23</v>
      </c>
      <c r="M510" t="s">
        <v>23</v>
      </c>
      <c r="N510" t="s">
        <v>6052</v>
      </c>
      <c r="O510" t="s">
        <v>822</v>
      </c>
      <c r="P510" t="s">
        <v>45</v>
      </c>
      <c r="Q510">
        <v>2</v>
      </c>
      <c r="R510" t="s">
        <v>62</v>
      </c>
      <c r="S510" t="s">
        <v>28</v>
      </c>
      <c r="T510" t="str">
        <f>VLOOKUP(S510,'Mapa Oficinas'!$H$7:$I$16,2,FALSE)</f>
        <v>CB</v>
      </c>
      <c r="U510" t="s">
        <v>29</v>
      </c>
      <c r="V510" t="str">
        <f>VLOOKUP($R510,'Mapa Oficinas'!$A$7:$C$46,2,FALSE)</f>
        <v>CABA</v>
      </c>
      <c r="W510" t="str">
        <f>VLOOKUP($R510,'Mapa Oficinas'!$A$7:$C$46,3,FALSE)</f>
        <v>Villa Urquiza</v>
      </c>
    </row>
    <row r="511" spans="1:23" x14ac:dyDescent="0.2">
      <c r="A511" s="1">
        <v>46086</v>
      </c>
      <c r="B511" s="20">
        <f t="shared" si="14"/>
        <v>2026</v>
      </c>
      <c r="C511" s="20">
        <f t="shared" si="15"/>
        <v>3</v>
      </c>
      <c r="D511" t="s">
        <v>6966</v>
      </c>
      <c r="E511" s="49">
        <v>1</v>
      </c>
      <c r="F511" t="s">
        <v>6967</v>
      </c>
      <c r="G511" t="s">
        <v>21</v>
      </c>
      <c r="H511" t="s">
        <v>22</v>
      </c>
      <c r="I511" s="13">
        <v>75000</v>
      </c>
      <c r="J511" s="13">
        <v>63000</v>
      </c>
      <c r="K511" s="13">
        <f>IF(J511&lt;'Mapa Oficinas'!$I$21,0,IF(J511&gt;'Mapa Oficinas'!$I$20,0,1))</f>
        <v>0</v>
      </c>
      <c r="L511" t="s">
        <v>23</v>
      </c>
      <c r="M511" t="s">
        <v>23</v>
      </c>
      <c r="N511" t="s">
        <v>6968</v>
      </c>
      <c r="O511" t="s">
        <v>6969</v>
      </c>
      <c r="P511" t="s">
        <v>34</v>
      </c>
      <c r="Q511">
        <v>2</v>
      </c>
      <c r="R511" t="s">
        <v>170</v>
      </c>
      <c r="S511" t="s">
        <v>28</v>
      </c>
      <c r="T511" t="str">
        <f>VLOOKUP(S511,'Mapa Oficinas'!$H$7:$I$16,2,FALSE)</f>
        <v>CB</v>
      </c>
      <c r="U511" t="s">
        <v>29</v>
      </c>
      <c r="V511" t="str">
        <f>VLOOKUP($R511,'Mapa Oficinas'!$A$7:$C$46,2,FALSE)</f>
        <v>CABA</v>
      </c>
      <c r="W511" t="str">
        <f>VLOOKUP($R511,'Mapa Oficinas'!$A$7:$C$46,3,FALSE)</f>
        <v>Belgrano</v>
      </c>
    </row>
    <row r="512" spans="1:23" x14ac:dyDescent="0.2">
      <c r="A512" s="1">
        <v>45992</v>
      </c>
      <c r="B512" s="20">
        <f t="shared" si="14"/>
        <v>2025</v>
      </c>
      <c r="C512" s="20">
        <f t="shared" si="15"/>
        <v>12</v>
      </c>
      <c r="D512" t="s">
        <v>5504</v>
      </c>
      <c r="E512" s="49">
        <v>1</v>
      </c>
      <c r="F512" t="s">
        <v>5505</v>
      </c>
      <c r="G512" t="s">
        <v>21</v>
      </c>
      <c r="H512" t="s">
        <v>37</v>
      </c>
      <c r="I512" s="13">
        <v>59500</v>
      </c>
      <c r="J512" s="13">
        <v>63300</v>
      </c>
      <c r="K512" s="13">
        <f>IF(J512&lt;'Mapa Oficinas'!$I$21,0,IF(J512&gt;'Mapa Oficinas'!$I$20,0,1))</f>
        <v>0</v>
      </c>
      <c r="L512" t="s">
        <v>23</v>
      </c>
      <c r="M512" t="s">
        <v>23</v>
      </c>
      <c r="N512" t="s">
        <v>5505</v>
      </c>
      <c r="O512" t="s">
        <v>5506</v>
      </c>
      <c r="P512" t="s">
        <v>45</v>
      </c>
      <c r="Q512">
        <v>2</v>
      </c>
      <c r="R512" t="s">
        <v>151</v>
      </c>
      <c r="S512" t="s">
        <v>28</v>
      </c>
      <c r="T512" t="str">
        <f>VLOOKUP(S512,'Mapa Oficinas'!$H$7:$I$16,2,FALSE)</f>
        <v>CB</v>
      </c>
      <c r="U512" t="s">
        <v>29</v>
      </c>
      <c r="V512" t="str">
        <f>VLOOKUP($R512,'Mapa Oficinas'!$A$7:$C$46,2,FALSE)</f>
        <v>Interior - Mendoza</v>
      </c>
      <c r="W512" t="str">
        <f>VLOOKUP($R512,'Mapa Oficinas'!$A$7:$C$46,3,FALSE)</f>
        <v>Capital Mendoza</v>
      </c>
    </row>
    <row r="513" spans="1:23" x14ac:dyDescent="0.2">
      <c r="A513" s="1">
        <v>45789</v>
      </c>
      <c r="B513" s="20">
        <f t="shared" si="14"/>
        <v>2025</v>
      </c>
      <c r="C513" s="20">
        <f t="shared" si="15"/>
        <v>5</v>
      </c>
      <c r="D513" t="s">
        <v>1863</v>
      </c>
      <c r="E513" s="49">
        <v>1</v>
      </c>
      <c r="F513" t="s">
        <v>1864</v>
      </c>
      <c r="G513" t="s">
        <v>21</v>
      </c>
      <c r="H513" t="s">
        <v>22</v>
      </c>
      <c r="I513" s="13">
        <v>63500</v>
      </c>
      <c r="J513" s="13">
        <v>63500</v>
      </c>
      <c r="K513" s="13">
        <f>IF(J513&lt;'Mapa Oficinas'!$I$21,0,IF(J513&gt;'Mapa Oficinas'!$I$20,0,1))</f>
        <v>0</v>
      </c>
      <c r="L513" t="s">
        <v>23</v>
      </c>
      <c r="M513" t="s">
        <v>23</v>
      </c>
      <c r="O513" t="s">
        <v>1865</v>
      </c>
      <c r="P513" t="s">
        <v>26</v>
      </c>
      <c r="Q513">
        <v>2</v>
      </c>
      <c r="R513" t="s">
        <v>321</v>
      </c>
      <c r="S513" t="s">
        <v>28</v>
      </c>
      <c r="T513" t="str">
        <f>VLOOKUP(S513,'Mapa Oficinas'!$H$7:$I$16,2,FALSE)</f>
        <v>CB</v>
      </c>
      <c r="U513" t="s">
        <v>29</v>
      </c>
      <c r="V513" t="str">
        <f>VLOOKUP($R513,'Mapa Oficinas'!$A$7:$C$46,2,FALSE)</f>
        <v>CABA</v>
      </c>
      <c r="W513" t="str">
        <f>VLOOKUP($R513,'Mapa Oficinas'!$A$7:$C$46,3,FALSE)</f>
        <v>Palermo</v>
      </c>
    </row>
    <row r="514" spans="1:23" x14ac:dyDescent="0.2">
      <c r="A514" s="1">
        <v>45861</v>
      </c>
      <c r="B514" s="20">
        <f t="shared" ref="B514:B577" si="16">YEAR($A514)</f>
        <v>2025</v>
      </c>
      <c r="C514" s="20">
        <f t="shared" ref="C514:C577" si="17">MONTH($A514)</f>
        <v>7</v>
      </c>
      <c r="D514">
        <v>23072025</v>
      </c>
      <c r="E514" s="49">
        <v>1</v>
      </c>
      <c r="F514" t="s">
        <v>3168</v>
      </c>
      <c r="G514" t="s">
        <v>21</v>
      </c>
      <c r="H514" t="s">
        <v>100</v>
      </c>
      <c r="I514" s="13">
        <v>63524</v>
      </c>
      <c r="J514" s="13">
        <v>63524</v>
      </c>
      <c r="K514" s="13">
        <f>IF(J514&lt;'Mapa Oficinas'!$I$21,0,IF(J514&gt;'Mapa Oficinas'!$I$20,0,1))</f>
        <v>0</v>
      </c>
      <c r="L514" t="s">
        <v>23</v>
      </c>
      <c r="M514" t="s">
        <v>23</v>
      </c>
      <c r="O514" t="s">
        <v>120</v>
      </c>
      <c r="P514" t="s">
        <v>26</v>
      </c>
      <c r="Q514">
        <v>1</v>
      </c>
      <c r="R514" t="s">
        <v>121</v>
      </c>
      <c r="S514" t="s">
        <v>122</v>
      </c>
      <c r="T514" t="str">
        <f>VLOOKUP(S514,'Mapa Oficinas'!$H$7:$I$16,2,FALSE)</f>
        <v>Otra Red Búsqueda</v>
      </c>
      <c r="U514" t="s">
        <v>29</v>
      </c>
      <c r="V514" t="str">
        <f>VLOOKUP($R514,'Mapa Oficinas'!$A$7:$C$46,2,FALSE)</f>
        <v>Interior - Río Negro</v>
      </c>
      <c r="W514" t="str">
        <f>VLOOKUP($R514,'Mapa Oficinas'!$A$7:$C$46,3,FALSE)</f>
        <v>Bariloche</v>
      </c>
    </row>
    <row r="515" spans="1:23" x14ac:dyDescent="0.2">
      <c r="A515" s="1">
        <v>45813</v>
      </c>
      <c r="B515" s="20">
        <f t="shared" si="16"/>
        <v>2025</v>
      </c>
      <c r="C515" s="20">
        <f t="shared" si="17"/>
        <v>6</v>
      </c>
      <c r="D515" t="s">
        <v>2326</v>
      </c>
      <c r="E515" s="49">
        <v>1</v>
      </c>
      <c r="F515" t="s">
        <v>2327</v>
      </c>
      <c r="G515" t="s">
        <v>21</v>
      </c>
      <c r="H515" t="s">
        <v>76</v>
      </c>
      <c r="I515" s="13">
        <v>64000</v>
      </c>
      <c r="J515" s="13">
        <v>64000</v>
      </c>
      <c r="K515" s="13">
        <f>IF(J515&lt;'Mapa Oficinas'!$I$21,0,IF(J515&gt;'Mapa Oficinas'!$I$20,0,1))</f>
        <v>0</v>
      </c>
      <c r="L515" t="s">
        <v>23</v>
      </c>
      <c r="M515" t="s">
        <v>23</v>
      </c>
      <c r="N515" t="s">
        <v>2328</v>
      </c>
      <c r="O515" t="s">
        <v>72</v>
      </c>
      <c r="P515" t="s">
        <v>45</v>
      </c>
      <c r="Q515">
        <v>1</v>
      </c>
      <c r="R515" t="s">
        <v>73</v>
      </c>
      <c r="S515" t="s">
        <v>152</v>
      </c>
      <c r="T515" t="str">
        <f>VLOOKUP(S515,'Mapa Oficinas'!$H$7:$I$16,2,FALSE)</f>
        <v>Otra Red Captación</v>
      </c>
      <c r="U515" t="s">
        <v>29</v>
      </c>
      <c r="V515" t="str">
        <f>VLOOKUP($R515,'Mapa Oficinas'!$A$7:$C$46,2,FALSE)</f>
        <v>Interior - Salta</v>
      </c>
      <c r="W515" t="str">
        <f>VLOOKUP($R515,'Mapa Oficinas'!$A$7:$C$46,3,FALSE)</f>
        <v>San Lorenzo Chico</v>
      </c>
    </row>
    <row r="516" spans="1:23" x14ac:dyDescent="0.2">
      <c r="A516" s="1">
        <v>45747</v>
      </c>
      <c r="B516" s="20">
        <f t="shared" si="16"/>
        <v>2025</v>
      </c>
      <c r="C516" s="20">
        <f t="shared" si="17"/>
        <v>3</v>
      </c>
      <c r="D516" t="s">
        <v>1197</v>
      </c>
      <c r="E516" s="49">
        <v>1</v>
      </c>
      <c r="F516" t="s">
        <v>1198</v>
      </c>
      <c r="G516" t="s">
        <v>21</v>
      </c>
      <c r="H516" t="s">
        <v>37</v>
      </c>
      <c r="I516" s="13">
        <v>69000</v>
      </c>
      <c r="J516" s="13">
        <v>64000</v>
      </c>
      <c r="K516" s="13">
        <f>IF(J516&lt;'Mapa Oficinas'!$I$21,0,IF(J516&gt;'Mapa Oficinas'!$I$20,0,1))</f>
        <v>0</v>
      </c>
      <c r="L516" t="s">
        <v>23</v>
      </c>
      <c r="M516" t="s">
        <v>23</v>
      </c>
      <c r="N516" t="s">
        <v>1199</v>
      </c>
      <c r="O516" t="s">
        <v>1006</v>
      </c>
      <c r="P516" t="s">
        <v>61</v>
      </c>
      <c r="Q516">
        <v>2</v>
      </c>
      <c r="R516" t="s">
        <v>62</v>
      </c>
      <c r="S516" t="s">
        <v>79</v>
      </c>
      <c r="T516" t="str">
        <f>VLOOKUP(S516,'Mapa Oficinas'!$H$7:$I$16,2,FALSE)</f>
        <v>CB</v>
      </c>
      <c r="U516" t="s">
        <v>29</v>
      </c>
      <c r="V516" t="str">
        <f>VLOOKUP($R516,'Mapa Oficinas'!$A$7:$C$46,2,FALSE)</f>
        <v>CABA</v>
      </c>
      <c r="W516" t="str">
        <f>VLOOKUP($R516,'Mapa Oficinas'!$A$7:$C$46,3,FALSE)</f>
        <v>Villa Urquiza</v>
      </c>
    </row>
    <row r="517" spans="1:23" x14ac:dyDescent="0.2">
      <c r="A517" s="1">
        <v>45693</v>
      </c>
      <c r="B517" s="20">
        <f t="shared" si="16"/>
        <v>2025</v>
      </c>
      <c r="C517" s="20">
        <f t="shared" si="17"/>
        <v>2</v>
      </c>
      <c r="D517" t="s">
        <v>492</v>
      </c>
      <c r="E517" s="49">
        <v>1</v>
      </c>
      <c r="F517" t="s">
        <v>493</v>
      </c>
      <c r="G517" t="s">
        <v>21</v>
      </c>
      <c r="H517" t="s">
        <v>37</v>
      </c>
      <c r="I517" s="13">
        <v>75000</v>
      </c>
      <c r="J517" s="13">
        <v>64000</v>
      </c>
      <c r="K517" s="13">
        <f>IF(J517&lt;'Mapa Oficinas'!$I$21,0,IF(J517&gt;'Mapa Oficinas'!$I$20,0,1))</f>
        <v>0</v>
      </c>
      <c r="L517" t="s">
        <v>23</v>
      </c>
      <c r="M517" t="s">
        <v>23</v>
      </c>
      <c r="N517" t="s">
        <v>494</v>
      </c>
      <c r="O517" t="s">
        <v>390</v>
      </c>
      <c r="P517" t="s">
        <v>61</v>
      </c>
      <c r="Q517">
        <v>2</v>
      </c>
      <c r="R517" t="s">
        <v>495</v>
      </c>
      <c r="S517" t="s">
        <v>28</v>
      </c>
      <c r="T517" t="str">
        <f>VLOOKUP(S517,'Mapa Oficinas'!$H$7:$I$16,2,FALSE)</f>
        <v>CB</v>
      </c>
      <c r="U517" t="s">
        <v>29</v>
      </c>
      <c r="V517" t="str">
        <f>VLOOKUP($R517,'Mapa Oficinas'!$A$7:$C$46,2,FALSE)</f>
        <v>Zona Norte (GBA)</v>
      </c>
      <c r="W517" t="str">
        <f>VLOOKUP($R517,'Mapa Oficinas'!$A$7:$C$46,3,FALSE)</f>
        <v>Escobar</v>
      </c>
    </row>
    <row r="518" spans="1:23" x14ac:dyDescent="0.2">
      <c r="A518" s="1">
        <v>45706</v>
      </c>
      <c r="B518" s="20">
        <f t="shared" si="16"/>
        <v>2025</v>
      </c>
      <c r="C518" s="20">
        <f t="shared" si="17"/>
        <v>2</v>
      </c>
      <c r="D518" t="s">
        <v>657</v>
      </c>
      <c r="E518" s="49">
        <v>1</v>
      </c>
      <c r="F518" t="s">
        <v>658</v>
      </c>
      <c r="G518" t="s">
        <v>21</v>
      </c>
      <c r="H518" t="s">
        <v>81</v>
      </c>
      <c r="I518" s="13">
        <v>68000</v>
      </c>
      <c r="J518" s="13">
        <v>64000</v>
      </c>
      <c r="K518" s="13">
        <f>IF(J518&lt;'Mapa Oficinas'!$I$21,0,IF(J518&gt;'Mapa Oficinas'!$I$20,0,1))</f>
        <v>0</v>
      </c>
      <c r="L518" t="s">
        <v>23</v>
      </c>
      <c r="M518" t="s">
        <v>23</v>
      </c>
      <c r="N518" t="s">
        <v>659</v>
      </c>
      <c r="O518" t="s">
        <v>660</v>
      </c>
      <c r="P518" t="s">
        <v>26</v>
      </c>
      <c r="Q518">
        <v>2</v>
      </c>
      <c r="R518" t="s">
        <v>67</v>
      </c>
      <c r="S518" t="s">
        <v>28</v>
      </c>
      <c r="T518" t="str">
        <f>VLOOKUP(S518,'Mapa Oficinas'!$H$7:$I$16,2,FALSE)</f>
        <v>CB</v>
      </c>
      <c r="U518" t="s">
        <v>29</v>
      </c>
      <c r="V518" t="str">
        <f>VLOOKUP($R518,'Mapa Oficinas'!$A$7:$C$46,2,FALSE)</f>
        <v>CABA</v>
      </c>
      <c r="W518" t="str">
        <f>VLOOKUP($R518,'Mapa Oficinas'!$A$7:$C$46,3,FALSE)</f>
        <v>Barrio Parque</v>
      </c>
    </row>
    <row r="519" spans="1:23" x14ac:dyDescent="0.2">
      <c r="A519" s="1">
        <v>45716</v>
      </c>
      <c r="B519" s="20">
        <f t="shared" si="16"/>
        <v>2025</v>
      </c>
      <c r="C519" s="20">
        <f t="shared" si="17"/>
        <v>2</v>
      </c>
      <c r="D519" t="s">
        <v>792</v>
      </c>
      <c r="E519" s="49">
        <v>1</v>
      </c>
      <c r="F519" t="s">
        <v>793</v>
      </c>
      <c r="G519" t="s">
        <v>21</v>
      </c>
      <c r="H519" t="s">
        <v>76</v>
      </c>
      <c r="I519" s="13">
        <v>75000</v>
      </c>
      <c r="J519" s="13">
        <v>64000</v>
      </c>
      <c r="K519" s="13">
        <f>IF(J519&lt;'Mapa Oficinas'!$I$21,0,IF(J519&gt;'Mapa Oficinas'!$I$20,0,1))</f>
        <v>0</v>
      </c>
      <c r="L519" t="s">
        <v>23</v>
      </c>
      <c r="M519" t="s">
        <v>23</v>
      </c>
      <c r="N519" t="s">
        <v>794</v>
      </c>
      <c r="O519" t="s">
        <v>795</v>
      </c>
      <c r="P519" t="s">
        <v>34</v>
      </c>
      <c r="Q519">
        <v>2</v>
      </c>
      <c r="R519" t="s">
        <v>103</v>
      </c>
      <c r="S519" t="s">
        <v>28</v>
      </c>
      <c r="T519" t="str">
        <f>VLOOKUP(S519,'Mapa Oficinas'!$H$7:$I$16,2,FALSE)</f>
        <v>CB</v>
      </c>
      <c r="U519" t="s">
        <v>29</v>
      </c>
      <c r="V519" t="str">
        <f>VLOOKUP($R519,'Mapa Oficinas'!$A$7:$C$46,2,FALSE)</f>
        <v>Zona Sur (GBA)</v>
      </c>
      <c r="W519" t="str">
        <f>VLOOKUP($R519,'Mapa Oficinas'!$A$7:$C$46,3,FALSE)</f>
        <v>La Plata</v>
      </c>
    </row>
    <row r="520" spans="1:23" x14ac:dyDescent="0.2">
      <c r="A520" s="1">
        <v>45902</v>
      </c>
      <c r="B520" s="20">
        <f t="shared" si="16"/>
        <v>2025</v>
      </c>
      <c r="C520" s="20">
        <f t="shared" si="17"/>
        <v>9</v>
      </c>
      <c r="D520" t="s">
        <v>3950</v>
      </c>
      <c r="E520" s="49">
        <v>1</v>
      </c>
      <c r="F520" t="s">
        <v>3951</v>
      </c>
      <c r="G520" t="s">
        <v>21</v>
      </c>
      <c r="H520" t="s">
        <v>37</v>
      </c>
      <c r="I520" s="13">
        <v>65000</v>
      </c>
      <c r="J520" s="13">
        <v>64000</v>
      </c>
      <c r="K520" s="13">
        <f>IF(J520&lt;'Mapa Oficinas'!$I$21,0,IF(J520&gt;'Mapa Oficinas'!$I$20,0,1))</f>
        <v>0</v>
      </c>
      <c r="L520" t="s">
        <v>23</v>
      </c>
      <c r="M520" t="s">
        <v>23</v>
      </c>
      <c r="N520" t="s">
        <v>3952</v>
      </c>
      <c r="O520" t="s">
        <v>1429</v>
      </c>
      <c r="P520" t="s">
        <v>45</v>
      </c>
      <c r="Q520">
        <v>2</v>
      </c>
      <c r="R520" t="s">
        <v>56</v>
      </c>
      <c r="S520" t="s">
        <v>28</v>
      </c>
      <c r="T520" t="str">
        <f>VLOOKUP(S520,'Mapa Oficinas'!$H$7:$I$16,2,FALSE)</f>
        <v>CB</v>
      </c>
      <c r="U520" t="s">
        <v>29</v>
      </c>
      <c r="V520" t="str">
        <f>VLOOKUP($R520,'Mapa Oficinas'!$A$7:$C$46,2,FALSE)</f>
        <v>Zona Norte (GBA)</v>
      </c>
      <c r="W520" t="str">
        <f>VLOOKUP($R520,'Mapa Oficinas'!$A$7:$C$46,3,FALSE)</f>
        <v>Vicente López</v>
      </c>
    </row>
    <row r="521" spans="1:23" x14ac:dyDescent="0.2">
      <c r="A521" s="1">
        <v>45954</v>
      </c>
      <c r="B521" s="20">
        <f t="shared" si="16"/>
        <v>2025</v>
      </c>
      <c r="C521" s="20">
        <f t="shared" si="17"/>
        <v>10</v>
      </c>
      <c r="D521" t="s">
        <v>4894</v>
      </c>
      <c r="E521" s="49">
        <v>1</v>
      </c>
      <c r="F521" t="s">
        <v>4895</v>
      </c>
      <c r="G521" t="s">
        <v>21</v>
      </c>
      <c r="H521" t="s">
        <v>37</v>
      </c>
      <c r="I521" s="13">
        <v>65000</v>
      </c>
      <c r="J521" s="13">
        <v>64000</v>
      </c>
      <c r="K521" s="13">
        <f>IF(J521&lt;'Mapa Oficinas'!$I$21,0,IF(J521&gt;'Mapa Oficinas'!$I$20,0,1))</f>
        <v>0</v>
      </c>
      <c r="L521" t="s">
        <v>23</v>
      </c>
      <c r="M521" t="s">
        <v>23</v>
      </c>
      <c r="N521" t="s">
        <v>4896</v>
      </c>
      <c r="O521" t="s">
        <v>102</v>
      </c>
      <c r="P521" t="s">
        <v>45</v>
      </c>
      <c r="Q521">
        <v>2</v>
      </c>
      <c r="R521" t="s">
        <v>103</v>
      </c>
      <c r="S521" t="s">
        <v>28</v>
      </c>
      <c r="T521" t="str">
        <f>VLOOKUP(S521,'Mapa Oficinas'!$H$7:$I$16,2,FALSE)</f>
        <v>CB</v>
      </c>
      <c r="U521" t="s">
        <v>29</v>
      </c>
      <c r="V521" t="str">
        <f>VLOOKUP($R521,'Mapa Oficinas'!$A$7:$C$46,2,FALSE)</f>
        <v>Zona Sur (GBA)</v>
      </c>
      <c r="W521" t="str">
        <f>VLOOKUP($R521,'Mapa Oficinas'!$A$7:$C$46,3,FALSE)</f>
        <v>La Plata</v>
      </c>
    </row>
    <row r="522" spans="1:23" x14ac:dyDescent="0.2">
      <c r="A522" s="1">
        <v>46001</v>
      </c>
      <c r="B522" s="20">
        <f t="shared" si="16"/>
        <v>2025</v>
      </c>
      <c r="C522" s="20">
        <f t="shared" si="17"/>
        <v>12</v>
      </c>
      <c r="D522" t="s">
        <v>5702</v>
      </c>
      <c r="E522" s="49">
        <v>1</v>
      </c>
      <c r="F522" t="s">
        <v>5703</v>
      </c>
      <c r="G522" t="s">
        <v>21</v>
      </c>
      <c r="H522" t="s">
        <v>221</v>
      </c>
      <c r="I522" s="13">
        <v>68000</v>
      </c>
      <c r="J522" s="13">
        <v>64000</v>
      </c>
      <c r="K522" s="13">
        <f>IF(J522&lt;'Mapa Oficinas'!$I$21,0,IF(J522&gt;'Mapa Oficinas'!$I$20,0,1))</f>
        <v>0</v>
      </c>
      <c r="L522" t="s">
        <v>23</v>
      </c>
      <c r="M522" t="s">
        <v>23</v>
      </c>
      <c r="N522" t="s">
        <v>5704</v>
      </c>
      <c r="O522" t="s">
        <v>1190</v>
      </c>
      <c r="P522" t="s">
        <v>26</v>
      </c>
      <c r="Q522">
        <v>2</v>
      </c>
      <c r="R522" t="s">
        <v>183</v>
      </c>
      <c r="S522" t="s">
        <v>28</v>
      </c>
      <c r="T522" t="str">
        <f>VLOOKUP(S522,'Mapa Oficinas'!$H$7:$I$16,2,FALSE)</f>
        <v>CB</v>
      </c>
      <c r="U522" t="s">
        <v>29</v>
      </c>
      <c r="V522" t="str">
        <f>VLOOKUP($R522,'Mapa Oficinas'!$A$7:$C$46,2,FALSE)</f>
        <v>Interior - Neuquén</v>
      </c>
      <c r="W522" t="str">
        <f>VLOOKUP($R522,'Mapa Oficinas'!$A$7:$C$46,3,FALSE)</f>
        <v>Capital Neuquén</v>
      </c>
    </row>
    <row r="523" spans="1:23" x14ac:dyDescent="0.2">
      <c r="A523" s="1">
        <v>46031</v>
      </c>
      <c r="B523" s="20">
        <f t="shared" si="16"/>
        <v>2026</v>
      </c>
      <c r="C523" s="20">
        <f t="shared" si="17"/>
        <v>1</v>
      </c>
      <c r="D523" t="s">
        <v>6156</v>
      </c>
      <c r="E523" s="49">
        <v>1</v>
      </c>
      <c r="F523" t="s">
        <v>6157</v>
      </c>
      <c r="G523" t="s">
        <v>21</v>
      </c>
      <c r="H523" t="s">
        <v>37</v>
      </c>
      <c r="I523" s="13">
        <v>69000</v>
      </c>
      <c r="J523" s="13">
        <v>64000</v>
      </c>
      <c r="K523" s="13">
        <f>IF(J523&lt;'Mapa Oficinas'!$I$21,0,IF(J523&gt;'Mapa Oficinas'!$I$20,0,1))</f>
        <v>0</v>
      </c>
      <c r="L523" t="s">
        <v>23</v>
      </c>
      <c r="M523" t="s">
        <v>23</v>
      </c>
      <c r="N523" t="s">
        <v>6158</v>
      </c>
      <c r="O523" t="s">
        <v>6159</v>
      </c>
      <c r="P523" t="s">
        <v>45</v>
      </c>
      <c r="Q523">
        <v>2</v>
      </c>
      <c r="R523" t="s">
        <v>495</v>
      </c>
      <c r="S523" t="s">
        <v>28</v>
      </c>
      <c r="T523" t="str">
        <f>VLOOKUP(S523,'Mapa Oficinas'!$H$7:$I$16,2,FALSE)</f>
        <v>CB</v>
      </c>
      <c r="U523" t="s">
        <v>29</v>
      </c>
      <c r="V523" t="str">
        <f>VLOOKUP($R523,'Mapa Oficinas'!$A$7:$C$46,2,FALSE)</f>
        <v>Zona Norte (GBA)</v>
      </c>
      <c r="W523" t="str">
        <f>VLOOKUP($R523,'Mapa Oficinas'!$A$7:$C$46,3,FALSE)</f>
        <v>Escobar</v>
      </c>
    </row>
    <row r="524" spans="1:23" x14ac:dyDescent="0.2">
      <c r="A524" s="1">
        <v>46073</v>
      </c>
      <c r="B524" s="20">
        <f t="shared" si="16"/>
        <v>2026</v>
      </c>
      <c r="C524" s="20">
        <f t="shared" si="17"/>
        <v>2</v>
      </c>
      <c r="D524" t="s">
        <v>6771</v>
      </c>
      <c r="E524" s="49">
        <v>1</v>
      </c>
      <c r="F524" t="s">
        <v>6772</v>
      </c>
      <c r="G524" t="s">
        <v>21</v>
      </c>
      <c r="H524" t="s">
        <v>37</v>
      </c>
      <c r="I524" s="13">
        <v>64000</v>
      </c>
      <c r="J524" s="13">
        <v>64000</v>
      </c>
      <c r="K524" s="13">
        <f>IF(J524&lt;'Mapa Oficinas'!$I$21,0,IF(J524&gt;'Mapa Oficinas'!$I$20,0,1))</f>
        <v>0</v>
      </c>
      <c r="L524" t="s">
        <v>23</v>
      </c>
      <c r="M524" t="s">
        <v>23</v>
      </c>
      <c r="N524" t="s">
        <v>6773</v>
      </c>
      <c r="O524" t="s">
        <v>6774</v>
      </c>
      <c r="P524" t="s">
        <v>34</v>
      </c>
      <c r="Q524">
        <v>2</v>
      </c>
      <c r="R524" t="s">
        <v>151</v>
      </c>
      <c r="S524" t="s">
        <v>28</v>
      </c>
      <c r="T524" t="str">
        <f>VLOOKUP(S524,'Mapa Oficinas'!$H$7:$I$16,2,FALSE)</f>
        <v>CB</v>
      </c>
      <c r="U524" t="s">
        <v>29</v>
      </c>
      <c r="V524" t="str">
        <f>VLOOKUP($R524,'Mapa Oficinas'!$A$7:$C$46,2,FALSE)</f>
        <v>Interior - Mendoza</v>
      </c>
      <c r="W524" t="str">
        <f>VLOOKUP($R524,'Mapa Oficinas'!$A$7:$C$46,3,FALSE)</f>
        <v>Capital Mendoza</v>
      </c>
    </row>
    <row r="525" spans="1:23" x14ac:dyDescent="0.2">
      <c r="A525" s="1">
        <v>46098</v>
      </c>
      <c r="B525" s="20">
        <f t="shared" si="16"/>
        <v>2026</v>
      </c>
      <c r="C525" s="20">
        <f t="shared" si="17"/>
        <v>3</v>
      </c>
      <c r="D525" t="s">
        <v>7233</v>
      </c>
      <c r="E525" s="49">
        <v>1</v>
      </c>
      <c r="F525" t="s">
        <v>7234</v>
      </c>
      <c r="G525" t="s">
        <v>21</v>
      </c>
      <c r="H525" t="s">
        <v>22</v>
      </c>
      <c r="I525" s="13">
        <v>68500</v>
      </c>
      <c r="J525" s="13">
        <v>64500</v>
      </c>
      <c r="K525" s="13">
        <f>IF(J525&lt;'Mapa Oficinas'!$I$21,0,IF(J525&gt;'Mapa Oficinas'!$I$20,0,1))</f>
        <v>0</v>
      </c>
      <c r="L525" t="s">
        <v>23</v>
      </c>
      <c r="M525" t="s">
        <v>23</v>
      </c>
      <c r="N525" t="s">
        <v>7235</v>
      </c>
      <c r="O525" t="s">
        <v>249</v>
      </c>
      <c r="P525" t="s">
        <v>45</v>
      </c>
      <c r="Q525">
        <v>1</v>
      </c>
      <c r="R525" t="s">
        <v>110</v>
      </c>
      <c r="S525" t="s">
        <v>47</v>
      </c>
      <c r="T525" t="str">
        <f>VLOOKUP(S525,'Mapa Oficinas'!$H$7:$I$16,2,FALSE)</f>
        <v>Otra Red Búsqueda</v>
      </c>
      <c r="U525" t="s">
        <v>29</v>
      </c>
      <c r="V525" t="str">
        <f>VLOOKUP($R525,'Mapa Oficinas'!$A$7:$C$46,2,FALSE)</f>
        <v>Zona Norte (GBA)</v>
      </c>
      <c r="W525" t="str">
        <f>VLOOKUP($R525,'Mapa Oficinas'!$A$7:$C$46,3,FALSE)</f>
        <v>Nordelta</v>
      </c>
    </row>
    <row r="526" spans="1:23" x14ac:dyDescent="0.2">
      <c r="A526" s="1">
        <v>45862</v>
      </c>
      <c r="B526" s="20">
        <f t="shared" si="16"/>
        <v>2025</v>
      </c>
      <c r="C526" s="20">
        <f t="shared" si="17"/>
        <v>7</v>
      </c>
      <c r="D526" t="s">
        <v>3190</v>
      </c>
      <c r="E526" s="49">
        <v>1</v>
      </c>
      <c r="F526" t="s">
        <v>3191</v>
      </c>
      <c r="G526" t="s">
        <v>21</v>
      </c>
      <c r="H526" t="s">
        <v>81</v>
      </c>
      <c r="I526" s="13">
        <v>65000</v>
      </c>
      <c r="J526" s="13">
        <v>65000</v>
      </c>
      <c r="K526" s="13">
        <f>IF(J526&lt;'Mapa Oficinas'!$I$21,0,IF(J526&gt;'Mapa Oficinas'!$I$20,0,1))</f>
        <v>0</v>
      </c>
      <c r="L526" t="s">
        <v>23</v>
      </c>
      <c r="M526" t="s">
        <v>23</v>
      </c>
      <c r="O526" t="s">
        <v>3192</v>
      </c>
      <c r="P526" t="s">
        <v>45</v>
      </c>
      <c r="Q526">
        <v>1</v>
      </c>
      <c r="R526" t="s">
        <v>151</v>
      </c>
      <c r="S526" t="s">
        <v>122</v>
      </c>
      <c r="T526" t="str">
        <f>VLOOKUP(S526,'Mapa Oficinas'!$H$7:$I$16,2,FALSE)</f>
        <v>Otra Red Búsqueda</v>
      </c>
      <c r="U526" t="s">
        <v>29</v>
      </c>
      <c r="V526" t="str">
        <f>VLOOKUP($R526,'Mapa Oficinas'!$A$7:$C$46,2,FALSE)</f>
        <v>Interior - Mendoza</v>
      </c>
      <c r="W526" t="str">
        <f>VLOOKUP($R526,'Mapa Oficinas'!$A$7:$C$46,3,FALSE)</f>
        <v>Capital Mendoza</v>
      </c>
    </row>
    <row r="527" spans="1:23" x14ac:dyDescent="0.2">
      <c r="A527" s="1">
        <v>45838</v>
      </c>
      <c r="B527" s="20">
        <f t="shared" si="16"/>
        <v>2025</v>
      </c>
      <c r="C527" s="20">
        <f t="shared" si="17"/>
        <v>6</v>
      </c>
      <c r="D527" t="s">
        <v>2756</v>
      </c>
      <c r="E527" s="49">
        <v>1</v>
      </c>
      <c r="F527" t="s">
        <v>2757</v>
      </c>
      <c r="G527" t="s">
        <v>21</v>
      </c>
      <c r="H527" t="s">
        <v>37</v>
      </c>
      <c r="I527" s="13">
        <v>75000</v>
      </c>
      <c r="J527" s="13">
        <v>65000</v>
      </c>
      <c r="K527" s="13">
        <f>IF(J527&lt;'Mapa Oficinas'!$I$21,0,IF(J527&gt;'Mapa Oficinas'!$I$20,0,1))</f>
        <v>0</v>
      </c>
      <c r="L527" t="s">
        <v>23</v>
      </c>
      <c r="M527" t="s">
        <v>23</v>
      </c>
      <c r="N527" t="s">
        <v>2758</v>
      </c>
      <c r="O527" t="s">
        <v>2759</v>
      </c>
      <c r="P527" t="s">
        <v>45</v>
      </c>
      <c r="Q527">
        <v>1</v>
      </c>
      <c r="R527" t="s">
        <v>495</v>
      </c>
      <c r="S527" t="s">
        <v>152</v>
      </c>
      <c r="T527" t="str">
        <f>VLOOKUP(S527,'Mapa Oficinas'!$H$7:$I$16,2,FALSE)</f>
        <v>Otra Red Captación</v>
      </c>
      <c r="U527" t="s">
        <v>29</v>
      </c>
      <c r="V527" t="str">
        <f>VLOOKUP($R527,'Mapa Oficinas'!$A$7:$C$46,2,FALSE)</f>
        <v>Zona Norte (GBA)</v>
      </c>
      <c r="W527" t="str">
        <f>VLOOKUP($R527,'Mapa Oficinas'!$A$7:$C$46,3,FALSE)</f>
        <v>Escobar</v>
      </c>
    </row>
    <row r="528" spans="1:23" x14ac:dyDescent="0.2">
      <c r="A528" s="1">
        <v>45891</v>
      </c>
      <c r="B528" s="20">
        <f t="shared" si="16"/>
        <v>2025</v>
      </c>
      <c r="C528" s="20">
        <f t="shared" si="17"/>
        <v>8</v>
      </c>
      <c r="D528" t="s">
        <v>3715</v>
      </c>
      <c r="E528" s="49">
        <v>1</v>
      </c>
      <c r="F528" t="s">
        <v>3716</v>
      </c>
      <c r="G528" t="s">
        <v>21</v>
      </c>
      <c r="H528" t="s">
        <v>76</v>
      </c>
      <c r="I528" s="13">
        <v>65000</v>
      </c>
      <c r="J528" s="13">
        <v>65000</v>
      </c>
      <c r="K528" s="13">
        <f>IF(J528&lt;'Mapa Oficinas'!$I$21,0,IF(J528&gt;'Mapa Oficinas'!$I$20,0,1))</f>
        <v>0</v>
      </c>
      <c r="L528" t="s">
        <v>23</v>
      </c>
      <c r="M528" t="s">
        <v>23</v>
      </c>
      <c r="N528" t="s">
        <v>3717</v>
      </c>
      <c r="O528" t="s">
        <v>1469</v>
      </c>
      <c r="P528" t="s">
        <v>45</v>
      </c>
      <c r="Q528">
        <v>1</v>
      </c>
      <c r="R528" t="s">
        <v>167</v>
      </c>
      <c r="S528" t="s">
        <v>152</v>
      </c>
      <c r="T528" t="str">
        <f>VLOOKUP(S528,'Mapa Oficinas'!$H$7:$I$16,2,FALSE)</f>
        <v>Otra Red Captación</v>
      </c>
      <c r="U528" t="s">
        <v>29</v>
      </c>
      <c r="V528" t="str">
        <f>VLOOKUP($R528,'Mapa Oficinas'!$A$7:$C$46,2,FALSE)</f>
        <v>Interior - Santa Fe</v>
      </c>
      <c r="W528" t="str">
        <f>VLOOKUP($R528,'Mapa Oficinas'!$A$7:$C$46,3,FALSE)</f>
        <v>Capital Santa Fe</v>
      </c>
    </row>
    <row r="529" spans="1:23" x14ac:dyDescent="0.2">
      <c r="A529" s="1">
        <v>45992</v>
      </c>
      <c r="B529" s="20">
        <f t="shared" si="16"/>
        <v>2025</v>
      </c>
      <c r="C529" s="20">
        <f t="shared" si="17"/>
        <v>12</v>
      </c>
      <c r="D529" t="s">
        <v>5507</v>
      </c>
      <c r="E529" s="49">
        <v>1</v>
      </c>
      <c r="F529" t="s">
        <v>5508</v>
      </c>
      <c r="G529" t="s">
        <v>21</v>
      </c>
      <c r="H529" t="s">
        <v>119</v>
      </c>
      <c r="I529" s="13">
        <v>68000</v>
      </c>
      <c r="J529" s="13">
        <v>65000</v>
      </c>
      <c r="K529" s="13">
        <f>IF(J529&lt;'Mapa Oficinas'!$I$21,0,IF(J529&gt;'Mapa Oficinas'!$I$20,0,1))</f>
        <v>0</v>
      </c>
      <c r="L529" t="s">
        <v>23</v>
      </c>
      <c r="M529" t="s">
        <v>23</v>
      </c>
      <c r="N529" t="s">
        <v>3174</v>
      </c>
      <c r="O529" t="s">
        <v>3175</v>
      </c>
      <c r="P529" t="s">
        <v>26</v>
      </c>
      <c r="Q529">
        <v>1</v>
      </c>
      <c r="R529" t="s">
        <v>121</v>
      </c>
      <c r="S529" t="s">
        <v>152</v>
      </c>
      <c r="T529" t="str">
        <f>VLOOKUP(S529,'Mapa Oficinas'!$H$7:$I$16,2,FALSE)</f>
        <v>Otra Red Captación</v>
      </c>
      <c r="U529" t="s">
        <v>29</v>
      </c>
      <c r="V529" t="str">
        <f>VLOOKUP($R529,'Mapa Oficinas'!$A$7:$C$46,2,FALSE)</f>
        <v>Interior - Río Negro</v>
      </c>
      <c r="W529" t="str">
        <f>VLOOKUP($R529,'Mapa Oficinas'!$A$7:$C$46,3,FALSE)</f>
        <v>Bariloche</v>
      </c>
    </row>
    <row r="530" spans="1:23" x14ac:dyDescent="0.2">
      <c r="A530" s="1">
        <v>45805</v>
      </c>
      <c r="B530" s="20">
        <f t="shared" si="16"/>
        <v>2025</v>
      </c>
      <c r="C530" s="20">
        <f t="shared" si="17"/>
        <v>5</v>
      </c>
      <c r="D530" t="s">
        <v>2159</v>
      </c>
      <c r="E530" s="49">
        <v>1</v>
      </c>
      <c r="F530" t="s">
        <v>2160</v>
      </c>
      <c r="G530" t="s">
        <v>21</v>
      </c>
      <c r="H530" t="s">
        <v>37</v>
      </c>
      <c r="I530" s="13">
        <v>70000</v>
      </c>
      <c r="J530" s="13">
        <v>65000</v>
      </c>
      <c r="K530" s="13">
        <f>IF(J530&lt;'Mapa Oficinas'!$I$21,0,IF(J530&gt;'Mapa Oficinas'!$I$20,0,1))</f>
        <v>0</v>
      </c>
      <c r="L530" t="s">
        <v>23</v>
      </c>
      <c r="M530" t="s">
        <v>23</v>
      </c>
      <c r="N530" t="s">
        <v>2161</v>
      </c>
      <c r="O530" t="s">
        <v>1206</v>
      </c>
      <c r="P530" t="s">
        <v>34</v>
      </c>
      <c r="Q530">
        <v>2</v>
      </c>
      <c r="R530" t="s">
        <v>183</v>
      </c>
      <c r="S530" t="s">
        <v>79</v>
      </c>
      <c r="T530" t="str">
        <f>VLOOKUP(S530,'Mapa Oficinas'!$H$7:$I$16,2,FALSE)</f>
        <v>CB</v>
      </c>
      <c r="U530" t="s">
        <v>29</v>
      </c>
      <c r="V530" t="str">
        <f>VLOOKUP($R530,'Mapa Oficinas'!$A$7:$C$46,2,FALSE)</f>
        <v>Interior - Neuquén</v>
      </c>
      <c r="W530" t="str">
        <f>VLOOKUP($R530,'Mapa Oficinas'!$A$7:$C$46,3,FALSE)</f>
        <v>Capital Neuquén</v>
      </c>
    </row>
    <row r="531" spans="1:23" x14ac:dyDescent="0.2">
      <c r="A531" s="1">
        <v>45841</v>
      </c>
      <c r="B531" s="20">
        <f t="shared" si="16"/>
        <v>2025</v>
      </c>
      <c r="C531" s="20">
        <f t="shared" si="17"/>
        <v>7</v>
      </c>
      <c r="D531" t="s">
        <v>2849</v>
      </c>
      <c r="E531" s="49">
        <v>1</v>
      </c>
      <c r="F531" t="s">
        <v>2850</v>
      </c>
      <c r="G531" t="s">
        <v>21</v>
      </c>
      <c r="H531" t="s">
        <v>37</v>
      </c>
      <c r="I531" s="13">
        <v>65000</v>
      </c>
      <c r="J531" s="13">
        <v>65000</v>
      </c>
      <c r="K531" s="13">
        <f>IF(J531&lt;'Mapa Oficinas'!$I$21,0,IF(J531&gt;'Mapa Oficinas'!$I$20,0,1))</f>
        <v>0</v>
      </c>
      <c r="L531" t="s">
        <v>23</v>
      </c>
      <c r="M531" t="s">
        <v>23</v>
      </c>
      <c r="N531" t="s">
        <v>2851</v>
      </c>
      <c r="O531" t="s">
        <v>2852</v>
      </c>
      <c r="P531" t="s">
        <v>34</v>
      </c>
      <c r="Q531">
        <v>2</v>
      </c>
      <c r="R531" t="s">
        <v>2003</v>
      </c>
      <c r="S531" t="s">
        <v>79</v>
      </c>
      <c r="T531" t="str">
        <f>VLOOKUP(S531,'Mapa Oficinas'!$H$7:$I$16,2,FALSE)</f>
        <v>CB</v>
      </c>
      <c r="U531" t="s">
        <v>29</v>
      </c>
      <c r="V531" t="str">
        <f>VLOOKUP($R531,'Mapa Oficinas'!$A$7:$C$46,2,FALSE)</f>
        <v>Interior - Mendoza</v>
      </c>
      <c r="W531" t="str">
        <f>VLOOKUP($R531,'Mapa Oficinas'!$A$7:$C$46,3,FALSE)</f>
        <v>San Rafael</v>
      </c>
    </row>
    <row r="532" spans="1:23" x14ac:dyDescent="0.2">
      <c r="A532" s="1">
        <v>45812</v>
      </c>
      <c r="B532" s="20">
        <f t="shared" si="16"/>
        <v>2025</v>
      </c>
      <c r="C532" s="20">
        <f t="shared" si="17"/>
        <v>6</v>
      </c>
      <c r="D532">
        <v>10417</v>
      </c>
      <c r="E532" s="49">
        <v>1</v>
      </c>
      <c r="F532" t="s">
        <v>2297</v>
      </c>
      <c r="G532" t="s">
        <v>21</v>
      </c>
      <c r="H532" t="s">
        <v>37</v>
      </c>
      <c r="I532" s="13">
        <v>0</v>
      </c>
      <c r="J532" s="13">
        <v>65000</v>
      </c>
      <c r="K532" s="13">
        <f>IF(J532&lt;'Mapa Oficinas'!$I$21,0,IF(J532&gt;'Mapa Oficinas'!$I$20,0,1))</f>
        <v>0</v>
      </c>
      <c r="L532" t="s">
        <v>23</v>
      </c>
      <c r="M532" t="s">
        <v>23</v>
      </c>
      <c r="O532" t="s">
        <v>141</v>
      </c>
      <c r="P532" t="s">
        <v>45</v>
      </c>
      <c r="Q532">
        <v>1</v>
      </c>
      <c r="R532" t="s">
        <v>67</v>
      </c>
      <c r="S532" t="s">
        <v>47</v>
      </c>
      <c r="T532" t="str">
        <f>VLOOKUP(S532,'Mapa Oficinas'!$H$7:$I$16,2,FALSE)</f>
        <v>Otra Red Búsqueda</v>
      </c>
      <c r="U532" t="s">
        <v>29</v>
      </c>
      <c r="V532" t="str">
        <f>VLOOKUP($R532,'Mapa Oficinas'!$A$7:$C$46,2,FALSE)</f>
        <v>CABA</v>
      </c>
      <c r="W532" t="str">
        <f>VLOOKUP($R532,'Mapa Oficinas'!$A$7:$C$46,3,FALSE)</f>
        <v>Barrio Parque</v>
      </c>
    </row>
    <row r="533" spans="1:23" x14ac:dyDescent="0.2">
      <c r="A533" s="1">
        <v>45856</v>
      </c>
      <c r="B533" s="20">
        <f t="shared" si="16"/>
        <v>2025</v>
      </c>
      <c r="C533" s="20">
        <f t="shared" si="17"/>
        <v>7</v>
      </c>
      <c r="E533" s="49">
        <v>1</v>
      </c>
      <c r="F533" t="s">
        <v>3105</v>
      </c>
      <c r="G533" t="s">
        <v>21</v>
      </c>
      <c r="H533" t="s">
        <v>37</v>
      </c>
      <c r="I533" s="13">
        <v>65000</v>
      </c>
      <c r="J533" s="13">
        <v>65000</v>
      </c>
      <c r="K533" s="13">
        <f>IF(J533&lt;'Mapa Oficinas'!$I$21,0,IF(J533&gt;'Mapa Oficinas'!$I$20,0,1))</f>
        <v>0</v>
      </c>
      <c r="L533" t="s">
        <v>23</v>
      </c>
      <c r="M533" t="s">
        <v>23</v>
      </c>
      <c r="N533" t="s">
        <v>3106</v>
      </c>
      <c r="O533" t="s">
        <v>102</v>
      </c>
      <c r="P533" t="s">
        <v>45</v>
      </c>
      <c r="Q533">
        <v>1</v>
      </c>
      <c r="R533" t="s">
        <v>103</v>
      </c>
      <c r="S533" t="s">
        <v>47</v>
      </c>
      <c r="T533" t="str">
        <f>VLOOKUP(S533,'Mapa Oficinas'!$H$7:$I$16,2,FALSE)</f>
        <v>Otra Red Búsqueda</v>
      </c>
      <c r="U533" t="s">
        <v>29</v>
      </c>
      <c r="V533" t="str">
        <f>VLOOKUP($R533,'Mapa Oficinas'!$A$7:$C$46,2,FALSE)</f>
        <v>Zona Sur (GBA)</v>
      </c>
      <c r="W533" t="str">
        <f>VLOOKUP($R533,'Mapa Oficinas'!$A$7:$C$46,3,FALSE)</f>
        <v>La Plata</v>
      </c>
    </row>
    <row r="534" spans="1:23" x14ac:dyDescent="0.2">
      <c r="A534" s="1">
        <v>45894</v>
      </c>
      <c r="B534" s="20">
        <f t="shared" si="16"/>
        <v>2025</v>
      </c>
      <c r="C534" s="20">
        <f t="shared" si="17"/>
        <v>8</v>
      </c>
      <c r="D534" t="s">
        <v>3736</v>
      </c>
      <c r="E534" s="49">
        <v>1</v>
      </c>
      <c r="F534" t="s">
        <v>3737</v>
      </c>
      <c r="G534" t="s">
        <v>21</v>
      </c>
      <c r="H534" t="s">
        <v>37</v>
      </c>
      <c r="I534" s="13">
        <v>65000</v>
      </c>
      <c r="J534" s="13">
        <v>65000</v>
      </c>
      <c r="K534" s="13">
        <f>IF(J534&lt;'Mapa Oficinas'!$I$21,0,IF(J534&gt;'Mapa Oficinas'!$I$20,0,1))</f>
        <v>0</v>
      </c>
      <c r="L534" t="s">
        <v>23</v>
      </c>
      <c r="M534" t="s">
        <v>23</v>
      </c>
      <c r="N534" t="s">
        <v>3738</v>
      </c>
      <c r="O534" t="s">
        <v>249</v>
      </c>
      <c r="P534" t="s">
        <v>61</v>
      </c>
      <c r="Q534">
        <v>1</v>
      </c>
      <c r="R534" t="s">
        <v>429</v>
      </c>
      <c r="S534" t="s">
        <v>47</v>
      </c>
      <c r="T534" t="str">
        <f>VLOOKUP(S534,'Mapa Oficinas'!$H$7:$I$16,2,FALSE)</f>
        <v>Otra Red Búsqueda</v>
      </c>
      <c r="U534" t="s">
        <v>29</v>
      </c>
      <c r="V534" t="str">
        <f>VLOOKUP($R534,'Mapa Oficinas'!$A$7:$C$46,2,FALSE)</f>
        <v>Zona Oeste (GBA)</v>
      </c>
      <c r="W534" t="str">
        <f>VLOOKUP($R534,'Mapa Oficinas'!$A$7:$C$46,3,FALSE)</f>
        <v>Parque Leloir</v>
      </c>
    </row>
    <row r="535" spans="1:23" x14ac:dyDescent="0.2">
      <c r="A535" s="1">
        <v>45958</v>
      </c>
      <c r="B535" s="20">
        <f t="shared" si="16"/>
        <v>2025</v>
      </c>
      <c r="C535" s="20">
        <f t="shared" si="17"/>
        <v>10</v>
      </c>
      <c r="D535">
        <v>10576</v>
      </c>
      <c r="E535" s="49">
        <v>1</v>
      </c>
      <c r="F535" t="s">
        <v>4953</v>
      </c>
      <c r="G535" t="s">
        <v>21</v>
      </c>
      <c r="H535" t="s">
        <v>37</v>
      </c>
      <c r="I535" s="13">
        <v>65000</v>
      </c>
      <c r="J535" s="13">
        <v>65000</v>
      </c>
      <c r="K535" s="13">
        <f>IF(J535&lt;'Mapa Oficinas'!$I$21,0,IF(J535&gt;'Mapa Oficinas'!$I$20,0,1))</f>
        <v>0</v>
      </c>
      <c r="L535" t="s">
        <v>23</v>
      </c>
      <c r="M535" t="s">
        <v>23</v>
      </c>
      <c r="N535" t="s">
        <v>4953</v>
      </c>
      <c r="O535" t="s">
        <v>2669</v>
      </c>
      <c r="P535" t="s">
        <v>45</v>
      </c>
      <c r="Q535">
        <v>1</v>
      </c>
      <c r="R535" t="s">
        <v>67</v>
      </c>
      <c r="S535" t="s">
        <v>47</v>
      </c>
      <c r="T535" t="str">
        <f>VLOOKUP(S535,'Mapa Oficinas'!$H$7:$I$16,2,FALSE)</f>
        <v>Otra Red Búsqueda</v>
      </c>
      <c r="U535" t="s">
        <v>29</v>
      </c>
      <c r="V535" t="str">
        <f>VLOOKUP($R535,'Mapa Oficinas'!$A$7:$C$46,2,FALSE)</f>
        <v>CABA</v>
      </c>
      <c r="W535" t="str">
        <f>VLOOKUP($R535,'Mapa Oficinas'!$A$7:$C$46,3,FALSE)</f>
        <v>Barrio Parque</v>
      </c>
    </row>
    <row r="536" spans="1:23" x14ac:dyDescent="0.2">
      <c r="A536" s="1">
        <v>45969</v>
      </c>
      <c r="B536" s="20">
        <f t="shared" si="16"/>
        <v>2025</v>
      </c>
      <c r="C536" s="20">
        <f t="shared" si="17"/>
        <v>11</v>
      </c>
      <c r="D536">
        <v>1</v>
      </c>
      <c r="E536" s="49">
        <v>1</v>
      </c>
      <c r="F536" t="s">
        <v>5096</v>
      </c>
      <c r="G536" t="s">
        <v>21</v>
      </c>
      <c r="H536" t="s">
        <v>37</v>
      </c>
      <c r="I536" s="13">
        <v>65000</v>
      </c>
      <c r="J536" s="13">
        <v>65000</v>
      </c>
      <c r="K536" s="13">
        <f>IF(J536&lt;'Mapa Oficinas'!$I$21,0,IF(J536&gt;'Mapa Oficinas'!$I$20,0,1))</f>
        <v>0</v>
      </c>
      <c r="L536" t="s">
        <v>23</v>
      </c>
      <c r="M536" t="s">
        <v>23</v>
      </c>
      <c r="N536" t="s">
        <v>5097</v>
      </c>
      <c r="O536" t="s">
        <v>634</v>
      </c>
      <c r="P536" t="s">
        <v>45</v>
      </c>
      <c r="Q536">
        <v>1</v>
      </c>
      <c r="R536" t="s">
        <v>372</v>
      </c>
      <c r="S536" t="s">
        <v>47</v>
      </c>
      <c r="T536" t="str">
        <f>VLOOKUP(S536,'Mapa Oficinas'!$H$7:$I$16,2,FALSE)</f>
        <v>Otra Red Búsqueda</v>
      </c>
      <c r="U536" t="s">
        <v>29</v>
      </c>
      <c r="V536" t="str">
        <f>VLOOKUP($R536,'Mapa Oficinas'!$A$7:$C$46,2,FALSE)</f>
        <v>CABA</v>
      </c>
      <c r="W536" t="str">
        <f>VLOOKUP($R536,'Mapa Oficinas'!$A$7:$C$46,3,FALSE)</f>
        <v>Caballito</v>
      </c>
    </row>
    <row r="537" spans="1:23" x14ac:dyDescent="0.2">
      <c r="A537" s="1">
        <v>46006</v>
      </c>
      <c r="B537" s="20">
        <f t="shared" si="16"/>
        <v>2025</v>
      </c>
      <c r="C537" s="20">
        <f t="shared" si="17"/>
        <v>12</v>
      </c>
      <c r="E537" s="49">
        <v>1</v>
      </c>
      <c r="F537" t="s">
        <v>5778</v>
      </c>
      <c r="G537" t="s">
        <v>21</v>
      </c>
      <c r="H537" t="s">
        <v>37</v>
      </c>
      <c r="I537" s="13">
        <v>65000</v>
      </c>
      <c r="J537" s="13">
        <v>65000</v>
      </c>
      <c r="K537" s="13">
        <f>IF(J537&lt;'Mapa Oficinas'!$I$21,0,IF(J537&gt;'Mapa Oficinas'!$I$20,0,1))</f>
        <v>0</v>
      </c>
      <c r="L537" t="s">
        <v>23</v>
      </c>
      <c r="M537" t="s">
        <v>23</v>
      </c>
      <c r="N537" t="s">
        <v>5779</v>
      </c>
      <c r="O537" t="s">
        <v>50</v>
      </c>
      <c r="P537" t="s">
        <v>45</v>
      </c>
      <c r="Q537">
        <v>1</v>
      </c>
      <c r="R537" t="s">
        <v>135</v>
      </c>
      <c r="S537" t="s">
        <v>47</v>
      </c>
      <c r="T537" t="str">
        <f>VLOOKUP(S537,'Mapa Oficinas'!$H$7:$I$16,2,FALSE)</f>
        <v>Otra Red Búsqueda</v>
      </c>
      <c r="U537" t="s">
        <v>29</v>
      </c>
      <c r="V537" t="str">
        <f>VLOOKUP($R537,'Mapa Oficinas'!$A$7:$C$46,2,FALSE)</f>
        <v>CABA</v>
      </c>
      <c r="W537" t="str">
        <f>VLOOKUP($R537,'Mapa Oficinas'!$A$7:$C$46,3,FALSE)</f>
        <v>Recoleta</v>
      </c>
    </row>
    <row r="538" spans="1:23" x14ac:dyDescent="0.2">
      <c r="A538" s="1">
        <v>45673</v>
      </c>
      <c r="B538" s="20">
        <f t="shared" si="16"/>
        <v>2025</v>
      </c>
      <c r="C538" s="20">
        <f t="shared" si="17"/>
        <v>1</v>
      </c>
      <c r="D538" t="s">
        <v>246</v>
      </c>
      <c r="E538" s="49">
        <v>1</v>
      </c>
      <c r="F538" t="s">
        <v>247</v>
      </c>
      <c r="G538" t="s">
        <v>21</v>
      </c>
      <c r="H538" t="s">
        <v>37</v>
      </c>
      <c r="I538" s="13">
        <v>65500</v>
      </c>
      <c r="J538" s="13">
        <v>65000</v>
      </c>
      <c r="K538" s="13">
        <f>IF(J538&lt;'Mapa Oficinas'!$I$21,0,IF(J538&gt;'Mapa Oficinas'!$I$20,0,1))</f>
        <v>0</v>
      </c>
      <c r="L538" t="s">
        <v>23</v>
      </c>
      <c r="M538" t="s">
        <v>23</v>
      </c>
      <c r="N538" t="s">
        <v>248</v>
      </c>
      <c r="O538" t="s">
        <v>249</v>
      </c>
      <c r="P538" t="s">
        <v>45</v>
      </c>
      <c r="Q538">
        <v>2</v>
      </c>
      <c r="R538" t="s">
        <v>46</v>
      </c>
      <c r="S538" t="s">
        <v>200</v>
      </c>
      <c r="T538" t="str">
        <f>VLOOKUP(S538,'Mapa Oficinas'!$H$7:$I$16,2,FALSE)</f>
        <v>Otra Red Captación</v>
      </c>
      <c r="U538" t="s">
        <v>29</v>
      </c>
      <c r="V538" t="str">
        <f>VLOOKUP($R538,'Mapa Oficinas'!$A$7:$C$46,2,FALSE)</f>
        <v>CABA</v>
      </c>
      <c r="W538" t="str">
        <f>VLOOKUP($R538,'Mapa Oficinas'!$A$7:$C$46,3,FALSE)</f>
        <v>Palermo</v>
      </c>
    </row>
    <row r="539" spans="1:23" x14ac:dyDescent="0.2">
      <c r="A539" s="1">
        <v>46065</v>
      </c>
      <c r="B539" s="20">
        <f t="shared" si="16"/>
        <v>2026</v>
      </c>
      <c r="C539" s="20">
        <f t="shared" si="17"/>
        <v>2</v>
      </c>
      <c r="D539" t="s">
        <v>6667</v>
      </c>
      <c r="E539" s="49">
        <v>1</v>
      </c>
      <c r="F539" t="s">
        <v>6668</v>
      </c>
      <c r="G539" t="s">
        <v>21</v>
      </c>
      <c r="H539" t="s">
        <v>37</v>
      </c>
      <c r="I539" s="13">
        <v>69000</v>
      </c>
      <c r="J539" s="13">
        <v>65000</v>
      </c>
      <c r="K539" s="13">
        <f>IF(J539&lt;'Mapa Oficinas'!$I$21,0,IF(J539&gt;'Mapa Oficinas'!$I$20,0,1))</f>
        <v>0</v>
      </c>
      <c r="L539" t="s">
        <v>23</v>
      </c>
      <c r="M539" t="s">
        <v>23</v>
      </c>
      <c r="N539" t="s">
        <v>6669</v>
      </c>
      <c r="O539" t="s">
        <v>66</v>
      </c>
      <c r="P539" t="s">
        <v>45</v>
      </c>
      <c r="Q539">
        <v>2</v>
      </c>
      <c r="R539" t="s">
        <v>67</v>
      </c>
      <c r="S539" t="s">
        <v>200</v>
      </c>
      <c r="T539" t="str">
        <f>VLOOKUP(S539,'Mapa Oficinas'!$H$7:$I$16,2,FALSE)</f>
        <v>Otra Red Captación</v>
      </c>
      <c r="U539" t="s">
        <v>29</v>
      </c>
      <c r="V539" t="str">
        <f>VLOOKUP($R539,'Mapa Oficinas'!$A$7:$C$46,2,FALSE)</f>
        <v>CABA</v>
      </c>
      <c r="W539" t="str">
        <f>VLOOKUP($R539,'Mapa Oficinas'!$A$7:$C$46,3,FALSE)</f>
        <v>Barrio Parque</v>
      </c>
    </row>
    <row r="540" spans="1:23" x14ac:dyDescent="0.2">
      <c r="A540" s="1">
        <v>45685</v>
      </c>
      <c r="B540" s="20">
        <f t="shared" si="16"/>
        <v>2025</v>
      </c>
      <c r="C540" s="20">
        <f t="shared" si="17"/>
        <v>1</v>
      </c>
      <c r="D540" t="s">
        <v>394</v>
      </c>
      <c r="E540" s="49">
        <v>1</v>
      </c>
      <c r="F540" t="s">
        <v>394</v>
      </c>
      <c r="G540" t="s">
        <v>21</v>
      </c>
      <c r="H540" t="s">
        <v>37</v>
      </c>
      <c r="I540" s="13">
        <v>65000</v>
      </c>
      <c r="J540" s="13">
        <v>65000</v>
      </c>
      <c r="K540" s="13">
        <f>IF(J540&lt;'Mapa Oficinas'!$I$21,0,IF(J540&gt;'Mapa Oficinas'!$I$20,0,1))</f>
        <v>0</v>
      </c>
      <c r="L540" t="s">
        <v>23</v>
      </c>
      <c r="M540" t="s">
        <v>23</v>
      </c>
      <c r="N540" t="s">
        <v>394</v>
      </c>
      <c r="O540" t="s">
        <v>395</v>
      </c>
      <c r="P540" t="s">
        <v>45</v>
      </c>
      <c r="Q540">
        <v>2</v>
      </c>
      <c r="R540" t="s">
        <v>62</v>
      </c>
      <c r="S540" t="s">
        <v>28</v>
      </c>
      <c r="T540" t="str">
        <f>VLOOKUP(S540,'Mapa Oficinas'!$H$7:$I$16,2,FALSE)</f>
        <v>CB</v>
      </c>
      <c r="U540" t="s">
        <v>29</v>
      </c>
      <c r="V540" t="str">
        <f>VLOOKUP($R540,'Mapa Oficinas'!$A$7:$C$46,2,FALSE)</f>
        <v>CABA</v>
      </c>
      <c r="W540" t="str">
        <f>VLOOKUP($R540,'Mapa Oficinas'!$A$7:$C$46,3,FALSE)</f>
        <v>Villa Urquiza</v>
      </c>
    </row>
    <row r="541" spans="1:23" x14ac:dyDescent="0.2">
      <c r="A541" s="1">
        <v>45715</v>
      </c>
      <c r="B541" s="20">
        <f t="shared" si="16"/>
        <v>2025</v>
      </c>
      <c r="C541" s="20">
        <f t="shared" si="17"/>
        <v>2</v>
      </c>
      <c r="D541" t="s">
        <v>768</v>
      </c>
      <c r="E541" s="49">
        <v>1</v>
      </c>
      <c r="F541" t="s">
        <v>769</v>
      </c>
      <c r="G541" t="s">
        <v>21</v>
      </c>
      <c r="H541" t="s">
        <v>37</v>
      </c>
      <c r="I541" s="13">
        <v>65000</v>
      </c>
      <c r="J541" s="13">
        <v>65000</v>
      </c>
      <c r="K541" s="13">
        <f>IF(J541&lt;'Mapa Oficinas'!$I$21,0,IF(J541&gt;'Mapa Oficinas'!$I$20,0,1))</f>
        <v>0</v>
      </c>
      <c r="L541" t="s">
        <v>23</v>
      </c>
      <c r="M541" t="s">
        <v>23</v>
      </c>
      <c r="N541" t="s">
        <v>770</v>
      </c>
      <c r="O541" t="s">
        <v>771</v>
      </c>
      <c r="P541" t="s">
        <v>34</v>
      </c>
      <c r="Q541">
        <v>2</v>
      </c>
      <c r="R541" t="s">
        <v>135</v>
      </c>
      <c r="S541" t="s">
        <v>28</v>
      </c>
      <c r="T541" t="str">
        <f>VLOOKUP(S541,'Mapa Oficinas'!$H$7:$I$16,2,FALSE)</f>
        <v>CB</v>
      </c>
      <c r="U541" t="s">
        <v>29</v>
      </c>
      <c r="V541" t="str">
        <f>VLOOKUP($R541,'Mapa Oficinas'!$A$7:$C$46,2,FALSE)</f>
        <v>CABA</v>
      </c>
      <c r="W541" t="str">
        <f>VLOOKUP($R541,'Mapa Oficinas'!$A$7:$C$46,3,FALSE)</f>
        <v>Recoleta</v>
      </c>
    </row>
    <row r="542" spans="1:23" x14ac:dyDescent="0.2">
      <c r="A542" s="1">
        <v>45734</v>
      </c>
      <c r="B542" s="20">
        <f t="shared" si="16"/>
        <v>2025</v>
      </c>
      <c r="C542" s="20">
        <f t="shared" si="17"/>
        <v>3</v>
      </c>
      <c r="D542" t="s">
        <v>993</v>
      </c>
      <c r="E542" s="49">
        <v>1</v>
      </c>
      <c r="F542" t="s">
        <v>993</v>
      </c>
      <c r="G542" t="s">
        <v>21</v>
      </c>
      <c r="H542" t="s">
        <v>37</v>
      </c>
      <c r="I542" s="13">
        <v>65000</v>
      </c>
      <c r="J542" s="13">
        <v>65000</v>
      </c>
      <c r="K542" s="13">
        <f>IF(J542&lt;'Mapa Oficinas'!$I$21,0,IF(J542&gt;'Mapa Oficinas'!$I$20,0,1))</f>
        <v>0</v>
      </c>
      <c r="L542" t="s">
        <v>23</v>
      </c>
      <c r="M542" t="s">
        <v>23</v>
      </c>
      <c r="N542" t="s">
        <v>993</v>
      </c>
      <c r="O542" t="s">
        <v>804</v>
      </c>
      <c r="P542" t="s">
        <v>45</v>
      </c>
      <c r="Q542">
        <v>2</v>
      </c>
      <c r="R542" t="s">
        <v>62</v>
      </c>
      <c r="S542" t="s">
        <v>28</v>
      </c>
      <c r="T542" t="str">
        <f>VLOOKUP(S542,'Mapa Oficinas'!$H$7:$I$16,2,FALSE)</f>
        <v>CB</v>
      </c>
      <c r="U542" t="s">
        <v>29</v>
      </c>
      <c r="V542" t="str">
        <f>VLOOKUP($R542,'Mapa Oficinas'!$A$7:$C$46,2,FALSE)</f>
        <v>CABA</v>
      </c>
      <c r="W542" t="str">
        <f>VLOOKUP($R542,'Mapa Oficinas'!$A$7:$C$46,3,FALSE)</f>
        <v>Villa Urquiza</v>
      </c>
    </row>
    <row r="543" spans="1:23" x14ac:dyDescent="0.2">
      <c r="A543" s="1">
        <v>45737</v>
      </c>
      <c r="B543" s="20">
        <f t="shared" si="16"/>
        <v>2025</v>
      </c>
      <c r="C543" s="20">
        <f t="shared" si="17"/>
        <v>3</v>
      </c>
      <c r="D543" t="s">
        <v>1042</v>
      </c>
      <c r="E543" s="49">
        <v>1</v>
      </c>
      <c r="F543" t="s">
        <v>1043</v>
      </c>
      <c r="G543" t="s">
        <v>21</v>
      </c>
      <c r="H543" t="s">
        <v>37</v>
      </c>
      <c r="I543" s="13">
        <v>70000</v>
      </c>
      <c r="J543" s="13">
        <v>65000</v>
      </c>
      <c r="K543" s="13">
        <f>IF(J543&lt;'Mapa Oficinas'!$I$21,0,IF(J543&gt;'Mapa Oficinas'!$I$20,0,1))</f>
        <v>0</v>
      </c>
      <c r="L543" t="s">
        <v>23</v>
      </c>
      <c r="M543" t="s">
        <v>23</v>
      </c>
      <c r="N543" t="s">
        <v>1044</v>
      </c>
      <c r="O543" t="s">
        <v>1045</v>
      </c>
      <c r="P543" t="s">
        <v>34</v>
      </c>
      <c r="Q543">
        <v>2</v>
      </c>
      <c r="R543" t="s">
        <v>429</v>
      </c>
      <c r="S543" t="s">
        <v>28</v>
      </c>
      <c r="T543" t="str">
        <f>VLOOKUP(S543,'Mapa Oficinas'!$H$7:$I$16,2,FALSE)</f>
        <v>CB</v>
      </c>
      <c r="U543" t="s">
        <v>29</v>
      </c>
      <c r="V543" t="str">
        <f>VLOOKUP($R543,'Mapa Oficinas'!$A$7:$C$46,2,FALSE)</f>
        <v>Zona Oeste (GBA)</v>
      </c>
      <c r="W543" t="str">
        <f>VLOOKUP($R543,'Mapa Oficinas'!$A$7:$C$46,3,FALSE)</f>
        <v>Parque Leloir</v>
      </c>
    </row>
    <row r="544" spans="1:23" x14ac:dyDescent="0.2">
      <c r="A544" s="1">
        <v>45789</v>
      </c>
      <c r="B544" s="20">
        <f t="shared" si="16"/>
        <v>2025</v>
      </c>
      <c r="C544" s="20">
        <f t="shared" si="17"/>
        <v>5</v>
      </c>
      <c r="D544" t="s">
        <v>1866</v>
      </c>
      <c r="E544" s="49">
        <v>1</v>
      </c>
      <c r="F544" t="s">
        <v>1867</v>
      </c>
      <c r="G544" t="s">
        <v>21</v>
      </c>
      <c r="H544" t="s">
        <v>37</v>
      </c>
      <c r="I544" s="13">
        <v>69000</v>
      </c>
      <c r="J544" s="13">
        <v>65000</v>
      </c>
      <c r="K544" s="13">
        <f>IF(J544&lt;'Mapa Oficinas'!$I$21,0,IF(J544&gt;'Mapa Oficinas'!$I$20,0,1))</f>
        <v>0</v>
      </c>
      <c r="L544" t="s">
        <v>23</v>
      </c>
      <c r="M544" t="s">
        <v>23</v>
      </c>
      <c r="N544" t="s">
        <v>1868</v>
      </c>
      <c r="O544" t="s">
        <v>1869</v>
      </c>
      <c r="P544" t="s">
        <v>61</v>
      </c>
      <c r="Q544">
        <v>2</v>
      </c>
      <c r="R544" t="s">
        <v>56</v>
      </c>
      <c r="S544" t="s">
        <v>28</v>
      </c>
      <c r="T544" t="str">
        <f>VLOOKUP(S544,'Mapa Oficinas'!$H$7:$I$16,2,FALSE)</f>
        <v>CB</v>
      </c>
      <c r="U544" t="s">
        <v>29</v>
      </c>
      <c r="V544" t="str">
        <f>VLOOKUP($R544,'Mapa Oficinas'!$A$7:$C$46,2,FALSE)</f>
        <v>Zona Norte (GBA)</v>
      </c>
      <c r="W544" t="str">
        <f>VLOOKUP($R544,'Mapa Oficinas'!$A$7:$C$46,3,FALSE)</f>
        <v>Vicente López</v>
      </c>
    </row>
    <row r="545" spans="1:23" x14ac:dyDescent="0.2">
      <c r="A545" s="1">
        <v>45798</v>
      </c>
      <c r="B545" s="20">
        <f t="shared" si="16"/>
        <v>2025</v>
      </c>
      <c r="C545" s="20">
        <f t="shared" si="17"/>
        <v>5</v>
      </c>
      <c r="D545" t="s">
        <v>2055</v>
      </c>
      <c r="E545" s="49">
        <v>1</v>
      </c>
      <c r="F545" t="s">
        <v>2056</v>
      </c>
      <c r="G545" t="s">
        <v>21</v>
      </c>
      <c r="H545" t="s">
        <v>37</v>
      </c>
      <c r="I545" s="13">
        <v>75000</v>
      </c>
      <c r="J545" s="13">
        <v>65000</v>
      </c>
      <c r="K545" s="13">
        <f>IF(J545&lt;'Mapa Oficinas'!$I$21,0,IF(J545&gt;'Mapa Oficinas'!$I$20,0,1))</f>
        <v>0</v>
      </c>
      <c r="L545" t="s">
        <v>23</v>
      </c>
      <c r="M545" t="s">
        <v>23</v>
      </c>
      <c r="N545" t="s">
        <v>2057</v>
      </c>
      <c r="O545" t="s">
        <v>1206</v>
      </c>
      <c r="P545" t="s">
        <v>61</v>
      </c>
      <c r="Q545">
        <v>2</v>
      </c>
      <c r="R545" t="s">
        <v>183</v>
      </c>
      <c r="S545" t="s">
        <v>28</v>
      </c>
      <c r="T545" t="str">
        <f>VLOOKUP(S545,'Mapa Oficinas'!$H$7:$I$16,2,FALSE)</f>
        <v>CB</v>
      </c>
      <c r="U545" t="s">
        <v>29</v>
      </c>
      <c r="V545" t="str">
        <f>VLOOKUP($R545,'Mapa Oficinas'!$A$7:$C$46,2,FALSE)</f>
        <v>Interior - Neuquén</v>
      </c>
      <c r="W545" t="str">
        <f>VLOOKUP($R545,'Mapa Oficinas'!$A$7:$C$46,3,FALSE)</f>
        <v>Capital Neuquén</v>
      </c>
    </row>
    <row r="546" spans="1:23" x14ac:dyDescent="0.2">
      <c r="A546" s="1">
        <v>45822</v>
      </c>
      <c r="B546" s="20">
        <f t="shared" si="16"/>
        <v>2025</v>
      </c>
      <c r="C546" s="20">
        <f t="shared" si="17"/>
        <v>6</v>
      </c>
      <c r="D546" t="s">
        <v>2517</v>
      </c>
      <c r="E546" s="49">
        <v>1</v>
      </c>
      <c r="F546" t="s">
        <v>2518</v>
      </c>
      <c r="G546" t="s">
        <v>21</v>
      </c>
      <c r="H546" t="s">
        <v>70</v>
      </c>
      <c r="I546" s="13">
        <v>65000</v>
      </c>
      <c r="J546" s="13">
        <v>65000</v>
      </c>
      <c r="K546" s="13">
        <f>IF(J546&lt;'Mapa Oficinas'!$I$21,0,IF(J546&gt;'Mapa Oficinas'!$I$20,0,1))</f>
        <v>0</v>
      </c>
      <c r="L546" t="s">
        <v>23</v>
      </c>
      <c r="M546" t="s">
        <v>23</v>
      </c>
      <c r="N546" t="s">
        <v>2519</v>
      </c>
      <c r="O546" t="s">
        <v>2520</v>
      </c>
      <c r="P546" t="s">
        <v>34</v>
      </c>
      <c r="Q546">
        <v>2</v>
      </c>
      <c r="R546" t="s">
        <v>73</v>
      </c>
      <c r="S546" t="s">
        <v>28</v>
      </c>
      <c r="T546" t="str">
        <f>VLOOKUP(S546,'Mapa Oficinas'!$H$7:$I$16,2,FALSE)</f>
        <v>CB</v>
      </c>
      <c r="U546" t="s">
        <v>29</v>
      </c>
      <c r="V546" t="str">
        <f>VLOOKUP($R546,'Mapa Oficinas'!$A$7:$C$46,2,FALSE)</f>
        <v>Interior - Salta</v>
      </c>
      <c r="W546" t="str">
        <f>VLOOKUP($R546,'Mapa Oficinas'!$A$7:$C$46,3,FALSE)</f>
        <v>San Lorenzo Chico</v>
      </c>
    </row>
    <row r="547" spans="1:23" x14ac:dyDescent="0.2">
      <c r="A547" s="1">
        <v>45835</v>
      </c>
      <c r="B547" s="20">
        <f t="shared" si="16"/>
        <v>2025</v>
      </c>
      <c r="C547" s="20">
        <f t="shared" si="17"/>
        <v>6</v>
      </c>
      <c r="D547" t="s">
        <v>2688</v>
      </c>
      <c r="E547" s="49">
        <v>1</v>
      </c>
      <c r="F547" t="s">
        <v>2689</v>
      </c>
      <c r="G547" t="s">
        <v>21</v>
      </c>
      <c r="H547" t="s">
        <v>37</v>
      </c>
      <c r="I547" s="13">
        <v>64000</v>
      </c>
      <c r="J547" s="13">
        <v>65000</v>
      </c>
      <c r="K547" s="13">
        <f>IF(J547&lt;'Mapa Oficinas'!$I$21,0,IF(J547&gt;'Mapa Oficinas'!$I$20,0,1))</f>
        <v>0</v>
      </c>
      <c r="L547" t="s">
        <v>23</v>
      </c>
      <c r="M547" t="s">
        <v>23</v>
      </c>
      <c r="N547" t="s">
        <v>2690</v>
      </c>
      <c r="O547" t="s">
        <v>2691</v>
      </c>
      <c r="P547" t="s">
        <v>26</v>
      </c>
      <c r="Q547">
        <v>2</v>
      </c>
      <c r="R547" t="s">
        <v>183</v>
      </c>
      <c r="S547" t="s">
        <v>28</v>
      </c>
      <c r="T547" t="str">
        <f>VLOOKUP(S547,'Mapa Oficinas'!$H$7:$I$16,2,FALSE)</f>
        <v>CB</v>
      </c>
      <c r="U547" t="s">
        <v>29</v>
      </c>
      <c r="V547" t="str">
        <f>VLOOKUP($R547,'Mapa Oficinas'!$A$7:$C$46,2,FALSE)</f>
        <v>Interior - Neuquén</v>
      </c>
      <c r="W547" t="str">
        <f>VLOOKUP($R547,'Mapa Oficinas'!$A$7:$C$46,3,FALSE)</f>
        <v>Capital Neuquén</v>
      </c>
    </row>
    <row r="548" spans="1:23" x14ac:dyDescent="0.2">
      <c r="A548" s="1">
        <v>45842</v>
      </c>
      <c r="B548" s="20">
        <f t="shared" si="16"/>
        <v>2025</v>
      </c>
      <c r="C548" s="20">
        <f t="shared" si="17"/>
        <v>7</v>
      </c>
      <c r="D548" t="s">
        <v>2870</v>
      </c>
      <c r="E548" s="49">
        <v>1</v>
      </c>
      <c r="F548" t="s">
        <v>2871</v>
      </c>
      <c r="G548" t="s">
        <v>21</v>
      </c>
      <c r="H548" t="s">
        <v>37</v>
      </c>
      <c r="I548" s="13">
        <v>72000</v>
      </c>
      <c r="J548" s="13">
        <v>65000</v>
      </c>
      <c r="K548" s="13">
        <f>IF(J548&lt;'Mapa Oficinas'!$I$21,0,IF(J548&gt;'Mapa Oficinas'!$I$20,0,1))</f>
        <v>0</v>
      </c>
      <c r="L548" t="s">
        <v>23</v>
      </c>
      <c r="M548" t="s">
        <v>23</v>
      </c>
      <c r="N548" t="s">
        <v>2872</v>
      </c>
      <c r="O548" t="s">
        <v>2873</v>
      </c>
      <c r="P548" t="s">
        <v>45</v>
      </c>
      <c r="Q548">
        <v>2</v>
      </c>
      <c r="R548" t="s">
        <v>56</v>
      </c>
      <c r="S548" t="s">
        <v>28</v>
      </c>
      <c r="T548" t="str">
        <f>VLOOKUP(S548,'Mapa Oficinas'!$H$7:$I$16,2,FALSE)</f>
        <v>CB</v>
      </c>
      <c r="U548" t="s">
        <v>29</v>
      </c>
      <c r="V548" t="str">
        <f>VLOOKUP($R548,'Mapa Oficinas'!$A$7:$C$46,2,FALSE)</f>
        <v>Zona Norte (GBA)</v>
      </c>
      <c r="W548" t="str">
        <f>VLOOKUP($R548,'Mapa Oficinas'!$A$7:$C$46,3,FALSE)</f>
        <v>Vicente López</v>
      </c>
    </row>
    <row r="549" spans="1:23" x14ac:dyDescent="0.2">
      <c r="A549" s="1">
        <v>45854</v>
      </c>
      <c r="B549" s="20">
        <f t="shared" si="16"/>
        <v>2025</v>
      </c>
      <c r="C549" s="20">
        <f t="shared" si="17"/>
        <v>7</v>
      </c>
      <c r="D549" t="s">
        <v>3063</v>
      </c>
      <c r="E549" s="49">
        <v>1</v>
      </c>
      <c r="F549" t="s">
        <v>3064</v>
      </c>
      <c r="G549" t="s">
        <v>21</v>
      </c>
      <c r="H549" t="s">
        <v>37</v>
      </c>
      <c r="I549" s="13">
        <v>67000</v>
      </c>
      <c r="J549" s="13">
        <v>65000</v>
      </c>
      <c r="K549" s="13">
        <f>IF(J549&lt;'Mapa Oficinas'!$I$21,0,IF(J549&gt;'Mapa Oficinas'!$I$20,0,1))</f>
        <v>0</v>
      </c>
      <c r="L549" t="s">
        <v>23</v>
      </c>
      <c r="M549" t="s">
        <v>23</v>
      </c>
      <c r="N549" t="s">
        <v>3065</v>
      </c>
      <c r="O549" t="s">
        <v>178</v>
      </c>
      <c r="P549" t="s">
        <v>45</v>
      </c>
      <c r="Q549">
        <v>2</v>
      </c>
      <c r="R549" t="s">
        <v>110</v>
      </c>
      <c r="S549" t="s">
        <v>28</v>
      </c>
      <c r="T549" t="str">
        <f>VLOOKUP(S549,'Mapa Oficinas'!$H$7:$I$16,2,FALSE)</f>
        <v>CB</v>
      </c>
      <c r="U549" t="s">
        <v>29</v>
      </c>
      <c r="V549" t="str">
        <f>VLOOKUP($R549,'Mapa Oficinas'!$A$7:$C$46,2,FALSE)</f>
        <v>Zona Norte (GBA)</v>
      </c>
      <c r="W549" t="str">
        <f>VLOOKUP($R549,'Mapa Oficinas'!$A$7:$C$46,3,FALSE)</f>
        <v>Nordelta</v>
      </c>
    </row>
    <row r="550" spans="1:23" x14ac:dyDescent="0.2">
      <c r="A550" s="1">
        <v>45856</v>
      </c>
      <c r="B550" s="20">
        <f t="shared" si="16"/>
        <v>2025</v>
      </c>
      <c r="C550" s="20">
        <f t="shared" si="17"/>
        <v>7</v>
      </c>
      <c r="D550" t="s">
        <v>3102</v>
      </c>
      <c r="E550" s="49">
        <v>1</v>
      </c>
      <c r="F550" t="s">
        <v>3103</v>
      </c>
      <c r="G550" t="s">
        <v>21</v>
      </c>
      <c r="H550" t="s">
        <v>37</v>
      </c>
      <c r="I550" s="13">
        <v>69000</v>
      </c>
      <c r="J550" s="13">
        <v>65000</v>
      </c>
      <c r="K550" s="13">
        <f>IF(J550&lt;'Mapa Oficinas'!$I$21,0,IF(J550&gt;'Mapa Oficinas'!$I$20,0,1))</f>
        <v>0</v>
      </c>
      <c r="L550" t="s">
        <v>23</v>
      </c>
      <c r="M550" t="s">
        <v>23</v>
      </c>
      <c r="N550" t="s">
        <v>3104</v>
      </c>
      <c r="O550" t="s">
        <v>50</v>
      </c>
      <c r="P550" t="s">
        <v>45</v>
      </c>
      <c r="Q550">
        <v>2</v>
      </c>
      <c r="R550" t="s">
        <v>67</v>
      </c>
      <c r="S550" t="s">
        <v>28</v>
      </c>
      <c r="T550" t="str">
        <f>VLOOKUP(S550,'Mapa Oficinas'!$H$7:$I$16,2,FALSE)</f>
        <v>CB</v>
      </c>
      <c r="U550" t="s">
        <v>29</v>
      </c>
      <c r="V550" t="str">
        <f>VLOOKUP($R550,'Mapa Oficinas'!$A$7:$C$46,2,FALSE)</f>
        <v>CABA</v>
      </c>
      <c r="W550" t="str">
        <f>VLOOKUP($R550,'Mapa Oficinas'!$A$7:$C$46,3,FALSE)</f>
        <v>Barrio Parque</v>
      </c>
    </row>
    <row r="551" spans="1:23" x14ac:dyDescent="0.2">
      <c r="A551" s="1">
        <v>45882</v>
      </c>
      <c r="B551" s="20">
        <f t="shared" si="16"/>
        <v>2025</v>
      </c>
      <c r="C551" s="20">
        <f t="shared" si="17"/>
        <v>8</v>
      </c>
      <c r="E551" s="49">
        <v>1</v>
      </c>
      <c r="F551" t="s">
        <v>3570</v>
      </c>
      <c r="G551" t="s">
        <v>21</v>
      </c>
      <c r="H551" t="s">
        <v>81</v>
      </c>
      <c r="I551" s="13">
        <v>65000</v>
      </c>
      <c r="J551" s="13">
        <v>65000</v>
      </c>
      <c r="K551" s="13">
        <f>IF(J551&lt;'Mapa Oficinas'!$I$21,0,IF(J551&gt;'Mapa Oficinas'!$I$20,0,1))</f>
        <v>0</v>
      </c>
      <c r="L551" t="s">
        <v>23</v>
      </c>
      <c r="M551" t="s">
        <v>23</v>
      </c>
      <c r="N551" t="s">
        <v>3571</v>
      </c>
      <c r="O551" t="s">
        <v>519</v>
      </c>
      <c r="P551" t="s">
        <v>45</v>
      </c>
      <c r="Q551">
        <v>2</v>
      </c>
      <c r="R551" t="s">
        <v>170</v>
      </c>
      <c r="S551" t="s">
        <v>28</v>
      </c>
      <c r="T551" t="str">
        <f>VLOOKUP(S551,'Mapa Oficinas'!$H$7:$I$16,2,FALSE)</f>
        <v>CB</v>
      </c>
      <c r="U551" t="s">
        <v>29</v>
      </c>
      <c r="V551" t="str">
        <f>VLOOKUP($R551,'Mapa Oficinas'!$A$7:$C$46,2,FALSE)</f>
        <v>CABA</v>
      </c>
      <c r="W551" t="str">
        <f>VLOOKUP($R551,'Mapa Oficinas'!$A$7:$C$46,3,FALSE)</f>
        <v>Belgrano</v>
      </c>
    </row>
    <row r="552" spans="1:23" x14ac:dyDescent="0.2">
      <c r="A552" s="1">
        <v>45897</v>
      </c>
      <c r="B552" s="20">
        <f t="shared" si="16"/>
        <v>2025</v>
      </c>
      <c r="C552" s="20">
        <f t="shared" si="17"/>
        <v>8</v>
      </c>
      <c r="D552" t="s">
        <v>3812</v>
      </c>
      <c r="E552" s="49">
        <v>1</v>
      </c>
      <c r="F552" t="s">
        <v>3813</v>
      </c>
      <c r="G552" t="s">
        <v>21</v>
      </c>
      <c r="H552" t="s">
        <v>37</v>
      </c>
      <c r="I552" s="13">
        <v>76900</v>
      </c>
      <c r="J552" s="13">
        <v>65000</v>
      </c>
      <c r="K552" s="13">
        <f>IF(J552&lt;'Mapa Oficinas'!$I$21,0,IF(J552&gt;'Mapa Oficinas'!$I$20,0,1))</f>
        <v>0</v>
      </c>
      <c r="L552" t="s">
        <v>23</v>
      </c>
      <c r="M552" t="s">
        <v>23</v>
      </c>
      <c r="N552" t="s">
        <v>3814</v>
      </c>
      <c r="O552" t="s">
        <v>333</v>
      </c>
      <c r="P552" t="s">
        <v>61</v>
      </c>
      <c r="Q552">
        <v>2</v>
      </c>
      <c r="R552" t="s">
        <v>67</v>
      </c>
      <c r="S552" t="s">
        <v>28</v>
      </c>
      <c r="T552" t="str">
        <f>VLOOKUP(S552,'Mapa Oficinas'!$H$7:$I$16,2,FALSE)</f>
        <v>CB</v>
      </c>
      <c r="U552" t="s">
        <v>29</v>
      </c>
      <c r="V552" t="str">
        <f>VLOOKUP($R552,'Mapa Oficinas'!$A$7:$C$46,2,FALSE)</f>
        <v>CABA</v>
      </c>
      <c r="W552" t="str">
        <f>VLOOKUP($R552,'Mapa Oficinas'!$A$7:$C$46,3,FALSE)</f>
        <v>Barrio Parque</v>
      </c>
    </row>
    <row r="553" spans="1:23" x14ac:dyDescent="0.2">
      <c r="A553" s="1">
        <v>45922</v>
      </c>
      <c r="B553" s="20">
        <f t="shared" si="16"/>
        <v>2025</v>
      </c>
      <c r="C553" s="20">
        <f t="shared" si="17"/>
        <v>9</v>
      </c>
      <c r="D553" t="s">
        <v>4259</v>
      </c>
      <c r="E553" s="49">
        <v>1</v>
      </c>
      <c r="F553" t="s">
        <v>4260</v>
      </c>
      <c r="G553" t="s">
        <v>21</v>
      </c>
      <c r="H553" t="s">
        <v>22</v>
      </c>
      <c r="I553" s="13">
        <v>69000</v>
      </c>
      <c r="J553" s="13">
        <v>65000</v>
      </c>
      <c r="K553" s="13">
        <f>IF(J553&lt;'Mapa Oficinas'!$I$21,0,IF(J553&gt;'Mapa Oficinas'!$I$20,0,1))</f>
        <v>0</v>
      </c>
      <c r="L553" t="s">
        <v>23</v>
      </c>
      <c r="M553" t="s">
        <v>23</v>
      </c>
      <c r="N553" t="s">
        <v>4261</v>
      </c>
      <c r="O553" t="s">
        <v>141</v>
      </c>
      <c r="P553" t="s">
        <v>45</v>
      </c>
      <c r="Q553">
        <v>2</v>
      </c>
      <c r="R553" t="s">
        <v>62</v>
      </c>
      <c r="S553" t="s">
        <v>28</v>
      </c>
      <c r="T553" t="str">
        <f>VLOOKUP(S553,'Mapa Oficinas'!$H$7:$I$16,2,FALSE)</f>
        <v>CB</v>
      </c>
      <c r="U553" t="s">
        <v>29</v>
      </c>
      <c r="V553" t="str">
        <f>VLOOKUP($R553,'Mapa Oficinas'!$A$7:$C$46,2,FALSE)</f>
        <v>CABA</v>
      </c>
      <c r="W553" t="str">
        <f>VLOOKUP($R553,'Mapa Oficinas'!$A$7:$C$46,3,FALSE)</f>
        <v>Villa Urquiza</v>
      </c>
    </row>
    <row r="554" spans="1:23" x14ac:dyDescent="0.2">
      <c r="A554" s="1">
        <v>45958</v>
      </c>
      <c r="B554" s="20">
        <f t="shared" si="16"/>
        <v>2025</v>
      </c>
      <c r="C554" s="20">
        <f t="shared" si="17"/>
        <v>10</v>
      </c>
      <c r="D554" t="s">
        <v>4954</v>
      </c>
      <c r="E554" s="49">
        <v>1</v>
      </c>
      <c r="F554" t="s">
        <v>4955</v>
      </c>
      <c r="G554" t="s">
        <v>21</v>
      </c>
      <c r="H554" t="s">
        <v>37</v>
      </c>
      <c r="I554" s="13">
        <v>65000</v>
      </c>
      <c r="J554" s="13">
        <v>65000</v>
      </c>
      <c r="K554" s="13">
        <f>IF(J554&lt;'Mapa Oficinas'!$I$21,0,IF(J554&gt;'Mapa Oficinas'!$I$20,0,1))</f>
        <v>0</v>
      </c>
      <c r="L554" t="s">
        <v>23</v>
      </c>
      <c r="M554" t="s">
        <v>23</v>
      </c>
      <c r="N554" t="s">
        <v>4956</v>
      </c>
      <c r="O554" t="s">
        <v>105</v>
      </c>
      <c r="P554" t="s">
        <v>45</v>
      </c>
      <c r="Q554">
        <v>2</v>
      </c>
      <c r="R554" t="s">
        <v>372</v>
      </c>
      <c r="S554" t="s">
        <v>28</v>
      </c>
      <c r="T554" t="str">
        <f>VLOOKUP(S554,'Mapa Oficinas'!$H$7:$I$16,2,FALSE)</f>
        <v>CB</v>
      </c>
      <c r="U554" t="s">
        <v>29</v>
      </c>
      <c r="V554" t="str">
        <f>VLOOKUP($R554,'Mapa Oficinas'!$A$7:$C$46,2,FALSE)</f>
        <v>CABA</v>
      </c>
      <c r="W554" t="str">
        <f>VLOOKUP($R554,'Mapa Oficinas'!$A$7:$C$46,3,FALSE)</f>
        <v>Caballito</v>
      </c>
    </row>
    <row r="555" spans="1:23" x14ac:dyDescent="0.2">
      <c r="A555" s="1">
        <v>46003</v>
      </c>
      <c r="B555" s="20">
        <f t="shared" si="16"/>
        <v>2025</v>
      </c>
      <c r="C555" s="20">
        <f t="shared" si="17"/>
        <v>12</v>
      </c>
      <c r="D555" t="s">
        <v>5741</v>
      </c>
      <c r="E555" s="49">
        <v>1</v>
      </c>
      <c r="F555" t="s">
        <v>5742</v>
      </c>
      <c r="G555" t="s">
        <v>21</v>
      </c>
      <c r="H555" t="s">
        <v>37</v>
      </c>
      <c r="I555" s="13">
        <v>65000</v>
      </c>
      <c r="J555" s="13">
        <v>65000</v>
      </c>
      <c r="K555" s="13">
        <f>IF(J555&lt;'Mapa Oficinas'!$I$21,0,IF(J555&gt;'Mapa Oficinas'!$I$20,0,1))</f>
        <v>0</v>
      </c>
      <c r="L555" t="s">
        <v>23</v>
      </c>
      <c r="M555" t="s">
        <v>23</v>
      </c>
      <c r="N555" t="s">
        <v>5743</v>
      </c>
      <c r="O555" t="s">
        <v>1090</v>
      </c>
      <c r="P555" t="s">
        <v>61</v>
      </c>
      <c r="Q555">
        <v>2</v>
      </c>
      <c r="R555" t="s">
        <v>1024</v>
      </c>
      <c r="S555" t="s">
        <v>28</v>
      </c>
      <c r="T555" t="str">
        <f>VLOOKUP(S555,'Mapa Oficinas'!$H$7:$I$16,2,FALSE)</f>
        <v>CB</v>
      </c>
      <c r="U555" t="s">
        <v>29</v>
      </c>
      <c r="V555" t="str">
        <f>VLOOKUP($R555,'Mapa Oficinas'!$A$7:$C$46,2,FALSE)</f>
        <v>CABA</v>
      </c>
      <c r="W555" t="str">
        <f>VLOOKUP($R555,'Mapa Oficinas'!$A$7:$C$46,3,FALSE)</f>
        <v>Puerto Madero</v>
      </c>
    </row>
    <row r="556" spans="1:23" x14ac:dyDescent="0.2">
      <c r="A556" s="1">
        <v>46008</v>
      </c>
      <c r="B556" s="20">
        <f t="shared" si="16"/>
        <v>2025</v>
      </c>
      <c r="C556" s="20">
        <f t="shared" si="17"/>
        <v>12</v>
      </c>
      <c r="D556" t="s">
        <v>5827</v>
      </c>
      <c r="E556" s="49">
        <v>1</v>
      </c>
      <c r="F556" t="s">
        <v>5828</v>
      </c>
      <c r="G556" t="s">
        <v>21</v>
      </c>
      <c r="H556" t="s">
        <v>221</v>
      </c>
      <c r="I556" s="13">
        <v>65000</v>
      </c>
      <c r="J556" s="13">
        <v>65000</v>
      </c>
      <c r="K556" s="13">
        <f>IF(J556&lt;'Mapa Oficinas'!$I$21,0,IF(J556&gt;'Mapa Oficinas'!$I$20,0,1))</f>
        <v>0</v>
      </c>
      <c r="L556" t="s">
        <v>23</v>
      </c>
      <c r="M556" t="s">
        <v>23</v>
      </c>
      <c r="N556" t="s">
        <v>5829</v>
      </c>
      <c r="O556" t="s">
        <v>5830</v>
      </c>
      <c r="P556" t="s">
        <v>34</v>
      </c>
      <c r="Q556">
        <v>2</v>
      </c>
      <c r="R556" t="s">
        <v>5831</v>
      </c>
      <c r="S556" t="s">
        <v>28</v>
      </c>
      <c r="T556" t="str">
        <f>VLOOKUP(S556,'Mapa Oficinas'!$H$7:$I$16,2,FALSE)</f>
        <v>CB</v>
      </c>
      <c r="U556" t="s">
        <v>29</v>
      </c>
      <c r="V556" t="str">
        <f>VLOOKUP($R556,'Mapa Oficinas'!$A$7:$C$46,2,FALSE)</f>
        <v>Interior - San Luis</v>
      </c>
      <c r="W556" t="str">
        <f>VLOOKUP($R556,'Mapa Oficinas'!$A$7:$C$46,3,FALSE)</f>
        <v>Villa Mercedes</v>
      </c>
    </row>
    <row r="557" spans="1:23" x14ac:dyDescent="0.2">
      <c r="A557" s="1">
        <v>46018</v>
      </c>
      <c r="B557" s="20">
        <f t="shared" si="16"/>
        <v>2025</v>
      </c>
      <c r="C557" s="20">
        <f t="shared" si="17"/>
        <v>12</v>
      </c>
      <c r="D557" t="s">
        <v>6038</v>
      </c>
      <c r="E557" s="49">
        <v>1</v>
      </c>
      <c r="F557" t="s">
        <v>6039</v>
      </c>
      <c r="G557" t="s">
        <v>21</v>
      </c>
      <c r="H557" t="s">
        <v>81</v>
      </c>
      <c r="I557" s="13">
        <v>65000</v>
      </c>
      <c r="J557" s="13">
        <v>65000</v>
      </c>
      <c r="K557" s="13">
        <f>IF(J557&lt;'Mapa Oficinas'!$I$21,0,IF(J557&gt;'Mapa Oficinas'!$I$20,0,1))</f>
        <v>0</v>
      </c>
      <c r="L557" t="s">
        <v>23</v>
      </c>
      <c r="M557" t="s">
        <v>23</v>
      </c>
      <c r="N557" t="s">
        <v>6040</v>
      </c>
      <c r="O557" t="s">
        <v>2304</v>
      </c>
      <c r="P557" t="s">
        <v>26</v>
      </c>
      <c r="Q557">
        <v>2</v>
      </c>
      <c r="R557" t="s">
        <v>482</v>
      </c>
      <c r="S557" t="s">
        <v>28</v>
      </c>
      <c r="T557" t="str">
        <f>VLOOKUP(S557,'Mapa Oficinas'!$H$7:$I$16,2,FALSE)</f>
        <v>CB</v>
      </c>
      <c r="U557" t="s">
        <v>29</v>
      </c>
      <c r="V557" t="str">
        <f>VLOOKUP($R557,'Mapa Oficinas'!$A$7:$C$46,2,FALSE)</f>
        <v>Interior - Jujuy</v>
      </c>
      <c r="W557" t="str">
        <f>VLOOKUP($R557,'Mapa Oficinas'!$A$7:$C$46,3,FALSE)</f>
        <v>Capital Jujuy</v>
      </c>
    </row>
    <row r="558" spans="1:23" x14ac:dyDescent="0.2">
      <c r="A558" s="1">
        <v>46028</v>
      </c>
      <c r="B558" s="20">
        <f t="shared" si="16"/>
        <v>2026</v>
      </c>
      <c r="C558" s="20">
        <f t="shared" si="17"/>
        <v>1</v>
      </c>
      <c r="D558" t="s">
        <v>6097</v>
      </c>
      <c r="E558" s="49">
        <v>1</v>
      </c>
      <c r="F558" t="s">
        <v>6098</v>
      </c>
      <c r="G558" t="s">
        <v>21</v>
      </c>
      <c r="H558" t="s">
        <v>100</v>
      </c>
      <c r="I558" s="13">
        <v>60000</v>
      </c>
      <c r="J558" s="13">
        <v>65000</v>
      </c>
      <c r="K558" s="13">
        <f>IF(J558&lt;'Mapa Oficinas'!$I$21,0,IF(J558&gt;'Mapa Oficinas'!$I$20,0,1))</f>
        <v>0</v>
      </c>
      <c r="L558" t="s">
        <v>23</v>
      </c>
      <c r="M558" t="s">
        <v>23</v>
      </c>
      <c r="N558" t="s">
        <v>6099</v>
      </c>
      <c r="O558" t="s">
        <v>6047</v>
      </c>
      <c r="P558" t="s">
        <v>34</v>
      </c>
      <c r="Q558">
        <v>2</v>
      </c>
      <c r="R558" t="s">
        <v>167</v>
      </c>
      <c r="S558" t="s">
        <v>28</v>
      </c>
      <c r="T558" t="str">
        <f>VLOOKUP(S558,'Mapa Oficinas'!$H$7:$I$16,2,FALSE)</f>
        <v>CB</v>
      </c>
      <c r="U558" t="s">
        <v>29</v>
      </c>
      <c r="V558" t="str">
        <f>VLOOKUP($R558,'Mapa Oficinas'!$A$7:$C$46,2,FALSE)</f>
        <v>Interior - Santa Fe</v>
      </c>
      <c r="W558" t="str">
        <f>VLOOKUP($R558,'Mapa Oficinas'!$A$7:$C$46,3,FALSE)</f>
        <v>Capital Santa Fe</v>
      </c>
    </row>
    <row r="559" spans="1:23" x14ac:dyDescent="0.2">
      <c r="A559" s="1">
        <v>46034</v>
      </c>
      <c r="B559" s="20">
        <f t="shared" si="16"/>
        <v>2026</v>
      </c>
      <c r="C559" s="20">
        <f t="shared" si="17"/>
        <v>1</v>
      </c>
      <c r="D559" t="s">
        <v>6171</v>
      </c>
      <c r="E559" s="49">
        <v>1</v>
      </c>
      <c r="F559" t="s">
        <v>6172</v>
      </c>
      <c r="G559" t="s">
        <v>21</v>
      </c>
      <c r="H559" t="s">
        <v>37</v>
      </c>
      <c r="I559" s="13">
        <v>67000</v>
      </c>
      <c r="J559" s="13">
        <v>65000</v>
      </c>
      <c r="K559" s="13">
        <f>IF(J559&lt;'Mapa Oficinas'!$I$21,0,IF(J559&gt;'Mapa Oficinas'!$I$20,0,1))</f>
        <v>0</v>
      </c>
      <c r="L559" t="s">
        <v>23</v>
      </c>
      <c r="M559" t="s">
        <v>23</v>
      </c>
      <c r="N559" t="s">
        <v>6173</v>
      </c>
      <c r="O559" t="s">
        <v>943</v>
      </c>
      <c r="P559" t="s">
        <v>45</v>
      </c>
      <c r="Q559">
        <v>2</v>
      </c>
      <c r="R559" t="s">
        <v>46</v>
      </c>
      <c r="S559" t="s">
        <v>28</v>
      </c>
      <c r="T559" t="str">
        <f>VLOOKUP(S559,'Mapa Oficinas'!$H$7:$I$16,2,FALSE)</f>
        <v>CB</v>
      </c>
      <c r="U559" t="s">
        <v>29</v>
      </c>
      <c r="V559" t="str">
        <f>VLOOKUP($R559,'Mapa Oficinas'!$A$7:$C$46,2,FALSE)</f>
        <v>CABA</v>
      </c>
      <c r="W559" t="str">
        <f>VLOOKUP($R559,'Mapa Oficinas'!$A$7:$C$46,3,FALSE)</f>
        <v>Palermo</v>
      </c>
    </row>
    <row r="560" spans="1:23" x14ac:dyDescent="0.2">
      <c r="A560" s="1">
        <v>46041</v>
      </c>
      <c r="B560" s="20">
        <f t="shared" si="16"/>
        <v>2026</v>
      </c>
      <c r="C560" s="20">
        <f t="shared" si="17"/>
        <v>1</v>
      </c>
      <c r="D560" t="s">
        <v>6306</v>
      </c>
      <c r="E560" s="49">
        <v>1</v>
      </c>
      <c r="F560" t="s">
        <v>6307</v>
      </c>
      <c r="G560" t="s">
        <v>21</v>
      </c>
      <c r="H560" t="s">
        <v>37</v>
      </c>
      <c r="I560" s="13">
        <v>69000</v>
      </c>
      <c r="J560" s="13">
        <v>65000</v>
      </c>
      <c r="K560" s="13">
        <f>IF(J560&lt;'Mapa Oficinas'!$I$21,0,IF(J560&gt;'Mapa Oficinas'!$I$20,0,1))</f>
        <v>0</v>
      </c>
      <c r="L560" t="s">
        <v>23</v>
      </c>
      <c r="M560" t="s">
        <v>23</v>
      </c>
      <c r="N560" t="s">
        <v>6308</v>
      </c>
      <c r="O560" t="s">
        <v>577</v>
      </c>
      <c r="P560" t="s">
        <v>45</v>
      </c>
      <c r="Q560">
        <v>2</v>
      </c>
      <c r="R560" t="s">
        <v>151</v>
      </c>
      <c r="S560" t="s">
        <v>28</v>
      </c>
      <c r="T560" t="str">
        <f>VLOOKUP(S560,'Mapa Oficinas'!$H$7:$I$16,2,FALSE)</f>
        <v>CB</v>
      </c>
      <c r="U560" t="s">
        <v>29</v>
      </c>
      <c r="V560" t="str">
        <f>VLOOKUP($R560,'Mapa Oficinas'!$A$7:$C$46,2,FALSE)</f>
        <v>Interior - Mendoza</v>
      </c>
      <c r="W560" t="str">
        <f>VLOOKUP($R560,'Mapa Oficinas'!$A$7:$C$46,3,FALSE)</f>
        <v>Capital Mendoza</v>
      </c>
    </row>
    <row r="561" spans="1:23" x14ac:dyDescent="0.2">
      <c r="A561" s="1">
        <v>46062</v>
      </c>
      <c r="B561" s="20">
        <f t="shared" si="16"/>
        <v>2026</v>
      </c>
      <c r="C561" s="20">
        <f t="shared" si="17"/>
        <v>2</v>
      </c>
      <c r="D561" t="s">
        <v>6589</v>
      </c>
      <c r="E561" s="49">
        <v>1</v>
      </c>
      <c r="F561" t="s">
        <v>6590</v>
      </c>
      <c r="G561" t="s">
        <v>21</v>
      </c>
      <c r="H561" t="s">
        <v>37</v>
      </c>
      <c r="I561" s="13">
        <v>68000</v>
      </c>
      <c r="J561" s="13">
        <v>65000</v>
      </c>
      <c r="K561" s="13">
        <f>IF(J561&lt;'Mapa Oficinas'!$I$21,0,IF(J561&gt;'Mapa Oficinas'!$I$20,0,1))</f>
        <v>0</v>
      </c>
      <c r="L561" t="s">
        <v>23</v>
      </c>
      <c r="M561" t="s">
        <v>23</v>
      </c>
      <c r="N561" t="s">
        <v>6591</v>
      </c>
      <c r="O561" t="s">
        <v>6592</v>
      </c>
      <c r="P561" t="s">
        <v>45</v>
      </c>
      <c r="Q561">
        <v>2</v>
      </c>
      <c r="R561" t="s">
        <v>495</v>
      </c>
      <c r="S561" t="s">
        <v>28</v>
      </c>
      <c r="T561" t="str">
        <f>VLOOKUP(S561,'Mapa Oficinas'!$H$7:$I$16,2,FALSE)</f>
        <v>CB</v>
      </c>
      <c r="U561" t="s">
        <v>29</v>
      </c>
      <c r="V561" t="str">
        <f>VLOOKUP($R561,'Mapa Oficinas'!$A$7:$C$46,2,FALSE)</f>
        <v>Zona Norte (GBA)</v>
      </c>
      <c r="W561" t="str">
        <f>VLOOKUP($R561,'Mapa Oficinas'!$A$7:$C$46,3,FALSE)</f>
        <v>Escobar</v>
      </c>
    </row>
    <row r="562" spans="1:23" x14ac:dyDescent="0.2">
      <c r="A562" s="1">
        <v>46063</v>
      </c>
      <c r="B562" s="20">
        <f t="shared" si="16"/>
        <v>2026</v>
      </c>
      <c r="C562" s="20">
        <f t="shared" si="17"/>
        <v>2</v>
      </c>
      <c r="D562" t="s">
        <v>6612</v>
      </c>
      <c r="E562" s="49">
        <v>1</v>
      </c>
      <c r="F562" t="s">
        <v>6613</v>
      </c>
      <c r="G562" t="s">
        <v>21</v>
      </c>
      <c r="H562" t="s">
        <v>37</v>
      </c>
      <c r="I562" s="13">
        <v>65000</v>
      </c>
      <c r="J562" s="13">
        <v>65000</v>
      </c>
      <c r="K562" s="13">
        <f>IF(J562&lt;'Mapa Oficinas'!$I$21,0,IF(J562&gt;'Mapa Oficinas'!$I$20,0,1))</f>
        <v>0</v>
      </c>
      <c r="L562" t="s">
        <v>23</v>
      </c>
      <c r="M562" t="s">
        <v>23</v>
      </c>
      <c r="N562" t="s">
        <v>6614</v>
      </c>
      <c r="O562" t="s">
        <v>6615</v>
      </c>
      <c r="P562" t="s">
        <v>34</v>
      </c>
      <c r="Q562">
        <v>2</v>
      </c>
      <c r="R562" t="s">
        <v>46</v>
      </c>
      <c r="S562" t="s">
        <v>28</v>
      </c>
      <c r="T562" t="str">
        <f>VLOOKUP(S562,'Mapa Oficinas'!$H$7:$I$16,2,FALSE)</f>
        <v>CB</v>
      </c>
      <c r="U562" t="s">
        <v>29</v>
      </c>
      <c r="V562" t="str">
        <f>VLOOKUP($R562,'Mapa Oficinas'!$A$7:$C$46,2,FALSE)</f>
        <v>CABA</v>
      </c>
      <c r="W562" t="str">
        <f>VLOOKUP($R562,'Mapa Oficinas'!$A$7:$C$46,3,FALSE)</f>
        <v>Palermo</v>
      </c>
    </row>
    <row r="563" spans="1:23" x14ac:dyDescent="0.2">
      <c r="A563" s="1">
        <v>46092</v>
      </c>
      <c r="B563" s="20">
        <f t="shared" si="16"/>
        <v>2026</v>
      </c>
      <c r="C563" s="20">
        <f t="shared" si="17"/>
        <v>3</v>
      </c>
      <c r="D563" t="s">
        <v>7096</v>
      </c>
      <c r="E563" s="49">
        <v>1</v>
      </c>
      <c r="F563" t="s">
        <v>7097</v>
      </c>
      <c r="G563" t="s">
        <v>21</v>
      </c>
      <c r="H563" t="s">
        <v>90</v>
      </c>
      <c r="I563" s="13">
        <v>67000</v>
      </c>
      <c r="J563" s="13">
        <v>65000</v>
      </c>
      <c r="K563" s="13">
        <f>IF(J563&lt;'Mapa Oficinas'!$I$21,0,IF(J563&gt;'Mapa Oficinas'!$I$20,0,1))</f>
        <v>0</v>
      </c>
      <c r="L563" t="s">
        <v>23</v>
      </c>
      <c r="M563" t="s">
        <v>23</v>
      </c>
      <c r="N563" t="s">
        <v>7098</v>
      </c>
      <c r="O563" t="s">
        <v>440</v>
      </c>
      <c r="P563" t="s">
        <v>45</v>
      </c>
      <c r="Q563">
        <v>2</v>
      </c>
      <c r="R563" t="s">
        <v>62</v>
      </c>
      <c r="S563" t="s">
        <v>28</v>
      </c>
      <c r="T563" t="str">
        <f>VLOOKUP(S563,'Mapa Oficinas'!$H$7:$I$16,2,FALSE)</f>
        <v>CB</v>
      </c>
      <c r="U563" t="s">
        <v>29</v>
      </c>
      <c r="V563" t="str">
        <f>VLOOKUP($R563,'Mapa Oficinas'!$A$7:$C$46,2,FALSE)</f>
        <v>CABA</v>
      </c>
      <c r="W563" t="str">
        <f>VLOOKUP($R563,'Mapa Oficinas'!$A$7:$C$46,3,FALSE)</f>
        <v>Villa Urquiza</v>
      </c>
    </row>
    <row r="564" spans="1:23" x14ac:dyDescent="0.2">
      <c r="A564" s="1">
        <v>46106</v>
      </c>
      <c r="B564" s="20">
        <f t="shared" si="16"/>
        <v>2026</v>
      </c>
      <c r="C564" s="20">
        <f t="shared" si="17"/>
        <v>3</v>
      </c>
      <c r="D564" t="s">
        <v>7393</v>
      </c>
      <c r="E564" s="49">
        <v>1</v>
      </c>
      <c r="F564" t="s">
        <v>7394</v>
      </c>
      <c r="G564" t="s">
        <v>21</v>
      </c>
      <c r="H564" t="s">
        <v>37</v>
      </c>
      <c r="I564" s="13">
        <v>69000</v>
      </c>
      <c r="J564" s="13">
        <v>65000</v>
      </c>
      <c r="K564" s="13">
        <f>IF(J564&lt;'Mapa Oficinas'!$I$21,0,IF(J564&gt;'Mapa Oficinas'!$I$20,0,1))</f>
        <v>0</v>
      </c>
      <c r="L564" t="s">
        <v>23</v>
      </c>
      <c r="M564" t="s">
        <v>23</v>
      </c>
      <c r="N564" t="s">
        <v>7395</v>
      </c>
      <c r="O564" t="s">
        <v>7396</v>
      </c>
      <c r="P564" t="s">
        <v>45</v>
      </c>
      <c r="Q564">
        <v>2</v>
      </c>
      <c r="R564" t="s">
        <v>56</v>
      </c>
      <c r="S564" t="s">
        <v>28</v>
      </c>
      <c r="T564" t="str">
        <f>VLOOKUP(S564,'Mapa Oficinas'!$H$7:$I$16,2,FALSE)</f>
        <v>CB</v>
      </c>
      <c r="U564" t="s">
        <v>29</v>
      </c>
      <c r="V564" t="str">
        <f>VLOOKUP($R564,'Mapa Oficinas'!$A$7:$C$46,2,FALSE)</f>
        <v>Zona Norte (GBA)</v>
      </c>
      <c r="W564" t="str">
        <f>VLOOKUP($R564,'Mapa Oficinas'!$A$7:$C$46,3,FALSE)</f>
        <v>Vicente López</v>
      </c>
    </row>
    <row r="565" spans="1:23" x14ac:dyDescent="0.2">
      <c r="A565" s="1">
        <v>45981</v>
      </c>
      <c r="B565" s="20">
        <f t="shared" si="16"/>
        <v>2025</v>
      </c>
      <c r="C565" s="20">
        <f t="shared" si="17"/>
        <v>11</v>
      </c>
      <c r="D565" t="s">
        <v>5330</v>
      </c>
      <c r="E565" s="49">
        <v>1</v>
      </c>
      <c r="F565" t="s">
        <v>5331</v>
      </c>
      <c r="G565" t="s">
        <v>21</v>
      </c>
      <c r="H565" t="s">
        <v>37</v>
      </c>
      <c r="I565" s="13">
        <v>67000</v>
      </c>
      <c r="J565" s="13">
        <v>65500</v>
      </c>
      <c r="K565" s="13">
        <f>IF(J565&lt;'Mapa Oficinas'!$I$21,0,IF(J565&gt;'Mapa Oficinas'!$I$20,0,1))</f>
        <v>0</v>
      </c>
      <c r="L565" t="s">
        <v>23</v>
      </c>
      <c r="M565" t="s">
        <v>23</v>
      </c>
      <c r="N565" t="s">
        <v>5332</v>
      </c>
      <c r="O565" t="s">
        <v>804</v>
      </c>
      <c r="P565" t="s">
        <v>45</v>
      </c>
      <c r="Q565">
        <v>2</v>
      </c>
      <c r="R565" t="s">
        <v>67</v>
      </c>
      <c r="S565" t="s">
        <v>28</v>
      </c>
      <c r="T565" t="str">
        <f>VLOOKUP(S565,'Mapa Oficinas'!$H$7:$I$16,2,FALSE)</f>
        <v>CB</v>
      </c>
      <c r="U565" t="s">
        <v>29</v>
      </c>
      <c r="V565" t="str">
        <f>VLOOKUP($R565,'Mapa Oficinas'!$A$7:$C$46,2,FALSE)</f>
        <v>CABA</v>
      </c>
      <c r="W565" t="str">
        <f>VLOOKUP($R565,'Mapa Oficinas'!$A$7:$C$46,3,FALSE)</f>
        <v>Barrio Parque</v>
      </c>
    </row>
    <row r="566" spans="1:23" x14ac:dyDescent="0.2">
      <c r="A566" s="1">
        <v>45981</v>
      </c>
      <c r="B566" s="20">
        <f t="shared" si="16"/>
        <v>2025</v>
      </c>
      <c r="C566" s="20">
        <f t="shared" si="17"/>
        <v>11</v>
      </c>
      <c r="D566" t="s">
        <v>5330</v>
      </c>
      <c r="E566" s="49">
        <v>1</v>
      </c>
      <c r="F566" t="s">
        <v>5331</v>
      </c>
      <c r="G566" t="s">
        <v>21</v>
      </c>
      <c r="H566" t="s">
        <v>37</v>
      </c>
      <c r="I566" s="13">
        <v>67000</v>
      </c>
      <c r="J566" s="13">
        <v>65500</v>
      </c>
      <c r="K566" s="13">
        <f>IF(J566&lt;'Mapa Oficinas'!$I$21,0,IF(J566&gt;'Mapa Oficinas'!$I$20,0,1))</f>
        <v>0</v>
      </c>
      <c r="L566" t="s">
        <v>23</v>
      </c>
      <c r="M566" t="s">
        <v>23</v>
      </c>
      <c r="N566" t="s">
        <v>5332</v>
      </c>
      <c r="O566" t="s">
        <v>804</v>
      </c>
      <c r="P566" t="s">
        <v>45</v>
      </c>
      <c r="Q566">
        <v>2</v>
      </c>
      <c r="R566" t="s">
        <v>67</v>
      </c>
      <c r="S566" t="s">
        <v>28</v>
      </c>
      <c r="T566" t="str">
        <f>VLOOKUP(S566,'Mapa Oficinas'!$H$7:$I$16,2,FALSE)</f>
        <v>CB</v>
      </c>
      <c r="U566" t="s">
        <v>29</v>
      </c>
      <c r="V566" t="str">
        <f>VLOOKUP($R566,'Mapa Oficinas'!$A$7:$C$46,2,FALSE)</f>
        <v>CABA</v>
      </c>
      <c r="W566" t="str">
        <f>VLOOKUP($R566,'Mapa Oficinas'!$A$7:$C$46,3,FALSE)</f>
        <v>Barrio Parque</v>
      </c>
    </row>
    <row r="567" spans="1:23" x14ac:dyDescent="0.2">
      <c r="A567" s="1">
        <v>45903</v>
      </c>
      <c r="B567" s="20">
        <f t="shared" si="16"/>
        <v>2025</v>
      </c>
      <c r="C567" s="20">
        <f t="shared" si="17"/>
        <v>9</v>
      </c>
      <c r="D567" t="s">
        <v>3961</v>
      </c>
      <c r="E567" s="49">
        <v>1</v>
      </c>
      <c r="F567" t="s">
        <v>3962</v>
      </c>
      <c r="G567" t="s">
        <v>21</v>
      </c>
      <c r="H567" t="s">
        <v>37</v>
      </c>
      <c r="I567" s="13">
        <v>79900</v>
      </c>
      <c r="J567" s="13">
        <v>65625</v>
      </c>
      <c r="K567" s="13">
        <f>IF(J567&lt;'Mapa Oficinas'!$I$21,0,IF(J567&gt;'Mapa Oficinas'!$I$20,0,1))</f>
        <v>0</v>
      </c>
      <c r="L567" t="s">
        <v>23</v>
      </c>
      <c r="M567" t="s">
        <v>23</v>
      </c>
      <c r="N567" t="s">
        <v>3963</v>
      </c>
      <c r="O567" t="s">
        <v>914</v>
      </c>
      <c r="P567" t="s">
        <v>45</v>
      </c>
      <c r="Q567">
        <v>2</v>
      </c>
      <c r="R567" t="s">
        <v>67</v>
      </c>
      <c r="S567" t="s">
        <v>200</v>
      </c>
      <c r="T567" t="str">
        <f>VLOOKUP(S567,'Mapa Oficinas'!$H$7:$I$16,2,FALSE)</f>
        <v>Otra Red Captación</v>
      </c>
      <c r="U567" t="s">
        <v>29</v>
      </c>
      <c r="V567" t="str">
        <f>VLOOKUP($R567,'Mapa Oficinas'!$A$7:$C$46,2,FALSE)</f>
        <v>CABA</v>
      </c>
      <c r="W567" t="str">
        <f>VLOOKUP($R567,'Mapa Oficinas'!$A$7:$C$46,3,FALSE)</f>
        <v>Barrio Parque</v>
      </c>
    </row>
    <row r="568" spans="1:23" x14ac:dyDescent="0.2">
      <c r="A568" s="1">
        <v>45743</v>
      </c>
      <c r="B568" s="20">
        <f t="shared" si="16"/>
        <v>2025</v>
      </c>
      <c r="C568" s="20">
        <f t="shared" si="17"/>
        <v>3</v>
      </c>
      <c r="E568" s="49">
        <v>1</v>
      </c>
      <c r="F568" t="s">
        <v>1124</v>
      </c>
      <c r="G568" t="s">
        <v>21</v>
      </c>
      <c r="H568" t="s">
        <v>76</v>
      </c>
      <c r="I568" s="13">
        <v>70000</v>
      </c>
      <c r="J568" s="13">
        <v>66000</v>
      </c>
      <c r="K568" s="13">
        <f>IF(J568&lt;'Mapa Oficinas'!$I$21,0,IF(J568&gt;'Mapa Oficinas'!$I$20,0,1))</f>
        <v>0</v>
      </c>
      <c r="L568" t="s">
        <v>23</v>
      </c>
      <c r="M568" t="s">
        <v>23</v>
      </c>
      <c r="N568" t="s">
        <v>1125</v>
      </c>
      <c r="O568" t="s">
        <v>1116</v>
      </c>
      <c r="P568" t="s">
        <v>34</v>
      </c>
      <c r="Q568">
        <v>1</v>
      </c>
      <c r="R568" t="s">
        <v>73</v>
      </c>
      <c r="S568" t="s">
        <v>122</v>
      </c>
      <c r="T568" t="str">
        <f>VLOOKUP(S568,'Mapa Oficinas'!$H$7:$I$16,2,FALSE)</f>
        <v>Otra Red Búsqueda</v>
      </c>
      <c r="U568" t="s">
        <v>29</v>
      </c>
      <c r="V568" t="str">
        <f>VLOOKUP($R568,'Mapa Oficinas'!$A$7:$C$46,2,FALSE)</f>
        <v>Interior - Salta</v>
      </c>
      <c r="W568" t="str">
        <f>VLOOKUP($R568,'Mapa Oficinas'!$A$7:$C$46,3,FALSE)</f>
        <v>San Lorenzo Chico</v>
      </c>
    </row>
    <row r="569" spans="1:23" x14ac:dyDescent="0.2">
      <c r="A569" s="1">
        <v>45910</v>
      </c>
      <c r="B569" s="20">
        <f t="shared" si="16"/>
        <v>2025</v>
      </c>
      <c r="C569" s="20">
        <f t="shared" si="17"/>
        <v>9</v>
      </c>
      <c r="E569" s="49">
        <v>1</v>
      </c>
      <c r="F569" t="s">
        <v>4060</v>
      </c>
      <c r="G569" t="s">
        <v>21</v>
      </c>
      <c r="H569" t="s">
        <v>81</v>
      </c>
      <c r="I569" s="13">
        <v>66000</v>
      </c>
      <c r="J569" s="13">
        <v>66000</v>
      </c>
      <c r="K569" s="13">
        <f>IF(J569&lt;'Mapa Oficinas'!$I$21,0,IF(J569&gt;'Mapa Oficinas'!$I$20,0,1))</f>
        <v>0</v>
      </c>
      <c r="L569" t="s">
        <v>23</v>
      </c>
      <c r="M569" t="s">
        <v>23</v>
      </c>
      <c r="N569" t="s">
        <v>4061</v>
      </c>
      <c r="O569" t="s">
        <v>1239</v>
      </c>
      <c r="P569" t="s">
        <v>45</v>
      </c>
      <c r="Q569">
        <v>1</v>
      </c>
      <c r="R569" t="s">
        <v>130</v>
      </c>
      <c r="S569" t="s">
        <v>122</v>
      </c>
      <c r="T569" t="str">
        <f>VLOOKUP(S569,'Mapa Oficinas'!$H$7:$I$16,2,FALSE)</f>
        <v>Otra Red Búsqueda</v>
      </c>
      <c r="U569" t="s">
        <v>29</v>
      </c>
      <c r="V569" t="str">
        <f>VLOOKUP($R569,'Mapa Oficinas'!$A$7:$C$46,2,FALSE)</f>
        <v>Interior - Neuquén</v>
      </c>
      <c r="W569" t="str">
        <f>VLOOKUP($R569,'Mapa Oficinas'!$A$7:$C$46,3,FALSE)</f>
        <v>San Martín de los Andes</v>
      </c>
    </row>
    <row r="570" spans="1:23" x14ac:dyDescent="0.2">
      <c r="A570" s="1">
        <v>45914</v>
      </c>
      <c r="B570" s="20">
        <f t="shared" si="16"/>
        <v>2025</v>
      </c>
      <c r="C570" s="20">
        <f t="shared" si="17"/>
        <v>9</v>
      </c>
      <c r="D570" t="s">
        <v>4127</v>
      </c>
      <c r="E570" s="49">
        <v>1</v>
      </c>
      <c r="F570" t="s">
        <v>4128</v>
      </c>
      <c r="G570" t="s">
        <v>21</v>
      </c>
      <c r="H570" t="s">
        <v>70</v>
      </c>
      <c r="I570" s="13">
        <v>68000</v>
      </c>
      <c r="J570" s="13">
        <v>66000</v>
      </c>
      <c r="K570" s="13">
        <f>IF(J570&lt;'Mapa Oficinas'!$I$21,0,IF(J570&gt;'Mapa Oficinas'!$I$20,0,1))</f>
        <v>0</v>
      </c>
      <c r="L570" t="s">
        <v>23</v>
      </c>
      <c r="M570" t="s">
        <v>23</v>
      </c>
      <c r="N570" t="s">
        <v>4129</v>
      </c>
      <c r="O570" t="s">
        <v>72</v>
      </c>
      <c r="P570" t="s">
        <v>45</v>
      </c>
      <c r="Q570">
        <v>1</v>
      </c>
      <c r="R570" t="s">
        <v>73</v>
      </c>
      <c r="S570" t="s">
        <v>152</v>
      </c>
      <c r="T570" t="str">
        <f>VLOOKUP(S570,'Mapa Oficinas'!$H$7:$I$16,2,FALSE)</f>
        <v>Otra Red Captación</v>
      </c>
      <c r="U570" t="s">
        <v>29</v>
      </c>
      <c r="V570" t="str">
        <f>VLOOKUP($R570,'Mapa Oficinas'!$A$7:$C$46,2,FALSE)</f>
        <v>Interior - Salta</v>
      </c>
      <c r="W570" t="str">
        <f>VLOOKUP($R570,'Mapa Oficinas'!$A$7:$C$46,3,FALSE)</f>
        <v>San Lorenzo Chico</v>
      </c>
    </row>
    <row r="571" spans="1:23" x14ac:dyDescent="0.2">
      <c r="A571" s="1">
        <v>45992</v>
      </c>
      <c r="B571" s="20">
        <f t="shared" si="16"/>
        <v>2025</v>
      </c>
      <c r="C571" s="20">
        <f t="shared" si="17"/>
        <v>12</v>
      </c>
      <c r="D571" t="s">
        <v>5509</v>
      </c>
      <c r="E571" s="49">
        <v>1</v>
      </c>
      <c r="F571" t="s">
        <v>5510</v>
      </c>
      <c r="G571" t="s">
        <v>21</v>
      </c>
      <c r="H571" t="s">
        <v>81</v>
      </c>
      <c r="I571" s="13">
        <v>66000</v>
      </c>
      <c r="J571" s="13">
        <v>66000</v>
      </c>
      <c r="K571" s="13">
        <f>IF(J571&lt;'Mapa Oficinas'!$I$21,0,IF(J571&gt;'Mapa Oficinas'!$I$20,0,1))</f>
        <v>0</v>
      </c>
      <c r="L571" t="s">
        <v>23</v>
      </c>
      <c r="M571" t="s">
        <v>23</v>
      </c>
      <c r="N571" t="s">
        <v>5511</v>
      </c>
      <c r="O571" t="s">
        <v>1646</v>
      </c>
      <c r="P571" t="s">
        <v>45</v>
      </c>
      <c r="Q571">
        <v>2</v>
      </c>
      <c r="R571" t="s">
        <v>151</v>
      </c>
      <c r="S571" t="s">
        <v>79</v>
      </c>
      <c r="T571" t="str">
        <f>VLOOKUP(S571,'Mapa Oficinas'!$H$7:$I$16,2,FALSE)</f>
        <v>CB</v>
      </c>
      <c r="U571" t="s">
        <v>29</v>
      </c>
      <c r="V571" t="str">
        <f>VLOOKUP($R571,'Mapa Oficinas'!$A$7:$C$46,2,FALSE)</f>
        <v>Interior - Mendoza</v>
      </c>
      <c r="W571" t="str">
        <f>VLOOKUP($R571,'Mapa Oficinas'!$A$7:$C$46,3,FALSE)</f>
        <v>Capital Mendoza</v>
      </c>
    </row>
    <row r="572" spans="1:23" x14ac:dyDescent="0.2">
      <c r="A572" s="1">
        <v>45743</v>
      </c>
      <c r="B572" s="20">
        <f t="shared" si="16"/>
        <v>2025</v>
      </c>
      <c r="C572" s="20">
        <f t="shared" si="17"/>
        <v>3</v>
      </c>
      <c r="D572">
        <v>12</v>
      </c>
      <c r="E572" s="49">
        <v>1</v>
      </c>
      <c r="F572" t="s">
        <v>1122</v>
      </c>
      <c r="G572" t="s">
        <v>21</v>
      </c>
      <c r="H572" t="s">
        <v>37</v>
      </c>
      <c r="I572" s="13">
        <v>66000</v>
      </c>
      <c r="J572" s="13">
        <v>66000</v>
      </c>
      <c r="K572" s="13">
        <f>IF(J572&lt;'Mapa Oficinas'!$I$21,0,IF(J572&gt;'Mapa Oficinas'!$I$20,0,1))</f>
        <v>0</v>
      </c>
      <c r="L572" t="s">
        <v>23</v>
      </c>
      <c r="M572" t="s">
        <v>23</v>
      </c>
      <c r="N572" t="s">
        <v>1123</v>
      </c>
      <c r="O572" t="s">
        <v>976</v>
      </c>
      <c r="P572" t="s">
        <v>45</v>
      </c>
      <c r="Q572">
        <v>1</v>
      </c>
      <c r="R572" t="s">
        <v>372</v>
      </c>
      <c r="S572" t="s">
        <v>47</v>
      </c>
      <c r="T572" t="str">
        <f>VLOOKUP(S572,'Mapa Oficinas'!$H$7:$I$16,2,FALSE)</f>
        <v>Otra Red Búsqueda</v>
      </c>
      <c r="U572" t="s">
        <v>29</v>
      </c>
      <c r="V572" t="str">
        <f>VLOOKUP($R572,'Mapa Oficinas'!$A$7:$C$46,2,FALSE)</f>
        <v>CABA</v>
      </c>
      <c r="W572" t="str">
        <f>VLOOKUP($R572,'Mapa Oficinas'!$A$7:$C$46,3,FALSE)</f>
        <v>Caballito</v>
      </c>
    </row>
    <row r="573" spans="1:23" x14ac:dyDescent="0.2">
      <c r="A573" s="1">
        <v>45786</v>
      </c>
      <c r="B573" s="20">
        <f t="shared" si="16"/>
        <v>2025</v>
      </c>
      <c r="C573" s="20">
        <f t="shared" si="17"/>
        <v>5</v>
      </c>
      <c r="D573">
        <v>10384</v>
      </c>
      <c r="E573" s="49">
        <v>1</v>
      </c>
      <c r="F573" t="s">
        <v>1840</v>
      </c>
      <c r="G573" t="s">
        <v>21</v>
      </c>
      <c r="H573" t="s">
        <v>37</v>
      </c>
      <c r="I573" s="13">
        <v>0</v>
      </c>
      <c r="J573" s="13">
        <v>66000</v>
      </c>
      <c r="K573" s="13">
        <f>IF(J573&lt;'Mapa Oficinas'!$I$21,0,IF(J573&gt;'Mapa Oficinas'!$I$20,0,1))</f>
        <v>0</v>
      </c>
      <c r="L573" t="s">
        <v>23</v>
      </c>
      <c r="M573" t="s">
        <v>23</v>
      </c>
      <c r="O573" t="s">
        <v>50</v>
      </c>
      <c r="P573" t="s">
        <v>45</v>
      </c>
      <c r="Q573">
        <v>1</v>
      </c>
      <c r="R573" t="s">
        <v>67</v>
      </c>
      <c r="S573" t="s">
        <v>47</v>
      </c>
      <c r="T573" t="str">
        <f>VLOOKUP(S573,'Mapa Oficinas'!$H$7:$I$16,2,FALSE)</f>
        <v>Otra Red Búsqueda</v>
      </c>
      <c r="U573" t="s">
        <v>29</v>
      </c>
      <c r="V573" t="str">
        <f>VLOOKUP($R573,'Mapa Oficinas'!$A$7:$C$46,2,FALSE)</f>
        <v>CABA</v>
      </c>
      <c r="W573" t="str">
        <f>VLOOKUP($R573,'Mapa Oficinas'!$A$7:$C$46,3,FALSE)</f>
        <v>Barrio Parque</v>
      </c>
    </row>
    <row r="574" spans="1:23" x14ac:dyDescent="0.2">
      <c r="A574" s="1">
        <v>45835</v>
      </c>
      <c r="B574" s="20">
        <f t="shared" si="16"/>
        <v>2025</v>
      </c>
      <c r="C574" s="20">
        <f t="shared" si="17"/>
        <v>6</v>
      </c>
      <c r="D574" t="s">
        <v>2692</v>
      </c>
      <c r="E574" s="49">
        <v>1</v>
      </c>
      <c r="F574" t="s">
        <v>2692</v>
      </c>
      <c r="G574" t="s">
        <v>21</v>
      </c>
      <c r="H574" t="s">
        <v>37</v>
      </c>
      <c r="I574" s="13">
        <v>55000</v>
      </c>
      <c r="J574" s="13">
        <v>66000</v>
      </c>
      <c r="K574" s="13">
        <f>IF(J574&lt;'Mapa Oficinas'!$I$21,0,IF(J574&gt;'Mapa Oficinas'!$I$20,0,1))</f>
        <v>0</v>
      </c>
      <c r="L574" t="s">
        <v>23</v>
      </c>
      <c r="M574" t="s">
        <v>23</v>
      </c>
      <c r="O574" t="s">
        <v>1646</v>
      </c>
      <c r="P574" t="s">
        <v>45</v>
      </c>
      <c r="Q574">
        <v>1</v>
      </c>
      <c r="R574" t="s">
        <v>151</v>
      </c>
      <c r="S574" t="s">
        <v>47</v>
      </c>
      <c r="T574" t="str">
        <f>VLOOKUP(S574,'Mapa Oficinas'!$H$7:$I$16,2,FALSE)</f>
        <v>Otra Red Búsqueda</v>
      </c>
      <c r="U574" t="s">
        <v>29</v>
      </c>
      <c r="V574" t="str">
        <f>VLOOKUP($R574,'Mapa Oficinas'!$A$7:$C$46,2,FALSE)</f>
        <v>Interior - Mendoza</v>
      </c>
      <c r="W574" t="str">
        <f>VLOOKUP($R574,'Mapa Oficinas'!$A$7:$C$46,3,FALSE)</f>
        <v>Capital Mendoza</v>
      </c>
    </row>
    <row r="575" spans="1:23" x14ac:dyDescent="0.2">
      <c r="A575" s="1">
        <v>45742</v>
      </c>
      <c r="B575" s="20">
        <f t="shared" si="16"/>
        <v>2025</v>
      </c>
      <c r="C575" s="20">
        <f t="shared" si="17"/>
        <v>3</v>
      </c>
      <c r="D575" t="s">
        <v>1103</v>
      </c>
      <c r="E575" s="49">
        <v>1</v>
      </c>
      <c r="F575" t="s">
        <v>1104</v>
      </c>
      <c r="G575" t="s">
        <v>21</v>
      </c>
      <c r="H575" t="s">
        <v>37</v>
      </c>
      <c r="I575" s="13">
        <v>66000</v>
      </c>
      <c r="J575" s="13">
        <v>66000</v>
      </c>
      <c r="K575" s="13">
        <f>IF(J575&lt;'Mapa Oficinas'!$I$21,0,IF(J575&gt;'Mapa Oficinas'!$I$20,0,1))</f>
        <v>0</v>
      </c>
      <c r="L575" t="s">
        <v>23</v>
      </c>
      <c r="M575" t="s">
        <v>23</v>
      </c>
      <c r="O575" t="s">
        <v>1105</v>
      </c>
      <c r="P575" t="s">
        <v>45</v>
      </c>
      <c r="Q575">
        <v>2</v>
      </c>
      <c r="R575" t="s">
        <v>110</v>
      </c>
      <c r="S575" t="s">
        <v>200</v>
      </c>
      <c r="T575" t="str">
        <f>VLOOKUP(S575,'Mapa Oficinas'!$H$7:$I$16,2,FALSE)</f>
        <v>Otra Red Captación</v>
      </c>
      <c r="U575" t="s">
        <v>29</v>
      </c>
      <c r="V575" t="str">
        <f>VLOOKUP($R575,'Mapa Oficinas'!$A$7:$C$46,2,FALSE)</f>
        <v>Zona Norte (GBA)</v>
      </c>
      <c r="W575" t="str">
        <f>VLOOKUP($R575,'Mapa Oficinas'!$A$7:$C$46,3,FALSE)</f>
        <v>Nordelta</v>
      </c>
    </row>
    <row r="576" spans="1:23" x14ac:dyDescent="0.2">
      <c r="A576" s="1">
        <v>45813</v>
      </c>
      <c r="B576" s="20">
        <f t="shared" si="16"/>
        <v>2025</v>
      </c>
      <c r="C576" s="20">
        <f t="shared" si="17"/>
        <v>6</v>
      </c>
      <c r="D576" t="s">
        <v>2329</v>
      </c>
      <c r="E576" s="49">
        <v>1</v>
      </c>
      <c r="F576" t="s">
        <v>2330</v>
      </c>
      <c r="G576" t="s">
        <v>21</v>
      </c>
      <c r="H576" t="s">
        <v>221</v>
      </c>
      <c r="I576" s="13">
        <v>77000</v>
      </c>
      <c r="J576" s="13">
        <v>66600</v>
      </c>
      <c r="K576" s="13">
        <f>IF(J576&lt;'Mapa Oficinas'!$I$21,0,IF(J576&gt;'Mapa Oficinas'!$I$20,0,1))</f>
        <v>0</v>
      </c>
      <c r="L576" t="s">
        <v>23</v>
      </c>
      <c r="M576" t="s">
        <v>23</v>
      </c>
      <c r="N576" t="s">
        <v>2331</v>
      </c>
      <c r="O576" t="s">
        <v>1321</v>
      </c>
      <c r="P576" t="s">
        <v>45</v>
      </c>
      <c r="Q576">
        <v>2</v>
      </c>
      <c r="R576" t="s">
        <v>151</v>
      </c>
      <c r="S576" t="s">
        <v>200</v>
      </c>
      <c r="T576" t="str">
        <f>VLOOKUP(S576,'Mapa Oficinas'!$H$7:$I$16,2,FALSE)</f>
        <v>Otra Red Captación</v>
      </c>
      <c r="U576" t="s">
        <v>29</v>
      </c>
      <c r="V576" t="str">
        <f>VLOOKUP($R576,'Mapa Oficinas'!$A$7:$C$46,2,FALSE)</f>
        <v>Interior - Mendoza</v>
      </c>
      <c r="W576" t="str">
        <f>VLOOKUP($R576,'Mapa Oficinas'!$A$7:$C$46,3,FALSE)</f>
        <v>Capital Mendoza</v>
      </c>
    </row>
    <row r="577" spans="1:23" x14ac:dyDescent="0.2">
      <c r="A577" s="1">
        <v>45708</v>
      </c>
      <c r="B577" s="20">
        <f t="shared" si="16"/>
        <v>2025</v>
      </c>
      <c r="C577" s="20">
        <f t="shared" si="17"/>
        <v>2</v>
      </c>
      <c r="D577" t="s">
        <v>688</v>
      </c>
      <c r="E577" s="49">
        <v>1</v>
      </c>
      <c r="F577" t="s">
        <v>689</v>
      </c>
      <c r="G577" t="s">
        <v>21</v>
      </c>
      <c r="H577" t="s">
        <v>37</v>
      </c>
      <c r="I577" s="13">
        <v>75000</v>
      </c>
      <c r="J577" s="13">
        <v>66700</v>
      </c>
      <c r="K577" s="13">
        <f>IF(J577&lt;'Mapa Oficinas'!$I$21,0,IF(J577&gt;'Mapa Oficinas'!$I$20,0,1))</f>
        <v>0</v>
      </c>
      <c r="L577" t="s">
        <v>23</v>
      </c>
      <c r="M577" t="s">
        <v>23</v>
      </c>
      <c r="N577" t="s">
        <v>690</v>
      </c>
      <c r="O577" t="s">
        <v>691</v>
      </c>
      <c r="P577" t="s">
        <v>26</v>
      </c>
      <c r="Q577">
        <v>2</v>
      </c>
      <c r="R577" t="s">
        <v>183</v>
      </c>
      <c r="S577" t="s">
        <v>28</v>
      </c>
      <c r="T577" t="str">
        <f>VLOOKUP(S577,'Mapa Oficinas'!$H$7:$I$16,2,FALSE)</f>
        <v>CB</v>
      </c>
      <c r="U577" t="s">
        <v>29</v>
      </c>
      <c r="V577" t="str">
        <f>VLOOKUP($R577,'Mapa Oficinas'!$A$7:$C$46,2,FALSE)</f>
        <v>Interior - Neuquén</v>
      </c>
      <c r="W577" t="str">
        <f>VLOOKUP($R577,'Mapa Oficinas'!$A$7:$C$46,3,FALSE)</f>
        <v>Capital Neuquén</v>
      </c>
    </row>
    <row r="578" spans="1:23" x14ac:dyDescent="0.2">
      <c r="A578" s="1">
        <v>46048</v>
      </c>
      <c r="B578" s="20">
        <f t="shared" ref="B578:B641" si="18">YEAR($A578)</f>
        <v>2026</v>
      </c>
      <c r="C578" s="20">
        <f t="shared" ref="C578:C641" si="19">MONTH($A578)</f>
        <v>1</v>
      </c>
      <c r="D578" t="s">
        <v>6400</v>
      </c>
      <c r="E578" s="49">
        <v>1</v>
      </c>
      <c r="F578" t="s">
        <v>6401</v>
      </c>
      <c r="G578" t="s">
        <v>21</v>
      </c>
      <c r="H578" t="s">
        <v>37</v>
      </c>
      <c r="I578" s="13">
        <v>70000</v>
      </c>
      <c r="J578" s="13">
        <v>67000</v>
      </c>
      <c r="K578" s="13">
        <f>IF(J578&lt;'Mapa Oficinas'!$I$21,0,IF(J578&gt;'Mapa Oficinas'!$I$20,0,1))</f>
        <v>0</v>
      </c>
      <c r="L578" t="s">
        <v>23</v>
      </c>
      <c r="M578" t="s">
        <v>23</v>
      </c>
      <c r="N578" t="s">
        <v>6402</v>
      </c>
      <c r="O578" t="s">
        <v>5475</v>
      </c>
      <c r="P578" t="s">
        <v>45</v>
      </c>
      <c r="Q578">
        <v>1</v>
      </c>
      <c r="R578" t="s">
        <v>151</v>
      </c>
      <c r="S578" t="s">
        <v>152</v>
      </c>
      <c r="T578" t="str">
        <f>VLOOKUP(S578,'Mapa Oficinas'!$H$7:$I$16,2,FALSE)</f>
        <v>Otra Red Captación</v>
      </c>
      <c r="U578" t="s">
        <v>29</v>
      </c>
      <c r="V578" t="str">
        <f>VLOOKUP($R578,'Mapa Oficinas'!$A$7:$C$46,2,FALSE)</f>
        <v>Interior - Mendoza</v>
      </c>
      <c r="W578" t="str">
        <f>VLOOKUP($R578,'Mapa Oficinas'!$A$7:$C$46,3,FALSE)</f>
        <v>Capital Mendoza</v>
      </c>
    </row>
    <row r="579" spans="1:23" x14ac:dyDescent="0.2">
      <c r="A579" s="1">
        <v>45819</v>
      </c>
      <c r="B579" s="20">
        <f t="shared" si="18"/>
        <v>2025</v>
      </c>
      <c r="C579" s="20">
        <f t="shared" si="19"/>
        <v>6</v>
      </c>
      <c r="D579" t="s">
        <v>2420</v>
      </c>
      <c r="E579" s="49">
        <v>1</v>
      </c>
      <c r="F579" t="s">
        <v>2421</v>
      </c>
      <c r="G579" t="s">
        <v>21</v>
      </c>
      <c r="H579" t="s">
        <v>100</v>
      </c>
      <c r="I579" s="13">
        <v>67000</v>
      </c>
      <c r="J579" s="13">
        <v>67000</v>
      </c>
      <c r="K579" s="13">
        <f>IF(J579&lt;'Mapa Oficinas'!$I$21,0,IF(J579&gt;'Mapa Oficinas'!$I$20,0,1))</f>
        <v>0</v>
      </c>
      <c r="L579" t="s">
        <v>23</v>
      </c>
      <c r="M579" t="s">
        <v>23</v>
      </c>
      <c r="N579" t="s">
        <v>2422</v>
      </c>
      <c r="O579" t="s">
        <v>102</v>
      </c>
      <c r="P579" t="s">
        <v>45</v>
      </c>
      <c r="Q579">
        <v>1</v>
      </c>
      <c r="R579" t="s">
        <v>103</v>
      </c>
      <c r="S579" t="s">
        <v>47</v>
      </c>
      <c r="T579" t="str">
        <f>VLOOKUP(S579,'Mapa Oficinas'!$H$7:$I$16,2,FALSE)</f>
        <v>Otra Red Búsqueda</v>
      </c>
      <c r="U579" t="s">
        <v>29</v>
      </c>
      <c r="V579" t="str">
        <f>VLOOKUP($R579,'Mapa Oficinas'!$A$7:$C$46,2,FALSE)</f>
        <v>Zona Sur (GBA)</v>
      </c>
      <c r="W579" t="str">
        <f>VLOOKUP($R579,'Mapa Oficinas'!$A$7:$C$46,3,FALSE)</f>
        <v>La Plata</v>
      </c>
    </row>
    <row r="580" spans="1:23" x14ac:dyDescent="0.2">
      <c r="A580" s="1">
        <v>45974</v>
      </c>
      <c r="B580" s="20">
        <f t="shared" si="18"/>
        <v>2025</v>
      </c>
      <c r="C580" s="20">
        <f t="shared" si="19"/>
        <v>11</v>
      </c>
      <c r="D580" t="s">
        <v>5196</v>
      </c>
      <c r="E580" s="49">
        <v>1</v>
      </c>
      <c r="F580" t="s">
        <v>5197</v>
      </c>
      <c r="G580" t="s">
        <v>21</v>
      </c>
      <c r="H580" t="s">
        <v>37</v>
      </c>
      <c r="I580" s="13">
        <v>70000</v>
      </c>
      <c r="J580" s="13">
        <v>67000</v>
      </c>
      <c r="K580" s="13">
        <f>IF(J580&lt;'Mapa Oficinas'!$I$21,0,IF(J580&gt;'Mapa Oficinas'!$I$20,0,1))</f>
        <v>0</v>
      </c>
      <c r="L580" t="s">
        <v>23</v>
      </c>
      <c r="M580" t="s">
        <v>23</v>
      </c>
      <c r="N580" t="s">
        <v>5198</v>
      </c>
      <c r="O580" t="s">
        <v>440</v>
      </c>
      <c r="P580" t="s">
        <v>45</v>
      </c>
      <c r="Q580">
        <v>2</v>
      </c>
      <c r="R580" t="s">
        <v>135</v>
      </c>
      <c r="S580" t="s">
        <v>200</v>
      </c>
      <c r="T580" t="str">
        <f>VLOOKUP(S580,'Mapa Oficinas'!$H$7:$I$16,2,FALSE)</f>
        <v>Otra Red Captación</v>
      </c>
      <c r="U580" t="s">
        <v>29</v>
      </c>
      <c r="V580" t="str">
        <f>VLOOKUP($R580,'Mapa Oficinas'!$A$7:$C$46,2,FALSE)</f>
        <v>CABA</v>
      </c>
      <c r="W580" t="str">
        <f>VLOOKUP($R580,'Mapa Oficinas'!$A$7:$C$46,3,FALSE)</f>
        <v>Recoleta</v>
      </c>
    </row>
    <row r="581" spans="1:23" x14ac:dyDescent="0.2">
      <c r="A581" s="1">
        <v>45775</v>
      </c>
      <c r="B581" s="20">
        <f t="shared" si="18"/>
        <v>2025</v>
      </c>
      <c r="C581" s="20">
        <f t="shared" si="19"/>
        <v>4</v>
      </c>
      <c r="D581" t="s">
        <v>1651</v>
      </c>
      <c r="E581" s="49">
        <v>1</v>
      </c>
      <c r="F581" t="s">
        <v>1652</v>
      </c>
      <c r="G581" t="s">
        <v>21</v>
      </c>
      <c r="H581" t="s">
        <v>37</v>
      </c>
      <c r="I581" s="13">
        <v>75000</v>
      </c>
      <c r="J581" s="13">
        <v>67000</v>
      </c>
      <c r="K581" s="13">
        <f>IF(J581&lt;'Mapa Oficinas'!$I$21,0,IF(J581&gt;'Mapa Oficinas'!$I$20,0,1))</f>
        <v>0</v>
      </c>
      <c r="L581" t="s">
        <v>23</v>
      </c>
      <c r="M581" t="s">
        <v>23</v>
      </c>
      <c r="N581" t="s">
        <v>1653</v>
      </c>
      <c r="O581" t="s">
        <v>1654</v>
      </c>
      <c r="P581" t="s">
        <v>45</v>
      </c>
      <c r="Q581">
        <v>2</v>
      </c>
      <c r="R581" t="s">
        <v>151</v>
      </c>
      <c r="S581" t="s">
        <v>28</v>
      </c>
      <c r="T581" t="str">
        <f>VLOOKUP(S581,'Mapa Oficinas'!$H$7:$I$16,2,FALSE)</f>
        <v>CB</v>
      </c>
      <c r="U581" t="s">
        <v>29</v>
      </c>
      <c r="V581" t="str">
        <f>VLOOKUP($R581,'Mapa Oficinas'!$A$7:$C$46,2,FALSE)</f>
        <v>Interior - Mendoza</v>
      </c>
      <c r="W581" t="str">
        <f>VLOOKUP($R581,'Mapa Oficinas'!$A$7:$C$46,3,FALSE)</f>
        <v>Capital Mendoza</v>
      </c>
    </row>
    <row r="582" spans="1:23" x14ac:dyDescent="0.2">
      <c r="A582" s="1">
        <v>45961</v>
      </c>
      <c r="B582" s="20">
        <f t="shared" si="18"/>
        <v>2025</v>
      </c>
      <c r="C582" s="20">
        <f t="shared" si="19"/>
        <v>10</v>
      </c>
      <c r="D582" t="s">
        <v>5019</v>
      </c>
      <c r="E582" s="49">
        <v>1</v>
      </c>
      <c r="F582" t="s">
        <v>5020</v>
      </c>
      <c r="G582" t="s">
        <v>21</v>
      </c>
      <c r="H582" t="s">
        <v>76</v>
      </c>
      <c r="I582" s="13">
        <v>68000</v>
      </c>
      <c r="J582" s="13">
        <v>67500</v>
      </c>
      <c r="K582" s="13">
        <f>IF(J582&lt;'Mapa Oficinas'!$I$21,0,IF(J582&gt;'Mapa Oficinas'!$I$20,0,1))</f>
        <v>0</v>
      </c>
      <c r="L582" t="s">
        <v>23</v>
      </c>
      <c r="M582" t="s">
        <v>23</v>
      </c>
      <c r="N582" t="s">
        <v>5021</v>
      </c>
      <c r="O582" t="s">
        <v>78</v>
      </c>
      <c r="P582" t="s">
        <v>45</v>
      </c>
      <c r="Q582">
        <v>2</v>
      </c>
      <c r="R582" t="s">
        <v>73</v>
      </c>
      <c r="S582" t="s">
        <v>79</v>
      </c>
      <c r="T582" t="str">
        <f>VLOOKUP(S582,'Mapa Oficinas'!$H$7:$I$16,2,FALSE)</f>
        <v>CB</v>
      </c>
      <c r="U582" t="s">
        <v>29</v>
      </c>
      <c r="V582" t="str">
        <f>VLOOKUP($R582,'Mapa Oficinas'!$A$7:$C$46,2,FALSE)</f>
        <v>Interior - Salta</v>
      </c>
      <c r="W582" t="str">
        <f>VLOOKUP($R582,'Mapa Oficinas'!$A$7:$C$46,3,FALSE)</f>
        <v>San Lorenzo Chico</v>
      </c>
    </row>
    <row r="583" spans="1:23" x14ac:dyDescent="0.2">
      <c r="A583" s="1">
        <v>46073</v>
      </c>
      <c r="B583" s="20">
        <f t="shared" si="18"/>
        <v>2026</v>
      </c>
      <c r="C583" s="20">
        <f t="shared" si="19"/>
        <v>2</v>
      </c>
      <c r="D583" t="s">
        <v>6775</v>
      </c>
      <c r="E583" s="49">
        <v>1</v>
      </c>
      <c r="F583" t="s">
        <v>6776</v>
      </c>
      <c r="G583" t="s">
        <v>21</v>
      </c>
      <c r="H583" t="s">
        <v>22</v>
      </c>
      <c r="I583" s="13">
        <v>75000</v>
      </c>
      <c r="J583" s="13">
        <v>67500</v>
      </c>
      <c r="K583" s="13">
        <f>IF(J583&lt;'Mapa Oficinas'!$I$21,0,IF(J583&gt;'Mapa Oficinas'!$I$20,0,1))</f>
        <v>0</v>
      </c>
      <c r="L583" t="s">
        <v>23</v>
      </c>
      <c r="M583" t="s">
        <v>23</v>
      </c>
      <c r="N583" t="s">
        <v>6777</v>
      </c>
      <c r="O583" t="s">
        <v>102</v>
      </c>
      <c r="P583" t="s">
        <v>45</v>
      </c>
      <c r="Q583">
        <v>2</v>
      </c>
      <c r="R583" t="s">
        <v>103</v>
      </c>
      <c r="S583" t="s">
        <v>28</v>
      </c>
      <c r="T583" t="str">
        <f>VLOOKUP(S583,'Mapa Oficinas'!$H$7:$I$16,2,FALSE)</f>
        <v>CB</v>
      </c>
      <c r="U583" t="s">
        <v>29</v>
      </c>
      <c r="V583" t="str">
        <f>VLOOKUP($R583,'Mapa Oficinas'!$A$7:$C$46,2,FALSE)</f>
        <v>Zona Sur (GBA)</v>
      </c>
      <c r="W583" t="str">
        <f>VLOOKUP($R583,'Mapa Oficinas'!$A$7:$C$46,3,FALSE)</f>
        <v>La Plata</v>
      </c>
    </row>
    <row r="584" spans="1:23" x14ac:dyDescent="0.2">
      <c r="A584" s="1">
        <v>45726</v>
      </c>
      <c r="B584" s="20">
        <f t="shared" si="18"/>
        <v>2025</v>
      </c>
      <c r="C584" s="20">
        <f t="shared" si="19"/>
        <v>3</v>
      </c>
      <c r="D584" t="s">
        <v>881</v>
      </c>
      <c r="E584" s="49">
        <v>1</v>
      </c>
      <c r="F584" t="s">
        <v>882</v>
      </c>
      <c r="G584" t="s">
        <v>21</v>
      </c>
      <c r="H584" t="s">
        <v>100</v>
      </c>
      <c r="I584" s="13">
        <v>70000</v>
      </c>
      <c r="J584" s="13">
        <v>67800</v>
      </c>
      <c r="K584" s="13">
        <f>IF(J584&lt;'Mapa Oficinas'!$I$21,0,IF(J584&gt;'Mapa Oficinas'!$I$20,0,1))</f>
        <v>0</v>
      </c>
      <c r="L584" t="s">
        <v>23</v>
      </c>
      <c r="M584" t="s">
        <v>23</v>
      </c>
      <c r="N584" t="s">
        <v>883</v>
      </c>
      <c r="O584" t="s">
        <v>884</v>
      </c>
      <c r="P584" t="s">
        <v>45</v>
      </c>
      <c r="Q584">
        <v>2</v>
      </c>
      <c r="R584" t="s">
        <v>151</v>
      </c>
      <c r="S584" t="s">
        <v>28</v>
      </c>
      <c r="T584" t="str">
        <f>VLOOKUP(S584,'Mapa Oficinas'!$H$7:$I$16,2,FALSE)</f>
        <v>CB</v>
      </c>
      <c r="U584" t="s">
        <v>29</v>
      </c>
      <c r="V584" t="str">
        <f>VLOOKUP($R584,'Mapa Oficinas'!$A$7:$C$46,2,FALSE)</f>
        <v>Interior - Mendoza</v>
      </c>
      <c r="W584" t="str">
        <f>VLOOKUP($R584,'Mapa Oficinas'!$A$7:$C$46,3,FALSE)</f>
        <v>Capital Mendoza</v>
      </c>
    </row>
    <row r="585" spans="1:23" x14ac:dyDescent="0.2">
      <c r="A585" s="1">
        <v>45950</v>
      </c>
      <c r="B585" s="20">
        <f t="shared" si="18"/>
        <v>2025</v>
      </c>
      <c r="C585" s="20">
        <f t="shared" si="19"/>
        <v>10</v>
      </c>
      <c r="D585" t="s">
        <v>4791</v>
      </c>
      <c r="E585" s="49">
        <v>1</v>
      </c>
      <c r="F585" t="s">
        <v>4791</v>
      </c>
      <c r="G585" t="s">
        <v>21</v>
      </c>
      <c r="H585" t="s">
        <v>37</v>
      </c>
      <c r="I585" s="13">
        <v>68000</v>
      </c>
      <c r="J585" s="13">
        <v>68000</v>
      </c>
      <c r="K585" s="13">
        <f>IF(J585&lt;'Mapa Oficinas'!$I$21,0,IF(J585&gt;'Mapa Oficinas'!$I$20,0,1))</f>
        <v>0</v>
      </c>
      <c r="L585" t="s">
        <v>23</v>
      </c>
      <c r="M585" t="s">
        <v>23</v>
      </c>
      <c r="N585" t="s">
        <v>4791</v>
      </c>
      <c r="O585" t="s">
        <v>1677</v>
      </c>
      <c r="P585" t="s">
        <v>45</v>
      </c>
      <c r="Q585">
        <v>1</v>
      </c>
      <c r="R585" t="s">
        <v>56</v>
      </c>
      <c r="S585" t="s">
        <v>122</v>
      </c>
      <c r="T585" t="str">
        <f>VLOOKUP(S585,'Mapa Oficinas'!$H$7:$I$16,2,FALSE)</f>
        <v>Otra Red Búsqueda</v>
      </c>
      <c r="U585" t="s">
        <v>29</v>
      </c>
      <c r="V585" t="str">
        <f>VLOOKUP($R585,'Mapa Oficinas'!$A$7:$C$46,2,FALSE)</f>
        <v>Zona Norte (GBA)</v>
      </c>
      <c r="W585" t="str">
        <f>VLOOKUP($R585,'Mapa Oficinas'!$A$7:$C$46,3,FALSE)</f>
        <v>Vicente López</v>
      </c>
    </row>
    <row r="586" spans="1:23" x14ac:dyDescent="0.2">
      <c r="A586" s="1">
        <v>46051</v>
      </c>
      <c r="B586" s="20">
        <f t="shared" si="18"/>
        <v>2026</v>
      </c>
      <c r="C586" s="20">
        <f t="shared" si="19"/>
        <v>1</v>
      </c>
      <c r="D586" t="s">
        <v>6448</v>
      </c>
      <c r="E586" s="49">
        <v>1</v>
      </c>
      <c r="F586" t="s">
        <v>6449</v>
      </c>
      <c r="G586" t="s">
        <v>21</v>
      </c>
      <c r="H586" t="s">
        <v>81</v>
      </c>
      <c r="I586" s="13">
        <v>79000</v>
      </c>
      <c r="J586" s="13">
        <v>68000</v>
      </c>
      <c r="K586" s="13">
        <f>IF(J586&lt;'Mapa Oficinas'!$I$21,0,IF(J586&gt;'Mapa Oficinas'!$I$20,0,1))</f>
        <v>0</v>
      </c>
      <c r="L586" t="s">
        <v>23</v>
      </c>
      <c r="M586" t="s">
        <v>23</v>
      </c>
      <c r="N586" t="s">
        <v>6450</v>
      </c>
      <c r="O586" t="s">
        <v>4255</v>
      </c>
      <c r="P586" t="s">
        <v>34</v>
      </c>
      <c r="Q586">
        <v>1</v>
      </c>
      <c r="R586" t="s">
        <v>167</v>
      </c>
      <c r="S586" t="s">
        <v>152</v>
      </c>
      <c r="T586" t="str">
        <f>VLOOKUP(S586,'Mapa Oficinas'!$H$7:$I$16,2,FALSE)</f>
        <v>Otra Red Captación</v>
      </c>
      <c r="U586" t="s">
        <v>29</v>
      </c>
      <c r="V586" t="str">
        <f>VLOOKUP($R586,'Mapa Oficinas'!$A$7:$C$46,2,FALSE)</f>
        <v>Interior - Santa Fe</v>
      </c>
      <c r="W586" t="str">
        <f>VLOOKUP($R586,'Mapa Oficinas'!$A$7:$C$46,3,FALSE)</f>
        <v>Capital Santa Fe</v>
      </c>
    </row>
    <row r="587" spans="1:23" x14ac:dyDescent="0.2">
      <c r="A587" s="1">
        <v>45663</v>
      </c>
      <c r="B587" s="20">
        <f t="shared" si="18"/>
        <v>2025</v>
      </c>
      <c r="C587" s="20">
        <f t="shared" si="19"/>
        <v>1</v>
      </c>
      <c r="D587" t="s">
        <v>74</v>
      </c>
      <c r="E587" s="49">
        <v>1</v>
      </c>
      <c r="F587" t="s">
        <v>75</v>
      </c>
      <c r="G587" t="s">
        <v>21</v>
      </c>
      <c r="H587" t="s">
        <v>76</v>
      </c>
      <c r="I587" s="13">
        <v>167000</v>
      </c>
      <c r="J587" s="13">
        <v>68000</v>
      </c>
      <c r="K587" s="13">
        <f>IF(J587&lt;'Mapa Oficinas'!$I$21,0,IF(J587&gt;'Mapa Oficinas'!$I$20,0,1))</f>
        <v>0</v>
      </c>
      <c r="L587" t="s">
        <v>23</v>
      </c>
      <c r="M587" t="s">
        <v>23</v>
      </c>
      <c r="N587" t="s">
        <v>77</v>
      </c>
      <c r="O587" t="s">
        <v>78</v>
      </c>
      <c r="P587" t="s">
        <v>55</v>
      </c>
      <c r="Q587">
        <v>2</v>
      </c>
      <c r="R587" t="s">
        <v>73</v>
      </c>
      <c r="S587" t="s">
        <v>79</v>
      </c>
      <c r="T587" t="str">
        <f>VLOOKUP(S587,'Mapa Oficinas'!$H$7:$I$16,2,FALSE)</f>
        <v>CB</v>
      </c>
      <c r="U587" t="s">
        <v>29</v>
      </c>
      <c r="V587" t="str">
        <f>VLOOKUP($R587,'Mapa Oficinas'!$A$7:$C$46,2,FALSE)</f>
        <v>Interior - Salta</v>
      </c>
      <c r="W587" t="str">
        <f>VLOOKUP($R587,'Mapa Oficinas'!$A$7:$C$46,3,FALSE)</f>
        <v>San Lorenzo Chico</v>
      </c>
    </row>
    <row r="588" spans="1:23" x14ac:dyDescent="0.2">
      <c r="A588" s="1">
        <v>45807</v>
      </c>
      <c r="B588" s="20">
        <f t="shared" si="18"/>
        <v>2025</v>
      </c>
      <c r="C588" s="20">
        <f t="shared" si="19"/>
        <v>5</v>
      </c>
      <c r="D588" s="17" t="s">
        <v>2232</v>
      </c>
      <c r="E588" s="50">
        <v>3</v>
      </c>
      <c r="F588" s="17" t="s">
        <v>309</v>
      </c>
      <c r="G588" s="17" t="s">
        <v>21</v>
      </c>
      <c r="H588" s="17" t="s">
        <v>76</v>
      </c>
      <c r="I588" s="18">
        <v>74000</v>
      </c>
      <c r="J588" s="18">
        <v>68000</v>
      </c>
      <c r="K588" s="13">
        <f>IF(J588&lt;'Mapa Oficinas'!$I$21,0,IF(J588&gt;'Mapa Oficinas'!$I$20,0,1))</f>
        <v>0</v>
      </c>
      <c r="L588" t="s">
        <v>23</v>
      </c>
      <c r="M588" t="s">
        <v>23</v>
      </c>
      <c r="N588" t="s">
        <v>2233</v>
      </c>
      <c r="O588" t="s">
        <v>182</v>
      </c>
      <c r="P588" t="s">
        <v>45</v>
      </c>
      <c r="Q588">
        <v>2</v>
      </c>
      <c r="R588" t="s">
        <v>130</v>
      </c>
      <c r="S588" t="s">
        <v>241</v>
      </c>
      <c r="T588" t="str">
        <f>VLOOKUP(S588,'Mapa Oficinas'!$H$7:$I$16,2,FALSE)</f>
        <v>CB</v>
      </c>
      <c r="U588" t="s">
        <v>29</v>
      </c>
      <c r="V588" t="str">
        <f>VLOOKUP($R588,'Mapa Oficinas'!$A$7:$C$46,2,FALSE)</f>
        <v>Interior - Neuquén</v>
      </c>
      <c r="W588" t="str">
        <f>VLOOKUP($R588,'Mapa Oficinas'!$A$7:$C$46,3,FALSE)</f>
        <v>San Martín de los Andes</v>
      </c>
    </row>
    <row r="589" spans="1:23" x14ac:dyDescent="0.2">
      <c r="A589" s="1">
        <v>45939</v>
      </c>
      <c r="B589" s="20">
        <f t="shared" si="18"/>
        <v>2025</v>
      </c>
      <c r="C589" s="20">
        <f t="shared" si="19"/>
        <v>10</v>
      </c>
      <c r="D589">
        <v>10519</v>
      </c>
      <c r="E589" s="49">
        <v>1</v>
      </c>
      <c r="F589" t="s">
        <v>4612</v>
      </c>
      <c r="G589" t="s">
        <v>21</v>
      </c>
      <c r="H589" t="s">
        <v>37</v>
      </c>
      <c r="I589" s="13">
        <v>68000</v>
      </c>
      <c r="J589" s="13">
        <v>68000</v>
      </c>
      <c r="K589" s="13">
        <f>IF(J589&lt;'Mapa Oficinas'!$I$21,0,IF(J589&gt;'Mapa Oficinas'!$I$20,0,1))</f>
        <v>0</v>
      </c>
      <c r="L589" t="s">
        <v>23</v>
      </c>
      <c r="M589" t="s">
        <v>23</v>
      </c>
      <c r="N589" t="s">
        <v>4613</v>
      </c>
      <c r="O589" t="s">
        <v>408</v>
      </c>
      <c r="P589" t="s">
        <v>45</v>
      </c>
      <c r="Q589">
        <v>1</v>
      </c>
      <c r="R589" t="s">
        <v>67</v>
      </c>
      <c r="S589" t="s">
        <v>47</v>
      </c>
      <c r="T589" t="str">
        <f>VLOOKUP(S589,'Mapa Oficinas'!$H$7:$I$16,2,FALSE)</f>
        <v>Otra Red Búsqueda</v>
      </c>
      <c r="U589" t="s">
        <v>29</v>
      </c>
      <c r="V589" t="str">
        <f>VLOOKUP($R589,'Mapa Oficinas'!$A$7:$C$46,2,FALSE)</f>
        <v>CABA</v>
      </c>
      <c r="W589" t="str">
        <f>VLOOKUP($R589,'Mapa Oficinas'!$A$7:$C$46,3,FALSE)</f>
        <v>Barrio Parque</v>
      </c>
    </row>
    <row r="590" spans="1:23" x14ac:dyDescent="0.2">
      <c r="A590" s="1">
        <v>45799</v>
      </c>
      <c r="B590" s="20">
        <f t="shared" si="18"/>
        <v>2025</v>
      </c>
      <c r="C590" s="20">
        <f t="shared" si="19"/>
        <v>5</v>
      </c>
      <c r="D590">
        <v>10373</v>
      </c>
      <c r="E590" s="49">
        <v>1</v>
      </c>
      <c r="F590" t="s">
        <v>2085</v>
      </c>
      <c r="G590" t="s">
        <v>21</v>
      </c>
      <c r="H590" t="s">
        <v>37</v>
      </c>
      <c r="I590" s="13">
        <v>0</v>
      </c>
      <c r="J590" s="13">
        <v>68000</v>
      </c>
      <c r="K590" s="13">
        <f>IF(J590&lt;'Mapa Oficinas'!$I$21,0,IF(J590&gt;'Mapa Oficinas'!$I$20,0,1))</f>
        <v>0</v>
      </c>
      <c r="L590" t="s">
        <v>23</v>
      </c>
      <c r="M590" t="s">
        <v>23</v>
      </c>
      <c r="O590" t="s">
        <v>114</v>
      </c>
      <c r="P590" t="s">
        <v>45</v>
      </c>
      <c r="Q590">
        <v>2</v>
      </c>
      <c r="R590" t="s">
        <v>67</v>
      </c>
      <c r="S590" t="s">
        <v>200</v>
      </c>
      <c r="T590" t="str">
        <f>VLOOKUP(S590,'Mapa Oficinas'!$H$7:$I$16,2,FALSE)</f>
        <v>Otra Red Captación</v>
      </c>
      <c r="U590" t="s">
        <v>29</v>
      </c>
      <c r="V590" t="str">
        <f>VLOOKUP($R590,'Mapa Oficinas'!$A$7:$C$46,2,FALSE)</f>
        <v>CABA</v>
      </c>
      <c r="W590" t="str">
        <f>VLOOKUP($R590,'Mapa Oficinas'!$A$7:$C$46,3,FALSE)</f>
        <v>Barrio Parque</v>
      </c>
    </row>
    <row r="591" spans="1:23" x14ac:dyDescent="0.2">
      <c r="A591" s="1">
        <v>45799</v>
      </c>
      <c r="B591" s="20">
        <f t="shared" si="18"/>
        <v>2025</v>
      </c>
      <c r="C591" s="20">
        <f t="shared" si="19"/>
        <v>5</v>
      </c>
      <c r="D591">
        <v>10374</v>
      </c>
      <c r="E591" s="49">
        <v>1</v>
      </c>
      <c r="F591" t="s">
        <v>2086</v>
      </c>
      <c r="G591" t="s">
        <v>21</v>
      </c>
      <c r="H591" t="s">
        <v>37</v>
      </c>
      <c r="I591" s="13">
        <v>0</v>
      </c>
      <c r="J591" s="13">
        <v>68000</v>
      </c>
      <c r="K591" s="13">
        <f>IF(J591&lt;'Mapa Oficinas'!$I$21,0,IF(J591&gt;'Mapa Oficinas'!$I$20,0,1))</f>
        <v>0</v>
      </c>
      <c r="L591" t="s">
        <v>23</v>
      </c>
      <c r="M591" t="s">
        <v>23</v>
      </c>
      <c r="O591" t="s">
        <v>114</v>
      </c>
      <c r="P591" t="s">
        <v>45</v>
      </c>
      <c r="Q591">
        <v>2</v>
      </c>
      <c r="R591" t="s">
        <v>67</v>
      </c>
      <c r="S591" t="s">
        <v>200</v>
      </c>
      <c r="T591" t="str">
        <f>VLOOKUP(S591,'Mapa Oficinas'!$H$7:$I$16,2,FALSE)</f>
        <v>Otra Red Captación</v>
      </c>
      <c r="U591" t="s">
        <v>29</v>
      </c>
      <c r="V591" t="str">
        <f>VLOOKUP($R591,'Mapa Oficinas'!$A$7:$C$46,2,FALSE)</f>
        <v>CABA</v>
      </c>
      <c r="W591" t="str">
        <f>VLOOKUP($R591,'Mapa Oficinas'!$A$7:$C$46,3,FALSE)</f>
        <v>Barrio Parque</v>
      </c>
    </row>
    <row r="592" spans="1:23" x14ac:dyDescent="0.2">
      <c r="A592" s="1">
        <v>45856</v>
      </c>
      <c r="B592" s="20">
        <f t="shared" si="18"/>
        <v>2025</v>
      </c>
      <c r="C592" s="20">
        <f t="shared" si="19"/>
        <v>7</v>
      </c>
      <c r="D592" t="s">
        <v>3107</v>
      </c>
      <c r="E592" s="49">
        <v>1</v>
      </c>
      <c r="F592" t="s">
        <v>3108</v>
      </c>
      <c r="G592" t="s">
        <v>21</v>
      </c>
      <c r="H592" t="s">
        <v>37</v>
      </c>
      <c r="I592" s="13">
        <v>75000</v>
      </c>
      <c r="J592" s="13">
        <v>68000</v>
      </c>
      <c r="K592" s="13">
        <f>IF(J592&lt;'Mapa Oficinas'!$I$21,0,IF(J592&gt;'Mapa Oficinas'!$I$20,0,1))</f>
        <v>0</v>
      </c>
      <c r="L592" t="s">
        <v>23</v>
      </c>
      <c r="M592" t="s">
        <v>23</v>
      </c>
      <c r="N592" t="s">
        <v>3109</v>
      </c>
      <c r="O592" t="s">
        <v>66</v>
      </c>
      <c r="P592" t="s">
        <v>45</v>
      </c>
      <c r="Q592">
        <v>2</v>
      </c>
      <c r="R592" t="s">
        <v>67</v>
      </c>
      <c r="S592" t="s">
        <v>200</v>
      </c>
      <c r="T592" t="str">
        <f>VLOOKUP(S592,'Mapa Oficinas'!$H$7:$I$16,2,FALSE)</f>
        <v>Otra Red Captación</v>
      </c>
      <c r="U592" t="s">
        <v>29</v>
      </c>
      <c r="V592" t="str">
        <f>VLOOKUP($R592,'Mapa Oficinas'!$A$7:$C$46,2,FALSE)</f>
        <v>CABA</v>
      </c>
      <c r="W592" t="str">
        <f>VLOOKUP($R592,'Mapa Oficinas'!$A$7:$C$46,3,FALSE)</f>
        <v>Barrio Parque</v>
      </c>
    </row>
    <row r="593" spans="1:23" x14ac:dyDescent="0.2">
      <c r="A593" s="1">
        <v>45945</v>
      </c>
      <c r="B593" s="20">
        <f t="shared" si="18"/>
        <v>2025</v>
      </c>
      <c r="C593" s="20">
        <f t="shared" si="19"/>
        <v>10</v>
      </c>
      <c r="D593" t="s">
        <v>4694</v>
      </c>
      <c r="E593" s="49">
        <v>1</v>
      </c>
      <c r="F593" t="s">
        <v>4695</v>
      </c>
      <c r="G593" t="s">
        <v>21</v>
      </c>
      <c r="H593" t="s">
        <v>37</v>
      </c>
      <c r="I593" s="13">
        <v>69999</v>
      </c>
      <c r="J593" s="13">
        <v>68000</v>
      </c>
      <c r="K593" s="13">
        <f>IF(J593&lt;'Mapa Oficinas'!$I$21,0,IF(J593&gt;'Mapa Oficinas'!$I$20,0,1))</f>
        <v>0</v>
      </c>
      <c r="L593" t="s">
        <v>23</v>
      </c>
      <c r="M593" t="s">
        <v>23</v>
      </c>
      <c r="N593" t="s">
        <v>4696</v>
      </c>
      <c r="O593" t="s">
        <v>1774</v>
      </c>
      <c r="P593" t="s">
        <v>34</v>
      </c>
      <c r="Q593">
        <v>2</v>
      </c>
      <c r="R593" t="s">
        <v>372</v>
      </c>
      <c r="S593" t="s">
        <v>200</v>
      </c>
      <c r="T593" t="str">
        <f>VLOOKUP(S593,'Mapa Oficinas'!$H$7:$I$16,2,FALSE)</f>
        <v>Otra Red Captación</v>
      </c>
      <c r="U593" t="s">
        <v>29</v>
      </c>
      <c r="V593" t="str">
        <f>VLOOKUP($R593,'Mapa Oficinas'!$A$7:$C$46,2,FALSE)</f>
        <v>CABA</v>
      </c>
      <c r="W593" t="str">
        <f>VLOOKUP($R593,'Mapa Oficinas'!$A$7:$C$46,3,FALSE)</f>
        <v>Caballito</v>
      </c>
    </row>
    <row r="594" spans="1:23" x14ac:dyDescent="0.2">
      <c r="A594" s="1">
        <v>45972</v>
      </c>
      <c r="B594" s="20">
        <f t="shared" si="18"/>
        <v>2025</v>
      </c>
      <c r="C594" s="20">
        <f t="shared" si="19"/>
        <v>11</v>
      </c>
      <c r="D594" t="s">
        <v>5132</v>
      </c>
      <c r="E594" s="49">
        <v>1</v>
      </c>
      <c r="F594" t="s">
        <v>5133</v>
      </c>
      <c r="G594" t="s">
        <v>21</v>
      </c>
      <c r="H594" t="s">
        <v>37</v>
      </c>
      <c r="I594" s="13">
        <v>70000</v>
      </c>
      <c r="J594" s="13">
        <v>68000</v>
      </c>
      <c r="K594" s="13">
        <f>IF(J594&lt;'Mapa Oficinas'!$I$21,0,IF(J594&gt;'Mapa Oficinas'!$I$20,0,1))</f>
        <v>0</v>
      </c>
      <c r="L594" t="s">
        <v>23</v>
      </c>
      <c r="M594" t="s">
        <v>23</v>
      </c>
      <c r="N594" t="s">
        <v>5134</v>
      </c>
      <c r="O594" t="s">
        <v>114</v>
      </c>
      <c r="P594" t="s">
        <v>45</v>
      </c>
      <c r="Q594">
        <v>2</v>
      </c>
      <c r="R594" t="s">
        <v>1024</v>
      </c>
      <c r="S594" t="s">
        <v>200</v>
      </c>
      <c r="T594" t="str">
        <f>VLOOKUP(S594,'Mapa Oficinas'!$H$7:$I$16,2,FALSE)</f>
        <v>Otra Red Captación</v>
      </c>
      <c r="U594" t="s">
        <v>29</v>
      </c>
      <c r="V594" t="str">
        <f>VLOOKUP($R594,'Mapa Oficinas'!$A$7:$C$46,2,FALSE)</f>
        <v>CABA</v>
      </c>
      <c r="W594" t="str">
        <f>VLOOKUP($R594,'Mapa Oficinas'!$A$7:$C$46,3,FALSE)</f>
        <v>Puerto Madero</v>
      </c>
    </row>
    <row r="595" spans="1:23" x14ac:dyDescent="0.2">
      <c r="A595" s="1">
        <v>45679</v>
      </c>
      <c r="B595" s="20">
        <f t="shared" si="18"/>
        <v>2025</v>
      </c>
      <c r="C595" s="20">
        <f t="shared" si="19"/>
        <v>1</v>
      </c>
      <c r="D595" t="s">
        <v>322</v>
      </c>
      <c r="E595" s="49">
        <v>1</v>
      </c>
      <c r="F595" t="s">
        <v>323</v>
      </c>
      <c r="G595" t="s">
        <v>21</v>
      </c>
      <c r="H595" t="s">
        <v>81</v>
      </c>
      <c r="I595" s="13">
        <v>68000</v>
      </c>
      <c r="J595" s="13">
        <v>68000</v>
      </c>
      <c r="K595" s="13">
        <f>IF(J595&lt;'Mapa Oficinas'!$I$21,0,IF(J595&gt;'Mapa Oficinas'!$I$20,0,1))</f>
        <v>0</v>
      </c>
      <c r="L595" t="s">
        <v>23</v>
      </c>
      <c r="M595" t="s">
        <v>23</v>
      </c>
      <c r="N595" t="s">
        <v>324</v>
      </c>
      <c r="O595" t="s">
        <v>325</v>
      </c>
      <c r="P595" t="s">
        <v>26</v>
      </c>
      <c r="Q595">
        <v>2</v>
      </c>
      <c r="R595" t="s">
        <v>130</v>
      </c>
      <c r="S595" t="s">
        <v>28</v>
      </c>
      <c r="T595" t="str">
        <f>VLOOKUP(S595,'Mapa Oficinas'!$H$7:$I$16,2,FALSE)</f>
        <v>CB</v>
      </c>
      <c r="U595" t="s">
        <v>29</v>
      </c>
      <c r="V595" t="str">
        <f>VLOOKUP($R595,'Mapa Oficinas'!$A$7:$C$46,2,FALSE)</f>
        <v>Interior - Neuquén</v>
      </c>
      <c r="W595" t="str">
        <f>VLOOKUP($R595,'Mapa Oficinas'!$A$7:$C$46,3,FALSE)</f>
        <v>San Martín de los Andes</v>
      </c>
    </row>
    <row r="596" spans="1:23" x14ac:dyDescent="0.2">
      <c r="A596" s="1">
        <v>45768</v>
      </c>
      <c r="B596" s="20">
        <f t="shared" si="18"/>
        <v>2025</v>
      </c>
      <c r="C596" s="20">
        <f t="shared" si="19"/>
        <v>4</v>
      </c>
      <c r="D596" t="s">
        <v>1500</v>
      </c>
      <c r="E596" s="49">
        <v>1</v>
      </c>
      <c r="F596" t="s">
        <v>1501</v>
      </c>
      <c r="G596" t="s">
        <v>21</v>
      </c>
      <c r="H596" t="s">
        <v>37</v>
      </c>
      <c r="I596" s="13">
        <v>68000</v>
      </c>
      <c r="J596" s="13">
        <v>68000</v>
      </c>
      <c r="K596" s="13">
        <f>IF(J596&lt;'Mapa Oficinas'!$I$21,0,IF(J596&gt;'Mapa Oficinas'!$I$20,0,1))</f>
        <v>0</v>
      </c>
      <c r="L596" t="s">
        <v>23</v>
      </c>
      <c r="M596" t="s">
        <v>23</v>
      </c>
      <c r="N596" t="s">
        <v>1502</v>
      </c>
      <c r="O596" t="s">
        <v>1190</v>
      </c>
      <c r="P596" t="s">
        <v>34</v>
      </c>
      <c r="Q596">
        <v>2</v>
      </c>
      <c r="R596" t="s">
        <v>183</v>
      </c>
      <c r="S596" t="s">
        <v>28</v>
      </c>
      <c r="T596" t="str">
        <f>VLOOKUP(S596,'Mapa Oficinas'!$H$7:$I$16,2,FALSE)</f>
        <v>CB</v>
      </c>
      <c r="U596" t="s">
        <v>29</v>
      </c>
      <c r="V596" t="str">
        <f>VLOOKUP($R596,'Mapa Oficinas'!$A$7:$C$46,2,FALSE)</f>
        <v>Interior - Neuquén</v>
      </c>
      <c r="W596" t="str">
        <f>VLOOKUP($R596,'Mapa Oficinas'!$A$7:$C$46,3,FALSE)</f>
        <v>Capital Neuquén</v>
      </c>
    </row>
    <row r="597" spans="1:23" x14ac:dyDescent="0.2">
      <c r="A597" s="1">
        <v>45838</v>
      </c>
      <c r="B597" s="20">
        <f t="shared" si="18"/>
        <v>2025</v>
      </c>
      <c r="C597" s="20">
        <f t="shared" si="19"/>
        <v>6</v>
      </c>
      <c r="D597" t="s">
        <v>2760</v>
      </c>
      <c r="E597" s="49">
        <v>1</v>
      </c>
      <c r="F597" t="s">
        <v>2761</v>
      </c>
      <c r="G597" t="s">
        <v>21</v>
      </c>
      <c r="H597" t="s">
        <v>37</v>
      </c>
      <c r="I597" s="13">
        <v>68000</v>
      </c>
      <c r="J597" s="13">
        <v>68000</v>
      </c>
      <c r="K597" s="13">
        <f>IF(J597&lt;'Mapa Oficinas'!$I$21,0,IF(J597&gt;'Mapa Oficinas'!$I$20,0,1))</f>
        <v>0</v>
      </c>
      <c r="L597" t="s">
        <v>23</v>
      </c>
      <c r="M597" t="s">
        <v>23</v>
      </c>
      <c r="N597" t="s">
        <v>2762</v>
      </c>
      <c r="O597" t="s">
        <v>303</v>
      </c>
      <c r="P597" t="s">
        <v>34</v>
      </c>
      <c r="Q597">
        <v>2</v>
      </c>
      <c r="R597" t="s">
        <v>183</v>
      </c>
      <c r="S597" t="s">
        <v>28</v>
      </c>
      <c r="T597" t="str">
        <f>VLOOKUP(S597,'Mapa Oficinas'!$H$7:$I$16,2,FALSE)</f>
        <v>CB</v>
      </c>
      <c r="U597" t="s">
        <v>29</v>
      </c>
      <c r="V597" t="str">
        <f>VLOOKUP($R597,'Mapa Oficinas'!$A$7:$C$46,2,FALSE)</f>
        <v>Interior - Neuquén</v>
      </c>
      <c r="W597" t="str">
        <f>VLOOKUP($R597,'Mapa Oficinas'!$A$7:$C$46,3,FALSE)</f>
        <v>Capital Neuquén</v>
      </c>
    </row>
    <row r="598" spans="1:23" x14ac:dyDescent="0.2">
      <c r="A598" s="1">
        <v>45855</v>
      </c>
      <c r="B598" s="20">
        <f t="shared" si="18"/>
        <v>2025</v>
      </c>
      <c r="C598" s="20">
        <f t="shared" si="19"/>
        <v>7</v>
      </c>
      <c r="D598">
        <v>10410</v>
      </c>
      <c r="E598" s="49">
        <v>1</v>
      </c>
      <c r="F598" t="s">
        <v>3086</v>
      </c>
      <c r="G598" t="s">
        <v>21</v>
      </c>
      <c r="H598" t="s">
        <v>81</v>
      </c>
      <c r="I598" s="13">
        <v>0</v>
      </c>
      <c r="J598" s="13">
        <v>68000</v>
      </c>
      <c r="K598" s="13">
        <f>IF(J598&lt;'Mapa Oficinas'!$I$21,0,IF(J598&gt;'Mapa Oficinas'!$I$20,0,1))</f>
        <v>0</v>
      </c>
      <c r="L598" t="s">
        <v>23</v>
      </c>
      <c r="M598" t="s">
        <v>23</v>
      </c>
      <c r="N598" t="s">
        <v>3086</v>
      </c>
      <c r="O598" t="s">
        <v>50</v>
      </c>
      <c r="P598" t="s">
        <v>45</v>
      </c>
      <c r="Q598">
        <v>2</v>
      </c>
      <c r="R598" t="s">
        <v>67</v>
      </c>
      <c r="S598" t="s">
        <v>28</v>
      </c>
      <c r="T598" t="str">
        <f>VLOOKUP(S598,'Mapa Oficinas'!$H$7:$I$16,2,FALSE)</f>
        <v>CB</v>
      </c>
      <c r="U598" t="s">
        <v>29</v>
      </c>
      <c r="V598" t="str">
        <f>VLOOKUP($R598,'Mapa Oficinas'!$A$7:$C$46,2,FALSE)</f>
        <v>CABA</v>
      </c>
      <c r="W598" t="str">
        <f>VLOOKUP($R598,'Mapa Oficinas'!$A$7:$C$46,3,FALSE)</f>
        <v>Barrio Parque</v>
      </c>
    </row>
    <row r="599" spans="1:23" x14ac:dyDescent="0.2">
      <c r="A599" s="1">
        <v>45860</v>
      </c>
      <c r="B599" s="20">
        <f t="shared" si="18"/>
        <v>2025</v>
      </c>
      <c r="C599" s="20">
        <f t="shared" si="19"/>
        <v>7</v>
      </c>
      <c r="D599" t="s">
        <v>3143</v>
      </c>
      <c r="E599" s="49">
        <v>1</v>
      </c>
      <c r="F599" t="s">
        <v>3144</v>
      </c>
      <c r="G599" t="s">
        <v>21</v>
      </c>
      <c r="H599" t="s">
        <v>37</v>
      </c>
      <c r="I599" s="13">
        <v>70000</v>
      </c>
      <c r="J599" s="13">
        <v>68000</v>
      </c>
      <c r="K599" s="13">
        <f>IF(J599&lt;'Mapa Oficinas'!$I$21,0,IF(J599&gt;'Mapa Oficinas'!$I$20,0,1))</f>
        <v>0</v>
      </c>
      <c r="L599" t="s">
        <v>23</v>
      </c>
      <c r="M599" t="s">
        <v>23</v>
      </c>
      <c r="N599" t="s">
        <v>3145</v>
      </c>
      <c r="O599" t="s">
        <v>1531</v>
      </c>
      <c r="P599" t="s">
        <v>61</v>
      </c>
      <c r="Q599">
        <v>2</v>
      </c>
      <c r="R599" t="s">
        <v>110</v>
      </c>
      <c r="S599" t="s">
        <v>28</v>
      </c>
      <c r="T599" t="str">
        <f>VLOOKUP(S599,'Mapa Oficinas'!$H$7:$I$16,2,FALSE)</f>
        <v>CB</v>
      </c>
      <c r="U599" t="s">
        <v>29</v>
      </c>
      <c r="V599" t="str">
        <f>VLOOKUP($R599,'Mapa Oficinas'!$A$7:$C$46,2,FALSE)</f>
        <v>Zona Norte (GBA)</v>
      </c>
      <c r="W599" t="str">
        <f>VLOOKUP($R599,'Mapa Oficinas'!$A$7:$C$46,3,FALSE)</f>
        <v>Nordelta</v>
      </c>
    </row>
    <row r="600" spans="1:23" x14ac:dyDescent="0.2">
      <c r="A600" s="1">
        <v>45968</v>
      </c>
      <c r="B600" s="20">
        <f t="shared" si="18"/>
        <v>2025</v>
      </c>
      <c r="C600" s="20">
        <f t="shared" si="19"/>
        <v>11</v>
      </c>
      <c r="D600" t="s">
        <v>5083</v>
      </c>
      <c r="E600" s="49">
        <v>1</v>
      </c>
      <c r="F600" t="s">
        <v>5084</v>
      </c>
      <c r="G600" t="s">
        <v>21</v>
      </c>
      <c r="H600" t="s">
        <v>22</v>
      </c>
      <c r="I600" s="13">
        <v>72900</v>
      </c>
      <c r="J600" s="13">
        <v>68000</v>
      </c>
      <c r="K600" s="13">
        <f>IF(J600&lt;'Mapa Oficinas'!$I$21,0,IF(J600&gt;'Mapa Oficinas'!$I$20,0,1))</f>
        <v>0</v>
      </c>
      <c r="L600" t="s">
        <v>23</v>
      </c>
      <c r="M600" t="s">
        <v>23</v>
      </c>
      <c r="N600" t="s">
        <v>5085</v>
      </c>
      <c r="O600" t="s">
        <v>66</v>
      </c>
      <c r="P600" t="s">
        <v>45</v>
      </c>
      <c r="Q600">
        <v>2</v>
      </c>
      <c r="R600" t="s">
        <v>67</v>
      </c>
      <c r="S600" t="s">
        <v>28</v>
      </c>
      <c r="T600" t="str">
        <f>VLOOKUP(S600,'Mapa Oficinas'!$H$7:$I$16,2,FALSE)</f>
        <v>CB</v>
      </c>
      <c r="U600" t="s">
        <v>29</v>
      </c>
      <c r="V600" t="str">
        <f>VLOOKUP($R600,'Mapa Oficinas'!$A$7:$C$46,2,FALSE)</f>
        <v>CABA</v>
      </c>
      <c r="W600" t="str">
        <f>VLOOKUP($R600,'Mapa Oficinas'!$A$7:$C$46,3,FALSE)</f>
        <v>Barrio Parque</v>
      </c>
    </row>
    <row r="601" spans="1:23" x14ac:dyDescent="0.2">
      <c r="A601" s="1">
        <v>46031</v>
      </c>
      <c r="B601" s="20">
        <f t="shared" si="18"/>
        <v>2026</v>
      </c>
      <c r="C601" s="20">
        <f t="shared" si="19"/>
        <v>1</v>
      </c>
      <c r="D601" t="s">
        <v>6160</v>
      </c>
      <c r="E601" s="49">
        <v>1</v>
      </c>
      <c r="F601" t="s">
        <v>5524</v>
      </c>
      <c r="G601" t="s">
        <v>21</v>
      </c>
      <c r="H601" t="s">
        <v>37</v>
      </c>
      <c r="I601" s="13">
        <v>68000</v>
      </c>
      <c r="J601" s="13">
        <v>68000</v>
      </c>
      <c r="K601" s="13">
        <f>IF(J601&lt;'Mapa Oficinas'!$I$21,0,IF(J601&gt;'Mapa Oficinas'!$I$20,0,1))</f>
        <v>0</v>
      </c>
      <c r="L601" t="s">
        <v>23</v>
      </c>
      <c r="M601" t="s">
        <v>23</v>
      </c>
      <c r="N601" t="s">
        <v>6161</v>
      </c>
      <c r="O601" t="s">
        <v>1968</v>
      </c>
      <c r="P601" t="s">
        <v>34</v>
      </c>
      <c r="Q601">
        <v>2</v>
      </c>
      <c r="R601" t="s">
        <v>151</v>
      </c>
      <c r="S601" t="s">
        <v>28</v>
      </c>
      <c r="T601" t="str">
        <f>VLOOKUP(S601,'Mapa Oficinas'!$H$7:$I$16,2,FALSE)</f>
        <v>CB</v>
      </c>
      <c r="U601" t="s">
        <v>29</v>
      </c>
      <c r="V601" t="str">
        <f>VLOOKUP($R601,'Mapa Oficinas'!$A$7:$C$46,2,FALSE)</f>
        <v>Interior - Mendoza</v>
      </c>
      <c r="W601" t="str">
        <f>VLOOKUP($R601,'Mapa Oficinas'!$A$7:$C$46,3,FALSE)</f>
        <v>Capital Mendoza</v>
      </c>
    </row>
    <row r="602" spans="1:23" x14ac:dyDescent="0.2">
      <c r="A602" s="1">
        <v>46038</v>
      </c>
      <c r="B602" s="20">
        <f t="shared" si="18"/>
        <v>2026</v>
      </c>
      <c r="C602" s="20">
        <f t="shared" si="19"/>
        <v>1</v>
      </c>
      <c r="D602" t="s">
        <v>6273</v>
      </c>
      <c r="E602" s="49">
        <v>1</v>
      </c>
      <c r="F602" t="s">
        <v>6274</v>
      </c>
      <c r="G602" t="s">
        <v>21</v>
      </c>
      <c r="H602" t="s">
        <v>362</v>
      </c>
      <c r="I602" s="13">
        <v>68000</v>
      </c>
      <c r="J602" s="13">
        <v>68000</v>
      </c>
      <c r="K602" s="13">
        <f>IF(J602&lt;'Mapa Oficinas'!$I$21,0,IF(J602&gt;'Mapa Oficinas'!$I$20,0,1))</f>
        <v>0</v>
      </c>
      <c r="L602" t="s">
        <v>23</v>
      </c>
      <c r="M602" t="s">
        <v>23</v>
      </c>
      <c r="N602" t="s">
        <v>6275</v>
      </c>
      <c r="O602" t="s">
        <v>6276</v>
      </c>
      <c r="P602" t="s">
        <v>34</v>
      </c>
      <c r="Q602">
        <v>2</v>
      </c>
      <c r="R602" t="s">
        <v>130</v>
      </c>
      <c r="S602" t="s">
        <v>28</v>
      </c>
      <c r="T602" t="str">
        <f>VLOOKUP(S602,'Mapa Oficinas'!$H$7:$I$16,2,FALSE)</f>
        <v>CB</v>
      </c>
      <c r="U602" t="s">
        <v>29</v>
      </c>
      <c r="V602" t="str">
        <f>VLOOKUP($R602,'Mapa Oficinas'!$A$7:$C$46,2,FALSE)</f>
        <v>Interior - Neuquén</v>
      </c>
      <c r="W602" t="str">
        <f>VLOOKUP($R602,'Mapa Oficinas'!$A$7:$C$46,3,FALSE)</f>
        <v>San Martín de los Andes</v>
      </c>
    </row>
    <row r="603" spans="1:23" x14ac:dyDescent="0.2">
      <c r="A603" s="1">
        <v>45848</v>
      </c>
      <c r="B603" s="20">
        <f t="shared" si="18"/>
        <v>2025</v>
      </c>
      <c r="C603" s="20">
        <f t="shared" si="19"/>
        <v>7</v>
      </c>
      <c r="D603" t="s">
        <v>2952</v>
      </c>
      <c r="E603" s="49">
        <v>1</v>
      </c>
      <c r="F603" t="s">
        <v>2953</v>
      </c>
      <c r="G603" t="s">
        <v>21</v>
      </c>
      <c r="H603" t="s">
        <v>37</v>
      </c>
      <c r="I603" s="13">
        <v>79000</v>
      </c>
      <c r="J603" s="13">
        <v>68500</v>
      </c>
      <c r="K603" s="13">
        <f>IF(J603&lt;'Mapa Oficinas'!$I$21,0,IF(J603&gt;'Mapa Oficinas'!$I$20,0,1))</f>
        <v>0</v>
      </c>
      <c r="L603" t="s">
        <v>23</v>
      </c>
      <c r="M603" t="s">
        <v>23</v>
      </c>
      <c r="N603" t="s">
        <v>2954</v>
      </c>
      <c r="O603" t="s">
        <v>804</v>
      </c>
      <c r="P603" t="s">
        <v>45</v>
      </c>
      <c r="Q603">
        <v>2</v>
      </c>
      <c r="R603" t="s">
        <v>135</v>
      </c>
      <c r="S603" t="s">
        <v>28</v>
      </c>
      <c r="T603" t="str">
        <f>VLOOKUP(S603,'Mapa Oficinas'!$H$7:$I$16,2,FALSE)</f>
        <v>CB</v>
      </c>
      <c r="U603" t="s">
        <v>29</v>
      </c>
      <c r="V603" t="str">
        <f>VLOOKUP($R603,'Mapa Oficinas'!$A$7:$C$46,2,FALSE)</f>
        <v>CABA</v>
      </c>
      <c r="W603" t="str">
        <f>VLOOKUP($R603,'Mapa Oficinas'!$A$7:$C$46,3,FALSE)</f>
        <v>Recoleta</v>
      </c>
    </row>
    <row r="604" spans="1:23" x14ac:dyDescent="0.2">
      <c r="A604" s="1">
        <v>45860</v>
      </c>
      <c r="B604" s="20">
        <f t="shared" si="18"/>
        <v>2025</v>
      </c>
      <c r="C604" s="20">
        <f t="shared" si="19"/>
        <v>7</v>
      </c>
      <c r="D604" t="s">
        <v>3146</v>
      </c>
      <c r="E604" s="49">
        <v>1</v>
      </c>
      <c r="F604" t="s">
        <v>45</v>
      </c>
      <c r="G604" t="s">
        <v>21</v>
      </c>
      <c r="H604" t="s">
        <v>37</v>
      </c>
      <c r="I604" s="13">
        <v>72000</v>
      </c>
      <c r="J604" s="13">
        <v>69000</v>
      </c>
      <c r="K604" s="13">
        <f>IF(J604&lt;'Mapa Oficinas'!$I$21,0,IF(J604&gt;'Mapa Oficinas'!$I$20,0,1))</f>
        <v>0</v>
      </c>
      <c r="L604" t="s">
        <v>23</v>
      </c>
      <c r="M604" t="s">
        <v>23</v>
      </c>
      <c r="N604" t="s">
        <v>3147</v>
      </c>
      <c r="O604" t="s">
        <v>223</v>
      </c>
      <c r="P604" t="s">
        <v>45</v>
      </c>
      <c r="Q604">
        <v>1</v>
      </c>
      <c r="R604" t="s">
        <v>167</v>
      </c>
      <c r="S604" t="s">
        <v>122</v>
      </c>
      <c r="T604" t="str">
        <f>VLOOKUP(S604,'Mapa Oficinas'!$H$7:$I$16,2,FALSE)</f>
        <v>Otra Red Búsqueda</v>
      </c>
      <c r="U604" t="s">
        <v>29</v>
      </c>
      <c r="V604" t="str">
        <f>VLOOKUP($R604,'Mapa Oficinas'!$A$7:$C$46,2,FALSE)</f>
        <v>Interior - Santa Fe</v>
      </c>
      <c r="W604" t="str">
        <f>VLOOKUP($R604,'Mapa Oficinas'!$A$7:$C$46,3,FALSE)</f>
        <v>Capital Santa Fe</v>
      </c>
    </row>
    <row r="605" spans="1:23" x14ac:dyDescent="0.2">
      <c r="A605" s="1">
        <v>45975</v>
      </c>
      <c r="B605" s="20">
        <f t="shared" si="18"/>
        <v>2025</v>
      </c>
      <c r="C605" s="20">
        <f t="shared" si="19"/>
        <v>11</v>
      </c>
      <c r="D605" t="s">
        <v>5227</v>
      </c>
      <c r="E605" s="49">
        <v>1</v>
      </c>
      <c r="F605" t="s">
        <v>5228</v>
      </c>
      <c r="G605" t="s">
        <v>21</v>
      </c>
      <c r="H605" t="s">
        <v>81</v>
      </c>
      <c r="I605" s="13">
        <v>73000</v>
      </c>
      <c r="J605" s="13">
        <v>69000</v>
      </c>
      <c r="K605" s="13">
        <f>IF(J605&lt;'Mapa Oficinas'!$I$21,0,IF(J605&gt;'Mapa Oficinas'!$I$20,0,1))</f>
        <v>0</v>
      </c>
      <c r="L605" t="s">
        <v>23</v>
      </c>
      <c r="M605" t="s">
        <v>23</v>
      </c>
      <c r="N605" t="s">
        <v>5229</v>
      </c>
      <c r="O605" t="s">
        <v>1595</v>
      </c>
      <c r="P605" t="s">
        <v>45</v>
      </c>
      <c r="Q605">
        <v>1</v>
      </c>
      <c r="R605" t="s">
        <v>167</v>
      </c>
      <c r="S605" t="s">
        <v>122</v>
      </c>
      <c r="T605" t="str">
        <f>VLOOKUP(S605,'Mapa Oficinas'!$H$7:$I$16,2,FALSE)</f>
        <v>Otra Red Búsqueda</v>
      </c>
      <c r="U605" t="s">
        <v>29</v>
      </c>
      <c r="V605" t="str">
        <f>VLOOKUP($R605,'Mapa Oficinas'!$A$7:$C$46,2,FALSE)</f>
        <v>Interior - Santa Fe</v>
      </c>
      <c r="W605" t="str">
        <f>VLOOKUP($R605,'Mapa Oficinas'!$A$7:$C$46,3,FALSE)</f>
        <v>Capital Santa Fe</v>
      </c>
    </row>
    <row r="606" spans="1:23" x14ac:dyDescent="0.2">
      <c r="A606" s="1">
        <v>46093</v>
      </c>
      <c r="B606" s="20">
        <f t="shared" si="18"/>
        <v>2026</v>
      </c>
      <c r="C606" s="20">
        <f t="shared" si="19"/>
        <v>3</v>
      </c>
      <c r="D606" t="s">
        <v>7130</v>
      </c>
      <c r="E606" s="49">
        <v>1</v>
      </c>
      <c r="F606" t="s">
        <v>7131</v>
      </c>
      <c r="G606" t="s">
        <v>21</v>
      </c>
      <c r="H606" t="s">
        <v>37</v>
      </c>
      <c r="I606" s="13">
        <v>69800</v>
      </c>
      <c r="J606" s="13">
        <v>69000</v>
      </c>
      <c r="K606" s="13">
        <f>IF(J606&lt;'Mapa Oficinas'!$I$21,0,IF(J606&gt;'Mapa Oficinas'!$I$20,0,1))</f>
        <v>0</v>
      </c>
      <c r="L606" t="s">
        <v>23</v>
      </c>
      <c r="M606" t="s">
        <v>23</v>
      </c>
      <c r="N606" t="s">
        <v>7132</v>
      </c>
      <c r="O606" t="s">
        <v>105</v>
      </c>
      <c r="P606" t="s">
        <v>45</v>
      </c>
      <c r="Q606">
        <v>2</v>
      </c>
      <c r="R606" t="s">
        <v>429</v>
      </c>
      <c r="S606" t="s">
        <v>200</v>
      </c>
      <c r="T606" t="str">
        <f>VLOOKUP(S606,'Mapa Oficinas'!$H$7:$I$16,2,FALSE)</f>
        <v>Otra Red Captación</v>
      </c>
      <c r="U606" t="s">
        <v>29</v>
      </c>
      <c r="V606" t="str">
        <f>VLOOKUP($R606,'Mapa Oficinas'!$A$7:$C$46,2,FALSE)</f>
        <v>Zona Oeste (GBA)</v>
      </c>
      <c r="W606" t="str">
        <f>VLOOKUP($R606,'Mapa Oficinas'!$A$7:$C$46,3,FALSE)</f>
        <v>Parque Leloir</v>
      </c>
    </row>
    <row r="607" spans="1:23" x14ac:dyDescent="0.2">
      <c r="A607" s="1">
        <v>45729</v>
      </c>
      <c r="B607" s="20">
        <f t="shared" si="18"/>
        <v>2025</v>
      </c>
      <c r="C607" s="20">
        <f t="shared" si="19"/>
        <v>3</v>
      </c>
      <c r="D607" t="s">
        <v>933</v>
      </c>
      <c r="E607" s="49">
        <v>1</v>
      </c>
      <c r="F607" t="s">
        <v>934</v>
      </c>
      <c r="G607" t="s">
        <v>21</v>
      </c>
      <c r="H607" t="s">
        <v>37</v>
      </c>
      <c r="I607" s="13">
        <v>69000</v>
      </c>
      <c r="J607" s="13">
        <v>69000</v>
      </c>
      <c r="K607" s="13">
        <f>IF(J607&lt;'Mapa Oficinas'!$I$21,0,IF(J607&gt;'Mapa Oficinas'!$I$20,0,1))</f>
        <v>0</v>
      </c>
      <c r="L607" t="s">
        <v>23</v>
      </c>
      <c r="M607" t="s">
        <v>23</v>
      </c>
      <c r="N607" t="s">
        <v>935</v>
      </c>
      <c r="O607" t="s">
        <v>92</v>
      </c>
      <c r="P607" t="s">
        <v>45</v>
      </c>
      <c r="Q607">
        <v>2</v>
      </c>
      <c r="R607" t="s">
        <v>429</v>
      </c>
      <c r="S607" t="s">
        <v>28</v>
      </c>
      <c r="T607" t="str">
        <f>VLOOKUP(S607,'Mapa Oficinas'!$H$7:$I$16,2,FALSE)</f>
        <v>CB</v>
      </c>
      <c r="U607" t="s">
        <v>29</v>
      </c>
      <c r="V607" t="str">
        <f>VLOOKUP($R607,'Mapa Oficinas'!$A$7:$C$46,2,FALSE)</f>
        <v>Zona Oeste (GBA)</v>
      </c>
      <c r="W607" t="str">
        <f>VLOOKUP($R607,'Mapa Oficinas'!$A$7:$C$46,3,FALSE)</f>
        <v>Parque Leloir</v>
      </c>
    </row>
    <row r="608" spans="1:23" x14ac:dyDescent="0.2">
      <c r="A608" s="1">
        <v>45842</v>
      </c>
      <c r="B608" s="20">
        <f t="shared" si="18"/>
        <v>2025</v>
      </c>
      <c r="C608" s="20">
        <f t="shared" si="19"/>
        <v>7</v>
      </c>
      <c r="D608" t="s">
        <v>2874</v>
      </c>
      <c r="E608" s="49">
        <v>1</v>
      </c>
      <c r="F608" t="s">
        <v>2875</v>
      </c>
      <c r="G608" t="s">
        <v>21</v>
      </c>
      <c r="H608" t="s">
        <v>37</v>
      </c>
      <c r="I608" s="13">
        <v>77000</v>
      </c>
      <c r="J608" s="13">
        <v>69000</v>
      </c>
      <c r="K608" s="13">
        <f>IF(J608&lt;'Mapa Oficinas'!$I$21,0,IF(J608&gt;'Mapa Oficinas'!$I$20,0,1))</f>
        <v>0</v>
      </c>
      <c r="L608" t="s">
        <v>23</v>
      </c>
      <c r="M608" t="s">
        <v>23</v>
      </c>
      <c r="N608" t="s">
        <v>2876</v>
      </c>
      <c r="O608" t="s">
        <v>92</v>
      </c>
      <c r="P608" t="s">
        <v>45</v>
      </c>
      <c r="Q608">
        <v>2</v>
      </c>
      <c r="R608" t="s">
        <v>429</v>
      </c>
      <c r="S608" t="s">
        <v>28</v>
      </c>
      <c r="T608" t="str">
        <f>VLOOKUP(S608,'Mapa Oficinas'!$H$7:$I$16,2,FALSE)</f>
        <v>CB</v>
      </c>
      <c r="U608" t="s">
        <v>29</v>
      </c>
      <c r="V608" t="str">
        <f>VLOOKUP($R608,'Mapa Oficinas'!$A$7:$C$46,2,FALSE)</f>
        <v>Zona Oeste (GBA)</v>
      </c>
      <c r="W608" t="str">
        <f>VLOOKUP($R608,'Mapa Oficinas'!$A$7:$C$46,3,FALSE)</f>
        <v>Parque Leloir</v>
      </c>
    </row>
    <row r="609" spans="1:23" x14ac:dyDescent="0.2">
      <c r="A609" s="1">
        <v>45915</v>
      </c>
      <c r="B609" s="20">
        <f t="shared" si="18"/>
        <v>2025</v>
      </c>
      <c r="C609" s="20">
        <f t="shared" si="19"/>
        <v>9</v>
      </c>
      <c r="D609" t="s">
        <v>4138</v>
      </c>
      <c r="E609" s="49">
        <v>1</v>
      </c>
      <c r="F609" t="s">
        <v>4139</v>
      </c>
      <c r="G609" t="s">
        <v>21</v>
      </c>
      <c r="H609" t="s">
        <v>37</v>
      </c>
      <c r="I609" s="13">
        <v>69000</v>
      </c>
      <c r="J609" s="13">
        <v>69000</v>
      </c>
      <c r="K609" s="13">
        <f>IF(J609&lt;'Mapa Oficinas'!$I$21,0,IF(J609&gt;'Mapa Oficinas'!$I$20,0,1))</f>
        <v>0</v>
      </c>
      <c r="L609" t="s">
        <v>23</v>
      </c>
      <c r="M609" t="s">
        <v>23</v>
      </c>
      <c r="N609" t="s">
        <v>4140</v>
      </c>
      <c r="O609" t="s">
        <v>436</v>
      </c>
      <c r="P609" t="s">
        <v>45</v>
      </c>
      <c r="Q609">
        <v>2</v>
      </c>
      <c r="R609" t="s">
        <v>183</v>
      </c>
      <c r="S609" t="s">
        <v>28</v>
      </c>
      <c r="T609" t="str">
        <f>VLOOKUP(S609,'Mapa Oficinas'!$H$7:$I$16,2,FALSE)</f>
        <v>CB</v>
      </c>
      <c r="U609" t="s">
        <v>29</v>
      </c>
      <c r="V609" t="str">
        <f>VLOOKUP($R609,'Mapa Oficinas'!$A$7:$C$46,2,FALSE)</f>
        <v>Interior - Neuquén</v>
      </c>
      <c r="W609" t="str">
        <f>VLOOKUP($R609,'Mapa Oficinas'!$A$7:$C$46,3,FALSE)</f>
        <v>Capital Neuquén</v>
      </c>
    </row>
    <row r="610" spans="1:23" x14ac:dyDescent="0.2">
      <c r="A610" s="1">
        <v>45993</v>
      </c>
      <c r="B610" s="20">
        <f t="shared" si="18"/>
        <v>2025</v>
      </c>
      <c r="C610" s="20">
        <f t="shared" si="19"/>
        <v>12</v>
      </c>
      <c r="D610" t="s">
        <v>5585</v>
      </c>
      <c r="E610" s="49">
        <v>1</v>
      </c>
      <c r="F610" t="s">
        <v>5586</v>
      </c>
      <c r="G610" t="s">
        <v>21</v>
      </c>
      <c r="H610" t="s">
        <v>37</v>
      </c>
      <c r="I610" s="13">
        <v>82000</v>
      </c>
      <c r="J610" s="13">
        <v>69000</v>
      </c>
      <c r="K610" s="13">
        <f>IF(J610&lt;'Mapa Oficinas'!$I$21,0,IF(J610&gt;'Mapa Oficinas'!$I$20,0,1))</f>
        <v>0</v>
      </c>
      <c r="L610" t="s">
        <v>23</v>
      </c>
      <c r="M610" t="s">
        <v>23</v>
      </c>
      <c r="N610" t="s">
        <v>5587</v>
      </c>
      <c r="O610" t="s">
        <v>2841</v>
      </c>
      <c r="P610" t="s">
        <v>45</v>
      </c>
      <c r="Q610">
        <v>2</v>
      </c>
      <c r="R610" t="s">
        <v>151</v>
      </c>
      <c r="S610" t="s">
        <v>28</v>
      </c>
      <c r="T610" t="str">
        <f>VLOOKUP(S610,'Mapa Oficinas'!$H$7:$I$16,2,FALSE)</f>
        <v>CB</v>
      </c>
      <c r="U610" t="s">
        <v>29</v>
      </c>
      <c r="V610" t="str">
        <f>VLOOKUP($R610,'Mapa Oficinas'!$A$7:$C$46,2,FALSE)</f>
        <v>Interior - Mendoza</v>
      </c>
      <c r="W610" t="str">
        <f>VLOOKUP($R610,'Mapa Oficinas'!$A$7:$C$46,3,FALSE)</f>
        <v>Capital Mendoza</v>
      </c>
    </row>
    <row r="611" spans="1:23" x14ac:dyDescent="0.2">
      <c r="A611" s="1">
        <v>46094</v>
      </c>
      <c r="B611" s="20">
        <f t="shared" si="18"/>
        <v>2026</v>
      </c>
      <c r="C611" s="20">
        <f t="shared" si="19"/>
        <v>3</v>
      </c>
      <c r="D611" t="s">
        <v>7159</v>
      </c>
      <c r="E611" s="49">
        <v>1</v>
      </c>
      <c r="F611" t="s">
        <v>7160</v>
      </c>
      <c r="G611" t="s">
        <v>21</v>
      </c>
      <c r="H611" t="s">
        <v>81</v>
      </c>
      <c r="I611" s="13">
        <v>70000</v>
      </c>
      <c r="J611" s="13">
        <v>69200</v>
      </c>
      <c r="K611" s="13">
        <f>IF(J611&lt;'Mapa Oficinas'!$I$21,0,IF(J611&gt;'Mapa Oficinas'!$I$20,0,1))</f>
        <v>0</v>
      </c>
      <c r="L611" t="s">
        <v>23</v>
      </c>
      <c r="M611" t="s">
        <v>23</v>
      </c>
      <c r="O611" t="s">
        <v>1194</v>
      </c>
      <c r="P611" t="s">
        <v>34</v>
      </c>
      <c r="Q611">
        <v>1</v>
      </c>
      <c r="R611" t="s">
        <v>183</v>
      </c>
      <c r="S611" t="s">
        <v>122</v>
      </c>
      <c r="T611" t="str">
        <f>VLOOKUP(S611,'Mapa Oficinas'!$H$7:$I$16,2,FALSE)</f>
        <v>Otra Red Búsqueda</v>
      </c>
      <c r="U611" t="s">
        <v>29</v>
      </c>
      <c r="V611" t="str">
        <f>VLOOKUP($R611,'Mapa Oficinas'!$A$7:$C$46,2,FALSE)</f>
        <v>Interior - Neuquén</v>
      </c>
      <c r="W611" t="str">
        <f>VLOOKUP($R611,'Mapa Oficinas'!$A$7:$C$46,3,FALSE)</f>
        <v>Capital Neuquén</v>
      </c>
    </row>
    <row r="612" spans="1:23" x14ac:dyDescent="0.2">
      <c r="A612" s="1">
        <v>45989</v>
      </c>
      <c r="B612" s="20">
        <f t="shared" si="18"/>
        <v>2025</v>
      </c>
      <c r="C612" s="20">
        <f t="shared" si="19"/>
        <v>11</v>
      </c>
      <c r="D612" t="s">
        <v>5410</v>
      </c>
      <c r="E612" s="49">
        <v>1</v>
      </c>
      <c r="F612" t="s">
        <v>5411</v>
      </c>
      <c r="G612" t="s">
        <v>21</v>
      </c>
      <c r="H612" t="s">
        <v>37</v>
      </c>
      <c r="I612" s="13">
        <v>69400</v>
      </c>
      <c r="J612" s="13">
        <v>69400</v>
      </c>
      <c r="K612" s="13">
        <f>IF(J612&lt;'Mapa Oficinas'!$I$21,0,IF(J612&gt;'Mapa Oficinas'!$I$20,0,1))</f>
        <v>0</v>
      </c>
      <c r="L612" t="s">
        <v>23</v>
      </c>
      <c r="M612" t="s">
        <v>23</v>
      </c>
      <c r="N612" t="s">
        <v>5412</v>
      </c>
      <c r="O612" t="s">
        <v>236</v>
      </c>
      <c r="P612" t="s">
        <v>45</v>
      </c>
      <c r="Q612">
        <v>2</v>
      </c>
      <c r="R612" t="s">
        <v>40</v>
      </c>
      <c r="S612" t="s">
        <v>28</v>
      </c>
      <c r="T612" t="str">
        <f>VLOOKUP(S612,'Mapa Oficinas'!$H$7:$I$16,2,FALSE)</f>
        <v>CB</v>
      </c>
      <c r="U612" t="s">
        <v>29</v>
      </c>
      <c r="V612" t="str">
        <f>VLOOKUP($R612,'Mapa Oficinas'!$A$7:$C$46,2,FALSE)</f>
        <v>CABA</v>
      </c>
      <c r="W612" t="str">
        <f>VLOOKUP($R612,'Mapa Oficinas'!$A$7:$C$46,3,FALSE)</f>
        <v>Núñez</v>
      </c>
    </row>
    <row r="613" spans="1:23" x14ac:dyDescent="0.2">
      <c r="A613" s="1">
        <v>45806</v>
      </c>
      <c r="B613" s="20">
        <f t="shared" si="18"/>
        <v>2025</v>
      </c>
      <c r="C613" s="20">
        <f t="shared" si="19"/>
        <v>5</v>
      </c>
      <c r="D613" t="s">
        <v>2188</v>
      </c>
      <c r="E613" s="49">
        <v>1</v>
      </c>
      <c r="F613" t="s">
        <v>2189</v>
      </c>
      <c r="G613" t="s">
        <v>21</v>
      </c>
      <c r="H613" t="s">
        <v>37</v>
      </c>
      <c r="I613" s="13">
        <v>75000</v>
      </c>
      <c r="J613" s="13">
        <v>69500</v>
      </c>
      <c r="K613" s="13">
        <f>IF(J613&lt;'Mapa Oficinas'!$I$21,0,IF(J613&gt;'Mapa Oficinas'!$I$20,0,1))</f>
        <v>0</v>
      </c>
      <c r="L613" t="s">
        <v>23</v>
      </c>
      <c r="M613" t="s">
        <v>23</v>
      </c>
      <c r="N613" t="s">
        <v>2190</v>
      </c>
      <c r="O613" t="s">
        <v>380</v>
      </c>
      <c r="P613" t="s">
        <v>45</v>
      </c>
      <c r="Q613">
        <v>2</v>
      </c>
      <c r="R613" t="s">
        <v>1024</v>
      </c>
      <c r="S613" t="s">
        <v>28</v>
      </c>
      <c r="T613" t="str">
        <f>VLOOKUP(S613,'Mapa Oficinas'!$H$7:$I$16,2,FALSE)</f>
        <v>CB</v>
      </c>
      <c r="U613" t="s">
        <v>29</v>
      </c>
      <c r="V613" t="str">
        <f>VLOOKUP($R613,'Mapa Oficinas'!$A$7:$C$46,2,FALSE)</f>
        <v>CABA</v>
      </c>
      <c r="W613" t="str">
        <f>VLOOKUP($R613,'Mapa Oficinas'!$A$7:$C$46,3,FALSE)</f>
        <v>Puerto Madero</v>
      </c>
    </row>
    <row r="614" spans="1:23" x14ac:dyDescent="0.2">
      <c r="A614" s="1">
        <v>45986</v>
      </c>
      <c r="B614" s="20">
        <f t="shared" si="18"/>
        <v>2025</v>
      </c>
      <c r="C614" s="20">
        <f t="shared" si="19"/>
        <v>11</v>
      </c>
      <c r="D614">
        <v>25112025</v>
      </c>
      <c r="E614" s="49">
        <v>1</v>
      </c>
      <c r="F614" t="s">
        <v>5364</v>
      </c>
      <c r="G614" t="s">
        <v>21</v>
      </c>
      <c r="H614" t="s">
        <v>100</v>
      </c>
      <c r="I614" s="13">
        <v>70000</v>
      </c>
      <c r="J614" s="13">
        <v>70000</v>
      </c>
      <c r="K614" s="13">
        <f>IF(J614&lt;'Mapa Oficinas'!$I$21,0,IF(J614&gt;'Mapa Oficinas'!$I$20,0,1))</f>
        <v>1</v>
      </c>
      <c r="L614" t="s">
        <v>23</v>
      </c>
      <c r="M614" t="s">
        <v>23</v>
      </c>
      <c r="O614" t="s">
        <v>120</v>
      </c>
      <c r="P614" t="s">
        <v>45</v>
      </c>
      <c r="Q614">
        <v>1</v>
      </c>
      <c r="R614" t="s">
        <v>121</v>
      </c>
      <c r="S614" t="s">
        <v>122</v>
      </c>
      <c r="T614" t="str">
        <f>VLOOKUP(S614,'Mapa Oficinas'!$H$7:$I$16,2,FALSE)</f>
        <v>Otra Red Búsqueda</v>
      </c>
      <c r="U614" t="s">
        <v>29</v>
      </c>
      <c r="V614" t="str">
        <f>VLOOKUP($R614,'Mapa Oficinas'!$A$7:$C$46,2,FALSE)</f>
        <v>Interior - Río Negro</v>
      </c>
      <c r="W614" t="str">
        <f>VLOOKUP($R614,'Mapa Oficinas'!$A$7:$C$46,3,FALSE)</f>
        <v>Bariloche</v>
      </c>
    </row>
    <row r="615" spans="1:23" x14ac:dyDescent="0.2">
      <c r="A615" s="1">
        <v>45992</v>
      </c>
      <c r="B615" s="20">
        <f t="shared" si="18"/>
        <v>2025</v>
      </c>
      <c r="C615" s="20">
        <f t="shared" si="19"/>
        <v>12</v>
      </c>
      <c r="D615" t="s">
        <v>5512</v>
      </c>
      <c r="E615" s="49">
        <v>1</v>
      </c>
      <c r="F615" t="s">
        <v>5513</v>
      </c>
      <c r="G615" t="s">
        <v>21</v>
      </c>
      <c r="H615" t="s">
        <v>37</v>
      </c>
      <c r="I615" s="13">
        <v>83000</v>
      </c>
      <c r="J615" s="13">
        <v>70000</v>
      </c>
      <c r="K615" s="13">
        <f>IF(J615&lt;'Mapa Oficinas'!$I$21,0,IF(J615&gt;'Mapa Oficinas'!$I$20,0,1))</f>
        <v>1</v>
      </c>
      <c r="L615" t="s">
        <v>23</v>
      </c>
      <c r="M615" t="s">
        <v>23</v>
      </c>
      <c r="N615" t="s">
        <v>5514</v>
      </c>
      <c r="O615" t="s">
        <v>5495</v>
      </c>
      <c r="P615" t="s">
        <v>34</v>
      </c>
      <c r="Q615">
        <v>1</v>
      </c>
      <c r="R615" t="s">
        <v>103</v>
      </c>
      <c r="S615" t="s">
        <v>152</v>
      </c>
      <c r="T615" t="str">
        <f>VLOOKUP(S615,'Mapa Oficinas'!$H$7:$I$16,2,FALSE)</f>
        <v>Otra Red Captación</v>
      </c>
      <c r="U615" t="s">
        <v>29</v>
      </c>
      <c r="V615" t="str">
        <f>VLOOKUP($R615,'Mapa Oficinas'!$A$7:$C$46,2,FALSE)</f>
        <v>Zona Sur (GBA)</v>
      </c>
      <c r="W615" t="str">
        <f>VLOOKUP($R615,'Mapa Oficinas'!$A$7:$C$46,3,FALSE)</f>
        <v>La Plata</v>
      </c>
    </row>
    <row r="616" spans="1:23" x14ac:dyDescent="0.2">
      <c r="A616" s="1">
        <v>46014</v>
      </c>
      <c r="B616" s="20">
        <f t="shared" si="18"/>
        <v>2025</v>
      </c>
      <c r="C616" s="20">
        <f t="shared" si="19"/>
        <v>12</v>
      </c>
      <c r="D616" t="s">
        <v>5969</v>
      </c>
      <c r="E616" s="49">
        <v>1</v>
      </c>
      <c r="F616" t="s">
        <v>5970</v>
      </c>
      <c r="G616" t="s">
        <v>21</v>
      </c>
      <c r="H616" t="s">
        <v>81</v>
      </c>
      <c r="I616" s="13">
        <v>70000</v>
      </c>
      <c r="J616" s="13">
        <v>70000</v>
      </c>
      <c r="K616" s="13">
        <f>IF(J616&lt;'Mapa Oficinas'!$I$21,0,IF(J616&gt;'Mapa Oficinas'!$I$20,0,1))</f>
        <v>1</v>
      </c>
      <c r="L616" t="s">
        <v>23</v>
      </c>
      <c r="M616" t="s">
        <v>23</v>
      </c>
      <c r="N616" t="s">
        <v>5971</v>
      </c>
      <c r="O616" t="s">
        <v>5972</v>
      </c>
      <c r="P616" t="s">
        <v>34</v>
      </c>
      <c r="Q616">
        <v>2</v>
      </c>
      <c r="R616" t="s">
        <v>183</v>
      </c>
      <c r="S616" t="s">
        <v>79</v>
      </c>
      <c r="T616" t="str">
        <f>VLOOKUP(S616,'Mapa Oficinas'!$H$7:$I$16,2,FALSE)</f>
        <v>CB</v>
      </c>
      <c r="U616" t="s">
        <v>29</v>
      </c>
      <c r="V616" t="str">
        <f>VLOOKUP($R616,'Mapa Oficinas'!$A$7:$C$46,2,FALSE)</f>
        <v>Interior - Neuquén</v>
      </c>
      <c r="W616" t="str">
        <f>VLOOKUP($R616,'Mapa Oficinas'!$A$7:$C$46,3,FALSE)</f>
        <v>Capital Neuquén</v>
      </c>
    </row>
    <row r="617" spans="1:23" x14ac:dyDescent="0.2">
      <c r="A617" s="1">
        <v>46038</v>
      </c>
      <c r="B617" s="20">
        <f t="shared" si="18"/>
        <v>2026</v>
      </c>
      <c r="C617" s="20">
        <f t="shared" si="19"/>
        <v>1</v>
      </c>
      <c r="D617" t="s">
        <v>6277</v>
      </c>
      <c r="E617" s="49">
        <v>1</v>
      </c>
      <c r="F617" t="s">
        <v>6278</v>
      </c>
      <c r="G617" t="s">
        <v>21</v>
      </c>
      <c r="H617" t="s">
        <v>81</v>
      </c>
      <c r="I617" s="13">
        <v>85000</v>
      </c>
      <c r="J617" s="13">
        <v>70000</v>
      </c>
      <c r="K617" s="13">
        <f>IF(J617&lt;'Mapa Oficinas'!$I$21,0,IF(J617&gt;'Mapa Oficinas'!$I$20,0,1))</f>
        <v>1</v>
      </c>
      <c r="L617" t="s">
        <v>23</v>
      </c>
      <c r="M617" t="s">
        <v>23</v>
      </c>
      <c r="N617" t="s">
        <v>6279</v>
      </c>
      <c r="O617" t="s">
        <v>6280</v>
      </c>
      <c r="P617" t="s">
        <v>26</v>
      </c>
      <c r="Q617">
        <v>2</v>
      </c>
      <c r="R617" t="s">
        <v>482</v>
      </c>
      <c r="S617" t="s">
        <v>79</v>
      </c>
      <c r="T617" t="str">
        <f>VLOOKUP(S617,'Mapa Oficinas'!$H$7:$I$16,2,FALSE)</f>
        <v>CB</v>
      </c>
      <c r="U617" t="s">
        <v>29</v>
      </c>
      <c r="V617" t="str">
        <f>VLOOKUP($R617,'Mapa Oficinas'!$A$7:$C$46,2,FALSE)</f>
        <v>Interior - Jujuy</v>
      </c>
      <c r="W617" t="str">
        <f>VLOOKUP($R617,'Mapa Oficinas'!$A$7:$C$46,3,FALSE)</f>
        <v>Capital Jujuy</v>
      </c>
    </row>
    <row r="618" spans="1:23" x14ac:dyDescent="0.2">
      <c r="A618" s="1">
        <v>46066</v>
      </c>
      <c r="B618" s="20">
        <f t="shared" si="18"/>
        <v>2026</v>
      </c>
      <c r="C618" s="20">
        <f t="shared" si="19"/>
        <v>2</v>
      </c>
      <c r="D618" t="s">
        <v>6704</v>
      </c>
      <c r="E618" s="49">
        <v>1</v>
      </c>
      <c r="F618" t="s">
        <v>6705</v>
      </c>
      <c r="G618" t="s">
        <v>21</v>
      </c>
      <c r="H618" t="s">
        <v>81</v>
      </c>
      <c r="I618" s="13">
        <v>87000</v>
      </c>
      <c r="J618" s="13">
        <v>70000</v>
      </c>
      <c r="K618" s="13">
        <f>IF(J618&lt;'Mapa Oficinas'!$I$21,0,IF(J618&gt;'Mapa Oficinas'!$I$20,0,1))</f>
        <v>1</v>
      </c>
      <c r="L618" t="s">
        <v>23</v>
      </c>
      <c r="M618" t="s">
        <v>23</v>
      </c>
      <c r="N618" t="s">
        <v>6706</v>
      </c>
      <c r="O618" t="s">
        <v>3270</v>
      </c>
      <c r="P618" t="s">
        <v>34</v>
      </c>
      <c r="Q618">
        <v>2</v>
      </c>
      <c r="R618" t="s">
        <v>167</v>
      </c>
      <c r="S618" t="s">
        <v>79</v>
      </c>
      <c r="T618" t="str">
        <f>VLOOKUP(S618,'Mapa Oficinas'!$H$7:$I$16,2,FALSE)</f>
        <v>CB</v>
      </c>
      <c r="U618" t="s">
        <v>29</v>
      </c>
      <c r="V618" t="str">
        <f>VLOOKUP($R618,'Mapa Oficinas'!$A$7:$C$46,2,FALSE)</f>
        <v>Interior - Santa Fe</v>
      </c>
      <c r="W618" t="str">
        <f>VLOOKUP($R618,'Mapa Oficinas'!$A$7:$C$46,3,FALSE)</f>
        <v>Capital Santa Fe</v>
      </c>
    </row>
    <row r="619" spans="1:23" x14ac:dyDescent="0.2">
      <c r="A619" s="1">
        <v>46094</v>
      </c>
      <c r="B619" s="20">
        <f t="shared" si="18"/>
        <v>2026</v>
      </c>
      <c r="C619" s="20">
        <f t="shared" si="19"/>
        <v>3</v>
      </c>
      <c r="D619" t="s">
        <v>7161</v>
      </c>
      <c r="E619" s="49">
        <v>1</v>
      </c>
      <c r="F619" t="s">
        <v>7162</v>
      </c>
      <c r="G619" t="s">
        <v>21</v>
      </c>
      <c r="H619" t="s">
        <v>81</v>
      </c>
      <c r="I619" s="13">
        <v>75000</v>
      </c>
      <c r="J619" s="13">
        <v>70000</v>
      </c>
      <c r="K619" s="13">
        <f>IF(J619&lt;'Mapa Oficinas'!$I$21,0,IF(J619&gt;'Mapa Oficinas'!$I$20,0,1))</f>
        <v>1</v>
      </c>
      <c r="L619" t="s">
        <v>23</v>
      </c>
      <c r="M619" t="s">
        <v>23</v>
      </c>
      <c r="N619" t="s">
        <v>7163</v>
      </c>
      <c r="O619" t="s">
        <v>3638</v>
      </c>
      <c r="P619" t="s">
        <v>34</v>
      </c>
      <c r="Q619">
        <v>2</v>
      </c>
      <c r="R619" t="s">
        <v>167</v>
      </c>
      <c r="S619" t="s">
        <v>79</v>
      </c>
      <c r="T619" t="str">
        <f>VLOOKUP(S619,'Mapa Oficinas'!$H$7:$I$16,2,FALSE)</f>
        <v>CB</v>
      </c>
      <c r="U619" t="s">
        <v>29</v>
      </c>
      <c r="V619" t="str">
        <f>VLOOKUP($R619,'Mapa Oficinas'!$A$7:$C$46,2,FALSE)</f>
        <v>Interior - Santa Fe</v>
      </c>
      <c r="W619" t="str">
        <f>VLOOKUP($R619,'Mapa Oficinas'!$A$7:$C$46,3,FALSE)</f>
        <v>Capital Santa Fe</v>
      </c>
    </row>
    <row r="620" spans="1:23" x14ac:dyDescent="0.2">
      <c r="A620" s="1">
        <v>46095</v>
      </c>
      <c r="B620" s="20">
        <f t="shared" si="18"/>
        <v>2026</v>
      </c>
      <c r="C620" s="20">
        <f t="shared" si="19"/>
        <v>3</v>
      </c>
      <c r="D620" t="s">
        <v>7180</v>
      </c>
      <c r="E620" s="49">
        <v>1</v>
      </c>
      <c r="F620" t="s">
        <v>7181</v>
      </c>
      <c r="G620" t="s">
        <v>21</v>
      </c>
      <c r="H620" t="s">
        <v>76</v>
      </c>
      <c r="I620" s="13">
        <v>70000</v>
      </c>
      <c r="J620" s="13">
        <v>70000</v>
      </c>
      <c r="K620" s="13">
        <f>IF(J620&lt;'Mapa Oficinas'!$I$21,0,IF(J620&gt;'Mapa Oficinas'!$I$20,0,1))</f>
        <v>1</v>
      </c>
      <c r="L620" t="s">
        <v>23</v>
      </c>
      <c r="M620" t="s">
        <v>23</v>
      </c>
      <c r="N620" t="s">
        <v>7182</v>
      </c>
      <c r="O620" t="s">
        <v>7183</v>
      </c>
      <c r="P620" t="s">
        <v>45</v>
      </c>
      <c r="Q620">
        <v>2</v>
      </c>
      <c r="R620" t="s">
        <v>482</v>
      </c>
      <c r="S620" t="s">
        <v>79</v>
      </c>
      <c r="T620" t="str">
        <f>VLOOKUP(S620,'Mapa Oficinas'!$H$7:$I$16,2,FALSE)</f>
        <v>CB</v>
      </c>
      <c r="U620" t="s">
        <v>29</v>
      </c>
      <c r="V620" t="str">
        <f>VLOOKUP($R620,'Mapa Oficinas'!$A$7:$C$46,2,FALSE)</f>
        <v>Interior - Jujuy</v>
      </c>
      <c r="W620" t="str">
        <f>VLOOKUP($R620,'Mapa Oficinas'!$A$7:$C$46,3,FALSE)</f>
        <v>Capital Jujuy</v>
      </c>
    </row>
    <row r="621" spans="1:23" x14ac:dyDescent="0.2">
      <c r="A621" s="1">
        <v>45681</v>
      </c>
      <c r="B621" s="20">
        <f t="shared" si="18"/>
        <v>2025</v>
      </c>
      <c r="C621" s="20">
        <f t="shared" si="19"/>
        <v>1</v>
      </c>
      <c r="D621" t="s">
        <v>335</v>
      </c>
      <c r="E621" s="49">
        <v>3</v>
      </c>
      <c r="F621" t="s">
        <v>336</v>
      </c>
      <c r="G621" t="s">
        <v>21</v>
      </c>
      <c r="H621" t="s">
        <v>37</v>
      </c>
      <c r="I621" s="13">
        <v>79900</v>
      </c>
      <c r="J621" s="13">
        <v>70000</v>
      </c>
      <c r="K621" s="13">
        <f>IF(J621&lt;'Mapa Oficinas'!$I$21,0,IF(J621&gt;'Mapa Oficinas'!$I$20,0,1))</f>
        <v>1</v>
      </c>
      <c r="L621" t="s">
        <v>23</v>
      </c>
      <c r="M621" t="s">
        <v>23</v>
      </c>
      <c r="N621" t="s">
        <v>337</v>
      </c>
      <c r="O621" t="s">
        <v>338</v>
      </c>
      <c r="P621" t="s">
        <v>34</v>
      </c>
      <c r="Q621">
        <v>2</v>
      </c>
      <c r="R621" t="s">
        <v>62</v>
      </c>
      <c r="S621" t="s">
        <v>232</v>
      </c>
      <c r="T621" t="str">
        <f>VLOOKUP(S621,'Mapa Oficinas'!$H$7:$I$16,2,FALSE)</f>
        <v>CB</v>
      </c>
      <c r="U621" t="s">
        <v>29</v>
      </c>
      <c r="V621" t="str">
        <f>VLOOKUP($R621,'Mapa Oficinas'!$A$7:$C$46,2,FALSE)</f>
        <v>CABA</v>
      </c>
      <c r="W621" t="str">
        <f>VLOOKUP($R621,'Mapa Oficinas'!$A$7:$C$46,3,FALSE)</f>
        <v>Villa Urquiza</v>
      </c>
    </row>
    <row r="622" spans="1:23" x14ac:dyDescent="0.2">
      <c r="A622" s="1">
        <v>45904</v>
      </c>
      <c r="B622" s="20">
        <f t="shared" si="18"/>
        <v>2025</v>
      </c>
      <c r="C622" s="20">
        <f t="shared" si="19"/>
        <v>9</v>
      </c>
      <c r="D622">
        <v>10499</v>
      </c>
      <c r="E622" s="49">
        <v>3</v>
      </c>
      <c r="F622" t="s">
        <v>3982</v>
      </c>
      <c r="G622" t="s">
        <v>21</v>
      </c>
      <c r="H622" t="s">
        <v>37</v>
      </c>
      <c r="I622" s="13">
        <v>0</v>
      </c>
      <c r="J622" s="13">
        <v>70000</v>
      </c>
      <c r="K622" s="13">
        <f>IF(J622&lt;'Mapa Oficinas'!$I$21,0,IF(J622&gt;'Mapa Oficinas'!$I$20,0,1))</f>
        <v>1</v>
      </c>
      <c r="L622" t="s">
        <v>23</v>
      </c>
      <c r="M622" t="s">
        <v>23</v>
      </c>
      <c r="O622" t="s">
        <v>114</v>
      </c>
      <c r="P622" t="s">
        <v>45</v>
      </c>
      <c r="Q622">
        <v>2</v>
      </c>
      <c r="R622" t="s">
        <v>67</v>
      </c>
      <c r="S622" t="s">
        <v>241</v>
      </c>
      <c r="T622" t="str">
        <f>VLOOKUP(S622,'Mapa Oficinas'!$H$7:$I$16,2,FALSE)</f>
        <v>CB</v>
      </c>
      <c r="U622" t="s">
        <v>29</v>
      </c>
      <c r="V622" t="str">
        <f>VLOOKUP($R622,'Mapa Oficinas'!$A$7:$C$46,2,FALSE)</f>
        <v>CABA</v>
      </c>
      <c r="W622" t="str">
        <f>VLOOKUP($R622,'Mapa Oficinas'!$A$7:$C$46,3,FALSE)</f>
        <v>Barrio Parque</v>
      </c>
    </row>
    <row r="623" spans="1:23" x14ac:dyDescent="0.2">
      <c r="A623" s="1">
        <v>45923</v>
      </c>
      <c r="B623" s="20">
        <f t="shared" si="18"/>
        <v>2025</v>
      </c>
      <c r="C623" s="20">
        <f t="shared" si="19"/>
        <v>9</v>
      </c>
      <c r="D623" t="s">
        <v>4283</v>
      </c>
      <c r="E623" s="49">
        <v>3</v>
      </c>
      <c r="F623" t="s">
        <v>4284</v>
      </c>
      <c r="G623" t="s">
        <v>21</v>
      </c>
      <c r="H623" t="s">
        <v>37</v>
      </c>
      <c r="I623" s="13">
        <v>74000</v>
      </c>
      <c r="J623" s="13">
        <v>70000</v>
      </c>
      <c r="K623" s="13">
        <f>IF(J623&lt;'Mapa Oficinas'!$I$21,0,IF(J623&gt;'Mapa Oficinas'!$I$20,0,1))</f>
        <v>1</v>
      </c>
      <c r="L623" t="s">
        <v>23</v>
      </c>
      <c r="M623" t="s">
        <v>23</v>
      </c>
      <c r="N623" t="s">
        <v>4285</v>
      </c>
      <c r="O623" t="s">
        <v>92</v>
      </c>
      <c r="P623" t="s">
        <v>45</v>
      </c>
      <c r="Q623">
        <v>2</v>
      </c>
      <c r="R623" t="s">
        <v>823</v>
      </c>
      <c r="S623" t="s">
        <v>241</v>
      </c>
      <c r="T623" t="str">
        <f>VLOOKUP(S623,'Mapa Oficinas'!$H$7:$I$16,2,FALSE)</f>
        <v>CB</v>
      </c>
      <c r="U623" t="s">
        <v>29</v>
      </c>
      <c r="V623" t="str">
        <f>VLOOKUP($R623,'Mapa Oficinas'!$A$7:$C$46,2,FALSE)</f>
        <v>Zona Norte (GBA)</v>
      </c>
      <c r="W623" t="str">
        <f>VLOOKUP($R623,'Mapa Oficinas'!$A$7:$C$46,3,FALSE)</f>
        <v>Pilar</v>
      </c>
    </row>
    <row r="624" spans="1:23" x14ac:dyDescent="0.2">
      <c r="A624" s="1">
        <v>45707</v>
      </c>
      <c r="B624" s="20">
        <f t="shared" si="18"/>
        <v>2025</v>
      </c>
      <c r="C624" s="20">
        <f t="shared" si="19"/>
        <v>2</v>
      </c>
      <c r="D624" t="s">
        <v>676</v>
      </c>
      <c r="E624" s="49">
        <v>1</v>
      </c>
      <c r="F624" t="s">
        <v>677</v>
      </c>
      <c r="G624" t="s">
        <v>21</v>
      </c>
      <c r="H624" t="s">
        <v>37</v>
      </c>
      <c r="I624" s="13">
        <v>70000</v>
      </c>
      <c r="J624" s="13">
        <v>70000</v>
      </c>
      <c r="K624" s="13">
        <f>IF(J624&lt;'Mapa Oficinas'!$I$21,0,IF(J624&gt;'Mapa Oficinas'!$I$20,0,1))</f>
        <v>1</v>
      </c>
      <c r="L624" t="s">
        <v>23</v>
      </c>
      <c r="M624" t="s">
        <v>23</v>
      </c>
      <c r="N624" t="s">
        <v>678</v>
      </c>
      <c r="O624" t="s">
        <v>679</v>
      </c>
      <c r="P624" t="s">
        <v>55</v>
      </c>
      <c r="Q624">
        <v>1</v>
      </c>
      <c r="R624" t="s">
        <v>183</v>
      </c>
      <c r="S624" t="s">
        <v>47</v>
      </c>
      <c r="T624" t="str">
        <f>VLOOKUP(S624,'Mapa Oficinas'!$H$7:$I$16,2,FALSE)</f>
        <v>Otra Red Búsqueda</v>
      </c>
      <c r="U624" t="s">
        <v>29</v>
      </c>
      <c r="V624" t="str">
        <f>VLOOKUP($R624,'Mapa Oficinas'!$A$7:$C$46,2,FALSE)</f>
        <v>Interior - Neuquén</v>
      </c>
      <c r="W624" t="str">
        <f>VLOOKUP($R624,'Mapa Oficinas'!$A$7:$C$46,3,FALSE)</f>
        <v>Capital Neuquén</v>
      </c>
    </row>
    <row r="625" spans="1:23" x14ac:dyDescent="0.2">
      <c r="A625" s="1">
        <v>45737</v>
      </c>
      <c r="B625" s="20">
        <f t="shared" si="18"/>
        <v>2025</v>
      </c>
      <c r="C625" s="20">
        <f t="shared" si="19"/>
        <v>3</v>
      </c>
      <c r="D625" t="s">
        <v>1046</v>
      </c>
      <c r="E625" s="49">
        <v>1</v>
      </c>
      <c r="F625" t="s">
        <v>1047</v>
      </c>
      <c r="G625" t="s">
        <v>21</v>
      </c>
      <c r="H625" t="s">
        <v>37</v>
      </c>
      <c r="I625" s="13">
        <v>65000</v>
      </c>
      <c r="J625" s="13">
        <v>70000</v>
      </c>
      <c r="K625" s="13">
        <f>IF(J625&lt;'Mapa Oficinas'!$I$21,0,IF(J625&gt;'Mapa Oficinas'!$I$20,0,1))</f>
        <v>1</v>
      </c>
      <c r="L625" t="s">
        <v>23</v>
      </c>
      <c r="M625" t="s">
        <v>23</v>
      </c>
      <c r="N625" t="s">
        <v>1047</v>
      </c>
      <c r="O625" t="s">
        <v>231</v>
      </c>
      <c r="P625" t="s">
        <v>45</v>
      </c>
      <c r="Q625">
        <v>2</v>
      </c>
      <c r="R625" t="s">
        <v>110</v>
      </c>
      <c r="S625" t="s">
        <v>200</v>
      </c>
      <c r="T625" t="str">
        <f>VLOOKUP(S625,'Mapa Oficinas'!$H$7:$I$16,2,FALSE)</f>
        <v>Otra Red Captación</v>
      </c>
      <c r="U625" t="s">
        <v>29</v>
      </c>
      <c r="V625" t="str">
        <f>VLOOKUP($R625,'Mapa Oficinas'!$A$7:$C$46,2,FALSE)</f>
        <v>Zona Norte (GBA)</v>
      </c>
      <c r="W625" t="str">
        <f>VLOOKUP($R625,'Mapa Oficinas'!$A$7:$C$46,3,FALSE)</f>
        <v>Nordelta</v>
      </c>
    </row>
    <row r="626" spans="1:23" x14ac:dyDescent="0.2">
      <c r="A626" s="1">
        <v>45862</v>
      </c>
      <c r="B626" s="20">
        <f t="shared" si="18"/>
        <v>2025</v>
      </c>
      <c r="C626" s="20">
        <f t="shared" si="19"/>
        <v>7</v>
      </c>
      <c r="D626" t="s">
        <v>3193</v>
      </c>
      <c r="E626" s="49">
        <v>1</v>
      </c>
      <c r="F626" t="s">
        <v>3194</v>
      </c>
      <c r="G626" t="s">
        <v>21</v>
      </c>
      <c r="H626" t="s">
        <v>37</v>
      </c>
      <c r="I626" s="13">
        <v>76000</v>
      </c>
      <c r="J626" s="13">
        <v>70000</v>
      </c>
      <c r="K626" s="13">
        <f>IF(J626&lt;'Mapa Oficinas'!$I$21,0,IF(J626&gt;'Mapa Oficinas'!$I$20,0,1))</f>
        <v>1</v>
      </c>
      <c r="L626" t="s">
        <v>23</v>
      </c>
      <c r="M626" t="s">
        <v>23</v>
      </c>
      <c r="N626" t="s">
        <v>3195</v>
      </c>
      <c r="O626" t="s">
        <v>265</v>
      </c>
      <c r="P626" t="s">
        <v>45</v>
      </c>
      <c r="Q626">
        <v>2</v>
      </c>
      <c r="R626" t="s">
        <v>170</v>
      </c>
      <c r="S626" t="s">
        <v>200</v>
      </c>
      <c r="T626" t="str">
        <f>VLOOKUP(S626,'Mapa Oficinas'!$H$7:$I$16,2,FALSE)</f>
        <v>Otra Red Captación</v>
      </c>
      <c r="U626" t="s">
        <v>29</v>
      </c>
      <c r="V626" t="str">
        <f>VLOOKUP($R626,'Mapa Oficinas'!$A$7:$C$46,2,FALSE)</f>
        <v>CABA</v>
      </c>
      <c r="W626" t="str">
        <f>VLOOKUP($R626,'Mapa Oficinas'!$A$7:$C$46,3,FALSE)</f>
        <v>Belgrano</v>
      </c>
    </row>
    <row r="627" spans="1:23" x14ac:dyDescent="0.2">
      <c r="A627" s="1">
        <v>45742</v>
      </c>
      <c r="B627" s="20">
        <f t="shared" si="18"/>
        <v>2025</v>
      </c>
      <c r="C627" s="20">
        <f t="shared" si="19"/>
        <v>3</v>
      </c>
      <c r="D627" t="s">
        <v>1106</v>
      </c>
      <c r="E627" s="49">
        <v>1</v>
      </c>
      <c r="F627" t="s">
        <v>1107</v>
      </c>
      <c r="G627" t="s">
        <v>21</v>
      </c>
      <c r="H627" t="s">
        <v>37</v>
      </c>
      <c r="I627" s="13">
        <v>72000</v>
      </c>
      <c r="J627" s="13">
        <v>70000</v>
      </c>
      <c r="K627" s="13">
        <f>IF(J627&lt;'Mapa Oficinas'!$I$21,0,IF(J627&gt;'Mapa Oficinas'!$I$20,0,1))</f>
        <v>1</v>
      </c>
      <c r="L627" t="s">
        <v>23</v>
      </c>
      <c r="M627" t="s">
        <v>23</v>
      </c>
      <c r="N627" t="s">
        <v>1108</v>
      </c>
      <c r="O627" t="s">
        <v>1109</v>
      </c>
      <c r="P627" t="s">
        <v>45</v>
      </c>
      <c r="Q627">
        <v>2</v>
      </c>
      <c r="R627" t="s">
        <v>495</v>
      </c>
      <c r="S627" t="s">
        <v>28</v>
      </c>
      <c r="T627" t="str">
        <f>VLOOKUP(S627,'Mapa Oficinas'!$H$7:$I$16,2,FALSE)</f>
        <v>CB</v>
      </c>
      <c r="U627" t="s">
        <v>29</v>
      </c>
      <c r="V627" t="str">
        <f>VLOOKUP($R627,'Mapa Oficinas'!$A$7:$C$46,2,FALSE)</f>
        <v>Zona Norte (GBA)</v>
      </c>
      <c r="W627" t="str">
        <f>VLOOKUP($R627,'Mapa Oficinas'!$A$7:$C$46,3,FALSE)</f>
        <v>Escobar</v>
      </c>
    </row>
    <row r="628" spans="1:23" x14ac:dyDescent="0.2">
      <c r="A628" s="1">
        <v>45771</v>
      </c>
      <c r="B628" s="20">
        <f t="shared" si="18"/>
        <v>2025</v>
      </c>
      <c r="C628" s="20">
        <f t="shared" si="19"/>
        <v>4</v>
      </c>
      <c r="D628" t="s">
        <v>1599</v>
      </c>
      <c r="E628" s="49">
        <v>1</v>
      </c>
      <c r="F628" t="s">
        <v>1600</v>
      </c>
      <c r="G628" t="s">
        <v>21</v>
      </c>
      <c r="H628" t="s">
        <v>37</v>
      </c>
      <c r="I628" s="13">
        <v>70000</v>
      </c>
      <c r="J628" s="13">
        <v>70000</v>
      </c>
      <c r="K628" s="13">
        <f>IF(J628&lt;'Mapa Oficinas'!$I$21,0,IF(J628&gt;'Mapa Oficinas'!$I$20,0,1))</f>
        <v>1</v>
      </c>
      <c r="L628" t="s">
        <v>23</v>
      </c>
      <c r="M628" t="s">
        <v>23</v>
      </c>
      <c r="N628" t="s">
        <v>1601</v>
      </c>
      <c r="O628" t="s">
        <v>261</v>
      </c>
      <c r="P628" t="s">
        <v>45</v>
      </c>
      <c r="Q628">
        <v>2</v>
      </c>
      <c r="R628" t="s">
        <v>523</v>
      </c>
      <c r="S628" t="s">
        <v>28</v>
      </c>
      <c r="T628" t="str">
        <f>VLOOKUP(S628,'Mapa Oficinas'!$H$7:$I$16,2,FALSE)</f>
        <v>CB</v>
      </c>
      <c r="U628" t="s">
        <v>29</v>
      </c>
      <c r="V628" t="str">
        <f>VLOOKUP($R628,'Mapa Oficinas'!$A$7:$C$46,2,FALSE)</f>
        <v>CABA</v>
      </c>
      <c r="W628" t="str">
        <f>VLOOKUP($R628,'Mapa Oficinas'!$A$7:$C$46,3,FALSE)</f>
        <v>Belgrano</v>
      </c>
    </row>
    <row r="629" spans="1:23" x14ac:dyDescent="0.2">
      <c r="A629" s="1">
        <v>45776</v>
      </c>
      <c r="B629" s="20">
        <f t="shared" si="18"/>
        <v>2025</v>
      </c>
      <c r="C629" s="20">
        <f t="shared" si="19"/>
        <v>4</v>
      </c>
      <c r="D629" t="s">
        <v>1674</v>
      </c>
      <c r="E629" s="49">
        <v>1</v>
      </c>
      <c r="F629" t="s">
        <v>1675</v>
      </c>
      <c r="G629" t="s">
        <v>21</v>
      </c>
      <c r="H629" t="s">
        <v>37</v>
      </c>
      <c r="I629" s="13">
        <v>77900</v>
      </c>
      <c r="J629" s="13">
        <v>70000</v>
      </c>
      <c r="K629" s="13">
        <f>IF(J629&lt;'Mapa Oficinas'!$I$21,0,IF(J629&gt;'Mapa Oficinas'!$I$20,0,1))</f>
        <v>1</v>
      </c>
      <c r="L629" t="s">
        <v>23</v>
      </c>
      <c r="M629" t="s">
        <v>23</v>
      </c>
      <c r="N629" t="s">
        <v>1676</v>
      </c>
      <c r="O629" t="s">
        <v>1677</v>
      </c>
      <c r="P629" t="s">
        <v>45</v>
      </c>
      <c r="Q629">
        <v>2</v>
      </c>
      <c r="R629" t="s">
        <v>56</v>
      </c>
      <c r="S629" t="s">
        <v>28</v>
      </c>
      <c r="T629" t="str">
        <f>VLOOKUP(S629,'Mapa Oficinas'!$H$7:$I$16,2,FALSE)</f>
        <v>CB</v>
      </c>
      <c r="U629" t="s">
        <v>29</v>
      </c>
      <c r="V629" t="str">
        <f>VLOOKUP($R629,'Mapa Oficinas'!$A$7:$C$46,2,FALSE)</f>
        <v>Zona Norte (GBA)</v>
      </c>
      <c r="W629" t="str">
        <f>VLOOKUP($R629,'Mapa Oficinas'!$A$7:$C$46,3,FALSE)</f>
        <v>Vicente López</v>
      </c>
    </row>
    <row r="630" spans="1:23" x14ac:dyDescent="0.2">
      <c r="A630" s="1">
        <v>45791</v>
      </c>
      <c r="B630" s="20">
        <f t="shared" si="18"/>
        <v>2025</v>
      </c>
      <c r="C630" s="20">
        <f t="shared" si="19"/>
        <v>5</v>
      </c>
      <c r="D630" t="s">
        <v>1921</v>
      </c>
      <c r="E630" s="49">
        <v>1</v>
      </c>
      <c r="F630" t="s">
        <v>1922</v>
      </c>
      <c r="G630" t="s">
        <v>21</v>
      </c>
      <c r="H630" t="s">
        <v>221</v>
      </c>
      <c r="I630" s="13">
        <v>70000</v>
      </c>
      <c r="J630" s="13">
        <v>70000</v>
      </c>
      <c r="K630" s="13">
        <f>IF(J630&lt;'Mapa Oficinas'!$I$21,0,IF(J630&gt;'Mapa Oficinas'!$I$20,0,1))</f>
        <v>1</v>
      </c>
      <c r="L630" t="s">
        <v>23</v>
      </c>
      <c r="M630" t="s">
        <v>23</v>
      </c>
      <c r="N630" t="s">
        <v>1923</v>
      </c>
      <c r="O630" t="s">
        <v>1924</v>
      </c>
      <c r="P630" t="s">
        <v>34</v>
      </c>
      <c r="Q630">
        <v>2</v>
      </c>
      <c r="R630" t="s">
        <v>482</v>
      </c>
      <c r="S630" t="s">
        <v>28</v>
      </c>
      <c r="T630" t="str">
        <f>VLOOKUP(S630,'Mapa Oficinas'!$H$7:$I$16,2,FALSE)</f>
        <v>CB</v>
      </c>
      <c r="U630" t="s">
        <v>29</v>
      </c>
      <c r="V630" t="str">
        <f>VLOOKUP($R630,'Mapa Oficinas'!$A$7:$C$46,2,FALSE)</f>
        <v>Interior - Jujuy</v>
      </c>
      <c r="W630" t="str">
        <f>VLOOKUP($R630,'Mapa Oficinas'!$A$7:$C$46,3,FALSE)</f>
        <v>Capital Jujuy</v>
      </c>
    </row>
    <row r="631" spans="1:23" x14ac:dyDescent="0.2">
      <c r="A631" s="1">
        <v>45811</v>
      </c>
      <c r="B631" s="20">
        <f t="shared" si="18"/>
        <v>2025</v>
      </c>
      <c r="C631" s="20">
        <f t="shared" si="19"/>
        <v>6</v>
      </c>
      <c r="D631" t="s">
        <v>2271</v>
      </c>
      <c r="E631" s="49">
        <v>1</v>
      </c>
      <c r="F631" t="s">
        <v>2272</v>
      </c>
      <c r="G631" t="s">
        <v>21</v>
      </c>
      <c r="H631" t="s">
        <v>37</v>
      </c>
      <c r="I631" s="13">
        <v>84999</v>
      </c>
      <c r="J631" s="13">
        <v>70000</v>
      </c>
      <c r="K631" s="13">
        <f>IF(J631&lt;'Mapa Oficinas'!$I$21,0,IF(J631&gt;'Mapa Oficinas'!$I$20,0,1))</f>
        <v>1</v>
      </c>
      <c r="L631" t="s">
        <v>23</v>
      </c>
      <c r="M631" t="s">
        <v>23</v>
      </c>
      <c r="N631" t="s">
        <v>2273</v>
      </c>
      <c r="O631" t="s">
        <v>2274</v>
      </c>
      <c r="P631" t="s">
        <v>34</v>
      </c>
      <c r="Q631">
        <v>2</v>
      </c>
      <c r="R631" t="s">
        <v>517</v>
      </c>
      <c r="S631" t="s">
        <v>28</v>
      </c>
      <c r="T631" t="str">
        <f>VLOOKUP(S631,'Mapa Oficinas'!$H$7:$I$16,2,FALSE)</f>
        <v>CB</v>
      </c>
      <c r="U631" t="s">
        <v>29</v>
      </c>
      <c r="V631" t="str">
        <f>VLOOKUP($R631,'Mapa Oficinas'!$A$7:$C$46,2,FALSE)</f>
        <v>Zona Sur (GBA)</v>
      </c>
      <c r="W631" t="str">
        <f>VLOOKUP($R631,'Mapa Oficinas'!$A$7:$C$46,3,FALSE)</f>
        <v>Canning</v>
      </c>
    </row>
    <row r="632" spans="1:23" x14ac:dyDescent="0.2">
      <c r="A632" s="1">
        <v>45831</v>
      </c>
      <c r="B632" s="20">
        <f t="shared" si="18"/>
        <v>2025</v>
      </c>
      <c r="C632" s="20">
        <f t="shared" si="19"/>
        <v>6</v>
      </c>
      <c r="D632" t="s">
        <v>2571</v>
      </c>
      <c r="E632" s="49">
        <v>1</v>
      </c>
      <c r="F632" t="s">
        <v>2572</v>
      </c>
      <c r="G632" t="s">
        <v>21</v>
      </c>
      <c r="H632" t="s">
        <v>37</v>
      </c>
      <c r="I632" s="13">
        <v>75000</v>
      </c>
      <c r="J632" s="13">
        <v>70000</v>
      </c>
      <c r="K632" s="13">
        <f>IF(J632&lt;'Mapa Oficinas'!$I$21,0,IF(J632&gt;'Mapa Oficinas'!$I$20,0,1))</f>
        <v>1</v>
      </c>
      <c r="L632" t="s">
        <v>23</v>
      </c>
      <c r="M632" t="s">
        <v>23</v>
      </c>
      <c r="N632" t="s">
        <v>2573</v>
      </c>
      <c r="O632" t="s">
        <v>190</v>
      </c>
      <c r="P632" t="s">
        <v>45</v>
      </c>
      <c r="Q632">
        <v>2</v>
      </c>
      <c r="R632" t="s">
        <v>495</v>
      </c>
      <c r="S632" t="s">
        <v>28</v>
      </c>
      <c r="T632" t="str">
        <f>VLOOKUP(S632,'Mapa Oficinas'!$H$7:$I$16,2,FALSE)</f>
        <v>CB</v>
      </c>
      <c r="U632" t="s">
        <v>29</v>
      </c>
      <c r="V632" t="str">
        <f>VLOOKUP($R632,'Mapa Oficinas'!$A$7:$C$46,2,FALSE)</f>
        <v>Zona Norte (GBA)</v>
      </c>
      <c r="W632" t="str">
        <f>VLOOKUP($R632,'Mapa Oficinas'!$A$7:$C$46,3,FALSE)</f>
        <v>Escobar</v>
      </c>
    </row>
    <row r="633" spans="1:23" x14ac:dyDescent="0.2">
      <c r="A633" s="1">
        <v>45834</v>
      </c>
      <c r="B633" s="20">
        <f t="shared" si="18"/>
        <v>2025</v>
      </c>
      <c r="C633" s="20">
        <f t="shared" si="19"/>
        <v>6</v>
      </c>
      <c r="D633" t="s">
        <v>2652</v>
      </c>
      <c r="E633" s="49">
        <v>1</v>
      </c>
      <c r="F633" t="s">
        <v>2653</v>
      </c>
      <c r="G633" t="s">
        <v>21</v>
      </c>
      <c r="H633" t="s">
        <v>76</v>
      </c>
      <c r="I633" s="13">
        <v>78000</v>
      </c>
      <c r="J633" s="13">
        <v>70000</v>
      </c>
      <c r="K633" s="13">
        <f>IF(J633&lt;'Mapa Oficinas'!$I$21,0,IF(J633&gt;'Mapa Oficinas'!$I$20,0,1))</f>
        <v>1</v>
      </c>
      <c r="L633" t="s">
        <v>23</v>
      </c>
      <c r="M633" t="s">
        <v>23</v>
      </c>
      <c r="N633" t="s">
        <v>2654</v>
      </c>
      <c r="O633" t="s">
        <v>1378</v>
      </c>
      <c r="P633" t="s">
        <v>34</v>
      </c>
      <c r="Q633">
        <v>2</v>
      </c>
      <c r="R633" t="s">
        <v>167</v>
      </c>
      <c r="S633" t="s">
        <v>28</v>
      </c>
      <c r="T633" t="str">
        <f>VLOOKUP(S633,'Mapa Oficinas'!$H$7:$I$16,2,FALSE)</f>
        <v>CB</v>
      </c>
      <c r="U633" t="s">
        <v>29</v>
      </c>
      <c r="V633" t="str">
        <f>VLOOKUP($R633,'Mapa Oficinas'!$A$7:$C$46,2,FALSE)</f>
        <v>Interior - Santa Fe</v>
      </c>
      <c r="W633" t="str">
        <f>VLOOKUP($R633,'Mapa Oficinas'!$A$7:$C$46,3,FALSE)</f>
        <v>Capital Santa Fe</v>
      </c>
    </row>
    <row r="634" spans="1:23" x14ac:dyDescent="0.2">
      <c r="A634" s="1">
        <v>45874</v>
      </c>
      <c r="B634" s="20">
        <f t="shared" si="18"/>
        <v>2025</v>
      </c>
      <c r="C634" s="20">
        <f t="shared" si="19"/>
        <v>8</v>
      </c>
      <c r="D634" t="s">
        <v>3412</v>
      </c>
      <c r="E634" s="49">
        <v>1</v>
      </c>
      <c r="F634" t="s">
        <v>3413</v>
      </c>
      <c r="G634" t="s">
        <v>21</v>
      </c>
      <c r="H634" t="s">
        <v>37</v>
      </c>
      <c r="I634" s="13">
        <v>75000</v>
      </c>
      <c r="J634" s="13">
        <v>70000</v>
      </c>
      <c r="K634" s="13">
        <f>IF(J634&lt;'Mapa Oficinas'!$I$21,0,IF(J634&gt;'Mapa Oficinas'!$I$20,0,1))</f>
        <v>1</v>
      </c>
      <c r="L634" t="s">
        <v>23</v>
      </c>
      <c r="M634" t="s">
        <v>23</v>
      </c>
      <c r="N634" t="s">
        <v>3414</v>
      </c>
      <c r="O634" t="s">
        <v>236</v>
      </c>
      <c r="P634" t="s">
        <v>45</v>
      </c>
      <c r="Q634">
        <v>2</v>
      </c>
      <c r="R634" t="s">
        <v>46</v>
      </c>
      <c r="S634" t="s">
        <v>28</v>
      </c>
      <c r="T634" t="str">
        <f>VLOOKUP(S634,'Mapa Oficinas'!$H$7:$I$16,2,FALSE)</f>
        <v>CB</v>
      </c>
      <c r="U634" t="s">
        <v>29</v>
      </c>
      <c r="V634" t="str">
        <f>VLOOKUP($R634,'Mapa Oficinas'!$A$7:$C$46,2,FALSE)</f>
        <v>CABA</v>
      </c>
      <c r="W634" t="str">
        <f>VLOOKUP($R634,'Mapa Oficinas'!$A$7:$C$46,3,FALSE)</f>
        <v>Palermo</v>
      </c>
    </row>
    <row r="635" spans="1:23" x14ac:dyDescent="0.2">
      <c r="A635" s="1">
        <v>45904</v>
      </c>
      <c r="B635" s="20">
        <f t="shared" si="18"/>
        <v>2025</v>
      </c>
      <c r="C635" s="20">
        <f t="shared" si="19"/>
        <v>9</v>
      </c>
      <c r="D635" t="s">
        <v>3983</v>
      </c>
      <c r="E635" s="49">
        <v>1</v>
      </c>
      <c r="F635" t="s">
        <v>3984</v>
      </c>
      <c r="G635" t="s">
        <v>21</v>
      </c>
      <c r="H635" t="s">
        <v>22</v>
      </c>
      <c r="I635" s="13">
        <v>72000</v>
      </c>
      <c r="J635" s="13">
        <v>70000</v>
      </c>
      <c r="K635" s="13">
        <f>IF(J635&lt;'Mapa Oficinas'!$I$21,0,IF(J635&gt;'Mapa Oficinas'!$I$20,0,1))</f>
        <v>1</v>
      </c>
      <c r="L635" t="s">
        <v>23</v>
      </c>
      <c r="M635" t="s">
        <v>23</v>
      </c>
      <c r="N635" t="s">
        <v>3985</v>
      </c>
      <c r="O635" t="s">
        <v>114</v>
      </c>
      <c r="P635" t="s">
        <v>45</v>
      </c>
      <c r="Q635">
        <v>2</v>
      </c>
      <c r="R635" t="s">
        <v>62</v>
      </c>
      <c r="S635" t="s">
        <v>28</v>
      </c>
      <c r="T635" t="str">
        <f>VLOOKUP(S635,'Mapa Oficinas'!$H$7:$I$16,2,FALSE)</f>
        <v>CB</v>
      </c>
      <c r="U635" t="s">
        <v>29</v>
      </c>
      <c r="V635" t="str">
        <f>VLOOKUP($R635,'Mapa Oficinas'!$A$7:$C$46,2,FALSE)</f>
        <v>CABA</v>
      </c>
      <c r="W635" t="str">
        <f>VLOOKUP($R635,'Mapa Oficinas'!$A$7:$C$46,3,FALSE)</f>
        <v>Villa Urquiza</v>
      </c>
    </row>
    <row r="636" spans="1:23" x14ac:dyDescent="0.2">
      <c r="A636" s="1">
        <v>45930</v>
      </c>
      <c r="B636" s="20">
        <f t="shared" si="18"/>
        <v>2025</v>
      </c>
      <c r="C636" s="20">
        <f t="shared" si="19"/>
        <v>9</v>
      </c>
      <c r="D636" t="s">
        <v>4410</v>
      </c>
      <c r="E636" s="49">
        <v>1</v>
      </c>
      <c r="F636" t="s">
        <v>4411</v>
      </c>
      <c r="G636" t="s">
        <v>21</v>
      </c>
      <c r="H636" t="s">
        <v>37</v>
      </c>
      <c r="I636" s="13">
        <v>75000</v>
      </c>
      <c r="J636" s="13">
        <v>70000</v>
      </c>
      <c r="K636" s="13">
        <f>IF(J636&lt;'Mapa Oficinas'!$I$21,0,IF(J636&gt;'Mapa Oficinas'!$I$20,0,1))</f>
        <v>1</v>
      </c>
      <c r="L636" t="s">
        <v>23</v>
      </c>
      <c r="M636" t="s">
        <v>23</v>
      </c>
      <c r="N636" t="s">
        <v>4412</v>
      </c>
      <c r="O636" t="s">
        <v>4413</v>
      </c>
      <c r="P636" t="s">
        <v>61</v>
      </c>
      <c r="Q636">
        <v>2</v>
      </c>
      <c r="R636" t="s">
        <v>67</v>
      </c>
      <c r="S636" t="s">
        <v>28</v>
      </c>
      <c r="T636" t="str">
        <f>VLOOKUP(S636,'Mapa Oficinas'!$H$7:$I$16,2,FALSE)</f>
        <v>CB</v>
      </c>
      <c r="U636" t="s">
        <v>29</v>
      </c>
      <c r="V636" t="str">
        <f>VLOOKUP($R636,'Mapa Oficinas'!$A$7:$C$46,2,FALSE)</f>
        <v>CABA</v>
      </c>
      <c r="W636" t="str">
        <f>VLOOKUP($R636,'Mapa Oficinas'!$A$7:$C$46,3,FALSE)</f>
        <v>Barrio Parque</v>
      </c>
    </row>
    <row r="637" spans="1:23" x14ac:dyDescent="0.2">
      <c r="A637" s="1">
        <v>46007</v>
      </c>
      <c r="B637" s="20">
        <f t="shared" si="18"/>
        <v>2025</v>
      </c>
      <c r="C637" s="20">
        <f t="shared" si="19"/>
        <v>12</v>
      </c>
      <c r="D637" t="s">
        <v>5809</v>
      </c>
      <c r="E637" s="49">
        <v>1</v>
      </c>
      <c r="F637" t="s">
        <v>5810</v>
      </c>
      <c r="G637" t="s">
        <v>21</v>
      </c>
      <c r="H637" t="s">
        <v>22</v>
      </c>
      <c r="I637" s="13">
        <v>65000</v>
      </c>
      <c r="J637" s="13">
        <v>70000</v>
      </c>
      <c r="K637" s="13">
        <f>IF(J637&lt;'Mapa Oficinas'!$I$21,0,IF(J637&gt;'Mapa Oficinas'!$I$20,0,1))</f>
        <v>1</v>
      </c>
      <c r="L637" t="s">
        <v>23</v>
      </c>
      <c r="M637" t="s">
        <v>23</v>
      </c>
      <c r="N637" t="s">
        <v>5811</v>
      </c>
      <c r="O637" t="s">
        <v>5812</v>
      </c>
      <c r="P637" t="s">
        <v>34</v>
      </c>
      <c r="Q637">
        <v>2</v>
      </c>
      <c r="R637" t="s">
        <v>62</v>
      </c>
      <c r="S637" t="s">
        <v>28</v>
      </c>
      <c r="T637" t="str">
        <f>VLOOKUP(S637,'Mapa Oficinas'!$H$7:$I$16,2,FALSE)</f>
        <v>CB</v>
      </c>
      <c r="U637" t="s">
        <v>29</v>
      </c>
      <c r="V637" t="str">
        <f>VLOOKUP($R637,'Mapa Oficinas'!$A$7:$C$46,2,FALSE)</f>
        <v>CABA</v>
      </c>
      <c r="W637" t="str">
        <f>VLOOKUP($R637,'Mapa Oficinas'!$A$7:$C$46,3,FALSE)</f>
        <v>Villa Urquiza</v>
      </c>
    </row>
    <row r="638" spans="1:23" x14ac:dyDescent="0.2">
      <c r="A638" s="1">
        <v>46011</v>
      </c>
      <c r="B638" s="20">
        <f t="shared" si="18"/>
        <v>2025</v>
      </c>
      <c r="C638" s="20">
        <f t="shared" si="19"/>
        <v>12</v>
      </c>
      <c r="D638" t="s">
        <v>5917</v>
      </c>
      <c r="E638" s="49">
        <v>1</v>
      </c>
      <c r="F638" t="s">
        <v>5918</v>
      </c>
      <c r="G638" t="s">
        <v>21</v>
      </c>
      <c r="H638" t="s">
        <v>37</v>
      </c>
      <c r="I638" s="13">
        <v>75000</v>
      </c>
      <c r="J638" s="13">
        <v>70000</v>
      </c>
      <c r="K638" s="13">
        <f>IF(J638&lt;'Mapa Oficinas'!$I$21,0,IF(J638&gt;'Mapa Oficinas'!$I$20,0,1))</f>
        <v>1</v>
      </c>
      <c r="L638" t="s">
        <v>23</v>
      </c>
      <c r="M638" t="s">
        <v>23</v>
      </c>
      <c r="N638" t="s">
        <v>5919</v>
      </c>
      <c r="O638" t="s">
        <v>66</v>
      </c>
      <c r="P638" t="s">
        <v>45</v>
      </c>
      <c r="Q638">
        <v>2</v>
      </c>
      <c r="R638" t="s">
        <v>46</v>
      </c>
      <c r="S638" t="s">
        <v>28</v>
      </c>
      <c r="T638" t="str">
        <f>VLOOKUP(S638,'Mapa Oficinas'!$H$7:$I$16,2,FALSE)</f>
        <v>CB</v>
      </c>
      <c r="U638" t="s">
        <v>29</v>
      </c>
      <c r="V638" t="str">
        <f>VLOOKUP($R638,'Mapa Oficinas'!$A$7:$C$46,2,FALSE)</f>
        <v>CABA</v>
      </c>
      <c r="W638" t="str">
        <f>VLOOKUP($R638,'Mapa Oficinas'!$A$7:$C$46,3,FALSE)</f>
        <v>Palermo</v>
      </c>
    </row>
    <row r="639" spans="1:23" x14ac:dyDescent="0.2">
      <c r="A639" s="1">
        <v>46030</v>
      </c>
      <c r="B639" s="20">
        <f t="shared" si="18"/>
        <v>2026</v>
      </c>
      <c r="C639" s="20">
        <f t="shared" si="19"/>
        <v>1</v>
      </c>
      <c r="D639" t="s">
        <v>6131</v>
      </c>
      <c r="E639" s="49">
        <v>1</v>
      </c>
      <c r="F639" t="s">
        <v>6132</v>
      </c>
      <c r="G639" t="s">
        <v>21</v>
      </c>
      <c r="H639" t="s">
        <v>37</v>
      </c>
      <c r="I639" s="13">
        <v>135207</v>
      </c>
      <c r="J639" s="13">
        <v>70000</v>
      </c>
      <c r="K639" s="13">
        <f>IF(J639&lt;'Mapa Oficinas'!$I$21,0,IF(J639&gt;'Mapa Oficinas'!$I$20,0,1))</f>
        <v>1</v>
      </c>
      <c r="L639" t="s">
        <v>23</v>
      </c>
      <c r="M639" t="s">
        <v>23</v>
      </c>
      <c r="N639" t="s">
        <v>6133</v>
      </c>
      <c r="O639" t="s">
        <v>1224</v>
      </c>
      <c r="P639" t="s">
        <v>45</v>
      </c>
      <c r="Q639">
        <v>2</v>
      </c>
      <c r="R639" t="s">
        <v>110</v>
      </c>
      <c r="S639" t="s">
        <v>28</v>
      </c>
      <c r="T639" t="str">
        <f>VLOOKUP(S639,'Mapa Oficinas'!$H$7:$I$16,2,FALSE)</f>
        <v>CB</v>
      </c>
      <c r="U639" t="s">
        <v>29</v>
      </c>
      <c r="V639" t="str">
        <f>VLOOKUP($R639,'Mapa Oficinas'!$A$7:$C$46,2,FALSE)</f>
        <v>Zona Norte (GBA)</v>
      </c>
      <c r="W639" t="str">
        <f>VLOOKUP($R639,'Mapa Oficinas'!$A$7:$C$46,3,FALSE)</f>
        <v>Nordelta</v>
      </c>
    </row>
    <row r="640" spans="1:23" x14ac:dyDescent="0.2">
      <c r="A640" s="1">
        <v>46106</v>
      </c>
      <c r="B640" s="20">
        <f t="shared" si="18"/>
        <v>2026</v>
      </c>
      <c r="C640" s="20">
        <f t="shared" si="19"/>
        <v>3</v>
      </c>
      <c r="D640" t="s">
        <v>7397</v>
      </c>
      <c r="E640" s="49">
        <v>1</v>
      </c>
      <c r="F640" t="s">
        <v>7398</v>
      </c>
      <c r="G640" t="s">
        <v>21</v>
      </c>
      <c r="H640" t="s">
        <v>37</v>
      </c>
      <c r="I640" s="13">
        <v>75000</v>
      </c>
      <c r="J640" s="13">
        <v>70000</v>
      </c>
      <c r="K640" s="13">
        <f>IF(J640&lt;'Mapa Oficinas'!$I$21,0,IF(J640&gt;'Mapa Oficinas'!$I$20,0,1))</f>
        <v>1</v>
      </c>
      <c r="L640" t="s">
        <v>23</v>
      </c>
      <c r="M640" t="s">
        <v>23</v>
      </c>
      <c r="N640" t="s">
        <v>7399</v>
      </c>
      <c r="O640" t="s">
        <v>408</v>
      </c>
      <c r="P640" t="s">
        <v>45</v>
      </c>
      <c r="Q640">
        <v>2</v>
      </c>
      <c r="R640" t="s">
        <v>56</v>
      </c>
      <c r="S640" t="s">
        <v>28</v>
      </c>
      <c r="T640" t="str">
        <f>VLOOKUP(S640,'Mapa Oficinas'!$H$7:$I$16,2,FALSE)</f>
        <v>CB</v>
      </c>
      <c r="U640" t="s">
        <v>29</v>
      </c>
      <c r="V640" t="str">
        <f>VLOOKUP($R640,'Mapa Oficinas'!$A$7:$C$46,2,FALSE)</f>
        <v>Zona Norte (GBA)</v>
      </c>
      <c r="W640" t="str">
        <f>VLOOKUP($R640,'Mapa Oficinas'!$A$7:$C$46,3,FALSE)</f>
        <v>Vicente López</v>
      </c>
    </row>
    <row r="641" spans="1:23" x14ac:dyDescent="0.2">
      <c r="A641" s="1">
        <v>46111</v>
      </c>
      <c r="B641" s="20">
        <f t="shared" si="18"/>
        <v>2026</v>
      </c>
      <c r="C641" s="20">
        <f t="shared" si="19"/>
        <v>3</v>
      </c>
      <c r="D641" t="s">
        <v>7508</v>
      </c>
      <c r="E641" s="49">
        <v>1</v>
      </c>
      <c r="F641" t="s">
        <v>7509</v>
      </c>
      <c r="G641" t="s">
        <v>21</v>
      </c>
      <c r="H641" t="s">
        <v>22</v>
      </c>
      <c r="I641" s="13">
        <v>90000</v>
      </c>
      <c r="J641" s="13">
        <v>70000</v>
      </c>
      <c r="K641" s="13">
        <f>IF(J641&lt;'Mapa Oficinas'!$I$21,0,IF(J641&gt;'Mapa Oficinas'!$I$20,0,1))</f>
        <v>1</v>
      </c>
      <c r="L641" t="s">
        <v>23</v>
      </c>
      <c r="M641" t="s">
        <v>23</v>
      </c>
      <c r="N641" t="s">
        <v>7510</v>
      </c>
      <c r="O641" t="s">
        <v>7511</v>
      </c>
      <c r="P641" t="s">
        <v>7512</v>
      </c>
      <c r="Q641">
        <v>2</v>
      </c>
      <c r="R641" t="s">
        <v>5714</v>
      </c>
      <c r="S641" t="s">
        <v>28</v>
      </c>
      <c r="T641" t="str">
        <f>VLOOKUP(S641,'Mapa Oficinas'!$H$7:$I$16,2,FALSE)</f>
        <v>CB</v>
      </c>
      <c r="U641" t="s">
        <v>29</v>
      </c>
      <c r="V641" t="str">
        <f>VLOOKUP($R641,'Mapa Oficinas'!$A$7:$C$46,2,FALSE)</f>
        <v>CABA</v>
      </c>
      <c r="W641" t="str">
        <f>VLOOKUP($R641,'Mapa Oficinas'!$A$7:$C$46,3,FALSE)</f>
        <v>Palermo</v>
      </c>
    </row>
    <row r="642" spans="1:23" x14ac:dyDescent="0.2">
      <c r="A642" s="1">
        <v>45678</v>
      </c>
      <c r="B642" s="20">
        <f t="shared" ref="B642:B705" si="20">YEAR($A642)</f>
        <v>2025</v>
      </c>
      <c r="C642" s="20">
        <f t="shared" ref="C642:C705" si="21">MONTH($A642)</f>
        <v>1</v>
      </c>
      <c r="D642" t="s">
        <v>304</v>
      </c>
      <c r="E642" s="49">
        <v>1</v>
      </c>
      <c r="F642" t="s">
        <v>305</v>
      </c>
      <c r="G642" t="s">
        <v>21</v>
      </c>
      <c r="H642" t="s">
        <v>37</v>
      </c>
      <c r="I642" s="13">
        <v>69000</v>
      </c>
      <c r="J642" s="13">
        <v>70500</v>
      </c>
      <c r="K642" s="13">
        <f>IF(J642&lt;'Mapa Oficinas'!$I$21,0,IF(J642&gt;'Mapa Oficinas'!$I$20,0,1))</f>
        <v>1</v>
      </c>
      <c r="L642" t="s">
        <v>23</v>
      </c>
      <c r="M642" t="s">
        <v>23</v>
      </c>
      <c r="N642" t="s">
        <v>306</v>
      </c>
      <c r="O642" t="s">
        <v>307</v>
      </c>
      <c r="P642" t="s">
        <v>34</v>
      </c>
      <c r="Q642">
        <v>2</v>
      </c>
      <c r="R642" t="s">
        <v>62</v>
      </c>
      <c r="S642" t="s">
        <v>28</v>
      </c>
      <c r="T642" t="str">
        <f>VLOOKUP(S642,'Mapa Oficinas'!$H$7:$I$16,2,FALSE)</f>
        <v>CB</v>
      </c>
      <c r="U642" t="s">
        <v>29</v>
      </c>
      <c r="V642" t="str">
        <f>VLOOKUP($R642,'Mapa Oficinas'!$A$7:$C$46,2,FALSE)</f>
        <v>CABA</v>
      </c>
      <c r="W642" t="str">
        <f>VLOOKUP($R642,'Mapa Oficinas'!$A$7:$C$46,3,FALSE)</f>
        <v>Villa Urquiza</v>
      </c>
    </row>
    <row r="643" spans="1:23" x14ac:dyDescent="0.2">
      <c r="A643" s="1">
        <v>45700</v>
      </c>
      <c r="B643" s="20">
        <f t="shared" si="20"/>
        <v>2025</v>
      </c>
      <c r="C643" s="20">
        <f t="shared" si="21"/>
        <v>2</v>
      </c>
      <c r="D643" t="s">
        <v>562</v>
      </c>
      <c r="E643" s="49">
        <v>1</v>
      </c>
      <c r="F643" t="s">
        <v>550</v>
      </c>
      <c r="G643" t="s">
        <v>21</v>
      </c>
      <c r="H643" t="s">
        <v>100</v>
      </c>
      <c r="I643" s="13">
        <v>76272</v>
      </c>
      <c r="J643" s="13">
        <v>70824</v>
      </c>
      <c r="K643" s="13">
        <f>IF(J643&lt;'Mapa Oficinas'!$I$21,0,IF(J643&gt;'Mapa Oficinas'!$I$20,0,1))</f>
        <v>1</v>
      </c>
      <c r="L643" t="s">
        <v>23</v>
      </c>
      <c r="M643" t="s">
        <v>23</v>
      </c>
      <c r="N643" t="s">
        <v>288</v>
      </c>
      <c r="O643" t="s">
        <v>209</v>
      </c>
      <c r="P643" t="s">
        <v>45</v>
      </c>
      <c r="Q643">
        <v>2</v>
      </c>
      <c r="R643" t="s">
        <v>121</v>
      </c>
      <c r="S643" t="s">
        <v>28</v>
      </c>
      <c r="T643" t="str">
        <f>VLOOKUP(S643,'Mapa Oficinas'!$H$7:$I$16,2,FALSE)</f>
        <v>CB</v>
      </c>
      <c r="U643" t="s">
        <v>29</v>
      </c>
      <c r="V643" t="str">
        <f>VLOOKUP($R643,'Mapa Oficinas'!$A$7:$C$46,2,FALSE)</f>
        <v>Interior - Río Negro</v>
      </c>
      <c r="W643" t="str">
        <f>VLOOKUP($R643,'Mapa Oficinas'!$A$7:$C$46,3,FALSE)</f>
        <v>Bariloche</v>
      </c>
    </row>
    <row r="644" spans="1:23" x14ac:dyDescent="0.2">
      <c r="A644" s="1">
        <v>45943</v>
      </c>
      <c r="B644" s="20">
        <f t="shared" si="20"/>
        <v>2025</v>
      </c>
      <c r="C644" s="20">
        <f t="shared" si="21"/>
        <v>10</v>
      </c>
      <c r="D644" t="s">
        <v>4634</v>
      </c>
      <c r="E644" s="49">
        <v>1</v>
      </c>
      <c r="F644" t="s">
        <v>4635</v>
      </c>
      <c r="G644" t="s">
        <v>21</v>
      </c>
      <c r="H644" t="s">
        <v>76</v>
      </c>
      <c r="I644" s="13">
        <v>73500</v>
      </c>
      <c r="J644" s="13">
        <v>71000</v>
      </c>
      <c r="K644" s="13">
        <f>IF(J644&lt;'Mapa Oficinas'!$I$21,0,IF(J644&gt;'Mapa Oficinas'!$I$20,0,1))</f>
        <v>1</v>
      </c>
      <c r="L644" t="s">
        <v>23</v>
      </c>
      <c r="M644" t="s">
        <v>23</v>
      </c>
      <c r="N644" t="s">
        <v>4636</v>
      </c>
      <c r="O644" t="s">
        <v>390</v>
      </c>
      <c r="P644" t="s">
        <v>45</v>
      </c>
      <c r="Q644">
        <v>1</v>
      </c>
      <c r="R644" t="s">
        <v>823</v>
      </c>
      <c r="S644" t="s">
        <v>152</v>
      </c>
      <c r="T644" t="str">
        <f>VLOOKUP(S644,'Mapa Oficinas'!$H$7:$I$16,2,FALSE)</f>
        <v>Otra Red Captación</v>
      </c>
      <c r="U644" t="s">
        <v>29</v>
      </c>
      <c r="V644" t="str">
        <f>VLOOKUP($R644,'Mapa Oficinas'!$A$7:$C$46,2,FALSE)</f>
        <v>Zona Norte (GBA)</v>
      </c>
      <c r="W644" t="str">
        <f>VLOOKUP($R644,'Mapa Oficinas'!$A$7:$C$46,3,FALSE)</f>
        <v>Pilar</v>
      </c>
    </row>
    <row r="645" spans="1:23" x14ac:dyDescent="0.2">
      <c r="A645" s="1">
        <v>46020</v>
      </c>
      <c r="B645" s="20">
        <f t="shared" si="20"/>
        <v>2025</v>
      </c>
      <c r="C645" s="20">
        <f t="shared" si="21"/>
        <v>12</v>
      </c>
      <c r="D645" t="s">
        <v>6053</v>
      </c>
      <c r="E645" s="49">
        <v>1</v>
      </c>
      <c r="F645" t="s">
        <v>6054</v>
      </c>
      <c r="G645" t="s">
        <v>21</v>
      </c>
      <c r="H645" t="s">
        <v>81</v>
      </c>
      <c r="I645" s="13">
        <v>72000</v>
      </c>
      <c r="J645" s="13">
        <v>71000</v>
      </c>
      <c r="K645" s="13">
        <f>IF(J645&lt;'Mapa Oficinas'!$I$21,0,IF(J645&gt;'Mapa Oficinas'!$I$20,0,1))</f>
        <v>1</v>
      </c>
      <c r="L645" t="s">
        <v>23</v>
      </c>
      <c r="M645" t="s">
        <v>23</v>
      </c>
      <c r="N645" t="s">
        <v>6055</v>
      </c>
      <c r="O645" t="s">
        <v>1083</v>
      </c>
      <c r="P645" t="s">
        <v>45</v>
      </c>
      <c r="Q645">
        <v>2</v>
      </c>
      <c r="R645" t="s">
        <v>84</v>
      </c>
      <c r="S645" t="s">
        <v>79</v>
      </c>
      <c r="T645" t="str">
        <f>VLOOKUP(S645,'Mapa Oficinas'!$H$7:$I$16,2,FALSE)</f>
        <v>CB</v>
      </c>
      <c r="U645" t="s">
        <v>29</v>
      </c>
      <c r="V645" t="str">
        <f>VLOOKUP($R645,'Mapa Oficinas'!$A$7:$C$46,2,FALSE)</f>
        <v>Interior - Neuquén</v>
      </c>
      <c r="W645" t="str">
        <f>VLOOKUP($R645,'Mapa Oficinas'!$A$7:$C$46,3,FALSE)</f>
        <v>Villa La Angostura</v>
      </c>
    </row>
    <row r="646" spans="1:23" x14ac:dyDescent="0.2">
      <c r="A646" s="1">
        <v>45756</v>
      </c>
      <c r="B646" s="20">
        <f t="shared" si="20"/>
        <v>2025</v>
      </c>
      <c r="C646" s="20">
        <f t="shared" si="21"/>
        <v>4</v>
      </c>
      <c r="E646" s="49">
        <v>1</v>
      </c>
      <c r="F646" t="s">
        <v>168</v>
      </c>
      <c r="G646" t="s">
        <v>21</v>
      </c>
      <c r="H646" t="s">
        <v>37</v>
      </c>
      <c r="I646" s="13">
        <v>71000</v>
      </c>
      <c r="J646" s="13">
        <v>71000</v>
      </c>
      <c r="K646" s="13">
        <f>IF(J646&lt;'Mapa Oficinas'!$I$21,0,IF(J646&gt;'Mapa Oficinas'!$I$20,0,1))</f>
        <v>1</v>
      </c>
      <c r="L646" t="s">
        <v>23</v>
      </c>
      <c r="M646" t="s">
        <v>23</v>
      </c>
      <c r="N646" t="s">
        <v>1353</v>
      </c>
      <c r="O646" t="s">
        <v>1354</v>
      </c>
      <c r="P646" t="s">
        <v>45</v>
      </c>
      <c r="Q646">
        <v>1</v>
      </c>
      <c r="R646" t="s">
        <v>170</v>
      </c>
      <c r="S646" t="s">
        <v>47</v>
      </c>
      <c r="T646" t="str">
        <f>VLOOKUP(S646,'Mapa Oficinas'!$H$7:$I$16,2,FALSE)</f>
        <v>Otra Red Búsqueda</v>
      </c>
      <c r="U646" t="s">
        <v>29</v>
      </c>
      <c r="V646" t="str">
        <f>VLOOKUP($R646,'Mapa Oficinas'!$A$7:$C$46,2,FALSE)</f>
        <v>CABA</v>
      </c>
      <c r="W646" t="str">
        <f>VLOOKUP($R646,'Mapa Oficinas'!$A$7:$C$46,3,FALSE)</f>
        <v>Belgrano</v>
      </c>
    </row>
    <row r="647" spans="1:23" x14ac:dyDescent="0.2">
      <c r="A647" s="1">
        <v>45756</v>
      </c>
      <c r="B647" s="20">
        <f t="shared" si="20"/>
        <v>2025</v>
      </c>
      <c r="C647" s="20">
        <f t="shared" si="21"/>
        <v>4</v>
      </c>
      <c r="E647" s="49">
        <v>1</v>
      </c>
      <c r="F647" t="s">
        <v>168</v>
      </c>
      <c r="G647" t="s">
        <v>21</v>
      </c>
      <c r="H647" t="s">
        <v>37</v>
      </c>
      <c r="I647" s="13">
        <v>71000</v>
      </c>
      <c r="J647" s="13">
        <v>71000</v>
      </c>
      <c r="K647" s="13">
        <f>IF(J647&lt;'Mapa Oficinas'!$I$21,0,IF(J647&gt;'Mapa Oficinas'!$I$20,0,1))</f>
        <v>1</v>
      </c>
      <c r="L647" t="s">
        <v>23</v>
      </c>
      <c r="M647" t="s">
        <v>23</v>
      </c>
      <c r="N647" t="s">
        <v>1355</v>
      </c>
      <c r="O647" t="s">
        <v>1354</v>
      </c>
      <c r="P647" t="s">
        <v>45</v>
      </c>
      <c r="Q647">
        <v>1</v>
      </c>
      <c r="R647" t="s">
        <v>170</v>
      </c>
      <c r="S647" t="s">
        <v>47</v>
      </c>
      <c r="T647" t="str">
        <f>VLOOKUP(S647,'Mapa Oficinas'!$H$7:$I$16,2,FALSE)</f>
        <v>Otra Red Búsqueda</v>
      </c>
      <c r="U647" t="s">
        <v>29</v>
      </c>
      <c r="V647" t="str">
        <f>VLOOKUP($R647,'Mapa Oficinas'!$A$7:$C$46,2,FALSE)</f>
        <v>CABA</v>
      </c>
      <c r="W647" t="str">
        <f>VLOOKUP($R647,'Mapa Oficinas'!$A$7:$C$46,3,FALSE)</f>
        <v>Belgrano</v>
      </c>
    </row>
    <row r="648" spans="1:23" x14ac:dyDescent="0.2">
      <c r="A648" s="1">
        <v>45937</v>
      </c>
      <c r="B648" s="20">
        <f t="shared" si="20"/>
        <v>2025</v>
      </c>
      <c r="C648" s="20">
        <f t="shared" si="21"/>
        <v>10</v>
      </c>
      <c r="D648" t="s">
        <v>4543</v>
      </c>
      <c r="E648" s="49">
        <v>1</v>
      </c>
      <c r="F648" t="s">
        <v>4544</v>
      </c>
      <c r="G648" t="s">
        <v>21</v>
      </c>
      <c r="H648" t="s">
        <v>37</v>
      </c>
      <c r="I648" s="13">
        <v>75000</v>
      </c>
      <c r="J648" s="13">
        <v>71000</v>
      </c>
      <c r="K648" s="13">
        <f>IF(J648&lt;'Mapa Oficinas'!$I$21,0,IF(J648&gt;'Mapa Oficinas'!$I$20,0,1))</f>
        <v>1</v>
      </c>
      <c r="L648" t="s">
        <v>23</v>
      </c>
      <c r="M648" t="s">
        <v>23</v>
      </c>
      <c r="N648" t="s">
        <v>4545</v>
      </c>
      <c r="O648" t="s">
        <v>105</v>
      </c>
      <c r="P648" t="s">
        <v>45</v>
      </c>
      <c r="Q648">
        <v>2</v>
      </c>
      <c r="R648" t="s">
        <v>62</v>
      </c>
      <c r="S648" t="s">
        <v>28</v>
      </c>
      <c r="T648" t="str">
        <f>VLOOKUP(S648,'Mapa Oficinas'!$H$7:$I$16,2,FALSE)</f>
        <v>CB</v>
      </c>
      <c r="U648" t="s">
        <v>29</v>
      </c>
      <c r="V648" t="str">
        <f>VLOOKUP($R648,'Mapa Oficinas'!$A$7:$C$46,2,FALSE)</f>
        <v>CABA</v>
      </c>
      <c r="W648" t="str">
        <f>VLOOKUP($R648,'Mapa Oficinas'!$A$7:$C$46,3,FALSE)</f>
        <v>Villa Urquiza</v>
      </c>
    </row>
    <row r="649" spans="1:23" x14ac:dyDescent="0.2">
      <c r="A649" s="1">
        <v>45966</v>
      </c>
      <c r="B649" s="20">
        <f t="shared" si="20"/>
        <v>2025</v>
      </c>
      <c r="C649" s="20">
        <f t="shared" si="21"/>
        <v>11</v>
      </c>
      <c r="D649" t="s">
        <v>3983</v>
      </c>
      <c r="E649" s="49">
        <v>1</v>
      </c>
      <c r="F649" t="s">
        <v>3984</v>
      </c>
      <c r="G649" t="s">
        <v>21</v>
      </c>
      <c r="H649" t="s">
        <v>22</v>
      </c>
      <c r="I649" s="13">
        <v>72000</v>
      </c>
      <c r="J649" s="13">
        <v>71000</v>
      </c>
      <c r="K649" s="13">
        <f>IF(J649&lt;'Mapa Oficinas'!$I$21,0,IF(J649&gt;'Mapa Oficinas'!$I$20,0,1))</f>
        <v>1</v>
      </c>
      <c r="L649" t="s">
        <v>23</v>
      </c>
      <c r="M649" t="s">
        <v>23</v>
      </c>
      <c r="N649" t="s">
        <v>3985</v>
      </c>
      <c r="O649" t="s">
        <v>114</v>
      </c>
      <c r="P649" t="s">
        <v>45</v>
      </c>
      <c r="Q649">
        <v>2</v>
      </c>
      <c r="R649" t="s">
        <v>62</v>
      </c>
      <c r="S649" t="s">
        <v>28</v>
      </c>
      <c r="T649" t="str">
        <f>VLOOKUP(S649,'Mapa Oficinas'!$H$7:$I$16,2,FALSE)</f>
        <v>CB</v>
      </c>
      <c r="U649" t="s">
        <v>29</v>
      </c>
      <c r="V649" t="str">
        <f>VLOOKUP($R649,'Mapa Oficinas'!$A$7:$C$46,2,FALSE)</f>
        <v>CABA</v>
      </c>
      <c r="W649" t="str">
        <f>VLOOKUP($R649,'Mapa Oficinas'!$A$7:$C$46,3,FALSE)</f>
        <v>Villa Urquiza</v>
      </c>
    </row>
    <row r="650" spans="1:23" x14ac:dyDescent="0.2">
      <c r="A650" s="1">
        <v>45992</v>
      </c>
      <c r="B650" s="20">
        <f t="shared" si="20"/>
        <v>2025</v>
      </c>
      <c r="C650" s="20">
        <f t="shared" si="21"/>
        <v>12</v>
      </c>
      <c r="D650" t="s">
        <v>5515</v>
      </c>
      <c r="E650" s="49">
        <v>1</v>
      </c>
      <c r="F650" t="s">
        <v>5516</v>
      </c>
      <c r="G650" t="s">
        <v>21</v>
      </c>
      <c r="H650" t="s">
        <v>37</v>
      </c>
      <c r="I650" s="13">
        <v>75000</v>
      </c>
      <c r="J650" s="13">
        <v>71000</v>
      </c>
      <c r="K650" s="13">
        <f>IF(J650&lt;'Mapa Oficinas'!$I$21,0,IF(J650&gt;'Mapa Oficinas'!$I$20,0,1))</f>
        <v>1</v>
      </c>
      <c r="L650" t="s">
        <v>23</v>
      </c>
      <c r="M650" t="s">
        <v>23</v>
      </c>
      <c r="N650" t="s">
        <v>5517</v>
      </c>
      <c r="O650" t="s">
        <v>5518</v>
      </c>
      <c r="P650" t="s">
        <v>55</v>
      </c>
      <c r="Q650">
        <v>2</v>
      </c>
      <c r="R650" t="s">
        <v>151</v>
      </c>
      <c r="S650" t="s">
        <v>28</v>
      </c>
      <c r="T650" t="str">
        <f>VLOOKUP(S650,'Mapa Oficinas'!$H$7:$I$16,2,FALSE)</f>
        <v>CB</v>
      </c>
      <c r="U650" t="s">
        <v>29</v>
      </c>
      <c r="V650" t="str">
        <f>VLOOKUP($R650,'Mapa Oficinas'!$A$7:$C$46,2,FALSE)</f>
        <v>Interior - Mendoza</v>
      </c>
      <c r="W650" t="str">
        <f>VLOOKUP($R650,'Mapa Oficinas'!$A$7:$C$46,3,FALSE)</f>
        <v>Capital Mendoza</v>
      </c>
    </row>
    <row r="651" spans="1:23" x14ac:dyDescent="0.2">
      <c r="A651" s="1">
        <v>46108</v>
      </c>
      <c r="B651" s="20">
        <f t="shared" si="20"/>
        <v>2026</v>
      </c>
      <c r="C651" s="20">
        <f t="shared" si="21"/>
        <v>3</v>
      </c>
      <c r="D651" t="s">
        <v>7465</v>
      </c>
      <c r="E651" s="49">
        <v>1</v>
      </c>
      <c r="F651" t="s">
        <v>7465</v>
      </c>
      <c r="G651" t="s">
        <v>21</v>
      </c>
      <c r="H651" t="s">
        <v>90</v>
      </c>
      <c r="I651" s="13">
        <v>71000</v>
      </c>
      <c r="J651" s="13">
        <v>71000</v>
      </c>
      <c r="K651" s="13">
        <f>IF(J651&lt;'Mapa Oficinas'!$I$21,0,IF(J651&gt;'Mapa Oficinas'!$I$20,0,1))</f>
        <v>1</v>
      </c>
      <c r="L651" t="s">
        <v>23</v>
      </c>
      <c r="M651" t="s">
        <v>23</v>
      </c>
      <c r="N651" t="s">
        <v>7465</v>
      </c>
      <c r="O651" t="s">
        <v>7466</v>
      </c>
      <c r="P651" t="s">
        <v>61</v>
      </c>
      <c r="Q651">
        <v>2</v>
      </c>
      <c r="R651" t="s">
        <v>62</v>
      </c>
      <c r="S651" t="s">
        <v>28</v>
      </c>
      <c r="T651" t="str">
        <f>VLOOKUP(S651,'Mapa Oficinas'!$H$7:$I$16,2,FALSE)</f>
        <v>CB</v>
      </c>
      <c r="U651" t="s">
        <v>29</v>
      </c>
      <c r="V651" t="str">
        <f>VLOOKUP($R651,'Mapa Oficinas'!$A$7:$C$46,2,FALSE)</f>
        <v>CABA</v>
      </c>
      <c r="W651" t="str">
        <f>VLOOKUP($R651,'Mapa Oficinas'!$A$7:$C$46,3,FALSE)</f>
        <v>Villa Urquiza</v>
      </c>
    </row>
    <row r="652" spans="1:23" x14ac:dyDescent="0.2">
      <c r="A652" s="1">
        <v>46107</v>
      </c>
      <c r="B652" s="20">
        <f t="shared" si="20"/>
        <v>2026</v>
      </c>
      <c r="C652" s="20">
        <f t="shared" si="21"/>
        <v>3</v>
      </c>
      <c r="D652" t="s">
        <v>7423</v>
      </c>
      <c r="E652" s="49">
        <v>1</v>
      </c>
      <c r="F652" t="s">
        <v>7424</v>
      </c>
      <c r="G652" t="s">
        <v>21</v>
      </c>
      <c r="H652" t="s">
        <v>37</v>
      </c>
      <c r="I652" s="13">
        <v>75000</v>
      </c>
      <c r="J652" s="13">
        <v>71500</v>
      </c>
      <c r="K652" s="13">
        <f>IF(J652&lt;'Mapa Oficinas'!$I$21,0,IF(J652&gt;'Mapa Oficinas'!$I$20,0,1))</f>
        <v>1</v>
      </c>
      <c r="L652" t="s">
        <v>23</v>
      </c>
      <c r="M652" t="s">
        <v>23</v>
      </c>
      <c r="N652" t="s">
        <v>7425</v>
      </c>
      <c r="O652" t="s">
        <v>440</v>
      </c>
      <c r="P652" t="s">
        <v>45</v>
      </c>
      <c r="Q652">
        <v>2</v>
      </c>
      <c r="R652" t="s">
        <v>670</v>
      </c>
      <c r="S652" t="s">
        <v>200</v>
      </c>
      <c r="T652" t="str">
        <f>VLOOKUP(S652,'Mapa Oficinas'!$H$7:$I$16,2,FALSE)</f>
        <v>Otra Red Captación</v>
      </c>
      <c r="U652" t="s">
        <v>29</v>
      </c>
      <c r="V652" t="str">
        <f>VLOOKUP($R652,'Mapa Oficinas'!$A$7:$C$46,2,FALSE)</f>
        <v>CABA</v>
      </c>
      <c r="W652" t="str">
        <f>VLOOKUP($R652,'Mapa Oficinas'!$A$7:$C$46,3,FALSE)</f>
        <v>Recoleta</v>
      </c>
    </row>
    <row r="653" spans="1:23" x14ac:dyDescent="0.2">
      <c r="A653" s="1">
        <v>45803</v>
      </c>
      <c r="B653" s="20">
        <f t="shared" si="20"/>
        <v>2025</v>
      </c>
      <c r="C653" s="20">
        <f t="shared" si="21"/>
        <v>5</v>
      </c>
      <c r="D653" t="s">
        <v>2131</v>
      </c>
      <c r="E653" s="49">
        <v>1</v>
      </c>
      <c r="F653" t="s">
        <v>2132</v>
      </c>
      <c r="G653" t="s">
        <v>21</v>
      </c>
      <c r="H653" t="s">
        <v>70</v>
      </c>
      <c r="I653" s="13">
        <v>71500</v>
      </c>
      <c r="J653" s="13">
        <v>71500</v>
      </c>
      <c r="K653" s="13">
        <f>IF(J653&lt;'Mapa Oficinas'!$I$21,0,IF(J653&gt;'Mapa Oficinas'!$I$20,0,1))</f>
        <v>1</v>
      </c>
      <c r="L653" t="s">
        <v>23</v>
      </c>
      <c r="M653" t="s">
        <v>23</v>
      </c>
      <c r="N653" t="s">
        <v>2133</v>
      </c>
      <c r="O653" t="s">
        <v>72</v>
      </c>
      <c r="P653" t="s">
        <v>45</v>
      </c>
      <c r="Q653">
        <v>2</v>
      </c>
      <c r="R653" t="s">
        <v>73</v>
      </c>
      <c r="S653" t="s">
        <v>28</v>
      </c>
      <c r="T653" t="str">
        <f>VLOOKUP(S653,'Mapa Oficinas'!$H$7:$I$16,2,FALSE)</f>
        <v>CB</v>
      </c>
      <c r="U653" t="s">
        <v>29</v>
      </c>
      <c r="V653" t="str">
        <f>VLOOKUP($R653,'Mapa Oficinas'!$A$7:$C$46,2,FALSE)</f>
        <v>Interior - Salta</v>
      </c>
      <c r="W653" t="str">
        <f>VLOOKUP($R653,'Mapa Oficinas'!$A$7:$C$46,3,FALSE)</f>
        <v>San Lorenzo Chico</v>
      </c>
    </row>
    <row r="654" spans="1:23" x14ac:dyDescent="0.2">
      <c r="A654" s="1">
        <v>45923</v>
      </c>
      <c r="B654" s="20">
        <f t="shared" si="20"/>
        <v>2025</v>
      </c>
      <c r="C654" s="20">
        <f t="shared" si="21"/>
        <v>9</v>
      </c>
      <c r="D654" t="s">
        <v>4286</v>
      </c>
      <c r="E654" s="49">
        <v>1</v>
      </c>
      <c r="F654" t="s">
        <v>4287</v>
      </c>
      <c r="G654" t="s">
        <v>21</v>
      </c>
      <c r="H654" t="s">
        <v>22</v>
      </c>
      <c r="I654" s="13">
        <v>71500</v>
      </c>
      <c r="J654" s="13">
        <v>71500</v>
      </c>
      <c r="K654" s="13">
        <f>IF(J654&lt;'Mapa Oficinas'!$I$21,0,IF(J654&gt;'Mapa Oficinas'!$I$20,0,1))</f>
        <v>1</v>
      </c>
      <c r="L654" t="s">
        <v>23</v>
      </c>
      <c r="M654" t="s">
        <v>23</v>
      </c>
      <c r="O654" t="s">
        <v>573</v>
      </c>
      <c r="P654" t="s">
        <v>26</v>
      </c>
      <c r="Q654">
        <v>2</v>
      </c>
      <c r="R654" t="s">
        <v>321</v>
      </c>
      <c r="S654" t="s">
        <v>28</v>
      </c>
      <c r="T654" t="str">
        <f>VLOOKUP(S654,'Mapa Oficinas'!$H$7:$I$16,2,FALSE)</f>
        <v>CB</v>
      </c>
      <c r="U654" t="s">
        <v>29</v>
      </c>
      <c r="V654" t="str">
        <f>VLOOKUP($R654,'Mapa Oficinas'!$A$7:$C$46,2,FALSE)</f>
        <v>CABA</v>
      </c>
      <c r="W654" t="str">
        <f>VLOOKUP($R654,'Mapa Oficinas'!$A$7:$C$46,3,FALSE)</f>
        <v>Palermo</v>
      </c>
    </row>
    <row r="655" spans="1:23" x14ac:dyDescent="0.2">
      <c r="A655" s="1">
        <v>46058</v>
      </c>
      <c r="B655" s="20">
        <f t="shared" si="20"/>
        <v>2026</v>
      </c>
      <c r="C655" s="20">
        <f t="shared" si="21"/>
        <v>2</v>
      </c>
      <c r="D655" t="s">
        <v>6549</v>
      </c>
      <c r="E655" s="49">
        <v>1</v>
      </c>
      <c r="F655" t="s">
        <v>6550</v>
      </c>
      <c r="G655" t="s">
        <v>21</v>
      </c>
      <c r="H655" t="s">
        <v>37</v>
      </c>
      <c r="I655" s="13">
        <v>77000</v>
      </c>
      <c r="J655" s="13">
        <v>71500</v>
      </c>
      <c r="K655" s="13">
        <f>IF(J655&lt;'Mapa Oficinas'!$I$21,0,IF(J655&gt;'Mapa Oficinas'!$I$20,0,1))</f>
        <v>1</v>
      </c>
      <c r="L655" t="s">
        <v>23</v>
      </c>
      <c r="M655" t="s">
        <v>23</v>
      </c>
      <c r="N655" t="s">
        <v>6551</v>
      </c>
      <c r="O655" t="s">
        <v>92</v>
      </c>
      <c r="P655" t="s">
        <v>45</v>
      </c>
      <c r="Q655">
        <v>2</v>
      </c>
      <c r="R655" t="s">
        <v>429</v>
      </c>
      <c r="S655" t="s">
        <v>28</v>
      </c>
      <c r="T655" t="str">
        <f>VLOOKUP(S655,'Mapa Oficinas'!$H$7:$I$16,2,FALSE)</f>
        <v>CB</v>
      </c>
      <c r="U655" t="s">
        <v>29</v>
      </c>
      <c r="V655" t="str">
        <f>VLOOKUP($R655,'Mapa Oficinas'!$A$7:$C$46,2,FALSE)</f>
        <v>Zona Oeste (GBA)</v>
      </c>
      <c r="W655" t="str">
        <f>VLOOKUP($R655,'Mapa Oficinas'!$A$7:$C$46,3,FALSE)</f>
        <v>Parque Leloir</v>
      </c>
    </row>
    <row r="656" spans="1:23" x14ac:dyDescent="0.2">
      <c r="A656" s="1">
        <v>46083</v>
      </c>
      <c r="B656" s="20">
        <f t="shared" si="20"/>
        <v>2026</v>
      </c>
      <c r="C656" s="20">
        <f t="shared" si="21"/>
        <v>3</v>
      </c>
      <c r="D656" t="s">
        <v>6929</v>
      </c>
      <c r="E656" s="49">
        <v>1</v>
      </c>
      <c r="F656" t="s">
        <v>6930</v>
      </c>
      <c r="G656" t="s">
        <v>21</v>
      </c>
      <c r="H656" t="s">
        <v>37</v>
      </c>
      <c r="I656" s="13">
        <v>143500</v>
      </c>
      <c r="J656" s="13">
        <v>71750</v>
      </c>
      <c r="K656" s="13">
        <f>IF(J656&lt;'Mapa Oficinas'!$I$21,0,IF(J656&gt;'Mapa Oficinas'!$I$20,0,1))</f>
        <v>1</v>
      </c>
      <c r="L656" t="s">
        <v>23</v>
      </c>
      <c r="M656" t="s">
        <v>23</v>
      </c>
      <c r="N656" t="s">
        <v>6930</v>
      </c>
      <c r="O656" t="s">
        <v>6931</v>
      </c>
      <c r="P656" t="s">
        <v>45</v>
      </c>
      <c r="Q656">
        <v>1</v>
      </c>
      <c r="R656" t="s">
        <v>46</v>
      </c>
      <c r="S656" t="s">
        <v>47</v>
      </c>
      <c r="T656" t="str">
        <f>VLOOKUP(S656,'Mapa Oficinas'!$H$7:$I$16,2,FALSE)</f>
        <v>Otra Red Búsqueda</v>
      </c>
      <c r="U656" t="s">
        <v>29</v>
      </c>
      <c r="V656" t="str">
        <f>VLOOKUP($R656,'Mapa Oficinas'!$A$7:$C$46,2,FALSE)</f>
        <v>CABA</v>
      </c>
      <c r="W656" t="str">
        <f>VLOOKUP($R656,'Mapa Oficinas'!$A$7:$C$46,3,FALSE)</f>
        <v>Palermo</v>
      </c>
    </row>
    <row r="657" spans="1:23" x14ac:dyDescent="0.2">
      <c r="A657" s="1">
        <v>45663</v>
      </c>
      <c r="B657" s="20">
        <f t="shared" si="20"/>
        <v>2025</v>
      </c>
      <c r="C657" s="20">
        <f t="shared" si="21"/>
        <v>1</v>
      </c>
      <c r="E657" s="49">
        <v>1</v>
      </c>
      <c r="F657" t="s">
        <v>80</v>
      </c>
      <c r="G657" t="s">
        <v>21</v>
      </c>
      <c r="H657" t="s">
        <v>81</v>
      </c>
      <c r="I657" s="13">
        <v>71793</v>
      </c>
      <c r="J657" s="13">
        <v>71793</v>
      </c>
      <c r="K657" s="13">
        <f>IF(J657&lt;'Mapa Oficinas'!$I$21,0,IF(J657&gt;'Mapa Oficinas'!$I$20,0,1))</f>
        <v>1</v>
      </c>
      <c r="L657" t="s">
        <v>23</v>
      </c>
      <c r="M657" t="s">
        <v>23</v>
      </c>
      <c r="N657" t="s">
        <v>82</v>
      </c>
      <c r="O657" t="s">
        <v>83</v>
      </c>
      <c r="P657" t="s">
        <v>45</v>
      </c>
      <c r="Q657">
        <v>2</v>
      </c>
      <c r="R657" t="s">
        <v>84</v>
      </c>
      <c r="S657" t="s">
        <v>28</v>
      </c>
      <c r="T657" t="str">
        <f>VLOOKUP(S657,'Mapa Oficinas'!$H$7:$I$16,2,FALSE)</f>
        <v>CB</v>
      </c>
      <c r="U657" t="s">
        <v>29</v>
      </c>
      <c r="V657" t="str">
        <f>VLOOKUP($R657,'Mapa Oficinas'!$A$7:$C$46,2,FALSE)</f>
        <v>Interior - Neuquén</v>
      </c>
      <c r="W657" t="str">
        <f>VLOOKUP($R657,'Mapa Oficinas'!$A$7:$C$46,3,FALSE)</f>
        <v>Villa La Angostura</v>
      </c>
    </row>
    <row r="658" spans="1:23" x14ac:dyDescent="0.2">
      <c r="A658" s="1">
        <v>46009</v>
      </c>
      <c r="B658" s="20">
        <f t="shared" si="20"/>
        <v>2025</v>
      </c>
      <c r="C658" s="20">
        <f t="shared" si="21"/>
        <v>12</v>
      </c>
      <c r="D658" t="s">
        <v>5866</v>
      </c>
      <c r="E658" s="49">
        <v>1</v>
      </c>
      <c r="F658" t="s">
        <v>5866</v>
      </c>
      <c r="G658" t="s">
        <v>21</v>
      </c>
      <c r="H658" t="s">
        <v>37</v>
      </c>
      <c r="I658" s="13">
        <v>72000</v>
      </c>
      <c r="J658" s="13">
        <v>72000</v>
      </c>
      <c r="K658" s="13">
        <f>IF(J658&lt;'Mapa Oficinas'!$I$21,0,IF(J658&gt;'Mapa Oficinas'!$I$20,0,1))</f>
        <v>1</v>
      </c>
      <c r="L658" t="s">
        <v>23</v>
      </c>
      <c r="M658" t="s">
        <v>23</v>
      </c>
      <c r="N658" t="s">
        <v>5866</v>
      </c>
      <c r="O658" t="s">
        <v>1677</v>
      </c>
      <c r="P658" t="s">
        <v>45</v>
      </c>
      <c r="Q658">
        <v>1</v>
      </c>
      <c r="R658" t="s">
        <v>56</v>
      </c>
      <c r="S658" t="s">
        <v>122</v>
      </c>
      <c r="T658" t="str">
        <f>VLOOKUP(S658,'Mapa Oficinas'!$H$7:$I$16,2,FALSE)</f>
        <v>Otra Red Búsqueda</v>
      </c>
      <c r="U658" t="s">
        <v>29</v>
      </c>
      <c r="V658" t="str">
        <f>VLOOKUP($R658,'Mapa Oficinas'!$A$7:$C$46,2,FALSE)</f>
        <v>Zona Norte (GBA)</v>
      </c>
      <c r="W658" t="str">
        <f>VLOOKUP($R658,'Mapa Oficinas'!$A$7:$C$46,3,FALSE)</f>
        <v>Vicente López</v>
      </c>
    </row>
    <row r="659" spans="1:23" x14ac:dyDescent="0.2">
      <c r="A659" s="1">
        <v>45790</v>
      </c>
      <c r="B659" s="20">
        <f t="shared" si="20"/>
        <v>2025</v>
      </c>
      <c r="C659" s="20">
        <f t="shared" si="21"/>
        <v>5</v>
      </c>
      <c r="D659" t="s">
        <v>1890</v>
      </c>
      <c r="E659" s="49">
        <v>1</v>
      </c>
      <c r="F659" t="s">
        <v>1891</v>
      </c>
      <c r="G659" t="s">
        <v>21</v>
      </c>
      <c r="H659" t="s">
        <v>70</v>
      </c>
      <c r="I659" s="13">
        <v>2000</v>
      </c>
      <c r="J659" s="13">
        <v>72000</v>
      </c>
      <c r="K659" s="13">
        <f>IF(J659&lt;'Mapa Oficinas'!$I$21,0,IF(J659&gt;'Mapa Oficinas'!$I$20,0,1))</f>
        <v>1</v>
      </c>
      <c r="L659" t="s">
        <v>23</v>
      </c>
      <c r="M659" t="s">
        <v>23</v>
      </c>
      <c r="N659" t="s">
        <v>1892</v>
      </c>
      <c r="O659" t="s">
        <v>1893</v>
      </c>
      <c r="P659" t="s">
        <v>2934</v>
      </c>
      <c r="Q659">
        <v>1</v>
      </c>
      <c r="R659" t="s">
        <v>73</v>
      </c>
      <c r="S659" t="s">
        <v>152</v>
      </c>
      <c r="T659" t="str">
        <f>VLOOKUP(S659,'Mapa Oficinas'!$H$7:$I$16,2,FALSE)</f>
        <v>Otra Red Captación</v>
      </c>
      <c r="U659" t="s">
        <v>29</v>
      </c>
      <c r="V659" t="str">
        <f>VLOOKUP($R659,'Mapa Oficinas'!$A$7:$C$46,2,FALSE)</f>
        <v>Interior - Salta</v>
      </c>
      <c r="W659" t="str">
        <f>VLOOKUP($R659,'Mapa Oficinas'!$A$7:$C$46,3,FALSE)</f>
        <v>San Lorenzo Chico</v>
      </c>
    </row>
    <row r="660" spans="1:23" x14ac:dyDescent="0.2">
      <c r="A660" s="1">
        <v>45831</v>
      </c>
      <c r="B660" s="20">
        <f t="shared" si="20"/>
        <v>2025</v>
      </c>
      <c r="C660" s="20">
        <f t="shared" si="21"/>
        <v>6</v>
      </c>
      <c r="D660" t="s">
        <v>2574</v>
      </c>
      <c r="E660" s="49">
        <v>1</v>
      </c>
      <c r="F660" t="s">
        <v>2575</v>
      </c>
      <c r="G660" t="s">
        <v>21</v>
      </c>
      <c r="H660" t="s">
        <v>70</v>
      </c>
      <c r="I660" s="13">
        <v>72000</v>
      </c>
      <c r="J660" s="13">
        <v>72000</v>
      </c>
      <c r="K660" s="13">
        <f>IF(J660&lt;'Mapa Oficinas'!$I$21,0,IF(J660&gt;'Mapa Oficinas'!$I$20,0,1))</f>
        <v>1</v>
      </c>
      <c r="L660" t="s">
        <v>23</v>
      </c>
      <c r="M660" t="s">
        <v>23</v>
      </c>
      <c r="N660" t="s">
        <v>2576</v>
      </c>
      <c r="O660" t="s">
        <v>72</v>
      </c>
      <c r="P660" t="s">
        <v>45</v>
      </c>
      <c r="Q660">
        <v>1</v>
      </c>
      <c r="R660" t="s">
        <v>73</v>
      </c>
      <c r="S660" t="s">
        <v>152</v>
      </c>
      <c r="T660" t="str">
        <f>VLOOKUP(S660,'Mapa Oficinas'!$H$7:$I$16,2,FALSE)</f>
        <v>Otra Red Captación</v>
      </c>
      <c r="U660" t="s">
        <v>29</v>
      </c>
      <c r="V660" t="str">
        <f>VLOOKUP($R660,'Mapa Oficinas'!$A$7:$C$46,2,FALSE)</f>
        <v>Interior - Salta</v>
      </c>
      <c r="W660" t="str">
        <f>VLOOKUP($R660,'Mapa Oficinas'!$A$7:$C$46,3,FALSE)</f>
        <v>San Lorenzo Chico</v>
      </c>
    </row>
    <row r="661" spans="1:23" x14ac:dyDescent="0.2">
      <c r="A661" s="1">
        <v>45728</v>
      </c>
      <c r="B661" s="20">
        <f t="shared" si="20"/>
        <v>2025</v>
      </c>
      <c r="C661" s="20">
        <f t="shared" si="21"/>
        <v>3</v>
      </c>
      <c r="D661" t="s">
        <v>908</v>
      </c>
      <c r="E661" s="49">
        <v>1</v>
      </c>
      <c r="F661" t="s">
        <v>909</v>
      </c>
      <c r="G661" t="s">
        <v>21</v>
      </c>
      <c r="H661" t="s">
        <v>37</v>
      </c>
      <c r="I661" s="13">
        <v>80000</v>
      </c>
      <c r="J661" s="13">
        <v>72000</v>
      </c>
      <c r="K661" s="13">
        <f>IF(J661&lt;'Mapa Oficinas'!$I$21,0,IF(J661&gt;'Mapa Oficinas'!$I$20,0,1))</f>
        <v>1</v>
      </c>
      <c r="L661" t="s">
        <v>23</v>
      </c>
      <c r="M661" t="s">
        <v>23</v>
      </c>
      <c r="N661" t="s">
        <v>909</v>
      </c>
      <c r="O661" t="s">
        <v>910</v>
      </c>
      <c r="P661" t="s">
        <v>45</v>
      </c>
      <c r="Q661">
        <v>2</v>
      </c>
      <c r="R661" t="s">
        <v>110</v>
      </c>
      <c r="S661" t="s">
        <v>79</v>
      </c>
      <c r="T661" t="str">
        <f>VLOOKUP(S661,'Mapa Oficinas'!$H$7:$I$16,2,FALSE)</f>
        <v>CB</v>
      </c>
      <c r="U661" t="s">
        <v>29</v>
      </c>
      <c r="V661" t="str">
        <f>VLOOKUP($R661,'Mapa Oficinas'!$A$7:$C$46,2,FALSE)</f>
        <v>Zona Norte (GBA)</v>
      </c>
      <c r="W661" t="str">
        <f>VLOOKUP($R661,'Mapa Oficinas'!$A$7:$C$46,3,FALSE)</f>
        <v>Nordelta</v>
      </c>
    </row>
    <row r="662" spans="1:23" x14ac:dyDescent="0.2">
      <c r="A662" s="1">
        <v>45875</v>
      </c>
      <c r="B662" s="20">
        <f t="shared" si="20"/>
        <v>2025</v>
      </c>
      <c r="C662" s="20">
        <f t="shared" si="21"/>
        <v>8</v>
      </c>
      <c r="D662" t="s">
        <v>3434</v>
      </c>
      <c r="E662" s="49">
        <v>1</v>
      </c>
      <c r="F662" t="s">
        <v>3435</v>
      </c>
      <c r="G662" t="s">
        <v>21</v>
      </c>
      <c r="H662" t="s">
        <v>22</v>
      </c>
      <c r="I662" s="13">
        <v>36000</v>
      </c>
      <c r="J662" s="13">
        <v>72000</v>
      </c>
      <c r="K662" s="13">
        <f>IF(J662&lt;'Mapa Oficinas'!$I$21,0,IF(J662&gt;'Mapa Oficinas'!$I$20,0,1))</f>
        <v>1</v>
      </c>
      <c r="L662" t="s">
        <v>23</v>
      </c>
      <c r="M662" t="s">
        <v>23</v>
      </c>
      <c r="N662" t="s">
        <v>3436</v>
      </c>
      <c r="O662" t="s">
        <v>1429</v>
      </c>
      <c r="P662" t="s">
        <v>45</v>
      </c>
      <c r="Q662">
        <v>2</v>
      </c>
      <c r="R662" t="s">
        <v>62</v>
      </c>
      <c r="S662" t="s">
        <v>79</v>
      </c>
      <c r="T662" t="str">
        <f>VLOOKUP(S662,'Mapa Oficinas'!$H$7:$I$16,2,FALSE)</f>
        <v>CB</v>
      </c>
      <c r="U662" t="s">
        <v>29</v>
      </c>
      <c r="V662" t="str">
        <f>VLOOKUP($R662,'Mapa Oficinas'!$A$7:$C$46,2,FALSE)</f>
        <v>CABA</v>
      </c>
      <c r="W662" t="str">
        <f>VLOOKUP($R662,'Mapa Oficinas'!$A$7:$C$46,3,FALSE)</f>
        <v>Villa Urquiza</v>
      </c>
    </row>
    <row r="663" spans="1:23" x14ac:dyDescent="0.2">
      <c r="A663" s="1">
        <v>46002</v>
      </c>
      <c r="B663" s="20">
        <f t="shared" si="20"/>
        <v>2025</v>
      </c>
      <c r="C663" s="20">
        <f t="shared" si="21"/>
        <v>12</v>
      </c>
      <c r="D663" t="s">
        <v>5721</v>
      </c>
      <c r="E663" s="49">
        <v>1</v>
      </c>
      <c r="F663" t="s">
        <v>5722</v>
      </c>
      <c r="G663" t="s">
        <v>21</v>
      </c>
      <c r="H663" t="s">
        <v>90</v>
      </c>
      <c r="I663" s="13">
        <v>75000</v>
      </c>
      <c r="J663" s="13">
        <v>72000</v>
      </c>
      <c r="K663" s="13">
        <f>IF(J663&lt;'Mapa Oficinas'!$I$21,0,IF(J663&gt;'Mapa Oficinas'!$I$20,0,1))</f>
        <v>1</v>
      </c>
      <c r="L663" t="s">
        <v>23</v>
      </c>
      <c r="M663" t="s">
        <v>23</v>
      </c>
      <c r="N663" t="s">
        <v>5723</v>
      </c>
      <c r="O663" t="s">
        <v>333</v>
      </c>
      <c r="P663" t="s">
        <v>61</v>
      </c>
      <c r="Q663">
        <v>2</v>
      </c>
      <c r="R663" t="s">
        <v>62</v>
      </c>
      <c r="S663" t="s">
        <v>79</v>
      </c>
      <c r="T663" t="str">
        <f>VLOOKUP(S663,'Mapa Oficinas'!$H$7:$I$16,2,FALSE)</f>
        <v>CB</v>
      </c>
      <c r="U663" t="s">
        <v>29</v>
      </c>
      <c r="V663" t="str">
        <f>VLOOKUP($R663,'Mapa Oficinas'!$A$7:$C$46,2,FALSE)</f>
        <v>CABA</v>
      </c>
      <c r="W663" t="str">
        <f>VLOOKUP($R663,'Mapa Oficinas'!$A$7:$C$46,3,FALSE)</f>
        <v>Villa Urquiza</v>
      </c>
    </row>
    <row r="664" spans="1:23" x14ac:dyDescent="0.2">
      <c r="A664" s="1">
        <v>45883</v>
      </c>
      <c r="B664" s="20">
        <f t="shared" si="20"/>
        <v>2025</v>
      </c>
      <c r="C664" s="20">
        <f t="shared" si="21"/>
        <v>8</v>
      </c>
      <c r="D664" t="s">
        <v>3591</v>
      </c>
      <c r="E664" s="49">
        <v>3</v>
      </c>
      <c r="F664" t="s">
        <v>3592</v>
      </c>
      <c r="G664" t="s">
        <v>21</v>
      </c>
      <c r="H664" t="s">
        <v>37</v>
      </c>
      <c r="I664" s="13">
        <v>72000</v>
      </c>
      <c r="J664" s="13">
        <v>72000</v>
      </c>
      <c r="K664" s="13">
        <f>IF(J664&lt;'Mapa Oficinas'!$I$21,0,IF(J664&gt;'Mapa Oficinas'!$I$20,0,1))</f>
        <v>1</v>
      </c>
      <c r="L664" t="s">
        <v>23</v>
      </c>
      <c r="M664" t="s">
        <v>23</v>
      </c>
      <c r="O664" t="s">
        <v>976</v>
      </c>
      <c r="P664" t="s">
        <v>45</v>
      </c>
      <c r="Q664">
        <v>2</v>
      </c>
      <c r="R664" t="s">
        <v>46</v>
      </c>
      <c r="S664" t="s">
        <v>232</v>
      </c>
      <c r="T664" t="str">
        <f>VLOOKUP(S664,'Mapa Oficinas'!$H$7:$I$16,2,FALSE)</f>
        <v>CB</v>
      </c>
      <c r="U664" t="s">
        <v>29</v>
      </c>
      <c r="V664" t="str">
        <f>VLOOKUP($R664,'Mapa Oficinas'!$A$7:$C$46,2,FALSE)</f>
        <v>CABA</v>
      </c>
      <c r="W664" t="str">
        <f>VLOOKUP($R664,'Mapa Oficinas'!$A$7:$C$46,3,FALSE)</f>
        <v>Palermo</v>
      </c>
    </row>
    <row r="665" spans="1:23" x14ac:dyDescent="0.2">
      <c r="A665" s="1">
        <v>45880</v>
      </c>
      <c r="B665" s="20">
        <f t="shared" si="20"/>
        <v>2025</v>
      </c>
      <c r="C665" s="20">
        <f t="shared" si="21"/>
        <v>8</v>
      </c>
      <c r="D665">
        <v>10481</v>
      </c>
      <c r="E665" s="49">
        <v>1</v>
      </c>
      <c r="F665" t="s">
        <v>3502</v>
      </c>
      <c r="G665" t="s">
        <v>21</v>
      </c>
      <c r="H665" t="s">
        <v>37</v>
      </c>
      <c r="I665" s="13">
        <v>0</v>
      </c>
      <c r="J665" s="13">
        <v>72000</v>
      </c>
      <c r="K665" s="13">
        <f>IF(J665&lt;'Mapa Oficinas'!$I$21,0,IF(J665&gt;'Mapa Oficinas'!$I$20,0,1))</f>
        <v>1</v>
      </c>
      <c r="L665" t="s">
        <v>23</v>
      </c>
      <c r="M665" t="s">
        <v>23</v>
      </c>
      <c r="O665" t="s">
        <v>390</v>
      </c>
      <c r="P665" t="s">
        <v>45</v>
      </c>
      <c r="Q665">
        <v>1</v>
      </c>
      <c r="R665" t="s">
        <v>67</v>
      </c>
      <c r="S665" t="s">
        <v>47</v>
      </c>
      <c r="T665" t="str">
        <f>VLOOKUP(S665,'Mapa Oficinas'!$H$7:$I$16,2,FALSE)</f>
        <v>Otra Red Búsqueda</v>
      </c>
      <c r="U665" t="s">
        <v>29</v>
      </c>
      <c r="V665" t="str">
        <f>VLOOKUP($R665,'Mapa Oficinas'!$A$7:$C$46,2,FALSE)</f>
        <v>CABA</v>
      </c>
      <c r="W665" t="str">
        <f>VLOOKUP($R665,'Mapa Oficinas'!$A$7:$C$46,3,FALSE)</f>
        <v>Barrio Parque</v>
      </c>
    </row>
    <row r="666" spans="1:23" x14ac:dyDescent="0.2">
      <c r="A666" s="1">
        <v>45912</v>
      </c>
      <c r="B666" s="20">
        <f t="shared" si="20"/>
        <v>2025</v>
      </c>
      <c r="C666" s="20">
        <f t="shared" si="21"/>
        <v>9</v>
      </c>
      <c r="D666">
        <v>33</v>
      </c>
      <c r="E666" s="49">
        <v>1</v>
      </c>
      <c r="F666" t="s">
        <v>4103</v>
      </c>
      <c r="G666" t="s">
        <v>21</v>
      </c>
      <c r="H666" t="s">
        <v>37</v>
      </c>
      <c r="I666" s="13">
        <v>72000</v>
      </c>
      <c r="J666" s="13">
        <v>72000</v>
      </c>
      <c r="K666" s="13">
        <f>IF(J666&lt;'Mapa Oficinas'!$I$21,0,IF(J666&gt;'Mapa Oficinas'!$I$20,0,1))</f>
        <v>1</v>
      </c>
      <c r="L666" t="s">
        <v>23</v>
      </c>
      <c r="M666" t="s">
        <v>23</v>
      </c>
      <c r="N666" t="s">
        <v>4103</v>
      </c>
      <c r="O666" t="s">
        <v>66</v>
      </c>
      <c r="P666" t="s">
        <v>45</v>
      </c>
      <c r="Q666">
        <v>1</v>
      </c>
      <c r="R666" t="s">
        <v>1024</v>
      </c>
      <c r="S666" t="s">
        <v>47</v>
      </c>
      <c r="T666" t="str">
        <f>VLOOKUP(S666,'Mapa Oficinas'!$H$7:$I$16,2,FALSE)</f>
        <v>Otra Red Búsqueda</v>
      </c>
      <c r="U666" t="s">
        <v>29</v>
      </c>
      <c r="V666" t="str">
        <f>VLOOKUP($R666,'Mapa Oficinas'!$A$7:$C$46,2,FALSE)</f>
        <v>CABA</v>
      </c>
      <c r="W666" t="str">
        <f>VLOOKUP($R666,'Mapa Oficinas'!$A$7:$C$46,3,FALSE)</f>
        <v>Puerto Madero</v>
      </c>
    </row>
    <row r="667" spans="1:23" x14ac:dyDescent="0.2">
      <c r="A667" s="1">
        <v>45947</v>
      </c>
      <c r="B667" s="20">
        <f t="shared" si="20"/>
        <v>2025</v>
      </c>
      <c r="C667" s="20">
        <f t="shared" si="21"/>
        <v>10</v>
      </c>
      <c r="E667" s="49">
        <v>1</v>
      </c>
      <c r="F667" t="s">
        <v>4752</v>
      </c>
      <c r="G667" t="s">
        <v>21</v>
      </c>
      <c r="H667" t="s">
        <v>37</v>
      </c>
      <c r="I667" s="13">
        <v>72000</v>
      </c>
      <c r="J667" s="13">
        <v>72000</v>
      </c>
      <c r="K667" s="13">
        <f>IF(J667&lt;'Mapa Oficinas'!$I$21,0,IF(J667&gt;'Mapa Oficinas'!$I$20,0,1))</f>
        <v>1</v>
      </c>
      <c r="L667" t="s">
        <v>23</v>
      </c>
      <c r="M667" t="s">
        <v>23</v>
      </c>
      <c r="N667" t="s">
        <v>4753</v>
      </c>
      <c r="O667" t="s">
        <v>50</v>
      </c>
      <c r="P667" t="s">
        <v>45</v>
      </c>
      <c r="Q667">
        <v>1</v>
      </c>
      <c r="R667" t="s">
        <v>135</v>
      </c>
      <c r="S667" t="s">
        <v>47</v>
      </c>
      <c r="T667" t="str">
        <f>VLOOKUP(S667,'Mapa Oficinas'!$H$7:$I$16,2,FALSE)</f>
        <v>Otra Red Búsqueda</v>
      </c>
      <c r="U667" t="s">
        <v>29</v>
      </c>
      <c r="V667" t="str">
        <f>VLOOKUP($R667,'Mapa Oficinas'!$A$7:$C$46,2,FALSE)</f>
        <v>CABA</v>
      </c>
      <c r="W667" t="str">
        <f>VLOOKUP($R667,'Mapa Oficinas'!$A$7:$C$46,3,FALSE)</f>
        <v>Recoleta</v>
      </c>
    </row>
    <row r="668" spans="1:23" x14ac:dyDescent="0.2">
      <c r="A668" s="1">
        <v>46051</v>
      </c>
      <c r="B668" s="20">
        <f t="shared" si="20"/>
        <v>2026</v>
      </c>
      <c r="C668" s="20">
        <f t="shared" si="21"/>
        <v>1</v>
      </c>
      <c r="D668">
        <v>20</v>
      </c>
      <c r="E668" s="49">
        <v>1</v>
      </c>
      <c r="F668" t="s">
        <v>6451</v>
      </c>
      <c r="G668" t="s">
        <v>21</v>
      </c>
      <c r="H668" t="s">
        <v>22</v>
      </c>
      <c r="I668" s="13">
        <v>0</v>
      </c>
      <c r="J668" s="13">
        <v>72000</v>
      </c>
      <c r="K668" s="13">
        <f>IF(J668&lt;'Mapa Oficinas'!$I$21,0,IF(J668&gt;'Mapa Oficinas'!$I$20,0,1))</f>
        <v>1</v>
      </c>
      <c r="L668" t="s">
        <v>23</v>
      </c>
      <c r="M668" t="s">
        <v>23</v>
      </c>
      <c r="N668" t="s">
        <v>6452</v>
      </c>
      <c r="O668" t="s">
        <v>50</v>
      </c>
      <c r="P668" t="s">
        <v>45</v>
      </c>
      <c r="Q668">
        <v>1</v>
      </c>
      <c r="R668" t="s">
        <v>372</v>
      </c>
      <c r="S668" t="s">
        <v>47</v>
      </c>
      <c r="T668" t="str">
        <f>VLOOKUP(S668,'Mapa Oficinas'!$H$7:$I$16,2,FALSE)</f>
        <v>Otra Red Búsqueda</v>
      </c>
      <c r="U668" t="s">
        <v>29</v>
      </c>
      <c r="V668" t="str">
        <f>VLOOKUP($R668,'Mapa Oficinas'!$A$7:$C$46,2,FALSE)</f>
        <v>CABA</v>
      </c>
      <c r="W668" t="str">
        <f>VLOOKUP($R668,'Mapa Oficinas'!$A$7:$C$46,3,FALSE)</f>
        <v>Caballito</v>
      </c>
    </row>
    <row r="669" spans="1:23" x14ac:dyDescent="0.2">
      <c r="A669" s="1">
        <v>46097</v>
      </c>
      <c r="B669" s="20">
        <f t="shared" si="20"/>
        <v>2026</v>
      </c>
      <c r="C669" s="20">
        <f t="shared" si="21"/>
        <v>3</v>
      </c>
      <c r="D669">
        <v>10723</v>
      </c>
      <c r="E669" s="49">
        <v>1</v>
      </c>
      <c r="F669" t="s">
        <v>7197</v>
      </c>
      <c r="G669" t="s">
        <v>21</v>
      </c>
      <c r="H669" t="s">
        <v>37</v>
      </c>
      <c r="I669" s="13">
        <v>72000</v>
      </c>
      <c r="J669" s="13">
        <v>72000</v>
      </c>
      <c r="K669" s="13">
        <f>IF(J669&lt;'Mapa Oficinas'!$I$21,0,IF(J669&gt;'Mapa Oficinas'!$I$20,0,1))</f>
        <v>1</v>
      </c>
      <c r="L669" t="s">
        <v>23</v>
      </c>
      <c r="M669" t="s">
        <v>23</v>
      </c>
      <c r="N669" t="s">
        <v>7198</v>
      </c>
      <c r="O669" t="s">
        <v>190</v>
      </c>
      <c r="P669" t="s">
        <v>45</v>
      </c>
      <c r="Q669">
        <v>1</v>
      </c>
      <c r="R669" t="s">
        <v>67</v>
      </c>
      <c r="S669" t="s">
        <v>47</v>
      </c>
      <c r="T669" t="str">
        <f>VLOOKUP(S669,'Mapa Oficinas'!$H$7:$I$16,2,FALSE)</f>
        <v>Otra Red Búsqueda</v>
      </c>
      <c r="U669" t="s">
        <v>29</v>
      </c>
      <c r="V669" t="str">
        <f>VLOOKUP($R669,'Mapa Oficinas'!$A$7:$C$46,2,FALSE)</f>
        <v>CABA</v>
      </c>
      <c r="W669" t="str">
        <f>VLOOKUP($R669,'Mapa Oficinas'!$A$7:$C$46,3,FALSE)</f>
        <v>Barrio Parque</v>
      </c>
    </row>
    <row r="670" spans="1:23" x14ac:dyDescent="0.2">
      <c r="A670" s="1">
        <v>45853</v>
      </c>
      <c r="B670" s="20">
        <f t="shared" si="20"/>
        <v>2025</v>
      </c>
      <c r="C670" s="20">
        <f t="shared" si="21"/>
        <v>7</v>
      </c>
      <c r="D670" t="s">
        <v>3041</v>
      </c>
      <c r="E670" s="49">
        <v>1</v>
      </c>
      <c r="F670" t="s">
        <v>3042</v>
      </c>
      <c r="G670" t="s">
        <v>21</v>
      </c>
      <c r="H670" t="s">
        <v>37</v>
      </c>
      <c r="I670" s="13">
        <v>83000</v>
      </c>
      <c r="J670" s="13">
        <v>72000</v>
      </c>
      <c r="K670" s="13">
        <f>IF(J670&lt;'Mapa Oficinas'!$I$21,0,IF(J670&gt;'Mapa Oficinas'!$I$20,0,1))</f>
        <v>1</v>
      </c>
      <c r="L670" t="s">
        <v>23</v>
      </c>
      <c r="M670" t="s">
        <v>23</v>
      </c>
      <c r="N670" t="s">
        <v>3043</v>
      </c>
      <c r="O670" t="s">
        <v>1646</v>
      </c>
      <c r="P670" t="s">
        <v>55</v>
      </c>
      <c r="Q670">
        <v>2</v>
      </c>
      <c r="R670" t="s">
        <v>151</v>
      </c>
      <c r="S670" t="s">
        <v>1265</v>
      </c>
      <c r="T670" t="str">
        <f>VLOOKUP(S670,'Mapa Oficinas'!$H$7:$I$16,2,FALSE)</f>
        <v>CB</v>
      </c>
      <c r="U670" t="s">
        <v>29</v>
      </c>
      <c r="V670" t="str">
        <f>VLOOKUP($R670,'Mapa Oficinas'!$A$7:$C$46,2,FALSE)</f>
        <v>Interior - Mendoza</v>
      </c>
      <c r="W670" t="str">
        <f>VLOOKUP($R670,'Mapa Oficinas'!$A$7:$C$46,3,FALSE)</f>
        <v>Capital Mendoza</v>
      </c>
    </row>
    <row r="671" spans="1:23" x14ac:dyDescent="0.2">
      <c r="A671" s="1">
        <v>45691</v>
      </c>
      <c r="B671" s="20">
        <f t="shared" si="20"/>
        <v>2025</v>
      </c>
      <c r="C671" s="20">
        <f t="shared" si="21"/>
        <v>2</v>
      </c>
      <c r="D671" t="s">
        <v>471</v>
      </c>
      <c r="E671" s="49">
        <v>1</v>
      </c>
      <c r="F671" t="s">
        <v>471</v>
      </c>
      <c r="G671" t="s">
        <v>21</v>
      </c>
      <c r="H671" t="s">
        <v>90</v>
      </c>
      <c r="I671" s="13">
        <v>72000</v>
      </c>
      <c r="J671" s="13">
        <v>72000</v>
      </c>
      <c r="K671" s="13">
        <f>IF(J671&lt;'Mapa Oficinas'!$I$21,0,IF(J671&gt;'Mapa Oficinas'!$I$20,0,1))</f>
        <v>1</v>
      </c>
      <c r="L671" t="s">
        <v>23</v>
      </c>
      <c r="M671" t="s">
        <v>23</v>
      </c>
      <c r="N671" t="s">
        <v>471</v>
      </c>
      <c r="O671" t="s">
        <v>116</v>
      </c>
      <c r="P671" t="s">
        <v>45</v>
      </c>
      <c r="Q671">
        <v>2</v>
      </c>
      <c r="R671" t="s">
        <v>62</v>
      </c>
      <c r="S671" t="s">
        <v>28</v>
      </c>
      <c r="T671" t="str">
        <f>VLOOKUP(S671,'Mapa Oficinas'!$H$7:$I$16,2,FALSE)</f>
        <v>CB</v>
      </c>
      <c r="U671" t="s">
        <v>29</v>
      </c>
      <c r="V671" t="str">
        <f>VLOOKUP($R671,'Mapa Oficinas'!$A$7:$C$46,2,FALSE)</f>
        <v>CABA</v>
      </c>
      <c r="W671" t="str">
        <f>VLOOKUP($R671,'Mapa Oficinas'!$A$7:$C$46,3,FALSE)</f>
        <v>Villa Urquiza</v>
      </c>
    </row>
    <row r="672" spans="1:23" x14ac:dyDescent="0.2">
      <c r="A672" s="1">
        <v>45728</v>
      </c>
      <c r="B672" s="20">
        <f t="shared" si="20"/>
        <v>2025</v>
      </c>
      <c r="C672" s="20">
        <f t="shared" si="21"/>
        <v>3</v>
      </c>
      <c r="D672" t="s">
        <v>904</v>
      </c>
      <c r="E672" s="49">
        <v>1</v>
      </c>
      <c r="F672" t="s">
        <v>905</v>
      </c>
      <c r="G672" t="s">
        <v>21</v>
      </c>
      <c r="H672" t="s">
        <v>37</v>
      </c>
      <c r="I672" s="13">
        <v>80000</v>
      </c>
      <c r="J672" s="13">
        <v>72000</v>
      </c>
      <c r="K672" s="13">
        <f>IF(J672&lt;'Mapa Oficinas'!$I$21,0,IF(J672&gt;'Mapa Oficinas'!$I$20,0,1))</f>
        <v>1</v>
      </c>
      <c r="L672" t="s">
        <v>23</v>
      </c>
      <c r="M672" t="s">
        <v>23</v>
      </c>
      <c r="N672" t="s">
        <v>906</v>
      </c>
      <c r="O672" t="s">
        <v>907</v>
      </c>
      <c r="P672" t="s">
        <v>34</v>
      </c>
      <c r="Q672">
        <v>2</v>
      </c>
      <c r="R672" t="s">
        <v>429</v>
      </c>
      <c r="S672" t="s">
        <v>28</v>
      </c>
      <c r="T672" t="str">
        <f>VLOOKUP(S672,'Mapa Oficinas'!$H$7:$I$16,2,FALSE)</f>
        <v>CB</v>
      </c>
      <c r="U672" t="s">
        <v>29</v>
      </c>
      <c r="V672" t="str">
        <f>VLOOKUP($R672,'Mapa Oficinas'!$A$7:$C$46,2,FALSE)</f>
        <v>Zona Oeste (GBA)</v>
      </c>
      <c r="W672" t="str">
        <f>VLOOKUP($R672,'Mapa Oficinas'!$A$7:$C$46,3,FALSE)</f>
        <v>Parque Leloir</v>
      </c>
    </row>
    <row r="673" spans="1:23" x14ac:dyDescent="0.2">
      <c r="A673" s="1">
        <v>45763</v>
      </c>
      <c r="B673" s="20">
        <f t="shared" si="20"/>
        <v>2025</v>
      </c>
      <c r="C673" s="20">
        <f t="shared" si="21"/>
        <v>4</v>
      </c>
      <c r="E673" s="49">
        <v>1</v>
      </c>
      <c r="F673" t="s">
        <v>1486</v>
      </c>
      <c r="G673" t="s">
        <v>21</v>
      </c>
      <c r="H673" t="s">
        <v>22</v>
      </c>
      <c r="I673" s="13">
        <v>72000</v>
      </c>
      <c r="J673" s="13">
        <v>72000</v>
      </c>
      <c r="K673" s="13">
        <f>IF(J673&lt;'Mapa Oficinas'!$I$21,0,IF(J673&gt;'Mapa Oficinas'!$I$20,0,1))</f>
        <v>1</v>
      </c>
      <c r="L673" t="s">
        <v>23</v>
      </c>
      <c r="M673" t="s">
        <v>23</v>
      </c>
      <c r="O673" t="s">
        <v>1239</v>
      </c>
      <c r="P673" t="s">
        <v>26</v>
      </c>
      <c r="Q673">
        <v>2</v>
      </c>
      <c r="R673" t="s">
        <v>130</v>
      </c>
      <c r="S673" t="s">
        <v>28</v>
      </c>
      <c r="T673" t="str">
        <f>VLOOKUP(S673,'Mapa Oficinas'!$H$7:$I$16,2,FALSE)</f>
        <v>CB</v>
      </c>
      <c r="U673" t="s">
        <v>29</v>
      </c>
      <c r="V673" t="str">
        <f>VLOOKUP($R673,'Mapa Oficinas'!$A$7:$C$46,2,FALSE)</f>
        <v>Interior - Neuquén</v>
      </c>
      <c r="W673" t="str">
        <f>VLOOKUP($R673,'Mapa Oficinas'!$A$7:$C$46,3,FALSE)</f>
        <v>San Martín de los Andes</v>
      </c>
    </row>
    <row r="674" spans="1:23" x14ac:dyDescent="0.2">
      <c r="A674" s="1">
        <v>45891</v>
      </c>
      <c r="B674" s="20">
        <f t="shared" si="20"/>
        <v>2025</v>
      </c>
      <c r="C674" s="20">
        <f t="shared" si="21"/>
        <v>8</v>
      </c>
      <c r="D674" t="s">
        <v>3718</v>
      </c>
      <c r="E674" s="49">
        <v>1</v>
      </c>
      <c r="F674" t="s">
        <v>3719</v>
      </c>
      <c r="G674" t="s">
        <v>21</v>
      </c>
      <c r="H674" t="s">
        <v>37</v>
      </c>
      <c r="I674" s="13">
        <v>74900</v>
      </c>
      <c r="J674" s="13">
        <v>72000</v>
      </c>
      <c r="K674" s="13">
        <f>IF(J674&lt;'Mapa Oficinas'!$I$21,0,IF(J674&gt;'Mapa Oficinas'!$I$20,0,1))</f>
        <v>1</v>
      </c>
      <c r="L674" t="s">
        <v>23</v>
      </c>
      <c r="M674" t="s">
        <v>23</v>
      </c>
      <c r="N674" t="s">
        <v>3720</v>
      </c>
      <c r="O674" t="s">
        <v>141</v>
      </c>
      <c r="P674" t="s">
        <v>45</v>
      </c>
      <c r="Q674">
        <v>2</v>
      </c>
      <c r="R674" t="s">
        <v>135</v>
      </c>
      <c r="S674" t="s">
        <v>28</v>
      </c>
      <c r="T674" t="str">
        <f>VLOOKUP(S674,'Mapa Oficinas'!$H$7:$I$16,2,FALSE)</f>
        <v>CB</v>
      </c>
      <c r="U674" t="s">
        <v>29</v>
      </c>
      <c r="V674" t="str">
        <f>VLOOKUP($R674,'Mapa Oficinas'!$A$7:$C$46,2,FALSE)</f>
        <v>CABA</v>
      </c>
      <c r="W674" t="str">
        <f>VLOOKUP($R674,'Mapa Oficinas'!$A$7:$C$46,3,FALSE)</f>
        <v>Recoleta</v>
      </c>
    </row>
    <row r="675" spans="1:23" x14ac:dyDescent="0.2">
      <c r="A675" s="1">
        <v>46078</v>
      </c>
      <c r="B675" s="20">
        <f t="shared" si="20"/>
        <v>2026</v>
      </c>
      <c r="C675" s="20">
        <f t="shared" si="21"/>
        <v>2</v>
      </c>
      <c r="D675" t="s">
        <v>6844</v>
      </c>
      <c r="E675" s="49">
        <v>1</v>
      </c>
      <c r="F675" t="s">
        <v>6845</v>
      </c>
      <c r="G675" t="s">
        <v>21</v>
      </c>
      <c r="H675" t="s">
        <v>37</v>
      </c>
      <c r="I675" s="13">
        <v>74000</v>
      </c>
      <c r="J675" s="13">
        <v>72000</v>
      </c>
      <c r="K675" s="13">
        <f>IF(J675&lt;'Mapa Oficinas'!$I$21,0,IF(J675&gt;'Mapa Oficinas'!$I$20,0,1))</f>
        <v>1</v>
      </c>
      <c r="L675" t="s">
        <v>23</v>
      </c>
      <c r="M675" t="s">
        <v>23</v>
      </c>
      <c r="N675" t="s">
        <v>6846</v>
      </c>
      <c r="O675" t="s">
        <v>50</v>
      </c>
      <c r="P675" t="s">
        <v>45</v>
      </c>
      <c r="Q675">
        <v>2</v>
      </c>
      <c r="R675" t="s">
        <v>1605</v>
      </c>
      <c r="S675" t="s">
        <v>28</v>
      </c>
      <c r="T675" t="str">
        <f>VLOOKUP(S675,'Mapa Oficinas'!$H$7:$I$16,2,FALSE)</f>
        <v>CB</v>
      </c>
      <c r="U675" t="s">
        <v>29</v>
      </c>
      <c r="V675" t="str">
        <f>VLOOKUP($R675,'Mapa Oficinas'!$A$7:$C$46,2,FALSE)</f>
        <v>CABA</v>
      </c>
      <c r="W675" t="str">
        <f>VLOOKUP($R675,'Mapa Oficinas'!$A$7:$C$46,3,FALSE)</f>
        <v>Núñez</v>
      </c>
    </row>
    <row r="676" spans="1:23" x14ac:dyDescent="0.2">
      <c r="A676" s="1">
        <v>45714</v>
      </c>
      <c r="B676" s="20">
        <f t="shared" si="20"/>
        <v>2025</v>
      </c>
      <c r="C676" s="20">
        <f t="shared" si="21"/>
        <v>2</v>
      </c>
      <c r="D676" t="s">
        <v>760</v>
      </c>
      <c r="E676" s="49">
        <v>1</v>
      </c>
      <c r="F676" t="s">
        <v>760</v>
      </c>
      <c r="G676" t="s">
        <v>21</v>
      </c>
      <c r="H676" t="s">
        <v>37</v>
      </c>
      <c r="I676" s="13">
        <v>72300</v>
      </c>
      <c r="J676" s="13">
        <v>72300</v>
      </c>
      <c r="K676" s="13">
        <f>IF(J676&lt;'Mapa Oficinas'!$I$21,0,IF(J676&gt;'Mapa Oficinas'!$I$20,0,1))</f>
        <v>1</v>
      </c>
      <c r="L676" t="s">
        <v>23</v>
      </c>
      <c r="M676" t="s">
        <v>23</v>
      </c>
      <c r="O676" t="s">
        <v>303</v>
      </c>
      <c r="P676" t="s">
        <v>61</v>
      </c>
      <c r="Q676">
        <v>1</v>
      </c>
      <c r="R676" t="s">
        <v>183</v>
      </c>
      <c r="S676" t="s">
        <v>47</v>
      </c>
      <c r="T676" t="str">
        <f>VLOOKUP(S676,'Mapa Oficinas'!$H$7:$I$16,2,FALSE)</f>
        <v>Otra Red Búsqueda</v>
      </c>
      <c r="U676" t="s">
        <v>29</v>
      </c>
      <c r="V676" t="str">
        <f>VLOOKUP($R676,'Mapa Oficinas'!$A$7:$C$46,2,FALSE)</f>
        <v>Interior - Neuquén</v>
      </c>
      <c r="W676" t="str">
        <f>VLOOKUP($R676,'Mapa Oficinas'!$A$7:$C$46,3,FALSE)</f>
        <v>Capital Neuquén</v>
      </c>
    </row>
    <row r="677" spans="1:23" x14ac:dyDescent="0.2">
      <c r="A677" s="1">
        <v>45889</v>
      </c>
      <c r="B677" s="20">
        <f t="shared" si="20"/>
        <v>2025</v>
      </c>
      <c r="C677" s="20">
        <f t="shared" si="21"/>
        <v>8</v>
      </c>
      <c r="D677" t="s">
        <v>3665</v>
      </c>
      <c r="E677" s="49">
        <v>1</v>
      </c>
      <c r="F677" t="s">
        <v>3666</v>
      </c>
      <c r="G677" t="s">
        <v>21</v>
      </c>
      <c r="H677" t="s">
        <v>90</v>
      </c>
      <c r="I677" s="13">
        <v>87500</v>
      </c>
      <c r="J677" s="13">
        <v>72400</v>
      </c>
      <c r="K677" s="13">
        <f>IF(J677&lt;'Mapa Oficinas'!$I$21,0,IF(J677&gt;'Mapa Oficinas'!$I$20,0,1))</f>
        <v>1</v>
      </c>
      <c r="L677" t="s">
        <v>23</v>
      </c>
      <c r="M677" t="s">
        <v>23</v>
      </c>
      <c r="N677" t="s">
        <v>3667</v>
      </c>
      <c r="O677" t="s">
        <v>102</v>
      </c>
      <c r="P677" t="s">
        <v>45</v>
      </c>
      <c r="Q677">
        <v>2</v>
      </c>
      <c r="R677" t="s">
        <v>103</v>
      </c>
      <c r="S677" t="s">
        <v>28</v>
      </c>
      <c r="T677" t="str">
        <f>VLOOKUP(S677,'Mapa Oficinas'!$H$7:$I$16,2,FALSE)</f>
        <v>CB</v>
      </c>
      <c r="U677" t="s">
        <v>29</v>
      </c>
      <c r="V677" t="str">
        <f>VLOOKUP($R677,'Mapa Oficinas'!$A$7:$C$46,2,FALSE)</f>
        <v>Zona Sur (GBA)</v>
      </c>
      <c r="W677" t="str">
        <f>VLOOKUP($R677,'Mapa Oficinas'!$A$7:$C$46,3,FALSE)</f>
        <v>La Plata</v>
      </c>
    </row>
    <row r="678" spans="1:23" x14ac:dyDescent="0.2">
      <c r="A678" s="1">
        <v>45958</v>
      </c>
      <c r="B678" s="20">
        <f t="shared" si="20"/>
        <v>2025</v>
      </c>
      <c r="C678" s="20">
        <f t="shared" si="21"/>
        <v>10</v>
      </c>
      <c r="D678" t="s">
        <v>4957</v>
      </c>
      <c r="E678" s="49">
        <v>1</v>
      </c>
      <c r="F678" t="s">
        <v>4957</v>
      </c>
      <c r="G678" t="s">
        <v>21</v>
      </c>
      <c r="H678" t="s">
        <v>22</v>
      </c>
      <c r="I678" s="13">
        <v>72500</v>
      </c>
      <c r="J678" s="13">
        <v>72500</v>
      </c>
      <c r="K678" s="13">
        <f>IF(J678&lt;'Mapa Oficinas'!$I$21,0,IF(J678&gt;'Mapa Oficinas'!$I$20,0,1))</f>
        <v>1</v>
      </c>
      <c r="L678" t="s">
        <v>23</v>
      </c>
      <c r="M678" t="s">
        <v>23</v>
      </c>
      <c r="N678" t="s">
        <v>4957</v>
      </c>
      <c r="O678" t="s">
        <v>190</v>
      </c>
      <c r="P678" t="s">
        <v>45</v>
      </c>
      <c r="Q678">
        <v>1</v>
      </c>
      <c r="R678" t="s">
        <v>56</v>
      </c>
      <c r="S678" t="s">
        <v>122</v>
      </c>
      <c r="T678" t="str">
        <f>VLOOKUP(S678,'Mapa Oficinas'!$H$7:$I$16,2,FALSE)</f>
        <v>Otra Red Búsqueda</v>
      </c>
      <c r="U678" t="s">
        <v>29</v>
      </c>
      <c r="V678" t="str">
        <f>VLOOKUP($R678,'Mapa Oficinas'!$A$7:$C$46,2,FALSE)</f>
        <v>Zona Norte (GBA)</v>
      </c>
      <c r="W678" t="str">
        <f>VLOOKUP($R678,'Mapa Oficinas'!$A$7:$C$46,3,FALSE)</f>
        <v>Vicente López</v>
      </c>
    </row>
    <row r="679" spans="1:23" x14ac:dyDescent="0.2">
      <c r="A679" s="1">
        <v>46095</v>
      </c>
      <c r="B679" s="20">
        <f t="shared" si="20"/>
        <v>2026</v>
      </c>
      <c r="C679" s="20">
        <f t="shared" si="21"/>
        <v>3</v>
      </c>
      <c r="D679" t="s">
        <v>7184</v>
      </c>
      <c r="E679" s="49">
        <v>1</v>
      </c>
      <c r="F679" t="s">
        <v>5225</v>
      </c>
      <c r="G679" t="s">
        <v>21</v>
      </c>
      <c r="H679" t="s">
        <v>76</v>
      </c>
      <c r="I679" s="13">
        <v>80000</v>
      </c>
      <c r="J679" s="13">
        <v>72500</v>
      </c>
      <c r="K679" s="13">
        <f>IF(J679&lt;'Mapa Oficinas'!$I$21,0,IF(J679&gt;'Mapa Oficinas'!$I$20,0,1))</f>
        <v>1</v>
      </c>
      <c r="L679" t="s">
        <v>23</v>
      </c>
      <c r="M679" t="s">
        <v>23</v>
      </c>
      <c r="N679" t="s">
        <v>7185</v>
      </c>
      <c r="O679" t="s">
        <v>223</v>
      </c>
      <c r="P679" t="s">
        <v>34</v>
      </c>
      <c r="Q679">
        <v>1</v>
      </c>
      <c r="R679" t="s">
        <v>167</v>
      </c>
      <c r="S679" t="s">
        <v>122</v>
      </c>
      <c r="T679" t="str">
        <f>VLOOKUP(S679,'Mapa Oficinas'!$H$7:$I$16,2,FALSE)</f>
        <v>Otra Red Búsqueda</v>
      </c>
      <c r="U679" t="s">
        <v>29</v>
      </c>
      <c r="V679" t="str">
        <f>VLOOKUP($R679,'Mapa Oficinas'!$A$7:$C$46,2,FALSE)</f>
        <v>Interior - Santa Fe</v>
      </c>
      <c r="W679" t="str">
        <f>VLOOKUP($R679,'Mapa Oficinas'!$A$7:$C$46,3,FALSE)</f>
        <v>Capital Santa Fe</v>
      </c>
    </row>
    <row r="680" spans="1:23" x14ac:dyDescent="0.2">
      <c r="A680" s="1">
        <v>46107</v>
      </c>
      <c r="B680" s="20">
        <f t="shared" si="20"/>
        <v>2026</v>
      </c>
      <c r="C680" s="20">
        <f t="shared" si="21"/>
        <v>3</v>
      </c>
      <c r="D680" t="s">
        <v>7426</v>
      </c>
      <c r="E680" s="49">
        <v>1</v>
      </c>
      <c r="F680" t="s">
        <v>7426</v>
      </c>
      <c r="G680" t="s">
        <v>21</v>
      </c>
      <c r="H680" t="s">
        <v>37</v>
      </c>
      <c r="I680" s="13">
        <v>72500</v>
      </c>
      <c r="J680" s="13">
        <v>72500</v>
      </c>
      <c r="K680" s="13">
        <f>IF(J680&lt;'Mapa Oficinas'!$I$21,0,IF(J680&gt;'Mapa Oficinas'!$I$20,0,1))</f>
        <v>1</v>
      </c>
      <c r="L680" t="s">
        <v>23</v>
      </c>
      <c r="M680" t="s">
        <v>23</v>
      </c>
      <c r="O680" t="s">
        <v>1014</v>
      </c>
      <c r="P680" t="s">
        <v>34</v>
      </c>
      <c r="Q680">
        <v>1</v>
      </c>
      <c r="R680" t="s">
        <v>103</v>
      </c>
      <c r="S680" t="s">
        <v>152</v>
      </c>
      <c r="T680" t="str">
        <f>VLOOKUP(S680,'Mapa Oficinas'!$H$7:$I$16,2,FALSE)</f>
        <v>Otra Red Captación</v>
      </c>
      <c r="U680" t="s">
        <v>29</v>
      </c>
      <c r="V680" t="str">
        <f>VLOOKUP($R680,'Mapa Oficinas'!$A$7:$C$46,2,FALSE)</f>
        <v>Zona Sur (GBA)</v>
      </c>
      <c r="W680" t="str">
        <f>VLOOKUP($R680,'Mapa Oficinas'!$A$7:$C$46,3,FALSE)</f>
        <v>La Plata</v>
      </c>
    </row>
    <row r="681" spans="1:23" x14ac:dyDescent="0.2">
      <c r="A681" s="1">
        <v>46038</v>
      </c>
      <c r="B681" s="20">
        <f t="shared" si="20"/>
        <v>2026</v>
      </c>
      <c r="C681" s="20">
        <f t="shared" si="21"/>
        <v>1</v>
      </c>
      <c r="D681" t="s">
        <v>6281</v>
      </c>
      <c r="E681" s="49">
        <v>1</v>
      </c>
      <c r="F681" t="s">
        <v>6282</v>
      </c>
      <c r="G681" t="s">
        <v>21</v>
      </c>
      <c r="H681" t="s">
        <v>221</v>
      </c>
      <c r="I681" s="13">
        <v>85000</v>
      </c>
      <c r="J681" s="13">
        <v>72500</v>
      </c>
      <c r="K681" s="13">
        <f>IF(J681&lt;'Mapa Oficinas'!$I$21,0,IF(J681&gt;'Mapa Oficinas'!$I$20,0,1))</f>
        <v>1</v>
      </c>
      <c r="L681" t="s">
        <v>23</v>
      </c>
      <c r="M681" t="s">
        <v>23</v>
      </c>
      <c r="N681" t="s">
        <v>6283</v>
      </c>
      <c r="O681" t="s">
        <v>2845</v>
      </c>
      <c r="P681" t="s">
        <v>34</v>
      </c>
      <c r="Q681">
        <v>2</v>
      </c>
      <c r="R681" t="s">
        <v>429</v>
      </c>
      <c r="S681" t="s">
        <v>28</v>
      </c>
      <c r="T681" t="str">
        <f>VLOOKUP(S681,'Mapa Oficinas'!$H$7:$I$16,2,FALSE)</f>
        <v>CB</v>
      </c>
      <c r="U681" t="s">
        <v>29</v>
      </c>
      <c r="V681" t="str">
        <f>VLOOKUP($R681,'Mapa Oficinas'!$A$7:$C$46,2,FALSE)</f>
        <v>Zona Oeste (GBA)</v>
      </c>
      <c r="W681" t="str">
        <f>VLOOKUP($R681,'Mapa Oficinas'!$A$7:$C$46,3,FALSE)</f>
        <v>Parque Leloir</v>
      </c>
    </row>
    <row r="682" spans="1:23" x14ac:dyDescent="0.2">
      <c r="A682" s="1">
        <v>45868</v>
      </c>
      <c r="B682" s="20">
        <f t="shared" si="20"/>
        <v>2025</v>
      </c>
      <c r="C682" s="20">
        <f t="shared" si="21"/>
        <v>7</v>
      </c>
      <c r="D682" t="s">
        <v>3321</v>
      </c>
      <c r="E682" s="49">
        <v>1</v>
      </c>
      <c r="F682" t="s">
        <v>3322</v>
      </c>
      <c r="G682" t="s">
        <v>21</v>
      </c>
      <c r="H682" t="s">
        <v>76</v>
      </c>
      <c r="I682" s="13">
        <v>75000</v>
      </c>
      <c r="J682" s="13">
        <v>73000</v>
      </c>
      <c r="K682" s="13">
        <f>IF(J682&lt;'Mapa Oficinas'!$I$21,0,IF(J682&gt;'Mapa Oficinas'!$I$20,0,1))</f>
        <v>1</v>
      </c>
      <c r="L682" t="s">
        <v>23</v>
      </c>
      <c r="M682" t="s">
        <v>23</v>
      </c>
      <c r="N682" t="s">
        <v>3323</v>
      </c>
      <c r="O682" t="s">
        <v>3324</v>
      </c>
      <c r="P682" t="s">
        <v>45</v>
      </c>
      <c r="Q682">
        <v>1</v>
      </c>
      <c r="R682" t="s">
        <v>167</v>
      </c>
      <c r="S682" t="s">
        <v>122</v>
      </c>
      <c r="T682" t="str">
        <f>VLOOKUP(S682,'Mapa Oficinas'!$H$7:$I$16,2,FALSE)</f>
        <v>Otra Red Búsqueda</v>
      </c>
      <c r="U682" t="s">
        <v>29</v>
      </c>
      <c r="V682" t="str">
        <f>VLOOKUP($R682,'Mapa Oficinas'!$A$7:$C$46,2,FALSE)</f>
        <v>Interior - Santa Fe</v>
      </c>
      <c r="W682" t="str">
        <f>VLOOKUP($R682,'Mapa Oficinas'!$A$7:$C$46,3,FALSE)</f>
        <v>Capital Santa Fe</v>
      </c>
    </row>
    <row r="683" spans="1:23" x14ac:dyDescent="0.2">
      <c r="A683" s="1">
        <v>45936</v>
      </c>
      <c r="B683" s="20">
        <f t="shared" si="20"/>
        <v>2025</v>
      </c>
      <c r="C683" s="20">
        <f t="shared" si="21"/>
        <v>10</v>
      </c>
      <c r="D683" t="s">
        <v>4515</v>
      </c>
      <c r="E683" s="49">
        <v>1</v>
      </c>
      <c r="F683" t="s">
        <v>4516</v>
      </c>
      <c r="G683" t="s">
        <v>21</v>
      </c>
      <c r="H683" t="s">
        <v>81</v>
      </c>
      <c r="I683" s="13">
        <v>73000</v>
      </c>
      <c r="J683" s="13">
        <v>73000</v>
      </c>
      <c r="K683" s="13">
        <f>IF(J683&lt;'Mapa Oficinas'!$I$21,0,IF(J683&gt;'Mapa Oficinas'!$I$20,0,1))</f>
        <v>1</v>
      </c>
      <c r="L683" t="s">
        <v>23</v>
      </c>
      <c r="M683" t="s">
        <v>23</v>
      </c>
      <c r="N683" t="s">
        <v>4517</v>
      </c>
      <c r="O683" t="s">
        <v>223</v>
      </c>
      <c r="P683" t="s">
        <v>45</v>
      </c>
      <c r="Q683">
        <v>1</v>
      </c>
      <c r="R683" t="s">
        <v>167</v>
      </c>
      <c r="S683" t="s">
        <v>122</v>
      </c>
      <c r="T683" t="str">
        <f>VLOOKUP(S683,'Mapa Oficinas'!$H$7:$I$16,2,FALSE)</f>
        <v>Otra Red Búsqueda</v>
      </c>
      <c r="U683" t="s">
        <v>29</v>
      </c>
      <c r="V683" t="str">
        <f>VLOOKUP($R683,'Mapa Oficinas'!$A$7:$C$46,2,FALSE)</f>
        <v>Interior - Santa Fe</v>
      </c>
      <c r="W683" t="str">
        <f>VLOOKUP($R683,'Mapa Oficinas'!$A$7:$C$46,3,FALSE)</f>
        <v>Capital Santa Fe</v>
      </c>
    </row>
    <row r="684" spans="1:23" x14ac:dyDescent="0.2">
      <c r="A684" s="1">
        <v>46062</v>
      </c>
      <c r="B684" s="20">
        <f t="shared" si="20"/>
        <v>2026</v>
      </c>
      <c r="C684" s="20">
        <f t="shared" si="21"/>
        <v>2</v>
      </c>
      <c r="E684" s="49">
        <v>1</v>
      </c>
      <c r="F684" t="s">
        <v>6593</v>
      </c>
      <c r="G684" t="s">
        <v>21</v>
      </c>
      <c r="H684" t="s">
        <v>37</v>
      </c>
      <c r="I684" s="13">
        <v>73000</v>
      </c>
      <c r="J684" s="13">
        <v>73000</v>
      </c>
      <c r="K684" s="13">
        <f>IF(J684&lt;'Mapa Oficinas'!$I$21,0,IF(J684&gt;'Mapa Oficinas'!$I$20,0,1))</f>
        <v>1</v>
      </c>
      <c r="L684" t="s">
        <v>23</v>
      </c>
      <c r="M684" t="s">
        <v>23</v>
      </c>
      <c r="O684" t="s">
        <v>3389</v>
      </c>
      <c r="P684" t="s">
        <v>34</v>
      </c>
      <c r="Q684">
        <v>1</v>
      </c>
      <c r="R684" t="s">
        <v>151</v>
      </c>
      <c r="S684" t="s">
        <v>122</v>
      </c>
      <c r="T684" t="str">
        <f>VLOOKUP(S684,'Mapa Oficinas'!$H$7:$I$16,2,FALSE)</f>
        <v>Otra Red Búsqueda</v>
      </c>
      <c r="U684" t="s">
        <v>29</v>
      </c>
      <c r="V684" t="str">
        <f>VLOOKUP($R684,'Mapa Oficinas'!$A$7:$C$46,2,FALSE)</f>
        <v>Interior - Mendoza</v>
      </c>
      <c r="W684" t="str">
        <f>VLOOKUP($R684,'Mapa Oficinas'!$A$7:$C$46,3,FALSE)</f>
        <v>Capital Mendoza</v>
      </c>
    </row>
    <row r="685" spans="1:23" x14ac:dyDescent="0.2">
      <c r="A685" s="1">
        <v>46066</v>
      </c>
      <c r="B685" s="20">
        <f t="shared" si="20"/>
        <v>2026</v>
      </c>
      <c r="C685" s="20">
        <f t="shared" si="21"/>
        <v>2</v>
      </c>
      <c r="D685" t="s">
        <v>6707</v>
      </c>
      <c r="E685" s="49">
        <v>1</v>
      </c>
      <c r="F685" t="s">
        <v>6708</v>
      </c>
      <c r="G685" t="s">
        <v>21</v>
      </c>
      <c r="H685" t="s">
        <v>37</v>
      </c>
      <c r="I685" s="13">
        <v>80000</v>
      </c>
      <c r="J685" s="13">
        <v>73000</v>
      </c>
      <c r="K685" s="13">
        <f>IF(J685&lt;'Mapa Oficinas'!$I$21,0,IF(J685&gt;'Mapa Oficinas'!$I$20,0,1))</f>
        <v>1</v>
      </c>
      <c r="L685" t="s">
        <v>23</v>
      </c>
      <c r="M685" t="s">
        <v>23</v>
      </c>
      <c r="P685" t="s">
        <v>34</v>
      </c>
      <c r="Q685">
        <v>1</v>
      </c>
      <c r="R685" t="s">
        <v>167</v>
      </c>
      <c r="S685" t="s">
        <v>122</v>
      </c>
      <c r="T685" t="str">
        <f>VLOOKUP(S685,'Mapa Oficinas'!$H$7:$I$16,2,FALSE)</f>
        <v>Otra Red Búsqueda</v>
      </c>
      <c r="U685" t="s">
        <v>29</v>
      </c>
      <c r="V685" t="str">
        <f>VLOOKUP($R685,'Mapa Oficinas'!$A$7:$C$46,2,FALSE)</f>
        <v>Interior - Santa Fe</v>
      </c>
      <c r="W685" t="str">
        <f>VLOOKUP($R685,'Mapa Oficinas'!$A$7:$C$46,3,FALSE)</f>
        <v>Capital Santa Fe</v>
      </c>
    </row>
    <row r="686" spans="1:23" x14ac:dyDescent="0.2">
      <c r="A686" s="1">
        <v>45992</v>
      </c>
      <c r="B686" s="20">
        <f t="shared" si="20"/>
        <v>2025</v>
      </c>
      <c r="C686" s="20">
        <f t="shared" si="21"/>
        <v>12</v>
      </c>
      <c r="D686" t="s">
        <v>5519</v>
      </c>
      <c r="E686" s="49">
        <v>1</v>
      </c>
      <c r="F686" t="s">
        <v>5520</v>
      </c>
      <c r="G686" t="s">
        <v>21</v>
      </c>
      <c r="H686" t="s">
        <v>37</v>
      </c>
      <c r="I686" s="13">
        <v>75000</v>
      </c>
      <c r="J686" s="13">
        <v>73000</v>
      </c>
      <c r="K686" s="13">
        <f>IF(J686&lt;'Mapa Oficinas'!$I$21,0,IF(J686&gt;'Mapa Oficinas'!$I$20,0,1))</f>
        <v>1</v>
      </c>
      <c r="L686" t="s">
        <v>23</v>
      </c>
      <c r="M686" t="s">
        <v>23</v>
      </c>
      <c r="N686" t="s">
        <v>5521</v>
      </c>
      <c r="O686" t="s">
        <v>5522</v>
      </c>
      <c r="P686" t="s">
        <v>34</v>
      </c>
      <c r="Q686">
        <v>2</v>
      </c>
      <c r="R686" t="s">
        <v>151</v>
      </c>
      <c r="S686" t="s">
        <v>79</v>
      </c>
      <c r="T686" t="str">
        <f>VLOOKUP(S686,'Mapa Oficinas'!$H$7:$I$16,2,FALSE)</f>
        <v>CB</v>
      </c>
      <c r="U686" t="s">
        <v>29</v>
      </c>
      <c r="V686" t="str">
        <f>VLOOKUP($R686,'Mapa Oficinas'!$A$7:$C$46,2,FALSE)</f>
        <v>Interior - Mendoza</v>
      </c>
      <c r="W686" t="str">
        <f>VLOOKUP($R686,'Mapa Oficinas'!$A$7:$C$46,3,FALSE)</f>
        <v>Capital Mendoza</v>
      </c>
    </row>
    <row r="687" spans="1:23" x14ac:dyDescent="0.2">
      <c r="A687" s="1">
        <v>45975</v>
      </c>
      <c r="B687" s="20">
        <f t="shared" si="20"/>
        <v>2025</v>
      </c>
      <c r="C687" s="20">
        <f t="shared" si="21"/>
        <v>11</v>
      </c>
      <c r="D687">
        <v>10597</v>
      </c>
      <c r="E687" s="49">
        <v>1</v>
      </c>
      <c r="F687" t="s">
        <v>4760</v>
      </c>
      <c r="G687" t="s">
        <v>21</v>
      </c>
      <c r="H687" t="s">
        <v>37</v>
      </c>
      <c r="I687" s="13">
        <v>73000</v>
      </c>
      <c r="J687" s="13">
        <v>73000</v>
      </c>
      <c r="K687" s="13">
        <f>IF(J687&lt;'Mapa Oficinas'!$I$21,0,IF(J687&gt;'Mapa Oficinas'!$I$20,0,1))</f>
        <v>1</v>
      </c>
      <c r="L687" t="s">
        <v>23</v>
      </c>
      <c r="M687" t="s">
        <v>23</v>
      </c>
      <c r="N687" t="s">
        <v>5230</v>
      </c>
      <c r="O687" t="s">
        <v>261</v>
      </c>
      <c r="P687" t="s">
        <v>45</v>
      </c>
      <c r="Q687">
        <v>1</v>
      </c>
      <c r="R687" t="s">
        <v>67</v>
      </c>
      <c r="S687" t="s">
        <v>47</v>
      </c>
      <c r="T687" t="str">
        <f>VLOOKUP(S687,'Mapa Oficinas'!$H$7:$I$16,2,FALSE)</f>
        <v>Otra Red Búsqueda</v>
      </c>
      <c r="U687" t="s">
        <v>29</v>
      </c>
      <c r="V687" t="str">
        <f>VLOOKUP($R687,'Mapa Oficinas'!$A$7:$C$46,2,FALSE)</f>
        <v>CABA</v>
      </c>
      <c r="W687" t="str">
        <f>VLOOKUP($R687,'Mapa Oficinas'!$A$7:$C$46,3,FALSE)</f>
        <v>Barrio Parque</v>
      </c>
    </row>
    <row r="688" spans="1:23" x14ac:dyDescent="0.2">
      <c r="A688" s="1">
        <v>45979</v>
      </c>
      <c r="B688" s="20">
        <f t="shared" si="20"/>
        <v>2025</v>
      </c>
      <c r="C688" s="20">
        <f t="shared" si="21"/>
        <v>11</v>
      </c>
      <c r="D688">
        <v>2</v>
      </c>
      <c r="E688" s="49">
        <v>1</v>
      </c>
      <c r="F688" t="s">
        <v>5272</v>
      </c>
      <c r="G688" t="s">
        <v>21</v>
      </c>
      <c r="H688" t="s">
        <v>22</v>
      </c>
      <c r="I688" s="13">
        <v>73000</v>
      </c>
      <c r="J688" s="13">
        <v>73000</v>
      </c>
      <c r="K688" s="13">
        <f>IF(J688&lt;'Mapa Oficinas'!$I$21,0,IF(J688&gt;'Mapa Oficinas'!$I$20,0,1))</f>
        <v>1</v>
      </c>
      <c r="L688" t="s">
        <v>23</v>
      </c>
      <c r="M688" t="s">
        <v>23</v>
      </c>
      <c r="N688" t="s">
        <v>5273</v>
      </c>
      <c r="O688" t="s">
        <v>2785</v>
      </c>
      <c r="P688" t="s">
        <v>34</v>
      </c>
      <c r="Q688">
        <v>1</v>
      </c>
      <c r="R688" t="s">
        <v>372</v>
      </c>
      <c r="S688" t="s">
        <v>47</v>
      </c>
      <c r="T688" t="str">
        <f>VLOOKUP(S688,'Mapa Oficinas'!$H$7:$I$16,2,FALSE)</f>
        <v>Otra Red Búsqueda</v>
      </c>
      <c r="U688" t="s">
        <v>29</v>
      </c>
      <c r="V688" t="str">
        <f>VLOOKUP($R688,'Mapa Oficinas'!$A$7:$C$46,2,FALSE)</f>
        <v>CABA</v>
      </c>
      <c r="W688" t="str">
        <f>VLOOKUP($R688,'Mapa Oficinas'!$A$7:$C$46,3,FALSE)</f>
        <v>Caballito</v>
      </c>
    </row>
    <row r="689" spans="1:23" x14ac:dyDescent="0.2">
      <c r="A689" s="1">
        <v>45706</v>
      </c>
      <c r="B689" s="20">
        <f t="shared" si="20"/>
        <v>2025</v>
      </c>
      <c r="C689" s="20">
        <f t="shared" si="21"/>
        <v>2</v>
      </c>
      <c r="D689" t="s">
        <v>661</v>
      </c>
      <c r="E689" s="49">
        <v>1</v>
      </c>
      <c r="F689" t="s">
        <v>662</v>
      </c>
      <c r="G689" t="s">
        <v>21</v>
      </c>
      <c r="H689" t="s">
        <v>37</v>
      </c>
      <c r="I689" s="13">
        <v>73000</v>
      </c>
      <c r="J689" s="13">
        <v>73000</v>
      </c>
      <c r="K689" s="13">
        <f>IF(J689&lt;'Mapa Oficinas'!$I$21,0,IF(J689&gt;'Mapa Oficinas'!$I$20,0,1))</f>
        <v>1</v>
      </c>
      <c r="L689" t="s">
        <v>23</v>
      </c>
      <c r="M689" t="s">
        <v>23</v>
      </c>
      <c r="N689" t="s">
        <v>663</v>
      </c>
      <c r="O689" t="s">
        <v>664</v>
      </c>
      <c r="P689" t="s">
        <v>34</v>
      </c>
      <c r="Q689">
        <v>2</v>
      </c>
      <c r="R689" t="s">
        <v>40</v>
      </c>
      <c r="S689" t="s">
        <v>200</v>
      </c>
      <c r="T689" t="str">
        <f>VLOOKUP(S689,'Mapa Oficinas'!$H$7:$I$16,2,FALSE)</f>
        <v>Otra Red Captación</v>
      </c>
      <c r="U689" t="s">
        <v>29</v>
      </c>
      <c r="V689" t="str">
        <f>VLOOKUP($R689,'Mapa Oficinas'!$A$7:$C$46,2,FALSE)</f>
        <v>CABA</v>
      </c>
      <c r="W689" t="str">
        <f>VLOOKUP($R689,'Mapa Oficinas'!$A$7:$C$46,3,FALSE)</f>
        <v>Núñez</v>
      </c>
    </row>
    <row r="690" spans="1:23" x14ac:dyDescent="0.2">
      <c r="A690" s="1">
        <v>45936</v>
      </c>
      <c r="B690" s="20">
        <f t="shared" si="20"/>
        <v>2025</v>
      </c>
      <c r="C690" s="20">
        <f t="shared" si="21"/>
        <v>10</v>
      </c>
      <c r="D690" t="s">
        <v>4518</v>
      </c>
      <c r="E690" s="49">
        <v>1</v>
      </c>
      <c r="F690" t="s">
        <v>4519</v>
      </c>
      <c r="G690" t="s">
        <v>21</v>
      </c>
      <c r="H690" t="s">
        <v>37</v>
      </c>
      <c r="I690" s="13">
        <v>74900</v>
      </c>
      <c r="J690" s="13">
        <v>73000</v>
      </c>
      <c r="K690" s="13">
        <f>IF(J690&lt;'Mapa Oficinas'!$I$21,0,IF(J690&gt;'Mapa Oficinas'!$I$20,0,1))</f>
        <v>1</v>
      </c>
      <c r="L690" t="s">
        <v>23</v>
      </c>
      <c r="M690" t="s">
        <v>23</v>
      </c>
      <c r="N690" t="s">
        <v>4520</v>
      </c>
      <c r="O690" t="s">
        <v>3224</v>
      </c>
      <c r="P690" t="s">
        <v>61</v>
      </c>
      <c r="Q690">
        <v>2</v>
      </c>
      <c r="R690" t="s">
        <v>517</v>
      </c>
      <c r="S690" t="s">
        <v>200</v>
      </c>
      <c r="T690" t="str">
        <f>VLOOKUP(S690,'Mapa Oficinas'!$H$7:$I$16,2,FALSE)</f>
        <v>Otra Red Captación</v>
      </c>
      <c r="U690" t="s">
        <v>29</v>
      </c>
      <c r="V690" t="str">
        <f>VLOOKUP($R690,'Mapa Oficinas'!$A$7:$C$46,2,FALSE)</f>
        <v>Zona Sur (GBA)</v>
      </c>
      <c r="W690" t="str">
        <f>VLOOKUP($R690,'Mapa Oficinas'!$A$7:$C$46,3,FALSE)</f>
        <v>Canning</v>
      </c>
    </row>
    <row r="691" spans="1:23" x14ac:dyDescent="0.2">
      <c r="A691" s="1">
        <v>45741</v>
      </c>
      <c r="B691" s="20">
        <f t="shared" si="20"/>
        <v>2025</v>
      </c>
      <c r="C691" s="20">
        <f t="shared" si="21"/>
        <v>3</v>
      </c>
      <c r="D691" t="s">
        <v>1078</v>
      </c>
      <c r="E691" s="49">
        <v>1</v>
      </c>
      <c r="F691" t="s">
        <v>1079</v>
      </c>
      <c r="G691" t="s">
        <v>21</v>
      </c>
      <c r="H691" t="s">
        <v>37</v>
      </c>
      <c r="I691" s="13">
        <v>73000</v>
      </c>
      <c r="J691" s="13">
        <v>73000</v>
      </c>
      <c r="K691" s="13">
        <f>IF(J691&lt;'Mapa Oficinas'!$I$21,0,IF(J691&gt;'Mapa Oficinas'!$I$20,0,1))</f>
        <v>1</v>
      </c>
      <c r="L691" t="s">
        <v>23</v>
      </c>
      <c r="M691" t="s">
        <v>23</v>
      </c>
      <c r="N691" t="s">
        <v>1080</v>
      </c>
      <c r="O691" t="s">
        <v>50</v>
      </c>
      <c r="P691" t="s">
        <v>45</v>
      </c>
      <c r="Q691">
        <v>2</v>
      </c>
      <c r="R691" t="s">
        <v>670</v>
      </c>
      <c r="S691" t="s">
        <v>28</v>
      </c>
      <c r="T691" t="str">
        <f>VLOOKUP(S691,'Mapa Oficinas'!$H$7:$I$16,2,FALSE)</f>
        <v>CB</v>
      </c>
      <c r="U691" t="s">
        <v>29</v>
      </c>
      <c r="V691" t="str">
        <f>VLOOKUP($R691,'Mapa Oficinas'!$A$7:$C$46,2,FALSE)</f>
        <v>CABA</v>
      </c>
      <c r="W691" t="str">
        <f>VLOOKUP($R691,'Mapa Oficinas'!$A$7:$C$46,3,FALSE)</f>
        <v>Recoleta</v>
      </c>
    </row>
    <row r="692" spans="1:23" x14ac:dyDescent="0.2">
      <c r="A692" s="1">
        <v>45769</v>
      </c>
      <c r="B692" s="20">
        <f t="shared" si="20"/>
        <v>2025</v>
      </c>
      <c r="C692" s="20">
        <f t="shared" si="21"/>
        <v>4</v>
      </c>
      <c r="D692" t="s">
        <v>1515</v>
      </c>
      <c r="E692" s="49">
        <v>1</v>
      </c>
      <c r="F692" t="s">
        <v>1516</v>
      </c>
      <c r="G692" t="s">
        <v>21</v>
      </c>
      <c r="H692" t="s">
        <v>22</v>
      </c>
      <c r="I692" s="13">
        <v>76000</v>
      </c>
      <c r="J692" s="13">
        <v>73000</v>
      </c>
      <c r="K692" s="13">
        <f>IF(J692&lt;'Mapa Oficinas'!$I$21,0,IF(J692&gt;'Mapa Oficinas'!$I$20,0,1))</f>
        <v>1</v>
      </c>
      <c r="L692" t="s">
        <v>23</v>
      </c>
      <c r="M692" t="s">
        <v>23</v>
      </c>
      <c r="N692" t="s">
        <v>1517</v>
      </c>
      <c r="O692" t="s">
        <v>1518</v>
      </c>
      <c r="P692" t="s">
        <v>34</v>
      </c>
      <c r="Q692">
        <v>2</v>
      </c>
      <c r="R692" t="s">
        <v>62</v>
      </c>
      <c r="S692" t="s">
        <v>28</v>
      </c>
      <c r="T692" t="str">
        <f>VLOOKUP(S692,'Mapa Oficinas'!$H$7:$I$16,2,FALSE)</f>
        <v>CB</v>
      </c>
      <c r="U692" t="s">
        <v>29</v>
      </c>
      <c r="V692" t="str">
        <f>VLOOKUP($R692,'Mapa Oficinas'!$A$7:$C$46,2,FALSE)</f>
        <v>CABA</v>
      </c>
      <c r="W692" t="str">
        <f>VLOOKUP($R692,'Mapa Oficinas'!$A$7:$C$46,3,FALSE)</f>
        <v>Villa Urquiza</v>
      </c>
    </row>
    <row r="693" spans="1:23" x14ac:dyDescent="0.2">
      <c r="A693" s="1">
        <v>45777</v>
      </c>
      <c r="B693" s="20">
        <f t="shared" si="20"/>
        <v>2025</v>
      </c>
      <c r="C693" s="20">
        <f t="shared" si="21"/>
        <v>4</v>
      </c>
      <c r="D693" t="s">
        <v>1724</v>
      </c>
      <c r="E693" s="49">
        <v>1</v>
      </c>
      <c r="F693" t="s">
        <v>1725</v>
      </c>
      <c r="G693" t="s">
        <v>21</v>
      </c>
      <c r="H693" t="s">
        <v>37</v>
      </c>
      <c r="I693" s="13">
        <v>79900</v>
      </c>
      <c r="J693" s="13">
        <v>73000</v>
      </c>
      <c r="K693" s="13">
        <f>IF(J693&lt;'Mapa Oficinas'!$I$21,0,IF(J693&gt;'Mapa Oficinas'!$I$20,0,1))</f>
        <v>1</v>
      </c>
      <c r="L693" t="s">
        <v>23</v>
      </c>
      <c r="M693" t="s">
        <v>23</v>
      </c>
      <c r="N693" t="s">
        <v>1726</v>
      </c>
      <c r="O693" t="s">
        <v>1425</v>
      </c>
      <c r="P693" t="s">
        <v>61</v>
      </c>
      <c r="Q693">
        <v>2</v>
      </c>
      <c r="R693" t="s">
        <v>62</v>
      </c>
      <c r="S693" t="s">
        <v>28</v>
      </c>
      <c r="T693" t="str">
        <f>VLOOKUP(S693,'Mapa Oficinas'!$H$7:$I$16,2,FALSE)</f>
        <v>CB</v>
      </c>
      <c r="U693" t="s">
        <v>29</v>
      </c>
      <c r="V693" t="str">
        <f>VLOOKUP($R693,'Mapa Oficinas'!$A$7:$C$46,2,FALSE)</f>
        <v>CABA</v>
      </c>
      <c r="W693" t="str">
        <f>VLOOKUP($R693,'Mapa Oficinas'!$A$7:$C$46,3,FALSE)</f>
        <v>Villa Urquiza</v>
      </c>
    </row>
    <row r="694" spans="1:23" x14ac:dyDescent="0.2">
      <c r="A694" s="1">
        <v>45796</v>
      </c>
      <c r="B694" s="20">
        <f t="shared" si="20"/>
        <v>2025</v>
      </c>
      <c r="C694" s="20">
        <f t="shared" si="21"/>
        <v>5</v>
      </c>
      <c r="D694" t="s">
        <v>2004</v>
      </c>
      <c r="E694" s="49">
        <v>1</v>
      </c>
      <c r="F694" t="s">
        <v>2005</v>
      </c>
      <c r="G694" t="s">
        <v>21</v>
      </c>
      <c r="H694" t="s">
        <v>37</v>
      </c>
      <c r="I694" s="13">
        <v>79900</v>
      </c>
      <c r="J694" s="13">
        <v>73000</v>
      </c>
      <c r="K694" s="13">
        <f>IF(J694&lt;'Mapa Oficinas'!$I$21,0,IF(J694&gt;'Mapa Oficinas'!$I$20,0,1))</f>
        <v>1</v>
      </c>
      <c r="L694" t="s">
        <v>23</v>
      </c>
      <c r="M694" t="s">
        <v>23</v>
      </c>
      <c r="N694" t="s">
        <v>2006</v>
      </c>
      <c r="O694" t="s">
        <v>634</v>
      </c>
      <c r="P694" t="s">
        <v>45</v>
      </c>
      <c r="Q694">
        <v>2</v>
      </c>
      <c r="R694" t="s">
        <v>62</v>
      </c>
      <c r="S694" t="s">
        <v>28</v>
      </c>
      <c r="T694" t="str">
        <f>VLOOKUP(S694,'Mapa Oficinas'!$H$7:$I$16,2,FALSE)</f>
        <v>CB</v>
      </c>
      <c r="U694" t="s">
        <v>29</v>
      </c>
      <c r="V694" t="str">
        <f>VLOOKUP($R694,'Mapa Oficinas'!$A$7:$C$46,2,FALSE)</f>
        <v>CABA</v>
      </c>
      <c r="W694" t="str">
        <f>VLOOKUP($R694,'Mapa Oficinas'!$A$7:$C$46,3,FALSE)</f>
        <v>Villa Urquiza</v>
      </c>
    </row>
    <row r="695" spans="1:23" x14ac:dyDescent="0.2">
      <c r="A695" s="1">
        <v>45887</v>
      </c>
      <c r="B695" s="20">
        <f t="shared" si="20"/>
        <v>2025</v>
      </c>
      <c r="C695" s="20">
        <f t="shared" si="21"/>
        <v>8</v>
      </c>
      <c r="D695" t="s">
        <v>3614</v>
      </c>
      <c r="E695" s="49">
        <v>1</v>
      </c>
      <c r="F695" t="s">
        <v>3615</v>
      </c>
      <c r="G695" t="s">
        <v>21</v>
      </c>
      <c r="H695" t="s">
        <v>37</v>
      </c>
      <c r="I695" s="13">
        <v>78500</v>
      </c>
      <c r="J695" s="13">
        <v>73000</v>
      </c>
      <c r="K695" s="13">
        <f>IF(J695&lt;'Mapa Oficinas'!$I$21,0,IF(J695&gt;'Mapa Oficinas'!$I$20,0,1))</f>
        <v>1</v>
      </c>
      <c r="L695" t="s">
        <v>23</v>
      </c>
      <c r="M695" t="s">
        <v>23</v>
      </c>
      <c r="N695" t="s">
        <v>3616</v>
      </c>
      <c r="O695" t="s">
        <v>178</v>
      </c>
      <c r="P695" t="s">
        <v>45</v>
      </c>
      <c r="Q695">
        <v>2</v>
      </c>
      <c r="R695" t="s">
        <v>56</v>
      </c>
      <c r="S695" t="s">
        <v>28</v>
      </c>
      <c r="T695" t="str">
        <f>VLOOKUP(S695,'Mapa Oficinas'!$H$7:$I$16,2,FALSE)</f>
        <v>CB</v>
      </c>
      <c r="U695" t="s">
        <v>29</v>
      </c>
      <c r="V695" t="str">
        <f>VLOOKUP($R695,'Mapa Oficinas'!$A$7:$C$46,2,FALSE)</f>
        <v>Zona Norte (GBA)</v>
      </c>
      <c r="W695" t="str">
        <f>VLOOKUP($R695,'Mapa Oficinas'!$A$7:$C$46,3,FALSE)</f>
        <v>Vicente López</v>
      </c>
    </row>
    <row r="696" spans="1:23" x14ac:dyDescent="0.2">
      <c r="A696" s="1">
        <v>45911</v>
      </c>
      <c r="B696" s="20">
        <f t="shared" si="20"/>
        <v>2025</v>
      </c>
      <c r="C696" s="20">
        <f t="shared" si="21"/>
        <v>9</v>
      </c>
      <c r="D696" t="s">
        <v>4077</v>
      </c>
      <c r="E696" s="49">
        <v>1</v>
      </c>
      <c r="F696" t="s">
        <v>4078</v>
      </c>
      <c r="G696" t="s">
        <v>21</v>
      </c>
      <c r="H696" t="s">
        <v>221</v>
      </c>
      <c r="I696" s="13">
        <v>80000</v>
      </c>
      <c r="J696" s="13">
        <v>73000</v>
      </c>
      <c r="K696" s="13">
        <f>IF(J696&lt;'Mapa Oficinas'!$I$21,0,IF(J696&gt;'Mapa Oficinas'!$I$20,0,1))</f>
        <v>1</v>
      </c>
      <c r="L696" t="s">
        <v>23</v>
      </c>
      <c r="M696" t="s">
        <v>23</v>
      </c>
      <c r="N696" t="s">
        <v>4079</v>
      </c>
      <c r="O696" t="s">
        <v>329</v>
      </c>
      <c r="P696" t="s">
        <v>26</v>
      </c>
      <c r="Q696">
        <v>2</v>
      </c>
      <c r="R696" t="s">
        <v>183</v>
      </c>
      <c r="S696" t="s">
        <v>28</v>
      </c>
      <c r="T696" t="str">
        <f>VLOOKUP(S696,'Mapa Oficinas'!$H$7:$I$16,2,FALSE)</f>
        <v>CB</v>
      </c>
      <c r="U696" t="s">
        <v>29</v>
      </c>
      <c r="V696" t="str">
        <f>VLOOKUP($R696,'Mapa Oficinas'!$A$7:$C$46,2,FALSE)</f>
        <v>Interior - Neuquén</v>
      </c>
      <c r="W696" t="str">
        <f>VLOOKUP($R696,'Mapa Oficinas'!$A$7:$C$46,3,FALSE)</f>
        <v>Capital Neuquén</v>
      </c>
    </row>
    <row r="697" spans="1:23" x14ac:dyDescent="0.2">
      <c r="A697" s="1">
        <v>45973</v>
      </c>
      <c r="B697" s="20">
        <f t="shared" si="20"/>
        <v>2025</v>
      </c>
      <c r="C697" s="20">
        <f t="shared" si="21"/>
        <v>11</v>
      </c>
      <c r="D697" t="s">
        <v>5155</v>
      </c>
      <c r="E697" s="49">
        <v>1</v>
      </c>
      <c r="F697" t="s">
        <v>5156</v>
      </c>
      <c r="G697" t="s">
        <v>21</v>
      </c>
      <c r="H697" t="s">
        <v>37</v>
      </c>
      <c r="I697" s="13">
        <v>79800</v>
      </c>
      <c r="J697" s="13">
        <v>73000</v>
      </c>
      <c r="K697" s="13">
        <f>IF(J697&lt;'Mapa Oficinas'!$I$21,0,IF(J697&gt;'Mapa Oficinas'!$I$20,0,1))</f>
        <v>1</v>
      </c>
      <c r="L697" t="s">
        <v>23</v>
      </c>
      <c r="M697" t="s">
        <v>23</v>
      </c>
      <c r="N697" t="s">
        <v>5157</v>
      </c>
      <c r="O697" t="s">
        <v>440</v>
      </c>
      <c r="P697" t="s">
        <v>45</v>
      </c>
      <c r="Q697">
        <v>2</v>
      </c>
      <c r="R697" t="s">
        <v>135</v>
      </c>
      <c r="S697" t="s">
        <v>28</v>
      </c>
      <c r="T697" t="str">
        <f>VLOOKUP(S697,'Mapa Oficinas'!$H$7:$I$16,2,FALSE)</f>
        <v>CB</v>
      </c>
      <c r="U697" t="s">
        <v>29</v>
      </c>
      <c r="V697" t="str">
        <f>VLOOKUP($R697,'Mapa Oficinas'!$A$7:$C$46,2,FALSE)</f>
        <v>CABA</v>
      </c>
      <c r="W697" t="str">
        <f>VLOOKUP($R697,'Mapa Oficinas'!$A$7:$C$46,3,FALSE)</f>
        <v>Recoleta</v>
      </c>
    </row>
    <row r="698" spans="1:23" x14ac:dyDescent="0.2">
      <c r="A698" s="1">
        <v>45995</v>
      </c>
      <c r="B698" s="20">
        <f t="shared" si="20"/>
        <v>2025</v>
      </c>
      <c r="C698" s="20">
        <f t="shared" si="21"/>
        <v>12</v>
      </c>
      <c r="D698" t="s">
        <v>5619</v>
      </c>
      <c r="E698" s="49">
        <v>1</v>
      </c>
      <c r="F698" t="s">
        <v>5620</v>
      </c>
      <c r="G698" t="s">
        <v>21</v>
      </c>
      <c r="H698" t="s">
        <v>37</v>
      </c>
      <c r="I698" s="13">
        <v>75000</v>
      </c>
      <c r="J698" s="13">
        <v>73000</v>
      </c>
      <c r="K698" s="13">
        <f>IF(J698&lt;'Mapa Oficinas'!$I$21,0,IF(J698&gt;'Mapa Oficinas'!$I$20,0,1))</f>
        <v>1</v>
      </c>
      <c r="L698" t="s">
        <v>23</v>
      </c>
      <c r="M698" t="s">
        <v>23</v>
      </c>
      <c r="N698" t="s">
        <v>5621</v>
      </c>
      <c r="O698" t="s">
        <v>2669</v>
      </c>
      <c r="P698" t="s">
        <v>45</v>
      </c>
      <c r="Q698">
        <v>2</v>
      </c>
      <c r="R698" t="s">
        <v>62</v>
      </c>
      <c r="S698" t="s">
        <v>28</v>
      </c>
      <c r="T698" t="str">
        <f>VLOOKUP(S698,'Mapa Oficinas'!$H$7:$I$16,2,FALSE)</f>
        <v>CB</v>
      </c>
      <c r="U698" t="s">
        <v>29</v>
      </c>
      <c r="V698" t="str">
        <f>VLOOKUP($R698,'Mapa Oficinas'!$A$7:$C$46,2,FALSE)</f>
        <v>CABA</v>
      </c>
      <c r="W698" t="str">
        <f>VLOOKUP($R698,'Mapa Oficinas'!$A$7:$C$46,3,FALSE)</f>
        <v>Villa Urquiza</v>
      </c>
    </row>
    <row r="699" spans="1:23" x14ac:dyDescent="0.2">
      <c r="A699" s="1">
        <v>46034</v>
      </c>
      <c r="B699" s="20">
        <f t="shared" si="20"/>
        <v>2026</v>
      </c>
      <c r="C699" s="20">
        <f t="shared" si="21"/>
        <v>1</v>
      </c>
      <c r="D699">
        <v>10657</v>
      </c>
      <c r="E699" s="49">
        <v>1</v>
      </c>
      <c r="F699" t="s">
        <v>6174</v>
      </c>
      <c r="G699" t="s">
        <v>21</v>
      </c>
      <c r="H699" t="s">
        <v>37</v>
      </c>
      <c r="I699" s="13">
        <v>73000</v>
      </c>
      <c r="J699" s="13">
        <v>73000</v>
      </c>
      <c r="K699" s="13">
        <f>IF(J699&lt;'Mapa Oficinas'!$I$21,0,IF(J699&gt;'Mapa Oficinas'!$I$20,0,1))</f>
        <v>1</v>
      </c>
      <c r="L699" t="s">
        <v>23</v>
      </c>
      <c r="M699" t="s">
        <v>23</v>
      </c>
      <c r="N699" t="s">
        <v>6175</v>
      </c>
      <c r="O699" t="s">
        <v>1425</v>
      </c>
      <c r="P699" t="s">
        <v>45</v>
      </c>
      <c r="Q699">
        <v>2</v>
      </c>
      <c r="R699" t="s">
        <v>67</v>
      </c>
      <c r="S699" t="s">
        <v>28</v>
      </c>
      <c r="T699" t="str">
        <f>VLOOKUP(S699,'Mapa Oficinas'!$H$7:$I$16,2,FALSE)</f>
        <v>CB</v>
      </c>
      <c r="U699" t="s">
        <v>29</v>
      </c>
      <c r="V699" t="str">
        <f>VLOOKUP($R699,'Mapa Oficinas'!$A$7:$C$46,2,FALSE)</f>
        <v>CABA</v>
      </c>
      <c r="W699" t="str">
        <f>VLOOKUP($R699,'Mapa Oficinas'!$A$7:$C$46,3,FALSE)</f>
        <v>Barrio Parque</v>
      </c>
    </row>
    <row r="700" spans="1:23" x14ac:dyDescent="0.2">
      <c r="A700" s="1">
        <v>46094</v>
      </c>
      <c r="B700" s="20">
        <f t="shared" si="20"/>
        <v>2026</v>
      </c>
      <c r="C700" s="20">
        <f t="shared" si="21"/>
        <v>3</v>
      </c>
      <c r="D700" t="s">
        <v>7164</v>
      </c>
      <c r="E700" s="49">
        <v>1</v>
      </c>
      <c r="F700" t="s">
        <v>7165</v>
      </c>
      <c r="G700" t="s">
        <v>21</v>
      </c>
      <c r="H700" t="s">
        <v>37</v>
      </c>
      <c r="I700" s="13">
        <v>75000</v>
      </c>
      <c r="J700" s="13">
        <v>73000</v>
      </c>
      <c r="K700" s="13">
        <f>IF(J700&lt;'Mapa Oficinas'!$I$21,0,IF(J700&gt;'Mapa Oficinas'!$I$20,0,1))</f>
        <v>1</v>
      </c>
      <c r="L700" t="s">
        <v>23</v>
      </c>
      <c r="M700" t="s">
        <v>23</v>
      </c>
      <c r="N700" t="s">
        <v>7166</v>
      </c>
      <c r="O700" t="s">
        <v>5518</v>
      </c>
      <c r="P700" t="s">
        <v>45</v>
      </c>
      <c r="Q700">
        <v>2</v>
      </c>
      <c r="R700" t="s">
        <v>151</v>
      </c>
      <c r="S700" t="s">
        <v>28</v>
      </c>
      <c r="T700" t="str">
        <f>VLOOKUP(S700,'Mapa Oficinas'!$H$7:$I$16,2,FALSE)</f>
        <v>CB</v>
      </c>
      <c r="U700" t="s">
        <v>29</v>
      </c>
      <c r="V700" t="str">
        <f>VLOOKUP($R700,'Mapa Oficinas'!$A$7:$C$46,2,FALSE)</f>
        <v>Interior - Mendoza</v>
      </c>
      <c r="W700" t="str">
        <f>VLOOKUP($R700,'Mapa Oficinas'!$A$7:$C$46,3,FALSE)</f>
        <v>Capital Mendoza</v>
      </c>
    </row>
    <row r="701" spans="1:23" x14ac:dyDescent="0.2">
      <c r="A701" s="1">
        <v>46112</v>
      </c>
      <c r="B701" s="20">
        <f t="shared" si="20"/>
        <v>2026</v>
      </c>
      <c r="C701" s="20">
        <f t="shared" si="21"/>
        <v>3</v>
      </c>
      <c r="D701" t="s">
        <v>7552</v>
      </c>
      <c r="E701" s="49">
        <v>1</v>
      </c>
      <c r="F701" t="s">
        <v>7553</v>
      </c>
      <c r="G701" t="s">
        <v>21</v>
      </c>
      <c r="H701" t="s">
        <v>221</v>
      </c>
      <c r="I701" s="13">
        <v>75000</v>
      </c>
      <c r="J701" s="13">
        <v>73000</v>
      </c>
      <c r="K701" s="13">
        <f>IF(J701&lt;'Mapa Oficinas'!$I$21,0,IF(J701&gt;'Mapa Oficinas'!$I$20,0,1))</f>
        <v>1</v>
      </c>
      <c r="L701" t="s">
        <v>23</v>
      </c>
      <c r="M701" t="s">
        <v>23</v>
      </c>
      <c r="N701" t="s">
        <v>7553</v>
      </c>
      <c r="O701" t="s">
        <v>223</v>
      </c>
      <c r="P701" t="s">
        <v>34</v>
      </c>
      <c r="Q701">
        <v>2</v>
      </c>
      <c r="R701" t="s">
        <v>167</v>
      </c>
      <c r="S701" t="s">
        <v>28</v>
      </c>
      <c r="T701" t="str">
        <f>VLOOKUP(S701,'Mapa Oficinas'!$H$7:$I$16,2,FALSE)</f>
        <v>CB</v>
      </c>
      <c r="U701" t="s">
        <v>29</v>
      </c>
      <c r="V701" t="str">
        <f>VLOOKUP($R701,'Mapa Oficinas'!$A$7:$C$46,2,FALSE)</f>
        <v>Interior - Santa Fe</v>
      </c>
      <c r="W701" t="str">
        <f>VLOOKUP($R701,'Mapa Oficinas'!$A$7:$C$46,3,FALSE)</f>
        <v>Capital Santa Fe</v>
      </c>
    </row>
    <row r="702" spans="1:23" x14ac:dyDescent="0.2">
      <c r="A702" s="1">
        <v>45671</v>
      </c>
      <c r="B702" s="20">
        <f t="shared" si="20"/>
        <v>2025</v>
      </c>
      <c r="C702" s="20">
        <f t="shared" si="21"/>
        <v>1</v>
      </c>
      <c r="D702" t="s">
        <v>210</v>
      </c>
      <c r="E702" s="49">
        <v>1</v>
      </c>
      <c r="F702" t="s">
        <v>211</v>
      </c>
      <c r="G702" t="s">
        <v>21</v>
      </c>
      <c r="H702" t="s">
        <v>76</v>
      </c>
      <c r="I702" s="13">
        <v>50500</v>
      </c>
      <c r="J702" s="13">
        <v>73400</v>
      </c>
      <c r="K702" s="13">
        <f>IF(J702&lt;'Mapa Oficinas'!$I$21,0,IF(J702&gt;'Mapa Oficinas'!$I$20,0,1))</f>
        <v>1</v>
      </c>
      <c r="L702" t="s">
        <v>23</v>
      </c>
      <c r="M702" t="s">
        <v>23</v>
      </c>
      <c r="N702" t="s">
        <v>212</v>
      </c>
      <c r="O702" t="s">
        <v>102</v>
      </c>
      <c r="P702" t="s">
        <v>45</v>
      </c>
      <c r="Q702">
        <v>2</v>
      </c>
      <c r="R702" t="s">
        <v>103</v>
      </c>
      <c r="S702" t="s">
        <v>28</v>
      </c>
      <c r="T702" t="str">
        <f>VLOOKUP(S702,'Mapa Oficinas'!$H$7:$I$16,2,FALSE)</f>
        <v>CB</v>
      </c>
      <c r="U702" t="s">
        <v>29</v>
      </c>
      <c r="V702" t="str">
        <f>VLOOKUP($R702,'Mapa Oficinas'!$A$7:$C$46,2,FALSE)</f>
        <v>Zona Sur (GBA)</v>
      </c>
      <c r="W702" t="str">
        <f>VLOOKUP($R702,'Mapa Oficinas'!$A$7:$C$46,3,FALSE)</f>
        <v>La Plata</v>
      </c>
    </row>
    <row r="703" spans="1:23" x14ac:dyDescent="0.2">
      <c r="A703" s="1">
        <v>45709</v>
      </c>
      <c r="B703" s="20">
        <f t="shared" si="20"/>
        <v>2025</v>
      </c>
      <c r="C703" s="20">
        <f t="shared" si="21"/>
        <v>2</v>
      </c>
      <c r="D703" t="s">
        <v>710</v>
      </c>
      <c r="E703" s="49">
        <v>1</v>
      </c>
      <c r="F703" t="s">
        <v>711</v>
      </c>
      <c r="G703" t="s">
        <v>21</v>
      </c>
      <c r="H703" t="s">
        <v>37</v>
      </c>
      <c r="I703" s="13">
        <v>75000</v>
      </c>
      <c r="J703" s="13">
        <v>73500</v>
      </c>
      <c r="K703" s="13">
        <f>IF(J703&lt;'Mapa Oficinas'!$I$21,0,IF(J703&gt;'Mapa Oficinas'!$I$20,0,1))</f>
        <v>1</v>
      </c>
      <c r="L703" t="s">
        <v>23</v>
      </c>
      <c r="M703" t="s">
        <v>23</v>
      </c>
      <c r="N703" t="s">
        <v>712</v>
      </c>
      <c r="O703" t="s">
        <v>713</v>
      </c>
      <c r="P703" t="s">
        <v>45</v>
      </c>
      <c r="Q703">
        <v>2</v>
      </c>
      <c r="R703" t="s">
        <v>67</v>
      </c>
      <c r="S703" t="s">
        <v>28</v>
      </c>
      <c r="T703" t="str">
        <f>VLOOKUP(S703,'Mapa Oficinas'!$H$7:$I$16,2,FALSE)</f>
        <v>CB</v>
      </c>
      <c r="U703" t="s">
        <v>29</v>
      </c>
      <c r="V703" t="str">
        <f>VLOOKUP($R703,'Mapa Oficinas'!$A$7:$C$46,2,FALSE)</f>
        <v>CABA</v>
      </c>
      <c r="W703" t="str">
        <f>VLOOKUP($R703,'Mapa Oficinas'!$A$7:$C$46,3,FALSE)</f>
        <v>Barrio Parque</v>
      </c>
    </row>
    <row r="704" spans="1:23" x14ac:dyDescent="0.2">
      <c r="A704" s="1">
        <v>45798</v>
      </c>
      <c r="B704" s="20">
        <f t="shared" si="20"/>
        <v>2025</v>
      </c>
      <c r="C704" s="20">
        <f t="shared" si="21"/>
        <v>5</v>
      </c>
      <c r="D704" t="s">
        <v>2058</v>
      </c>
      <c r="E704" s="49">
        <v>1</v>
      </c>
      <c r="F704" t="s">
        <v>2058</v>
      </c>
      <c r="G704" t="s">
        <v>21</v>
      </c>
      <c r="H704" t="s">
        <v>37</v>
      </c>
      <c r="I704" s="13">
        <v>73500</v>
      </c>
      <c r="J704" s="13">
        <v>73500</v>
      </c>
      <c r="K704" s="13">
        <f>IF(J704&lt;'Mapa Oficinas'!$I$21,0,IF(J704&gt;'Mapa Oficinas'!$I$20,0,1))</f>
        <v>1</v>
      </c>
      <c r="L704" t="s">
        <v>23</v>
      </c>
      <c r="M704" t="s">
        <v>23</v>
      </c>
      <c r="N704" t="s">
        <v>2058</v>
      </c>
      <c r="P704" t="s">
        <v>45</v>
      </c>
      <c r="Q704">
        <v>2</v>
      </c>
      <c r="R704" t="s">
        <v>62</v>
      </c>
      <c r="S704" t="s">
        <v>28</v>
      </c>
      <c r="T704" t="str">
        <f>VLOOKUP(S704,'Mapa Oficinas'!$H$7:$I$16,2,FALSE)</f>
        <v>CB</v>
      </c>
      <c r="U704" t="s">
        <v>29</v>
      </c>
      <c r="V704" t="str">
        <f>VLOOKUP($R704,'Mapa Oficinas'!$A$7:$C$46,2,FALSE)</f>
        <v>CABA</v>
      </c>
      <c r="W704" t="str">
        <f>VLOOKUP($R704,'Mapa Oficinas'!$A$7:$C$46,3,FALSE)</f>
        <v>Villa Urquiza</v>
      </c>
    </row>
    <row r="705" spans="1:23" x14ac:dyDescent="0.2">
      <c r="A705" s="1">
        <v>46107</v>
      </c>
      <c r="B705" s="20">
        <f t="shared" si="20"/>
        <v>2026</v>
      </c>
      <c r="C705" s="20">
        <f t="shared" si="21"/>
        <v>3</v>
      </c>
      <c r="D705" t="s">
        <v>7427</v>
      </c>
      <c r="E705" s="49">
        <v>1</v>
      </c>
      <c r="F705" t="s">
        <v>7428</v>
      </c>
      <c r="G705" t="s">
        <v>21</v>
      </c>
      <c r="H705" t="s">
        <v>37</v>
      </c>
      <c r="I705" s="13">
        <v>79000</v>
      </c>
      <c r="J705" s="13">
        <v>73500</v>
      </c>
      <c r="K705" s="13">
        <f>IF(J705&lt;'Mapa Oficinas'!$I$21,0,IF(J705&gt;'Mapa Oficinas'!$I$20,0,1))</f>
        <v>1</v>
      </c>
      <c r="L705" t="s">
        <v>23</v>
      </c>
      <c r="M705" t="s">
        <v>23</v>
      </c>
      <c r="N705" t="s">
        <v>7429</v>
      </c>
      <c r="O705" t="s">
        <v>477</v>
      </c>
      <c r="P705" t="s">
        <v>45</v>
      </c>
      <c r="Q705">
        <v>2</v>
      </c>
      <c r="R705" t="s">
        <v>670</v>
      </c>
      <c r="S705" t="s">
        <v>28</v>
      </c>
      <c r="T705" t="str">
        <f>VLOOKUP(S705,'Mapa Oficinas'!$H$7:$I$16,2,FALSE)</f>
        <v>CB</v>
      </c>
      <c r="U705" t="s">
        <v>29</v>
      </c>
      <c r="V705" t="str">
        <f>VLOOKUP($R705,'Mapa Oficinas'!$A$7:$C$46,2,FALSE)</f>
        <v>CABA</v>
      </c>
      <c r="W705" t="str">
        <f>VLOOKUP($R705,'Mapa Oficinas'!$A$7:$C$46,3,FALSE)</f>
        <v>Recoleta</v>
      </c>
    </row>
    <row r="706" spans="1:23" x14ac:dyDescent="0.2">
      <c r="A706" s="1">
        <v>45730</v>
      </c>
      <c r="B706" s="20">
        <f t="shared" ref="B706:B769" si="22">YEAR($A706)</f>
        <v>2025</v>
      </c>
      <c r="C706" s="20">
        <f t="shared" ref="C706:C769" si="23">MONTH($A706)</f>
        <v>3</v>
      </c>
      <c r="D706" t="s">
        <v>562</v>
      </c>
      <c r="E706" s="49">
        <v>1</v>
      </c>
      <c r="F706" t="s">
        <v>550</v>
      </c>
      <c r="G706" t="s">
        <v>21</v>
      </c>
      <c r="H706" t="s">
        <v>100</v>
      </c>
      <c r="I706" s="13">
        <v>73548</v>
      </c>
      <c r="J706" s="13">
        <v>73548</v>
      </c>
      <c r="K706" s="13">
        <f>IF(J706&lt;'Mapa Oficinas'!$I$21,0,IF(J706&gt;'Mapa Oficinas'!$I$20,0,1))</f>
        <v>1</v>
      </c>
      <c r="L706" t="s">
        <v>23</v>
      </c>
      <c r="M706" t="s">
        <v>23</v>
      </c>
      <c r="N706" t="s">
        <v>288</v>
      </c>
      <c r="O706" t="s">
        <v>209</v>
      </c>
      <c r="P706" t="s">
        <v>45</v>
      </c>
      <c r="Q706">
        <v>2</v>
      </c>
      <c r="R706" t="s">
        <v>121</v>
      </c>
      <c r="S706" t="s">
        <v>28</v>
      </c>
      <c r="T706" t="str">
        <f>VLOOKUP(S706,'Mapa Oficinas'!$H$7:$I$16,2,FALSE)</f>
        <v>CB</v>
      </c>
      <c r="U706" t="s">
        <v>29</v>
      </c>
      <c r="V706" t="str">
        <f>VLOOKUP($R706,'Mapa Oficinas'!$A$7:$C$46,2,FALSE)</f>
        <v>Interior - Río Negro</v>
      </c>
      <c r="W706" t="str">
        <f>VLOOKUP($R706,'Mapa Oficinas'!$A$7:$C$46,3,FALSE)</f>
        <v>Bariloche</v>
      </c>
    </row>
    <row r="707" spans="1:23" x14ac:dyDescent="0.2">
      <c r="A707" s="1">
        <v>45905</v>
      </c>
      <c r="B707" s="20">
        <f t="shared" si="22"/>
        <v>2025</v>
      </c>
      <c r="C707" s="20">
        <f t="shared" si="23"/>
        <v>9</v>
      </c>
      <c r="D707" t="s">
        <v>3997</v>
      </c>
      <c r="E707" s="49">
        <v>1</v>
      </c>
      <c r="F707" t="s">
        <v>3998</v>
      </c>
      <c r="G707" t="s">
        <v>21</v>
      </c>
      <c r="H707" t="s">
        <v>90</v>
      </c>
      <c r="I707" s="13">
        <v>119900</v>
      </c>
      <c r="J707" s="13">
        <v>73880</v>
      </c>
      <c r="K707" s="13">
        <f>IF(J707&lt;'Mapa Oficinas'!$I$21,0,IF(J707&gt;'Mapa Oficinas'!$I$20,0,1))</f>
        <v>1</v>
      </c>
      <c r="L707" t="s">
        <v>23</v>
      </c>
      <c r="M707" t="s">
        <v>23</v>
      </c>
      <c r="N707" t="s">
        <v>3999</v>
      </c>
      <c r="O707" t="s">
        <v>2785</v>
      </c>
      <c r="P707" t="s">
        <v>34</v>
      </c>
      <c r="Q707">
        <v>2</v>
      </c>
      <c r="R707" t="s">
        <v>62</v>
      </c>
      <c r="S707" t="s">
        <v>28</v>
      </c>
      <c r="T707" t="str">
        <f>VLOOKUP(S707,'Mapa Oficinas'!$H$7:$I$16,2,FALSE)</f>
        <v>CB</v>
      </c>
      <c r="U707" t="s">
        <v>29</v>
      </c>
      <c r="V707" t="str">
        <f>VLOOKUP($R707,'Mapa Oficinas'!$A$7:$C$46,2,FALSE)</f>
        <v>CABA</v>
      </c>
      <c r="W707" t="str">
        <f>VLOOKUP($R707,'Mapa Oficinas'!$A$7:$C$46,3,FALSE)</f>
        <v>Villa Urquiza</v>
      </c>
    </row>
    <row r="708" spans="1:23" x14ac:dyDescent="0.2">
      <c r="A708" s="1">
        <v>45877</v>
      </c>
      <c r="B708" s="20">
        <f t="shared" si="22"/>
        <v>2025</v>
      </c>
      <c r="C708" s="20">
        <f t="shared" si="23"/>
        <v>8</v>
      </c>
      <c r="D708">
        <v>8082025</v>
      </c>
      <c r="E708" s="49">
        <v>1</v>
      </c>
      <c r="F708" t="s">
        <v>3477</v>
      </c>
      <c r="G708" t="s">
        <v>21</v>
      </c>
      <c r="H708" t="s">
        <v>100</v>
      </c>
      <c r="I708" s="13">
        <v>74000</v>
      </c>
      <c r="J708" s="13">
        <v>74000</v>
      </c>
      <c r="K708" s="13">
        <f>IF(J708&lt;'Mapa Oficinas'!$I$21,0,IF(J708&gt;'Mapa Oficinas'!$I$20,0,1))</f>
        <v>1</v>
      </c>
      <c r="L708" t="s">
        <v>23</v>
      </c>
      <c r="M708" t="s">
        <v>23</v>
      </c>
      <c r="O708" t="s">
        <v>120</v>
      </c>
      <c r="P708" t="s">
        <v>45</v>
      </c>
      <c r="Q708">
        <v>1</v>
      </c>
      <c r="R708" t="s">
        <v>121</v>
      </c>
      <c r="S708" t="s">
        <v>122</v>
      </c>
      <c r="T708" t="str">
        <f>VLOOKUP(S708,'Mapa Oficinas'!$H$7:$I$16,2,FALSE)</f>
        <v>Otra Red Búsqueda</v>
      </c>
      <c r="U708" t="s">
        <v>29</v>
      </c>
      <c r="V708" t="str">
        <f>VLOOKUP($R708,'Mapa Oficinas'!$A$7:$C$46,2,FALSE)</f>
        <v>Interior - Río Negro</v>
      </c>
      <c r="W708" t="str">
        <f>VLOOKUP($R708,'Mapa Oficinas'!$A$7:$C$46,3,FALSE)</f>
        <v>Bariloche</v>
      </c>
    </row>
    <row r="709" spans="1:23" x14ac:dyDescent="0.2">
      <c r="A709" s="1">
        <v>45993</v>
      </c>
      <c r="B709" s="20">
        <f t="shared" si="22"/>
        <v>2025</v>
      </c>
      <c r="C709" s="20">
        <f t="shared" si="23"/>
        <v>12</v>
      </c>
      <c r="D709" t="s">
        <v>5588</v>
      </c>
      <c r="E709" s="49">
        <v>1</v>
      </c>
      <c r="F709" t="s">
        <v>5589</v>
      </c>
      <c r="G709" t="s">
        <v>21</v>
      </c>
      <c r="H709" t="s">
        <v>81</v>
      </c>
      <c r="I709" s="13">
        <v>78000</v>
      </c>
      <c r="J709" s="13">
        <v>74000</v>
      </c>
      <c r="K709" s="13">
        <f>IF(J709&lt;'Mapa Oficinas'!$I$21,0,IF(J709&gt;'Mapa Oficinas'!$I$20,0,1))</f>
        <v>1</v>
      </c>
      <c r="L709" t="s">
        <v>23</v>
      </c>
      <c r="M709" t="s">
        <v>23</v>
      </c>
      <c r="N709" t="s">
        <v>5590</v>
      </c>
      <c r="O709" t="s">
        <v>1469</v>
      </c>
      <c r="P709" t="s">
        <v>34</v>
      </c>
      <c r="Q709">
        <v>1</v>
      </c>
      <c r="R709" t="s">
        <v>167</v>
      </c>
      <c r="S709" t="s">
        <v>122</v>
      </c>
      <c r="T709" t="str">
        <f>VLOOKUP(S709,'Mapa Oficinas'!$H$7:$I$16,2,FALSE)</f>
        <v>Otra Red Búsqueda</v>
      </c>
      <c r="U709" t="s">
        <v>29</v>
      </c>
      <c r="V709" t="str">
        <f>VLOOKUP($R709,'Mapa Oficinas'!$A$7:$C$46,2,FALSE)</f>
        <v>Interior - Santa Fe</v>
      </c>
      <c r="W709" t="str">
        <f>VLOOKUP($R709,'Mapa Oficinas'!$A$7:$C$46,3,FALSE)</f>
        <v>Capital Santa Fe</v>
      </c>
    </row>
    <row r="710" spans="1:23" x14ac:dyDescent="0.2">
      <c r="A710" s="1">
        <v>45918</v>
      </c>
      <c r="B710" s="20">
        <f t="shared" si="22"/>
        <v>2025</v>
      </c>
      <c r="C710" s="20">
        <f t="shared" si="23"/>
        <v>9</v>
      </c>
      <c r="D710" t="s">
        <v>4216</v>
      </c>
      <c r="E710" s="49">
        <v>1</v>
      </c>
      <c r="F710" t="s">
        <v>4217</v>
      </c>
      <c r="G710" t="s">
        <v>21</v>
      </c>
      <c r="H710" t="s">
        <v>37</v>
      </c>
      <c r="I710" s="13">
        <v>74000</v>
      </c>
      <c r="J710" s="13">
        <v>74000</v>
      </c>
      <c r="K710" s="13">
        <f>IF(J710&lt;'Mapa Oficinas'!$I$21,0,IF(J710&gt;'Mapa Oficinas'!$I$20,0,1))</f>
        <v>1</v>
      </c>
      <c r="L710" t="s">
        <v>23</v>
      </c>
      <c r="M710" t="s">
        <v>23</v>
      </c>
      <c r="O710" t="s">
        <v>822</v>
      </c>
      <c r="P710" t="s">
        <v>45</v>
      </c>
      <c r="Q710">
        <v>1</v>
      </c>
      <c r="R710" t="s">
        <v>321</v>
      </c>
      <c r="S710" t="s">
        <v>47</v>
      </c>
      <c r="T710" t="str">
        <f>VLOOKUP(S710,'Mapa Oficinas'!$H$7:$I$16,2,FALSE)</f>
        <v>Otra Red Búsqueda</v>
      </c>
      <c r="U710" t="s">
        <v>29</v>
      </c>
      <c r="V710" t="str">
        <f>VLOOKUP($R710,'Mapa Oficinas'!$A$7:$C$46,2,FALSE)</f>
        <v>CABA</v>
      </c>
      <c r="W710" t="str">
        <f>VLOOKUP($R710,'Mapa Oficinas'!$A$7:$C$46,3,FALSE)</f>
        <v>Palermo</v>
      </c>
    </row>
    <row r="711" spans="1:23" x14ac:dyDescent="0.2">
      <c r="A711" s="1">
        <v>45700</v>
      </c>
      <c r="B711" s="20">
        <f t="shared" si="22"/>
        <v>2025</v>
      </c>
      <c r="C711" s="20">
        <f t="shared" si="23"/>
        <v>2</v>
      </c>
      <c r="D711" t="s">
        <v>563</v>
      </c>
      <c r="E711" s="49">
        <v>1</v>
      </c>
      <c r="F711" t="s">
        <v>564</v>
      </c>
      <c r="G711" t="s">
        <v>21</v>
      </c>
      <c r="H711" t="s">
        <v>37</v>
      </c>
      <c r="I711" s="13">
        <v>79000</v>
      </c>
      <c r="J711" s="13">
        <v>74000</v>
      </c>
      <c r="K711" s="13">
        <f>IF(J711&lt;'Mapa Oficinas'!$I$21,0,IF(J711&gt;'Mapa Oficinas'!$I$20,0,1))</f>
        <v>1</v>
      </c>
      <c r="L711" t="s">
        <v>23</v>
      </c>
      <c r="M711" t="s">
        <v>23</v>
      </c>
      <c r="N711" t="s">
        <v>565</v>
      </c>
      <c r="O711" t="s">
        <v>456</v>
      </c>
      <c r="P711" t="s">
        <v>45</v>
      </c>
      <c r="Q711">
        <v>2</v>
      </c>
      <c r="R711" t="s">
        <v>67</v>
      </c>
      <c r="S711" t="s">
        <v>200</v>
      </c>
      <c r="T711" t="str">
        <f>VLOOKUP(S711,'Mapa Oficinas'!$H$7:$I$16,2,FALSE)</f>
        <v>Otra Red Captación</v>
      </c>
      <c r="U711" t="s">
        <v>29</v>
      </c>
      <c r="V711" t="str">
        <f>VLOOKUP($R711,'Mapa Oficinas'!$A$7:$C$46,2,FALSE)</f>
        <v>CABA</v>
      </c>
      <c r="W711" t="str">
        <f>VLOOKUP($R711,'Mapa Oficinas'!$A$7:$C$46,3,FALSE)</f>
        <v>Barrio Parque</v>
      </c>
    </row>
    <row r="712" spans="1:23" x14ac:dyDescent="0.2">
      <c r="A712" s="1">
        <v>45832</v>
      </c>
      <c r="B712" s="20">
        <f t="shared" si="22"/>
        <v>2025</v>
      </c>
      <c r="C712" s="20">
        <f t="shared" si="23"/>
        <v>6</v>
      </c>
      <c r="D712" t="s">
        <v>2597</v>
      </c>
      <c r="E712" s="49">
        <v>1</v>
      </c>
      <c r="F712" t="s">
        <v>2598</v>
      </c>
      <c r="G712" t="s">
        <v>21</v>
      </c>
      <c r="H712" t="s">
        <v>37</v>
      </c>
      <c r="I712" s="13">
        <v>74000</v>
      </c>
      <c r="J712" s="13">
        <v>74000</v>
      </c>
      <c r="K712" s="13">
        <f>IF(J712&lt;'Mapa Oficinas'!$I$21,0,IF(J712&gt;'Mapa Oficinas'!$I$20,0,1))</f>
        <v>1</v>
      </c>
      <c r="L712" t="s">
        <v>23</v>
      </c>
      <c r="M712" t="s">
        <v>23</v>
      </c>
      <c r="N712" t="s">
        <v>2599</v>
      </c>
      <c r="O712" t="s">
        <v>303</v>
      </c>
      <c r="P712" t="s">
        <v>45</v>
      </c>
      <c r="Q712">
        <v>2</v>
      </c>
      <c r="R712" t="s">
        <v>183</v>
      </c>
      <c r="S712" t="s">
        <v>200</v>
      </c>
      <c r="T712" t="str">
        <f>VLOOKUP(S712,'Mapa Oficinas'!$H$7:$I$16,2,FALSE)</f>
        <v>Otra Red Captación</v>
      </c>
      <c r="U712" t="s">
        <v>29</v>
      </c>
      <c r="V712" t="str">
        <f>VLOOKUP($R712,'Mapa Oficinas'!$A$7:$C$46,2,FALSE)</f>
        <v>Interior - Neuquén</v>
      </c>
      <c r="W712" t="str">
        <f>VLOOKUP($R712,'Mapa Oficinas'!$A$7:$C$46,3,FALSE)</f>
        <v>Capital Neuquén</v>
      </c>
    </row>
    <row r="713" spans="1:23" x14ac:dyDescent="0.2">
      <c r="A713" s="1">
        <v>45796</v>
      </c>
      <c r="B713" s="20">
        <f t="shared" si="22"/>
        <v>2025</v>
      </c>
      <c r="C713" s="20">
        <f t="shared" si="23"/>
        <v>5</v>
      </c>
      <c r="D713" t="s">
        <v>2007</v>
      </c>
      <c r="E713" s="49">
        <v>1</v>
      </c>
      <c r="F713" t="s">
        <v>2008</v>
      </c>
      <c r="G713" t="s">
        <v>21</v>
      </c>
      <c r="H713" t="s">
        <v>37</v>
      </c>
      <c r="I713" s="13">
        <v>80000</v>
      </c>
      <c r="J713" s="13">
        <v>74000</v>
      </c>
      <c r="K713" s="13">
        <f>IF(J713&lt;'Mapa Oficinas'!$I$21,0,IF(J713&gt;'Mapa Oficinas'!$I$20,0,1))</f>
        <v>1</v>
      </c>
      <c r="L713" t="s">
        <v>23</v>
      </c>
      <c r="M713" t="s">
        <v>23</v>
      </c>
      <c r="N713" t="s">
        <v>2009</v>
      </c>
      <c r="O713" t="s">
        <v>329</v>
      </c>
      <c r="P713" t="s">
        <v>45</v>
      </c>
      <c r="Q713">
        <v>2</v>
      </c>
      <c r="R713" t="s">
        <v>183</v>
      </c>
      <c r="S713" t="s">
        <v>28</v>
      </c>
      <c r="T713" t="str">
        <f>VLOOKUP(S713,'Mapa Oficinas'!$H$7:$I$16,2,FALSE)</f>
        <v>CB</v>
      </c>
      <c r="U713" t="s">
        <v>29</v>
      </c>
      <c r="V713" t="str">
        <f>VLOOKUP($R713,'Mapa Oficinas'!$A$7:$C$46,2,FALSE)</f>
        <v>Interior - Neuquén</v>
      </c>
      <c r="W713" t="str">
        <f>VLOOKUP($R713,'Mapa Oficinas'!$A$7:$C$46,3,FALSE)</f>
        <v>Capital Neuquén</v>
      </c>
    </row>
    <row r="714" spans="1:23" x14ac:dyDescent="0.2">
      <c r="A714" s="1">
        <v>45980</v>
      </c>
      <c r="B714" s="20">
        <f t="shared" si="22"/>
        <v>2025</v>
      </c>
      <c r="C714" s="20">
        <f t="shared" si="23"/>
        <v>11</v>
      </c>
      <c r="D714" t="s">
        <v>5308</v>
      </c>
      <c r="E714" s="49">
        <v>1</v>
      </c>
      <c r="F714" t="s">
        <v>5309</v>
      </c>
      <c r="G714" t="s">
        <v>21</v>
      </c>
      <c r="H714" t="s">
        <v>22</v>
      </c>
      <c r="I714" s="13">
        <v>77900</v>
      </c>
      <c r="J714" s="13">
        <v>74000</v>
      </c>
      <c r="K714" s="13">
        <f>IF(J714&lt;'Mapa Oficinas'!$I$21,0,IF(J714&gt;'Mapa Oficinas'!$I$20,0,1))</f>
        <v>1</v>
      </c>
      <c r="L714" t="s">
        <v>23</v>
      </c>
      <c r="M714" t="s">
        <v>23</v>
      </c>
      <c r="N714" t="s">
        <v>5310</v>
      </c>
      <c r="O714" t="s">
        <v>976</v>
      </c>
      <c r="P714" t="s">
        <v>45</v>
      </c>
      <c r="Q714">
        <v>2</v>
      </c>
      <c r="R714" t="s">
        <v>170</v>
      </c>
      <c r="S714" t="s">
        <v>28</v>
      </c>
      <c r="T714" t="str">
        <f>VLOOKUP(S714,'Mapa Oficinas'!$H$7:$I$16,2,FALSE)</f>
        <v>CB</v>
      </c>
      <c r="U714" t="s">
        <v>29</v>
      </c>
      <c r="V714" t="str">
        <f>VLOOKUP($R714,'Mapa Oficinas'!$A$7:$C$46,2,FALSE)</f>
        <v>CABA</v>
      </c>
      <c r="W714" t="str">
        <f>VLOOKUP($R714,'Mapa Oficinas'!$A$7:$C$46,3,FALSE)</f>
        <v>Belgrano</v>
      </c>
    </row>
    <row r="715" spans="1:23" x14ac:dyDescent="0.2">
      <c r="A715" s="1">
        <v>46003</v>
      </c>
      <c r="B715" s="20">
        <f t="shared" si="22"/>
        <v>2025</v>
      </c>
      <c r="C715" s="20">
        <f t="shared" si="23"/>
        <v>12</v>
      </c>
      <c r="D715" t="s">
        <v>5744</v>
      </c>
      <c r="E715" s="49">
        <v>1</v>
      </c>
      <c r="F715" t="s">
        <v>5745</v>
      </c>
      <c r="G715" t="s">
        <v>21</v>
      </c>
      <c r="H715" t="s">
        <v>37</v>
      </c>
      <c r="I715" s="13">
        <v>78500</v>
      </c>
      <c r="J715" s="13">
        <v>74000</v>
      </c>
      <c r="K715" s="13">
        <f>IF(J715&lt;'Mapa Oficinas'!$I$21,0,IF(J715&gt;'Mapa Oficinas'!$I$20,0,1))</f>
        <v>1</v>
      </c>
      <c r="L715" t="s">
        <v>23</v>
      </c>
      <c r="M715" t="s">
        <v>23</v>
      </c>
      <c r="N715" t="s">
        <v>5746</v>
      </c>
      <c r="O715" t="s">
        <v>102</v>
      </c>
      <c r="P715" t="s">
        <v>45</v>
      </c>
      <c r="Q715">
        <v>2</v>
      </c>
      <c r="R715" t="s">
        <v>103</v>
      </c>
      <c r="S715" t="s">
        <v>28</v>
      </c>
      <c r="T715" t="str">
        <f>VLOOKUP(S715,'Mapa Oficinas'!$H$7:$I$16,2,FALSE)</f>
        <v>CB</v>
      </c>
      <c r="U715" t="s">
        <v>29</v>
      </c>
      <c r="V715" t="str">
        <f>VLOOKUP($R715,'Mapa Oficinas'!$A$7:$C$46,2,FALSE)</f>
        <v>Zona Sur (GBA)</v>
      </c>
      <c r="W715" t="str">
        <f>VLOOKUP($R715,'Mapa Oficinas'!$A$7:$C$46,3,FALSE)</f>
        <v>La Plata</v>
      </c>
    </row>
    <row r="716" spans="1:23" x14ac:dyDescent="0.2">
      <c r="A716" s="1">
        <v>46014</v>
      </c>
      <c r="B716" s="20">
        <f t="shared" si="22"/>
        <v>2025</v>
      </c>
      <c r="C716" s="20">
        <f t="shared" si="23"/>
        <v>12</v>
      </c>
      <c r="D716" t="s">
        <v>5973</v>
      </c>
      <c r="E716" s="49">
        <v>1</v>
      </c>
      <c r="F716" t="s">
        <v>668</v>
      </c>
      <c r="G716" t="s">
        <v>21</v>
      </c>
      <c r="H716" t="s">
        <v>37</v>
      </c>
      <c r="I716" s="13">
        <v>74000</v>
      </c>
      <c r="J716" s="13">
        <v>74000</v>
      </c>
      <c r="K716" s="13">
        <f>IF(J716&lt;'Mapa Oficinas'!$I$21,0,IF(J716&gt;'Mapa Oficinas'!$I$20,0,1))</f>
        <v>1</v>
      </c>
      <c r="L716" t="s">
        <v>23</v>
      </c>
      <c r="M716" t="s">
        <v>23</v>
      </c>
      <c r="N716" t="s">
        <v>5974</v>
      </c>
      <c r="O716" t="s">
        <v>50</v>
      </c>
      <c r="P716" t="s">
        <v>45</v>
      </c>
      <c r="Q716">
        <v>2</v>
      </c>
      <c r="R716" t="s">
        <v>670</v>
      </c>
      <c r="S716" t="s">
        <v>28</v>
      </c>
      <c r="T716" t="str">
        <f>VLOOKUP(S716,'Mapa Oficinas'!$H$7:$I$16,2,FALSE)</f>
        <v>CB</v>
      </c>
      <c r="U716" t="s">
        <v>29</v>
      </c>
      <c r="V716" t="str">
        <f>VLOOKUP($R716,'Mapa Oficinas'!$A$7:$C$46,2,FALSE)</f>
        <v>CABA</v>
      </c>
      <c r="W716" t="str">
        <f>VLOOKUP($R716,'Mapa Oficinas'!$A$7:$C$46,3,FALSE)</f>
        <v>Recoleta</v>
      </c>
    </row>
    <row r="717" spans="1:23" x14ac:dyDescent="0.2">
      <c r="A717" s="1">
        <v>46083</v>
      </c>
      <c r="B717" s="20">
        <f t="shared" si="22"/>
        <v>2026</v>
      </c>
      <c r="C717" s="20">
        <f t="shared" si="23"/>
        <v>3</v>
      </c>
      <c r="D717" t="s">
        <v>6932</v>
      </c>
      <c r="E717" s="49">
        <v>1</v>
      </c>
      <c r="F717" t="s">
        <v>6933</v>
      </c>
      <c r="G717" t="s">
        <v>21</v>
      </c>
      <c r="H717" t="s">
        <v>37</v>
      </c>
      <c r="I717" s="13">
        <v>79000</v>
      </c>
      <c r="J717" s="13">
        <v>74000</v>
      </c>
      <c r="K717" s="13">
        <f>IF(J717&lt;'Mapa Oficinas'!$I$21,0,IF(J717&gt;'Mapa Oficinas'!$I$20,0,1))</f>
        <v>1</v>
      </c>
      <c r="L717" t="s">
        <v>23</v>
      </c>
      <c r="M717" t="s">
        <v>23</v>
      </c>
      <c r="N717" t="s">
        <v>6934</v>
      </c>
      <c r="O717" t="s">
        <v>452</v>
      </c>
      <c r="P717" t="s">
        <v>45</v>
      </c>
      <c r="Q717">
        <v>2</v>
      </c>
      <c r="R717" t="s">
        <v>56</v>
      </c>
      <c r="S717" t="s">
        <v>28</v>
      </c>
      <c r="T717" t="str">
        <f>VLOOKUP(S717,'Mapa Oficinas'!$H$7:$I$16,2,FALSE)</f>
        <v>CB</v>
      </c>
      <c r="U717" t="s">
        <v>29</v>
      </c>
      <c r="V717" t="str">
        <f>VLOOKUP($R717,'Mapa Oficinas'!$A$7:$C$46,2,FALSE)</f>
        <v>Zona Norte (GBA)</v>
      </c>
      <c r="W717" t="str">
        <f>VLOOKUP($R717,'Mapa Oficinas'!$A$7:$C$46,3,FALSE)</f>
        <v>Vicente López</v>
      </c>
    </row>
    <row r="718" spans="1:23" x14ac:dyDescent="0.2">
      <c r="A718" s="1">
        <v>45663</v>
      </c>
      <c r="B718" s="20">
        <f t="shared" si="22"/>
        <v>2025</v>
      </c>
      <c r="C718" s="20">
        <f t="shared" si="23"/>
        <v>1</v>
      </c>
      <c r="D718" t="s">
        <v>85</v>
      </c>
      <c r="E718" s="49">
        <v>1</v>
      </c>
      <c r="F718" t="s">
        <v>86</v>
      </c>
      <c r="G718" t="s">
        <v>21</v>
      </c>
      <c r="H718" t="s">
        <v>81</v>
      </c>
      <c r="I718" s="13">
        <v>74784</v>
      </c>
      <c r="J718" s="13">
        <v>74184</v>
      </c>
      <c r="K718" s="13">
        <f>IF(J718&lt;'Mapa Oficinas'!$I$21,0,IF(J718&gt;'Mapa Oficinas'!$I$20,0,1))</f>
        <v>1</v>
      </c>
      <c r="L718" t="s">
        <v>23</v>
      </c>
      <c r="M718" t="s">
        <v>23</v>
      </c>
      <c r="N718" t="s">
        <v>87</v>
      </c>
      <c r="O718" t="s">
        <v>83</v>
      </c>
      <c r="P718" t="s">
        <v>45</v>
      </c>
      <c r="Q718">
        <v>2</v>
      </c>
      <c r="R718" t="s">
        <v>84</v>
      </c>
      <c r="S718" t="s">
        <v>28</v>
      </c>
      <c r="T718" t="str">
        <f>VLOOKUP(S718,'Mapa Oficinas'!$H$7:$I$16,2,FALSE)</f>
        <v>CB</v>
      </c>
      <c r="U718" t="s">
        <v>29</v>
      </c>
      <c r="V718" t="str">
        <f>VLOOKUP($R718,'Mapa Oficinas'!$A$7:$C$46,2,FALSE)</f>
        <v>Interior - Neuquén</v>
      </c>
      <c r="W718" t="str">
        <f>VLOOKUP($R718,'Mapa Oficinas'!$A$7:$C$46,3,FALSE)</f>
        <v>Villa La Angostura</v>
      </c>
    </row>
    <row r="719" spans="1:23" x14ac:dyDescent="0.2">
      <c r="A719" s="1">
        <v>45946</v>
      </c>
      <c r="B719" s="20">
        <f t="shared" si="22"/>
        <v>2025</v>
      </c>
      <c r="C719" s="20">
        <f t="shared" si="23"/>
        <v>10</v>
      </c>
      <c r="D719" t="s">
        <v>4739</v>
      </c>
      <c r="E719" s="49">
        <v>1</v>
      </c>
      <c r="F719" t="s">
        <v>4740</v>
      </c>
      <c r="G719" t="s">
        <v>21</v>
      </c>
      <c r="H719" t="s">
        <v>37</v>
      </c>
      <c r="I719" s="13">
        <v>79900</v>
      </c>
      <c r="J719" s="13">
        <v>74500</v>
      </c>
      <c r="K719" s="13">
        <f>IF(J719&lt;'Mapa Oficinas'!$I$21,0,IF(J719&gt;'Mapa Oficinas'!$I$20,0,1))</f>
        <v>1</v>
      </c>
      <c r="L719" t="s">
        <v>23</v>
      </c>
      <c r="M719" t="s">
        <v>23</v>
      </c>
      <c r="N719" t="s">
        <v>4741</v>
      </c>
      <c r="O719" t="s">
        <v>66</v>
      </c>
      <c r="P719" t="s">
        <v>45</v>
      </c>
      <c r="Q719">
        <v>2</v>
      </c>
      <c r="R719" t="s">
        <v>56</v>
      </c>
      <c r="S719" t="s">
        <v>28</v>
      </c>
      <c r="T719" t="str">
        <f>VLOOKUP(S719,'Mapa Oficinas'!$H$7:$I$16,2,FALSE)</f>
        <v>CB</v>
      </c>
      <c r="U719" t="s">
        <v>29</v>
      </c>
      <c r="V719" t="str">
        <f>VLOOKUP($R719,'Mapa Oficinas'!$A$7:$C$46,2,FALSE)</f>
        <v>Zona Norte (GBA)</v>
      </c>
      <c r="W719" t="str">
        <f>VLOOKUP($R719,'Mapa Oficinas'!$A$7:$C$46,3,FALSE)</f>
        <v>Vicente López</v>
      </c>
    </row>
    <row r="720" spans="1:23" x14ac:dyDescent="0.2">
      <c r="A720" s="1">
        <v>45695</v>
      </c>
      <c r="B720" s="20">
        <f t="shared" si="22"/>
        <v>2025</v>
      </c>
      <c r="C720" s="20">
        <f t="shared" si="23"/>
        <v>2</v>
      </c>
      <c r="E720" s="49">
        <v>1</v>
      </c>
      <c r="F720" t="s">
        <v>512</v>
      </c>
      <c r="G720" t="s">
        <v>21</v>
      </c>
      <c r="H720" t="s">
        <v>230</v>
      </c>
      <c r="I720" s="13">
        <v>74950</v>
      </c>
      <c r="J720" s="13">
        <v>74950</v>
      </c>
      <c r="K720" s="13">
        <f>IF(J720&lt;'Mapa Oficinas'!$I$21,0,IF(J720&gt;'Mapa Oficinas'!$I$20,0,1))</f>
        <v>1</v>
      </c>
      <c r="L720" t="s">
        <v>23</v>
      </c>
      <c r="M720" t="s">
        <v>23</v>
      </c>
      <c r="N720" t="s">
        <v>82</v>
      </c>
      <c r="O720" t="s">
        <v>83</v>
      </c>
      <c r="P720" t="s">
        <v>45</v>
      </c>
      <c r="Q720">
        <v>2</v>
      </c>
      <c r="R720" t="s">
        <v>84</v>
      </c>
      <c r="S720" t="s">
        <v>79</v>
      </c>
      <c r="T720" t="str">
        <f>VLOOKUP(S720,'Mapa Oficinas'!$H$7:$I$16,2,FALSE)</f>
        <v>CB</v>
      </c>
      <c r="U720" t="s">
        <v>29</v>
      </c>
      <c r="V720" t="str">
        <f>VLOOKUP($R720,'Mapa Oficinas'!$A$7:$C$46,2,FALSE)</f>
        <v>Interior - Neuquén</v>
      </c>
      <c r="W720" t="str">
        <f>VLOOKUP($R720,'Mapa Oficinas'!$A$7:$C$46,3,FALSE)</f>
        <v>Villa La Angostura</v>
      </c>
    </row>
    <row r="721" spans="1:23" x14ac:dyDescent="0.2">
      <c r="A721" s="1">
        <v>46013</v>
      </c>
      <c r="B721" s="20">
        <f t="shared" si="22"/>
        <v>2025</v>
      </c>
      <c r="C721" s="20">
        <f t="shared" si="23"/>
        <v>12</v>
      </c>
      <c r="D721" t="s">
        <v>5931</v>
      </c>
      <c r="E721" s="49">
        <v>1</v>
      </c>
      <c r="F721" t="s">
        <v>5932</v>
      </c>
      <c r="G721" t="s">
        <v>21</v>
      </c>
      <c r="H721" t="s">
        <v>100</v>
      </c>
      <c r="I721" s="13">
        <v>87750</v>
      </c>
      <c r="J721" s="13">
        <v>75000</v>
      </c>
      <c r="K721" s="13">
        <f>IF(J721&lt;'Mapa Oficinas'!$I$21,0,IF(J721&gt;'Mapa Oficinas'!$I$20,0,1))</f>
        <v>1</v>
      </c>
      <c r="L721" t="s">
        <v>23</v>
      </c>
      <c r="M721" t="s">
        <v>23</v>
      </c>
      <c r="N721" t="s">
        <v>5933</v>
      </c>
      <c r="O721" t="s">
        <v>120</v>
      </c>
      <c r="P721" t="s">
        <v>26</v>
      </c>
      <c r="Q721">
        <v>1</v>
      </c>
      <c r="R721" t="s">
        <v>121</v>
      </c>
      <c r="S721" t="s">
        <v>122</v>
      </c>
      <c r="T721" t="str">
        <f>VLOOKUP(S721,'Mapa Oficinas'!$H$7:$I$16,2,FALSE)</f>
        <v>Otra Red Búsqueda</v>
      </c>
      <c r="U721" t="s">
        <v>29</v>
      </c>
      <c r="V721" t="str">
        <f>VLOOKUP($R721,'Mapa Oficinas'!$A$7:$C$46,2,FALSE)</f>
        <v>Interior - Río Negro</v>
      </c>
      <c r="W721" t="str">
        <f>VLOOKUP($R721,'Mapa Oficinas'!$A$7:$C$46,3,FALSE)</f>
        <v>Bariloche</v>
      </c>
    </row>
    <row r="722" spans="1:23" x14ac:dyDescent="0.2">
      <c r="A722" s="1">
        <v>45992</v>
      </c>
      <c r="B722" s="20">
        <f t="shared" si="22"/>
        <v>2025</v>
      </c>
      <c r="C722" s="20">
        <f t="shared" si="23"/>
        <v>12</v>
      </c>
      <c r="D722" t="s">
        <v>5523</v>
      </c>
      <c r="E722" s="49">
        <v>1</v>
      </c>
      <c r="F722" t="s">
        <v>5524</v>
      </c>
      <c r="G722" t="s">
        <v>21</v>
      </c>
      <c r="H722" t="s">
        <v>37</v>
      </c>
      <c r="I722" s="13">
        <v>75000</v>
      </c>
      <c r="J722" s="13">
        <v>75000</v>
      </c>
      <c r="K722" s="13">
        <f>IF(J722&lt;'Mapa Oficinas'!$I$21,0,IF(J722&gt;'Mapa Oficinas'!$I$20,0,1))</f>
        <v>1</v>
      </c>
      <c r="L722" t="s">
        <v>23</v>
      </c>
      <c r="M722" t="s">
        <v>23</v>
      </c>
      <c r="N722" t="s">
        <v>5525</v>
      </c>
      <c r="O722" t="s">
        <v>4153</v>
      </c>
      <c r="P722" t="s">
        <v>34</v>
      </c>
      <c r="Q722">
        <v>1</v>
      </c>
      <c r="R722" t="s">
        <v>151</v>
      </c>
      <c r="S722" t="s">
        <v>152</v>
      </c>
      <c r="T722" t="str">
        <f>VLOOKUP(S722,'Mapa Oficinas'!$H$7:$I$16,2,FALSE)</f>
        <v>Otra Red Captación</v>
      </c>
      <c r="U722" t="s">
        <v>29</v>
      </c>
      <c r="V722" t="str">
        <f>VLOOKUP($R722,'Mapa Oficinas'!$A$7:$C$46,2,FALSE)</f>
        <v>Interior - Mendoza</v>
      </c>
      <c r="W722" t="str">
        <f>VLOOKUP($R722,'Mapa Oficinas'!$A$7:$C$46,3,FALSE)</f>
        <v>Capital Mendoza</v>
      </c>
    </row>
    <row r="723" spans="1:23" x14ac:dyDescent="0.2">
      <c r="A723" s="1">
        <v>46098</v>
      </c>
      <c r="B723" s="20">
        <f t="shared" si="22"/>
        <v>2026</v>
      </c>
      <c r="C723" s="20">
        <f t="shared" si="23"/>
        <v>3</v>
      </c>
      <c r="D723" t="s">
        <v>7236</v>
      </c>
      <c r="E723" s="49">
        <v>0</v>
      </c>
      <c r="F723" t="s">
        <v>7237</v>
      </c>
      <c r="G723" t="s">
        <v>21</v>
      </c>
      <c r="H723" t="s">
        <v>76</v>
      </c>
      <c r="I723" s="13">
        <v>75000</v>
      </c>
      <c r="J723" s="13">
        <v>75000</v>
      </c>
      <c r="K723" s="13">
        <f>IF(J723&lt;'Mapa Oficinas'!$I$21,0,IF(J723&gt;'Mapa Oficinas'!$I$20,0,1))</f>
        <v>1</v>
      </c>
      <c r="L723" t="s">
        <v>23</v>
      </c>
      <c r="M723" t="s">
        <v>23</v>
      </c>
      <c r="N723" t="s">
        <v>7182</v>
      </c>
      <c r="O723" t="s">
        <v>7183</v>
      </c>
      <c r="P723" t="s">
        <v>45</v>
      </c>
      <c r="Q723">
        <v>2</v>
      </c>
      <c r="R723" t="s">
        <v>482</v>
      </c>
      <c r="S723" t="s">
        <v>79</v>
      </c>
      <c r="T723" t="str">
        <f>VLOOKUP(S723,'Mapa Oficinas'!$H$7:$I$16,2,FALSE)</f>
        <v>CB</v>
      </c>
      <c r="U723" t="s">
        <v>29</v>
      </c>
      <c r="V723" t="str">
        <f>VLOOKUP($R723,'Mapa Oficinas'!$A$7:$C$46,2,FALSE)</f>
        <v>Interior - Jujuy</v>
      </c>
      <c r="W723" t="str">
        <f>VLOOKUP($R723,'Mapa Oficinas'!$A$7:$C$46,3,FALSE)</f>
        <v>Capital Jujuy</v>
      </c>
    </row>
    <row r="724" spans="1:23" x14ac:dyDescent="0.2">
      <c r="A724" s="1">
        <v>45734</v>
      </c>
      <c r="B724" s="20">
        <f t="shared" si="22"/>
        <v>2025</v>
      </c>
      <c r="C724" s="20">
        <f t="shared" si="23"/>
        <v>3</v>
      </c>
      <c r="D724" t="s">
        <v>994</v>
      </c>
      <c r="E724" s="49">
        <v>1</v>
      </c>
      <c r="F724" t="s">
        <v>995</v>
      </c>
      <c r="G724" t="s">
        <v>21</v>
      </c>
      <c r="H724" t="s">
        <v>37</v>
      </c>
      <c r="I724" s="13">
        <v>75000</v>
      </c>
      <c r="J724" s="13">
        <v>75000</v>
      </c>
      <c r="K724" s="13">
        <f>IF(J724&lt;'Mapa Oficinas'!$I$21,0,IF(J724&gt;'Mapa Oficinas'!$I$20,0,1))</f>
        <v>1</v>
      </c>
      <c r="L724" t="s">
        <v>23</v>
      </c>
      <c r="M724" t="s">
        <v>23</v>
      </c>
      <c r="O724" t="s">
        <v>196</v>
      </c>
      <c r="P724" t="s">
        <v>34</v>
      </c>
      <c r="Q724">
        <v>2</v>
      </c>
      <c r="R724" t="s">
        <v>110</v>
      </c>
      <c r="S724" t="s">
        <v>79</v>
      </c>
      <c r="T724" t="str">
        <f>VLOOKUP(S724,'Mapa Oficinas'!$H$7:$I$16,2,FALSE)</f>
        <v>CB</v>
      </c>
      <c r="U724" t="s">
        <v>29</v>
      </c>
      <c r="V724" t="str">
        <f>VLOOKUP($R724,'Mapa Oficinas'!$A$7:$C$46,2,FALSE)</f>
        <v>Zona Norte (GBA)</v>
      </c>
      <c r="W724" t="str">
        <f>VLOOKUP($R724,'Mapa Oficinas'!$A$7:$C$46,3,FALSE)</f>
        <v>Nordelta</v>
      </c>
    </row>
    <row r="725" spans="1:23" x14ac:dyDescent="0.2">
      <c r="A725" s="1">
        <v>45789</v>
      </c>
      <c r="B725" s="20">
        <f t="shared" si="22"/>
        <v>2025</v>
      </c>
      <c r="C725" s="20">
        <f t="shared" si="23"/>
        <v>5</v>
      </c>
      <c r="D725" t="s">
        <v>1870</v>
      </c>
      <c r="E725" s="49">
        <v>1</v>
      </c>
      <c r="F725" t="s">
        <v>1871</v>
      </c>
      <c r="G725" t="s">
        <v>21</v>
      </c>
      <c r="H725" t="s">
        <v>37</v>
      </c>
      <c r="I725" s="13">
        <v>86900</v>
      </c>
      <c r="J725" s="13">
        <v>75000</v>
      </c>
      <c r="K725" s="13">
        <f>IF(J725&lt;'Mapa Oficinas'!$I$21,0,IF(J725&gt;'Mapa Oficinas'!$I$20,0,1))</f>
        <v>1</v>
      </c>
      <c r="L725" t="s">
        <v>23</v>
      </c>
      <c r="M725" t="s">
        <v>23</v>
      </c>
      <c r="N725" t="s">
        <v>1872</v>
      </c>
      <c r="O725" t="s">
        <v>976</v>
      </c>
      <c r="P725" t="s">
        <v>45</v>
      </c>
      <c r="Q725">
        <v>2</v>
      </c>
      <c r="R725" t="s">
        <v>62</v>
      </c>
      <c r="S725" t="s">
        <v>79</v>
      </c>
      <c r="T725" t="str">
        <f>VLOOKUP(S725,'Mapa Oficinas'!$H$7:$I$16,2,FALSE)</f>
        <v>CB</v>
      </c>
      <c r="U725" t="s">
        <v>29</v>
      </c>
      <c r="V725" t="str">
        <f>VLOOKUP($R725,'Mapa Oficinas'!$A$7:$C$46,2,FALSE)</f>
        <v>CABA</v>
      </c>
      <c r="W725" t="str">
        <f>VLOOKUP($R725,'Mapa Oficinas'!$A$7:$C$46,3,FALSE)</f>
        <v>Villa Urquiza</v>
      </c>
    </row>
    <row r="726" spans="1:23" x14ac:dyDescent="0.2">
      <c r="A726" s="1">
        <v>45865</v>
      </c>
      <c r="B726" s="20">
        <f t="shared" si="22"/>
        <v>2025</v>
      </c>
      <c r="C726" s="20">
        <f t="shared" si="23"/>
        <v>7</v>
      </c>
      <c r="E726" s="49">
        <v>1</v>
      </c>
      <c r="F726" t="s">
        <v>3246</v>
      </c>
      <c r="G726" t="s">
        <v>21</v>
      </c>
      <c r="H726" t="s">
        <v>37</v>
      </c>
      <c r="I726" s="13">
        <v>75000</v>
      </c>
      <c r="J726" s="13">
        <v>75000</v>
      </c>
      <c r="K726" s="13">
        <f>IF(J726&lt;'Mapa Oficinas'!$I$21,0,IF(J726&gt;'Mapa Oficinas'!$I$20,0,1))</f>
        <v>1</v>
      </c>
      <c r="L726" t="s">
        <v>23</v>
      </c>
      <c r="M726" t="s">
        <v>23</v>
      </c>
      <c r="N726" t="s">
        <v>3247</v>
      </c>
      <c r="O726" t="s">
        <v>50</v>
      </c>
      <c r="P726" t="s">
        <v>45</v>
      </c>
      <c r="Q726">
        <v>2</v>
      </c>
      <c r="R726" t="s">
        <v>135</v>
      </c>
      <c r="S726" t="s">
        <v>79</v>
      </c>
      <c r="T726" t="str">
        <f>VLOOKUP(S726,'Mapa Oficinas'!$H$7:$I$16,2,FALSE)</f>
        <v>CB</v>
      </c>
      <c r="U726" t="s">
        <v>29</v>
      </c>
      <c r="V726" t="str">
        <f>VLOOKUP($R726,'Mapa Oficinas'!$A$7:$C$46,2,FALSE)</f>
        <v>CABA</v>
      </c>
      <c r="W726" t="str">
        <f>VLOOKUP($R726,'Mapa Oficinas'!$A$7:$C$46,3,FALSE)</f>
        <v>Recoleta</v>
      </c>
    </row>
    <row r="727" spans="1:23" x14ac:dyDescent="0.2">
      <c r="A727" s="1">
        <v>46044</v>
      </c>
      <c r="B727" s="20">
        <f t="shared" si="22"/>
        <v>2026</v>
      </c>
      <c r="C727" s="20">
        <f t="shared" si="23"/>
        <v>1</v>
      </c>
      <c r="D727" t="s">
        <v>6363</v>
      </c>
      <c r="E727" s="49">
        <v>1</v>
      </c>
      <c r="F727" t="s">
        <v>6364</v>
      </c>
      <c r="G727" t="s">
        <v>21</v>
      </c>
      <c r="H727" t="s">
        <v>37</v>
      </c>
      <c r="I727" s="13">
        <v>79000</v>
      </c>
      <c r="J727" s="13">
        <v>75000</v>
      </c>
      <c r="K727" s="13">
        <f>IF(J727&lt;'Mapa Oficinas'!$I$21,0,IF(J727&gt;'Mapa Oficinas'!$I$20,0,1))</f>
        <v>1</v>
      </c>
      <c r="L727" t="s">
        <v>23</v>
      </c>
      <c r="M727" t="s">
        <v>23</v>
      </c>
      <c r="N727" t="s">
        <v>6365</v>
      </c>
      <c r="O727" t="s">
        <v>440</v>
      </c>
      <c r="P727" t="s">
        <v>45</v>
      </c>
      <c r="Q727">
        <v>2</v>
      </c>
      <c r="R727" t="s">
        <v>62</v>
      </c>
      <c r="S727" t="s">
        <v>79</v>
      </c>
      <c r="T727" t="str">
        <f>VLOOKUP(S727,'Mapa Oficinas'!$H$7:$I$16,2,FALSE)</f>
        <v>CB</v>
      </c>
      <c r="U727" t="s">
        <v>29</v>
      </c>
      <c r="V727" t="str">
        <f>VLOOKUP($R727,'Mapa Oficinas'!$A$7:$C$46,2,FALSE)</f>
        <v>CABA</v>
      </c>
      <c r="W727" t="str">
        <f>VLOOKUP($R727,'Mapa Oficinas'!$A$7:$C$46,3,FALSE)</f>
        <v>Villa Urquiza</v>
      </c>
    </row>
    <row r="728" spans="1:23" x14ac:dyDescent="0.2">
      <c r="A728" s="1">
        <v>45712</v>
      </c>
      <c r="B728" s="20">
        <f t="shared" si="22"/>
        <v>2025</v>
      </c>
      <c r="C728" s="20">
        <f t="shared" si="23"/>
        <v>2</v>
      </c>
      <c r="D728" t="s">
        <v>433</v>
      </c>
      <c r="E728" s="49">
        <v>1</v>
      </c>
      <c r="F728" t="s">
        <v>434</v>
      </c>
      <c r="G728" t="s">
        <v>21</v>
      </c>
      <c r="H728" t="s">
        <v>37</v>
      </c>
      <c r="I728" s="13">
        <v>77500</v>
      </c>
      <c r="J728" s="13">
        <v>75000</v>
      </c>
      <c r="K728" s="13">
        <f>IF(J728&lt;'Mapa Oficinas'!$I$21,0,IF(J728&gt;'Mapa Oficinas'!$I$20,0,1))</f>
        <v>1</v>
      </c>
      <c r="L728" t="s">
        <v>23</v>
      </c>
      <c r="M728" t="s">
        <v>23</v>
      </c>
      <c r="N728" t="s">
        <v>435</v>
      </c>
      <c r="O728" t="s">
        <v>436</v>
      </c>
      <c r="P728" t="s">
        <v>45</v>
      </c>
      <c r="Q728">
        <v>1</v>
      </c>
      <c r="R728" t="s">
        <v>183</v>
      </c>
      <c r="S728" t="s">
        <v>47</v>
      </c>
      <c r="T728" t="str">
        <f>VLOOKUP(S728,'Mapa Oficinas'!$H$7:$I$16,2,FALSE)</f>
        <v>Otra Red Búsqueda</v>
      </c>
      <c r="U728" t="s">
        <v>29</v>
      </c>
      <c r="V728" t="str">
        <f>VLOOKUP($R728,'Mapa Oficinas'!$A$7:$C$46,2,FALSE)</f>
        <v>Interior - Neuquén</v>
      </c>
      <c r="W728" t="str">
        <f>VLOOKUP($R728,'Mapa Oficinas'!$A$7:$C$46,3,FALSE)</f>
        <v>Capital Neuquén</v>
      </c>
    </row>
    <row r="729" spans="1:23" x14ac:dyDescent="0.2">
      <c r="A729" s="1">
        <v>45876</v>
      </c>
      <c r="B729" s="20">
        <f t="shared" si="22"/>
        <v>2025</v>
      </c>
      <c r="C729" s="20">
        <f t="shared" si="23"/>
        <v>8</v>
      </c>
      <c r="D729" t="s">
        <v>3457</v>
      </c>
      <c r="E729" s="49">
        <v>1</v>
      </c>
      <c r="F729" t="s">
        <v>3458</v>
      </c>
      <c r="G729" t="s">
        <v>21</v>
      </c>
      <c r="H729" t="s">
        <v>37</v>
      </c>
      <c r="I729" s="13">
        <v>73500</v>
      </c>
      <c r="J729" s="13">
        <v>75000</v>
      </c>
      <c r="K729" s="13">
        <f>IF(J729&lt;'Mapa Oficinas'!$I$21,0,IF(J729&gt;'Mapa Oficinas'!$I$20,0,1))</f>
        <v>1</v>
      </c>
      <c r="L729" t="s">
        <v>23</v>
      </c>
      <c r="M729" t="s">
        <v>23</v>
      </c>
      <c r="N729" t="s">
        <v>3459</v>
      </c>
      <c r="O729" t="s">
        <v>2743</v>
      </c>
      <c r="P729" t="s">
        <v>45</v>
      </c>
      <c r="Q729">
        <v>1</v>
      </c>
      <c r="R729" t="s">
        <v>110</v>
      </c>
      <c r="S729" t="s">
        <v>47</v>
      </c>
      <c r="T729" t="str">
        <f>VLOOKUP(S729,'Mapa Oficinas'!$H$7:$I$16,2,FALSE)</f>
        <v>Otra Red Búsqueda</v>
      </c>
      <c r="U729" t="s">
        <v>29</v>
      </c>
      <c r="V729" t="str">
        <f>VLOOKUP($R729,'Mapa Oficinas'!$A$7:$C$46,2,FALSE)</f>
        <v>Zona Norte (GBA)</v>
      </c>
      <c r="W729" t="str">
        <f>VLOOKUP($R729,'Mapa Oficinas'!$A$7:$C$46,3,FALSE)</f>
        <v>Nordelta</v>
      </c>
    </row>
    <row r="730" spans="1:23" x14ac:dyDescent="0.2">
      <c r="A730" s="1">
        <v>45888</v>
      </c>
      <c r="B730" s="20">
        <f t="shared" si="22"/>
        <v>2025</v>
      </c>
      <c r="C730" s="20">
        <f t="shared" si="23"/>
        <v>8</v>
      </c>
      <c r="D730" t="s">
        <v>3629</v>
      </c>
      <c r="E730" s="49">
        <v>1</v>
      </c>
      <c r="F730" t="s">
        <v>3630</v>
      </c>
      <c r="G730" t="s">
        <v>21</v>
      </c>
      <c r="H730" t="s">
        <v>22</v>
      </c>
      <c r="I730" s="13">
        <v>80000</v>
      </c>
      <c r="J730" s="13">
        <v>75000</v>
      </c>
      <c r="K730" s="13">
        <f>IF(J730&lt;'Mapa Oficinas'!$I$21,0,IF(J730&gt;'Mapa Oficinas'!$I$20,0,1))</f>
        <v>1</v>
      </c>
      <c r="L730" t="s">
        <v>23</v>
      </c>
      <c r="M730" t="s">
        <v>23</v>
      </c>
      <c r="N730" t="s">
        <v>3631</v>
      </c>
      <c r="O730" t="s">
        <v>1834</v>
      </c>
      <c r="P730" t="s">
        <v>34</v>
      </c>
      <c r="Q730">
        <v>1</v>
      </c>
      <c r="R730" t="s">
        <v>103</v>
      </c>
      <c r="S730" t="s">
        <v>47</v>
      </c>
      <c r="T730" t="str">
        <f>VLOOKUP(S730,'Mapa Oficinas'!$H$7:$I$16,2,FALSE)</f>
        <v>Otra Red Búsqueda</v>
      </c>
      <c r="U730" t="s">
        <v>29</v>
      </c>
      <c r="V730" t="str">
        <f>VLOOKUP($R730,'Mapa Oficinas'!$A$7:$C$46,2,FALSE)</f>
        <v>Zona Sur (GBA)</v>
      </c>
      <c r="W730" t="str">
        <f>VLOOKUP($R730,'Mapa Oficinas'!$A$7:$C$46,3,FALSE)</f>
        <v>La Plata</v>
      </c>
    </row>
    <row r="731" spans="1:23" x14ac:dyDescent="0.2">
      <c r="A731" s="1">
        <v>45939</v>
      </c>
      <c r="B731" s="20">
        <f t="shared" si="22"/>
        <v>2025</v>
      </c>
      <c r="C731" s="20">
        <f t="shared" si="23"/>
        <v>10</v>
      </c>
      <c r="D731">
        <v>10553</v>
      </c>
      <c r="E731" s="49">
        <v>1</v>
      </c>
      <c r="F731" t="s">
        <v>4614</v>
      </c>
      <c r="G731" t="s">
        <v>21</v>
      </c>
      <c r="H731" t="s">
        <v>37</v>
      </c>
      <c r="I731" s="13">
        <v>75000</v>
      </c>
      <c r="J731" s="13">
        <v>75000</v>
      </c>
      <c r="K731" s="13">
        <f>IF(J731&lt;'Mapa Oficinas'!$I$21,0,IF(J731&gt;'Mapa Oficinas'!$I$20,0,1))</f>
        <v>1</v>
      </c>
      <c r="L731" t="s">
        <v>23</v>
      </c>
      <c r="M731" t="s">
        <v>23</v>
      </c>
      <c r="N731" t="s">
        <v>4614</v>
      </c>
      <c r="O731" t="s">
        <v>2669</v>
      </c>
      <c r="P731" t="s">
        <v>45</v>
      </c>
      <c r="Q731">
        <v>1</v>
      </c>
      <c r="R731" t="s">
        <v>67</v>
      </c>
      <c r="S731" t="s">
        <v>47</v>
      </c>
      <c r="T731" t="str">
        <f>VLOOKUP(S731,'Mapa Oficinas'!$H$7:$I$16,2,FALSE)</f>
        <v>Otra Red Búsqueda</v>
      </c>
      <c r="U731" t="s">
        <v>29</v>
      </c>
      <c r="V731" t="str">
        <f>VLOOKUP($R731,'Mapa Oficinas'!$A$7:$C$46,2,FALSE)</f>
        <v>CABA</v>
      </c>
      <c r="W731" t="str">
        <f>VLOOKUP($R731,'Mapa Oficinas'!$A$7:$C$46,3,FALSE)</f>
        <v>Barrio Parque</v>
      </c>
    </row>
    <row r="732" spans="1:23" x14ac:dyDescent="0.2">
      <c r="A732" s="1">
        <v>46063</v>
      </c>
      <c r="B732" s="20">
        <f t="shared" si="22"/>
        <v>2026</v>
      </c>
      <c r="C732" s="20">
        <f t="shared" si="23"/>
        <v>2</v>
      </c>
      <c r="D732">
        <v>10609</v>
      </c>
      <c r="E732" s="49">
        <v>1</v>
      </c>
      <c r="F732" t="s">
        <v>6616</v>
      </c>
      <c r="G732" t="s">
        <v>21</v>
      </c>
      <c r="H732" t="s">
        <v>37</v>
      </c>
      <c r="I732" s="13">
        <v>75000</v>
      </c>
      <c r="J732" s="13">
        <v>75000</v>
      </c>
      <c r="K732" s="13">
        <f>IF(J732&lt;'Mapa Oficinas'!$I$21,0,IF(J732&gt;'Mapa Oficinas'!$I$20,0,1))</f>
        <v>1</v>
      </c>
      <c r="L732" t="s">
        <v>23</v>
      </c>
      <c r="M732" t="s">
        <v>23</v>
      </c>
      <c r="N732" t="s">
        <v>6616</v>
      </c>
      <c r="O732" t="s">
        <v>66</v>
      </c>
      <c r="P732" t="s">
        <v>45</v>
      </c>
      <c r="Q732">
        <v>1</v>
      </c>
      <c r="R732" t="s">
        <v>67</v>
      </c>
      <c r="S732" t="s">
        <v>47</v>
      </c>
      <c r="T732" t="str">
        <f>VLOOKUP(S732,'Mapa Oficinas'!$H$7:$I$16,2,FALSE)</f>
        <v>Otra Red Búsqueda</v>
      </c>
      <c r="U732" t="s">
        <v>29</v>
      </c>
      <c r="V732" t="str">
        <f>VLOOKUP($R732,'Mapa Oficinas'!$A$7:$C$46,2,FALSE)</f>
        <v>CABA</v>
      </c>
      <c r="W732" t="str">
        <f>VLOOKUP($R732,'Mapa Oficinas'!$A$7:$C$46,3,FALSE)</f>
        <v>Barrio Parque</v>
      </c>
    </row>
    <row r="733" spans="1:23" x14ac:dyDescent="0.2">
      <c r="A733" s="1">
        <v>46063</v>
      </c>
      <c r="B733" s="20">
        <f t="shared" si="22"/>
        <v>2026</v>
      </c>
      <c r="C733" s="20">
        <f t="shared" si="23"/>
        <v>2</v>
      </c>
      <c r="D733">
        <v>10695</v>
      </c>
      <c r="E733" s="49">
        <v>1</v>
      </c>
      <c r="F733" t="s">
        <v>6617</v>
      </c>
      <c r="G733" t="s">
        <v>21</v>
      </c>
      <c r="H733" t="s">
        <v>37</v>
      </c>
      <c r="I733" s="13">
        <v>75000</v>
      </c>
      <c r="J733" s="13">
        <v>75000</v>
      </c>
      <c r="K733" s="13">
        <f>IF(J733&lt;'Mapa Oficinas'!$I$21,0,IF(J733&gt;'Mapa Oficinas'!$I$20,0,1))</f>
        <v>1</v>
      </c>
      <c r="L733" t="s">
        <v>23</v>
      </c>
      <c r="M733" t="s">
        <v>23</v>
      </c>
      <c r="N733" t="s">
        <v>6617</v>
      </c>
      <c r="O733" t="s">
        <v>66</v>
      </c>
      <c r="P733" t="s">
        <v>45</v>
      </c>
      <c r="Q733">
        <v>1</v>
      </c>
      <c r="R733" t="s">
        <v>67</v>
      </c>
      <c r="S733" t="s">
        <v>47</v>
      </c>
      <c r="T733" t="str">
        <f>VLOOKUP(S733,'Mapa Oficinas'!$H$7:$I$16,2,FALSE)</f>
        <v>Otra Red Búsqueda</v>
      </c>
      <c r="U733" t="s">
        <v>29</v>
      </c>
      <c r="V733" t="str">
        <f>VLOOKUP($R733,'Mapa Oficinas'!$A$7:$C$46,2,FALSE)</f>
        <v>CABA</v>
      </c>
      <c r="W733" t="str">
        <f>VLOOKUP($R733,'Mapa Oficinas'!$A$7:$C$46,3,FALSE)</f>
        <v>Barrio Parque</v>
      </c>
    </row>
    <row r="734" spans="1:23" x14ac:dyDescent="0.2">
      <c r="A734" s="1">
        <v>45687</v>
      </c>
      <c r="B734" s="20">
        <f t="shared" si="22"/>
        <v>2025</v>
      </c>
      <c r="C734" s="20">
        <f t="shared" si="23"/>
        <v>1</v>
      </c>
      <c r="D734" t="s">
        <v>433</v>
      </c>
      <c r="E734" s="49">
        <v>1</v>
      </c>
      <c r="F734" t="s">
        <v>434</v>
      </c>
      <c r="G734" t="s">
        <v>21</v>
      </c>
      <c r="H734" t="s">
        <v>37</v>
      </c>
      <c r="I734" s="13">
        <v>77500</v>
      </c>
      <c r="J734" s="13">
        <v>75000</v>
      </c>
      <c r="K734" s="13">
        <f>IF(J734&lt;'Mapa Oficinas'!$I$21,0,IF(J734&gt;'Mapa Oficinas'!$I$20,0,1))</f>
        <v>1</v>
      </c>
      <c r="L734" t="s">
        <v>23</v>
      </c>
      <c r="M734" t="s">
        <v>23</v>
      </c>
      <c r="N734" t="s">
        <v>435</v>
      </c>
      <c r="O734" t="s">
        <v>436</v>
      </c>
      <c r="P734" t="s">
        <v>45</v>
      </c>
      <c r="Q734">
        <v>2</v>
      </c>
      <c r="R734" t="s">
        <v>183</v>
      </c>
      <c r="S734" t="s">
        <v>200</v>
      </c>
      <c r="T734" t="str">
        <f>VLOOKUP(S734,'Mapa Oficinas'!$H$7:$I$16,2,FALSE)</f>
        <v>Otra Red Captación</v>
      </c>
      <c r="U734" t="s">
        <v>29</v>
      </c>
      <c r="V734" t="str">
        <f>VLOOKUP($R734,'Mapa Oficinas'!$A$7:$C$46,2,FALSE)</f>
        <v>Interior - Neuquén</v>
      </c>
      <c r="W734" t="str">
        <f>VLOOKUP($R734,'Mapa Oficinas'!$A$7:$C$46,3,FALSE)</f>
        <v>Capital Neuquén</v>
      </c>
    </row>
    <row r="735" spans="1:23" x14ac:dyDescent="0.2">
      <c r="A735" s="1">
        <v>45719</v>
      </c>
      <c r="B735" s="20">
        <f t="shared" si="22"/>
        <v>2025</v>
      </c>
      <c r="C735" s="20">
        <f t="shared" si="23"/>
        <v>3</v>
      </c>
      <c r="D735" t="s">
        <v>433</v>
      </c>
      <c r="E735" s="49">
        <v>1</v>
      </c>
      <c r="F735" t="s">
        <v>434</v>
      </c>
      <c r="G735" t="s">
        <v>21</v>
      </c>
      <c r="H735" t="s">
        <v>97</v>
      </c>
      <c r="I735" s="13">
        <v>77500</v>
      </c>
      <c r="J735" s="13">
        <v>75000</v>
      </c>
      <c r="K735" s="13">
        <f>IF(J735&lt;'Mapa Oficinas'!$I$21,0,IF(J735&gt;'Mapa Oficinas'!$I$20,0,1))</f>
        <v>1</v>
      </c>
      <c r="L735" t="s">
        <v>23</v>
      </c>
      <c r="M735" t="s">
        <v>23</v>
      </c>
      <c r="N735" t="s">
        <v>435</v>
      </c>
      <c r="O735" t="s">
        <v>436</v>
      </c>
      <c r="P735" t="s">
        <v>45</v>
      </c>
      <c r="Q735">
        <v>2</v>
      </c>
      <c r="R735" t="s">
        <v>84</v>
      </c>
      <c r="S735" t="s">
        <v>404</v>
      </c>
      <c r="T735" t="str">
        <f>VLOOKUP(S735,'Mapa Oficinas'!$H$7:$I$16,2,FALSE)</f>
        <v>CB</v>
      </c>
      <c r="U735" t="s">
        <v>29</v>
      </c>
      <c r="V735" t="str">
        <f>VLOOKUP($R735,'Mapa Oficinas'!$A$7:$C$46,2,FALSE)</f>
        <v>Interior - Neuquén</v>
      </c>
      <c r="W735" t="str">
        <f>VLOOKUP($R735,'Mapa Oficinas'!$A$7:$C$46,3,FALSE)</f>
        <v>Villa La Angostura</v>
      </c>
    </row>
    <row r="736" spans="1:23" x14ac:dyDescent="0.2">
      <c r="A736" s="1">
        <v>45744</v>
      </c>
      <c r="B736" s="20">
        <f t="shared" si="22"/>
        <v>2025</v>
      </c>
      <c r="C736" s="20">
        <f t="shared" si="23"/>
        <v>3</v>
      </c>
      <c r="D736" t="s">
        <v>1154</v>
      </c>
      <c r="E736" s="49">
        <v>1</v>
      </c>
      <c r="F736" t="s">
        <v>1155</v>
      </c>
      <c r="G736" t="s">
        <v>21</v>
      </c>
      <c r="H736" t="s">
        <v>37</v>
      </c>
      <c r="I736" s="13">
        <v>77000</v>
      </c>
      <c r="J736" s="13">
        <v>75000</v>
      </c>
      <c r="K736" s="13">
        <f>IF(J736&lt;'Mapa Oficinas'!$I$21,0,IF(J736&gt;'Mapa Oficinas'!$I$20,0,1))</f>
        <v>1</v>
      </c>
      <c r="L736" t="s">
        <v>23</v>
      </c>
      <c r="M736" t="s">
        <v>23</v>
      </c>
      <c r="N736" t="s">
        <v>1156</v>
      </c>
      <c r="O736" t="s">
        <v>60</v>
      </c>
      <c r="P736" t="s">
        <v>45</v>
      </c>
      <c r="Q736">
        <v>2</v>
      </c>
      <c r="R736" t="s">
        <v>67</v>
      </c>
      <c r="S736" t="s">
        <v>28</v>
      </c>
      <c r="T736" t="str">
        <f>VLOOKUP(S736,'Mapa Oficinas'!$H$7:$I$16,2,FALSE)</f>
        <v>CB</v>
      </c>
      <c r="U736" t="s">
        <v>29</v>
      </c>
      <c r="V736" t="str">
        <f>VLOOKUP($R736,'Mapa Oficinas'!$A$7:$C$46,2,FALSE)</f>
        <v>CABA</v>
      </c>
      <c r="W736" t="str">
        <f>VLOOKUP($R736,'Mapa Oficinas'!$A$7:$C$46,3,FALSE)</f>
        <v>Barrio Parque</v>
      </c>
    </row>
    <row r="737" spans="1:23" x14ac:dyDescent="0.2">
      <c r="A737" s="1">
        <v>45799</v>
      </c>
      <c r="B737" s="20">
        <f t="shared" si="22"/>
        <v>2025</v>
      </c>
      <c r="C737" s="20">
        <f t="shared" si="23"/>
        <v>5</v>
      </c>
      <c r="D737" t="s">
        <v>2087</v>
      </c>
      <c r="E737" s="49">
        <v>1</v>
      </c>
      <c r="F737" t="s">
        <v>2088</v>
      </c>
      <c r="G737" t="s">
        <v>21</v>
      </c>
      <c r="H737" t="s">
        <v>37</v>
      </c>
      <c r="I737" s="13">
        <v>80000</v>
      </c>
      <c r="J737" s="13">
        <v>75000</v>
      </c>
      <c r="K737" s="13">
        <f>IF(J737&lt;'Mapa Oficinas'!$I$21,0,IF(J737&gt;'Mapa Oficinas'!$I$20,0,1))</f>
        <v>1</v>
      </c>
      <c r="L737" t="s">
        <v>23</v>
      </c>
      <c r="M737" t="s">
        <v>23</v>
      </c>
      <c r="N737" t="s">
        <v>2089</v>
      </c>
      <c r="O737" t="s">
        <v>2090</v>
      </c>
      <c r="P737" t="s">
        <v>34</v>
      </c>
      <c r="Q737">
        <v>2</v>
      </c>
      <c r="R737" t="s">
        <v>183</v>
      </c>
      <c r="S737" t="s">
        <v>28</v>
      </c>
      <c r="T737" t="str">
        <f>VLOOKUP(S737,'Mapa Oficinas'!$H$7:$I$16,2,FALSE)</f>
        <v>CB</v>
      </c>
      <c r="U737" t="s">
        <v>29</v>
      </c>
      <c r="V737" t="str">
        <f>VLOOKUP($R737,'Mapa Oficinas'!$A$7:$C$46,2,FALSE)</f>
        <v>Interior - Neuquén</v>
      </c>
      <c r="W737" t="str">
        <f>VLOOKUP($R737,'Mapa Oficinas'!$A$7:$C$46,3,FALSE)</f>
        <v>Capital Neuquén</v>
      </c>
    </row>
    <row r="738" spans="1:23" x14ac:dyDescent="0.2">
      <c r="A738" s="1">
        <v>45807</v>
      </c>
      <c r="B738" s="20">
        <f t="shared" si="22"/>
        <v>2025</v>
      </c>
      <c r="C738" s="20">
        <f t="shared" si="23"/>
        <v>5</v>
      </c>
      <c r="D738" t="s">
        <v>2234</v>
      </c>
      <c r="E738" s="49">
        <v>1</v>
      </c>
      <c r="F738" t="s">
        <v>2235</v>
      </c>
      <c r="G738" t="s">
        <v>21</v>
      </c>
      <c r="H738" t="s">
        <v>22</v>
      </c>
      <c r="I738" s="13">
        <v>79000</v>
      </c>
      <c r="J738" s="13">
        <v>75000</v>
      </c>
      <c r="K738" s="13">
        <f>IF(J738&lt;'Mapa Oficinas'!$I$21,0,IF(J738&gt;'Mapa Oficinas'!$I$20,0,1))</f>
        <v>1</v>
      </c>
      <c r="L738" t="s">
        <v>23</v>
      </c>
      <c r="M738" t="s">
        <v>23</v>
      </c>
      <c r="N738" t="s">
        <v>2236</v>
      </c>
      <c r="O738" t="s">
        <v>114</v>
      </c>
      <c r="P738" t="s">
        <v>45</v>
      </c>
      <c r="Q738">
        <v>2</v>
      </c>
      <c r="R738" t="s">
        <v>62</v>
      </c>
      <c r="S738" t="s">
        <v>28</v>
      </c>
      <c r="T738" t="str">
        <f>VLOOKUP(S738,'Mapa Oficinas'!$H$7:$I$16,2,FALSE)</f>
        <v>CB</v>
      </c>
      <c r="U738" t="s">
        <v>29</v>
      </c>
      <c r="V738" t="str">
        <f>VLOOKUP($R738,'Mapa Oficinas'!$A$7:$C$46,2,FALSE)</f>
        <v>CABA</v>
      </c>
      <c r="W738" t="str">
        <f>VLOOKUP($R738,'Mapa Oficinas'!$A$7:$C$46,3,FALSE)</f>
        <v>Villa Urquiza</v>
      </c>
    </row>
    <row r="739" spans="1:23" x14ac:dyDescent="0.2">
      <c r="A739" s="1">
        <v>45869</v>
      </c>
      <c r="B739" s="20">
        <f t="shared" si="22"/>
        <v>2025</v>
      </c>
      <c r="C739" s="20">
        <f t="shared" si="23"/>
        <v>7</v>
      </c>
      <c r="D739" t="s">
        <v>3337</v>
      </c>
      <c r="E739" s="49">
        <v>1</v>
      </c>
      <c r="F739" t="s">
        <v>3338</v>
      </c>
      <c r="G739" t="s">
        <v>21</v>
      </c>
      <c r="H739" t="s">
        <v>81</v>
      </c>
      <c r="I739" s="13">
        <v>75000</v>
      </c>
      <c r="J739" s="13">
        <v>75000</v>
      </c>
      <c r="K739" s="13">
        <f>IF(J739&lt;'Mapa Oficinas'!$I$21,0,IF(J739&gt;'Mapa Oficinas'!$I$20,0,1))</f>
        <v>1</v>
      </c>
      <c r="L739" t="s">
        <v>23</v>
      </c>
      <c r="M739" t="s">
        <v>23</v>
      </c>
      <c r="N739" t="s">
        <v>3339</v>
      </c>
      <c r="O739" t="s">
        <v>3340</v>
      </c>
      <c r="P739" t="s">
        <v>34</v>
      </c>
      <c r="Q739">
        <v>2</v>
      </c>
      <c r="R739" t="s">
        <v>151</v>
      </c>
      <c r="S739" t="s">
        <v>28</v>
      </c>
      <c r="T739" t="str">
        <f>VLOOKUP(S739,'Mapa Oficinas'!$H$7:$I$16,2,FALSE)</f>
        <v>CB</v>
      </c>
      <c r="U739" t="s">
        <v>29</v>
      </c>
      <c r="V739" t="str">
        <f>VLOOKUP($R739,'Mapa Oficinas'!$A$7:$C$46,2,FALSE)</f>
        <v>Interior - Mendoza</v>
      </c>
      <c r="W739" t="str">
        <f>VLOOKUP($R739,'Mapa Oficinas'!$A$7:$C$46,3,FALSE)</f>
        <v>Capital Mendoza</v>
      </c>
    </row>
    <row r="740" spans="1:23" x14ac:dyDescent="0.2">
      <c r="A740" s="1">
        <v>45875</v>
      </c>
      <c r="B740" s="20">
        <f t="shared" si="22"/>
        <v>2025</v>
      </c>
      <c r="C740" s="20">
        <f t="shared" si="23"/>
        <v>8</v>
      </c>
      <c r="D740" t="s">
        <v>3437</v>
      </c>
      <c r="E740" s="49">
        <v>1</v>
      </c>
      <c r="F740" t="s">
        <v>3438</v>
      </c>
      <c r="G740" t="s">
        <v>21</v>
      </c>
      <c r="H740" t="s">
        <v>70</v>
      </c>
      <c r="I740" s="13">
        <v>75000</v>
      </c>
      <c r="J740" s="13">
        <v>75000</v>
      </c>
      <c r="K740" s="13">
        <f>IF(J740&lt;'Mapa Oficinas'!$I$21,0,IF(J740&gt;'Mapa Oficinas'!$I$20,0,1))</f>
        <v>1</v>
      </c>
      <c r="L740" t="s">
        <v>23</v>
      </c>
      <c r="M740" t="s">
        <v>23</v>
      </c>
      <c r="N740" t="s">
        <v>3439</v>
      </c>
      <c r="O740" t="s">
        <v>282</v>
      </c>
      <c r="P740" t="s">
        <v>34</v>
      </c>
      <c r="Q740">
        <v>2</v>
      </c>
      <c r="R740" t="s">
        <v>73</v>
      </c>
      <c r="S740" t="s">
        <v>28</v>
      </c>
      <c r="T740" t="str">
        <f>VLOOKUP(S740,'Mapa Oficinas'!$H$7:$I$16,2,FALSE)</f>
        <v>CB</v>
      </c>
      <c r="U740" t="s">
        <v>29</v>
      </c>
      <c r="V740" t="str">
        <f>VLOOKUP($R740,'Mapa Oficinas'!$A$7:$C$46,2,FALSE)</f>
        <v>Interior - Salta</v>
      </c>
      <c r="W740" t="str">
        <f>VLOOKUP($R740,'Mapa Oficinas'!$A$7:$C$46,3,FALSE)</f>
        <v>San Lorenzo Chico</v>
      </c>
    </row>
    <row r="741" spans="1:23" x14ac:dyDescent="0.2">
      <c r="A741" s="1">
        <v>45876</v>
      </c>
      <c r="B741" s="20">
        <f t="shared" si="22"/>
        <v>2025</v>
      </c>
      <c r="C741" s="20">
        <f t="shared" si="23"/>
        <v>8</v>
      </c>
      <c r="D741" t="s">
        <v>3453</v>
      </c>
      <c r="E741" s="49">
        <v>1</v>
      </c>
      <c r="F741" t="s">
        <v>3454</v>
      </c>
      <c r="G741" t="s">
        <v>21</v>
      </c>
      <c r="H741" t="s">
        <v>90</v>
      </c>
      <c r="I741" s="13">
        <v>79900</v>
      </c>
      <c r="J741" s="13">
        <v>75000</v>
      </c>
      <c r="K741" s="13">
        <f>IF(J741&lt;'Mapa Oficinas'!$I$21,0,IF(J741&gt;'Mapa Oficinas'!$I$20,0,1))</f>
        <v>1</v>
      </c>
      <c r="L741" t="s">
        <v>23</v>
      </c>
      <c r="M741" t="s">
        <v>23</v>
      </c>
      <c r="N741" t="s">
        <v>3455</v>
      </c>
      <c r="O741" t="s">
        <v>3456</v>
      </c>
      <c r="P741" t="s">
        <v>34</v>
      </c>
      <c r="Q741">
        <v>2</v>
      </c>
      <c r="R741" t="s">
        <v>62</v>
      </c>
      <c r="S741" t="s">
        <v>28</v>
      </c>
      <c r="T741" t="str">
        <f>VLOOKUP(S741,'Mapa Oficinas'!$H$7:$I$16,2,FALSE)</f>
        <v>CB</v>
      </c>
      <c r="U741" t="s">
        <v>29</v>
      </c>
      <c r="V741" t="str">
        <f>VLOOKUP($R741,'Mapa Oficinas'!$A$7:$C$46,2,FALSE)</f>
        <v>CABA</v>
      </c>
      <c r="W741" t="str">
        <f>VLOOKUP($R741,'Mapa Oficinas'!$A$7:$C$46,3,FALSE)</f>
        <v>Villa Urquiza</v>
      </c>
    </row>
    <row r="742" spans="1:23" x14ac:dyDescent="0.2">
      <c r="A742" s="1">
        <v>45939</v>
      </c>
      <c r="B742" s="20">
        <f t="shared" si="22"/>
        <v>2025</v>
      </c>
      <c r="C742" s="20">
        <f t="shared" si="23"/>
        <v>10</v>
      </c>
      <c r="D742" t="s">
        <v>4615</v>
      </c>
      <c r="E742" s="49">
        <v>1</v>
      </c>
      <c r="F742" t="s">
        <v>4616</v>
      </c>
      <c r="G742" t="s">
        <v>21</v>
      </c>
      <c r="H742" t="s">
        <v>37</v>
      </c>
      <c r="I742" s="13">
        <v>80000</v>
      </c>
      <c r="J742" s="13">
        <v>75000</v>
      </c>
      <c r="K742" s="13">
        <f>IF(J742&lt;'Mapa Oficinas'!$I$21,0,IF(J742&gt;'Mapa Oficinas'!$I$20,0,1))</f>
        <v>1</v>
      </c>
      <c r="L742" t="s">
        <v>23</v>
      </c>
      <c r="M742" t="s">
        <v>23</v>
      </c>
      <c r="N742" t="s">
        <v>4617</v>
      </c>
      <c r="O742" t="s">
        <v>114</v>
      </c>
      <c r="P742" t="s">
        <v>45</v>
      </c>
      <c r="Q742">
        <v>2</v>
      </c>
      <c r="R742" t="s">
        <v>62</v>
      </c>
      <c r="S742" t="s">
        <v>28</v>
      </c>
      <c r="T742" t="str">
        <f>VLOOKUP(S742,'Mapa Oficinas'!$H$7:$I$16,2,FALSE)</f>
        <v>CB</v>
      </c>
      <c r="U742" t="s">
        <v>29</v>
      </c>
      <c r="V742" t="str">
        <f>VLOOKUP($R742,'Mapa Oficinas'!$A$7:$C$46,2,FALSE)</f>
        <v>CABA</v>
      </c>
      <c r="W742" t="str">
        <f>VLOOKUP($R742,'Mapa Oficinas'!$A$7:$C$46,3,FALSE)</f>
        <v>Villa Urquiza</v>
      </c>
    </row>
    <row r="743" spans="1:23" x14ac:dyDescent="0.2">
      <c r="A743" s="1">
        <v>45992</v>
      </c>
      <c r="B743" s="20">
        <f t="shared" si="22"/>
        <v>2025</v>
      </c>
      <c r="C743" s="20">
        <f t="shared" si="23"/>
        <v>12</v>
      </c>
      <c r="D743" t="s">
        <v>881</v>
      </c>
      <c r="E743" s="49">
        <v>1</v>
      </c>
      <c r="F743" t="s">
        <v>882</v>
      </c>
      <c r="G743" t="s">
        <v>21</v>
      </c>
      <c r="H743" t="s">
        <v>37</v>
      </c>
      <c r="I743" s="13">
        <v>70000</v>
      </c>
      <c r="J743" s="13">
        <v>75000</v>
      </c>
      <c r="K743" s="13">
        <f>IF(J743&lt;'Mapa Oficinas'!$I$21,0,IF(J743&gt;'Mapa Oficinas'!$I$20,0,1))</f>
        <v>1</v>
      </c>
      <c r="L743" t="s">
        <v>23</v>
      </c>
      <c r="M743" t="s">
        <v>23</v>
      </c>
      <c r="N743" t="s">
        <v>883</v>
      </c>
      <c r="O743" t="s">
        <v>884</v>
      </c>
      <c r="P743" t="s">
        <v>45</v>
      </c>
      <c r="Q743">
        <v>2</v>
      </c>
      <c r="R743" t="s">
        <v>151</v>
      </c>
      <c r="S743" t="s">
        <v>28</v>
      </c>
      <c r="T743" t="str">
        <f>VLOOKUP(S743,'Mapa Oficinas'!$H$7:$I$16,2,FALSE)</f>
        <v>CB</v>
      </c>
      <c r="U743" t="s">
        <v>29</v>
      </c>
      <c r="V743" t="str">
        <f>VLOOKUP($R743,'Mapa Oficinas'!$A$7:$C$46,2,FALSE)</f>
        <v>Interior - Mendoza</v>
      </c>
      <c r="W743" t="str">
        <f>VLOOKUP($R743,'Mapa Oficinas'!$A$7:$C$46,3,FALSE)</f>
        <v>Capital Mendoza</v>
      </c>
    </row>
    <row r="744" spans="1:23" x14ac:dyDescent="0.2">
      <c r="A744" s="1">
        <v>46008</v>
      </c>
      <c r="B744" s="20">
        <f t="shared" si="22"/>
        <v>2025</v>
      </c>
      <c r="C744" s="20">
        <f t="shared" si="23"/>
        <v>12</v>
      </c>
      <c r="E744" s="49">
        <v>1</v>
      </c>
      <c r="F744" t="s">
        <v>5832</v>
      </c>
      <c r="G744" t="s">
        <v>21</v>
      </c>
      <c r="H744" t="s">
        <v>37</v>
      </c>
      <c r="I744" s="13">
        <v>75000</v>
      </c>
      <c r="J744" s="13">
        <v>75000</v>
      </c>
      <c r="K744" s="13">
        <f>IF(J744&lt;'Mapa Oficinas'!$I$21,0,IF(J744&gt;'Mapa Oficinas'!$I$20,0,1))</f>
        <v>1</v>
      </c>
      <c r="L744" t="s">
        <v>23</v>
      </c>
      <c r="M744" t="s">
        <v>23</v>
      </c>
      <c r="N744" t="s">
        <v>5833</v>
      </c>
      <c r="P744" t="s">
        <v>45</v>
      </c>
      <c r="Q744">
        <v>2</v>
      </c>
      <c r="R744" t="s">
        <v>142</v>
      </c>
      <c r="S744" t="s">
        <v>28</v>
      </c>
      <c r="T744" t="str">
        <f>VLOOKUP(S744,'Mapa Oficinas'!$H$7:$I$16,2,FALSE)</f>
        <v>CB</v>
      </c>
      <c r="U744" t="s">
        <v>29</v>
      </c>
      <c r="V744" t="str">
        <f>VLOOKUP($R744,'Mapa Oficinas'!$A$7:$C$46,2,FALSE)</f>
        <v>CABA</v>
      </c>
      <c r="W744" t="str">
        <f>VLOOKUP($R744,'Mapa Oficinas'!$A$7:$C$46,3,FALSE)</f>
        <v>Palermo</v>
      </c>
    </row>
    <row r="745" spans="1:23" x14ac:dyDescent="0.2">
      <c r="A745" s="1">
        <v>46010</v>
      </c>
      <c r="B745" s="20">
        <f t="shared" si="22"/>
        <v>2025</v>
      </c>
      <c r="C745" s="20">
        <f t="shared" si="23"/>
        <v>12</v>
      </c>
      <c r="D745" t="s">
        <v>5892</v>
      </c>
      <c r="E745" s="49">
        <v>1</v>
      </c>
      <c r="F745" t="s">
        <v>5893</v>
      </c>
      <c r="G745" t="s">
        <v>21</v>
      </c>
      <c r="H745" t="s">
        <v>37</v>
      </c>
      <c r="I745" s="13">
        <v>83000</v>
      </c>
      <c r="J745" s="13">
        <v>75000</v>
      </c>
      <c r="K745" s="13">
        <f>IF(J745&lt;'Mapa Oficinas'!$I$21,0,IF(J745&gt;'Mapa Oficinas'!$I$20,0,1))</f>
        <v>1</v>
      </c>
      <c r="L745" t="s">
        <v>23</v>
      </c>
      <c r="M745" t="s">
        <v>23</v>
      </c>
      <c r="N745" t="s">
        <v>5894</v>
      </c>
      <c r="O745" t="s">
        <v>371</v>
      </c>
      <c r="P745" t="s">
        <v>45</v>
      </c>
      <c r="Q745">
        <v>2</v>
      </c>
      <c r="R745" t="s">
        <v>135</v>
      </c>
      <c r="S745" t="s">
        <v>28</v>
      </c>
      <c r="T745" t="str">
        <f>VLOOKUP(S745,'Mapa Oficinas'!$H$7:$I$16,2,FALSE)</f>
        <v>CB</v>
      </c>
      <c r="U745" t="s">
        <v>29</v>
      </c>
      <c r="V745" t="str">
        <f>VLOOKUP($R745,'Mapa Oficinas'!$A$7:$C$46,2,FALSE)</f>
        <v>CABA</v>
      </c>
      <c r="W745" t="str">
        <f>VLOOKUP($R745,'Mapa Oficinas'!$A$7:$C$46,3,FALSE)</f>
        <v>Recoleta</v>
      </c>
    </row>
    <row r="746" spans="1:23" x14ac:dyDescent="0.2">
      <c r="A746" s="1">
        <v>46013</v>
      </c>
      <c r="B746" s="20">
        <f t="shared" si="22"/>
        <v>2025</v>
      </c>
      <c r="C746" s="20">
        <f t="shared" si="23"/>
        <v>12</v>
      </c>
      <c r="D746" t="s">
        <v>5928</v>
      </c>
      <c r="E746" s="49">
        <v>1</v>
      </c>
      <c r="F746" t="s">
        <v>5929</v>
      </c>
      <c r="G746" t="s">
        <v>21</v>
      </c>
      <c r="H746" t="s">
        <v>37</v>
      </c>
      <c r="I746" s="13">
        <v>75000</v>
      </c>
      <c r="J746" s="13">
        <v>75000</v>
      </c>
      <c r="K746" s="13">
        <f>IF(J746&lt;'Mapa Oficinas'!$I$21,0,IF(J746&gt;'Mapa Oficinas'!$I$20,0,1))</f>
        <v>1</v>
      </c>
      <c r="L746" t="s">
        <v>23</v>
      </c>
      <c r="M746" t="s">
        <v>23</v>
      </c>
      <c r="N746" t="s">
        <v>5930</v>
      </c>
      <c r="O746" t="s">
        <v>3192</v>
      </c>
      <c r="P746" t="s">
        <v>45</v>
      </c>
      <c r="Q746">
        <v>2</v>
      </c>
      <c r="R746" t="s">
        <v>151</v>
      </c>
      <c r="S746" t="s">
        <v>28</v>
      </c>
      <c r="T746" t="str">
        <f>VLOOKUP(S746,'Mapa Oficinas'!$H$7:$I$16,2,FALSE)</f>
        <v>CB</v>
      </c>
      <c r="U746" t="s">
        <v>29</v>
      </c>
      <c r="V746" t="str">
        <f>VLOOKUP($R746,'Mapa Oficinas'!$A$7:$C$46,2,FALSE)</f>
        <v>Interior - Mendoza</v>
      </c>
      <c r="W746" t="str">
        <f>VLOOKUP($R746,'Mapa Oficinas'!$A$7:$C$46,3,FALSE)</f>
        <v>Capital Mendoza</v>
      </c>
    </row>
    <row r="747" spans="1:23" x14ac:dyDescent="0.2">
      <c r="A747" s="1">
        <v>46014</v>
      </c>
      <c r="B747" s="20">
        <f t="shared" si="22"/>
        <v>2025</v>
      </c>
      <c r="C747" s="20">
        <f t="shared" si="23"/>
        <v>12</v>
      </c>
      <c r="D747" t="s">
        <v>5975</v>
      </c>
      <c r="E747" s="49">
        <v>1</v>
      </c>
      <c r="F747" t="s">
        <v>5976</v>
      </c>
      <c r="G747" t="s">
        <v>21</v>
      </c>
      <c r="H747" t="s">
        <v>22</v>
      </c>
      <c r="I747" s="13">
        <v>79000</v>
      </c>
      <c r="J747" s="13">
        <v>75000</v>
      </c>
      <c r="K747" s="13">
        <f>IF(J747&lt;'Mapa Oficinas'!$I$21,0,IF(J747&gt;'Mapa Oficinas'!$I$20,0,1))</f>
        <v>1</v>
      </c>
      <c r="L747" t="s">
        <v>23</v>
      </c>
      <c r="M747" t="s">
        <v>23</v>
      </c>
      <c r="N747" t="s">
        <v>5977</v>
      </c>
      <c r="O747" t="s">
        <v>976</v>
      </c>
      <c r="P747" t="s">
        <v>45</v>
      </c>
      <c r="Q747">
        <v>2</v>
      </c>
      <c r="R747" t="s">
        <v>372</v>
      </c>
      <c r="S747" t="s">
        <v>28</v>
      </c>
      <c r="T747" t="str">
        <f>VLOOKUP(S747,'Mapa Oficinas'!$H$7:$I$16,2,FALSE)</f>
        <v>CB</v>
      </c>
      <c r="U747" t="s">
        <v>29</v>
      </c>
      <c r="V747" t="str">
        <f>VLOOKUP($R747,'Mapa Oficinas'!$A$7:$C$46,2,FALSE)</f>
        <v>CABA</v>
      </c>
      <c r="W747" t="str">
        <f>VLOOKUP($R747,'Mapa Oficinas'!$A$7:$C$46,3,FALSE)</f>
        <v>Caballito</v>
      </c>
    </row>
    <row r="748" spans="1:23" x14ac:dyDescent="0.2">
      <c r="A748" s="1">
        <v>46053</v>
      </c>
      <c r="B748" s="20">
        <f t="shared" si="22"/>
        <v>2026</v>
      </c>
      <c r="C748" s="20">
        <f t="shared" si="23"/>
        <v>1</v>
      </c>
      <c r="D748" t="s">
        <v>6494</v>
      </c>
      <c r="E748" s="49">
        <v>1</v>
      </c>
      <c r="F748" t="s">
        <v>6495</v>
      </c>
      <c r="G748" t="s">
        <v>21</v>
      </c>
      <c r="H748" t="s">
        <v>81</v>
      </c>
      <c r="I748" s="13">
        <v>75000</v>
      </c>
      <c r="J748" s="13">
        <v>75000</v>
      </c>
      <c r="K748" s="13">
        <f>IF(J748&lt;'Mapa Oficinas'!$I$21,0,IF(J748&gt;'Mapa Oficinas'!$I$20,0,1))</f>
        <v>1</v>
      </c>
      <c r="L748" t="s">
        <v>23</v>
      </c>
      <c r="M748" t="s">
        <v>23</v>
      </c>
      <c r="N748" t="s">
        <v>5071</v>
      </c>
      <c r="O748" t="s">
        <v>822</v>
      </c>
      <c r="P748" t="s">
        <v>45</v>
      </c>
      <c r="Q748">
        <v>2</v>
      </c>
      <c r="R748" t="s">
        <v>823</v>
      </c>
      <c r="S748" t="s">
        <v>28</v>
      </c>
      <c r="T748" t="str">
        <f>VLOOKUP(S748,'Mapa Oficinas'!$H$7:$I$16,2,FALSE)</f>
        <v>CB</v>
      </c>
      <c r="U748" t="s">
        <v>29</v>
      </c>
      <c r="V748" t="str">
        <f>VLOOKUP($R748,'Mapa Oficinas'!$A$7:$C$46,2,FALSE)</f>
        <v>Zona Norte (GBA)</v>
      </c>
      <c r="W748" t="str">
        <f>VLOOKUP($R748,'Mapa Oficinas'!$A$7:$C$46,3,FALSE)</f>
        <v>Pilar</v>
      </c>
    </row>
    <row r="749" spans="1:23" x14ac:dyDescent="0.2">
      <c r="A749" s="1">
        <v>46064</v>
      </c>
      <c r="B749" s="20">
        <f t="shared" si="22"/>
        <v>2026</v>
      </c>
      <c r="C749" s="20">
        <f t="shared" si="23"/>
        <v>2</v>
      </c>
      <c r="D749" t="s">
        <v>6637</v>
      </c>
      <c r="E749" s="49">
        <v>1</v>
      </c>
      <c r="F749" t="s">
        <v>6638</v>
      </c>
      <c r="G749" t="s">
        <v>21</v>
      </c>
      <c r="H749" t="s">
        <v>37</v>
      </c>
      <c r="I749" s="13">
        <v>79500</v>
      </c>
      <c r="J749" s="13">
        <v>75000</v>
      </c>
      <c r="K749" s="13">
        <f>IF(J749&lt;'Mapa Oficinas'!$I$21,0,IF(J749&gt;'Mapa Oficinas'!$I$20,0,1))</f>
        <v>1</v>
      </c>
      <c r="L749" t="s">
        <v>23</v>
      </c>
      <c r="M749" t="s">
        <v>23</v>
      </c>
      <c r="N749" t="s">
        <v>6639</v>
      </c>
      <c r="O749" t="s">
        <v>440</v>
      </c>
      <c r="P749" t="s">
        <v>45</v>
      </c>
      <c r="Q749">
        <v>2</v>
      </c>
      <c r="R749" t="s">
        <v>1024</v>
      </c>
      <c r="S749" t="s">
        <v>28</v>
      </c>
      <c r="T749" t="str">
        <f>VLOOKUP(S749,'Mapa Oficinas'!$H$7:$I$16,2,FALSE)</f>
        <v>CB</v>
      </c>
      <c r="U749" t="s">
        <v>29</v>
      </c>
      <c r="V749" t="str">
        <f>VLOOKUP($R749,'Mapa Oficinas'!$A$7:$C$46,2,FALSE)</f>
        <v>CABA</v>
      </c>
      <c r="W749" t="str">
        <f>VLOOKUP($R749,'Mapa Oficinas'!$A$7:$C$46,3,FALSE)</f>
        <v>Puerto Madero</v>
      </c>
    </row>
    <row r="750" spans="1:23" x14ac:dyDescent="0.2">
      <c r="A750" s="1">
        <v>46064</v>
      </c>
      <c r="B750" s="20">
        <f t="shared" si="22"/>
        <v>2026</v>
      </c>
      <c r="C750" s="20">
        <f t="shared" si="23"/>
        <v>2</v>
      </c>
      <c r="D750" t="s">
        <v>6640</v>
      </c>
      <c r="E750" s="49">
        <v>1</v>
      </c>
      <c r="F750" t="s">
        <v>6641</v>
      </c>
      <c r="G750" t="s">
        <v>21</v>
      </c>
      <c r="H750" t="s">
        <v>37</v>
      </c>
      <c r="I750" s="13">
        <v>80000</v>
      </c>
      <c r="J750" s="13">
        <v>75000</v>
      </c>
      <c r="K750" s="13">
        <f>IF(J750&lt;'Mapa Oficinas'!$I$21,0,IF(J750&gt;'Mapa Oficinas'!$I$20,0,1))</f>
        <v>1</v>
      </c>
      <c r="L750" t="s">
        <v>23</v>
      </c>
      <c r="M750" t="s">
        <v>23</v>
      </c>
      <c r="N750" t="s">
        <v>6642</v>
      </c>
      <c r="O750" t="s">
        <v>66</v>
      </c>
      <c r="P750" t="s">
        <v>45</v>
      </c>
      <c r="Q750">
        <v>2</v>
      </c>
      <c r="R750" t="s">
        <v>46</v>
      </c>
      <c r="S750" t="s">
        <v>28</v>
      </c>
      <c r="T750" t="str">
        <f>VLOOKUP(S750,'Mapa Oficinas'!$H$7:$I$16,2,FALSE)</f>
        <v>CB</v>
      </c>
      <c r="U750" t="s">
        <v>29</v>
      </c>
      <c r="V750" t="str">
        <f>VLOOKUP($R750,'Mapa Oficinas'!$A$7:$C$46,2,FALSE)</f>
        <v>CABA</v>
      </c>
      <c r="W750" t="str">
        <f>VLOOKUP($R750,'Mapa Oficinas'!$A$7:$C$46,3,FALSE)</f>
        <v>Palermo</v>
      </c>
    </row>
    <row r="751" spans="1:23" x14ac:dyDescent="0.2">
      <c r="A751" s="1">
        <v>46071</v>
      </c>
      <c r="B751" s="20">
        <f t="shared" si="22"/>
        <v>2026</v>
      </c>
      <c r="C751" s="20">
        <f t="shared" si="23"/>
        <v>2</v>
      </c>
      <c r="D751" t="s">
        <v>6736</v>
      </c>
      <c r="E751" s="49">
        <v>1</v>
      </c>
      <c r="F751" t="s">
        <v>6737</v>
      </c>
      <c r="G751" t="s">
        <v>21</v>
      </c>
      <c r="H751" t="s">
        <v>6738</v>
      </c>
      <c r="I751" s="13">
        <v>74900</v>
      </c>
      <c r="J751" s="13">
        <v>75000</v>
      </c>
      <c r="K751" s="13">
        <f>IF(J751&lt;'Mapa Oficinas'!$I$21,0,IF(J751&gt;'Mapa Oficinas'!$I$20,0,1))</f>
        <v>1</v>
      </c>
      <c r="L751" t="s">
        <v>23</v>
      </c>
      <c r="M751" t="s">
        <v>23</v>
      </c>
      <c r="N751" t="s">
        <v>6739</v>
      </c>
      <c r="O751" t="s">
        <v>6434</v>
      </c>
      <c r="P751" t="s">
        <v>34</v>
      </c>
      <c r="Q751">
        <v>2</v>
      </c>
      <c r="R751" t="s">
        <v>2003</v>
      </c>
      <c r="S751" t="s">
        <v>28</v>
      </c>
      <c r="T751" t="str">
        <f>VLOOKUP(S751,'Mapa Oficinas'!$H$7:$I$16,2,FALSE)</f>
        <v>CB</v>
      </c>
      <c r="U751" t="s">
        <v>29</v>
      </c>
      <c r="V751" t="str">
        <f>VLOOKUP($R751,'Mapa Oficinas'!$A$7:$C$46,2,FALSE)</f>
        <v>Interior - Mendoza</v>
      </c>
      <c r="W751" t="str">
        <f>VLOOKUP($R751,'Mapa Oficinas'!$A$7:$C$46,3,FALSE)</f>
        <v>San Rafael</v>
      </c>
    </row>
    <row r="752" spans="1:23" x14ac:dyDescent="0.2">
      <c r="A752" s="1">
        <v>46085</v>
      </c>
      <c r="B752" s="20">
        <f t="shared" si="22"/>
        <v>2026</v>
      </c>
      <c r="C752" s="20">
        <f t="shared" si="23"/>
        <v>3</v>
      </c>
      <c r="D752" t="s">
        <v>6960</v>
      </c>
      <c r="E752" s="49">
        <v>1</v>
      </c>
      <c r="F752" t="s">
        <v>6961</v>
      </c>
      <c r="G752" t="s">
        <v>21</v>
      </c>
      <c r="H752" t="s">
        <v>37</v>
      </c>
      <c r="I752" s="13">
        <v>79900</v>
      </c>
      <c r="J752" s="13">
        <v>75000</v>
      </c>
      <c r="K752" s="13">
        <f>IF(J752&lt;'Mapa Oficinas'!$I$21,0,IF(J752&gt;'Mapa Oficinas'!$I$20,0,1))</f>
        <v>1</v>
      </c>
      <c r="L752" t="s">
        <v>23</v>
      </c>
      <c r="M752" t="s">
        <v>23</v>
      </c>
      <c r="N752" t="s">
        <v>6962</v>
      </c>
      <c r="O752" t="s">
        <v>837</v>
      </c>
      <c r="P752" t="s">
        <v>45</v>
      </c>
      <c r="Q752">
        <v>2</v>
      </c>
      <c r="R752" t="s">
        <v>56</v>
      </c>
      <c r="S752" t="s">
        <v>28</v>
      </c>
      <c r="T752" t="str">
        <f>VLOOKUP(S752,'Mapa Oficinas'!$H$7:$I$16,2,FALSE)</f>
        <v>CB</v>
      </c>
      <c r="U752" t="s">
        <v>29</v>
      </c>
      <c r="V752" t="str">
        <f>VLOOKUP($R752,'Mapa Oficinas'!$A$7:$C$46,2,FALSE)</f>
        <v>Zona Norte (GBA)</v>
      </c>
      <c r="W752" t="str">
        <f>VLOOKUP($R752,'Mapa Oficinas'!$A$7:$C$46,3,FALSE)</f>
        <v>Vicente López</v>
      </c>
    </row>
    <row r="753" spans="1:23" x14ac:dyDescent="0.2">
      <c r="A753" s="1">
        <v>46111</v>
      </c>
      <c r="B753" s="20">
        <f t="shared" si="22"/>
        <v>2026</v>
      </c>
      <c r="C753" s="20">
        <f t="shared" si="23"/>
        <v>3</v>
      </c>
      <c r="D753">
        <v>30032026</v>
      </c>
      <c r="E753" s="49">
        <v>1</v>
      </c>
      <c r="F753" t="s">
        <v>7513</v>
      </c>
      <c r="G753" t="s">
        <v>21</v>
      </c>
      <c r="H753" t="s">
        <v>119</v>
      </c>
      <c r="I753" s="13">
        <v>75000</v>
      </c>
      <c r="J753" s="13">
        <v>75000</v>
      </c>
      <c r="K753" s="13">
        <f>IF(J753&lt;'Mapa Oficinas'!$I$21,0,IF(J753&gt;'Mapa Oficinas'!$I$20,0,1))</f>
        <v>1</v>
      </c>
      <c r="L753" t="s">
        <v>23</v>
      </c>
      <c r="M753" t="s">
        <v>23</v>
      </c>
      <c r="O753" t="s">
        <v>120</v>
      </c>
      <c r="P753" t="s">
        <v>26</v>
      </c>
      <c r="Q753">
        <v>2</v>
      </c>
      <c r="R753" t="s">
        <v>121</v>
      </c>
      <c r="S753" t="s">
        <v>28</v>
      </c>
      <c r="T753" t="str">
        <f>VLOOKUP(S753,'Mapa Oficinas'!$H$7:$I$16,2,FALSE)</f>
        <v>CB</v>
      </c>
      <c r="U753" t="s">
        <v>29</v>
      </c>
      <c r="V753" t="str">
        <f>VLOOKUP($R753,'Mapa Oficinas'!$A$7:$C$46,2,FALSE)</f>
        <v>Interior - Río Negro</v>
      </c>
      <c r="W753" t="str">
        <f>VLOOKUP($R753,'Mapa Oficinas'!$A$7:$C$46,3,FALSE)</f>
        <v>Bariloche</v>
      </c>
    </row>
    <row r="754" spans="1:23" x14ac:dyDescent="0.2">
      <c r="A754" s="1">
        <v>46112</v>
      </c>
      <c r="B754" s="20">
        <f t="shared" si="22"/>
        <v>2026</v>
      </c>
      <c r="C754" s="20">
        <f t="shared" si="23"/>
        <v>3</v>
      </c>
      <c r="D754" t="s">
        <v>7554</v>
      </c>
      <c r="E754" s="49">
        <v>1</v>
      </c>
      <c r="F754" t="s">
        <v>7555</v>
      </c>
      <c r="G754" t="s">
        <v>21</v>
      </c>
      <c r="H754" t="s">
        <v>22</v>
      </c>
      <c r="I754" s="13">
        <v>75000</v>
      </c>
      <c r="J754" s="13">
        <v>75000</v>
      </c>
      <c r="K754" s="13">
        <f>IF(J754&lt;'Mapa Oficinas'!$I$21,0,IF(J754&gt;'Mapa Oficinas'!$I$20,0,1))</f>
        <v>1</v>
      </c>
      <c r="L754" t="s">
        <v>23</v>
      </c>
      <c r="M754" t="s">
        <v>23</v>
      </c>
      <c r="N754" t="s">
        <v>7556</v>
      </c>
      <c r="O754" t="s">
        <v>2046</v>
      </c>
      <c r="P754" t="s">
        <v>34</v>
      </c>
      <c r="Q754">
        <v>2</v>
      </c>
      <c r="R754" t="s">
        <v>62</v>
      </c>
      <c r="S754" t="s">
        <v>28</v>
      </c>
      <c r="T754" t="str">
        <f>VLOOKUP(S754,'Mapa Oficinas'!$H$7:$I$16,2,FALSE)</f>
        <v>CB</v>
      </c>
      <c r="U754" t="s">
        <v>29</v>
      </c>
      <c r="V754" t="str">
        <f>VLOOKUP($R754,'Mapa Oficinas'!$A$7:$C$46,2,FALSE)</f>
        <v>CABA</v>
      </c>
      <c r="W754" t="str">
        <f>VLOOKUP($R754,'Mapa Oficinas'!$A$7:$C$46,3,FALSE)</f>
        <v>Villa Urquiza</v>
      </c>
    </row>
    <row r="755" spans="1:23" x14ac:dyDescent="0.2">
      <c r="A755" s="1">
        <v>45673</v>
      </c>
      <c r="B755" s="20">
        <f t="shared" si="22"/>
        <v>2025</v>
      </c>
      <c r="C755" s="20">
        <f t="shared" si="23"/>
        <v>1</v>
      </c>
      <c r="D755" t="s">
        <v>88</v>
      </c>
      <c r="E755" s="49">
        <v>1</v>
      </c>
      <c r="F755" t="s">
        <v>89</v>
      </c>
      <c r="G755" t="s">
        <v>21</v>
      </c>
      <c r="H755" t="s">
        <v>22</v>
      </c>
      <c r="I755" s="13">
        <v>102000</v>
      </c>
      <c r="J755" s="13">
        <v>75500</v>
      </c>
      <c r="K755" s="13">
        <f>IF(J755&lt;'Mapa Oficinas'!$I$21,0,IF(J755&gt;'Mapa Oficinas'!$I$20,0,1))</f>
        <v>1</v>
      </c>
      <c r="L755" t="s">
        <v>23</v>
      </c>
      <c r="M755" t="s">
        <v>23</v>
      </c>
      <c r="N755" t="s">
        <v>91</v>
      </c>
      <c r="O755" t="s">
        <v>92</v>
      </c>
      <c r="P755" t="s">
        <v>45</v>
      </c>
      <c r="Q755">
        <v>2</v>
      </c>
      <c r="R755" t="s">
        <v>62</v>
      </c>
      <c r="S755" t="s">
        <v>28</v>
      </c>
      <c r="T755" t="str">
        <f>VLOOKUP(S755,'Mapa Oficinas'!$H$7:$I$16,2,FALSE)</f>
        <v>CB</v>
      </c>
      <c r="U755" t="s">
        <v>29</v>
      </c>
      <c r="V755" t="str">
        <f>VLOOKUP($R755,'Mapa Oficinas'!$A$7:$C$46,2,FALSE)</f>
        <v>CABA</v>
      </c>
      <c r="W755" t="str">
        <f>VLOOKUP($R755,'Mapa Oficinas'!$A$7:$C$46,3,FALSE)</f>
        <v>Villa Urquiza</v>
      </c>
    </row>
    <row r="756" spans="1:23" x14ac:dyDescent="0.2">
      <c r="A756" s="1">
        <v>45799</v>
      </c>
      <c r="B756" s="20">
        <f t="shared" si="22"/>
        <v>2025</v>
      </c>
      <c r="C756" s="20">
        <f t="shared" si="23"/>
        <v>5</v>
      </c>
      <c r="D756" t="s">
        <v>2091</v>
      </c>
      <c r="E756" s="49">
        <v>1</v>
      </c>
      <c r="F756" t="s">
        <v>2092</v>
      </c>
      <c r="G756" t="s">
        <v>21</v>
      </c>
      <c r="H756" t="s">
        <v>37</v>
      </c>
      <c r="I756" s="13">
        <v>80000</v>
      </c>
      <c r="J756" s="13">
        <v>75500</v>
      </c>
      <c r="K756" s="13">
        <f>IF(J756&lt;'Mapa Oficinas'!$I$21,0,IF(J756&gt;'Mapa Oficinas'!$I$20,0,1))</f>
        <v>1</v>
      </c>
      <c r="L756" t="s">
        <v>23</v>
      </c>
      <c r="M756" t="s">
        <v>23</v>
      </c>
      <c r="N756" t="s">
        <v>2093</v>
      </c>
      <c r="O756" t="s">
        <v>333</v>
      </c>
      <c r="P756" t="s">
        <v>45</v>
      </c>
      <c r="Q756">
        <v>2</v>
      </c>
      <c r="R756" t="s">
        <v>67</v>
      </c>
      <c r="S756" t="s">
        <v>28</v>
      </c>
      <c r="T756" t="str">
        <f>VLOOKUP(S756,'Mapa Oficinas'!$H$7:$I$16,2,FALSE)</f>
        <v>CB</v>
      </c>
      <c r="U756" t="s">
        <v>29</v>
      </c>
      <c r="V756" t="str">
        <f>VLOOKUP($R756,'Mapa Oficinas'!$A$7:$C$46,2,FALSE)</f>
        <v>CABA</v>
      </c>
      <c r="W756" t="str">
        <f>VLOOKUP($R756,'Mapa Oficinas'!$A$7:$C$46,3,FALSE)</f>
        <v>Barrio Parque</v>
      </c>
    </row>
    <row r="757" spans="1:23" x14ac:dyDescent="0.2">
      <c r="A757" s="1">
        <v>45890</v>
      </c>
      <c r="B757" s="20">
        <f t="shared" si="22"/>
        <v>2025</v>
      </c>
      <c r="C757" s="20">
        <f t="shared" si="23"/>
        <v>8</v>
      </c>
      <c r="D757" t="s">
        <v>3691</v>
      </c>
      <c r="E757" s="49">
        <v>1</v>
      </c>
      <c r="F757" t="s">
        <v>3692</v>
      </c>
      <c r="G757" t="s">
        <v>21</v>
      </c>
      <c r="H757" t="s">
        <v>81</v>
      </c>
      <c r="I757" s="13">
        <v>78000</v>
      </c>
      <c r="J757" s="13">
        <v>76000</v>
      </c>
      <c r="K757" s="13">
        <f>IF(J757&lt;'Mapa Oficinas'!$I$21,0,IF(J757&gt;'Mapa Oficinas'!$I$20,0,1))</f>
        <v>1</v>
      </c>
      <c r="L757" t="s">
        <v>23</v>
      </c>
      <c r="M757" t="s">
        <v>23</v>
      </c>
      <c r="N757" t="s">
        <v>3693</v>
      </c>
      <c r="O757" t="s">
        <v>223</v>
      </c>
      <c r="P757" t="s">
        <v>34</v>
      </c>
      <c r="Q757">
        <v>1</v>
      </c>
      <c r="R757" t="s">
        <v>167</v>
      </c>
      <c r="S757" t="s">
        <v>122</v>
      </c>
      <c r="T757" t="str">
        <f>VLOOKUP(S757,'Mapa Oficinas'!$H$7:$I$16,2,FALSE)</f>
        <v>Otra Red Búsqueda</v>
      </c>
      <c r="U757" t="s">
        <v>29</v>
      </c>
      <c r="V757" t="str">
        <f>VLOOKUP($R757,'Mapa Oficinas'!$A$7:$C$46,2,FALSE)</f>
        <v>Interior - Santa Fe</v>
      </c>
      <c r="W757" t="str">
        <f>VLOOKUP($R757,'Mapa Oficinas'!$A$7:$C$46,3,FALSE)</f>
        <v>Capital Santa Fe</v>
      </c>
    </row>
    <row r="758" spans="1:23" x14ac:dyDescent="0.2">
      <c r="A758" s="1">
        <v>45926</v>
      </c>
      <c r="B758" s="20">
        <f t="shared" si="22"/>
        <v>2025</v>
      </c>
      <c r="C758" s="20">
        <f t="shared" si="23"/>
        <v>9</v>
      </c>
      <c r="D758" t="s">
        <v>4374</v>
      </c>
      <c r="E758" s="49">
        <v>1</v>
      </c>
      <c r="F758" t="s">
        <v>4375</v>
      </c>
      <c r="G758" t="s">
        <v>21</v>
      </c>
      <c r="H758" t="s">
        <v>81</v>
      </c>
      <c r="I758" s="13">
        <v>78000</v>
      </c>
      <c r="J758" s="13">
        <v>76000</v>
      </c>
      <c r="K758" s="13">
        <f>IF(J758&lt;'Mapa Oficinas'!$I$21,0,IF(J758&gt;'Mapa Oficinas'!$I$20,0,1))</f>
        <v>1</v>
      </c>
      <c r="L758" t="s">
        <v>23</v>
      </c>
      <c r="M758" t="s">
        <v>23</v>
      </c>
      <c r="N758" t="s">
        <v>4376</v>
      </c>
      <c r="O758" t="s">
        <v>223</v>
      </c>
      <c r="P758" t="s">
        <v>45</v>
      </c>
      <c r="Q758">
        <v>1</v>
      </c>
      <c r="R758" t="s">
        <v>167</v>
      </c>
      <c r="S758" t="s">
        <v>122</v>
      </c>
      <c r="T758" t="str">
        <f>VLOOKUP(S758,'Mapa Oficinas'!$H$7:$I$16,2,FALSE)</f>
        <v>Otra Red Búsqueda</v>
      </c>
      <c r="U758" t="s">
        <v>29</v>
      </c>
      <c r="V758" t="str">
        <f>VLOOKUP($R758,'Mapa Oficinas'!$A$7:$C$46,2,FALSE)</f>
        <v>Interior - Santa Fe</v>
      </c>
      <c r="W758" t="str">
        <f>VLOOKUP($R758,'Mapa Oficinas'!$A$7:$C$46,3,FALSE)</f>
        <v>Capital Santa Fe</v>
      </c>
    </row>
    <row r="759" spans="1:23" x14ac:dyDescent="0.2">
      <c r="A759" s="1">
        <v>45805</v>
      </c>
      <c r="B759" s="20">
        <f t="shared" si="22"/>
        <v>2025</v>
      </c>
      <c r="C759" s="20">
        <f t="shared" si="23"/>
        <v>5</v>
      </c>
      <c r="E759" s="49">
        <v>1</v>
      </c>
      <c r="F759" t="s">
        <v>2162</v>
      </c>
      <c r="G759" t="s">
        <v>21</v>
      </c>
      <c r="H759" t="s">
        <v>37</v>
      </c>
      <c r="I759" s="13">
        <v>76000</v>
      </c>
      <c r="J759" s="13">
        <v>76000</v>
      </c>
      <c r="K759" s="13">
        <f>IF(J759&lt;'Mapa Oficinas'!$I$21,0,IF(J759&gt;'Mapa Oficinas'!$I$20,0,1))</f>
        <v>1</v>
      </c>
      <c r="L759" t="s">
        <v>23</v>
      </c>
      <c r="M759" t="s">
        <v>23</v>
      </c>
      <c r="N759" t="s">
        <v>2163</v>
      </c>
      <c r="O759" t="s">
        <v>371</v>
      </c>
      <c r="P759" t="s">
        <v>45</v>
      </c>
      <c r="Q759">
        <v>1</v>
      </c>
      <c r="R759" t="s">
        <v>135</v>
      </c>
      <c r="S759" t="s">
        <v>47</v>
      </c>
      <c r="T759" t="str">
        <f>VLOOKUP(S759,'Mapa Oficinas'!$H$7:$I$16,2,FALSE)</f>
        <v>Otra Red Búsqueda</v>
      </c>
      <c r="U759" t="s">
        <v>29</v>
      </c>
      <c r="V759" t="str">
        <f>VLOOKUP($R759,'Mapa Oficinas'!$A$7:$C$46,2,FALSE)</f>
        <v>CABA</v>
      </c>
      <c r="W759" t="str">
        <f>VLOOKUP($R759,'Mapa Oficinas'!$A$7:$C$46,3,FALSE)</f>
        <v>Recoleta</v>
      </c>
    </row>
    <row r="760" spans="1:23" x14ac:dyDescent="0.2">
      <c r="A760" s="1">
        <v>45971</v>
      </c>
      <c r="B760" s="20">
        <f t="shared" si="22"/>
        <v>2025</v>
      </c>
      <c r="C760" s="20">
        <f t="shared" si="23"/>
        <v>11</v>
      </c>
      <c r="E760" s="49">
        <v>1</v>
      </c>
      <c r="F760" t="s">
        <v>5104</v>
      </c>
      <c r="G760" t="s">
        <v>21</v>
      </c>
      <c r="H760" t="s">
        <v>22</v>
      </c>
      <c r="I760" s="13">
        <v>79500</v>
      </c>
      <c r="J760" s="13">
        <v>76000</v>
      </c>
      <c r="K760" s="13">
        <f>IF(J760&lt;'Mapa Oficinas'!$I$21,0,IF(J760&gt;'Mapa Oficinas'!$I$20,0,1))</f>
        <v>1</v>
      </c>
      <c r="L760" t="s">
        <v>23</v>
      </c>
      <c r="M760" t="s">
        <v>23</v>
      </c>
      <c r="N760" t="s">
        <v>5105</v>
      </c>
      <c r="O760" t="s">
        <v>50</v>
      </c>
      <c r="P760" t="s">
        <v>45</v>
      </c>
      <c r="Q760">
        <v>1</v>
      </c>
      <c r="R760" t="s">
        <v>523</v>
      </c>
      <c r="S760" t="s">
        <v>47</v>
      </c>
      <c r="T760" t="str">
        <f>VLOOKUP(S760,'Mapa Oficinas'!$H$7:$I$16,2,FALSE)</f>
        <v>Otra Red Búsqueda</v>
      </c>
      <c r="U760" t="s">
        <v>29</v>
      </c>
      <c r="V760" t="str">
        <f>VLOOKUP($R760,'Mapa Oficinas'!$A$7:$C$46,2,FALSE)</f>
        <v>CABA</v>
      </c>
      <c r="W760" t="str">
        <f>VLOOKUP($R760,'Mapa Oficinas'!$A$7:$C$46,3,FALSE)</f>
        <v>Belgrano</v>
      </c>
    </row>
    <row r="761" spans="1:23" x14ac:dyDescent="0.2">
      <c r="A761" s="1">
        <v>45947</v>
      </c>
      <c r="B761" s="20">
        <f t="shared" si="22"/>
        <v>2025</v>
      </c>
      <c r="C761" s="20">
        <f t="shared" si="23"/>
        <v>10</v>
      </c>
      <c r="D761" t="s">
        <v>4754</v>
      </c>
      <c r="E761" s="49">
        <v>1</v>
      </c>
      <c r="F761" t="s">
        <v>4755</v>
      </c>
      <c r="G761" t="s">
        <v>21</v>
      </c>
      <c r="H761" t="s">
        <v>37</v>
      </c>
      <c r="I761" s="13">
        <v>223000</v>
      </c>
      <c r="J761" s="13">
        <v>76000</v>
      </c>
      <c r="K761" s="13">
        <f>IF(J761&lt;'Mapa Oficinas'!$I$21,0,IF(J761&gt;'Mapa Oficinas'!$I$20,0,1))</f>
        <v>1</v>
      </c>
      <c r="L761" t="s">
        <v>23</v>
      </c>
      <c r="M761" t="s">
        <v>23</v>
      </c>
      <c r="N761" t="s">
        <v>4756</v>
      </c>
      <c r="O761" t="s">
        <v>141</v>
      </c>
      <c r="P761" t="s">
        <v>45</v>
      </c>
      <c r="Q761">
        <v>2</v>
      </c>
      <c r="R761" t="s">
        <v>62</v>
      </c>
      <c r="S761" t="s">
        <v>28</v>
      </c>
      <c r="T761" t="str">
        <f>VLOOKUP(S761,'Mapa Oficinas'!$H$7:$I$16,2,FALSE)</f>
        <v>CB</v>
      </c>
      <c r="U761" t="s">
        <v>29</v>
      </c>
      <c r="V761" t="str">
        <f>VLOOKUP($R761,'Mapa Oficinas'!$A$7:$C$46,2,FALSE)</f>
        <v>CABA</v>
      </c>
      <c r="W761" t="str">
        <f>VLOOKUP($R761,'Mapa Oficinas'!$A$7:$C$46,3,FALSE)</f>
        <v>Villa Urquiza</v>
      </c>
    </row>
    <row r="762" spans="1:23" x14ac:dyDescent="0.2">
      <c r="A762" s="1">
        <v>45961</v>
      </c>
      <c r="B762" s="20">
        <f t="shared" si="22"/>
        <v>2025</v>
      </c>
      <c r="C762" s="20">
        <f t="shared" si="23"/>
        <v>10</v>
      </c>
      <c r="D762" t="s">
        <v>5022</v>
      </c>
      <c r="E762" s="49">
        <v>1</v>
      </c>
      <c r="F762" t="s">
        <v>5023</v>
      </c>
      <c r="G762" t="s">
        <v>21</v>
      </c>
      <c r="H762" t="s">
        <v>37</v>
      </c>
      <c r="I762" s="13">
        <v>58900</v>
      </c>
      <c r="J762" s="13">
        <v>76000</v>
      </c>
      <c r="K762" s="13">
        <f>IF(J762&lt;'Mapa Oficinas'!$I$21,0,IF(J762&gt;'Mapa Oficinas'!$I$20,0,1))</f>
        <v>1</v>
      </c>
      <c r="L762" t="s">
        <v>23</v>
      </c>
      <c r="M762" t="s">
        <v>23</v>
      </c>
      <c r="N762" t="s">
        <v>5024</v>
      </c>
      <c r="O762" t="s">
        <v>552</v>
      </c>
      <c r="P762" t="s">
        <v>45</v>
      </c>
      <c r="Q762">
        <v>2</v>
      </c>
      <c r="R762" t="s">
        <v>62</v>
      </c>
      <c r="S762" t="s">
        <v>28</v>
      </c>
      <c r="T762" t="str">
        <f>VLOOKUP(S762,'Mapa Oficinas'!$H$7:$I$16,2,FALSE)</f>
        <v>CB</v>
      </c>
      <c r="U762" t="s">
        <v>29</v>
      </c>
      <c r="V762" t="str">
        <f>VLOOKUP($R762,'Mapa Oficinas'!$A$7:$C$46,2,FALSE)</f>
        <v>CABA</v>
      </c>
      <c r="W762" t="str">
        <f>VLOOKUP($R762,'Mapa Oficinas'!$A$7:$C$46,3,FALSE)</f>
        <v>Villa Urquiza</v>
      </c>
    </row>
    <row r="763" spans="1:23" x14ac:dyDescent="0.2">
      <c r="A763" s="1">
        <v>46044</v>
      </c>
      <c r="B763" s="20">
        <f t="shared" si="22"/>
        <v>2026</v>
      </c>
      <c r="C763" s="20">
        <f t="shared" si="23"/>
        <v>1</v>
      </c>
      <c r="D763" t="s">
        <v>6366</v>
      </c>
      <c r="E763" s="49">
        <v>1</v>
      </c>
      <c r="F763" t="s">
        <v>6367</v>
      </c>
      <c r="G763" t="s">
        <v>21</v>
      </c>
      <c r="H763" t="s">
        <v>81</v>
      </c>
      <c r="I763" s="13">
        <v>78000</v>
      </c>
      <c r="J763" s="13">
        <v>76000</v>
      </c>
      <c r="K763" s="13">
        <f>IF(J763&lt;'Mapa Oficinas'!$I$21,0,IF(J763&gt;'Mapa Oficinas'!$I$20,0,1))</f>
        <v>1</v>
      </c>
      <c r="L763" t="s">
        <v>23</v>
      </c>
      <c r="M763" t="s">
        <v>23</v>
      </c>
      <c r="N763" t="s">
        <v>6368</v>
      </c>
      <c r="O763" t="s">
        <v>976</v>
      </c>
      <c r="P763" t="s">
        <v>45</v>
      </c>
      <c r="Q763">
        <v>2</v>
      </c>
      <c r="R763" t="s">
        <v>5456</v>
      </c>
      <c r="S763" t="s">
        <v>28</v>
      </c>
      <c r="T763" t="str">
        <f>VLOOKUP(S763,'Mapa Oficinas'!$H$7:$I$16,2,FALSE)</f>
        <v>CB</v>
      </c>
      <c r="U763" t="s">
        <v>29</v>
      </c>
      <c r="V763" t="str">
        <f>VLOOKUP($R763,'Mapa Oficinas'!$A$7:$C$46,2,FALSE)</f>
        <v>CABA</v>
      </c>
      <c r="W763" t="str">
        <f>VLOOKUP($R763,'Mapa Oficinas'!$A$7:$C$46,3,FALSE)</f>
        <v>Núñez</v>
      </c>
    </row>
    <row r="764" spans="1:23" x14ac:dyDescent="0.2">
      <c r="A764" s="1">
        <v>45730</v>
      </c>
      <c r="B764" s="20">
        <f t="shared" si="22"/>
        <v>2025</v>
      </c>
      <c r="C764" s="20">
        <f t="shared" si="23"/>
        <v>3</v>
      </c>
      <c r="D764" t="s">
        <v>957</v>
      </c>
      <c r="E764" s="49">
        <v>1</v>
      </c>
      <c r="F764" t="s">
        <v>550</v>
      </c>
      <c r="G764" t="s">
        <v>21</v>
      </c>
      <c r="H764" t="s">
        <v>100</v>
      </c>
      <c r="I764" s="13">
        <v>78505</v>
      </c>
      <c r="J764" s="13">
        <v>76272</v>
      </c>
      <c r="K764" s="13">
        <f>IF(J764&lt;'Mapa Oficinas'!$I$21,0,IF(J764&gt;'Mapa Oficinas'!$I$20,0,1))</f>
        <v>1</v>
      </c>
      <c r="L764" t="s">
        <v>23</v>
      </c>
      <c r="M764" t="s">
        <v>23</v>
      </c>
      <c r="N764" t="s">
        <v>958</v>
      </c>
      <c r="O764" t="s">
        <v>209</v>
      </c>
      <c r="P764" t="s">
        <v>45</v>
      </c>
      <c r="Q764">
        <v>2</v>
      </c>
      <c r="R764" t="s">
        <v>121</v>
      </c>
      <c r="S764" t="s">
        <v>79</v>
      </c>
      <c r="T764" t="str">
        <f>VLOOKUP(S764,'Mapa Oficinas'!$H$7:$I$16,2,FALSE)</f>
        <v>CB</v>
      </c>
      <c r="U764" t="s">
        <v>29</v>
      </c>
      <c r="V764" t="str">
        <f>VLOOKUP($R764,'Mapa Oficinas'!$A$7:$C$46,2,FALSE)</f>
        <v>Interior - Río Negro</v>
      </c>
      <c r="W764" t="str">
        <f>VLOOKUP($R764,'Mapa Oficinas'!$A$7:$C$46,3,FALSE)</f>
        <v>Bariloche</v>
      </c>
    </row>
    <row r="765" spans="1:23" x14ac:dyDescent="0.2">
      <c r="A765" s="1">
        <v>45897</v>
      </c>
      <c r="B765" s="20">
        <f t="shared" si="22"/>
        <v>2025</v>
      </c>
      <c r="C765" s="20">
        <f t="shared" si="23"/>
        <v>8</v>
      </c>
      <c r="D765" t="s">
        <v>3815</v>
      </c>
      <c r="E765" s="49">
        <v>1</v>
      </c>
      <c r="F765" t="s">
        <v>3816</v>
      </c>
      <c r="G765" t="s">
        <v>21</v>
      </c>
      <c r="H765" t="s">
        <v>37</v>
      </c>
      <c r="I765" s="13">
        <v>97000</v>
      </c>
      <c r="J765" s="13">
        <v>76500</v>
      </c>
      <c r="K765" s="13">
        <f>IF(J765&lt;'Mapa Oficinas'!$I$21,0,IF(J765&gt;'Mapa Oficinas'!$I$20,0,1))</f>
        <v>1</v>
      </c>
      <c r="L765" t="s">
        <v>23</v>
      </c>
      <c r="M765" t="s">
        <v>23</v>
      </c>
      <c r="N765" t="s">
        <v>3817</v>
      </c>
      <c r="O765" t="s">
        <v>92</v>
      </c>
      <c r="P765" t="s">
        <v>45</v>
      </c>
      <c r="Q765">
        <v>2</v>
      </c>
      <c r="R765" t="s">
        <v>670</v>
      </c>
      <c r="S765" t="s">
        <v>200</v>
      </c>
      <c r="T765" t="str">
        <f>VLOOKUP(S765,'Mapa Oficinas'!$H$7:$I$16,2,FALSE)</f>
        <v>Otra Red Captación</v>
      </c>
      <c r="U765" t="s">
        <v>29</v>
      </c>
      <c r="V765" t="str">
        <f>VLOOKUP($R765,'Mapa Oficinas'!$A$7:$C$46,2,FALSE)</f>
        <v>CABA</v>
      </c>
      <c r="W765" t="str">
        <f>VLOOKUP($R765,'Mapa Oficinas'!$A$7:$C$46,3,FALSE)</f>
        <v>Recoleta</v>
      </c>
    </row>
    <row r="766" spans="1:23" x14ac:dyDescent="0.2">
      <c r="A766" s="1">
        <v>45747</v>
      </c>
      <c r="B766" s="20">
        <f t="shared" si="22"/>
        <v>2025</v>
      </c>
      <c r="C766" s="20">
        <f t="shared" si="23"/>
        <v>3</v>
      </c>
      <c r="D766" t="s">
        <v>1200</v>
      </c>
      <c r="E766" s="49">
        <v>1</v>
      </c>
      <c r="F766" t="s">
        <v>1200</v>
      </c>
      <c r="G766" t="s">
        <v>21</v>
      </c>
      <c r="H766" t="s">
        <v>90</v>
      </c>
      <c r="I766" s="13">
        <v>76500</v>
      </c>
      <c r="J766" s="13">
        <v>76500</v>
      </c>
      <c r="K766" s="13">
        <f>IF(J766&lt;'Mapa Oficinas'!$I$21,0,IF(J766&gt;'Mapa Oficinas'!$I$20,0,1))</f>
        <v>1</v>
      </c>
      <c r="L766" t="s">
        <v>23</v>
      </c>
      <c r="M766" t="s">
        <v>23</v>
      </c>
      <c r="N766" t="s">
        <v>1200</v>
      </c>
      <c r="O766" t="s">
        <v>116</v>
      </c>
      <c r="P766" t="s">
        <v>45</v>
      </c>
      <c r="Q766">
        <v>2</v>
      </c>
      <c r="R766" t="s">
        <v>56</v>
      </c>
      <c r="S766" t="s">
        <v>28</v>
      </c>
      <c r="T766" t="str">
        <f>VLOOKUP(S766,'Mapa Oficinas'!$H$7:$I$16,2,FALSE)</f>
        <v>CB</v>
      </c>
      <c r="U766" t="s">
        <v>29</v>
      </c>
      <c r="V766" t="str">
        <f>VLOOKUP($R766,'Mapa Oficinas'!$A$7:$C$46,2,FALSE)</f>
        <v>Zona Norte (GBA)</v>
      </c>
      <c r="W766" t="str">
        <f>VLOOKUP($R766,'Mapa Oficinas'!$A$7:$C$46,3,FALSE)</f>
        <v>Vicente López</v>
      </c>
    </row>
    <row r="767" spans="1:23" x14ac:dyDescent="0.2">
      <c r="A767" s="1">
        <v>46080</v>
      </c>
      <c r="B767" s="20">
        <f t="shared" si="22"/>
        <v>2026</v>
      </c>
      <c r="C767" s="20">
        <f t="shared" si="23"/>
        <v>2</v>
      </c>
      <c r="D767" t="s">
        <v>6884</v>
      </c>
      <c r="E767" s="49">
        <v>1</v>
      </c>
      <c r="F767" t="s">
        <v>6885</v>
      </c>
      <c r="G767" t="s">
        <v>21</v>
      </c>
      <c r="H767" t="s">
        <v>22</v>
      </c>
      <c r="I767" s="13">
        <v>70000</v>
      </c>
      <c r="J767" s="13">
        <v>77000</v>
      </c>
      <c r="K767" s="13">
        <f>IF(J767&lt;'Mapa Oficinas'!$I$21,0,IF(J767&gt;'Mapa Oficinas'!$I$20,0,1))</f>
        <v>1</v>
      </c>
      <c r="L767" t="s">
        <v>23</v>
      </c>
      <c r="M767" t="s">
        <v>23</v>
      </c>
      <c r="N767" t="s">
        <v>6886</v>
      </c>
      <c r="O767" t="s">
        <v>6887</v>
      </c>
      <c r="P767" t="s">
        <v>45</v>
      </c>
      <c r="Q767">
        <v>2</v>
      </c>
      <c r="R767" t="s">
        <v>62</v>
      </c>
      <c r="S767" t="s">
        <v>79</v>
      </c>
      <c r="T767" t="str">
        <f>VLOOKUP(S767,'Mapa Oficinas'!$H$7:$I$16,2,FALSE)</f>
        <v>CB</v>
      </c>
      <c r="U767" t="s">
        <v>29</v>
      </c>
      <c r="V767" t="str">
        <f>VLOOKUP($R767,'Mapa Oficinas'!$A$7:$C$46,2,FALSE)</f>
        <v>CABA</v>
      </c>
      <c r="W767" t="str">
        <f>VLOOKUP($R767,'Mapa Oficinas'!$A$7:$C$46,3,FALSE)</f>
        <v>Villa Urquiza</v>
      </c>
    </row>
    <row r="768" spans="1:23" x14ac:dyDescent="0.2">
      <c r="A768" s="1">
        <v>45947</v>
      </c>
      <c r="B768" s="20">
        <f t="shared" si="22"/>
        <v>2025</v>
      </c>
      <c r="C768" s="20">
        <f t="shared" si="23"/>
        <v>10</v>
      </c>
      <c r="D768" t="s">
        <v>4377</v>
      </c>
      <c r="E768" s="49">
        <v>3</v>
      </c>
      <c r="F768" t="s">
        <v>4378</v>
      </c>
      <c r="G768" t="s">
        <v>21</v>
      </c>
      <c r="H768" t="s">
        <v>76</v>
      </c>
      <c r="I768" s="13">
        <v>78000</v>
      </c>
      <c r="J768" s="13">
        <v>77000</v>
      </c>
      <c r="K768" s="13">
        <f>IF(J768&lt;'Mapa Oficinas'!$I$21,0,IF(J768&gt;'Mapa Oficinas'!$I$20,0,1))</f>
        <v>1</v>
      </c>
      <c r="L768" t="s">
        <v>23</v>
      </c>
      <c r="M768" t="s">
        <v>23</v>
      </c>
      <c r="N768" t="s">
        <v>4379</v>
      </c>
      <c r="O768" t="s">
        <v>2090</v>
      </c>
      <c r="P768" t="s">
        <v>34</v>
      </c>
      <c r="Q768">
        <v>2</v>
      </c>
      <c r="R768" t="s">
        <v>84</v>
      </c>
      <c r="S768" t="s">
        <v>241</v>
      </c>
      <c r="T768" t="str">
        <f>VLOOKUP(S768,'Mapa Oficinas'!$H$7:$I$16,2,FALSE)</f>
        <v>CB</v>
      </c>
      <c r="U768" t="s">
        <v>29</v>
      </c>
      <c r="V768" t="str">
        <f>VLOOKUP($R768,'Mapa Oficinas'!$A$7:$C$46,2,FALSE)</f>
        <v>Interior - Neuquén</v>
      </c>
      <c r="W768" t="str">
        <f>VLOOKUP($R768,'Mapa Oficinas'!$A$7:$C$46,3,FALSE)</f>
        <v>Villa La Angostura</v>
      </c>
    </row>
    <row r="769" spans="1:23" x14ac:dyDescent="0.2">
      <c r="A769" s="1">
        <v>46008</v>
      </c>
      <c r="B769" s="20">
        <f t="shared" si="22"/>
        <v>2025</v>
      </c>
      <c r="C769" s="20">
        <f t="shared" si="23"/>
        <v>12</v>
      </c>
      <c r="D769" t="s">
        <v>5834</v>
      </c>
      <c r="E769" s="49">
        <v>1</v>
      </c>
      <c r="F769" t="s">
        <v>5835</v>
      </c>
      <c r="G769" t="s">
        <v>21</v>
      </c>
      <c r="H769" t="s">
        <v>37</v>
      </c>
      <c r="I769" s="13">
        <v>80000</v>
      </c>
      <c r="J769" s="13">
        <v>77000</v>
      </c>
      <c r="K769" s="13">
        <f>IF(J769&lt;'Mapa Oficinas'!$I$21,0,IF(J769&gt;'Mapa Oficinas'!$I$20,0,1))</f>
        <v>1</v>
      </c>
      <c r="L769" t="s">
        <v>23</v>
      </c>
      <c r="M769" t="s">
        <v>23</v>
      </c>
      <c r="N769" t="s">
        <v>5836</v>
      </c>
      <c r="O769" t="s">
        <v>804</v>
      </c>
      <c r="P769" t="s">
        <v>45</v>
      </c>
      <c r="Q769">
        <v>2</v>
      </c>
      <c r="R769" t="s">
        <v>135</v>
      </c>
      <c r="S769" t="s">
        <v>200</v>
      </c>
      <c r="T769" t="str">
        <f>VLOOKUP(S769,'Mapa Oficinas'!$H$7:$I$16,2,FALSE)</f>
        <v>Otra Red Captación</v>
      </c>
      <c r="U769" t="s">
        <v>29</v>
      </c>
      <c r="V769" t="str">
        <f>VLOOKUP($R769,'Mapa Oficinas'!$A$7:$C$46,2,FALSE)</f>
        <v>CABA</v>
      </c>
      <c r="W769" t="str">
        <f>VLOOKUP($R769,'Mapa Oficinas'!$A$7:$C$46,3,FALSE)</f>
        <v>Recoleta</v>
      </c>
    </row>
    <row r="770" spans="1:23" x14ac:dyDescent="0.2">
      <c r="A770" s="1">
        <v>45808</v>
      </c>
      <c r="B770" s="20">
        <f t="shared" ref="B770:B833" si="24">YEAR($A770)</f>
        <v>2025</v>
      </c>
      <c r="C770" s="20">
        <f t="shared" ref="C770:C833" si="25">MONTH($A770)</f>
        <v>5</v>
      </c>
      <c r="D770" t="s">
        <v>2256</v>
      </c>
      <c r="E770" s="49">
        <v>1</v>
      </c>
      <c r="F770" t="s">
        <v>2257</v>
      </c>
      <c r="G770" t="s">
        <v>21</v>
      </c>
      <c r="H770" t="s">
        <v>37</v>
      </c>
      <c r="I770" s="13">
        <v>79000</v>
      </c>
      <c r="J770" s="13">
        <v>77000</v>
      </c>
      <c r="K770" s="13">
        <f>IF(J770&lt;'Mapa Oficinas'!$I$21,0,IF(J770&gt;'Mapa Oficinas'!$I$20,0,1))</f>
        <v>1</v>
      </c>
      <c r="L770" t="s">
        <v>23</v>
      </c>
      <c r="M770" t="s">
        <v>23</v>
      </c>
      <c r="N770" t="s">
        <v>2258</v>
      </c>
      <c r="O770" t="s">
        <v>384</v>
      </c>
      <c r="P770" t="s">
        <v>45</v>
      </c>
      <c r="Q770">
        <v>2</v>
      </c>
      <c r="R770" t="s">
        <v>1024</v>
      </c>
      <c r="S770" t="s">
        <v>28</v>
      </c>
      <c r="T770" t="str">
        <f>VLOOKUP(S770,'Mapa Oficinas'!$H$7:$I$16,2,FALSE)</f>
        <v>CB</v>
      </c>
      <c r="U770" t="s">
        <v>29</v>
      </c>
      <c r="V770" t="str">
        <f>VLOOKUP($R770,'Mapa Oficinas'!$A$7:$C$46,2,FALSE)</f>
        <v>CABA</v>
      </c>
      <c r="W770" t="str">
        <f>VLOOKUP($R770,'Mapa Oficinas'!$A$7:$C$46,3,FALSE)</f>
        <v>Puerto Madero</v>
      </c>
    </row>
    <row r="771" spans="1:23" x14ac:dyDescent="0.2">
      <c r="A771" s="1">
        <v>45821</v>
      </c>
      <c r="B771" s="20">
        <f t="shared" si="24"/>
        <v>2025</v>
      </c>
      <c r="C771" s="20">
        <f t="shared" si="25"/>
        <v>6</v>
      </c>
      <c r="D771" t="s">
        <v>2486</v>
      </c>
      <c r="E771" s="49">
        <v>1</v>
      </c>
      <c r="F771" t="s">
        <v>2486</v>
      </c>
      <c r="G771" t="s">
        <v>21</v>
      </c>
      <c r="H771" t="s">
        <v>22</v>
      </c>
      <c r="I771" s="13">
        <v>77000</v>
      </c>
      <c r="J771" s="13">
        <v>77000</v>
      </c>
      <c r="K771" s="13">
        <f>IF(J771&lt;'Mapa Oficinas'!$I$21,0,IF(J771&gt;'Mapa Oficinas'!$I$20,0,1))</f>
        <v>1</v>
      </c>
      <c r="L771" t="s">
        <v>23</v>
      </c>
      <c r="M771" t="s">
        <v>23</v>
      </c>
      <c r="N771" t="s">
        <v>2486</v>
      </c>
      <c r="O771" t="s">
        <v>174</v>
      </c>
      <c r="P771" t="s">
        <v>45</v>
      </c>
      <c r="Q771">
        <v>2</v>
      </c>
      <c r="R771" t="s">
        <v>62</v>
      </c>
      <c r="S771" t="s">
        <v>28</v>
      </c>
      <c r="T771" t="str">
        <f>VLOOKUP(S771,'Mapa Oficinas'!$H$7:$I$16,2,FALSE)</f>
        <v>CB</v>
      </c>
      <c r="U771" t="s">
        <v>29</v>
      </c>
      <c r="V771" t="str">
        <f>VLOOKUP($R771,'Mapa Oficinas'!$A$7:$C$46,2,FALSE)</f>
        <v>CABA</v>
      </c>
      <c r="W771" t="str">
        <f>VLOOKUP($R771,'Mapa Oficinas'!$A$7:$C$46,3,FALSE)</f>
        <v>Villa Urquiza</v>
      </c>
    </row>
    <row r="772" spans="1:23" x14ac:dyDescent="0.2">
      <c r="A772" s="1">
        <v>45862</v>
      </c>
      <c r="B772" s="20">
        <f t="shared" si="24"/>
        <v>2025</v>
      </c>
      <c r="C772" s="20">
        <f t="shared" si="25"/>
        <v>7</v>
      </c>
      <c r="D772" t="s">
        <v>3196</v>
      </c>
      <c r="E772" s="49">
        <v>1</v>
      </c>
      <c r="F772" t="s">
        <v>3197</v>
      </c>
      <c r="G772" t="s">
        <v>21</v>
      </c>
      <c r="H772" t="s">
        <v>37</v>
      </c>
      <c r="I772" s="13">
        <v>79000</v>
      </c>
      <c r="J772" s="13">
        <v>77000</v>
      </c>
      <c r="K772" s="13">
        <f>IF(J772&lt;'Mapa Oficinas'!$I$21,0,IF(J772&gt;'Mapa Oficinas'!$I$20,0,1))</f>
        <v>1</v>
      </c>
      <c r="L772" t="s">
        <v>23</v>
      </c>
      <c r="M772" t="s">
        <v>23</v>
      </c>
      <c r="N772" t="s">
        <v>3198</v>
      </c>
      <c r="O772" t="s">
        <v>992</v>
      </c>
      <c r="P772" t="s">
        <v>45</v>
      </c>
      <c r="Q772">
        <v>2</v>
      </c>
      <c r="R772" t="s">
        <v>372</v>
      </c>
      <c r="S772" t="s">
        <v>28</v>
      </c>
      <c r="T772" t="str">
        <f>VLOOKUP(S772,'Mapa Oficinas'!$H$7:$I$16,2,FALSE)</f>
        <v>CB</v>
      </c>
      <c r="U772" t="s">
        <v>29</v>
      </c>
      <c r="V772" t="str">
        <f>VLOOKUP($R772,'Mapa Oficinas'!$A$7:$C$46,2,FALSE)</f>
        <v>CABA</v>
      </c>
      <c r="W772" t="str">
        <f>VLOOKUP($R772,'Mapa Oficinas'!$A$7:$C$46,3,FALSE)</f>
        <v>Caballito</v>
      </c>
    </row>
    <row r="773" spans="1:23" x14ac:dyDescent="0.2">
      <c r="A773" s="1">
        <v>45873</v>
      </c>
      <c r="B773" s="20">
        <f t="shared" si="24"/>
        <v>2025</v>
      </c>
      <c r="C773" s="20">
        <f t="shared" si="25"/>
        <v>8</v>
      </c>
      <c r="D773">
        <v>10448</v>
      </c>
      <c r="E773" s="49">
        <v>1</v>
      </c>
      <c r="F773" t="s">
        <v>3390</v>
      </c>
      <c r="G773" t="s">
        <v>21</v>
      </c>
      <c r="H773" t="s">
        <v>81</v>
      </c>
      <c r="I773" s="13">
        <v>0</v>
      </c>
      <c r="J773" s="13">
        <v>77000</v>
      </c>
      <c r="K773" s="13">
        <f>IF(J773&lt;'Mapa Oficinas'!$I$21,0,IF(J773&gt;'Mapa Oficinas'!$I$20,0,1))</f>
        <v>1</v>
      </c>
      <c r="L773" t="s">
        <v>23</v>
      </c>
      <c r="M773" t="s">
        <v>23</v>
      </c>
      <c r="O773" t="s">
        <v>190</v>
      </c>
      <c r="P773" t="s">
        <v>45</v>
      </c>
      <c r="Q773">
        <v>2</v>
      </c>
      <c r="R773" t="s">
        <v>67</v>
      </c>
      <c r="S773" t="s">
        <v>28</v>
      </c>
      <c r="T773" t="str">
        <f>VLOOKUP(S773,'Mapa Oficinas'!$H$7:$I$16,2,FALSE)</f>
        <v>CB</v>
      </c>
      <c r="U773" t="s">
        <v>29</v>
      </c>
      <c r="V773" t="str">
        <f>VLOOKUP($R773,'Mapa Oficinas'!$A$7:$C$46,2,FALSE)</f>
        <v>CABA</v>
      </c>
      <c r="W773" t="str">
        <f>VLOOKUP($R773,'Mapa Oficinas'!$A$7:$C$46,3,FALSE)</f>
        <v>Barrio Parque</v>
      </c>
    </row>
    <row r="774" spans="1:23" x14ac:dyDescent="0.2">
      <c r="A774" s="1">
        <v>45933</v>
      </c>
      <c r="B774" s="20">
        <f t="shared" si="24"/>
        <v>2025</v>
      </c>
      <c r="C774" s="20">
        <f t="shared" si="25"/>
        <v>10</v>
      </c>
      <c r="D774" t="s">
        <v>4483</v>
      </c>
      <c r="E774" s="49">
        <v>1</v>
      </c>
      <c r="F774" t="s">
        <v>4484</v>
      </c>
      <c r="G774" t="s">
        <v>21</v>
      </c>
      <c r="H774" t="s">
        <v>37</v>
      </c>
      <c r="I774" s="13">
        <v>83000</v>
      </c>
      <c r="J774" s="13">
        <v>77000</v>
      </c>
      <c r="K774" s="13">
        <f>IF(J774&lt;'Mapa Oficinas'!$I$21,0,IF(J774&gt;'Mapa Oficinas'!$I$20,0,1))</f>
        <v>1</v>
      </c>
      <c r="L774" t="s">
        <v>23</v>
      </c>
      <c r="M774" t="s">
        <v>23</v>
      </c>
      <c r="N774" t="s">
        <v>4485</v>
      </c>
      <c r="O774" t="s">
        <v>1429</v>
      </c>
      <c r="P774" t="s">
        <v>45</v>
      </c>
      <c r="Q774">
        <v>2</v>
      </c>
      <c r="R774" t="s">
        <v>67</v>
      </c>
      <c r="S774" t="s">
        <v>28</v>
      </c>
      <c r="T774" t="str">
        <f>VLOOKUP(S774,'Mapa Oficinas'!$H$7:$I$16,2,FALSE)</f>
        <v>CB</v>
      </c>
      <c r="U774" t="s">
        <v>29</v>
      </c>
      <c r="V774" t="str">
        <f>VLOOKUP($R774,'Mapa Oficinas'!$A$7:$C$46,2,FALSE)</f>
        <v>CABA</v>
      </c>
      <c r="W774" t="str">
        <f>VLOOKUP($R774,'Mapa Oficinas'!$A$7:$C$46,3,FALSE)</f>
        <v>Barrio Parque</v>
      </c>
    </row>
    <row r="775" spans="1:23" x14ac:dyDescent="0.2">
      <c r="A775" s="1">
        <v>45978</v>
      </c>
      <c r="B775" s="20">
        <f t="shared" si="24"/>
        <v>2025</v>
      </c>
      <c r="C775" s="20">
        <f t="shared" si="25"/>
        <v>11</v>
      </c>
      <c r="D775" t="s">
        <v>5248</v>
      </c>
      <c r="E775" s="49">
        <v>1</v>
      </c>
      <c r="F775" t="s">
        <v>5249</v>
      </c>
      <c r="G775" t="s">
        <v>21</v>
      </c>
      <c r="H775" t="s">
        <v>37</v>
      </c>
      <c r="I775" s="13">
        <v>82000</v>
      </c>
      <c r="J775" s="13">
        <v>77000</v>
      </c>
      <c r="K775" s="13">
        <f>IF(J775&lt;'Mapa Oficinas'!$I$21,0,IF(J775&gt;'Mapa Oficinas'!$I$20,0,1))</f>
        <v>1</v>
      </c>
      <c r="L775" t="s">
        <v>23</v>
      </c>
      <c r="M775" t="s">
        <v>23</v>
      </c>
      <c r="N775" t="s">
        <v>5250</v>
      </c>
      <c r="O775" t="s">
        <v>3281</v>
      </c>
      <c r="P775" t="s">
        <v>45</v>
      </c>
      <c r="Q775">
        <v>2</v>
      </c>
      <c r="R775" t="s">
        <v>1024</v>
      </c>
      <c r="S775" t="s">
        <v>28</v>
      </c>
      <c r="T775" t="str">
        <f>VLOOKUP(S775,'Mapa Oficinas'!$H$7:$I$16,2,FALSE)</f>
        <v>CB</v>
      </c>
      <c r="U775" t="s">
        <v>29</v>
      </c>
      <c r="V775" t="str">
        <f>VLOOKUP($R775,'Mapa Oficinas'!$A$7:$C$46,2,FALSE)</f>
        <v>CABA</v>
      </c>
      <c r="W775" t="str">
        <f>VLOOKUP($R775,'Mapa Oficinas'!$A$7:$C$46,3,FALSE)</f>
        <v>Puerto Madero</v>
      </c>
    </row>
    <row r="776" spans="1:23" x14ac:dyDescent="0.2">
      <c r="A776" s="1">
        <v>46111</v>
      </c>
      <c r="B776" s="20">
        <f t="shared" si="24"/>
        <v>2026</v>
      </c>
      <c r="C776" s="20">
        <f t="shared" si="25"/>
        <v>3</v>
      </c>
      <c r="D776" t="s">
        <v>7514</v>
      </c>
      <c r="E776" s="49">
        <v>1</v>
      </c>
      <c r="F776" t="s">
        <v>7515</v>
      </c>
      <c r="G776" t="s">
        <v>21</v>
      </c>
      <c r="H776" t="s">
        <v>37</v>
      </c>
      <c r="I776" s="13">
        <v>100000</v>
      </c>
      <c r="J776" s="13">
        <v>77000</v>
      </c>
      <c r="K776" s="13">
        <f>IF(J776&lt;'Mapa Oficinas'!$I$21,0,IF(J776&gt;'Mapa Oficinas'!$I$20,0,1))</f>
        <v>1</v>
      </c>
      <c r="L776" t="s">
        <v>23</v>
      </c>
      <c r="M776" t="s">
        <v>23</v>
      </c>
      <c r="N776" t="s">
        <v>7516</v>
      </c>
      <c r="O776" t="s">
        <v>114</v>
      </c>
      <c r="P776" t="s">
        <v>34</v>
      </c>
      <c r="Q776">
        <v>2</v>
      </c>
      <c r="R776" t="s">
        <v>5714</v>
      </c>
      <c r="S776" t="s">
        <v>28</v>
      </c>
      <c r="T776" t="str">
        <f>VLOOKUP(S776,'Mapa Oficinas'!$H$7:$I$16,2,FALSE)</f>
        <v>CB</v>
      </c>
      <c r="U776" t="s">
        <v>29</v>
      </c>
      <c r="V776" t="str">
        <f>VLOOKUP($R776,'Mapa Oficinas'!$A$7:$C$46,2,FALSE)</f>
        <v>CABA</v>
      </c>
      <c r="W776" t="str">
        <f>VLOOKUP($R776,'Mapa Oficinas'!$A$7:$C$46,3,FALSE)</f>
        <v>Palermo</v>
      </c>
    </row>
    <row r="777" spans="1:23" x14ac:dyDescent="0.2">
      <c r="A777" s="1">
        <v>45866</v>
      </c>
      <c r="B777" s="20">
        <f t="shared" si="24"/>
        <v>2025</v>
      </c>
      <c r="C777" s="20">
        <f t="shared" si="25"/>
        <v>7</v>
      </c>
      <c r="D777" t="s">
        <v>3252</v>
      </c>
      <c r="E777" s="49">
        <v>1</v>
      </c>
      <c r="F777" t="s">
        <v>3253</v>
      </c>
      <c r="G777" t="s">
        <v>21</v>
      </c>
      <c r="H777" t="s">
        <v>100</v>
      </c>
      <c r="I777" s="13">
        <v>79500</v>
      </c>
      <c r="J777" s="13">
        <v>77250</v>
      </c>
      <c r="K777" s="13">
        <f>IF(J777&lt;'Mapa Oficinas'!$I$21,0,IF(J777&gt;'Mapa Oficinas'!$I$20,0,1))</f>
        <v>1</v>
      </c>
      <c r="L777" t="s">
        <v>23</v>
      </c>
      <c r="M777" t="s">
        <v>23</v>
      </c>
      <c r="N777" t="s">
        <v>3254</v>
      </c>
      <c r="O777" t="s">
        <v>3255</v>
      </c>
      <c r="P777" t="s">
        <v>26</v>
      </c>
      <c r="Q777">
        <v>2</v>
      </c>
      <c r="R777" t="s">
        <v>121</v>
      </c>
      <c r="S777" t="s">
        <v>28</v>
      </c>
      <c r="T777" t="str">
        <f>VLOOKUP(S777,'Mapa Oficinas'!$H$7:$I$16,2,FALSE)</f>
        <v>CB</v>
      </c>
      <c r="U777" t="s">
        <v>29</v>
      </c>
      <c r="V777" t="str">
        <f>VLOOKUP($R777,'Mapa Oficinas'!$A$7:$C$46,2,FALSE)</f>
        <v>Interior - Río Negro</v>
      </c>
      <c r="W777" t="str">
        <f>VLOOKUP($R777,'Mapa Oficinas'!$A$7:$C$46,3,FALSE)</f>
        <v>Bariloche</v>
      </c>
    </row>
    <row r="778" spans="1:23" x14ac:dyDescent="0.2">
      <c r="A778" s="1">
        <v>46064</v>
      </c>
      <c r="B778" s="20">
        <f t="shared" si="24"/>
        <v>2026</v>
      </c>
      <c r="C778" s="20">
        <f t="shared" si="25"/>
        <v>2</v>
      </c>
      <c r="D778" t="s">
        <v>6643</v>
      </c>
      <c r="E778" s="49">
        <v>1</v>
      </c>
      <c r="F778" t="s">
        <v>6644</v>
      </c>
      <c r="G778" t="s">
        <v>21</v>
      </c>
      <c r="H778" t="s">
        <v>37</v>
      </c>
      <c r="I778" s="13">
        <v>79000</v>
      </c>
      <c r="J778" s="13">
        <v>77300</v>
      </c>
      <c r="K778" s="13">
        <f>IF(J778&lt;'Mapa Oficinas'!$I$21,0,IF(J778&gt;'Mapa Oficinas'!$I$20,0,1))</f>
        <v>1</v>
      </c>
      <c r="L778" t="s">
        <v>23</v>
      </c>
      <c r="M778" t="s">
        <v>23</v>
      </c>
      <c r="N778" t="s">
        <v>6645</v>
      </c>
      <c r="O778" t="s">
        <v>914</v>
      </c>
      <c r="P778" t="s">
        <v>45</v>
      </c>
      <c r="Q778">
        <v>2</v>
      </c>
      <c r="R778" t="s">
        <v>56</v>
      </c>
      <c r="S778" t="s">
        <v>28</v>
      </c>
      <c r="T778" t="str">
        <f>VLOOKUP(S778,'Mapa Oficinas'!$H$7:$I$16,2,FALSE)</f>
        <v>CB</v>
      </c>
      <c r="U778" t="s">
        <v>29</v>
      </c>
      <c r="V778" t="str">
        <f>VLOOKUP($R778,'Mapa Oficinas'!$A$7:$C$46,2,FALSE)</f>
        <v>Zona Norte (GBA)</v>
      </c>
      <c r="W778" t="str">
        <f>VLOOKUP($R778,'Mapa Oficinas'!$A$7:$C$46,3,FALSE)</f>
        <v>Vicente López</v>
      </c>
    </row>
    <row r="779" spans="1:23" x14ac:dyDescent="0.2">
      <c r="A779" s="1">
        <v>45992</v>
      </c>
      <c r="B779" s="20">
        <f t="shared" si="24"/>
        <v>2025</v>
      </c>
      <c r="C779" s="20">
        <f t="shared" si="25"/>
        <v>12</v>
      </c>
      <c r="D779" t="s">
        <v>5526</v>
      </c>
      <c r="E779" s="49">
        <v>1</v>
      </c>
      <c r="F779" t="s">
        <v>5526</v>
      </c>
      <c r="G779" t="s">
        <v>21</v>
      </c>
      <c r="H779" t="s">
        <v>70</v>
      </c>
      <c r="I779" s="13">
        <v>0</v>
      </c>
      <c r="J779" s="13">
        <v>77500</v>
      </c>
      <c r="K779" s="13">
        <f>IF(J779&lt;'Mapa Oficinas'!$I$21,0,IF(J779&gt;'Mapa Oficinas'!$I$20,0,1))</f>
        <v>1</v>
      </c>
      <c r="L779" t="s">
        <v>23</v>
      </c>
      <c r="M779" t="s">
        <v>23</v>
      </c>
      <c r="O779" t="s">
        <v>1321</v>
      </c>
      <c r="P779" t="s">
        <v>45</v>
      </c>
      <c r="Q779">
        <v>1</v>
      </c>
      <c r="R779" t="s">
        <v>151</v>
      </c>
      <c r="S779" t="s">
        <v>122</v>
      </c>
      <c r="T779" t="str">
        <f>VLOOKUP(S779,'Mapa Oficinas'!$H$7:$I$16,2,FALSE)</f>
        <v>Otra Red Búsqueda</v>
      </c>
      <c r="U779" t="s">
        <v>29</v>
      </c>
      <c r="V779" t="str">
        <f>VLOOKUP($R779,'Mapa Oficinas'!$A$7:$C$46,2,FALSE)</f>
        <v>Interior - Mendoza</v>
      </c>
      <c r="W779" t="str">
        <f>VLOOKUP($R779,'Mapa Oficinas'!$A$7:$C$46,3,FALSE)</f>
        <v>Capital Mendoza</v>
      </c>
    </row>
    <row r="780" spans="1:23" x14ac:dyDescent="0.2">
      <c r="A780" s="1">
        <v>45672</v>
      </c>
      <c r="B780" s="20">
        <f t="shared" si="24"/>
        <v>2025</v>
      </c>
      <c r="C780" s="20">
        <f t="shared" si="25"/>
        <v>1</v>
      </c>
      <c r="D780">
        <v>10159</v>
      </c>
      <c r="E780" s="49">
        <v>3</v>
      </c>
      <c r="F780" t="s">
        <v>229</v>
      </c>
      <c r="G780" t="s">
        <v>21</v>
      </c>
      <c r="H780" t="s">
        <v>230</v>
      </c>
      <c r="I780" s="13">
        <v>0</v>
      </c>
      <c r="J780" s="13">
        <v>77500</v>
      </c>
      <c r="K780" s="13">
        <f>IF(J780&lt;'Mapa Oficinas'!$I$21,0,IF(J780&gt;'Mapa Oficinas'!$I$20,0,1))</f>
        <v>1</v>
      </c>
      <c r="L780" t="s">
        <v>23</v>
      </c>
      <c r="M780" t="s">
        <v>23</v>
      </c>
      <c r="O780" t="s">
        <v>231</v>
      </c>
      <c r="P780" t="s">
        <v>34</v>
      </c>
      <c r="Q780">
        <v>2</v>
      </c>
      <c r="R780" t="s">
        <v>67</v>
      </c>
      <c r="S780" t="s">
        <v>232</v>
      </c>
      <c r="T780" t="str">
        <f>VLOOKUP(S780,'Mapa Oficinas'!$H$7:$I$16,2,FALSE)</f>
        <v>CB</v>
      </c>
      <c r="U780" t="s">
        <v>29</v>
      </c>
      <c r="V780" t="str">
        <f>VLOOKUP($R780,'Mapa Oficinas'!$A$7:$C$46,2,FALSE)</f>
        <v>CABA</v>
      </c>
      <c r="W780" t="str">
        <f>VLOOKUP($R780,'Mapa Oficinas'!$A$7:$C$46,3,FALSE)</f>
        <v>Barrio Parque</v>
      </c>
    </row>
    <row r="781" spans="1:23" x14ac:dyDescent="0.2">
      <c r="A781" s="1">
        <v>45771</v>
      </c>
      <c r="B781" s="20">
        <f t="shared" si="24"/>
        <v>2025</v>
      </c>
      <c r="C781" s="20">
        <f t="shared" si="25"/>
        <v>4</v>
      </c>
      <c r="D781" t="s">
        <v>136</v>
      </c>
      <c r="E781" s="49">
        <v>1</v>
      </c>
      <c r="F781" t="s">
        <v>137</v>
      </c>
      <c r="G781" t="s">
        <v>21</v>
      </c>
      <c r="H781" t="s">
        <v>37</v>
      </c>
      <c r="I781" s="13">
        <v>79000</v>
      </c>
      <c r="J781" s="13">
        <v>77500</v>
      </c>
      <c r="K781" s="13">
        <f>IF(J781&lt;'Mapa Oficinas'!$I$21,0,IF(J781&gt;'Mapa Oficinas'!$I$20,0,1))</f>
        <v>1</v>
      </c>
      <c r="L781" t="s">
        <v>23</v>
      </c>
      <c r="M781" t="s">
        <v>23</v>
      </c>
      <c r="N781" t="s">
        <v>91</v>
      </c>
      <c r="O781" t="s">
        <v>92</v>
      </c>
      <c r="P781" t="s">
        <v>45</v>
      </c>
      <c r="Q781">
        <v>2</v>
      </c>
      <c r="R781" t="s">
        <v>62</v>
      </c>
      <c r="S781" t="s">
        <v>28</v>
      </c>
      <c r="T781" t="str">
        <f>VLOOKUP(S781,'Mapa Oficinas'!$H$7:$I$16,2,FALSE)</f>
        <v>CB</v>
      </c>
      <c r="U781" t="s">
        <v>29</v>
      </c>
      <c r="V781" t="str">
        <f>VLOOKUP($R781,'Mapa Oficinas'!$A$7:$C$46,2,FALSE)</f>
        <v>CABA</v>
      </c>
      <c r="W781" t="str">
        <f>VLOOKUP($R781,'Mapa Oficinas'!$A$7:$C$46,3,FALSE)</f>
        <v>Villa Urquiza</v>
      </c>
    </row>
    <row r="782" spans="1:23" x14ac:dyDescent="0.2">
      <c r="A782" s="1">
        <v>45813</v>
      </c>
      <c r="B782" s="20">
        <f t="shared" si="24"/>
        <v>2025</v>
      </c>
      <c r="C782" s="20">
        <f t="shared" si="25"/>
        <v>6</v>
      </c>
      <c r="D782" t="s">
        <v>2332</v>
      </c>
      <c r="E782" s="49">
        <v>1</v>
      </c>
      <c r="F782" t="s">
        <v>2333</v>
      </c>
      <c r="G782" t="s">
        <v>21</v>
      </c>
      <c r="H782" t="s">
        <v>37</v>
      </c>
      <c r="I782" s="13">
        <v>80000</v>
      </c>
      <c r="J782" s="13">
        <v>77500</v>
      </c>
      <c r="K782" s="13">
        <f>IF(J782&lt;'Mapa Oficinas'!$I$21,0,IF(J782&gt;'Mapa Oficinas'!$I$20,0,1))</f>
        <v>1</v>
      </c>
      <c r="L782" t="s">
        <v>23</v>
      </c>
      <c r="M782" t="s">
        <v>23</v>
      </c>
      <c r="N782" t="s">
        <v>2334</v>
      </c>
      <c r="O782" t="s">
        <v>1321</v>
      </c>
      <c r="P782" t="s">
        <v>45</v>
      </c>
      <c r="Q782">
        <v>2</v>
      </c>
      <c r="R782" t="s">
        <v>151</v>
      </c>
      <c r="S782" t="s">
        <v>28</v>
      </c>
      <c r="T782" t="str">
        <f>VLOOKUP(S782,'Mapa Oficinas'!$H$7:$I$16,2,FALSE)</f>
        <v>CB</v>
      </c>
      <c r="U782" t="s">
        <v>29</v>
      </c>
      <c r="V782" t="str">
        <f>VLOOKUP($R782,'Mapa Oficinas'!$A$7:$C$46,2,FALSE)</f>
        <v>Interior - Mendoza</v>
      </c>
      <c r="W782" t="str">
        <f>VLOOKUP($R782,'Mapa Oficinas'!$A$7:$C$46,3,FALSE)</f>
        <v>Capital Mendoza</v>
      </c>
    </row>
    <row r="783" spans="1:23" x14ac:dyDescent="0.2">
      <c r="A783" s="1">
        <v>45932</v>
      </c>
      <c r="B783" s="20">
        <f t="shared" si="24"/>
        <v>2025</v>
      </c>
      <c r="C783" s="20">
        <f t="shared" si="25"/>
        <v>10</v>
      </c>
      <c r="D783" t="s">
        <v>4455</v>
      </c>
      <c r="E783" s="49">
        <v>1</v>
      </c>
      <c r="F783" t="s">
        <v>4455</v>
      </c>
      <c r="G783" t="s">
        <v>21</v>
      </c>
      <c r="H783" t="s">
        <v>90</v>
      </c>
      <c r="I783" s="13">
        <v>155000</v>
      </c>
      <c r="J783" s="13">
        <v>77500</v>
      </c>
      <c r="K783" s="13">
        <f>IF(J783&lt;'Mapa Oficinas'!$I$21,0,IF(J783&gt;'Mapa Oficinas'!$I$20,0,1))</f>
        <v>1</v>
      </c>
      <c r="L783" t="s">
        <v>23</v>
      </c>
      <c r="M783" t="s">
        <v>23</v>
      </c>
      <c r="N783" t="s">
        <v>4455</v>
      </c>
      <c r="O783" t="s">
        <v>116</v>
      </c>
      <c r="P783" t="s">
        <v>45</v>
      </c>
      <c r="Q783">
        <v>2</v>
      </c>
      <c r="R783" t="s">
        <v>62</v>
      </c>
      <c r="S783" t="s">
        <v>28</v>
      </c>
      <c r="T783" t="str">
        <f>VLOOKUP(S783,'Mapa Oficinas'!$H$7:$I$16,2,FALSE)</f>
        <v>CB</v>
      </c>
      <c r="U783" t="s">
        <v>29</v>
      </c>
      <c r="V783" t="str">
        <f>VLOOKUP($R783,'Mapa Oficinas'!$A$7:$C$46,2,FALSE)</f>
        <v>CABA</v>
      </c>
      <c r="W783" t="str">
        <f>VLOOKUP($R783,'Mapa Oficinas'!$A$7:$C$46,3,FALSE)</f>
        <v>Villa Urquiza</v>
      </c>
    </row>
    <row r="784" spans="1:23" x14ac:dyDescent="0.2">
      <c r="A784" s="1">
        <v>45868</v>
      </c>
      <c r="B784" s="20">
        <f t="shared" si="24"/>
        <v>2025</v>
      </c>
      <c r="C784" s="20">
        <f t="shared" si="25"/>
        <v>7</v>
      </c>
      <c r="D784" t="s">
        <v>3325</v>
      </c>
      <c r="E784" s="49">
        <v>1</v>
      </c>
      <c r="F784" t="s">
        <v>3326</v>
      </c>
      <c r="G784" t="s">
        <v>21</v>
      </c>
      <c r="H784" t="s">
        <v>37</v>
      </c>
      <c r="I784" s="13">
        <v>89000</v>
      </c>
      <c r="J784" s="13">
        <v>77900</v>
      </c>
      <c r="K784" s="13">
        <f>IF(J784&lt;'Mapa Oficinas'!$I$21,0,IF(J784&gt;'Mapa Oficinas'!$I$20,0,1))</f>
        <v>1</v>
      </c>
      <c r="L784" t="s">
        <v>23</v>
      </c>
      <c r="M784" t="s">
        <v>23</v>
      </c>
      <c r="N784" t="s">
        <v>3327</v>
      </c>
      <c r="O784" t="s">
        <v>66</v>
      </c>
      <c r="P784" t="s">
        <v>45</v>
      </c>
      <c r="Q784">
        <v>2</v>
      </c>
      <c r="R784" t="s">
        <v>67</v>
      </c>
      <c r="S784" t="s">
        <v>79</v>
      </c>
      <c r="T784" t="str">
        <f>VLOOKUP(S784,'Mapa Oficinas'!$H$7:$I$16,2,FALSE)</f>
        <v>CB</v>
      </c>
      <c r="U784" t="s">
        <v>29</v>
      </c>
      <c r="V784" t="str">
        <f>VLOOKUP($R784,'Mapa Oficinas'!$A$7:$C$46,2,FALSE)</f>
        <v>CABA</v>
      </c>
      <c r="W784" t="str">
        <f>VLOOKUP($R784,'Mapa Oficinas'!$A$7:$C$46,3,FALSE)</f>
        <v>Barrio Parque</v>
      </c>
    </row>
    <row r="785" spans="1:23" x14ac:dyDescent="0.2">
      <c r="A785" s="1">
        <v>45986</v>
      </c>
      <c r="B785" s="20">
        <f t="shared" si="24"/>
        <v>2025</v>
      </c>
      <c r="C785" s="20">
        <f t="shared" si="25"/>
        <v>11</v>
      </c>
      <c r="E785" s="49">
        <v>3</v>
      </c>
      <c r="F785" t="s">
        <v>5365</v>
      </c>
      <c r="G785" t="s">
        <v>21</v>
      </c>
      <c r="H785" t="s">
        <v>81</v>
      </c>
      <c r="I785" s="13">
        <v>78000</v>
      </c>
      <c r="J785" s="13">
        <v>78000</v>
      </c>
      <c r="K785" s="13">
        <f>IF(J785&lt;'Mapa Oficinas'!$I$21,0,IF(J785&gt;'Mapa Oficinas'!$I$20,0,1))</f>
        <v>1</v>
      </c>
      <c r="L785" t="s">
        <v>23</v>
      </c>
      <c r="M785" t="s">
        <v>23</v>
      </c>
      <c r="N785" t="s">
        <v>5366</v>
      </c>
      <c r="O785" t="s">
        <v>440</v>
      </c>
      <c r="P785" t="s">
        <v>45</v>
      </c>
      <c r="Q785">
        <v>2</v>
      </c>
      <c r="R785" t="s">
        <v>5367</v>
      </c>
      <c r="S785" t="s">
        <v>232</v>
      </c>
      <c r="T785" t="str">
        <f>VLOOKUP(S785,'Mapa Oficinas'!$H$7:$I$16,2,FALSE)</f>
        <v>CB</v>
      </c>
      <c r="U785" t="s">
        <v>29</v>
      </c>
      <c r="V785" t="str">
        <f>VLOOKUP($R785,'Mapa Oficinas'!$A$7:$C$46,2,FALSE)</f>
        <v>CABA</v>
      </c>
      <c r="W785" t="str">
        <f>VLOOKUP($R785,'Mapa Oficinas'!$A$7:$C$46,3,FALSE)</f>
        <v>Retiro</v>
      </c>
    </row>
    <row r="786" spans="1:23" x14ac:dyDescent="0.2">
      <c r="A786" s="1">
        <v>45700</v>
      </c>
      <c r="B786" s="20">
        <f t="shared" si="24"/>
        <v>2025</v>
      </c>
      <c r="C786" s="20">
        <f t="shared" si="25"/>
        <v>2</v>
      </c>
      <c r="D786" t="s">
        <v>566</v>
      </c>
      <c r="E786" s="49">
        <v>1</v>
      </c>
      <c r="F786" t="s">
        <v>567</v>
      </c>
      <c r="G786" t="s">
        <v>21</v>
      </c>
      <c r="H786" t="s">
        <v>76</v>
      </c>
      <c r="I786" s="13">
        <v>78000</v>
      </c>
      <c r="J786" s="13">
        <v>78000</v>
      </c>
      <c r="K786" s="13">
        <f>IF(J786&lt;'Mapa Oficinas'!$I$21,0,IF(J786&gt;'Mapa Oficinas'!$I$20,0,1))</f>
        <v>1</v>
      </c>
      <c r="L786" t="s">
        <v>23</v>
      </c>
      <c r="M786" t="s">
        <v>23</v>
      </c>
      <c r="N786" t="s">
        <v>568</v>
      </c>
      <c r="O786" t="s">
        <v>102</v>
      </c>
      <c r="P786" t="s">
        <v>45</v>
      </c>
      <c r="Q786">
        <v>1</v>
      </c>
      <c r="R786" t="s">
        <v>103</v>
      </c>
      <c r="S786" t="s">
        <v>47</v>
      </c>
      <c r="T786" t="str">
        <f>VLOOKUP(S786,'Mapa Oficinas'!$H$7:$I$16,2,FALSE)</f>
        <v>Otra Red Búsqueda</v>
      </c>
      <c r="U786" t="s">
        <v>29</v>
      </c>
      <c r="V786" t="str">
        <f>VLOOKUP($R786,'Mapa Oficinas'!$A$7:$C$46,2,FALSE)</f>
        <v>Zona Sur (GBA)</v>
      </c>
      <c r="W786" t="str">
        <f>VLOOKUP($R786,'Mapa Oficinas'!$A$7:$C$46,3,FALSE)</f>
        <v>La Plata</v>
      </c>
    </row>
    <row r="787" spans="1:23" x14ac:dyDescent="0.2">
      <c r="A787" s="1">
        <v>45733</v>
      </c>
      <c r="B787" s="20">
        <f t="shared" si="24"/>
        <v>2025</v>
      </c>
      <c r="C787" s="20">
        <f t="shared" si="25"/>
        <v>3</v>
      </c>
      <c r="D787" t="s">
        <v>979</v>
      </c>
      <c r="E787" s="49">
        <v>1</v>
      </c>
      <c r="F787" t="s">
        <v>980</v>
      </c>
      <c r="G787" t="s">
        <v>21</v>
      </c>
      <c r="H787" t="s">
        <v>37</v>
      </c>
      <c r="I787" s="13">
        <v>78000</v>
      </c>
      <c r="J787" s="13">
        <v>78000</v>
      </c>
      <c r="K787" s="13">
        <f>IF(J787&lt;'Mapa Oficinas'!$I$21,0,IF(J787&gt;'Mapa Oficinas'!$I$20,0,1))</f>
        <v>1</v>
      </c>
      <c r="L787" t="s">
        <v>23</v>
      </c>
      <c r="M787" t="s">
        <v>23</v>
      </c>
      <c r="O787" t="s">
        <v>981</v>
      </c>
      <c r="P787" t="s">
        <v>34</v>
      </c>
      <c r="Q787">
        <v>2</v>
      </c>
      <c r="R787" t="s">
        <v>110</v>
      </c>
      <c r="S787" t="s">
        <v>200</v>
      </c>
      <c r="T787" t="str">
        <f>VLOOKUP(S787,'Mapa Oficinas'!$H$7:$I$16,2,FALSE)</f>
        <v>Otra Red Captación</v>
      </c>
      <c r="U787" t="s">
        <v>29</v>
      </c>
      <c r="V787" t="str">
        <f>VLOOKUP($R787,'Mapa Oficinas'!$A$7:$C$46,2,FALSE)</f>
        <v>Zona Norte (GBA)</v>
      </c>
      <c r="W787" t="str">
        <f>VLOOKUP($R787,'Mapa Oficinas'!$A$7:$C$46,3,FALSE)</f>
        <v>Nordelta</v>
      </c>
    </row>
    <row r="788" spans="1:23" x14ac:dyDescent="0.2">
      <c r="A788" s="1">
        <v>45798</v>
      </c>
      <c r="B788" s="20">
        <f t="shared" si="24"/>
        <v>2025</v>
      </c>
      <c r="C788" s="20">
        <f t="shared" si="25"/>
        <v>5</v>
      </c>
      <c r="D788" t="s">
        <v>2059</v>
      </c>
      <c r="E788" s="49">
        <v>1</v>
      </c>
      <c r="F788" t="s">
        <v>2060</v>
      </c>
      <c r="G788" t="s">
        <v>21</v>
      </c>
      <c r="H788" t="s">
        <v>37</v>
      </c>
      <c r="I788" s="13">
        <v>85000</v>
      </c>
      <c r="J788" s="13">
        <v>78000</v>
      </c>
      <c r="K788" s="13">
        <f>IF(J788&lt;'Mapa Oficinas'!$I$21,0,IF(J788&gt;'Mapa Oficinas'!$I$20,0,1))</f>
        <v>1</v>
      </c>
      <c r="L788" t="s">
        <v>23</v>
      </c>
      <c r="M788" t="s">
        <v>23</v>
      </c>
      <c r="N788" t="s">
        <v>2061</v>
      </c>
      <c r="O788" t="s">
        <v>102</v>
      </c>
      <c r="P788" t="s">
        <v>61</v>
      </c>
      <c r="Q788">
        <v>2</v>
      </c>
      <c r="R788" t="s">
        <v>103</v>
      </c>
      <c r="S788" t="s">
        <v>200</v>
      </c>
      <c r="T788" t="str">
        <f>VLOOKUP(S788,'Mapa Oficinas'!$H$7:$I$16,2,FALSE)</f>
        <v>Otra Red Captación</v>
      </c>
      <c r="U788" t="s">
        <v>29</v>
      </c>
      <c r="V788" t="str">
        <f>VLOOKUP($R788,'Mapa Oficinas'!$A$7:$C$46,2,FALSE)</f>
        <v>Zona Sur (GBA)</v>
      </c>
      <c r="W788" t="str">
        <f>VLOOKUP($R788,'Mapa Oficinas'!$A$7:$C$46,3,FALSE)</f>
        <v>La Plata</v>
      </c>
    </row>
    <row r="789" spans="1:23" x14ac:dyDescent="0.2">
      <c r="A789" s="1">
        <v>45896</v>
      </c>
      <c r="B789" s="20">
        <f t="shared" si="24"/>
        <v>2025</v>
      </c>
      <c r="C789" s="20">
        <f t="shared" si="25"/>
        <v>8</v>
      </c>
      <c r="D789" t="s">
        <v>3795</v>
      </c>
      <c r="E789" s="49">
        <v>1</v>
      </c>
      <c r="F789" t="s">
        <v>3796</v>
      </c>
      <c r="G789" t="s">
        <v>21</v>
      </c>
      <c r="H789" t="s">
        <v>37</v>
      </c>
      <c r="I789" s="13">
        <v>83000</v>
      </c>
      <c r="J789" s="13">
        <v>78000</v>
      </c>
      <c r="K789" s="13">
        <f>IF(J789&lt;'Mapa Oficinas'!$I$21,0,IF(J789&gt;'Mapa Oficinas'!$I$20,0,1))</f>
        <v>1</v>
      </c>
      <c r="L789" t="s">
        <v>23</v>
      </c>
      <c r="M789" t="s">
        <v>23</v>
      </c>
      <c r="N789" t="s">
        <v>3797</v>
      </c>
      <c r="O789" t="s">
        <v>299</v>
      </c>
      <c r="P789" t="s">
        <v>45</v>
      </c>
      <c r="Q789">
        <v>2</v>
      </c>
      <c r="R789" t="s">
        <v>1605</v>
      </c>
      <c r="S789" t="s">
        <v>200</v>
      </c>
      <c r="T789" t="str">
        <f>VLOOKUP(S789,'Mapa Oficinas'!$H$7:$I$16,2,FALSE)</f>
        <v>Otra Red Captación</v>
      </c>
      <c r="U789" t="s">
        <v>29</v>
      </c>
      <c r="V789" t="str">
        <f>VLOOKUP($R789,'Mapa Oficinas'!$A$7:$C$46,2,FALSE)</f>
        <v>CABA</v>
      </c>
      <c r="W789" t="str">
        <f>VLOOKUP($R789,'Mapa Oficinas'!$A$7:$C$46,3,FALSE)</f>
        <v>Núñez</v>
      </c>
    </row>
    <row r="790" spans="1:23" x14ac:dyDescent="0.2">
      <c r="A790" s="1">
        <v>45954</v>
      </c>
      <c r="B790" s="20">
        <f t="shared" si="24"/>
        <v>2025</v>
      </c>
      <c r="C790" s="20">
        <f t="shared" si="25"/>
        <v>10</v>
      </c>
      <c r="D790" t="s">
        <v>4897</v>
      </c>
      <c r="E790" s="49">
        <v>1</v>
      </c>
      <c r="F790" t="s">
        <v>4898</v>
      </c>
      <c r="G790" t="s">
        <v>21</v>
      </c>
      <c r="H790" t="s">
        <v>37</v>
      </c>
      <c r="I790" s="13">
        <v>79000</v>
      </c>
      <c r="J790" s="13">
        <v>78000</v>
      </c>
      <c r="K790" s="13">
        <f>IF(J790&lt;'Mapa Oficinas'!$I$21,0,IF(J790&gt;'Mapa Oficinas'!$I$20,0,1))</f>
        <v>1</v>
      </c>
      <c r="L790" t="s">
        <v>23</v>
      </c>
      <c r="M790" t="s">
        <v>23</v>
      </c>
      <c r="N790" t="s">
        <v>4899</v>
      </c>
      <c r="O790" t="s">
        <v>50</v>
      </c>
      <c r="P790" t="s">
        <v>45</v>
      </c>
      <c r="Q790">
        <v>2</v>
      </c>
      <c r="R790" t="s">
        <v>135</v>
      </c>
      <c r="S790" t="s">
        <v>200</v>
      </c>
      <c r="T790" t="str">
        <f>VLOOKUP(S790,'Mapa Oficinas'!$H$7:$I$16,2,FALSE)</f>
        <v>Otra Red Captación</v>
      </c>
      <c r="U790" t="s">
        <v>29</v>
      </c>
      <c r="V790" t="str">
        <f>VLOOKUP($R790,'Mapa Oficinas'!$A$7:$C$46,2,FALSE)</f>
        <v>CABA</v>
      </c>
      <c r="W790" t="str">
        <f>VLOOKUP($R790,'Mapa Oficinas'!$A$7:$C$46,3,FALSE)</f>
        <v>Recoleta</v>
      </c>
    </row>
    <row r="791" spans="1:23" x14ac:dyDescent="0.2">
      <c r="A791" s="1">
        <v>45905</v>
      </c>
      <c r="B791" s="20">
        <f t="shared" si="24"/>
        <v>2025</v>
      </c>
      <c r="C791" s="20">
        <f t="shared" si="25"/>
        <v>9</v>
      </c>
      <c r="D791" t="s">
        <v>4000</v>
      </c>
      <c r="E791" s="49">
        <v>1</v>
      </c>
      <c r="F791" t="s">
        <v>4001</v>
      </c>
      <c r="G791" t="s">
        <v>21</v>
      </c>
      <c r="H791" t="s">
        <v>37</v>
      </c>
      <c r="I791" s="13">
        <v>82000</v>
      </c>
      <c r="J791" s="13">
        <v>78000</v>
      </c>
      <c r="K791" s="13">
        <f>IF(J791&lt;'Mapa Oficinas'!$I$21,0,IF(J791&gt;'Mapa Oficinas'!$I$20,0,1))</f>
        <v>1</v>
      </c>
      <c r="L791" t="s">
        <v>23</v>
      </c>
      <c r="M791" t="s">
        <v>23</v>
      </c>
      <c r="N791" t="s">
        <v>4002</v>
      </c>
      <c r="O791" t="s">
        <v>440</v>
      </c>
      <c r="P791" t="s">
        <v>45</v>
      </c>
      <c r="Q791">
        <v>2</v>
      </c>
      <c r="R791" t="s">
        <v>372</v>
      </c>
      <c r="S791" t="s">
        <v>1265</v>
      </c>
      <c r="T791" t="str">
        <f>VLOOKUP(S791,'Mapa Oficinas'!$H$7:$I$16,2,FALSE)</f>
        <v>CB</v>
      </c>
      <c r="U791" t="s">
        <v>29</v>
      </c>
      <c r="V791" t="str">
        <f>VLOOKUP($R791,'Mapa Oficinas'!$A$7:$C$46,2,FALSE)</f>
        <v>CABA</v>
      </c>
      <c r="W791" t="str">
        <f>VLOOKUP($R791,'Mapa Oficinas'!$A$7:$C$46,3,FALSE)</f>
        <v>Caballito</v>
      </c>
    </row>
    <row r="792" spans="1:23" x14ac:dyDescent="0.2">
      <c r="A792" s="1">
        <v>45790</v>
      </c>
      <c r="B792" s="20">
        <f t="shared" si="24"/>
        <v>2025</v>
      </c>
      <c r="C792" s="20">
        <f t="shared" si="25"/>
        <v>5</v>
      </c>
      <c r="D792" t="s">
        <v>1894</v>
      </c>
      <c r="E792" s="49">
        <v>1</v>
      </c>
      <c r="F792" t="s">
        <v>1895</v>
      </c>
      <c r="G792" t="s">
        <v>21</v>
      </c>
      <c r="H792" t="s">
        <v>81</v>
      </c>
      <c r="I792" s="13">
        <v>85000</v>
      </c>
      <c r="J792" s="13">
        <v>78000</v>
      </c>
      <c r="K792" s="13">
        <f>IF(J792&lt;'Mapa Oficinas'!$I$21,0,IF(J792&gt;'Mapa Oficinas'!$I$20,0,1))</f>
        <v>1</v>
      </c>
      <c r="L792" t="s">
        <v>23</v>
      </c>
      <c r="M792" t="s">
        <v>23</v>
      </c>
      <c r="N792" t="s">
        <v>1896</v>
      </c>
      <c r="O792" t="s">
        <v>1897</v>
      </c>
      <c r="P792" t="s">
        <v>26</v>
      </c>
      <c r="Q792">
        <v>2</v>
      </c>
      <c r="R792" t="s">
        <v>130</v>
      </c>
      <c r="S792" t="s">
        <v>28</v>
      </c>
      <c r="T792" t="str">
        <f>VLOOKUP(S792,'Mapa Oficinas'!$H$7:$I$16,2,FALSE)</f>
        <v>CB</v>
      </c>
      <c r="U792" t="s">
        <v>29</v>
      </c>
      <c r="V792" t="str">
        <f>VLOOKUP($R792,'Mapa Oficinas'!$A$7:$C$46,2,FALSE)</f>
        <v>Interior - Neuquén</v>
      </c>
      <c r="W792" t="str">
        <f>VLOOKUP($R792,'Mapa Oficinas'!$A$7:$C$46,3,FALSE)</f>
        <v>San Martín de los Andes</v>
      </c>
    </row>
    <row r="793" spans="1:23" x14ac:dyDescent="0.2">
      <c r="A793" s="1">
        <v>45926</v>
      </c>
      <c r="B793" s="20">
        <f t="shared" si="24"/>
        <v>2025</v>
      </c>
      <c r="C793" s="20">
        <f t="shared" si="25"/>
        <v>9</v>
      </c>
      <c r="D793" t="s">
        <v>4377</v>
      </c>
      <c r="E793" s="49">
        <v>1</v>
      </c>
      <c r="F793" t="s">
        <v>4378</v>
      </c>
      <c r="G793" t="s">
        <v>21</v>
      </c>
      <c r="H793" t="s">
        <v>230</v>
      </c>
      <c r="I793" s="13">
        <v>78000</v>
      </c>
      <c r="J793" s="13">
        <v>78000</v>
      </c>
      <c r="K793" s="13">
        <f>IF(J793&lt;'Mapa Oficinas'!$I$21,0,IF(J793&gt;'Mapa Oficinas'!$I$20,0,1))</f>
        <v>1</v>
      </c>
      <c r="L793" t="s">
        <v>23</v>
      </c>
      <c r="M793" t="s">
        <v>23</v>
      </c>
      <c r="N793" t="s">
        <v>4379</v>
      </c>
      <c r="O793" t="s">
        <v>2090</v>
      </c>
      <c r="P793" t="s">
        <v>34</v>
      </c>
      <c r="Q793">
        <v>2</v>
      </c>
      <c r="R793" t="s">
        <v>183</v>
      </c>
      <c r="S793" t="s">
        <v>28</v>
      </c>
      <c r="T793" t="str">
        <f>VLOOKUP(S793,'Mapa Oficinas'!$H$7:$I$16,2,FALSE)</f>
        <v>CB</v>
      </c>
      <c r="U793" t="s">
        <v>29</v>
      </c>
      <c r="V793" t="str">
        <f>VLOOKUP($R793,'Mapa Oficinas'!$A$7:$C$46,2,FALSE)</f>
        <v>Interior - Neuquén</v>
      </c>
      <c r="W793" t="str">
        <f>VLOOKUP($R793,'Mapa Oficinas'!$A$7:$C$46,3,FALSE)</f>
        <v>Capital Neuquén</v>
      </c>
    </row>
    <row r="794" spans="1:23" x14ac:dyDescent="0.2">
      <c r="A794" s="1">
        <v>45947</v>
      </c>
      <c r="B794" s="20">
        <f t="shared" si="24"/>
        <v>2025</v>
      </c>
      <c r="C794" s="20">
        <f t="shared" si="25"/>
        <v>10</v>
      </c>
      <c r="D794" t="s">
        <v>4757</v>
      </c>
      <c r="E794" s="49">
        <v>1</v>
      </c>
      <c r="F794" t="s">
        <v>4758</v>
      </c>
      <c r="G794" t="s">
        <v>21</v>
      </c>
      <c r="H794" t="s">
        <v>90</v>
      </c>
      <c r="I794" s="13">
        <v>89900</v>
      </c>
      <c r="J794" s="13">
        <v>78000</v>
      </c>
      <c r="K794" s="13">
        <f>IF(J794&lt;'Mapa Oficinas'!$I$21,0,IF(J794&gt;'Mapa Oficinas'!$I$20,0,1))</f>
        <v>1</v>
      </c>
      <c r="L794" t="s">
        <v>23</v>
      </c>
      <c r="M794" t="s">
        <v>23</v>
      </c>
      <c r="N794" t="s">
        <v>4759</v>
      </c>
      <c r="O794" t="s">
        <v>92</v>
      </c>
      <c r="P794" t="s">
        <v>45</v>
      </c>
      <c r="Q794">
        <v>2</v>
      </c>
      <c r="R794" t="s">
        <v>62</v>
      </c>
      <c r="S794" t="s">
        <v>28</v>
      </c>
      <c r="T794" t="str">
        <f>VLOOKUP(S794,'Mapa Oficinas'!$H$7:$I$16,2,FALSE)</f>
        <v>CB</v>
      </c>
      <c r="U794" t="s">
        <v>29</v>
      </c>
      <c r="V794" t="str">
        <f>VLOOKUP($R794,'Mapa Oficinas'!$A$7:$C$46,2,FALSE)</f>
        <v>CABA</v>
      </c>
      <c r="W794" t="str">
        <f>VLOOKUP($R794,'Mapa Oficinas'!$A$7:$C$46,3,FALSE)</f>
        <v>Villa Urquiza</v>
      </c>
    </row>
    <row r="795" spans="1:23" x14ac:dyDescent="0.2">
      <c r="A795" s="1">
        <v>46035</v>
      </c>
      <c r="B795" s="20">
        <f t="shared" si="24"/>
        <v>2026</v>
      </c>
      <c r="C795" s="20">
        <f t="shared" si="25"/>
        <v>1</v>
      </c>
      <c r="D795" t="s">
        <v>6197</v>
      </c>
      <c r="E795" s="49">
        <v>1</v>
      </c>
      <c r="F795" t="s">
        <v>6198</v>
      </c>
      <c r="G795" t="s">
        <v>21</v>
      </c>
      <c r="H795" t="s">
        <v>81</v>
      </c>
      <c r="I795" s="13">
        <v>80000</v>
      </c>
      <c r="J795" s="13">
        <v>78000</v>
      </c>
      <c r="K795" s="13">
        <f>IF(J795&lt;'Mapa Oficinas'!$I$21,0,IF(J795&gt;'Mapa Oficinas'!$I$20,0,1))</f>
        <v>1</v>
      </c>
      <c r="L795" t="s">
        <v>23</v>
      </c>
      <c r="M795" t="s">
        <v>23</v>
      </c>
      <c r="N795" t="s">
        <v>6199</v>
      </c>
      <c r="O795" t="s">
        <v>66</v>
      </c>
      <c r="P795" t="s">
        <v>45</v>
      </c>
      <c r="Q795">
        <v>2</v>
      </c>
      <c r="R795" t="s">
        <v>5456</v>
      </c>
      <c r="S795" t="s">
        <v>28</v>
      </c>
      <c r="T795" t="str">
        <f>VLOOKUP(S795,'Mapa Oficinas'!$H$7:$I$16,2,FALSE)</f>
        <v>CB</v>
      </c>
      <c r="U795" t="s">
        <v>29</v>
      </c>
      <c r="V795" t="str">
        <f>VLOOKUP($R795,'Mapa Oficinas'!$A$7:$C$46,2,FALSE)</f>
        <v>CABA</v>
      </c>
      <c r="W795" t="str">
        <f>VLOOKUP($R795,'Mapa Oficinas'!$A$7:$C$46,3,FALSE)</f>
        <v>Núñez</v>
      </c>
    </row>
    <row r="796" spans="1:23" x14ac:dyDescent="0.2">
      <c r="A796" s="1">
        <v>46035</v>
      </c>
      <c r="B796" s="20">
        <f t="shared" si="24"/>
        <v>2026</v>
      </c>
      <c r="C796" s="20">
        <f t="shared" si="25"/>
        <v>1</v>
      </c>
      <c r="D796" t="s">
        <v>6200</v>
      </c>
      <c r="E796" s="49">
        <v>1</v>
      </c>
      <c r="F796" t="s">
        <v>6201</v>
      </c>
      <c r="G796" t="s">
        <v>21</v>
      </c>
      <c r="H796" t="s">
        <v>76</v>
      </c>
      <c r="I796" s="13">
        <v>80000</v>
      </c>
      <c r="J796" s="13">
        <v>78000</v>
      </c>
      <c r="K796" s="13">
        <f>IF(J796&lt;'Mapa Oficinas'!$I$21,0,IF(J796&gt;'Mapa Oficinas'!$I$20,0,1))</f>
        <v>1</v>
      </c>
      <c r="L796" t="s">
        <v>23</v>
      </c>
      <c r="M796" t="s">
        <v>23</v>
      </c>
      <c r="N796" t="s">
        <v>6202</v>
      </c>
      <c r="O796" t="s">
        <v>66</v>
      </c>
      <c r="P796" t="s">
        <v>45</v>
      </c>
      <c r="Q796">
        <v>2</v>
      </c>
      <c r="R796" t="s">
        <v>5456</v>
      </c>
      <c r="S796" t="s">
        <v>28</v>
      </c>
      <c r="T796" t="str">
        <f>VLOOKUP(S796,'Mapa Oficinas'!$H$7:$I$16,2,FALSE)</f>
        <v>CB</v>
      </c>
      <c r="U796" t="s">
        <v>29</v>
      </c>
      <c r="V796" t="str">
        <f>VLOOKUP($R796,'Mapa Oficinas'!$A$7:$C$46,2,FALSE)</f>
        <v>CABA</v>
      </c>
      <c r="W796" t="str">
        <f>VLOOKUP($R796,'Mapa Oficinas'!$A$7:$C$46,3,FALSE)</f>
        <v>Núñez</v>
      </c>
    </row>
    <row r="797" spans="1:23" x14ac:dyDescent="0.2">
      <c r="A797" s="1">
        <v>46043</v>
      </c>
      <c r="B797" s="20">
        <f t="shared" si="24"/>
        <v>2026</v>
      </c>
      <c r="C797" s="20">
        <f t="shared" si="25"/>
        <v>1</v>
      </c>
      <c r="D797" t="s">
        <v>6341</v>
      </c>
      <c r="E797" s="49">
        <v>1</v>
      </c>
      <c r="F797" t="s">
        <v>6342</v>
      </c>
      <c r="G797" t="s">
        <v>21</v>
      </c>
      <c r="H797" t="s">
        <v>100</v>
      </c>
      <c r="I797" s="13">
        <v>78000</v>
      </c>
      <c r="J797" s="13">
        <v>78000</v>
      </c>
      <c r="K797" s="13">
        <f>IF(J797&lt;'Mapa Oficinas'!$I$21,0,IF(J797&gt;'Mapa Oficinas'!$I$20,0,1))</f>
        <v>1</v>
      </c>
      <c r="L797" t="s">
        <v>23</v>
      </c>
      <c r="M797" t="s">
        <v>23</v>
      </c>
      <c r="N797" t="s">
        <v>3346</v>
      </c>
      <c r="O797" t="s">
        <v>3347</v>
      </c>
      <c r="P797" t="s">
        <v>45</v>
      </c>
      <c r="Q797">
        <v>2</v>
      </c>
      <c r="R797" t="s">
        <v>121</v>
      </c>
      <c r="S797" t="s">
        <v>28</v>
      </c>
      <c r="T797" t="str">
        <f>VLOOKUP(S797,'Mapa Oficinas'!$H$7:$I$16,2,FALSE)</f>
        <v>CB</v>
      </c>
      <c r="U797" t="s">
        <v>29</v>
      </c>
      <c r="V797" t="str">
        <f>VLOOKUP($R797,'Mapa Oficinas'!$A$7:$C$46,2,FALSE)</f>
        <v>Interior - Río Negro</v>
      </c>
      <c r="W797" t="str">
        <f>VLOOKUP($R797,'Mapa Oficinas'!$A$7:$C$46,3,FALSE)</f>
        <v>Bariloche</v>
      </c>
    </row>
    <row r="798" spans="1:23" x14ac:dyDescent="0.2">
      <c r="A798" s="1">
        <v>46090</v>
      </c>
      <c r="B798" s="20">
        <f t="shared" si="24"/>
        <v>2026</v>
      </c>
      <c r="C798" s="20">
        <f t="shared" si="25"/>
        <v>3</v>
      </c>
      <c r="D798" t="s">
        <v>7033</v>
      </c>
      <c r="E798" s="49">
        <v>1</v>
      </c>
      <c r="F798" t="s">
        <v>7034</v>
      </c>
      <c r="G798" t="s">
        <v>21</v>
      </c>
      <c r="H798" t="s">
        <v>37</v>
      </c>
      <c r="I798" s="13">
        <v>79000</v>
      </c>
      <c r="J798" s="13">
        <v>78000</v>
      </c>
      <c r="K798" s="13">
        <f>IF(J798&lt;'Mapa Oficinas'!$I$21,0,IF(J798&gt;'Mapa Oficinas'!$I$20,0,1))</f>
        <v>1</v>
      </c>
      <c r="L798" t="s">
        <v>23</v>
      </c>
      <c r="M798" t="s">
        <v>23</v>
      </c>
      <c r="N798" t="s">
        <v>7035</v>
      </c>
      <c r="O798" t="s">
        <v>452</v>
      </c>
      <c r="P798" t="s">
        <v>45</v>
      </c>
      <c r="Q798">
        <v>2</v>
      </c>
      <c r="R798" t="s">
        <v>142</v>
      </c>
      <c r="S798" t="s">
        <v>28</v>
      </c>
      <c r="T798" t="str">
        <f>VLOOKUP(S798,'Mapa Oficinas'!$H$7:$I$16,2,FALSE)</f>
        <v>CB</v>
      </c>
      <c r="U798" t="s">
        <v>29</v>
      </c>
      <c r="V798" t="str">
        <f>VLOOKUP($R798,'Mapa Oficinas'!$A$7:$C$46,2,FALSE)</f>
        <v>CABA</v>
      </c>
      <c r="W798" t="str">
        <f>VLOOKUP($R798,'Mapa Oficinas'!$A$7:$C$46,3,FALSE)</f>
        <v>Palermo</v>
      </c>
    </row>
    <row r="799" spans="1:23" x14ac:dyDescent="0.2">
      <c r="A799" s="1">
        <v>45972</v>
      </c>
      <c r="B799" s="20">
        <f t="shared" si="24"/>
        <v>2025</v>
      </c>
      <c r="C799" s="20">
        <f t="shared" si="25"/>
        <v>11</v>
      </c>
      <c r="D799" t="s">
        <v>5135</v>
      </c>
      <c r="E799" s="49">
        <v>1</v>
      </c>
      <c r="F799" t="s">
        <v>5136</v>
      </c>
      <c r="G799" t="s">
        <v>21</v>
      </c>
      <c r="H799" t="s">
        <v>37</v>
      </c>
      <c r="I799" s="13">
        <v>85478</v>
      </c>
      <c r="J799" s="13">
        <v>78578</v>
      </c>
      <c r="K799" s="13">
        <f>IF(J799&lt;'Mapa Oficinas'!$I$21,0,IF(J799&gt;'Mapa Oficinas'!$I$20,0,1))</f>
        <v>1</v>
      </c>
      <c r="L799" t="s">
        <v>23</v>
      </c>
      <c r="M799" t="s">
        <v>23</v>
      </c>
      <c r="N799" t="s">
        <v>5137</v>
      </c>
      <c r="O799" t="s">
        <v>1309</v>
      </c>
      <c r="P799" t="s">
        <v>26</v>
      </c>
      <c r="Q799">
        <v>2</v>
      </c>
      <c r="R799" t="s">
        <v>110</v>
      </c>
      <c r="S799" t="s">
        <v>79</v>
      </c>
      <c r="T799" t="str">
        <f>VLOOKUP(S799,'Mapa Oficinas'!$H$7:$I$16,2,FALSE)</f>
        <v>CB</v>
      </c>
      <c r="U799" t="s">
        <v>29</v>
      </c>
      <c r="V799" t="str">
        <f>VLOOKUP($R799,'Mapa Oficinas'!$A$7:$C$46,2,FALSE)</f>
        <v>Zona Norte (GBA)</v>
      </c>
      <c r="W799" t="str">
        <f>VLOOKUP($R799,'Mapa Oficinas'!$A$7:$C$46,3,FALSE)</f>
        <v>Nordelta</v>
      </c>
    </row>
    <row r="800" spans="1:23" x14ac:dyDescent="0.2">
      <c r="A800" s="1">
        <v>45728</v>
      </c>
      <c r="B800" s="20">
        <f t="shared" si="24"/>
        <v>2025</v>
      </c>
      <c r="C800" s="20">
        <f t="shared" si="25"/>
        <v>3</v>
      </c>
      <c r="D800" t="s">
        <v>911</v>
      </c>
      <c r="E800" s="49">
        <v>1</v>
      </c>
      <c r="F800" t="s">
        <v>912</v>
      </c>
      <c r="G800" t="s">
        <v>21</v>
      </c>
      <c r="H800" t="s">
        <v>37</v>
      </c>
      <c r="I800" s="13">
        <v>74200</v>
      </c>
      <c r="J800" s="13">
        <v>78589</v>
      </c>
      <c r="K800" s="13">
        <f>IF(J800&lt;'Mapa Oficinas'!$I$21,0,IF(J800&gt;'Mapa Oficinas'!$I$20,0,1))</f>
        <v>1</v>
      </c>
      <c r="L800" t="s">
        <v>23</v>
      </c>
      <c r="M800" t="s">
        <v>23</v>
      </c>
      <c r="N800" t="s">
        <v>913</v>
      </c>
      <c r="O800" t="s">
        <v>914</v>
      </c>
      <c r="P800" t="s">
        <v>45</v>
      </c>
      <c r="Q800">
        <v>2</v>
      </c>
      <c r="R800" t="s">
        <v>56</v>
      </c>
      <c r="S800" t="s">
        <v>28</v>
      </c>
      <c r="T800" t="str">
        <f>VLOOKUP(S800,'Mapa Oficinas'!$H$7:$I$16,2,FALSE)</f>
        <v>CB</v>
      </c>
      <c r="U800" t="s">
        <v>29</v>
      </c>
      <c r="V800" t="str">
        <f>VLOOKUP($R800,'Mapa Oficinas'!$A$7:$C$46,2,FALSE)</f>
        <v>Zona Norte (GBA)</v>
      </c>
      <c r="W800" t="str">
        <f>VLOOKUP($R800,'Mapa Oficinas'!$A$7:$C$46,3,FALSE)</f>
        <v>Vicente López</v>
      </c>
    </row>
    <row r="801" spans="1:23" x14ac:dyDescent="0.2">
      <c r="A801" s="1">
        <v>45800</v>
      </c>
      <c r="B801" s="20">
        <f t="shared" si="24"/>
        <v>2025</v>
      </c>
      <c r="C801" s="20">
        <f t="shared" si="25"/>
        <v>5</v>
      </c>
      <c r="D801">
        <v>13</v>
      </c>
      <c r="E801" s="49">
        <v>1</v>
      </c>
      <c r="F801" t="s">
        <v>2105</v>
      </c>
      <c r="G801" t="s">
        <v>21</v>
      </c>
      <c r="H801" t="s">
        <v>81</v>
      </c>
      <c r="I801" s="13">
        <v>78970</v>
      </c>
      <c r="J801" s="13">
        <v>78970</v>
      </c>
      <c r="K801" s="13">
        <f>IF(J801&lt;'Mapa Oficinas'!$I$21,0,IF(J801&gt;'Mapa Oficinas'!$I$20,0,1))</f>
        <v>1</v>
      </c>
      <c r="L801" t="s">
        <v>23</v>
      </c>
      <c r="M801" t="s">
        <v>23</v>
      </c>
      <c r="N801" t="s">
        <v>2106</v>
      </c>
      <c r="O801" t="s">
        <v>1090</v>
      </c>
      <c r="P801" t="s">
        <v>45</v>
      </c>
      <c r="Q801">
        <v>2</v>
      </c>
      <c r="R801" t="s">
        <v>1024</v>
      </c>
      <c r="S801" t="s">
        <v>28</v>
      </c>
      <c r="T801" t="str">
        <f>VLOOKUP(S801,'Mapa Oficinas'!$H$7:$I$16,2,FALSE)</f>
        <v>CB</v>
      </c>
      <c r="U801" t="s">
        <v>29</v>
      </c>
      <c r="V801" t="str">
        <f>VLOOKUP($R801,'Mapa Oficinas'!$A$7:$C$46,2,FALSE)</f>
        <v>CABA</v>
      </c>
      <c r="W801" t="str">
        <f>VLOOKUP($R801,'Mapa Oficinas'!$A$7:$C$46,3,FALSE)</f>
        <v>Puerto Madero</v>
      </c>
    </row>
    <row r="802" spans="1:23" x14ac:dyDescent="0.2">
      <c r="A802" s="1">
        <v>45727</v>
      </c>
      <c r="B802" s="20">
        <f t="shared" si="24"/>
        <v>2025</v>
      </c>
      <c r="C802" s="20">
        <f t="shared" si="25"/>
        <v>3</v>
      </c>
      <c r="D802" t="s">
        <v>898</v>
      </c>
      <c r="E802" s="49">
        <v>1</v>
      </c>
      <c r="F802" t="s">
        <v>899</v>
      </c>
      <c r="G802" t="s">
        <v>21</v>
      </c>
      <c r="H802" t="s">
        <v>100</v>
      </c>
      <c r="I802" s="13">
        <v>85000</v>
      </c>
      <c r="J802" s="13">
        <v>79000</v>
      </c>
      <c r="K802" s="13">
        <f>IF(J802&lt;'Mapa Oficinas'!$I$21,0,IF(J802&gt;'Mapa Oficinas'!$I$20,0,1))</f>
        <v>1</v>
      </c>
      <c r="L802" t="s">
        <v>23</v>
      </c>
      <c r="M802" t="s">
        <v>23</v>
      </c>
      <c r="N802" t="s">
        <v>285</v>
      </c>
      <c r="O802" t="s">
        <v>209</v>
      </c>
      <c r="P802" t="s">
        <v>45</v>
      </c>
      <c r="Q802">
        <v>1</v>
      </c>
      <c r="R802" t="s">
        <v>121</v>
      </c>
      <c r="S802" t="s">
        <v>122</v>
      </c>
      <c r="T802" t="str">
        <f>VLOOKUP(S802,'Mapa Oficinas'!$H$7:$I$16,2,FALSE)</f>
        <v>Otra Red Búsqueda</v>
      </c>
      <c r="U802" t="s">
        <v>29</v>
      </c>
      <c r="V802" t="str">
        <f>VLOOKUP($R802,'Mapa Oficinas'!$A$7:$C$46,2,FALSE)</f>
        <v>Interior - Río Negro</v>
      </c>
      <c r="W802" t="str">
        <f>VLOOKUP($R802,'Mapa Oficinas'!$A$7:$C$46,3,FALSE)</f>
        <v>Bariloche</v>
      </c>
    </row>
    <row r="803" spans="1:23" x14ac:dyDescent="0.2">
      <c r="A803" s="1">
        <v>45895</v>
      </c>
      <c r="B803" s="20">
        <f t="shared" si="24"/>
        <v>2025</v>
      </c>
      <c r="C803" s="20">
        <f t="shared" si="25"/>
        <v>8</v>
      </c>
      <c r="D803" t="s">
        <v>3769</v>
      </c>
      <c r="E803" s="49">
        <v>1</v>
      </c>
      <c r="F803" t="s">
        <v>3769</v>
      </c>
      <c r="G803" t="s">
        <v>21</v>
      </c>
      <c r="H803" t="s">
        <v>37</v>
      </c>
      <c r="I803" s="13">
        <v>79000</v>
      </c>
      <c r="J803" s="13">
        <v>79000</v>
      </c>
      <c r="K803" s="13">
        <f>IF(J803&lt;'Mapa Oficinas'!$I$21,0,IF(J803&gt;'Mapa Oficinas'!$I$20,0,1))</f>
        <v>1</v>
      </c>
      <c r="L803" t="s">
        <v>23</v>
      </c>
      <c r="M803" t="s">
        <v>23</v>
      </c>
      <c r="N803" t="s">
        <v>3769</v>
      </c>
      <c r="O803" t="s">
        <v>1002</v>
      </c>
      <c r="P803" t="s">
        <v>45</v>
      </c>
      <c r="Q803">
        <v>2</v>
      </c>
      <c r="R803" t="s">
        <v>62</v>
      </c>
      <c r="S803" t="s">
        <v>79</v>
      </c>
      <c r="T803" t="str">
        <f>VLOOKUP(S803,'Mapa Oficinas'!$H$7:$I$16,2,FALSE)</f>
        <v>CB</v>
      </c>
      <c r="U803" t="s">
        <v>29</v>
      </c>
      <c r="V803" t="str">
        <f>VLOOKUP($R803,'Mapa Oficinas'!$A$7:$C$46,2,FALSE)</f>
        <v>CABA</v>
      </c>
      <c r="W803" t="str">
        <f>VLOOKUP($R803,'Mapa Oficinas'!$A$7:$C$46,3,FALSE)</f>
        <v>Villa Urquiza</v>
      </c>
    </row>
    <row r="804" spans="1:23" x14ac:dyDescent="0.2">
      <c r="A804" s="1">
        <v>46074</v>
      </c>
      <c r="B804" s="20">
        <f t="shared" si="24"/>
        <v>2026</v>
      </c>
      <c r="C804" s="20">
        <f t="shared" si="25"/>
        <v>2</v>
      </c>
      <c r="E804" s="49">
        <v>1</v>
      </c>
      <c r="F804" t="s">
        <v>6790</v>
      </c>
      <c r="G804" t="s">
        <v>21</v>
      </c>
      <c r="H804" t="s">
        <v>81</v>
      </c>
      <c r="I804" s="13">
        <v>80000</v>
      </c>
      <c r="J804" s="13">
        <v>79000</v>
      </c>
      <c r="K804" s="13">
        <f>IF(J804&lt;'Mapa Oficinas'!$I$21,0,IF(J804&gt;'Mapa Oficinas'!$I$20,0,1))</f>
        <v>1</v>
      </c>
      <c r="L804" t="s">
        <v>23</v>
      </c>
      <c r="M804" t="s">
        <v>23</v>
      </c>
      <c r="N804" t="s">
        <v>6791</v>
      </c>
      <c r="O804" t="s">
        <v>2739</v>
      </c>
      <c r="P804" t="s">
        <v>26</v>
      </c>
      <c r="Q804">
        <v>2</v>
      </c>
      <c r="R804" t="s">
        <v>84</v>
      </c>
      <c r="S804" t="s">
        <v>79</v>
      </c>
      <c r="T804" t="str">
        <f>VLOOKUP(S804,'Mapa Oficinas'!$H$7:$I$16,2,FALSE)</f>
        <v>CB</v>
      </c>
      <c r="U804" t="s">
        <v>29</v>
      </c>
      <c r="V804" t="str">
        <f>VLOOKUP($R804,'Mapa Oficinas'!$A$7:$C$46,2,FALSE)</f>
        <v>Interior - Neuquén</v>
      </c>
      <c r="W804" t="str">
        <f>VLOOKUP($R804,'Mapa Oficinas'!$A$7:$C$46,3,FALSE)</f>
        <v>Villa La Angostura</v>
      </c>
    </row>
    <row r="805" spans="1:23" x14ac:dyDescent="0.2">
      <c r="A805" s="1">
        <v>45761</v>
      </c>
      <c r="B805" s="20">
        <f t="shared" si="24"/>
        <v>2025</v>
      </c>
      <c r="C805" s="20">
        <f t="shared" si="25"/>
        <v>4</v>
      </c>
      <c r="D805">
        <v>7</v>
      </c>
      <c r="E805" s="49">
        <v>1</v>
      </c>
      <c r="F805" t="s">
        <v>1413</v>
      </c>
      <c r="G805" t="s">
        <v>21</v>
      </c>
      <c r="H805" t="s">
        <v>37</v>
      </c>
      <c r="I805" s="13">
        <v>78000</v>
      </c>
      <c r="J805" s="13">
        <v>79000</v>
      </c>
      <c r="K805" s="13">
        <f>IF(J805&lt;'Mapa Oficinas'!$I$21,0,IF(J805&gt;'Mapa Oficinas'!$I$20,0,1))</f>
        <v>1</v>
      </c>
      <c r="L805" t="s">
        <v>23</v>
      </c>
      <c r="M805" t="s">
        <v>23</v>
      </c>
      <c r="N805" t="s">
        <v>1414</v>
      </c>
      <c r="O805" t="s">
        <v>60</v>
      </c>
      <c r="P805" t="s">
        <v>45</v>
      </c>
      <c r="Q805">
        <v>1</v>
      </c>
      <c r="R805" t="s">
        <v>1024</v>
      </c>
      <c r="S805" t="s">
        <v>47</v>
      </c>
      <c r="T805" t="str">
        <f>VLOOKUP(S805,'Mapa Oficinas'!$H$7:$I$16,2,FALSE)</f>
        <v>Otra Red Búsqueda</v>
      </c>
      <c r="U805" t="s">
        <v>29</v>
      </c>
      <c r="V805" t="str">
        <f>VLOOKUP($R805,'Mapa Oficinas'!$A$7:$C$46,2,FALSE)</f>
        <v>CABA</v>
      </c>
      <c r="W805" t="str">
        <f>VLOOKUP($R805,'Mapa Oficinas'!$A$7:$C$46,3,FALSE)</f>
        <v>Puerto Madero</v>
      </c>
    </row>
    <row r="806" spans="1:23" x14ac:dyDescent="0.2">
      <c r="A806" s="1">
        <v>46106</v>
      </c>
      <c r="B806" s="20">
        <f t="shared" si="24"/>
        <v>2026</v>
      </c>
      <c r="C806" s="20">
        <f t="shared" si="25"/>
        <v>3</v>
      </c>
      <c r="D806" t="s">
        <v>7400</v>
      </c>
      <c r="E806" s="49">
        <v>1</v>
      </c>
      <c r="F806" t="s">
        <v>7401</v>
      </c>
      <c r="G806" t="s">
        <v>21</v>
      </c>
      <c r="H806" t="s">
        <v>76</v>
      </c>
      <c r="I806" s="13">
        <v>79000</v>
      </c>
      <c r="J806" s="13">
        <v>79000</v>
      </c>
      <c r="K806" s="13">
        <f>IF(J806&lt;'Mapa Oficinas'!$I$21,0,IF(J806&gt;'Mapa Oficinas'!$I$20,0,1))</f>
        <v>1</v>
      </c>
      <c r="L806" t="s">
        <v>23</v>
      </c>
      <c r="M806" t="s">
        <v>23</v>
      </c>
      <c r="N806" t="s">
        <v>7402</v>
      </c>
      <c r="O806" t="s">
        <v>114</v>
      </c>
      <c r="P806" t="s">
        <v>45</v>
      </c>
      <c r="Q806">
        <v>1</v>
      </c>
      <c r="R806" t="s">
        <v>5456</v>
      </c>
      <c r="S806" t="s">
        <v>47</v>
      </c>
      <c r="T806" t="str">
        <f>VLOOKUP(S806,'Mapa Oficinas'!$H$7:$I$16,2,FALSE)</f>
        <v>Otra Red Búsqueda</v>
      </c>
      <c r="U806" t="s">
        <v>29</v>
      </c>
      <c r="V806" t="str">
        <f>VLOOKUP($R806,'Mapa Oficinas'!$A$7:$C$46,2,FALSE)</f>
        <v>CABA</v>
      </c>
      <c r="W806" t="str">
        <f>VLOOKUP($R806,'Mapa Oficinas'!$A$7:$C$46,3,FALSE)</f>
        <v>Núñez</v>
      </c>
    </row>
    <row r="807" spans="1:23" x14ac:dyDescent="0.2">
      <c r="A807" s="1">
        <v>45736</v>
      </c>
      <c r="B807" s="20">
        <f t="shared" si="24"/>
        <v>2025</v>
      </c>
      <c r="C807" s="20">
        <f t="shared" si="25"/>
        <v>3</v>
      </c>
      <c r="D807" t="s">
        <v>1015</v>
      </c>
      <c r="E807" s="49">
        <v>1</v>
      </c>
      <c r="F807" t="s">
        <v>1016</v>
      </c>
      <c r="G807" t="s">
        <v>21</v>
      </c>
      <c r="H807" t="s">
        <v>37</v>
      </c>
      <c r="I807" s="13">
        <v>81000</v>
      </c>
      <c r="J807" s="13">
        <v>79000</v>
      </c>
      <c r="K807" s="13">
        <f>IF(J807&lt;'Mapa Oficinas'!$I$21,0,IF(J807&gt;'Mapa Oficinas'!$I$20,0,1))</f>
        <v>1</v>
      </c>
      <c r="L807" t="s">
        <v>23</v>
      </c>
      <c r="M807" t="s">
        <v>23</v>
      </c>
      <c r="N807" t="s">
        <v>1017</v>
      </c>
      <c r="O807" t="s">
        <v>914</v>
      </c>
      <c r="P807" t="s">
        <v>45</v>
      </c>
      <c r="Q807">
        <v>2</v>
      </c>
      <c r="R807" t="s">
        <v>46</v>
      </c>
      <c r="S807" t="s">
        <v>200</v>
      </c>
      <c r="T807" t="str">
        <f>VLOOKUP(S807,'Mapa Oficinas'!$H$7:$I$16,2,FALSE)</f>
        <v>Otra Red Captación</v>
      </c>
      <c r="U807" t="s">
        <v>29</v>
      </c>
      <c r="V807" t="str">
        <f>VLOOKUP($R807,'Mapa Oficinas'!$A$7:$C$46,2,FALSE)</f>
        <v>CABA</v>
      </c>
      <c r="W807" t="str">
        <f>VLOOKUP($R807,'Mapa Oficinas'!$A$7:$C$46,3,FALSE)</f>
        <v>Palermo</v>
      </c>
    </row>
    <row r="808" spans="1:23" x14ac:dyDescent="0.2">
      <c r="A808" s="1">
        <v>46076</v>
      </c>
      <c r="B808" s="20">
        <f t="shared" si="24"/>
        <v>2026</v>
      </c>
      <c r="C808" s="20">
        <f t="shared" si="25"/>
        <v>2</v>
      </c>
      <c r="D808" t="s">
        <v>6792</v>
      </c>
      <c r="E808" s="49">
        <v>1</v>
      </c>
      <c r="F808" t="s">
        <v>6793</v>
      </c>
      <c r="G808" t="s">
        <v>21</v>
      </c>
      <c r="H808" t="s">
        <v>37</v>
      </c>
      <c r="I808" s="13">
        <v>98000</v>
      </c>
      <c r="J808" s="13">
        <v>79000</v>
      </c>
      <c r="K808" s="13">
        <f>IF(J808&lt;'Mapa Oficinas'!$I$21,0,IF(J808&gt;'Mapa Oficinas'!$I$20,0,1))</f>
        <v>1</v>
      </c>
      <c r="L808" t="s">
        <v>23</v>
      </c>
      <c r="M808" t="s">
        <v>23</v>
      </c>
      <c r="N808" t="s">
        <v>6794</v>
      </c>
      <c r="O808" t="s">
        <v>992</v>
      </c>
      <c r="P808" t="s">
        <v>45</v>
      </c>
      <c r="Q808">
        <v>2</v>
      </c>
      <c r="R808" t="s">
        <v>67</v>
      </c>
      <c r="S808" t="s">
        <v>200</v>
      </c>
      <c r="T808" t="str">
        <f>VLOOKUP(S808,'Mapa Oficinas'!$H$7:$I$16,2,FALSE)</f>
        <v>Otra Red Captación</v>
      </c>
      <c r="U808" t="s">
        <v>29</v>
      </c>
      <c r="V808" t="str">
        <f>VLOOKUP($R808,'Mapa Oficinas'!$A$7:$C$46,2,FALSE)</f>
        <v>CABA</v>
      </c>
      <c r="W808" t="str">
        <f>VLOOKUP($R808,'Mapa Oficinas'!$A$7:$C$46,3,FALSE)</f>
        <v>Barrio Parque</v>
      </c>
    </row>
    <row r="809" spans="1:23" x14ac:dyDescent="0.2">
      <c r="A809" s="1">
        <v>45708</v>
      </c>
      <c r="B809" s="20">
        <f t="shared" si="24"/>
        <v>2025</v>
      </c>
      <c r="C809" s="20">
        <f t="shared" si="25"/>
        <v>2</v>
      </c>
      <c r="D809" t="s">
        <v>692</v>
      </c>
      <c r="E809" s="49">
        <v>1</v>
      </c>
      <c r="F809" t="s">
        <v>692</v>
      </c>
      <c r="G809" t="s">
        <v>21</v>
      </c>
      <c r="H809" t="s">
        <v>37</v>
      </c>
      <c r="I809" s="13">
        <v>84000</v>
      </c>
      <c r="J809" s="13">
        <v>79000</v>
      </c>
      <c r="K809" s="13">
        <f>IF(J809&lt;'Mapa Oficinas'!$I$21,0,IF(J809&gt;'Mapa Oficinas'!$I$20,0,1))</f>
        <v>1</v>
      </c>
      <c r="L809" t="s">
        <v>23</v>
      </c>
      <c r="M809" t="s">
        <v>23</v>
      </c>
      <c r="N809" t="s">
        <v>692</v>
      </c>
      <c r="O809" t="s">
        <v>684</v>
      </c>
      <c r="P809" t="s">
        <v>45</v>
      </c>
      <c r="Q809">
        <v>2</v>
      </c>
      <c r="R809" t="s">
        <v>56</v>
      </c>
      <c r="S809" t="s">
        <v>28</v>
      </c>
      <c r="T809" t="str">
        <f>VLOOKUP(S809,'Mapa Oficinas'!$H$7:$I$16,2,FALSE)</f>
        <v>CB</v>
      </c>
      <c r="U809" t="s">
        <v>29</v>
      </c>
      <c r="V809" t="str">
        <f>VLOOKUP($R809,'Mapa Oficinas'!$A$7:$C$46,2,FALSE)</f>
        <v>Zona Norte (GBA)</v>
      </c>
      <c r="W809" t="str">
        <f>VLOOKUP($R809,'Mapa Oficinas'!$A$7:$C$46,3,FALSE)</f>
        <v>Vicente López</v>
      </c>
    </row>
    <row r="810" spans="1:23" x14ac:dyDescent="0.2">
      <c r="A810" s="1">
        <v>45834</v>
      </c>
      <c r="B810" s="20">
        <f t="shared" si="24"/>
        <v>2025</v>
      </c>
      <c r="C810" s="20">
        <f t="shared" si="25"/>
        <v>6</v>
      </c>
      <c r="D810" t="s">
        <v>2655</v>
      </c>
      <c r="E810" s="49">
        <v>1</v>
      </c>
      <c r="F810" t="s">
        <v>2656</v>
      </c>
      <c r="G810" t="s">
        <v>21</v>
      </c>
      <c r="H810" t="s">
        <v>37</v>
      </c>
      <c r="I810" s="13">
        <v>79000</v>
      </c>
      <c r="J810" s="13">
        <v>79000</v>
      </c>
      <c r="K810" s="13">
        <f>IF(J810&lt;'Mapa Oficinas'!$I$21,0,IF(J810&gt;'Mapa Oficinas'!$I$20,0,1))</f>
        <v>1</v>
      </c>
      <c r="L810" t="s">
        <v>23</v>
      </c>
      <c r="M810" t="s">
        <v>23</v>
      </c>
      <c r="N810" t="s">
        <v>2657</v>
      </c>
      <c r="O810" t="s">
        <v>2658</v>
      </c>
      <c r="P810" t="s">
        <v>34</v>
      </c>
      <c r="Q810">
        <v>2</v>
      </c>
      <c r="R810" t="s">
        <v>372</v>
      </c>
      <c r="S810" t="s">
        <v>28</v>
      </c>
      <c r="T810" t="str">
        <f>VLOOKUP(S810,'Mapa Oficinas'!$H$7:$I$16,2,FALSE)</f>
        <v>CB</v>
      </c>
      <c r="U810" t="s">
        <v>29</v>
      </c>
      <c r="V810" t="str">
        <f>VLOOKUP($R810,'Mapa Oficinas'!$A$7:$C$46,2,FALSE)</f>
        <v>CABA</v>
      </c>
      <c r="W810" t="str">
        <f>VLOOKUP($R810,'Mapa Oficinas'!$A$7:$C$46,3,FALSE)</f>
        <v>Caballito</v>
      </c>
    </row>
    <row r="811" spans="1:23" x14ac:dyDescent="0.2">
      <c r="A811" s="1">
        <v>45835</v>
      </c>
      <c r="B811" s="20">
        <f t="shared" si="24"/>
        <v>2025</v>
      </c>
      <c r="C811" s="20">
        <f t="shared" si="25"/>
        <v>6</v>
      </c>
      <c r="D811" t="s">
        <v>2693</v>
      </c>
      <c r="E811" s="49">
        <v>1</v>
      </c>
      <c r="F811" t="s">
        <v>2694</v>
      </c>
      <c r="G811" t="s">
        <v>21</v>
      </c>
      <c r="H811" t="s">
        <v>37</v>
      </c>
      <c r="I811" s="13">
        <v>79000</v>
      </c>
      <c r="J811" s="13">
        <v>79000</v>
      </c>
      <c r="K811" s="13">
        <f>IF(J811&lt;'Mapa Oficinas'!$I$21,0,IF(J811&gt;'Mapa Oficinas'!$I$20,0,1))</f>
        <v>1</v>
      </c>
      <c r="L811" t="s">
        <v>23</v>
      </c>
      <c r="M811" t="s">
        <v>23</v>
      </c>
      <c r="N811" t="s">
        <v>2695</v>
      </c>
      <c r="O811" t="s">
        <v>2696</v>
      </c>
      <c r="P811" t="s">
        <v>61</v>
      </c>
      <c r="Q811">
        <v>2</v>
      </c>
      <c r="R811" t="s">
        <v>67</v>
      </c>
      <c r="S811" t="s">
        <v>28</v>
      </c>
      <c r="T811" t="str">
        <f>VLOOKUP(S811,'Mapa Oficinas'!$H$7:$I$16,2,FALSE)</f>
        <v>CB</v>
      </c>
      <c r="U811" t="s">
        <v>29</v>
      </c>
      <c r="V811" t="str">
        <f>VLOOKUP($R811,'Mapa Oficinas'!$A$7:$C$46,2,FALSE)</f>
        <v>CABA</v>
      </c>
      <c r="W811" t="str">
        <f>VLOOKUP($R811,'Mapa Oficinas'!$A$7:$C$46,3,FALSE)</f>
        <v>Barrio Parque</v>
      </c>
    </row>
    <row r="812" spans="1:23" x14ac:dyDescent="0.2">
      <c r="A812" s="1">
        <v>45880</v>
      </c>
      <c r="B812" s="20">
        <f t="shared" si="24"/>
        <v>2025</v>
      </c>
      <c r="C812" s="20">
        <f t="shared" si="25"/>
        <v>8</v>
      </c>
      <c r="D812" t="s">
        <v>3503</v>
      </c>
      <c r="E812" s="49">
        <v>1</v>
      </c>
      <c r="F812" t="s">
        <v>3504</v>
      </c>
      <c r="G812" t="s">
        <v>21</v>
      </c>
      <c r="H812" t="s">
        <v>37</v>
      </c>
      <c r="I812" s="13">
        <v>79000</v>
      </c>
      <c r="J812" s="13">
        <v>79000</v>
      </c>
      <c r="K812" s="13">
        <f>IF(J812&lt;'Mapa Oficinas'!$I$21,0,IF(J812&gt;'Mapa Oficinas'!$I$20,0,1))</f>
        <v>1</v>
      </c>
      <c r="L812" t="s">
        <v>23</v>
      </c>
      <c r="M812" t="s">
        <v>23</v>
      </c>
      <c r="N812" t="s">
        <v>3505</v>
      </c>
      <c r="O812" t="s">
        <v>788</v>
      </c>
      <c r="P812" t="s">
        <v>45</v>
      </c>
      <c r="Q812">
        <v>2</v>
      </c>
      <c r="R812" t="s">
        <v>103</v>
      </c>
      <c r="S812" t="s">
        <v>28</v>
      </c>
      <c r="T812" t="str">
        <f>VLOOKUP(S812,'Mapa Oficinas'!$H$7:$I$16,2,FALSE)</f>
        <v>CB</v>
      </c>
      <c r="U812" t="s">
        <v>29</v>
      </c>
      <c r="V812" t="str">
        <f>VLOOKUP($R812,'Mapa Oficinas'!$A$7:$C$46,2,FALSE)</f>
        <v>Zona Sur (GBA)</v>
      </c>
      <c r="W812" t="str">
        <f>VLOOKUP($R812,'Mapa Oficinas'!$A$7:$C$46,3,FALSE)</f>
        <v>La Plata</v>
      </c>
    </row>
    <row r="813" spans="1:23" x14ac:dyDescent="0.2">
      <c r="A813" s="1">
        <v>46093</v>
      </c>
      <c r="B813" s="20">
        <f t="shared" si="24"/>
        <v>2026</v>
      </c>
      <c r="C813" s="20">
        <f t="shared" si="25"/>
        <v>3</v>
      </c>
      <c r="D813" t="s">
        <v>7133</v>
      </c>
      <c r="E813" s="49">
        <v>1</v>
      </c>
      <c r="F813" t="s">
        <v>7134</v>
      </c>
      <c r="G813" t="s">
        <v>21</v>
      </c>
      <c r="H813" t="s">
        <v>90</v>
      </c>
      <c r="I813" s="13">
        <v>84900</v>
      </c>
      <c r="J813" s="13">
        <v>79000</v>
      </c>
      <c r="K813" s="13">
        <f>IF(J813&lt;'Mapa Oficinas'!$I$21,0,IF(J813&gt;'Mapa Oficinas'!$I$20,0,1))</f>
        <v>1</v>
      </c>
      <c r="L813" t="s">
        <v>23</v>
      </c>
      <c r="M813" t="s">
        <v>23</v>
      </c>
      <c r="N813" t="s">
        <v>7135</v>
      </c>
      <c r="O813" t="s">
        <v>976</v>
      </c>
      <c r="P813" t="s">
        <v>45</v>
      </c>
      <c r="Q813">
        <v>2</v>
      </c>
      <c r="R813" t="s">
        <v>62</v>
      </c>
      <c r="S813" t="s">
        <v>28</v>
      </c>
      <c r="T813" t="str">
        <f>VLOOKUP(S813,'Mapa Oficinas'!$H$7:$I$16,2,FALSE)</f>
        <v>CB</v>
      </c>
      <c r="U813" t="s">
        <v>29</v>
      </c>
      <c r="V813" t="str">
        <f>VLOOKUP($R813,'Mapa Oficinas'!$A$7:$C$46,2,FALSE)</f>
        <v>CABA</v>
      </c>
      <c r="W813" t="str">
        <f>VLOOKUP($R813,'Mapa Oficinas'!$A$7:$C$46,3,FALSE)</f>
        <v>Villa Urquiza</v>
      </c>
    </row>
    <row r="814" spans="1:23" x14ac:dyDescent="0.2">
      <c r="A814" s="1">
        <v>46097</v>
      </c>
      <c r="B814" s="20">
        <f t="shared" si="24"/>
        <v>2026</v>
      </c>
      <c r="C814" s="20">
        <f t="shared" si="25"/>
        <v>3</v>
      </c>
      <c r="D814" t="s">
        <v>7199</v>
      </c>
      <c r="E814" s="49">
        <v>1</v>
      </c>
      <c r="F814" t="s">
        <v>7200</v>
      </c>
      <c r="G814" t="s">
        <v>21</v>
      </c>
      <c r="H814" t="s">
        <v>37</v>
      </c>
      <c r="I814" s="13">
        <v>79000</v>
      </c>
      <c r="J814" s="13">
        <v>79000</v>
      </c>
      <c r="K814" s="13">
        <f>IF(J814&lt;'Mapa Oficinas'!$I$21,0,IF(J814&gt;'Mapa Oficinas'!$I$20,0,1))</f>
        <v>1</v>
      </c>
      <c r="L814" t="s">
        <v>23</v>
      </c>
      <c r="M814" t="s">
        <v>23</v>
      </c>
      <c r="N814" t="s">
        <v>7201</v>
      </c>
      <c r="O814" t="s">
        <v>440</v>
      </c>
      <c r="P814" t="s">
        <v>45</v>
      </c>
      <c r="Q814">
        <v>2</v>
      </c>
      <c r="R814" t="s">
        <v>5456</v>
      </c>
      <c r="S814" t="s">
        <v>28</v>
      </c>
      <c r="T814" t="str">
        <f>VLOOKUP(S814,'Mapa Oficinas'!$H$7:$I$16,2,FALSE)</f>
        <v>CB</v>
      </c>
      <c r="U814" t="s">
        <v>29</v>
      </c>
      <c r="V814" t="str">
        <f>VLOOKUP($R814,'Mapa Oficinas'!$A$7:$C$46,2,FALSE)</f>
        <v>CABA</v>
      </c>
      <c r="W814" t="str">
        <f>VLOOKUP($R814,'Mapa Oficinas'!$A$7:$C$46,3,FALSE)</f>
        <v>Núñez</v>
      </c>
    </row>
    <row r="815" spans="1:23" x14ac:dyDescent="0.2">
      <c r="A815" s="1">
        <v>45743</v>
      </c>
      <c r="B815" s="20">
        <f t="shared" si="24"/>
        <v>2025</v>
      </c>
      <c r="C815" s="20">
        <f t="shared" si="25"/>
        <v>3</v>
      </c>
      <c r="D815" t="s">
        <v>1126</v>
      </c>
      <c r="E815" s="49">
        <v>1</v>
      </c>
      <c r="F815" t="s">
        <v>1127</v>
      </c>
      <c r="G815" t="s">
        <v>21</v>
      </c>
      <c r="H815" t="s">
        <v>22</v>
      </c>
      <c r="I815" s="13">
        <v>79800</v>
      </c>
      <c r="J815" s="13">
        <v>79500</v>
      </c>
      <c r="K815" s="13">
        <f>IF(J815&lt;'Mapa Oficinas'!$I$21,0,IF(J815&gt;'Mapa Oficinas'!$I$20,0,1))</f>
        <v>1</v>
      </c>
      <c r="L815" t="s">
        <v>23</v>
      </c>
      <c r="M815" t="s">
        <v>23</v>
      </c>
      <c r="N815" t="s">
        <v>1128</v>
      </c>
      <c r="O815" t="s">
        <v>470</v>
      </c>
      <c r="P815" t="s">
        <v>45</v>
      </c>
      <c r="Q815">
        <v>2</v>
      </c>
      <c r="R815" t="s">
        <v>62</v>
      </c>
      <c r="S815" t="s">
        <v>79</v>
      </c>
      <c r="T815" t="str">
        <f>VLOOKUP(S815,'Mapa Oficinas'!$H$7:$I$16,2,FALSE)</f>
        <v>CB</v>
      </c>
      <c r="U815" t="s">
        <v>29</v>
      </c>
      <c r="V815" t="str">
        <f>VLOOKUP($R815,'Mapa Oficinas'!$A$7:$C$46,2,FALSE)</f>
        <v>CABA</v>
      </c>
      <c r="W815" t="str">
        <f>VLOOKUP($R815,'Mapa Oficinas'!$A$7:$C$46,3,FALSE)</f>
        <v>Villa Urquiza</v>
      </c>
    </row>
    <row r="816" spans="1:23" x14ac:dyDescent="0.2">
      <c r="A816" s="1">
        <v>45979</v>
      </c>
      <c r="B816" s="20">
        <f t="shared" si="24"/>
        <v>2025</v>
      </c>
      <c r="C816" s="20">
        <f t="shared" si="25"/>
        <v>11</v>
      </c>
      <c r="D816" t="s">
        <v>5274</v>
      </c>
      <c r="E816" s="49">
        <v>1</v>
      </c>
      <c r="F816" t="s">
        <v>5275</v>
      </c>
      <c r="G816" t="s">
        <v>21</v>
      </c>
      <c r="H816" t="s">
        <v>37</v>
      </c>
      <c r="I816" s="13">
        <v>85000</v>
      </c>
      <c r="J816" s="13">
        <v>79500</v>
      </c>
      <c r="K816" s="13">
        <f>IF(J816&lt;'Mapa Oficinas'!$I$21,0,IF(J816&gt;'Mapa Oficinas'!$I$20,0,1))</f>
        <v>1</v>
      </c>
      <c r="L816" t="s">
        <v>23</v>
      </c>
      <c r="M816" t="s">
        <v>23</v>
      </c>
      <c r="N816" t="s">
        <v>5276</v>
      </c>
      <c r="O816" t="s">
        <v>5277</v>
      </c>
      <c r="P816" t="s">
        <v>45</v>
      </c>
      <c r="Q816">
        <v>1</v>
      </c>
      <c r="R816" t="s">
        <v>110</v>
      </c>
      <c r="S816" t="s">
        <v>47</v>
      </c>
      <c r="T816" t="str">
        <f>VLOOKUP(S816,'Mapa Oficinas'!$H$7:$I$16,2,FALSE)</f>
        <v>Otra Red Búsqueda</v>
      </c>
      <c r="U816" t="s">
        <v>29</v>
      </c>
      <c r="V816" t="str">
        <f>VLOOKUP($R816,'Mapa Oficinas'!$A$7:$C$46,2,FALSE)</f>
        <v>Zona Norte (GBA)</v>
      </c>
      <c r="W816" t="str">
        <f>VLOOKUP($R816,'Mapa Oficinas'!$A$7:$C$46,3,FALSE)</f>
        <v>Nordelta</v>
      </c>
    </row>
    <row r="817" spans="1:23" x14ac:dyDescent="0.2">
      <c r="A817" s="1">
        <v>45978</v>
      </c>
      <c r="B817" s="20">
        <f t="shared" si="24"/>
        <v>2025</v>
      </c>
      <c r="C817" s="20">
        <f t="shared" si="25"/>
        <v>11</v>
      </c>
      <c r="D817" t="s">
        <v>5251</v>
      </c>
      <c r="E817" s="49">
        <v>1</v>
      </c>
      <c r="F817" t="s">
        <v>5252</v>
      </c>
      <c r="G817" t="s">
        <v>21</v>
      </c>
      <c r="H817" t="s">
        <v>37</v>
      </c>
      <c r="I817" s="13">
        <v>81000</v>
      </c>
      <c r="J817" s="13">
        <v>79500</v>
      </c>
      <c r="K817" s="13">
        <f>IF(J817&lt;'Mapa Oficinas'!$I$21,0,IF(J817&gt;'Mapa Oficinas'!$I$20,0,1))</f>
        <v>1</v>
      </c>
      <c r="L817" t="s">
        <v>23</v>
      </c>
      <c r="M817" t="s">
        <v>23</v>
      </c>
      <c r="N817" t="s">
        <v>5253</v>
      </c>
      <c r="O817" t="s">
        <v>477</v>
      </c>
      <c r="P817" t="s">
        <v>45</v>
      </c>
      <c r="Q817">
        <v>2</v>
      </c>
      <c r="R817" t="s">
        <v>46</v>
      </c>
      <c r="S817" t="s">
        <v>28</v>
      </c>
      <c r="T817" t="str">
        <f>VLOOKUP(S817,'Mapa Oficinas'!$H$7:$I$16,2,FALSE)</f>
        <v>CB</v>
      </c>
      <c r="U817" t="s">
        <v>29</v>
      </c>
      <c r="V817" t="str">
        <f>VLOOKUP($R817,'Mapa Oficinas'!$A$7:$C$46,2,FALSE)</f>
        <v>CABA</v>
      </c>
      <c r="W817" t="str">
        <f>VLOOKUP($R817,'Mapa Oficinas'!$A$7:$C$46,3,FALSE)</f>
        <v>Palermo</v>
      </c>
    </row>
    <row r="818" spans="1:23" x14ac:dyDescent="0.2">
      <c r="A818" s="1">
        <v>45950</v>
      </c>
      <c r="B818" s="20">
        <f t="shared" si="24"/>
        <v>2025</v>
      </c>
      <c r="C818" s="20">
        <f t="shared" si="25"/>
        <v>10</v>
      </c>
      <c r="D818" t="s">
        <v>4792</v>
      </c>
      <c r="E818" s="49">
        <v>1</v>
      </c>
      <c r="F818" t="s">
        <v>4792</v>
      </c>
      <c r="G818" t="s">
        <v>21</v>
      </c>
      <c r="H818" t="s">
        <v>37</v>
      </c>
      <c r="I818" s="13">
        <v>80000</v>
      </c>
      <c r="J818" s="13">
        <v>80000</v>
      </c>
      <c r="K818" s="13">
        <f>IF(J818&lt;'Mapa Oficinas'!$I$21,0,IF(J818&gt;'Mapa Oficinas'!$I$20,0,1))</f>
        <v>1</v>
      </c>
      <c r="L818" t="s">
        <v>23</v>
      </c>
      <c r="M818" t="s">
        <v>23</v>
      </c>
      <c r="O818" t="s">
        <v>2473</v>
      </c>
      <c r="P818" t="s">
        <v>45</v>
      </c>
      <c r="Q818">
        <v>1</v>
      </c>
      <c r="R818" t="s">
        <v>183</v>
      </c>
      <c r="S818" t="s">
        <v>122</v>
      </c>
      <c r="T818" t="str">
        <f>VLOOKUP(S818,'Mapa Oficinas'!$H$7:$I$16,2,FALSE)</f>
        <v>Otra Red Búsqueda</v>
      </c>
      <c r="U818" t="s">
        <v>29</v>
      </c>
      <c r="V818" t="str">
        <f>VLOOKUP($R818,'Mapa Oficinas'!$A$7:$C$46,2,FALSE)</f>
        <v>Interior - Neuquén</v>
      </c>
      <c r="W818" t="str">
        <f>VLOOKUP($R818,'Mapa Oficinas'!$A$7:$C$46,3,FALSE)</f>
        <v>Capital Neuquén</v>
      </c>
    </row>
    <row r="819" spans="1:23" x14ac:dyDescent="0.2">
      <c r="A819" s="1">
        <v>45735</v>
      </c>
      <c r="B819" s="20">
        <f t="shared" si="24"/>
        <v>2025</v>
      </c>
      <c r="C819" s="20">
        <f t="shared" si="25"/>
        <v>3</v>
      </c>
      <c r="D819" t="s">
        <v>1003</v>
      </c>
      <c r="E819" s="49">
        <v>1</v>
      </c>
      <c r="F819" t="s">
        <v>1004</v>
      </c>
      <c r="G819" t="s">
        <v>21</v>
      </c>
      <c r="H819" t="s">
        <v>37</v>
      </c>
      <c r="I819" s="13">
        <v>85000</v>
      </c>
      <c r="J819" s="13">
        <v>80000</v>
      </c>
      <c r="K819" s="13">
        <f>IF(J819&lt;'Mapa Oficinas'!$I$21,0,IF(J819&gt;'Mapa Oficinas'!$I$20,0,1))</f>
        <v>1</v>
      </c>
      <c r="L819" t="s">
        <v>23</v>
      </c>
      <c r="M819" t="s">
        <v>23</v>
      </c>
      <c r="N819" t="s">
        <v>1005</v>
      </c>
      <c r="O819" t="s">
        <v>1006</v>
      </c>
      <c r="P819" t="s">
        <v>45</v>
      </c>
      <c r="Q819">
        <v>2</v>
      </c>
      <c r="R819" t="s">
        <v>62</v>
      </c>
      <c r="S819" t="s">
        <v>79</v>
      </c>
      <c r="T819" t="str">
        <f>VLOOKUP(S819,'Mapa Oficinas'!$H$7:$I$16,2,FALSE)</f>
        <v>CB</v>
      </c>
      <c r="U819" t="s">
        <v>29</v>
      </c>
      <c r="V819" t="str">
        <f>VLOOKUP($R819,'Mapa Oficinas'!$A$7:$C$46,2,FALSE)</f>
        <v>CABA</v>
      </c>
      <c r="W819" t="str">
        <f>VLOOKUP($R819,'Mapa Oficinas'!$A$7:$C$46,3,FALSE)</f>
        <v>Villa Urquiza</v>
      </c>
    </row>
    <row r="820" spans="1:23" x14ac:dyDescent="0.2">
      <c r="A820" s="1">
        <v>45744</v>
      </c>
      <c r="B820" s="20">
        <f t="shared" si="24"/>
        <v>2025</v>
      </c>
      <c r="C820" s="20">
        <f t="shared" si="25"/>
        <v>3</v>
      </c>
      <c r="D820" t="s">
        <v>1157</v>
      </c>
      <c r="E820" s="49">
        <v>1</v>
      </c>
      <c r="F820" t="s">
        <v>287</v>
      </c>
      <c r="G820" t="s">
        <v>21</v>
      </c>
      <c r="H820" t="s">
        <v>76</v>
      </c>
      <c r="I820" s="13">
        <v>80000</v>
      </c>
      <c r="J820" s="13">
        <v>80000</v>
      </c>
      <c r="K820" s="13">
        <f>IF(J820&lt;'Mapa Oficinas'!$I$21,0,IF(J820&gt;'Mapa Oficinas'!$I$20,0,1))</f>
        <v>1</v>
      </c>
      <c r="L820" t="s">
        <v>23</v>
      </c>
      <c r="M820" t="s">
        <v>23</v>
      </c>
      <c r="N820" t="s">
        <v>288</v>
      </c>
      <c r="O820" t="s">
        <v>1158</v>
      </c>
      <c r="P820" t="s">
        <v>45</v>
      </c>
      <c r="Q820">
        <v>2</v>
      </c>
      <c r="R820" t="s">
        <v>121</v>
      </c>
      <c r="S820" t="s">
        <v>79</v>
      </c>
      <c r="T820" t="str">
        <f>VLOOKUP(S820,'Mapa Oficinas'!$H$7:$I$16,2,FALSE)</f>
        <v>CB</v>
      </c>
      <c r="U820" t="s">
        <v>29</v>
      </c>
      <c r="V820" t="str">
        <f>VLOOKUP($R820,'Mapa Oficinas'!$A$7:$C$46,2,FALSE)</f>
        <v>Interior - Río Negro</v>
      </c>
      <c r="W820" t="str">
        <f>VLOOKUP($R820,'Mapa Oficinas'!$A$7:$C$46,3,FALSE)</f>
        <v>Bariloche</v>
      </c>
    </row>
    <row r="821" spans="1:23" x14ac:dyDescent="0.2">
      <c r="A821" s="1">
        <v>45895</v>
      </c>
      <c r="B821" s="20">
        <f t="shared" si="24"/>
        <v>2025</v>
      </c>
      <c r="C821" s="20">
        <f t="shared" si="25"/>
        <v>8</v>
      </c>
      <c r="D821" t="s">
        <v>3770</v>
      </c>
      <c r="E821" s="49">
        <v>1</v>
      </c>
      <c r="F821" t="s">
        <v>3771</v>
      </c>
      <c r="G821" t="s">
        <v>21</v>
      </c>
      <c r="H821" t="s">
        <v>100</v>
      </c>
      <c r="I821" s="13">
        <v>85000</v>
      </c>
      <c r="J821" s="13">
        <v>80000</v>
      </c>
      <c r="K821" s="13">
        <f>IF(J821&lt;'Mapa Oficinas'!$I$21,0,IF(J821&gt;'Mapa Oficinas'!$I$20,0,1))</f>
        <v>1</v>
      </c>
      <c r="L821" t="s">
        <v>23</v>
      </c>
      <c r="M821" t="s">
        <v>23</v>
      </c>
      <c r="N821" t="s">
        <v>3772</v>
      </c>
      <c r="O821" t="s">
        <v>120</v>
      </c>
      <c r="P821" t="s">
        <v>45</v>
      </c>
      <c r="Q821">
        <v>2</v>
      </c>
      <c r="R821" t="s">
        <v>121</v>
      </c>
      <c r="S821" t="s">
        <v>79</v>
      </c>
      <c r="T821" t="str">
        <f>VLOOKUP(S821,'Mapa Oficinas'!$H$7:$I$16,2,FALSE)</f>
        <v>CB</v>
      </c>
      <c r="U821" t="s">
        <v>29</v>
      </c>
      <c r="V821" t="str">
        <f>VLOOKUP($R821,'Mapa Oficinas'!$A$7:$C$46,2,FALSE)</f>
        <v>Interior - Río Negro</v>
      </c>
      <c r="W821" t="str">
        <f>VLOOKUP($R821,'Mapa Oficinas'!$A$7:$C$46,3,FALSE)</f>
        <v>Bariloche</v>
      </c>
    </row>
    <row r="822" spans="1:23" x14ac:dyDescent="0.2">
      <c r="A822" s="1">
        <v>45932</v>
      </c>
      <c r="B822" s="20">
        <f t="shared" si="24"/>
        <v>2025</v>
      </c>
      <c r="C822" s="20">
        <f t="shared" si="25"/>
        <v>10</v>
      </c>
      <c r="D822" t="s">
        <v>4456</v>
      </c>
      <c r="E822" s="49">
        <v>3</v>
      </c>
      <c r="F822" t="s">
        <v>4457</v>
      </c>
      <c r="G822" t="s">
        <v>21</v>
      </c>
      <c r="H822" t="s">
        <v>37</v>
      </c>
      <c r="I822" s="13">
        <v>80000</v>
      </c>
      <c r="J822" s="13">
        <v>80000</v>
      </c>
      <c r="K822" s="13">
        <f>IF(J822&lt;'Mapa Oficinas'!$I$21,0,IF(J822&gt;'Mapa Oficinas'!$I$20,0,1))</f>
        <v>1</v>
      </c>
      <c r="L822" t="s">
        <v>23</v>
      </c>
      <c r="M822" t="s">
        <v>23</v>
      </c>
      <c r="N822" t="s">
        <v>4458</v>
      </c>
      <c r="O822" t="s">
        <v>759</v>
      </c>
      <c r="P822" t="s">
        <v>45</v>
      </c>
      <c r="Q822">
        <v>2</v>
      </c>
      <c r="R822" t="s">
        <v>257</v>
      </c>
      <c r="S822" t="s">
        <v>241</v>
      </c>
      <c r="T822" t="str">
        <f>VLOOKUP(S822,'Mapa Oficinas'!$H$7:$I$16,2,FALSE)</f>
        <v>CB</v>
      </c>
      <c r="U822" t="s">
        <v>29</v>
      </c>
      <c r="V822" t="str">
        <f>VLOOKUP($R822,'Mapa Oficinas'!$A$7:$C$46,2,FALSE)</f>
        <v>Zona Norte (GBA)</v>
      </c>
      <c r="W822" t="str">
        <f>VLOOKUP($R822,'Mapa Oficinas'!$A$7:$C$46,3,FALSE)</f>
        <v>Pilar</v>
      </c>
    </row>
    <row r="823" spans="1:23" x14ac:dyDescent="0.2">
      <c r="A823" s="1">
        <v>46001</v>
      </c>
      <c r="B823" s="20">
        <f t="shared" si="24"/>
        <v>2025</v>
      </c>
      <c r="C823" s="20">
        <f t="shared" si="25"/>
        <v>12</v>
      </c>
      <c r="D823" t="s">
        <v>5705</v>
      </c>
      <c r="E823" s="49">
        <v>3</v>
      </c>
      <c r="F823" t="s">
        <v>5092</v>
      </c>
      <c r="G823" t="s">
        <v>21</v>
      </c>
      <c r="H823" t="s">
        <v>37</v>
      </c>
      <c r="I823" s="13">
        <v>185000</v>
      </c>
      <c r="J823" s="13">
        <v>80000</v>
      </c>
      <c r="K823" s="13">
        <f>IF(J823&lt;'Mapa Oficinas'!$I$21,0,IF(J823&gt;'Mapa Oficinas'!$I$20,0,1))</f>
        <v>1</v>
      </c>
      <c r="L823" t="s">
        <v>23</v>
      </c>
      <c r="M823" t="s">
        <v>23</v>
      </c>
      <c r="N823" t="s">
        <v>3775</v>
      </c>
      <c r="O823" t="s">
        <v>1196</v>
      </c>
      <c r="P823" t="s">
        <v>45</v>
      </c>
      <c r="Q823">
        <v>2</v>
      </c>
      <c r="R823" t="s">
        <v>67</v>
      </c>
      <c r="S823" t="s">
        <v>241</v>
      </c>
      <c r="T823" t="str">
        <f>VLOOKUP(S823,'Mapa Oficinas'!$H$7:$I$16,2,FALSE)</f>
        <v>CB</v>
      </c>
      <c r="U823" t="s">
        <v>29</v>
      </c>
      <c r="V823" t="str">
        <f>VLOOKUP($R823,'Mapa Oficinas'!$A$7:$C$46,2,FALSE)</f>
        <v>CABA</v>
      </c>
      <c r="W823" t="str">
        <f>VLOOKUP($R823,'Mapa Oficinas'!$A$7:$C$46,3,FALSE)</f>
        <v>Barrio Parque</v>
      </c>
    </row>
    <row r="824" spans="1:23" x14ac:dyDescent="0.2">
      <c r="A824" s="1">
        <v>45875</v>
      </c>
      <c r="B824" s="20">
        <f t="shared" si="24"/>
        <v>2025</v>
      </c>
      <c r="C824" s="20">
        <f t="shared" si="25"/>
        <v>8</v>
      </c>
      <c r="D824" t="s">
        <v>3440</v>
      </c>
      <c r="E824" s="49">
        <v>1</v>
      </c>
      <c r="F824" t="s">
        <v>3441</v>
      </c>
      <c r="G824" t="s">
        <v>21</v>
      </c>
      <c r="H824" t="s">
        <v>22</v>
      </c>
      <c r="I824" s="13">
        <v>80000</v>
      </c>
      <c r="J824" s="13">
        <v>80000</v>
      </c>
      <c r="K824" s="13">
        <f>IF(J824&lt;'Mapa Oficinas'!$I$21,0,IF(J824&gt;'Mapa Oficinas'!$I$20,0,1))</f>
        <v>1</v>
      </c>
      <c r="L824" t="s">
        <v>23</v>
      </c>
      <c r="M824" t="s">
        <v>23</v>
      </c>
      <c r="N824" t="s">
        <v>3442</v>
      </c>
      <c r="O824" t="s">
        <v>992</v>
      </c>
      <c r="P824" t="s">
        <v>45</v>
      </c>
      <c r="Q824">
        <v>1</v>
      </c>
      <c r="R824" t="s">
        <v>670</v>
      </c>
      <c r="S824" t="s">
        <v>47</v>
      </c>
      <c r="T824" t="str">
        <f>VLOOKUP(S824,'Mapa Oficinas'!$H$7:$I$16,2,FALSE)</f>
        <v>Otra Red Búsqueda</v>
      </c>
      <c r="U824" t="s">
        <v>29</v>
      </c>
      <c r="V824" t="str">
        <f>VLOOKUP($R824,'Mapa Oficinas'!$A$7:$C$46,2,FALSE)</f>
        <v>CABA</v>
      </c>
      <c r="W824" t="str">
        <f>VLOOKUP($R824,'Mapa Oficinas'!$A$7:$C$46,3,FALSE)</f>
        <v>Recoleta</v>
      </c>
    </row>
    <row r="825" spans="1:23" x14ac:dyDescent="0.2">
      <c r="A825" s="1">
        <v>45874</v>
      </c>
      <c r="B825" s="20">
        <f t="shared" si="24"/>
        <v>2025</v>
      </c>
      <c r="C825" s="20">
        <f t="shared" si="25"/>
        <v>8</v>
      </c>
      <c r="D825" t="s">
        <v>3415</v>
      </c>
      <c r="E825" s="49">
        <v>1</v>
      </c>
      <c r="F825" t="s">
        <v>3416</v>
      </c>
      <c r="G825" t="s">
        <v>21</v>
      </c>
      <c r="H825" t="s">
        <v>37</v>
      </c>
      <c r="I825" s="13">
        <v>84000</v>
      </c>
      <c r="J825" s="13">
        <v>80000</v>
      </c>
      <c r="K825" s="13">
        <f>IF(J825&lt;'Mapa Oficinas'!$I$21,0,IF(J825&gt;'Mapa Oficinas'!$I$20,0,1))</f>
        <v>1</v>
      </c>
      <c r="L825" t="s">
        <v>23</v>
      </c>
      <c r="M825" t="s">
        <v>23</v>
      </c>
      <c r="N825" t="s">
        <v>3417</v>
      </c>
      <c r="O825" t="s">
        <v>408</v>
      </c>
      <c r="P825" t="s">
        <v>45</v>
      </c>
      <c r="Q825">
        <v>2</v>
      </c>
      <c r="R825" t="s">
        <v>523</v>
      </c>
      <c r="S825" t="s">
        <v>200</v>
      </c>
      <c r="T825" t="str">
        <f>VLOOKUP(S825,'Mapa Oficinas'!$H$7:$I$16,2,FALSE)</f>
        <v>Otra Red Captación</v>
      </c>
      <c r="U825" t="s">
        <v>29</v>
      </c>
      <c r="V825" t="str">
        <f>VLOOKUP($R825,'Mapa Oficinas'!$A$7:$C$46,2,FALSE)</f>
        <v>CABA</v>
      </c>
      <c r="W825" t="str">
        <f>VLOOKUP($R825,'Mapa Oficinas'!$A$7:$C$46,3,FALSE)</f>
        <v>Belgrano</v>
      </c>
    </row>
    <row r="826" spans="1:23" x14ac:dyDescent="0.2">
      <c r="A826" s="1">
        <v>45912</v>
      </c>
      <c r="B826" s="20">
        <f t="shared" si="24"/>
        <v>2025</v>
      </c>
      <c r="C826" s="20">
        <f t="shared" si="25"/>
        <v>9</v>
      </c>
      <c r="D826" t="s">
        <v>4104</v>
      </c>
      <c r="E826" s="49">
        <v>1</v>
      </c>
      <c r="F826" t="s">
        <v>4105</v>
      </c>
      <c r="G826" t="s">
        <v>21</v>
      </c>
      <c r="H826" t="s">
        <v>76</v>
      </c>
      <c r="I826" s="13">
        <v>105000</v>
      </c>
      <c r="J826" s="13">
        <v>80000</v>
      </c>
      <c r="K826" s="13">
        <f>IF(J826&lt;'Mapa Oficinas'!$I$21,0,IF(J826&gt;'Mapa Oficinas'!$I$20,0,1))</f>
        <v>1</v>
      </c>
      <c r="L826" t="s">
        <v>23</v>
      </c>
      <c r="M826" t="s">
        <v>23</v>
      </c>
      <c r="N826" t="s">
        <v>4106</v>
      </c>
      <c r="O826" t="s">
        <v>4107</v>
      </c>
      <c r="P826" t="s">
        <v>34</v>
      </c>
      <c r="Q826">
        <v>2</v>
      </c>
      <c r="R826" t="s">
        <v>183</v>
      </c>
      <c r="S826" t="s">
        <v>404</v>
      </c>
      <c r="T826" t="str">
        <f>VLOOKUP(S826,'Mapa Oficinas'!$H$7:$I$16,2,FALSE)</f>
        <v>CB</v>
      </c>
      <c r="U826" t="s">
        <v>29</v>
      </c>
      <c r="V826" t="str">
        <f>VLOOKUP($R826,'Mapa Oficinas'!$A$7:$C$46,2,FALSE)</f>
        <v>Interior - Neuquén</v>
      </c>
      <c r="W826" t="str">
        <f>VLOOKUP($R826,'Mapa Oficinas'!$A$7:$C$46,3,FALSE)</f>
        <v>Capital Neuquén</v>
      </c>
    </row>
    <row r="827" spans="1:23" x14ac:dyDescent="0.2">
      <c r="A827" s="1">
        <v>45792</v>
      </c>
      <c r="B827" s="20">
        <f t="shared" si="24"/>
        <v>2025</v>
      </c>
      <c r="C827" s="20">
        <f t="shared" si="25"/>
        <v>5</v>
      </c>
      <c r="D827" t="s">
        <v>1959</v>
      </c>
      <c r="E827" s="49">
        <v>1</v>
      </c>
      <c r="F827" t="s">
        <v>1960</v>
      </c>
      <c r="G827" t="s">
        <v>21</v>
      </c>
      <c r="H827" t="s">
        <v>37</v>
      </c>
      <c r="I827" s="13">
        <v>83000</v>
      </c>
      <c r="J827" s="13">
        <v>80000</v>
      </c>
      <c r="K827" s="13">
        <f>IF(J827&lt;'Mapa Oficinas'!$I$21,0,IF(J827&gt;'Mapa Oficinas'!$I$20,0,1))</f>
        <v>1</v>
      </c>
      <c r="L827" t="s">
        <v>23</v>
      </c>
      <c r="M827" t="s">
        <v>23</v>
      </c>
      <c r="N827" t="s">
        <v>1961</v>
      </c>
      <c r="O827" t="s">
        <v>1646</v>
      </c>
      <c r="P827" t="s">
        <v>45</v>
      </c>
      <c r="Q827">
        <v>2</v>
      </c>
      <c r="R827" t="s">
        <v>151</v>
      </c>
      <c r="S827" t="s">
        <v>1265</v>
      </c>
      <c r="T827" t="str">
        <f>VLOOKUP(S827,'Mapa Oficinas'!$H$7:$I$16,2,FALSE)</f>
        <v>CB</v>
      </c>
      <c r="U827" t="s">
        <v>29</v>
      </c>
      <c r="V827" t="str">
        <f>VLOOKUP($R827,'Mapa Oficinas'!$A$7:$C$46,2,FALSE)</f>
        <v>Interior - Mendoza</v>
      </c>
      <c r="W827" t="str">
        <f>VLOOKUP($R827,'Mapa Oficinas'!$A$7:$C$46,3,FALSE)</f>
        <v>Capital Mendoza</v>
      </c>
    </row>
    <row r="828" spans="1:23" x14ac:dyDescent="0.2">
      <c r="A828" s="1">
        <v>45666</v>
      </c>
      <c r="B828" s="20">
        <f t="shared" si="24"/>
        <v>2025</v>
      </c>
      <c r="C828" s="20">
        <f t="shared" si="25"/>
        <v>1</v>
      </c>
      <c r="D828" t="s">
        <v>136</v>
      </c>
      <c r="E828" s="49">
        <v>1</v>
      </c>
      <c r="F828" t="s">
        <v>137</v>
      </c>
      <c r="G828" t="s">
        <v>21</v>
      </c>
      <c r="H828" t="s">
        <v>22</v>
      </c>
      <c r="I828" s="13">
        <v>79000</v>
      </c>
      <c r="J828" s="13">
        <v>80000</v>
      </c>
      <c r="K828" s="13">
        <f>IF(J828&lt;'Mapa Oficinas'!$I$21,0,IF(J828&gt;'Mapa Oficinas'!$I$20,0,1))</f>
        <v>1</v>
      </c>
      <c r="L828" t="s">
        <v>23</v>
      </c>
      <c r="M828" t="s">
        <v>23</v>
      </c>
      <c r="N828" t="s">
        <v>91</v>
      </c>
      <c r="O828" t="s">
        <v>92</v>
      </c>
      <c r="P828" t="s">
        <v>45</v>
      </c>
      <c r="Q828">
        <v>2</v>
      </c>
      <c r="R828" t="s">
        <v>62</v>
      </c>
      <c r="S828" t="s">
        <v>28</v>
      </c>
      <c r="T828" t="str">
        <f>VLOOKUP(S828,'Mapa Oficinas'!$H$7:$I$16,2,FALSE)</f>
        <v>CB</v>
      </c>
      <c r="U828" t="s">
        <v>29</v>
      </c>
      <c r="V828" t="str">
        <f>VLOOKUP($R828,'Mapa Oficinas'!$A$7:$C$46,2,FALSE)</f>
        <v>CABA</v>
      </c>
      <c r="W828" t="str">
        <f>VLOOKUP($R828,'Mapa Oficinas'!$A$7:$C$46,3,FALSE)</f>
        <v>Villa Urquiza</v>
      </c>
    </row>
    <row r="829" spans="1:23" x14ac:dyDescent="0.2">
      <c r="A829" s="1">
        <v>45677</v>
      </c>
      <c r="B829" s="20">
        <f t="shared" si="24"/>
        <v>2025</v>
      </c>
      <c r="C829" s="20">
        <f t="shared" si="25"/>
        <v>1</v>
      </c>
      <c r="D829" t="s">
        <v>292</v>
      </c>
      <c r="E829" s="49">
        <v>1</v>
      </c>
      <c r="F829" t="s">
        <v>293</v>
      </c>
      <c r="G829" t="s">
        <v>21</v>
      </c>
      <c r="H829" t="s">
        <v>37</v>
      </c>
      <c r="I829" s="13">
        <v>95000</v>
      </c>
      <c r="J829" s="13">
        <v>80000</v>
      </c>
      <c r="K829" s="13">
        <f>IF(J829&lt;'Mapa Oficinas'!$I$21,0,IF(J829&gt;'Mapa Oficinas'!$I$20,0,1))</f>
        <v>1</v>
      </c>
      <c r="L829" t="s">
        <v>23</v>
      </c>
      <c r="M829" t="s">
        <v>23</v>
      </c>
      <c r="N829" t="s">
        <v>294</v>
      </c>
      <c r="O829" t="s">
        <v>295</v>
      </c>
      <c r="P829" t="s">
        <v>26</v>
      </c>
      <c r="Q829">
        <v>2</v>
      </c>
      <c r="R829" t="s">
        <v>40</v>
      </c>
      <c r="S829" t="s">
        <v>28</v>
      </c>
      <c r="T829" t="str">
        <f>VLOOKUP(S829,'Mapa Oficinas'!$H$7:$I$16,2,FALSE)</f>
        <v>CB</v>
      </c>
      <c r="U829" t="s">
        <v>29</v>
      </c>
      <c r="V829" t="str">
        <f>VLOOKUP($R829,'Mapa Oficinas'!$A$7:$C$46,2,FALSE)</f>
        <v>CABA</v>
      </c>
      <c r="W829" t="str">
        <f>VLOOKUP($R829,'Mapa Oficinas'!$A$7:$C$46,3,FALSE)</f>
        <v>Núñez</v>
      </c>
    </row>
    <row r="830" spans="1:23" x14ac:dyDescent="0.2">
      <c r="A830" s="1">
        <v>45679</v>
      </c>
      <c r="B830" s="20">
        <f t="shared" si="24"/>
        <v>2025</v>
      </c>
      <c r="C830" s="20">
        <f t="shared" si="25"/>
        <v>1</v>
      </c>
      <c r="D830" t="s">
        <v>326</v>
      </c>
      <c r="E830" s="49">
        <v>1</v>
      </c>
      <c r="F830" t="s">
        <v>327</v>
      </c>
      <c r="G830" t="s">
        <v>21</v>
      </c>
      <c r="H830" t="s">
        <v>37</v>
      </c>
      <c r="I830" s="13">
        <v>82000</v>
      </c>
      <c r="J830" s="13">
        <v>80000</v>
      </c>
      <c r="K830" s="13">
        <f>IF(J830&lt;'Mapa Oficinas'!$I$21,0,IF(J830&gt;'Mapa Oficinas'!$I$20,0,1))</f>
        <v>1</v>
      </c>
      <c r="L830" t="s">
        <v>23</v>
      </c>
      <c r="M830" t="s">
        <v>23</v>
      </c>
      <c r="N830" t="s">
        <v>328</v>
      </c>
      <c r="O830" t="s">
        <v>329</v>
      </c>
      <c r="P830" t="s">
        <v>45</v>
      </c>
      <c r="Q830">
        <v>2</v>
      </c>
      <c r="R830" t="s">
        <v>183</v>
      </c>
      <c r="S830" t="s">
        <v>28</v>
      </c>
      <c r="T830" t="str">
        <f>VLOOKUP(S830,'Mapa Oficinas'!$H$7:$I$16,2,FALSE)</f>
        <v>CB</v>
      </c>
      <c r="U830" t="s">
        <v>29</v>
      </c>
      <c r="V830" t="str">
        <f>VLOOKUP($R830,'Mapa Oficinas'!$A$7:$C$46,2,FALSE)</f>
        <v>Interior - Neuquén</v>
      </c>
      <c r="W830" t="str">
        <f>VLOOKUP($R830,'Mapa Oficinas'!$A$7:$C$46,3,FALSE)</f>
        <v>Capital Neuquén</v>
      </c>
    </row>
    <row r="831" spans="1:23" x14ac:dyDescent="0.2">
      <c r="A831" s="1">
        <v>45698</v>
      </c>
      <c r="B831" s="20">
        <f t="shared" si="24"/>
        <v>2025</v>
      </c>
      <c r="C831" s="20">
        <f t="shared" si="25"/>
        <v>2</v>
      </c>
      <c r="D831" t="s">
        <v>527</v>
      </c>
      <c r="E831" s="49">
        <v>1</v>
      </c>
      <c r="F831" t="s">
        <v>528</v>
      </c>
      <c r="G831" t="s">
        <v>21</v>
      </c>
      <c r="H831" t="s">
        <v>37</v>
      </c>
      <c r="I831" s="13">
        <v>80000</v>
      </c>
      <c r="J831" s="13">
        <v>80000</v>
      </c>
      <c r="K831" s="13">
        <f>IF(J831&lt;'Mapa Oficinas'!$I$21,0,IF(J831&gt;'Mapa Oficinas'!$I$20,0,1))</f>
        <v>1</v>
      </c>
      <c r="L831" t="s">
        <v>23</v>
      </c>
      <c r="M831" t="s">
        <v>23</v>
      </c>
      <c r="N831" t="s">
        <v>529</v>
      </c>
      <c r="O831" t="s">
        <v>530</v>
      </c>
      <c r="P831" t="s">
        <v>34</v>
      </c>
      <c r="Q831">
        <v>2</v>
      </c>
      <c r="R831" t="s">
        <v>183</v>
      </c>
      <c r="S831" t="s">
        <v>28</v>
      </c>
      <c r="T831" t="str">
        <f>VLOOKUP(S831,'Mapa Oficinas'!$H$7:$I$16,2,FALSE)</f>
        <v>CB</v>
      </c>
      <c r="U831" t="s">
        <v>29</v>
      </c>
      <c r="V831" t="str">
        <f>VLOOKUP($R831,'Mapa Oficinas'!$A$7:$C$46,2,FALSE)</f>
        <v>Interior - Neuquén</v>
      </c>
      <c r="W831" t="str">
        <f>VLOOKUP($R831,'Mapa Oficinas'!$A$7:$C$46,3,FALSE)</f>
        <v>Capital Neuquén</v>
      </c>
    </row>
    <row r="832" spans="1:23" x14ac:dyDescent="0.2">
      <c r="A832" s="1">
        <v>45708</v>
      </c>
      <c r="B832" s="20">
        <f t="shared" si="24"/>
        <v>2025</v>
      </c>
      <c r="C832" s="20">
        <f t="shared" si="25"/>
        <v>2</v>
      </c>
      <c r="D832" t="s">
        <v>693</v>
      </c>
      <c r="E832" s="49">
        <v>1</v>
      </c>
      <c r="F832" t="s">
        <v>694</v>
      </c>
      <c r="G832" t="s">
        <v>21</v>
      </c>
      <c r="H832" t="s">
        <v>37</v>
      </c>
      <c r="I832" s="13">
        <v>82000</v>
      </c>
      <c r="J832" s="13">
        <v>80000</v>
      </c>
      <c r="K832" s="13">
        <f>IF(J832&lt;'Mapa Oficinas'!$I$21,0,IF(J832&gt;'Mapa Oficinas'!$I$20,0,1))</f>
        <v>1</v>
      </c>
      <c r="L832" t="s">
        <v>23</v>
      </c>
      <c r="M832" t="s">
        <v>23</v>
      </c>
      <c r="N832" t="s">
        <v>695</v>
      </c>
      <c r="O832" t="s">
        <v>696</v>
      </c>
      <c r="P832" t="s">
        <v>45</v>
      </c>
      <c r="Q832">
        <v>2</v>
      </c>
      <c r="R832" t="s">
        <v>67</v>
      </c>
      <c r="S832" t="s">
        <v>28</v>
      </c>
      <c r="T832" t="str">
        <f>VLOOKUP(S832,'Mapa Oficinas'!$H$7:$I$16,2,FALSE)</f>
        <v>CB</v>
      </c>
      <c r="U832" t="s">
        <v>29</v>
      </c>
      <c r="V832" t="str">
        <f>VLOOKUP($R832,'Mapa Oficinas'!$A$7:$C$46,2,FALSE)</f>
        <v>CABA</v>
      </c>
      <c r="W832" t="str">
        <f>VLOOKUP($R832,'Mapa Oficinas'!$A$7:$C$46,3,FALSE)</f>
        <v>Barrio Parque</v>
      </c>
    </row>
    <row r="833" spans="1:23" x14ac:dyDescent="0.2">
      <c r="A833" s="1">
        <v>45748</v>
      </c>
      <c r="B833" s="20">
        <f t="shared" si="24"/>
        <v>2025</v>
      </c>
      <c r="C833" s="20">
        <f t="shared" si="25"/>
        <v>4</v>
      </c>
      <c r="D833" t="s">
        <v>1228</v>
      </c>
      <c r="E833" s="49">
        <v>1</v>
      </c>
      <c r="F833" t="s">
        <v>1229</v>
      </c>
      <c r="G833" t="s">
        <v>21</v>
      </c>
      <c r="H833" t="s">
        <v>37</v>
      </c>
      <c r="I833" s="13">
        <v>83000</v>
      </c>
      <c r="J833" s="13">
        <v>80000</v>
      </c>
      <c r="K833" s="13">
        <f>IF(J833&lt;'Mapa Oficinas'!$I$21,0,IF(J833&gt;'Mapa Oficinas'!$I$20,0,1))</f>
        <v>1</v>
      </c>
      <c r="L833" t="s">
        <v>23</v>
      </c>
      <c r="M833" t="s">
        <v>23</v>
      </c>
      <c r="N833" t="s">
        <v>1230</v>
      </c>
      <c r="O833" t="s">
        <v>440</v>
      </c>
      <c r="P833" t="s">
        <v>45</v>
      </c>
      <c r="Q833">
        <v>2</v>
      </c>
      <c r="R833" t="s">
        <v>110</v>
      </c>
      <c r="S833" t="s">
        <v>28</v>
      </c>
      <c r="T833" t="str">
        <f>VLOOKUP(S833,'Mapa Oficinas'!$H$7:$I$16,2,FALSE)</f>
        <v>CB</v>
      </c>
      <c r="U833" t="s">
        <v>29</v>
      </c>
      <c r="V833" t="str">
        <f>VLOOKUP($R833,'Mapa Oficinas'!$A$7:$C$46,2,FALSE)</f>
        <v>Zona Norte (GBA)</v>
      </c>
      <c r="W833" t="str">
        <f>VLOOKUP($R833,'Mapa Oficinas'!$A$7:$C$46,3,FALSE)</f>
        <v>Nordelta</v>
      </c>
    </row>
    <row r="834" spans="1:23" x14ac:dyDescent="0.2">
      <c r="A834" s="1">
        <v>45769</v>
      </c>
      <c r="B834" s="20">
        <f t="shared" ref="B834:B897" si="26">YEAR($A834)</f>
        <v>2025</v>
      </c>
      <c r="C834" s="20">
        <f t="shared" ref="C834:C897" si="27">MONTH($A834)</f>
        <v>4</v>
      </c>
      <c r="D834" t="s">
        <v>1519</v>
      </c>
      <c r="E834" s="49">
        <v>1</v>
      </c>
      <c r="F834" t="s">
        <v>1520</v>
      </c>
      <c r="G834" t="s">
        <v>21</v>
      </c>
      <c r="H834" t="s">
        <v>90</v>
      </c>
      <c r="I834" s="13">
        <v>84900</v>
      </c>
      <c r="J834" s="13">
        <v>80000</v>
      </c>
      <c r="K834" s="13">
        <f>IF(J834&lt;'Mapa Oficinas'!$I$21,0,IF(J834&gt;'Mapa Oficinas'!$I$20,0,1))</f>
        <v>1</v>
      </c>
      <c r="L834" t="s">
        <v>23</v>
      </c>
      <c r="M834" t="s">
        <v>23</v>
      </c>
      <c r="N834" t="s">
        <v>1521</v>
      </c>
      <c r="O834" t="s">
        <v>54</v>
      </c>
      <c r="P834" t="s">
        <v>61</v>
      </c>
      <c r="Q834">
        <v>2</v>
      </c>
      <c r="R834" t="s">
        <v>62</v>
      </c>
      <c r="S834" t="s">
        <v>28</v>
      </c>
      <c r="T834" t="str">
        <f>VLOOKUP(S834,'Mapa Oficinas'!$H$7:$I$16,2,FALSE)</f>
        <v>CB</v>
      </c>
      <c r="U834" t="s">
        <v>29</v>
      </c>
      <c r="V834" t="str">
        <f>VLOOKUP($R834,'Mapa Oficinas'!$A$7:$C$46,2,FALSE)</f>
        <v>CABA</v>
      </c>
      <c r="W834" t="str">
        <f>VLOOKUP($R834,'Mapa Oficinas'!$A$7:$C$46,3,FALSE)</f>
        <v>Villa Urquiza</v>
      </c>
    </row>
    <row r="835" spans="1:23" x14ac:dyDescent="0.2">
      <c r="A835" s="1">
        <v>45785</v>
      </c>
      <c r="B835" s="20">
        <f t="shared" si="26"/>
        <v>2025</v>
      </c>
      <c r="C835" s="20">
        <f t="shared" si="27"/>
        <v>5</v>
      </c>
      <c r="D835" t="s">
        <v>1822</v>
      </c>
      <c r="E835" s="49">
        <v>1</v>
      </c>
      <c r="F835" t="s">
        <v>1823</v>
      </c>
      <c r="G835" t="s">
        <v>21</v>
      </c>
      <c r="H835" t="s">
        <v>37</v>
      </c>
      <c r="I835" s="13">
        <v>85000</v>
      </c>
      <c r="J835" s="13">
        <v>80000</v>
      </c>
      <c r="K835" s="13">
        <f>IF(J835&lt;'Mapa Oficinas'!$I$21,0,IF(J835&gt;'Mapa Oficinas'!$I$20,0,1))</f>
        <v>1</v>
      </c>
      <c r="L835" t="s">
        <v>23</v>
      </c>
      <c r="M835" t="s">
        <v>23</v>
      </c>
      <c r="N835" t="s">
        <v>1824</v>
      </c>
      <c r="O835" t="s">
        <v>1531</v>
      </c>
      <c r="P835" t="s">
        <v>45</v>
      </c>
      <c r="Q835">
        <v>2</v>
      </c>
      <c r="R835" t="s">
        <v>62</v>
      </c>
      <c r="S835" t="s">
        <v>28</v>
      </c>
      <c r="T835" t="str">
        <f>VLOOKUP(S835,'Mapa Oficinas'!$H$7:$I$16,2,FALSE)</f>
        <v>CB</v>
      </c>
      <c r="U835" t="s">
        <v>29</v>
      </c>
      <c r="V835" t="str">
        <f>VLOOKUP($R835,'Mapa Oficinas'!$A$7:$C$46,2,FALSE)</f>
        <v>CABA</v>
      </c>
      <c r="W835" t="str">
        <f>VLOOKUP($R835,'Mapa Oficinas'!$A$7:$C$46,3,FALSE)</f>
        <v>Villa Urquiza</v>
      </c>
    </row>
    <row r="836" spans="1:23" x14ac:dyDescent="0.2">
      <c r="A836" s="1">
        <v>45798</v>
      </c>
      <c r="B836" s="20">
        <f t="shared" si="26"/>
        <v>2025</v>
      </c>
      <c r="C836" s="20">
        <f t="shared" si="27"/>
        <v>5</v>
      </c>
      <c r="D836" t="s">
        <v>2062</v>
      </c>
      <c r="E836" s="49">
        <v>1</v>
      </c>
      <c r="F836" t="s">
        <v>2063</v>
      </c>
      <c r="G836" t="s">
        <v>21</v>
      </c>
      <c r="H836" t="s">
        <v>37</v>
      </c>
      <c r="I836" s="13">
        <v>85000</v>
      </c>
      <c r="J836" s="13">
        <v>80000</v>
      </c>
      <c r="K836" s="13">
        <f>IF(J836&lt;'Mapa Oficinas'!$I$21,0,IF(J836&gt;'Mapa Oficinas'!$I$20,0,1))</f>
        <v>1</v>
      </c>
      <c r="L836" t="s">
        <v>23</v>
      </c>
      <c r="M836" t="s">
        <v>23</v>
      </c>
      <c r="N836" t="s">
        <v>2064</v>
      </c>
      <c r="O836" t="s">
        <v>102</v>
      </c>
      <c r="P836" t="s">
        <v>34</v>
      </c>
      <c r="Q836">
        <v>2</v>
      </c>
      <c r="R836" t="s">
        <v>103</v>
      </c>
      <c r="S836" t="s">
        <v>28</v>
      </c>
      <c r="T836" t="str">
        <f>VLOOKUP(S836,'Mapa Oficinas'!$H$7:$I$16,2,FALSE)</f>
        <v>CB</v>
      </c>
      <c r="U836" t="s">
        <v>29</v>
      </c>
      <c r="V836" t="str">
        <f>VLOOKUP($R836,'Mapa Oficinas'!$A$7:$C$46,2,FALSE)</f>
        <v>Zona Sur (GBA)</v>
      </c>
      <c r="W836" t="str">
        <f>VLOOKUP($R836,'Mapa Oficinas'!$A$7:$C$46,3,FALSE)</f>
        <v>La Plata</v>
      </c>
    </row>
    <row r="837" spans="1:23" x14ac:dyDescent="0.2">
      <c r="A837" s="1">
        <v>45814</v>
      </c>
      <c r="B837" s="20">
        <f t="shared" si="26"/>
        <v>2025</v>
      </c>
      <c r="C837" s="20">
        <f t="shared" si="27"/>
        <v>6</v>
      </c>
      <c r="D837" t="s">
        <v>2358</v>
      </c>
      <c r="E837" s="49">
        <v>1</v>
      </c>
      <c r="F837" t="s">
        <v>2359</v>
      </c>
      <c r="G837" t="s">
        <v>21</v>
      </c>
      <c r="H837" t="s">
        <v>22</v>
      </c>
      <c r="I837" s="13">
        <v>80000</v>
      </c>
      <c r="J837" s="13">
        <v>80000</v>
      </c>
      <c r="K837" s="13">
        <f>IF(J837&lt;'Mapa Oficinas'!$I$21,0,IF(J837&gt;'Mapa Oficinas'!$I$20,0,1))</f>
        <v>1</v>
      </c>
      <c r="L837" t="s">
        <v>23</v>
      </c>
      <c r="M837" t="s">
        <v>23</v>
      </c>
      <c r="N837" t="s">
        <v>2360</v>
      </c>
      <c r="O837" t="s">
        <v>2361</v>
      </c>
      <c r="P837" t="s">
        <v>34</v>
      </c>
      <c r="Q837">
        <v>2</v>
      </c>
      <c r="R837" t="s">
        <v>62</v>
      </c>
      <c r="S837" t="s">
        <v>28</v>
      </c>
      <c r="T837" t="str">
        <f>VLOOKUP(S837,'Mapa Oficinas'!$H$7:$I$16,2,FALSE)</f>
        <v>CB</v>
      </c>
      <c r="U837" t="s">
        <v>29</v>
      </c>
      <c r="V837" t="str">
        <f>VLOOKUP($R837,'Mapa Oficinas'!$A$7:$C$46,2,FALSE)</f>
        <v>CABA</v>
      </c>
      <c r="W837" t="str">
        <f>VLOOKUP($R837,'Mapa Oficinas'!$A$7:$C$46,3,FALSE)</f>
        <v>Villa Urquiza</v>
      </c>
    </row>
    <row r="838" spans="1:23" x14ac:dyDescent="0.2">
      <c r="A838" s="1">
        <v>45840</v>
      </c>
      <c r="B838" s="20">
        <f t="shared" si="26"/>
        <v>2025</v>
      </c>
      <c r="C838" s="20">
        <f t="shared" si="27"/>
        <v>7</v>
      </c>
      <c r="D838" t="s">
        <v>2824</v>
      </c>
      <c r="E838" s="49">
        <v>1</v>
      </c>
      <c r="F838" t="s">
        <v>2825</v>
      </c>
      <c r="G838" t="s">
        <v>21</v>
      </c>
      <c r="H838" t="s">
        <v>76</v>
      </c>
      <c r="I838" s="13">
        <v>82000</v>
      </c>
      <c r="J838" s="13">
        <v>80000</v>
      </c>
      <c r="K838" s="13">
        <f>IF(J838&lt;'Mapa Oficinas'!$I$21,0,IF(J838&gt;'Mapa Oficinas'!$I$20,0,1))</f>
        <v>1</v>
      </c>
      <c r="L838" t="s">
        <v>23</v>
      </c>
      <c r="M838" t="s">
        <v>23</v>
      </c>
      <c r="N838" t="s">
        <v>2826</v>
      </c>
      <c r="O838" t="s">
        <v>2827</v>
      </c>
      <c r="P838" t="s">
        <v>45</v>
      </c>
      <c r="Q838">
        <v>2</v>
      </c>
      <c r="R838" t="s">
        <v>167</v>
      </c>
      <c r="S838" t="s">
        <v>28</v>
      </c>
      <c r="T838" t="str">
        <f>VLOOKUP(S838,'Mapa Oficinas'!$H$7:$I$16,2,FALSE)</f>
        <v>CB</v>
      </c>
      <c r="U838" t="s">
        <v>29</v>
      </c>
      <c r="V838" t="str">
        <f>VLOOKUP($R838,'Mapa Oficinas'!$A$7:$C$46,2,FALSE)</f>
        <v>Interior - Santa Fe</v>
      </c>
      <c r="W838" t="str">
        <f>VLOOKUP($R838,'Mapa Oficinas'!$A$7:$C$46,3,FALSE)</f>
        <v>Capital Santa Fe</v>
      </c>
    </row>
    <row r="839" spans="1:23" x14ac:dyDescent="0.2">
      <c r="A839" s="1">
        <v>45873</v>
      </c>
      <c r="B839" s="20">
        <f t="shared" si="26"/>
        <v>2025</v>
      </c>
      <c r="C839" s="20">
        <f t="shared" si="27"/>
        <v>8</v>
      </c>
      <c r="D839" t="s">
        <v>3391</v>
      </c>
      <c r="E839" s="49">
        <v>1</v>
      </c>
      <c r="F839" t="s">
        <v>3392</v>
      </c>
      <c r="G839" t="s">
        <v>21</v>
      </c>
      <c r="H839" t="s">
        <v>76</v>
      </c>
      <c r="I839" s="13">
        <v>80000</v>
      </c>
      <c r="J839" s="13">
        <v>80000</v>
      </c>
      <c r="K839" s="13">
        <f>IF(J839&lt;'Mapa Oficinas'!$I$21,0,IF(J839&gt;'Mapa Oficinas'!$I$20,0,1))</f>
        <v>1</v>
      </c>
      <c r="L839" t="s">
        <v>23</v>
      </c>
      <c r="M839" t="s">
        <v>23</v>
      </c>
      <c r="N839" t="s">
        <v>3393</v>
      </c>
      <c r="O839" t="s">
        <v>1239</v>
      </c>
      <c r="P839" t="s">
        <v>61</v>
      </c>
      <c r="Q839">
        <v>2</v>
      </c>
      <c r="R839" t="s">
        <v>130</v>
      </c>
      <c r="S839" t="s">
        <v>28</v>
      </c>
      <c r="T839" t="str">
        <f>VLOOKUP(S839,'Mapa Oficinas'!$H$7:$I$16,2,FALSE)</f>
        <v>CB</v>
      </c>
      <c r="U839" t="s">
        <v>29</v>
      </c>
      <c r="V839" t="str">
        <f>VLOOKUP($R839,'Mapa Oficinas'!$A$7:$C$46,2,FALSE)</f>
        <v>Interior - Neuquén</v>
      </c>
      <c r="W839" t="str">
        <f>VLOOKUP($R839,'Mapa Oficinas'!$A$7:$C$46,3,FALSE)</f>
        <v>San Martín de los Andes</v>
      </c>
    </row>
    <row r="840" spans="1:23" x14ac:dyDescent="0.2">
      <c r="A840" s="1">
        <v>45897</v>
      </c>
      <c r="B840" s="20">
        <f t="shared" si="26"/>
        <v>2025</v>
      </c>
      <c r="C840" s="20">
        <f t="shared" si="27"/>
        <v>8</v>
      </c>
      <c r="D840" t="s">
        <v>3818</v>
      </c>
      <c r="E840" s="49">
        <v>1</v>
      </c>
      <c r="F840" t="s">
        <v>3819</v>
      </c>
      <c r="G840" t="s">
        <v>21</v>
      </c>
      <c r="H840" t="s">
        <v>37</v>
      </c>
      <c r="I840" s="13">
        <v>98000</v>
      </c>
      <c r="J840" s="13">
        <v>80000</v>
      </c>
      <c r="K840" s="13">
        <f>IF(J840&lt;'Mapa Oficinas'!$I$21,0,IF(J840&gt;'Mapa Oficinas'!$I$20,0,1))</f>
        <v>1</v>
      </c>
      <c r="L840" t="s">
        <v>23</v>
      </c>
      <c r="M840" t="s">
        <v>23</v>
      </c>
      <c r="N840" t="s">
        <v>3820</v>
      </c>
      <c r="O840" t="s">
        <v>3821</v>
      </c>
      <c r="P840" t="s">
        <v>34</v>
      </c>
      <c r="Q840">
        <v>2</v>
      </c>
      <c r="R840" t="s">
        <v>46</v>
      </c>
      <c r="S840" t="s">
        <v>28</v>
      </c>
      <c r="T840" t="str">
        <f>VLOOKUP(S840,'Mapa Oficinas'!$H$7:$I$16,2,FALSE)</f>
        <v>CB</v>
      </c>
      <c r="U840" t="s">
        <v>29</v>
      </c>
      <c r="V840" t="str">
        <f>VLOOKUP($R840,'Mapa Oficinas'!$A$7:$C$46,2,FALSE)</f>
        <v>CABA</v>
      </c>
      <c r="W840" t="str">
        <f>VLOOKUP($R840,'Mapa Oficinas'!$A$7:$C$46,3,FALSE)</f>
        <v>Palermo</v>
      </c>
    </row>
    <row r="841" spans="1:23" x14ac:dyDescent="0.2">
      <c r="A841" s="1">
        <v>45931</v>
      </c>
      <c r="B841" s="20">
        <f t="shared" si="26"/>
        <v>2025</v>
      </c>
      <c r="C841" s="20">
        <f t="shared" si="27"/>
        <v>10</v>
      </c>
      <c r="D841" t="s">
        <v>4448</v>
      </c>
      <c r="E841" s="49">
        <v>1</v>
      </c>
      <c r="F841" t="s">
        <v>4449</v>
      </c>
      <c r="G841" t="s">
        <v>21</v>
      </c>
      <c r="H841" t="s">
        <v>37</v>
      </c>
      <c r="I841" s="13">
        <v>85000</v>
      </c>
      <c r="J841" s="13">
        <v>80000</v>
      </c>
      <c r="K841" s="13">
        <f>IF(J841&lt;'Mapa Oficinas'!$I$21,0,IF(J841&gt;'Mapa Oficinas'!$I$20,0,1))</f>
        <v>1</v>
      </c>
      <c r="L841" t="s">
        <v>23</v>
      </c>
      <c r="M841" t="s">
        <v>23</v>
      </c>
      <c r="N841" t="s">
        <v>4450</v>
      </c>
      <c r="O841" t="s">
        <v>380</v>
      </c>
      <c r="P841" t="s">
        <v>45</v>
      </c>
      <c r="Q841">
        <v>2</v>
      </c>
      <c r="R841" t="s">
        <v>495</v>
      </c>
      <c r="S841" t="s">
        <v>28</v>
      </c>
      <c r="T841" t="str">
        <f>VLOOKUP(S841,'Mapa Oficinas'!$H$7:$I$16,2,FALSE)</f>
        <v>CB</v>
      </c>
      <c r="U841" t="s">
        <v>29</v>
      </c>
      <c r="V841" t="str">
        <f>VLOOKUP($R841,'Mapa Oficinas'!$A$7:$C$46,2,FALSE)</f>
        <v>Zona Norte (GBA)</v>
      </c>
      <c r="W841" t="str">
        <f>VLOOKUP($R841,'Mapa Oficinas'!$A$7:$C$46,3,FALSE)</f>
        <v>Escobar</v>
      </c>
    </row>
    <row r="842" spans="1:23" x14ac:dyDescent="0.2">
      <c r="A842" s="1">
        <v>45992</v>
      </c>
      <c r="B842" s="20">
        <f t="shared" si="26"/>
        <v>2025</v>
      </c>
      <c r="C842" s="20">
        <f t="shared" si="27"/>
        <v>12</v>
      </c>
      <c r="D842" t="s">
        <v>5527</v>
      </c>
      <c r="E842" s="49">
        <v>1</v>
      </c>
      <c r="F842" t="s">
        <v>5528</v>
      </c>
      <c r="G842" t="s">
        <v>21</v>
      </c>
      <c r="H842" t="s">
        <v>37</v>
      </c>
      <c r="I842" s="13">
        <v>85000</v>
      </c>
      <c r="J842" s="13">
        <v>80000</v>
      </c>
      <c r="K842" s="13">
        <f>IF(J842&lt;'Mapa Oficinas'!$I$21,0,IF(J842&gt;'Mapa Oficinas'!$I$20,0,1))</f>
        <v>1</v>
      </c>
      <c r="L842" t="s">
        <v>23</v>
      </c>
      <c r="M842" t="s">
        <v>23</v>
      </c>
      <c r="N842" t="s">
        <v>5529</v>
      </c>
      <c r="O842" t="s">
        <v>5530</v>
      </c>
      <c r="P842" t="s">
        <v>45</v>
      </c>
      <c r="Q842">
        <v>2</v>
      </c>
      <c r="R842" t="s">
        <v>151</v>
      </c>
      <c r="S842" t="s">
        <v>28</v>
      </c>
      <c r="T842" t="str">
        <f>VLOOKUP(S842,'Mapa Oficinas'!$H$7:$I$16,2,FALSE)</f>
        <v>CB</v>
      </c>
      <c r="U842" t="s">
        <v>29</v>
      </c>
      <c r="V842" t="str">
        <f>VLOOKUP($R842,'Mapa Oficinas'!$A$7:$C$46,2,FALSE)</f>
        <v>Interior - Mendoza</v>
      </c>
      <c r="W842" t="str">
        <f>VLOOKUP($R842,'Mapa Oficinas'!$A$7:$C$46,3,FALSE)</f>
        <v>Capital Mendoza</v>
      </c>
    </row>
    <row r="843" spans="1:23" x14ac:dyDescent="0.2">
      <c r="A843" s="1">
        <v>45992</v>
      </c>
      <c r="B843" s="20">
        <f t="shared" si="26"/>
        <v>2025</v>
      </c>
      <c r="C843" s="20">
        <f t="shared" si="27"/>
        <v>12</v>
      </c>
      <c r="D843" t="s">
        <v>5531</v>
      </c>
      <c r="E843" s="49">
        <v>1</v>
      </c>
      <c r="F843" t="s">
        <v>5532</v>
      </c>
      <c r="G843" t="s">
        <v>21</v>
      </c>
      <c r="H843" t="s">
        <v>90</v>
      </c>
      <c r="I843" s="13">
        <v>109900</v>
      </c>
      <c r="J843" s="13">
        <v>80000</v>
      </c>
      <c r="K843" s="13">
        <f>IF(J843&lt;'Mapa Oficinas'!$I$21,0,IF(J843&gt;'Mapa Oficinas'!$I$20,0,1))</f>
        <v>1</v>
      </c>
      <c r="L843" t="s">
        <v>23</v>
      </c>
      <c r="M843" t="s">
        <v>23</v>
      </c>
      <c r="N843" t="s">
        <v>5533</v>
      </c>
      <c r="O843" t="s">
        <v>1869</v>
      </c>
      <c r="P843" t="s">
        <v>61</v>
      </c>
      <c r="Q843">
        <v>2</v>
      </c>
      <c r="R843" t="s">
        <v>62</v>
      </c>
      <c r="S843" t="s">
        <v>28</v>
      </c>
      <c r="T843" t="str">
        <f>VLOOKUP(S843,'Mapa Oficinas'!$H$7:$I$16,2,FALSE)</f>
        <v>CB</v>
      </c>
      <c r="U843" t="s">
        <v>29</v>
      </c>
      <c r="V843" t="str">
        <f>VLOOKUP($R843,'Mapa Oficinas'!$A$7:$C$46,2,FALSE)</f>
        <v>CABA</v>
      </c>
      <c r="W843" t="str">
        <f>VLOOKUP($R843,'Mapa Oficinas'!$A$7:$C$46,3,FALSE)</f>
        <v>Villa Urquiza</v>
      </c>
    </row>
    <row r="844" spans="1:23" x14ac:dyDescent="0.2">
      <c r="A844" s="1">
        <v>46008</v>
      </c>
      <c r="B844" s="20">
        <f t="shared" si="26"/>
        <v>2025</v>
      </c>
      <c r="C844" s="20">
        <f t="shared" si="27"/>
        <v>12</v>
      </c>
      <c r="D844" t="s">
        <v>5837</v>
      </c>
      <c r="E844" s="49">
        <v>1</v>
      </c>
      <c r="F844" t="s">
        <v>5838</v>
      </c>
      <c r="G844" t="s">
        <v>21</v>
      </c>
      <c r="H844" t="s">
        <v>37</v>
      </c>
      <c r="I844" s="13">
        <v>99900</v>
      </c>
      <c r="J844" s="13">
        <v>80000</v>
      </c>
      <c r="K844" s="13">
        <f>IF(J844&lt;'Mapa Oficinas'!$I$21,0,IF(J844&gt;'Mapa Oficinas'!$I$20,0,1))</f>
        <v>1</v>
      </c>
      <c r="L844" t="s">
        <v>23</v>
      </c>
      <c r="M844" t="s">
        <v>23</v>
      </c>
      <c r="N844" t="s">
        <v>5839</v>
      </c>
      <c r="O844" t="s">
        <v>92</v>
      </c>
      <c r="P844" t="s">
        <v>45</v>
      </c>
      <c r="Q844">
        <v>2</v>
      </c>
      <c r="R844" t="s">
        <v>56</v>
      </c>
      <c r="S844" t="s">
        <v>28</v>
      </c>
      <c r="T844" t="str">
        <f>VLOOKUP(S844,'Mapa Oficinas'!$H$7:$I$16,2,FALSE)</f>
        <v>CB</v>
      </c>
      <c r="U844" t="s">
        <v>29</v>
      </c>
      <c r="V844" t="str">
        <f>VLOOKUP($R844,'Mapa Oficinas'!$A$7:$C$46,2,FALSE)</f>
        <v>Zona Norte (GBA)</v>
      </c>
      <c r="W844" t="str">
        <f>VLOOKUP($R844,'Mapa Oficinas'!$A$7:$C$46,3,FALSE)</f>
        <v>Vicente López</v>
      </c>
    </row>
    <row r="845" spans="1:23" x14ac:dyDescent="0.2">
      <c r="A845" s="1">
        <v>46042</v>
      </c>
      <c r="B845" s="20">
        <f t="shared" si="26"/>
        <v>2026</v>
      </c>
      <c r="C845" s="20">
        <f t="shared" si="27"/>
        <v>1</v>
      </c>
      <c r="D845" t="s">
        <v>6316</v>
      </c>
      <c r="E845" s="49">
        <v>1</v>
      </c>
      <c r="F845" t="s">
        <v>6317</v>
      </c>
      <c r="G845" t="s">
        <v>21</v>
      </c>
      <c r="H845" t="s">
        <v>37</v>
      </c>
      <c r="I845" s="13">
        <v>105000</v>
      </c>
      <c r="J845" s="13">
        <v>80000</v>
      </c>
      <c r="K845" s="13">
        <f>IF(J845&lt;'Mapa Oficinas'!$I$21,0,IF(J845&gt;'Mapa Oficinas'!$I$20,0,1))</f>
        <v>1</v>
      </c>
      <c r="L845" t="s">
        <v>23</v>
      </c>
      <c r="M845" t="s">
        <v>23</v>
      </c>
      <c r="N845" t="s">
        <v>6318</v>
      </c>
      <c r="O845" t="s">
        <v>6319</v>
      </c>
      <c r="P845" t="s">
        <v>26</v>
      </c>
      <c r="Q845">
        <v>2</v>
      </c>
      <c r="R845" t="s">
        <v>110</v>
      </c>
      <c r="S845" t="s">
        <v>28</v>
      </c>
      <c r="T845" t="str">
        <f>VLOOKUP(S845,'Mapa Oficinas'!$H$7:$I$16,2,FALSE)</f>
        <v>CB</v>
      </c>
      <c r="U845" t="s">
        <v>29</v>
      </c>
      <c r="V845" t="str">
        <f>VLOOKUP($R845,'Mapa Oficinas'!$A$7:$C$46,2,FALSE)</f>
        <v>Zona Norte (GBA)</v>
      </c>
      <c r="W845" t="str">
        <f>VLOOKUP($R845,'Mapa Oficinas'!$A$7:$C$46,3,FALSE)</f>
        <v>Nordelta</v>
      </c>
    </row>
    <row r="846" spans="1:23" x14ac:dyDescent="0.2">
      <c r="A846" s="1">
        <v>46050</v>
      </c>
      <c r="B846" s="20">
        <f t="shared" si="26"/>
        <v>2026</v>
      </c>
      <c r="C846" s="20">
        <f t="shared" si="27"/>
        <v>1</v>
      </c>
      <c r="D846" t="s">
        <v>6431</v>
      </c>
      <c r="E846" s="49">
        <v>1</v>
      </c>
      <c r="F846" t="s">
        <v>6432</v>
      </c>
      <c r="G846" t="s">
        <v>21</v>
      </c>
      <c r="H846" t="s">
        <v>863</v>
      </c>
      <c r="I846" s="13">
        <v>120000</v>
      </c>
      <c r="J846" s="13">
        <v>80000</v>
      </c>
      <c r="K846" s="13">
        <f>IF(J846&lt;'Mapa Oficinas'!$I$21,0,IF(J846&gt;'Mapa Oficinas'!$I$20,0,1))</f>
        <v>1</v>
      </c>
      <c r="L846" t="s">
        <v>23</v>
      </c>
      <c r="M846" t="s">
        <v>23</v>
      </c>
      <c r="N846" t="s">
        <v>6433</v>
      </c>
      <c r="O846" t="s">
        <v>6434</v>
      </c>
      <c r="P846" t="s">
        <v>34</v>
      </c>
      <c r="Q846">
        <v>2</v>
      </c>
      <c r="R846" t="s">
        <v>2003</v>
      </c>
      <c r="S846" t="s">
        <v>28</v>
      </c>
      <c r="T846" t="str">
        <f>VLOOKUP(S846,'Mapa Oficinas'!$H$7:$I$16,2,FALSE)</f>
        <v>CB</v>
      </c>
      <c r="U846" t="s">
        <v>29</v>
      </c>
      <c r="V846" t="str">
        <f>VLOOKUP($R846,'Mapa Oficinas'!$A$7:$C$46,2,FALSE)</f>
        <v>Interior - Mendoza</v>
      </c>
      <c r="W846" t="str">
        <f>VLOOKUP($R846,'Mapa Oficinas'!$A$7:$C$46,3,FALSE)</f>
        <v>San Rafael</v>
      </c>
    </row>
    <row r="847" spans="1:23" x14ac:dyDescent="0.2">
      <c r="A847" s="1">
        <v>46087</v>
      </c>
      <c r="B847" s="20">
        <f t="shared" si="26"/>
        <v>2026</v>
      </c>
      <c r="C847" s="20">
        <f t="shared" si="27"/>
        <v>3</v>
      </c>
      <c r="D847" t="s">
        <v>6990</v>
      </c>
      <c r="E847" s="49">
        <v>1</v>
      </c>
      <c r="F847" t="s">
        <v>6991</v>
      </c>
      <c r="G847" t="s">
        <v>21</v>
      </c>
      <c r="H847" t="s">
        <v>37</v>
      </c>
      <c r="I847" s="13">
        <v>98000</v>
      </c>
      <c r="J847" s="13">
        <v>80000</v>
      </c>
      <c r="K847" s="13">
        <f>IF(J847&lt;'Mapa Oficinas'!$I$21,0,IF(J847&gt;'Mapa Oficinas'!$I$20,0,1))</f>
        <v>1</v>
      </c>
      <c r="L847" t="s">
        <v>23</v>
      </c>
      <c r="M847" t="s">
        <v>23</v>
      </c>
      <c r="N847" t="s">
        <v>6992</v>
      </c>
      <c r="O847" t="s">
        <v>50</v>
      </c>
      <c r="P847" t="s">
        <v>45</v>
      </c>
      <c r="Q847">
        <v>2</v>
      </c>
      <c r="R847" t="s">
        <v>135</v>
      </c>
      <c r="S847" t="s">
        <v>28</v>
      </c>
      <c r="T847" t="str">
        <f>VLOOKUP(S847,'Mapa Oficinas'!$H$7:$I$16,2,FALSE)</f>
        <v>CB</v>
      </c>
      <c r="U847" t="s">
        <v>29</v>
      </c>
      <c r="V847" t="str">
        <f>VLOOKUP($R847,'Mapa Oficinas'!$A$7:$C$46,2,FALSE)</f>
        <v>CABA</v>
      </c>
      <c r="W847" t="str">
        <f>VLOOKUP($R847,'Mapa Oficinas'!$A$7:$C$46,3,FALSE)</f>
        <v>Recoleta</v>
      </c>
    </row>
    <row r="848" spans="1:23" x14ac:dyDescent="0.2">
      <c r="A848" s="1">
        <v>46099</v>
      </c>
      <c r="B848" s="20">
        <f t="shared" si="26"/>
        <v>2026</v>
      </c>
      <c r="C848" s="20">
        <f t="shared" si="27"/>
        <v>3</v>
      </c>
      <c r="D848" t="s">
        <v>7265</v>
      </c>
      <c r="E848" s="49">
        <v>1</v>
      </c>
      <c r="F848" t="s">
        <v>7266</v>
      </c>
      <c r="G848" t="s">
        <v>21</v>
      </c>
      <c r="H848" t="s">
        <v>37</v>
      </c>
      <c r="I848" s="13">
        <v>80000</v>
      </c>
      <c r="J848" s="13">
        <v>80000</v>
      </c>
      <c r="K848" s="13">
        <f>IF(J848&lt;'Mapa Oficinas'!$I$21,0,IF(J848&gt;'Mapa Oficinas'!$I$20,0,1))</f>
        <v>1</v>
      </c>
      <c r="L848" t="s">
        <v>23</v>
      </c>
      <c r="M848" t="s">
        <v>23</v>
      </c>
      <c r="N848" t="s">
        <v>2690</v>
      </c>
      <c r="O848" t="s">
        <v>2691</v>
      </c>
      <c r="P848" t="s">
        <v>26</v>
      </c>
      <c r="Q848">
        <v>2</v>
      </c>
      <c r="R848" t="s">
        <v>183</v>
      </c>
      <c r="S848" t="s">
        <v>28</v>
      </c>
      <c r="T848" t="str">
        <f>VLOOKUP(S848,'Mapa Oficinas'!$H$7:$I$16,2,FALSE)</f>
        <v>CB</v>
      </c>
      <c r="U848" t="s">
        <v>29</v>
      </c>
      <c r="V848" t="str">
        <f>VLOOKUP($R848,'Mapa Oficinas'!$A$7:$C$46,2,FALSE)</f>
        <v>Interior - Neuquén</v>
      </c>
      <c r="W848" t="str">
        <f>VLOOKUP($R848,'Mapa Oficinas'!$A$7:$C$46,3,FALSE)</f>
        <v>Capital Neuquén</v>
      </c>
    </row>
    <row r="849" spans="1:23" x14ac:dyDescent="0.2">
      <c r="A849" s="1">
        <v>46100</v>
      </c>
      <c r="B849" s="20">
        <f t="shared" si="26"/>
        <v>2026</v>
      </c>
      <c r="C849" s="20">
        <f t="shared" si="27"/>
        <v>3</v>
      </c>
      <c r="D849" t="s">
        <v>7295</v>
      </c>
      <c r="E849" s="49">
        <v>1</v>
      </c>
      <c r="F849" t="s">
        <v>7296</v>
      </c>
      <c r="G849" t="s">
        <v>21</v>
      </c>
      <c r="H849" t="s">
        <v>37</v>
      </c>
      <c r="I849" s="13">
        <v>83500</v>
      </c>
      <c r="J849" s="13">
        <v>80000</v>
      </c>
      <c r="K849" s="13">
        <f>IF(J849&lt;'Mapa Oficinas'!$I$21,0,IF(J849&gt;'Mapa Oficinas'!$I$20,0,1))</f>
        <v>1</v>
      </c>
      <c r="L849" t="s">
        <v>23</v>
      </c>
      <c r="M849" t="s">
        <v>23</v>
      </c>
      <c r="N849" t="s">
        <v>7297</v>
      </c>
      <c r="O849" t="s">
        <v>470</v>
      </c>
      <c r="P849" t="s">
        <v>45</v>
      </c>
      <c r="Q849">
        <v>2</v>
      </c>
      <c r="R849" t="s">
        <v>67</v>
      </c>
      <c r="S849" t="s">
        <v>28</v>
      </c>
      <c r="T849" t="str">
        <f>VLOOKUP(S849,'Mapa Oficinas'!$H$7:$I$16,2,FALSE)</f>
        <v>CB</v>
      </c>
      <c r="U849" t="s">
        <v>29</v>
      </c>
      <c r="V849" t="str">
        <f>VLOOKUP($R849,'Mapa Oficinas'!$A$7:$C$46,2,FALSE)</f>
        <v>CABA</v>
      </c>
      <c r="W849" t="str">
        <f>VLOOKUP($R849,'Mapa Oficinas'!$A$7:$C$46,3,FALSE)</f>
        <v>Barrio Parque</v>
      </c>
    </row>
    <row r="850" spans="1:23" x14ac:dyDescent="0.2">
      <c r="A850" s="1">
        <v>45747</v>
      </c>
      <c r="B850" s="20">
        <f t="shared" si="26"/>
        <v>2025</v>
      </c>
      <c r="C850" s="20">
        <f t="shared" si="27"/>
        <v>3</v>
      </c>
      <c r="D850" t="s">
        <v>1201</v>
      </c>
      <c r="E850" s="49">
        <v>1</v>
      </c>
      <c r="F850" t="s">
        <v>1202</v>
      </c>
      <c r="G850" t="s">
        <v>21</v>
      </c>
      <c r="H850" t="s">
        <v>37</v>
      </c>
      <c r="I850" s="13">
        <v>82000</v>
      </c>
      <c r="J850" s="13">
        <v>80500</v>
      </c>
      <c r="K850" s="13">
        <f>IF(J850&lt;'Mapa Oficinas'!$I$21,0,IF(J850&gt;'Mapa Oficinas'!$I$20,0,1))</f>
        <v>1</v>
      </c>
      <c r="L850" t="s">
        <v>23</v>
      </c>
      <c r="M850" t="s">
        <v>23</v>
      </c>
      <c r="N850" t="s">
        <v>91</v>
      </c>
      <c r="O850" t="s">
        <v>92</v>
      </c>
      <c r="P850" t="s">
        <v>45</v>
      </c>
      <c r="Q850">
        <v>2</v>
      </c>
      <c r="R850" t="s">
        <v>62</v>
      </c>
      <c r="S850" t="s">
        <v>28</v>
      </c>
      <c r="T850" t="str">
        <f>VLOOKUP(S850,'Mapa Oficinas'!$H$7:$I$16,2,FALSE)</f>
        <v>CB</v>
      </c>
      <c r="U850" t="s">
        <v>29</v>
      </c>
      <c r="V850" t="str">
        <f>VLOOKUP($R850,'Mapa Oficinas'!$A$7:$C$46,2,FALSE)</f>
        <v>CABA</v>
      </c>
      <c r="W850" t="str">
        <f>VLOOKUP($R850,'Mapa Oficinas'!$A$7:$C$46,3,FALSE)</f>
        <v>Villa Urquiza</v>
      </c>
    </row>
    <row r="851" spans="1:23" x14ac:dyDescent="0.2">
      <c r="A851" s="1">
        <v>45973</v>
      </c>
      <c r="B851" s="20">
        <f t="shared" si="26"/>
        <v>2025</v>
      </c>
      <c r="C851" s="20">
        <f t="shared" si="27"/>
        <v>11</v>
      </c>
      <c r="D851" t="s">
        <v>5158</v>
      </c>
      <c r="E851" s="49">
        <v>1</v>
      </c>
      <c r="F851" t="s">
        <v>5159</v>
      </c>
      <c r="G851" t="s">
        <v>21</v>
      </c>
      <c r="H851" t="s">
        <v>37</v>
      </c>
      <c r="I851" s="13">
        <v>90000</v>
      </c>
      <c r="J851" s="13">
        <v>81000</v>
      </c>
      <c r="K851" s="13">
        <f>IF(J851&lt;'Mapa Oficinas'!$I$21,0,IF(J851&gt;'Mapa Oficinas'!$I$20,0,1))</f>
        <v>1</v>
      </c>
      <c r="L851" t="s">
        <v>23</v>
      </c>
      <c r="M851" t="s">
        <v>23</v>
      </c>
      <c r="N851" t="s">
        <v>5160</v>
      </c>
      <c r="O851" t="s">
        <v>2852</v>
      </c>
      <c r="P851" t="s">
        <v>34</v>
      </c>
      <c r="Q851">
        <v>2</v>
      </c>
      <c r="R851" t="s">
        <v>2003</v>
      </c>
      <c r="S851" t="s">
        <v>79</v>
      </c>
      <c r="T851" t="str">
        <f>VLOOKUP(S851,'Mapa Oficinas'!$H$7:$I$16,2,FALSE)</f>
        <v>CB</v>
      </c>
      <c r="U851" t="s">
        <v>29</v>
      </c>
      <c r="V851" t="str">
        <f>VLOOKUP($R851,'Mapa Oficinas'!$A$7:$C$46,2,FALSE)</f>
        <v>Interior - Mendoza</v>
      </c>
      <c r="W851" t="str">
        <f>VLOOKUP($R851,'Mapa Oficinas'!$A$7:$C$46,3,FALSE)</f>
        <v>San Rafael</v>
      </c>
    </row>
    <row r="852" spans="1:23" x14ac:dyDescent="0.2">
      <c r="A852" s="1">
        <v>46098</v>
      </c>
      <c r="B852" s="20">
        <f t="shared" si="26"/>
        <v>2026</v>
      </c>
      <c r="C852" s="20">
        <f t="shared" si="27"/>
        <v>3</v>
      </c>
      <c r="D852" t="s">
        <v>7238</v>
      </c>
      <c r="E852" s="49">
        <v>3</v>
      </c>
      <c r="F852" t="s">
        <v>7239</v>
      </c>
      <c r="G852" t="s">
        <v>21</v>
      </c>
      <c r="H852" t="s">
        <v>76</v>
      </c>
      <c r="I852" s="13">
        <v>82000</v>
      </c>
      <c r="J852" s="13">
        <v>81000</v>
      </c>
      <c r="K852" s="13">
        <f>IF(J852&lt;'Mapa Oficinas'!$I$21,0,IF(J852&gt;'Mapa Oficinas'!$I$20,0,1))</f>
        <v>1</v>
      </c>
      <c r="L852" t="s">
        <v>23</v>
      </c>
      <c r="M852" t="s">
        <v>23</v>
      </c>
      <c r="N852" t="s">
        <v>7240</v>
      </c>
      <c r="O852" t="s">
        <v>231</v>
      </c>
      <c r="P852" t="s">
        <v>14</v>
      </c>
      <c r="Q852">
        <v>2</v>
      </c>
      <c r="R852" t="s">
        <v>257</v>
      </c>
      <c r="S852" t="s">
        <v>241</v>
      </c>
      <c r="T852" t="str">
        <f>VLOOKUP(S852,'Mapa Oficinas'!$H$7:$I$16,2,FALSE)</f>
        <v>CB</v>
      </c>
      <c r="U852" t="s">
        <v>29</v>
      </c>
      <c r="V852" t="str">
        <f>VLOOKUP($R852,'Mapa Oficinas'!$A$7:$C$46,2,FALSE)</f>
        <v>Zona Norte (GBA)</v>
      </c>
      <c r="W852" t="str">
        <f>VLOOKUP($R852,'Mapa Oficinas'!$A$7:$C$46,3,FALSE)</f>
        <v>Pilar</v>
      </c>
    </row>
    <row r="853" spans="1:23" x14ac:dyDescent="0.2">
      <c r="A853" s="1">
        <v>46049</v>
      </c>
      <c r="B853" s="20">
        <f t="shared" si="26"/>
        <v>2026</v>
      </c>
      <c r="C853" s="20">
        <f t="shared" si="27"/>
        <v>1</v>
      </c>
      <c r="D853" t="s">
        <v>6407</v>
      </c>
      <c r="E853" s="49">
        <v>1</v>
      </c>
      <c r="F853" t="s">
        <v>6408</v>
      </c>
      <c r="G853" t="s">
        <v>21</v>
      </c>
      <c r="H853" t="s">
        <v>37</v>
      </c>
      <c r="I853" s="13">
        <v>85000</v>
      </c>
      <c r="J853" s="13">
        <v>81000</v>
      </c>
      <c r="K853" s="13">
        <f>IF(J853&lt;'Mapa Oficinas'!$I$21,0,IF(J853&gt;'Mapa Oficinas'!$I$20,0,1))</f>
        <v>1</v>
      </c>
      <c r="L853" t="s">
        <v>23</v>
      </c>
      <c r="M853" t="s">
        <v>23</v>
      </c>
      <c r="N853" t="s">
        <v>6409</v>
      </c>
      <c r="O853" t="s">
        <v>66</v>
      </c>
      <c r="P853" t="s">
        <v>45</v>
      </c>
      <c r="Q853">
        <v>2</v>
      </c>
      <c r="R853" t="s">
        <v>670</v>
      </c>
      <c r="S853" t="s">
        <v>200</v>
      </c>
      <c r="T853" t="str">
        <f>VLOOKUP(S853,'Mapa Oficinas'!$H$7:$I$16,2,FALSE)</f>
        <v>Otra Red Captación</v>
      </c>
      <c r="U853" t="s">
        <v>29</v>
      </c>
      <c r="V853" t="str">
        <f>VLOOKUP($R853,'Mapa Oficinas'!$A$7:$C$46,2,FALSE)</f>
        <v>CABA</v>
      </c>
      <c r="W853" t="str">
        <f>VLOOKUP($R853,'Mapa Oficinas'!$A$7:$C$46,3,FALSE)</f>
        <v>Recoleta</v>
      </c>
    </row>
    <row r="854" spans="1:23" x14ac:dyDescent="0.2">
      <c r="A854" s="1">
        <v>46064</v>
      </c>
      <c r="B854" s="20">
        <f t="shared" si="26"/>
        <v>2026</v>
      </c>
      <c r="C854" s="20">
        <f t="shared" si="27"/>
        <v>2</v>
      </c>
      <c r="D854" t="s">
        <v>6646</v>
      </c>
      <c r="E854" s="49">
        <v>1</v>
      </c>
      <c r="F854" t="s">
        <v>6647</v>
      </c>
      <c r="G854" t="s">
        <v>21</v>
      </c>
      <c r="H854" t="s">
        <v>37</v>
      </c>
      <c r="I854" s="13">
        <v>84000</v>
      </c>
      <c r="J854" s="13">
        <v>81000</v>
      </c>
      <c r="K854" s="13">
        <f>IF(J854&lt;'Mapa Oficinas'!$I$21,0,IF(J854&gt;'Mapa Oficinas'!$I$20,0,1))</f>
        <v>1</v>
      </c>
      <c r="L854" t="s">
        <v>23</v>
      </c>
      <c r="M854" t="s">
        <v>23</v>
      </c>
      <c r="N854" t="s">
        <v>6648</v>
      </c>
      <c r="O854" t="s">
        <v>141</v>
      </c>
      <c r="P854" t="s">
        <v>45</v>
      </c>
      <c r="Q854">
        <v>2</v>
      </c>
      <c r="R854" t="s">
        <v>135</v>
      </c>
      <c r="S854" t="s">
        <v>200</v>
      </c>
      <c r="T854" t="str">
        <f>VLOOKUP(S854,'Mapa Oficinas'!$H$7:$I$16,2,FALSE)</f>
        <v>Otra Red Captación</v>
      </c>
      <c r="U854" t="s">
        <v>29</v>
      </c>
      <c r="V854" t="str">
        <f>VLOOKUP($R854,'Mapa Oficinas'!$A$7:$C$46,2,FALSE)</f>
        <v>CABA</v>
      </c>
      <c r="W854" t="str">
        <f>VLOOKUP($R854,'Mapa Oficinas'!$A$7:$C$46,3,FALSE)</f>
        <v>Recoleta</v>
      </c>
    </row>
    <row r="855" spans="1:23" x14ac:dyDescent="0.2">
      <c r="A855" s="1">
        <v>46030</v>
      </c>
      <c r="B855" s="20">
        <f t="shared" si="26"/>
        <v>2026</v>
      </c>
      <c r="C855" s="20">
        <f t="shared" si="27"/>
        <v>1</v>
      </c>
      <c r="D855" t="s">
        <v>6134</v>
      </c>
      <c r="E855" s="49">
        <v>1</v>
      </c>
      <c r="F855" t="s">
        <v>6135</v>
      </c>
      <c r="G855" t="s">
        <v>21</v>
      </c>
      <c r="H855" t="s">
        <v>37</v>
      </c>
      <c r="I855" s="13">
        <v>83000</v>
      </c>
      <c r="J855" s="13">
        <v>81000</v>
      </c>
      <c r="K855" s="13">
        <f>IF(J855&lt;'Mapa Oficinas'!$I$21,0,IF(J855&gt;'Mapa Oficinas'!$I$20,0,1))</f>
        <v>1</v>
      </c>
      <c r="L855" t="s">
        <v>23</v>
      </c>
      <c r="M855" t="s">
        <v>23</v>
      </c>
      <c r="N855" t="s">
        <v>3385</v>
      </c>
      <c r="O855" t="s">
        <v>519</v>
      </c>
      <c r="P855" t="s">
        <v>45</v>
      </c>
      <c r="Q855">
        <v>2</v>
      </c>
      <c r="R855" t="s">
        <v>67</v>
      </c>
      <c r="S855" t="s">
        <v>28</v>
      </c>
      <c r="T855" t="str">
        <f>VLOOKUP(S855,'Mapa Oficinas'!$H$7:$I$16,2,FALSE)</f>
        <v>CB</v>
      </c>
      <c r="U855" t="s">
        <v>29</v>
      </c>
      <c r="V855" t="str">
        <f>VLOOKUP($R855,'Mapa Oficinas'!$A$7:$C$46,2,FALSE)</f>
        <v>CABA</v>
      </c>
      <c r="W855" t="str">
        <f>VLOOKUP($R855,'Mapa Oficinas'!$A$7:$C$46,3,FALSE)</f>
        <v>Barrio Parque</v>
      </c>
    </row>
    <row r="856" spans="1:23" x14ac:dyDescent="0.2">
      <c r="A856" s="1">
        <v>46097</v>
      </c>
      <c r="B856" s="20">
        <f t="shared" si="26"/>
        <v>2026</v>
      </c>
      <c r="C856" s="20">
        <f t="shared" si="27"/>
        <v>3</v>
      </c>
      <c r="D856" t="s">
        <v>7202</v>
      </c>
      <c r="E856" s="49">
        <v>1</v>
      </c>
      <c r="F856" t="s">
        <v>7203</v>
      </c>
      <c r="G856" t="s">
        <v>21</v>
      </c>
      <c r="H856" t="s">
        <v>37</v>
      </c>
      <c r="I856" s="13">
        <v>84000</v>
      </c>
      <c r="J856" s="13">
        <v>81000</v>
      </c>
      <c r="K856" s="13">
        <f>IF(J856&lt;'Mapa Oficinas'!$I$21,0,IF(J856&gt;'Mapa Oficinas'!$I$20,0,1))</f>
        <v>1</v>
      </c>
      <c r="L856" t="s">
        <v>23</v>
      </c>
      <c r="M856" t="s">
        <v>23</v>
      </c>
      <c r="N856" t="s">
        <v>7204</v>
      </c>
      <c r="O856" t="s">
        <v>105</v>
      </c>
      <c r="P856" t="s">
        <v>45</v>
      </c>
      <c r="Q856">
        <v>2</v>
      </c>
      <c r="R856" t="s">
        <v>67</v>
      </c>
      <c r="S856" t="s">
        <v>28</v>
      </c>
      <c r="T856" t="str">
        <f>VLOOKUP(S856,'Mapa Oficinas'!$H$7:$I$16,2,FALSE)</f>
        <v>CB</v>
      </c>
      <c r="U856" t="s">
        <v>29</v>
      </c>
      <c r="V856" t="str">
        <f>VLOOKUP($R856,'Mapa Oficinas'!$A$7:$C$46,2,FALSE)</f>
        <v>CABA</v>
      </c>
      <c r="W856" t="str">
        <f>VLOOKUP($R856,'Mapa Oficinas'!$A$7:$C$46,3,FALSE)</f>
        <v>Barrio Parque</v>
      </c>
    </row>
    <row r="857" spans="1:23" x14ac:dyDescent="0.2">
      <c r="A857" s="1">
        <v>45860</v>
      </c>
      <c r="B857" s="20">
        <f t="shared" si="26"/>
        <v>2025</v>
      </c>
      <c r="C857" s="20">
        <f t="shared" si="27"/>
        <v>7</v>
      </c>
      <c r="D857" t="s">
        <v>3148</v>
      </c>
      <c r="E857" s="49">
        <v>1</v>
      </c>
      <c r="F857" t="s">
        <v>3149</v>
      </c>
      <c r="G857" t="s">
        <v>21</v>
      </c>
      <c r="H857" t="s">
        <v>37</v>
      </c>
      <c r="I857" s="13">
        <v>63663</v>
      </c>
      <c r="J857" s="13">
        <v>81233</v>
      </c>
      <c r="K857" s="13">
        <f>IF(J857&lt;'Mapa Oficinas'!$I$21,0,IF(J857&gt;'Mapa Oficinas'!$I$20,0,1))</f>
        <v>1</v>
      </c>
      <c r="L857" t="s">
        <v>23</v>
      </c>
      <c r="M857" t="s">
        <v>23</v>
      </c>
      <c r="N857" t="s">
        <v>3150</v>
      </c>
      <c r="O857" t="s">
        <v>1309</v>
      </c>
      <c r="P857" t="s">
        <v>26</v>
      </c>
      <c r="Q857">
        <v>2</v>
      </c>
      <c r="R857" t="s">
        <v>110</v>
      </c>
      <c r="S857" t="s">
        <v>200</v>
      </c>
      <c r="T857" t="str">
        <f>VLOOKUP(S857,'Mapa Oficinas'!$H$7:$I$16,2,FALSE)</f>
        <v>Otra Red Captación</v>
      </c>
      <c r="U857" t="s">
        <v>29</v>
      </c>
      <c r="V857" t="str">
        <f>VLOOKUP($R857,'Mapa Oficinas'!$A$7:$C$46,2,FALSE)</f>
        <v>Zona Norte (GBA)</v>
      </c>
      <c r="W857" t="str">
        <f>VLOOKUP($R857,'Mapa Oficinas'!$A$7:$C$46,3,FALSE)</f>
        <v>Nordelta</v>
      </c>
    </row>
    <row r="858" spans="1:23" x14ac:dyDescent="0.2">
      <c r="A858" s="1">
        <v>45722</v>
      </c>
      <c r="B858" s="20">
        <f t="shared" si="26"/>
        <v>2025</v>
      </c>
      <c r="C858" s="20">
        <f t="shared" si="27"/>
        <v>3</v>
      </c>
      <c r="D858" t="s">
        <v>854</v>
      </c>
      <c r="E858" s="49">
        <v>1</v>
      </c>
      <c r="F858" t="s">
        <v>855</v>
      </c>
      <c r="G858" t="s">
        <v>21</v>
      </c>
      <c r="H858" t="s">
        <v>230</v>
      </c>
      <c r="I858" s="13">
        <v>95000</v>
      </c>
      <c r="J858" s="13">
        <v>81500</v>
      </c>
      <c r="K858" s="13">
        <f>IF(J858&lt;'Mapa Oficinas'!$I$21,0,IF(J858&gt;'Mapa Oficinas'!$I$20,0,1))</f>
        <v>1</v>
      </c>
      <c r="L858" t="s">
        <v>23</v>
      </c>
      <c r="M858" t="s">
        <v>23</v>
      </c>
      <c r="N858" t="s">
        <v>856</v>
      </c>
      <c r="O858" t="s">
        <v>72</v>
      </c>
      <c r="P858" t="s">
        <v>34</v>
      </c>
      <c r="Q858">
        <v>2</v>
      </c>
      <c r="R858" t="s">
        <v>73</v>
      </c>
      <c r="S858" t="s">
        <v>28</v>
      </c>
      <c r="T858" t="str">
        <f>VLOOKUP(S858,'Mapa Oficinas'!$H$7:$I$16,2,FALSE)</f>
        <v>CB</v>
      </c>
      <c r="U858" t="s">
        <v>29</v>
      </c>
      <c r="V858" t="str">
        <f>VLOOKUP($R858,'Mapa Oficinas'!$A$7:$C$46,2,FALSE)</f>
        <v>Interior - Salta</v>
      </c>
      <c r="W858" t="str">
        <f>VLOOKUP($R858,'Mapa Oficinas'!$A$7:$C$46,3,FALSE)</f>
        <v>San Lorenzo Chico</v>
      </c>
    </row>
    <row r="859" spans="1:23" x14ac:dyDescent="0.2">
      <c r="A859" s="1">
        <v>46042</v>
      </c>
      <c r="B859" s="20">
        <f t="shared" si="26"/>
        <v>2026</v>
      </c>
      <c r="C859" s="20">
        <f t="shared" si="27"/>
        <v>1</v>
      </c>
      <c r="D859" t="s">
        <v>6320</v>
      </c>
      <c r="E859" s="49">
        <v>1</v>
      </c>
      <c r="F859" t="s">
        <v>6321</v>
      </c>
      <c r="G859" t="s">
        <v>21</v>
      </c>
      <c r="H859" t="s">
        <v>76</v>
      </c>
      <c r="I859" s="13">
        <v>60000</v>
      </c>
      <c r="J859" s="13">
        <v>81500</v>
      </c>
      <c r="K859" s="13">
        <f>IF(J859&lt;'Mapa Oficinas'!$I$21,0,IF(J859&gt;'Mapa Oficinas'!$I$20,0,1))</f>
        <v>1</v>
      </c>
      <c r="L859" t="s">
        <v>23</v>
      </c>
      <c r="M859" t="s">
        <v>23</v>
      </c>
      <c r="N859" t="s">
        <v>6322</v>
      </c>
      <c r="O859" t="s">
        <v>60</v>
      </c>
      <c r="P859" t="s">
        <v>45</v>
      </c>
      <c r="Q859">
        <v>2</v>
      </c>
      <c r="R859" t="s">
        <v>5456</v>
      </c>
      <c r="S859" t="s">
        <v>28</v>
      </c>
      <c r="T859" t="str">
        <f>VLOOKUP(S859,'Mapa Oficinas'!$H$7:$I$16,2,FALSE)</f>
        <v>CB</v>
      </c>
      <c r="U859" t="s">
        <v>29</v>
      </c>
      <c r="V859" t="str">
        <f>VLOOKUP($R859,'Mapa Oficinas'!$A$7:$C$46,2,FALSE)</f>
        <v>CABA</v>
      </c>
      <c r="W859" t="str">
        <f>VLOOKUP($R859,'Mapa Oficinas'!$A$7:$C$46,3,FALSE)</f>
        <v>Núñez</v>
      </c>
    </row>
    <row r="860" spans="1:23" x14ac:dyDescent="0.2">
      <c r="A860" s="1">
        <v>45848</v>
      </c>
      <c r="B860" s="20">
        <f t="shared" si="26"/>
        <v>2025</v>
      </c>
      <c r="C860" s="20">
        <f t="shared" si="27"/>
        <v>7</v>
      </c>
      <c r="D860" t="s">
        <v>2955</v>
      </c>
      <c r="E860" s="49">
        <v>1</v>
      </c>
      <c r="F860" t="s">
        <v>1152</v>
      </c>
      <c r="G860" t="s">
        <v>21</v>
      </c>
      <c r="H860" t="s">
        <v>221</v>
      </c>
      <c r="I860" s="13">
        <v>87000</v>
      </c>
      <c r="J860" s="13">
        <v>81600</v>
      </c>
      <c r="K860" s="13">
        <f>IF(J860&lt;'Mapa Oficinas'!$I$21,0,IF(J860&gt;'Mapa Oficinas'!$I$20,0,1))</f>
        <v>1</v>
      </c>
      <c r="L860" t="s">
        <v>23</v>
      </c>
      <c r="M860" t="s">
        <v>23</v>
      </c>
      <c r="N860" t="s">
        <v>2956</v>
      </c>
      <c r="O860" t="s">
        <v>223</v>
      </c>
      <c r="P860" t="s">
        <v>26</v>
      </c>
      <c r="Q860">
        <v>1</v>
      </c>
      <c r="R860" t="s">
        <v>167</v>
      </c>
      <c r="S860" t="s">
        <v>122</v>
      </c>
      <c r="T860" t="str">
        <f>VLOOKUP(S860,'Mapa Oficinas'!$H$7:$I$16,2,FALSE)</f>
        <v>Otra Red Búsqueda</v>
      </c>
      <c r="U860" t="s">
        <v>29</v>
      </c>
      <c r="V860" t="str">
        <f>VLOOKUP($R860,'Mapa Oficinas'!$A$7:$C$46,2,FALSE)</f>
        <v>Interior - Santa Fe</v>
      </c>
      <c r="W860" t="str">
        <f>VLOOKUP($R860,'Mapa Oficinas'!$A$7:$C$46,3,FALSE)</f>
        <v>Capital Santa Fe</v>
      </c>
    </row>
    <row r="861" spans="1:23" x14ac:dyDescent="0.2">
      <c r="A861" s="1">
        <v>45992</v>
      </c>
      <c r="B861" s="20">
        <f t="shared" si="26"/>
        <v>2025</v>
      </c>
      <c r="C861" s="20">
        <f t="shared" si="27"/>
        <v>12</v>
      </c>
      <c r="D861" t="s">
        <v>5534</v>
      </c>
      <c r="E861" s="49">
        <v>1</v>
      </c>
      <c r="F861" t="s">
        <v>5535</v>
      </c>
      <c r="G861" t="s">
        <v>21</v>
      </c>
      <c r="H861" t="s">
        <v>37</v>
      </c>
      <c r="I861" s="13">
        <v>75000</v>
      </c>
      <c r="J861" s="13">
        <v>81600</v>
      </c>
      <c r="K861" s="13">
        <f>IF(J861&lt;'Mapa Oficinas'!$I$21,0,IF(J861&gt;'Mapa Oficinas'!$I$20,0,1))</f>
        <v>1</v>
      </c>
      <c r="L861" t="s">
        <v>23</v>
      </c>
      <c r="M861" t="s">
        <v>23</v>
      </c>
      <c r="N861" t="s">
        <v>5536</v>
      </c>
      <c r="O861" t="s">
        <v>581</v>
      </c>
      <c r="P861" t="s">
        <v>34</v>
      </c>
      <c r="Q861">
        <v>1</v>
      </c>
      <c r="R861" t="s">
        <v>151</v>
      </c>
      <c r="S861" t="s">
        <v>152</v>
      </c>
      <c r="T861" t="str">
        <f>VLOOKUP(S861,'Mapa Oficinas'!$H$7:$I$16,2,FALSE)</f>
        <v>Otra Red Captación</v>
      </c>
      <c r="U861" t="s">
        <v>29</v>
      </c>
      <c r="V861" t="str">
        <f>VLOOKUP($R861,'Mapa Oficinas'!$A$7:$C$46,2,FALSE)</f>
        <v>Interior - Mendoza</v>
      </c>
      <c r="W861" t="str">
        <f>VLOOKUP($R861,'Mapa Oficinas'!$A$7:$C$46,3,FALSE)</f>
        <v>Capital Mendoza</v>
      </c>
    </row>
    <row r="862" spans="1:23" x14ac:dyDescent="0.2">
      <c r="A862" s="1">
        <v>46002</v>
      </c>
      <c r="B862" s="20">
        <f t="shared" si="26"/>
        <v>2025</v>
      </c>
      <c r="C862" s="20">
        <f t="shared" si="27"/>
        <v>12</v>
      </c>
      <c r="D862" t="s">
        <v>5724</v>
      </c>
      <c r="E862" s="49">
        <v>1</v>
      </c>
      <c r="F862" t="s">
        <v>5228</v>
      </c>
      <c r="G862" t="s">
        <v>21</v>
      </c>
      <c r="H862" t="s">
        <v>81</v>
      </c>
      <c r="I862" s="13">
        <v>85000</v>
      </c>
      <c r="J862" s="13">
        <v>82000</v>
      </c>
      <c r="K862" s="13">
        <f>IF(J862&lt;'Mapa Oficinas'!$I$21,0,IF(J862&gt;'Mapa Oficinas'!$I$20,0,1))</f>
        <v>1</v>
      </c>
      <c r="L862" t="s">
        <v>23</v>
      </c>
      <c r="M862" t="s">
        <v>23</v>
      </c>
      <c r="N862" t="s">
        <v>5725</v>
      </c>
      <c r="O862" t="s">
        <v>223</v>
      </c>
      <c r="P862" t="s">
        <v>45</v>
      </c>
      <c r="Q862">
        <v>1</v>
      </c>
      <c r="R862" t="s">
        <v>167</v>
      </c>
      <c r="S862" t="s">
        <v>122</v>
      </c>
      <c r="T862" t="str">
        <f>VLOOKUP(S862,'Mapa Oficinas'!$H$7:$I$16,2,FALSE)</f>
        <v>Otra Red Búsqueda</v>
      </c>
      <c r="U862" t="s">
        <v>29</v>
      </c>
      <c r="V862" t="str">
        <f>VLOOKUP($R862,'Mapa Oficinas'!$A$7:$C$46,2,FALSE)</f>
        <v>Interior - Santa Fe</v>
      </c>
      <c r="W862" t="str">
        <f>VLOOKUP($R862,'Mapa Oficinas'!$A$7:$C$46,3,FALSE)</f>
        <v>Capital Santa Fe</v>
      </c>
    </row>
    <row r="863" spans="1:23" x14ac:dyDescent="0.2">
      <c r="A863" s="1">
        <v>45705</v>
      </c>
      <c r="B863" s="20">
        <f t="shared" si="26"/>
        <v>2025</v>
      </c>
      <c r="C863" s="20">
        <f t="shared" si="27"/>
        <v>2</v>
      </c>
      <c r="D863" t="s">
        <v>624</v>
      </c>
      <c r="E863" s="49">
        <v>1</v>
      </c>
      <c r="F863" t="s">
        <v>625</v>
      </c>
      <c r="G863" t="s">
        <v>21</v>
      </c>
      <c r="H863" t="s">
        <v>81</v>
      </c>
      <c r="I863" s="13">
        <v>86000</v>
      </c>
      <c r="J863" s="13">
        <v>82000</v>
      </c>
      <c r="K863" s="13">
        <f>IF(J863&lt;'Mapa Oficinas'!$I$21,0,IF(J863&gt;'Mapa Oficinas'!$I$20,0,1))</f>
        <v>1</v>
      </c>
      <c r="L863" t="s">
        <v>23</v>
      </c>
      <c r="M863" t="s">
        <v>23</v>
      </c>
      <c r="N863" t="s">
        <v>626</v>
      </c>
      <c r="O863" t="s">
        <v>83</v>
      </c>
      <c r="P863" t="s">
        <v>45</v>
      </c>
      <c r="Q863">
        <v>2</v>
      </c>
      <c r="R863" t="s">
        <v>84</v>
      </c>
      <c r="S863" t="s">
        <v>79</v>
      </c>
      <c r="T863" t="str">
        <f>VLOOKUP(S863,'Mapa Oficinas'!$H$7:$I$16,2,FALSE)</f>
        <v>CB</v>
      </c>
      <c r="U863" t="s">
        <v>29</v>
      </c>
      <c r="V863" t="str">
        <f>VLOOKUP($R863,'Mapa Oficinas'!$A$7:$C$46,2,FALSE)</f>
        <v>Interior - Neuquén</v>
      </c>
      <c r="W863" t="str">
        <f>VLOOKUP($R863,'Mapa Oficinas'!$A$7:$C$46,3,FALSE)</f>
        <v>Villa La Angostura</v>
      </c>
    </row>
    <row r="864" spans="1:23" x14ac:dyDescent="0.2">
      <c r="A864" s="1">
        <v>45932</v>
      </c>
      <c r="B864" s="20">
        <f t="shared" si="26"/>
        <v>2025</v>
      </c>
      <c r="C864" s="20">
        <f t="shared" si="27"/>
        <v>10</v>
      </c>
      <c r="D864" t="s">
        <v>4459</v>
      </c>
      <c r="E864" s="49">
        <v>3</v>
      </c>
      <c r="F864" t="s">
        <v>4460</v>
      </c>
      <c r="G864" t="s">
        <v>21</v>
      </c>
      <c r="H864" t="s">
        <v>37</v>
      </c>
      <c r="I864" s="13">
        <v>500</v>
      </c>
      <c r="J864" s="13">
        <v>82000</v>
      </c>
      <c r="K864" s="13">
        <f>IF(J864&lt;'Mapa Oficinas'!$I$21,0,IF(J864&gt;'Mapa Oficinas'!$I$20,0,1))</f>
        <v>1</v>
      </c>
      <c r="L864" t="s">
        <v>23</v>
      </c>
      <c r="M864" t="s">
        <v>23</v>
      </c>
      <c r="N864" t="s">
        <v>4460</v>
      </c>
      <c r="O864" t="s">
        <v>4461</v>
      </c>
      <c r="P864" t="s">
        <v>45</v>
      </c>
      <c r="Q864">
        <v>2</v>
      </c>
      <c r="R864" t="s">
        <v>257</v>
      </c>
      <c r="S864" t="s">
        <v>241</v>
      </c>
      <c r="T864" t="str">
        <f>VLOOKUP(S864,'Mapa Oficinas'!$H$7:$I$16,2,FALSE)</f>
        <v>CB</v>
      </c>
      <c r="U864" t="s">
        <v>29</v>
      </c>
      <c r="V864" t="str">
        <f>VLOOKUP($R864,'Mapa Oficinas'!$A$7:$C$46,2,FALSE)</f>
        <v>Zona Norte (GBA)</v>
      </c>
      <c r="W864" t="str">
        <f>VLOOKUP($R864,'Mapa Oficinas'!$A$7:$C$46,3,FALSE)</f>
        <v>Pilar</v>
      </c>
    </row>
    <row r="865" spans="1:23" x14ac:dyDescent="0.2">
      <c r="A865" s="1">
        <v>45700</v>
      </c>
      <c r="B865" s="20">
        <f t="shared" si="26"/>
        <v>2025</v>
      </c>
      <c r="C865" s="20">
        <f t="shared" si="27"/>
        <v>2</v>
      </c>
      <c r="D865" t="s">
        <v>569</v>
      </c>
      <c r="E865" s="49">
        <v>1</v>
      </c>
      <c r="F865" t="s">
        <v>567</v>
      </c>
      <c r="G865" t="s">
        <v>21</v>
      </c>
      <c r="H865" t="s">
        <v>76</v>
      </c>
      <c r="I865" s="13">
        <v>82000</v>
      </c>
      <c r="J865" s="13">
        <v>82000</v>
      </c>
      <c r="K865" s="13">
        <f>IF(J865&lt;'Mapa Oficinas'!$I$21,0,IF(J865&gt;'Mapa Oficinas'!$I$20,0,1))</f>
        <v>1</v>
      </c>
      <c r="L865" t="s">
        <v>23</v>
      </c>
      <c r="M865" t="s">
        <v>23</v>
      </c>
      <c r="N865" t="s">
        <v>570</v>
      </c>
      <c r="O865" t="s">
        <v>102</v>
      </c>
      <c r="P865" t="s">
        <v>45</v>
      </c>
      <c r="Q865">
        <v>1</v>
      </c>
      <c r="R865" t="s">
        <v>103</v>
      </c>
      <c r="S865" t="s">
        <v>47</v>
      </c>
      <c r="T865" t="str">
        <f>VLOOKUP(S865,'Mapa Oficinas'!$H$7:$I$16,2,FALSE)</f>
        <v>Otra Red Búsqueda</v>
      </c>
      <c r="U865" t="s">
        <v>29</v>
      </c>
      <c r="V865" t="str">
        <f>VLOOKUP($R865,'Mapa Oficinas'!$A$7:$C$46,2,FALSE)</f>
        <v>Zona Sur (GBA)</v>
      </c>
      <c r="W865" t="str">
        <f>VLOOKUP($R865,'Mapa Oficinas'!$A$7:$C$46,3,FALSE)</f>
        <v>La Plata</v>
      </c>
    </row>
    <row r="866" spans="1:23" x14ac:dyDescent="0.2">
      <c r="A866" s="1">
        <v>45845</v>
      </c>
      <c r="B866" s="20">
        <f t="shared" si="26"/>
        <v>2025</v>
      </c>
      <c r="C866" s="20">
        <f t="shared" si="27"/>
        <v>7</v>
      </c>
      <c r="D866" t="s">
        <v>2901</v>
      </c>
      <c r="E866" s="49">
        <v>1</v>
      </c>
      <c r="F866" t="s">
        <v>2901</v>
      </c>
      <c r="G866" t="s">
        <v>21</v>
      </c>
      <c r="H866" t="s">
        <v>37</v>
      </c>
      <c r="I866" s="13">
        <v>82000</v>
      </c>
      <c r="J866" s="13">
        <v>82000</v>
      </c>
      <c r="K866" s="13">
        <f>IF(J866&lt;'Mapa Oficinas'!$I$21,0,IF(J866&gt;'Mapa Oficinas'!$I$20,0,1))</f>
        <v>1</v>
      </c>
      <c r="L866" t="s">
        <v>23</v>
      </c>
      <c r="M866" t="s">
        <v>23</v>
      </c>
      <c r="O866" t="s">
        <v>303</v>
      </c>
      <c r="P866" t="s">
        <v>34</v>
      </c>
      <c r="Q866">
        <v>1</v>
      </c>
      <c r="R866" t="s">
        <v>183</v>
      </c>
      <c r="S866" t="s">
        <v>47</v>
      </c>
      <c r="T866" t="str">
        <f>VLOOKUP(S866,'Mapa Oficinas'!$H$7:$I$16,2,FALSE)</f>
        <v>Otra Red Búsqueda</v>
      </c>
      <c r="U866" t="s">
        <v>29</v>
      </c>
      <c r="V866" t="str">
        <f>VLOOKUP($R866,'Mapa Oficinas'!$A$7:$C$46,2,FALSE)</f>
        <v>Interior - Neuquén</v>
      </c>
      <c r="W866" t="str">
        <f>VLOOKUP($R866,'Mapa Oficinas'!$A$7:$C$46,3,FALSE)</f>
        <v>Capital Neuquén</v>
      </c>
    </row>
    <row r="867" spans="1:23" x14ac:dyDescent="0.2">
      <c r="A867" s="1">
        <v>45989</v>
      </c>
      <c r="B867" s="20">
        <f t="shared" si="26"/>
        <v>2025</v>
      </c>
      <c r="C867" s="20">
        <f t="shared" si="27"/>
        <v>11</v>
      </c>
      <c r="D867" t="s">
        <v>5413</v>
      </c>
      <c r="E867" s="49">
        <v>1</v>
      </c>
      <c r="F867" t="s">
        <v>5414</v>
      </c>
      <c r="G867" t="s">
        <v>21</v>
      </c>
      <c r="H867" t="s">
        <v>37</v>
      </c>
      <c r="I867" s="13">
        <v>82000</v>
      </c>
      <c r="J867" s="13">
        <v>82000</v>
      </c>
      <c r="K867" s="13">
        <f>IF(J867&lt;'Mapa Oficinas'!$I$21,0,IF(J867&gt;'Mapa Oficinas'!$I$20,0,1))</f>
        <v>1</v>
      </c>
      <c r="L867" t="s">
        <v>23</v>
      </c>
      <c r="M867" t="s">
        <v>23</v>
      </c>
      <c r="N867" t="s">
        <v>5415</v>
      </c>
      <c r="O867" t="s">
        <v>976</v>
      </c>
      <c r="P867" t="s">
        <v>45</v>
      </c>
      <c r="Q867">
        <v>1</v>
      </c>
      <c r="R867" t="s">
        <v>670</v>
      </c>
      <c r="S867" t="s">
        <v>47</v>
      </c>
      <c r="T867" t="str">
        <f>VLOOKUP(S867,'Mapa Oficinas'!$H$7:$I$16,2,FALSE)</f>
        <v>Otra Red Búsqueda</v>
      </c>
      <c r="U867" t="s">
        <v>29</v>
      </c>
      <c r="V867" t="str">
        <f>VLOOKUP($R867,'Mapa Oficinas'!$A$7:$C$46,2,FALSE)</f>
        <v>CABA</v>
      </c>
      <c r="W867" t="str">
        <f>VLOOKUP($R867,'Mapa Oficinas'!$A$7:$C$46,3,FALSE)</f>
        <v>Recoleta</v>
      </c>
    </row>
    <row r="868" spans="1:23" x14ac:dyDescent="0.2">
      <c r="A868" s="1">
        <v>46097</v>
      </c>
      <c r="B868" s="20">
        <f t="shared" si="26"/>
        <v>2026</v>
      </c>
      <c r="C868" s="20">
        <f t="shared" si="27"/>
        <v>3</v>
      </c>
      <c r="D868" t="s">
        <v>7205</v>
      </c>
      <c r="E868" s="49">
        <v>1</v>
      </c>
      <c r="F868" t="s">
        <v>7206</v>
      </c>
      <c r="G868" t="s">
        <v>21</v>
      </c>
      <c r="H868" t="s">
        <v>37</v>
      </c>
      <c r="I868" s="13">
        <v>110000</v>
      </c>
      <c r="J868" s="13">
        <v>82000</v>
      </c>
      <c r="K868" s="13">
        <f>IF(J868&lt;'Mapa Oficinas'!$I$21,0,IF(J868&gt;'Mapa Oficinas'!$I$20,0,1))</f>
        <v>1</v>
      </c>
      <c r="L868" t="s">
        <v>23</v>
      </c>
      <c r="M868" t="s">
        <v>23</v>
      </c>
      <c r="N868" t="s">
        <v>7207</v>
      </c>
      <c r="O868" t="s">
        <v>50</v>
      </c>
      <c r="P868" t="s">
        <v>45</v>
      </c>
      <c r="Q868">
        <v>1</v>
      </c>
      <c r="R868" t="s">
        <v>110</v>
      </c>
      <c r="S868" t="s">
        <v>47</v>
      </c>
      <c r="T868" t="str">
        <f>VLOOKUP(S868,'Mapa Oficinas'!$H$7:$I$16,2,FALSE)</f>
        <v>Otra Red Búsqueda</v>
      </c>
      <c r="U868" t="s">
        <v>29</v>
      </c>
      <c r="V868" t="str">
        <f>VLOOKUP($R868,'Mapa Oficinas'!$A$7:$C$46,2,FALSE)</f>
        <v>Zona Norte (GBA)</v>
      </c>
      <c r="W868" t="str">
        <f>VLOOKUP($R868,'Mapa Oficinas'!$A$7:$C$46,3,FALSE)</f>
        <v>Nordelta</v>
      </c>
    </row>
    <row r="869" spans="1:23" x14ac:dyDescent="0.2">
      <c r="A869" s="1">
        <v>45869</v>
      </c>
      <c r="B869" s="20">
        <f t="shared" si="26"/>
        <v>2025</v>
      </c>
      <c r="C869" s="20">
        <f t="shared" si="27"/>
        <v>7</v>
      </c>
      <c r="D869" t="s">
        <v>3341</v>
      </c>
      <c r="E869" s="49">
        <v>1</v>
      </c>
      <c r="F869" t="s">
        <v>3342</v>
      </c>
      <c r="G869" t="s">
        <v>21</v>
      </c>
      <c r="H869" t="s">
        <v>37</v>
      </c>
      <c r="I869" s="13">
        <v>85000</v>
      </c>
      <c r="J869" s="13">
        <v>82000</v>
      </c>
      <c r="K869" s="13">
        <f>IF(J869&lt;'Mapa Oficinas'!$I$21,0,IF(J869&gt;'Mapa Oficinas'!$I$20,0,1))</f>
        <v>1</v>
      </c>
      <c r="L869" t="s">
        <v>23</v>
      </c>
      <c r="M869" t="s">
        <v>23</v>
      </c>
      <c r="N869" t="s">
        <v>3343</v>
      </c>
      <c r="O869" t="s">
        <v>105</v>
      </c>
      <c r="P869" t="s">
        <v>45</v>
      </c>
      <c r="Q869">
        <v>2</v>
      </c>
      <c r="R869" t="s">
        <v>1024</v>
      </c>
      <c r="S869" t="s">
        <v>200</v>
      </c>
      <c r="T869" t="str">
        <f>VLOOKUP(S869,'Mapa Oficinas'!$H$7:$I$16,2,FALSE)</f>
        <v>Otra Red Captación</v>
      </c>
      <c r="U869" t="s">
        <v>29</v>
      </c>
      <c r="V869" t="str">
        <f>VLOOKUP($R869,'Mapa Oficinas'!$A$7:$C$46,2,FALSE)</f>
        <v>CABA</v>
      </c>
      <c r="W869" t="str">
        <f>VLOOKUP($R869,'Mapa Oficinas'!$A$7:$C$46,3,FALSE)</f>
        <v>Puerto Madero</v>
      </c>
    </row>
    <row r="870" spans="1:23" x14ac:dyDescent="0.2">
      <c r="A870" s="1">
        <v>45776</v>
      </c>
      <c r="B870" s="20">
        <f t="shared" si="26"/>
        <v>2025</v>
      </c>
      <c r="C870" s="20">
        <f t="shared" si="27"/>
        <v>4</v>
      </c>
      <c r="D870" t="s">
        <v>1678</v>
      </c>
      <c r="E870" s="49">
        <v>1</v>
      </c>
      <c r="F870" t="s">
        <v>1679</v>
      </c>
      <c r="G870" t="s">
        <v>21</v>
      </c>
      <c r="H870" t="s">
        <v>100</v>
      </c>
      <c r="I870" s="13">
        <v>0</v>
      </c>
      <c r="J870" s="13">
        <v>82000</v>
      </c>
      <c r="K870" s="13">
        <f>IF(J870&lt;'Mapa Oficinas'!$I$21,0,IF(J870&gt;'Mapa Oficinas'!$I$20,0,1))</f>
        <v>1</v>
      </c>
      <c r="L870" t="s">
        <v>23</v>
      </c>
      <c r="M870" t="s">
        <v>23</v>
      </c>
      <c r="O870" t="s">
        <v>976</v>
      </c>
      <c r="P870" t="s">
        <v>45</v>
      </c>
      <c r="Q870">
        <v>2</v>
      </c>
      <c r="R870" t="s">
        <v>121</v>
      </c>
      <c r="S870" t="s">
        <v>404</v>
      </c>
      <c r="T870" t="str">
        <f>VLOOKUP(S870,'Mapa Oficinas'!$H$7:$I$16,2,FALSE)</f>
        <v>CB</v>
      </c>
      <c r="U870" t="s">
        <v>29</v>
      </c>
      <c r="V870" t="str">
        <f>VLOOKUP($R870,'Mapa Oficinas'!$A$7:$C$46,2,FALSE)</f>
        <v>Interior - Río Negro</v>
      </c>
      <c r="W870" t="str">
        <f>VLOOKUP($R870,'Mapa Oficinas'!$A$7:$C$46,3,FALSE)</f>
        <v>Bariloche</v>
      </c>
    </row>
    <row r="871" spans="1:23" x14ac:dyDescent="0.2">
      <c r="A871" s="1">
        <v>45673</v>
      </c>
      <c r="B871" s="20">
        <f t="shared" si="26"/>
        <v>2025</v>
      </c>
      <c r="C871" s="20">
        <f t="shared" si="27"/>
        <v>1</v>
      </c>
      <c r="D871" t="s">
        <v>250</v>
      </c>
      <c r="E871" s="49">
        <v>1</v>
      </c>
      <c r="F871" t="s">
        <v>251</v>
      </c>
      <c r="G871" t="s">
        <v>21</v>
      </c>
      <c r="H871" t="s">
        <v>37</v>
      </c>
      <c r="I871" s="13">
        <v>85000</v>
      </c>
      <c r="J871" s="13">
        <v>82000</v>
      </c>
      <c r="K871" s="13">
        <f>IF(J871&lt;'Mapa Oficinas'!$I$21,0,IF(J871&gt;'Mapa Oficinas'!$I$20,0,1))</f>
        <v>1</v>
      </c>
      <c r="L871" t="s">
        <v>23</v>
      </c>
      <c r="M871" t="s">
        <v>23</v>
      </c>
      <c r="N871" t="s">
        <v>252</v>
      </c>
      <c r="O871" t="s">
        <v>253</v>
      </c>
      <c r="P871" t="s">
        <v>45</v>
      </c>
      <c r="Q871">
        <v>2</v>
      </c>
      <c r="R871" t="s">
        <v>67</v>
      </c>
      <c r="S871" t="s">
        <v>28</v>
      </c>
      <c r="T871" t="str">
        <f>VLOOKUP(S871,'Mapa Oficinas'!$H$7:$I$16,2,FALSE)</f>
        <v>CB</v>
      </c>
      <c r="U871" t="s">
        <v>29</v>
      </c>
      <c r="V871" t="str">
        <f>VLOOKUP($R871,'Mapa Oficinas'!$A$7:$C$46,2,FALSE)</f>
        <v>CABA</v>
      </c>
      <c r="W871" t="str">
        <f>VLOOKUP($R871,'Mapa Oficinas'!$A$7:$C$46,3,FALSE)</f>
        <v>Barrio Parque</v>
      </c>
    </row>
    <row r="872" spans="1:23" x14ac:dyDescent="0.2">
      <c r="A872" s="1">
        <v>45770</v>
      </c>
      <c r="B872" s="20">
        <f t="shared" si="26"/>
        <v>2025</v>
      </c>
      <c r="C872" s="20">
        <f t="shared" si="27"/>
        <v>4</v>
      </c>
      <c r="D872" t="s">
        <v>1568</v>
      </c>
      <c r="E872" s="49">
        <v>1</v>
      </c>
      <c r="F872" t="s">
        <v>1569</v>
      </c>
      <c r="G872" t="s">
        <v>21</v>
      </c>
      <c r="H872" t="s">
        <v>37</v>
      </c>
      <c r="I872" s="13">
        <v>89000</v>
      </c>
      <c r="J872" s="13">
        <v>82000</v>
      </c>
      <c r="K872" s="13">
        <f>IF(J872&lt;'Mapa Oficinas'!$I$21,0,IF(J872&gt;'Mapa Oficinas'!$I$20,0,1))</f>
        <v>1</v>
      </c>
      <c r="L872" t="s">
        <v>23</v>
      </c>
      <c r="M872" t="s">
        <v>23</v>
      </c>
      <c r="N872" t="s">
        <v>1570</v>
      </c>
      <c r="O872" t="s">
        <v>976</v>
      </c>
      <c r="P872" t="s">
        <v>45</v>
      </c>
      <c r="Q872">
        <v>2</v>
      </c>
      <c r="R872" t="s">
        <v>62</v>
      </c>
      <c r="S872" t="s">
        <v>28</v>
      </c>
      <c r="T872" t="str">
        <f>VLOOKUP(S872,'Mapa Oficinas'!$H$7:$I$16,2,FALSE)</f>
        <v>CB</v>
      </c>
      <c r="U872" t="s">
        <v>29</v>
      </c>
      <c r="V872" t="str">
        <f>VLOOKUP($R872,'Mapa Oficinas'!$A$7:$C$46,2,FALSE)</f>
        <v>CABA</v>
      </c>
      <c r="W872" t="str">
        <f>VLOOKUP($R872,'Mapa Oficinas'!$A$7:$C$46,3,FALSE)</f>
        <v>Villa Urquiza</v>
      </c>
    </row>
    <row r="873" spans="1:23" x14ac:dyDescent="0.2">
      <c r="A873" s="1">
        <v>45839</v>
      </c>
      <c r="B873" s="20">
        <f t="shared" si="26"/>
        <v>2025</v>
      </c>
      <c r="C873" s="20">
        <f t="shared" si="27"/>
        <v>7</v>
      </c>
      <c r="D873" t="s">
        <v>2801</v>
      </c>
      <c r="E873" s="49">
        <v>1</v>
      </c>
      <c r="F873" t="s">
        <v>2802</v>
      </c>
      <c r="G873" t="s">
        <v>21</v>
      </c>
      <c r="H873" t="s">
        <v>100</v>
      </c>
      <c r="I873" s="13">
        <v>85000</v>
      </c>
      <c r="J873" s="13">
        <v>82000</v>
      </c>
      <c r="K873" s="13">
        <f>IF(J873&lt;'Mapa Oficinas'!$I$21,0,IF(J873&gt;'Mapa Oficinas'!$I$20,0,1))</f>
        <v>1</v>
      </c>
      <c r="L873" t="s">
        <v>23</v>
      </c>
      <c r="M873" t="s">
        <v>23</v>
      </c>
      <c r="N873" t="s">
        <v>2803</v>
      </c>
      <c r="O873" t="s">
        <v>2804</v>
      </c>
      <c r="P873" t="s">
        <v>45</v>
      </c>
      <c r="Q873">
        <v>2</v>
      </c>
      <c r="R873" t="s">
        <v>103</v>
      </c>
      <c r="S873" t="s">
        <v>28</v>
      </c>
      <c r="T873" t="str">
        <f>VLOOKUP(S873,'Mapa Oficinas'!$H$7:$I$16,2,FALSE)</f>
        <v>CB</v>
      </c>
      <c r="U873" t="s">
        <v>29</v>
      </c>
      <c r="V873" t="str">
        <f>VLOOKUP($R873,'Mapa Oficinas'!$A$7:$C$46,2,FALSE)</f>
        <v>Zona Sur (GBA)</v>
      </c>
      <c r="W873" t="str">
        <f>VLOOKUP($R873,'Mapa Oficinas'!$A$7:$C$46,3,FALSE)</f>
        <v>La Plata</v>
      </c>
    </row>
    <row r="874" spans="1:23" x14ac:dyDescent="0.2">
      <c r="A874" s="1">
        <v>45854</v>
      </c>
      <c r="B874" s="20">
        <f t="shared" si="26"/>
        <v>2025</v>
      </c>
      <c r="C874" s="20">
        <f t="shared" si="27"/>
        <v>7</v>
      </c>
      <c r="D874" t="s">
        <v>3066</v>
      </c>
      <c r="E874" s="49">
        <v>1</v>
      </c>
      <c r="F874" t="s">
        <v>3067</v>
      </c>
      <c r="G874" t="s">
        <v>21</v>
      </c>
      <c r="H874" t="s">
        <v>37</v>
      </c>
      <c r="I874" s="13">
        <v>84500</v>
      </c>
      <c r="J874" s="13">
        <v>82000</v>
      </c>
      <c r="K874" s="13">
        <f>IF(J874&lt;'Mapa Oficinas'!$I$21,0,IF(J874&gt;'Mapa Oficinas'!$I$20,0,1))</f>
        <v>1</v>
      </c>
      <c r="L874" t="s">
        <v>23</v>
      </c>
      <c r="M874" t="s">
        <v>23</v>
      </c>
      <c r="N874" t="s">
        <v>3068</v>
      </c>
      <c r="O874" t="s">
        <v>2194</v>
      </c>
      <c r="P874" t="s">
        <v>45</v>
      </c>
      <c r="Q874">
        <v>2</v>
      </c>
      <c r="R874" t="s">
        <v>170</v>
      </c>
      <c r="S874" t="s">
        <v>28</v>
      </c>
      <c r="T874" t="str">
        <f>VLOOKUP(S874,'Mapa Oficinas'!$H$7:$I$16,2,FALSE)</f>
        <v>CB</v>
      </c>
      <c r="U874" t="s">
        <v>29</v>
      </c>
      <c r="V874" t="str">
        <f>VLOOKUP($R874,'Mapa Oficinas'!$A$7:$C$46,2,FALSE)</f>
        <v>CABA</v>
      </c>
      <c r="W874" t="str">
        <f>VLOOKUP($R874,'Mapa Oficinas'!$A$7:$C$46,3,FALSE)</f>
        <v>Belgrano</v>
      </c>
    </row>
    <row r="875" spans="1:23" x14ac:dyDescent="0.2">
      <c r="A875" s="1">
        <v>46030</v>
      </c>
      <c r="B875" s="20">
        <f t="shared" si="26"/>
        <v>2026</v>
      </c>
      <c r="C875" s="20">
        <f t="shared" si="27"/>
        <v>1</v>
      </c>
      <c r="D875" t="s">
        <v>6136</v>
      </c>
      <c r="E875" s="49">
        <v>1</v>
      </c>
      <c r="F875" t="s">
        <v>6137</v>
      </c>
      <c r="G875" t="s">
        <v>21</v>
      </c>
      <c r="H875" t="s">
        <v>37</v>
      </c>
      <c r="I875" s="13">
        <v>89000</v>
      </c>
      <c r="J875" s="13">
        <v>82000</v>
      </c>
      <c r="K875" s="13">
        <f>IF(J875&lt;'Mapa Oficinas'!$I$21,0,IF(J875&gt;'Mapa Oficinas'!$I$20,0,1))</f>
        <v>1</v>
      </c>
      <c r="L875" t="s">
        <v>23</v>
      </c>
      <c r="M875" t="s">
        <v>23</v>
      </c>
      <c r="N875" t="s">
        <v>6138</v>
      </c>
      <c r="O875" t="s">
        <v>50</v>
      </c>
      <c r="P875" t="s">
        <v>45</v>
      </c>
      <c r="Q875">
        <v>2</v>
      </c>
      <c r="R875" t="s">
        <v>46</v>
      </c>
      <c r="S875" t="s">
        <v>28</v>
      </c>
      <c r="T875" t="str">
        <f>VLOOKUP(S875,'Mapa Oficinas'!$H$7:$I$16,2,FALSE)</f>
        <v>CB</v>
      </c>
      <c r="U875" t="s">
        <v>29</v>
      </c>
      <c r="V875" t="str">
        <f>VLOOKUP($R875,'Mapa Oficinas'!$A$7:$C$46,2,FALSE)</f>
        <v>CABA</v>
      </c>
      <c r="W875" t="str">
        <f>VLOOKUP($R875,'Mapa Oficinas'!$A$7:$C$46,3,FALSE)</f>
        <v>Palermo</v>
      </c>
    </row>
    <row r="876" spans="1:23" x14ac:dyDescent="0.2">
      <c r="A876" s="1">
        <v>45945</v>
      </c>
      <c r="B876" s="20">
        <f t="shared" si="26"/>
        <v>2025</v>
      </c>
      <c r="C876" s="20">
        <f t="shared" si="27"/>
        <v>10</v>
      </c>
      <c r="D876" t="s">
        <v>4697</v>
      </c>
      <c r="E876" s="49">
        <v>1</v>
      </c>
      <c r="F876" t="s">
        <v>3149</v>
      </c>
      <c r="G876" t="s">
        <v>21</v>
      </c>
      <c r="H876" t="s">
        <v>37</v>
      </c>
      <c r="I876" s="13">
        <v>110192</v>
      </c>
      <c r="J876" s="13">
        <v>82350</v>
      </c>
      <c r="K876" s="13">
        <f>IF(J876&lt;'Mapa Oficinas'!$I$21,0,IF(J876&gt;'Mapa Oficinas'!$I$20,0,1))</f>
        <v>1</v>
      </c>
      <c r="L876" t="s">
        <v>23</v>
      </c>
      <c r="M876" t="s">
        <v>23</v>
      </c>
      <c r="N876" t="s">
        <v>3150</v>
      </c>
      <c r="O876" t="s">
        <v>1309</v>
      </c>
      <c r="P876" t="s">
        <v>26</v>
      </c>
      <c r="Q876">
        <v>2</v>
      </c>
      <c r="R876" t="s">
        <v>110</v>
      </c>
      <c r="S876" t="s">
        <v>28</v>
      </c>
      <c r="T876" t="str">
        <f>VLOOKUP(S876,'Mapa Oficinas'!$H$7:$I$16,2,FALSE)</f>
        <v>CB</v>
      </c>
      <c r="U876" t="s">
        <v>29</v>
      </c>
      <c r="V876" t="str">
        <f>VLOOKUP($R876,'Mapa Oficinas'!$A$7:$C$46,2,FALSE)</f>
        <v>Zona Norte (GBA)</v>
      </c>
      <c r="W876" t="str">
        <f>VLOOKUP($R876,'Mapa Oficinas'!$A$7:$C$46,3,FALSE)</f>
        <v>Nordelta</v>
      </c>
    </row>
    <row r="877" spans="1:23" x14ac:dyDescent="0.2">
      <c r="A877" s="1">
        <v>45915</v>
      </c>
      <c r="B877" s="20">
        <f t="shared" si="26"/>
        <v>2025</v>
      </c>
      <c r="C877" s="20">
        <f t="shared" si="27"/>
        <v>9</v>
      </c>
      <c r="D877" t="s">
        <v>4141</v>
      </c>
      <c r="E877" s="49">
        <v>3</v>
      </c>
      <c r="F877" t="s">
        <v>4142</v>
      </c>
      <c r="G877" t="s">
        <v>21</v>
      </c>
      <c r="H877" t="s">
        <v>37</v>
      </c>
      <c r="I877" s="13">
        <v>95000</v>
      </c>
      <c r="J877" s="13">
        <v>82500</v>
      </c>
      <c r="K877" s="13">
        <f>IF(J877&lt;'Mapa Oficinas'!$I$21,0,IF(J877&gt;'Mapa Oficinas'!$I$20,0,1))</f>
        <v>1</v>
      </c>
      <c r="L877" t="s">
        <v>23</v>
      </c>
      <c r="M877" t="s">
        <v>23</v>
      </c>
      <c r="N877" t="s">
        <v>4143</v>
      </c>
      <c r="O877" t="s">
        <v>4144</v>
      </c>
      <c r="P877" t="s">
        <v>45</v>
      </c>
      <c r="Q877">
        <v>2</v>
      </c>
      <c r="R877" t="s">
        <v>110</v>
      </c>
      <c r="S877" t="s">
        <v>232</v>
      </c>
      <c r="T877" t="str">
        <f>VLOOKUP(S877,'Mapa Oficinas'!$H$7:$I$16,2,FALSE)</f>
        <v>CB</v>
      </c>
      <c r="U877" t="s">
        <v>29</v>
      </c>
      <c r="V877" t="str">
        <f>VLOOKUP($R877,'Mapa Oficinas'!$A$7:$C$46,2,FALSE)</f>
        <v>Zona Norte (GBA)</v>
      </c>
      <c r="W877" t="str">
        <f>VLOOKUP($R877,'Mapa Oficinas'!$A$7:$C$46,3,FALSE)</f>
        <v>Nordelta</v>
      </c>
    </row>
    <row r="878" spans="1:23" x14ac:dyDescent="0.2">
      <c r="A878" s="1">
        <v>45877</v>
      </c>
      <c r="B878" s="20">
        <f t="shared" si="26"/>
        <v>2025</v>
      </c>
      <c r="C878" s="20">
        <f t="shared" si="27"/>
        <v>8</v>
      </c>
      <c r="D878" t="s">
        <v>3478</v>
      </c>
      <c r="E878" s="49">
        <v>1</v>
      </c>
      <c r="F878" t="s">
        <v>3479</v>
      </c>
      <c r="G878" t="s">
        <v>21</v>
      </c>
      <c r="H878" t="s">
        <v>37</v>
      </c>
      <c r="I878" s="13">
        <v>97000</v>
      </c>
      <c r="J878" s="13">
        <v>82500</v>
      </c>
      <c r="K878" s="13">
        <f>IF(J878&lt;'Mapa Oficinas'!$I$21,0,IF(J878&gt;'Mapa Oficinas'!$I$20,0,1))</f>
        <v>1</v>
      </c>
      <c r="L878" t="s">
        <v>23</v>
      </c>
      <c r="M878" t="s">
        <v>23</v>
      </c>
      <c r="N878" t="s">
        <v>3480</v>
      </c>
      <c r="O878" t="s">
        <v>1196</v>
      </c>
      <c r="P878" t="s">
        <v>45</v>
      </c>
      <c r="Q878">
        <v>2</v>
      </c>
      <c r="R878" t="s">
        <v>56</v>
      </c>
      <c r="S878" t="s">
        <v>28</v>
      </c>
      <c r="T878" t="str">
        <f>VLOOKUP(S878,'Mapa Oficinas'!$H$7:$I$16,2,FALSE)</f>
        <v>CB</v>
      </c>
      <c r="U878" t="s">
        <v>29</v>
      </c>
      <c r="V878" t="str">
        <f>VLOOKUP($R878,'Mapa Oficinas'!$A$7:$C$46,2,FALSE)</f>
        <v>Zona Norte (GBA)</v>
      </c>
      <c r="W878" t="str">
        <f>VLOOKUP($R878,'Mapa Oficinas'!$A$7:$C$46,3,FALSE)</f>
        <v>Vicente López</v>
      </c>
    </row>
    <row r="879" spans="1:23" x14ac:dyDescent="0.2">
      <c r="A879" s="1">
        <v>45897</v>
      </c>
      <c r="B879" s="20">
        <f t="shared" si="26"/>
        <v>2025</v>
      </c>
      <c r="C879" s="20">
        <f t="shared" si="27"/>
        <v>8</v>
      </c>
      <c r="D879" t="s">
        <v>3822</v>
      </c>
      <c r="E879" s="49">
        <v>1</v>
      </c>
      <c r="F879" t="s">
        <v>3823</v>
      </c>
      <c r="G879" t="s">
        <v>21</v>
      </c>
      <c r="H879" t="s">
        <v>37</v>
      </c>
      <c r="I879" s="13">
        <v>85000</v>
      </c>
      <c r="J879" s="13">
        <v>82500</v>
      </c>
      <c r="K879" s="13">
        <f>IF(J879&lt;'Mapa Oficinas'!$I$21,0,IF(J879&gt;'Mapa Oficinas'!$I$20,0,1))</f>
        <v>1</v>
      </c>
      <c r="L879" t="s">
        <v>23</v>
      </c>
      <c r="M879" t="s">
        <v>23</v>
      </c>
      <c r="N879" t="s">
        <v>3824</v>
      </c>
      <c r="O879" t="s">
        <v>141</v>
      </c>
      <c r="P879" t="s">
        <v>45</v>
      </c>
      <c r="Q879">
        <v>2</v>
      </c>
      <c r="R879" t="s">
        <v>67</v>
      </c>
      <c r="S879" t="s">
        <v>28</v>
      </c>
      <c r="T879" t="str">
        <f>VLOOKUP(S879,'Mapa Oficinas'!$H$7:$I$16,2,FALSE)</f>
        <v>CB</v>
      </c>
      <c r="U879" t="s">
        <v>29</v>
      </c>
      <c r="V879" t="str">
        <f>VLOOKUP($R879,'Mapa Oficinas'!$A$7:$C$46,2,FALSE)</f>
        <v>CABA</v>
      </c>
      <c r="W879" t="str">
        <f>VLOOKUP($R879,'Mapa Oficinas'!$A$7:$C$46,3,FALSE)</f>
        <v>Barrio Parque</v>
      </c>
    </row>
    <row r="880" spans="1:23" x14ac:dyDescent="0.2">
      <c r="A880" s="1">
        <v>46052</v>
      </c>
      <c r="B880" s="20">
        <f t="shared" si="26"/>
        <v>2026</v>
      </c>
      <c r="C880" s="20">
        <f t="shared" si="27"/>
        <v>1</v>
      </c>
      <c r="D880" t="s">
        <v>6472</v>
      </c>
      <c r="E880" s="49">
        <v>1</v>
      </c>
      <c r="F880" t="s">
        <v>6473</v>
      </c>
      <c r="G880" t="s">
        <v>21</v>
      </c>
      <c r="H880" t="s">
        <v>37</v>
      </c>
      <c r="I880" s="13">
        <v>83000</v>
      </c>
      <c r="J880" s="13">
        <v>82500</v>
      </c>
      <c r="K880" s="13">
        <f>IF(J880&lt;'Mapa Oficinas'!$I$21,0,IF(J880&gt;'Mapa Oficinas'!$I$20,0,1))</f>
        <v>1</v>
      </c>
      <c r="L880" t="s">
        <v>23</v>
      </c>
      <c r="M880" t="s">
        <v>23</v>
      </c>
      <c r="N880" t="s">
        <v>6474</v>
      </c>
      <c r="O880" t="s">
        <v>1196</v>
      </c>
      <c r="P880" t="s">
        <v>45</v>
      </c>
      <c r="Q880">
        <v>2</v>
      </c>
      <c r="R880" t="s">
        <v>170</v>
      </c>
      <c r="S880" t="s">
        <v>28</v>
      </c>
      <c r="T880" t="str">
        <f>VLOOKUP(S880,'Mapa Oficinas'!$H$7:$I$16,2,FALSE)</f>
        <v>CB</v>
      </c>
      <c r="U880" t="s">
        <v>29</v>
      </c>
      <c r="V880" t="str">
        <f>VLOOKUP($R880,'Mapa Oficinas'!$A$7:$C$46,2,FALSE)</f>
        <v>CABA</v>
      </c>
      <c r="W880" t="str">
        <f>VLOOKUP($R880,'Mapa Oficinas'!$A$7:$C$46,3,FALSE)</f>
        <v>Belgrano</v>
      </c>
    </row>
    <row r="881" spans="1:23" x14ac:dyDescent="0.2">
      <c r="A881" s="1">
        <v>45989</v>
      </c>
      <c r="B881" s="20">
        <f t="shared" si="26"/>
        <v>2025</v>
      </c>
      <c r="C881" s="20">
        <f t="shared" si="27"/>
        <v>11</v>
      </c>
      <c r="E881" s="49">
        <v>1</v>
      </c>
      <c r="F881" t="s">
        <v>5416</v>
      </c>
      <c r="G881" t="s">
        <v>21</v>
      </c>
      <c r="H881" t="s">
        <v>37</v>
      </c>
      <c r="I881" s="13">
        <v>86000</v>
      </c>
      <c r="J881" s="13">
        <v>83000</v>
      </c>
      <c r="K881" s="13">
        <f>IF(J881&lt;'Mapa Oficinas'!$I$21,0,IF(J881&gt;'Mapa Oficinas'!$I$20,0,1))</f>
        <v>1</v>
      </c>
      <c r="L881" t="s">
        <v>23</v>
      </c>
      <c r="M881" t="s">
        <v>23</v>
      </c>
      <c r="N881" t="s">
        <v>5417</v>
      </c>
      <c r="O881" t="s">
        <v>190</v>
      </c>
      <c r="P881" t="s">
        <v>45</v>
      </c>
      <c r="Q881">
        <v>1</v>
      </c>
      <c r="R881" t="s">
        <v>5367</v>
      </c>
      <c r="S881" t="s">
        <v>122</v>
      </c>
      <c r="T881" t="str">
        <f>VLOOKUP(S881,'Mapa Oficinas'!$H$7:$I$16,2,FALSE)</f>
        <v>Otra Red Búsqueda</v>
      </c>
      <c r="U881" t="s">
        <v>29</v>
      </c>
      <c r="V881" t="str">
        <f>VLOOKUP($R881,'Mapa Oficinas'!$A$7:$C$46,2,FALSE)</f>
        <v>CABA</v>
      </c>
      <c r="W881" t="str">
        <f>VLOOKUP($R881,'Mapa Oficinas'!$A$7:$C$46,3,FALSE)</f>
        <v>Retiro</v>
      </c>
    </row>
    <row r="882" spans="1:23" x14ac:dyDescent="0.2">
      <c r="A882" s="1">
        <v>45770</v>
      </c>
      <c r="B882" s="20">
        <f t="shared" si="26"/>
        <v>2025</v>
      </c>
      <c r="C882" s="20">
        <f t="shared" si="27"/>
        <v>4</v>
      </c>
      <c r="D882" t="s">
        <v>1571</v>
      </c>
      <c r="E882" s="49">
        <v>1</v>
      </c>
      <c r="F882" t="s">
        <v>1572</v>
      </c>
      <c r="G882" t="s">
        <v>21</v>
      </c>
      <c r="H882" t="s">
        <v>81</v>
      </c>
      <c r="I882" s="13">
        <v>85000</v>
      </c>
      <c r="J882" s="13">
        <v>83000</v>
      </c>
      <c r="K882" s="13">
        <f>IF(J882&lt;'Mapa Oficinas'!$I$21,0,IF(J882&gt;'Mapa Oficinas'!$I$20,0,1))</f>
        <v>1</v>
      </c>
      <c r="L882" t="s">
        <v>23</v>
      </c>
      <c r="M882" t="s">
        <v>23</v>
      </c>
      <c r="N882" t="s">
        <v>1573</v>
      </c>
      <c r="O882" t="s">
        <v>1574</v>
      </c>
      <c r="P882" t="s">
        <v>45</v>
      </c>
      <c r="Q882">
        <v>1</v>
      </c>
      <c r="R882" t="s">
        <v>130</v>
      </c>
      <c r="S882" t="s">
        <v>152</v>
      </c>
      <c r="T882" t="str">
        <f>VLOOKUP(S882,'Mapa Oficinas'!$H$7:$I$16,2,FALSE)</f>
        <v>Otra Red Captación</v>
      </c>
      <c r="U882" t="s">
        <v>29</v>
      </c>
      <c r="V882" t="str">
        <f>VLOOKUP($R882,'Mapa Oficinas'!$A$7:$C$46,2,FALSE)</f>
        <v>Interior - Neuquén</v>
      </c>
      <c r="W882" t="str">
        <f>VLOOKUP($R882,'Mapa Oficinas'!$A$7:$C$46,3,FALSE)</f>
        <v>San Martín de los Andes</v>
      </c>
    </row>
    <row r="883" spans="1:23" x14ac:dyDescent="0.2">
      <c r="A883" s="1">
        <v>45925</v>
      </c>
      <c r="B883" s="20">
        <f t="shared" si="26"/>
        <v>2025</v>
      </c>
      <c r="C883" s="20">
        <f t="shared" si="27"/>
        <v>9</v>
      </c>
      <c r="D883" t="s">
        <v>4345</v>
      </c>
      <c r="E883" s="49">
        <v>1</v>
      </c>
      <c r="F883" t="s">
        <v>4346</v>
      </c>
      <c r="G883" t="s">
        <v>21</v>
      </c>
      <c r="H883" t="s">
        <v>81</v>
      </c>
      <c r="I883" s="13">
        <v>83000</v>
      </c>
      <c r="J883" s="13">
        <v>83000</v>
      </c>
      <c r="K883" s="13">
        <f>IF(J883&lt;'Mapa Oficinas'!$I$21,0,IF(J883&gt;'Mapa Oficinas'!$I$20,0,1))</f>
        <v>1</v>
      </c>
      <c r="L883" t="s">
        <v>23</v>
      </c>
      <c r="M883" t="s">
        <v>23</v>
      </c>
      <c r="N883" t="s">
        <v>4347</v>
      </c>
      <c r="O883" t="s">
        <v>329</v>
      </c>
      <c r="P883" t="s">
        <v>45</v>
      </c>
      <c r="Q883">
        <v>1</v>
      </c>
      <c r="R883" t="s">
        <v>183</v>
      </c>
      <c r="S883" t="s">
        <v>152</v>
      </c>
      <c r="T883" t="str">
        <f>VLOOKUP(S883,'Mapa Oficinas'!$H$7:$I$16,2,FALSE)</f>
        <v>Otra Red Captación</v>
      </c>
      <c r="U883" t="s">
        <v>29</v>
      </c>
      <c r="V883" t="str">
        <f>VLOOKUP($R883,'Mapa Oficinas'!$A$7:$C$46,2,FALSE)</f>
        <v>Interior - Neuquén</v>
      </c>
      <c r="W883" t="str">
        <f>VLOOKUP($R883,'Mapa Oficinas'!$A$7:$C$46,3,FALSE)</f>
        <v>Capital Neuquén</v>
      </c>
    </row>
    <row r="884" spans="1:23" x14ac:dyDescent="0.2">
      <c r="A884" s="1">
        <v>46029</v>
      </c>
      <c r="B884" s="20">
        <f t="shared" si="26"/>
        <v>2026</v>
      </c>
      <c r="C884" s="20">
        <f t="shared" si="27"/>
        <v>1</v>
      </c>
      <c r="D884" t="s">
        <v>6123</v>
      </c>
      <c r="E884" s="49">
        <v>1</v>
      </c>
      <c r="F884" t="s">
        <v>6124</v>
      </c>
      <c r="G884" t="s">
        <v>21</v>
      </c>
      <c r="H884" t="s">
        <v>100</v>
      </c>
      <c r="I884" s="13">
        <v>78000</v>
      </c>
      <c r="J884" s="13">
        <v>83000</v>
      </c>
      <c r="K884" s="13">
        <f>IF(J884&lt;'Mapa Oficinas'!$I$21,0,IF(J884&gt;'Mapa Oficinas'!$I$20,0,1))</f>
        <v>1</v>
      </c>
      <c r="L884" t="s">
        <v>23</v>
      </c>
      <c r="M884" t="s">
        <v>23</v>
      </c>
      <c r="N884" t="s">
        <v>6125</v>
      </c>
      <c r="O884" t="s">
        <v>209</v>
      </c>
      <c r="P884" t="s">
        <v>45</v>
      </c>
      <c r="Q884">
        <v>2</v>
      </c>
      <c r="R884" t="s">
        <v>121</v>
      </c>
      <c r="S884" t="s">
        <v>79</v>
      </c>
      <c r="T884" t="str">
        <f>VLOOKUP(S884,'Mapa Oficinas'!$H$7:$I$16,2,FALSE)</f>
        <v>CB</v>
      </c>
      <c r="U884" t="s">
        <v>29</v>
      </c>
      <c r="V884" t="str">
        <f>VLOOKUP($R884,'Mapa Oficinas'!$A$7:$C$46,2,FALSE)</f>
        <v>Interior - Río Negro</v>
      </c>
      <c r="W884" t="str">
        <f>VLOOKUP($R884,'Mapa Oficinas'!$A$7:$C$46,3,FALSE)</f>
        <v>Bariloche</v>
      </c>
    </row>
    <row r="885" spans="1:23" x14ac:dyDescent="0.2">
      <c r="A885" s="1">
        <v>46006</v>
      </c>
      <c r="B885" s="20">
        <f t="shared" si="26"/>
        <v>2025</v>
      </c>
      <c r="C885" s="20">
        <f t="shared" si="27"/>
        <v>12</v>
      </c>
      <c r="D885" t="s">
        <v>5780</v>
      </c>
      <c r="E885" s="49">
        <v>1</v>
      </c>
      <c r="F885" t="s">
        <v>5781</v>
      </c>
      <c r="G885" t="s">
        <v>21</v>
      </c>
      <c r="H885" t="s">
        <v>37</v>
      </c>
      <c r="I885" s="13">
        <v>84000</v>
      </c>
      <c r="J885" s="13">
        <v>83000</v>
      </c>
      <c r="K885" s="13">
        <f>IF(J885&lt;'Mapa Oficinas'!$I$21,0,IF(J885&gt;'Mapa Oficinas'!$I$20,0,1))</f>
        <v>1</v>
      </c>
      <c r="L885" t="s">
        <v>23</v>
      </c>
      <c r="M885" t="s">
        <v>23</v>
      </c>
      <c r="N885" t="s">
        <v>5782</v>
      </c>
      <c r="O885" t="s">
        <v>5783</v>
      </c>
      <c r="P885" t="s">
        <v>45</v>
      </c>
      <c r="Q885">
        <v>1</v>
      </c>
      <c r="R885" t="s">
        <v>110</v>
      </c>
      <c r="S885" t="s">
        <v>47</v>
      </c>
      <c r="T885" t="str">
        <f>VLOOKUP(S885,'Mapa Oficinas'!$H$7:$I$16,2,FALSE)</f>
        <v>Otra Red Búsqueda</v>
      </c>
      <c r="U885" t="s">
        <v>29</v>
      </c>
      <c r="V885" t="str">
        <f>VLOOKUP($R885,'Mapa Oficinas'!$A$7:$C$46,2,FALSE)</f>
        <v>Zona Norte (GBA)</v>
      </c>
      <c r="W885" t="str">
        <f>VLOOKUP($R885,'Mapa Oficinas'!$A$7:$C$46,3,FALSE)</f>
        <v>Nordelta</v>
      </c>
    </row>
    <row r="886" spans="1:23" x14ac:dyDescent="0.2">
      <c r="A886" s="1">
        <v>45729</v>
      </c>
      <c r="B886" s="20">
        <f t="shared" si="26"/>
        <v>2025</v>
      </c>
      <c r="C886" s="20">
        <f t="shared" si="27"/>
        <v>3</v>
      </c>
      <c r="D886" t="s">
        <v>936</v>
      </c>
      <c r="E886" s="49">
        <v>1</v>
      </c>
      <c r="F886" t="s">
        <v>937</v>
      </c>
      <c r="G886" t="s">
        <v>21</v>
      </c>
      <c r="H886" t="s">
        <v>37</v>
      </c>
      <c r="I886" s="13">
        <v>85000</v>
      </c>
      <c r="J886" s="13">
        <v>83000</v>
      </c>
      <c r="K886" s="13">
        <f>IF(J886&lt;'Mapa Oficinas'!$I$21,0,IF(J886&gt;'Mapa Oficinas'!$I$20,0,1))</f>
        <v>1</v>
      </c>
      <c r="L886" t="s">
        <v>23</v>
      </c>
      <c r="M886" t="s">
        <v>23</v>
      </c>
      <c r="N886" t="s">
        <v>938</v>
      </c>
      <c r="O886" t="s">
        <v>25</v>
      </c>
      <c r="P886" t="s">
        <v>45</v>
      </c>
      <c r="Q886">
        <v>2</v>
      </c>
      <c r="R886" t="s">
        <v>46</v>
      </c>
      <c r="S886" t="s">
        <v>200</v>
      </c>
      <c r="T886" t="str">
        <f>VLOOKUP(S886,'Mapa Oficinas'!$H$7:$I$16,2,FALSE)</f>
        <v>Otra Red Captación</v>
      </c>
      <c r="U886" t="s">
        <v>29</v>
      </c>
      <c r="V886" t="str">
        <f>VLOOKUP($R886,'Mapa Oficinas'!$A$7:$C$46,2,FALSE)</f>
        <v>CABA</v>
      </c>
      <c r="W886" t="str">
        <f>VLOOKUP($R886,'Mapa Oficinas'!$A$7:$C$46,3,FALSE)</f>
        <v>Palermo</v>
      </c>
    </row>
    <row r="887" spans="1:23" x14ac:dyDescent="0.2">
      <c r="A887" s="1">
        <v>45905</v>
      </c>
      <c r="B887" s="20">
        <f t="shared" si="26"/>
        <v>2025</v>
      </c>
      <c r="C887" s="20">
        <f t="shared" si="27"/>
        <v>9</v>
      </c>
      <c r="D887" t="s">
        <v>4003</v>
      </c>
      <c r="E887" s="49">
        <v>1</v>
      </c>
      <c r="F887" t="s">
        <v>4004</v>
      </c>
      <c r="G887" t="s">
        <v>21</v>
      </c>
      <c r="H887" t="s">
        <v>22</v>
      </c>
      <c r="I887" s="13">
        <v>85000</v>
      </c>
      <c r="J887" s="13">
        <v>83000</v>
      </c>
      <c r="K887" s="13">
        <f>IF(J887&lt;'Mapa Oficinas'!$I$21,0,IF(J887&gt;'Mapa Oficinas'!$I$20,0,1))</f>
        <v>1</v>
      </c>
      <c r="L887" t="s">
        <v>23</v>
      </c>
      <c r="M887" t="s">
        <v>23</v>
      </c>
      <c r="N887" t="s">
        <v>4005</v>
      </c>
      <c r="O887" t="s">
        <v>141</v>
      </c>
      <c r="P887" t="s">
        <v>61</v>
      </c>
      <c r="Q887">
        <v>2</v>
      </c>
      <c r="R887" t="s">
        <v>170</v>
      </c>
      <c r="S887" t="s">
        <v>200</v>
      </c>
      <c r="T887" t="str">
        <f>VLOOKUP(S887,'Mapa Oficinas'!$H$7:$I$16,2,FALSE)</f>
        <v>Otra Red Captación</v>
      </c>
      <c r="U887" t="s">
        <v>29</v>
      </c>
      <c r="V887" t="str">
        <f>VLOOKUP($R887,'Mapa Oficinas'!$A$7:$C$46,2,FALSE)</f>
        <v>CABA</v>
      </c>
      <c r="W887" t="str">
        <f>VLOOKUP($R887,'Mapa Oficinas'!$A$7:$C$46,3,FALSE)</f>
        <v>Belgrano</v>
      </c>
    </row>
    <row r="888" spans="1:23" x14ac:dyDescent="0.2">
      <c r="A888" s="1">
        <v>45925</v>
      </c>
      <c r="B888" s="20">
        <f t="shared" si="26"/>
        <v>2025</v>
      </c>
      <c r="C888" s="20">
        <f t="shared" si="27"/>
        <v>9</v>
      </c>
      <c r="D888" t="s">
        <v>4345</v>
      </c>
      <c r="E888" s="49">
        <v>3</v>
      </c>
      <c r="F888" t="s">
        <v>4346</v>
      </c>
      <c r="G888" t="s">
        <v>21</v>
      </c>
      <c r="H888" t="s">
        <v>76</v>
      </c>
      <c r="I888" s="13">
        <v>83000</v>
      </c>
      <c r="J888" s="13">
        <v>83000</v>
      </c>
      <c r="K888" s="13">
        <f>IF(J888&lt;'Mapa Oficinas'!$I$21,0,IF(J888&gt;'Mapa Oficinas'!$I$20,0,1))</f>
        <v>1</v>
      </c>
      <c r="L888" t="s">
        <v>23</v>
      </c>
      <c r="M888" t="s">
        <v>23</v>
      </c>
      <c r="N888" t="s">
        <v>4347</v>
      </c>
      <c r="O888" t="s">
        <v>329</v>
      </c>
      <c r="P888" t="s">
        <v>45</v>
      </c>
      <c r="Q888">
        <v>2</v>
      </c>
      <c r="R888" t="s">
        <v>130</v>
      </c>
      <c r="S888" t="s">
        <v>241</v>
      </c>
      <c r="T888" t="str">
        <f>VLOOKUP(S888,'Mapa Oficinas'!$H$7:$I$16,2,FALSE)</f>
        <v>CB</v>
      </c>
      <c r="U888" t="s">
        <v>29</v>
      </c>
      <c r="V888" t="str">
        <f>VLOOKUP($R888,'Mapa Oficinas'!$A$7:$C$46,2,FALSE)</f>
        <v>Interior - Neuquén</v>
      </c>
      <c r="W888" t="str">
        <f>VLOOKUP($R888,'Mapa Oficinas'!$A$7:$C$46,3,FALSE)</f>
        <v>San Martín de los Andes</v>
      </c>
    </row>
    <row r="889" spans="1:23" x14ac:dyDescent="0.2">
      <c r="A889" s="1">
        <v>45677</v>
      </c>
      <c r="B889" s="20">
        <f t="shared" si="26"/>
        <v>2025</v>
      </c>
      <c r="C889" s="20">
        <f t="shared" si="27"/>
        <v>1</v>
      </c>
      <c r="D889" t="s">
        <v>296</v>
      </c>
      <c r="E889" s="49">
        <v>1</v>
      </c>
      <c r="F889" t="s">
        <v>297</v>
      </c>
      <c r="G889" t="s">
        <v>21</v>
      </c>
      <c r="H889" t="s">
        <v>90</v>
      </c>
      <c r="I889" s="13">
        <v>89000</v>
      </c>
      <c r="J889" s="13">
        <v>83000</v>
      </c>
      <c r="K889" s="13">
        <f>IF(J889&lt;'Mapa Oficinas'!$I$21,0,IF(J889&gt;'Mapa Oficinas'!$I$20,0,1))</f>
        <v>1</v>
      </c>
      <c r="L889" t="s">
        <v>23</v>
      </c>
      <c r="M889" t="s">
        <v>23</v>
      </c>
      <c r="N889" t="s">
        <v>298</v>
      </c>
      <c r="O889" t="s">
        <v>299</v>
      </c>
      <c r="P889" t="s">
        <v>55</v>
      </c>
      <c r="Q889">
        <v>2</v>
      </c>
      <c r="R889" t="s">
        <v>62</v>
      </c>
      <c r="S889" t="s">
        <v>28</v>
      </c>
      <c r="T889" t="str">
        <f>VLOOKUP(S889,'Mapa Oficinas'!$H$7:$I$16,2,FALSE)</f>
        <v>CB</v>
      </c>
      <c r="U889" t="s">
        <v>29</v>
      </c>
      <c r="V889" t="str">
        <f>VLOOKUP($R889,'Mapa Oficinas'!$A$7:$C$46,2,FALSE)</f>
        <v>CABA</v>
      </c>
      <c r="W889" t="str">
        <f>VLOOKUP($R889,'Mapa Oficinas'!$A$7:$C$46,3,FALSE)</f>
        <v>Villa Urquiza</v>
      </c>
    </row>
    <row r="890" spans="1:23" x14ac:dyDescent="0.2">
      <c r="A890" s="1">
        <v>45791</v>
      </c>
      <c r="B890" s="20">
        <f t="shared" si="26"/>
        <v>2025</v>
      </c>
      <c r="C890" s="20">
        <f t="shared" si="27"/>
        <v>5</v>
      </c>
      <c r="D890" t="s">
        <v>1925</v>
      </c>
      <c r="E890" s="49">
        <v>1</v>
      </c>
      <c r="F890" t="s">
        <v>1926</v>
      </c>
      <c r="G890" t="s">
        <v>21</v>
      </c>
      <c r="H890" t="s">
        <v>37</v>
      </c>
      <c r="I890" s="13">
        <v>550000</v>
      </c>
      <c r="J890" s="13">
        <v>83000</v>
      </c>
      <c r="K890" s="13">
        <f>IF(J890&lt;'Mapa Oficinas'!$I$21,0,IF(J890&gt;'Mapa Oficinas'!$I$20,0,1))</f>
        <v>1</v>
      </c>
      <c r="L890" t="s">
        <v>23</v>
      </c>
      <c r="M890" t="s">
        <v>1927</v>
      </c>
      <c r="N890" t="s">
        <v>1928</v>
      </c>
      <c r="O890" t="s">
        <v>1929</v>
      </c>
      <c r="P890" t="s">
        <v>45</v>
      </c>
      <c r="Q890">
        <v>2</v>
      </c>
      <c r="R890" t="s">
        <v>110</v>
      </c>
      <c r="S890" t="s">
        <v>28</v>
      </c>
      <c r="T890" t="str">
        <f>VLOOKUP(S890,'Mapa Oficinas'!$H$7:$I$16,2,FALSE)</f>
        <v>CB</v>
      </c>
      <c r="U890" t="s">
        <v>29</v>
      </c>
      <c r="V890" t="str">
        <f>VLOOKUP($R890,'Mapa Oficinas'!$A$7:$C$46,2,FALSE)</f>
        <v>Zona Norte (GBA)</v>
      </c>
      <c r="W890" t="str">
        <f>VLOOKUP($R890,'Mapa Oficinas'!$A$7:$C$46,3,FALSE)</f>
        <v>Nordelta</v>
      </c>
    </row>
    <row r="891" spans="1:23" x14ac:dyDescent="0.2">
      <c r="A891" s="1">
        <v>45894</v>
      </c>
      <c r="B891" s="20">
        <f t="shared" si="26"/>
        <v>2025</v>
      </c>
      <c r="C891" s="20">
        <f t="shared" si="27"/>
        <v>8</v>
      </c>
      <c r="D891" t="s">
        <v>3739</v>
      </c>
      <c r="E891" s="49">
        <v>1</v>
      </c>
      <c r="F891" t="s">
        <v>3740</v>
      </c>
      <c r="G891" t="s">
        <v>21</v>
      </c>
      <c r="H891" t="s">
        <v>37</v>
      </c>
      <c r="I891" s="13">
        <v>84000</v>
      </c>
      <c r="J891" s="13">
        <v>83000</v>
      </c>
      <c r="K891" s="13">
        <f>IF(J891&lt;'Mapa Oficinas'!$I$21,0,IF(J891&gt;'Mapa Oficinas'!$I$20,0,1))</f>
        <v>1</v>
      </c>
      <c r="L891" t="s">
        <v>23</v>
      </c>
      <c r="M891" t="s">
        <v>23</v>
      </c>
      <c r="N891" t="s">
        <v>3741</v>
      </c>
      <c r="O891" t="s">
        <v>470</v>
      </c>
      <c r="P891" t="s">
        <v>45</v>
      </c>
      <c r="Q891">
        <v>2</v>
      </c>
      <c r="R891" t="s">
        <v>670</v>
      </c>
      <c r="S891" t="s">
        <v>28</v>
      </c>
      <c r="T891" t="str">
        <f>VLOOKUP(S891,'Mapa Oficinas'!$H$7:$I$16,2,FALSE)</f>
        <v>CB</v>
      </c>
      <c r="U891" t="s">
        <v>29</v>
      </c>
      <c r="V891" t="str">
        <f>VLOOKUP($R891,'Mapa Oficinas'!$A$7:$C$46,2,FALSE)</f>
        <v>CABA</v>
      </c>
      <c r="W891" t="str">
        <f>VLOOKUP($R891,'Mapa Oficinas'!$A$7:$C$46,3,FALSE)</f>
        <v>Recoleta</v>
      </c>
    </row>
    <row r="892" spans="1:23" x14ac:dyDescent="0.2">
      <c r="A892" s="1">
        <v>45898</v>
      </c>
      <c r="B892" s="20">
        <f t="shared" si="26"/>
        <v>2025</v>
      </c>
      <c r="C892" s="20">
        <f t="shared" si="27"/>
        <v>8</v>
      </c>
      <c r="D892" t="s">
        <v>3865</v>
      </c>
      <c r="E892" s="49">
        <v>1</v>
      </c>
      <c r="F892" t="s">
        <v>3866</v>
      </c>
      <c r="G892" t="s">
        <v>21</v>
      </c>
      <c r="H892" t="s">
        <v>37</v>
      </c>
      <c r="I892" s="13">
        <v>88000</v>
      </c>
      <c r="J892" s="13">
        <v>83000</v>
      </c>
      <c r="K892" s="13">
        <f>IF(J892&lt;'Mapa Oficinas'!$I$21,0,IF(J892&gt;'Mapa Oficinas'!$I$20,0,1))</f>
        <v>1</v>
      </c>
      <c r="L892" t="s">
        <v>23</v>
      </c>
      <c r="M892" t="s">
        <v>23</v>
      </c>
      <c r="N892" t="s">
        <v>3867</v>
      </c>
      <c r="O892" t="s">
        <v>534</v>
      </c>
      <c r="P892" t="s">
        <v>61</v>
      </c>
      <c r="Q892">
        <v>2</v>
      </c>
      <c r="R892" t="s">
        <v>46</v>
      </c>
      <c r="S892" t="s">
        <v>28</v>
      </c>
      <c r="T892" t="str">
        <f>VLOOKUP(S892,'Mapa Oficinas'!$H$7:$I$16,2,FALSE)</f>
        <v>CB</v>
      </c>
      <c r="U892" t="s">
        <v>29</v>
      </c>
      <c r="V892" t="str">
        <f>VLOOKUP($R892,'Mapa Oficinas'!$A$7:$C$46,2,FALSE)</f>
        <v>CABA</v>
      </c>
      <c r="W892" t="str">
        <f>VLOOKUP($R892,'Mapa Oficinas'!$A$7:$C$46,3,FALSE)</f>
        <v>Palermo</v>
      </c>
    </row>
    <row r="893" spans="1:23" x14ac:dyDescent="0.2">
      <c r="A893" s="1">
        <v>45915</v>
      </c>
      <c r="B893" s="20">
        <f t="shared" si="26"/>
        <v>2025</v>
      </c>
      <c r="C893" s="20">
        <f t="shared" si="27"/>
        <v>9</v>
      </c>
      <c r="D893" t="s">
        <v>4145</v>
      </c>
      <c r="E893" s="49">
        <v>1</v>
      </c>
      <c r="F893" t="s">
        <v>4146</v>
      </c>
      <c r="G893" t="s">
        <v>21</v>
      </c>
      <c r="H893" t="s">
        <v>37</v>
      </c>
      <c r="I893" s="13">
        <v>85000</v>
      </c>
      <c r="J893" s="13">
        <v>83000</v>
      </c>
      <c r="K893" s="13">
        <f>IF(J893&lt;'Mapa Oficinas'!$I$21,0,IF(J893&gt;'Mapa Oficinas'!$I$20,0,1))</f>
        <v>1</v>
      </c>
      <c r="L893" t="s">
        <v>23</v>
      </c>
      <c r="M893" t="s">
        <v>23</v>
      </c>
      <c r="N893" t="s">
        <v>4147</v>
      </c>
      <c r="O893" t="s">
        <v>50</v>
      </c>
      <c r="P893" t="s">
        <v>45</v>
      </c>
      <c r="Q893">
        <v>2</v>
      </c>
      <c r="R893" t="s">
        <v>62</v>
      </c>
      <c r="S893" t="s">
        <v>28</v>
      </c>
      <c r="T893" t="str">
        <f>VLOOKUP(S893,'Mapa Oficinas'!$H$7:$I$16,2,FALSE)</f>
        <v>CB</v>
      </c>
      <c r="U893" t="s">
        <v>29</v>
      </c>
      <c r="V893" t="str">
        <f>VLOOKUP($R893,'Mapa Oficinas'!$A$7:$C$46,2,FALSE)</f>
        <v>CABA</v>
      </c>
      <c r="W893" t="str">
        <f>VLOOKUP($R893,'Mapa Oficinas'!$A$7:$C$46,3,FALSE)</f>
        <v>Villa Urquiza</v>
      </c>
    </row>
    <row r="894" spans="1:23" x14ac:dyDescent="0.2">
      <c r="A894" s="1">
        <v>45915</v>
      </c>
      <c r="B894" s="20">
        <f t="shared" si="26"/>
        <v>2025</v>
      </c>
      <c r="C894" s="20">
        <f t="shared" si="27"/>
        <v>9</v>
      </c>
      <c r="D894" t="s">
        <v>4148</v>
      </c>
      <c r="E894" s="49">
        <v>1</v>
      </c>
      <c r="F894" t="s">
        <v>4149</v>
      </c>
      <c r="G894" t="s">
        <v>21</v>
      </c>
      <c r="H894" t="s">
        <v>37</v>
      </c>
      <c r="I894" s="13">
        <v>89000</v>
      </c>
      <c r="J894" s="13">
        <v>83000</v>
      </c>
      <c r="K894" s="13">
        <f>IF(J894&lt;'Mapa Oficinas'!$I$21,0,IF(J894&gt;'Mapa Oficinas'!$I$20,0,1))</f>
        <v>1</v>
      </c>
      <c r="L894" t="s">
        <v>23</v>
      </c>
      <c r="M894" t="s">
        <v>23</v>
      </c>
      <c r="N894" t="s">
        <v>4149</v>
      </c>
      <c r="O894" t="s">
        <v>50</v>
      </c>
      <c r="P894" t="s">
        <v>45</v>
      </c>
      <c r="Q894">
        <v>2</v>
      </c>
      <c r="R894" t="s">
        <v>257</v>
      </c>
      <c r="S894" t="s">
        <v>28</v>
      </c>
      <c r="T894" t="str">
        <f>VLOOKUP(S894,'Mapa Oficinas'!$H$7:$I$16,2,FALSE)</f>
        <v>CB</v>
      </c>
      <c r="U894" t="s">
        <v>29</v>
      </c>
      <c r="V894" t="str">
        <f>VLOOKUP($R894,'Mapa Oficinas'!$A$7:$C$46,2,FALSE)</f>
        <v>Zona Norte (GBA)</v>
      </c>
      <c r="W894" t="str">
        <f>VLOOKUP($R894,'Mapa Oficinas'!$A$7:$C$46,3,FALSE)</f>
        <v>Pilar</v>
      </c>
    </row>
    <row r="895" spans="1:23" x14ac:dyDescent="0.2">
      <c r="A895" s="1">
        <v>46020</v>
      </c>
      <c r="B895" s="20">
        <f t="shared" si="26"/>
        <v>2025</v>
      </c>
      <c r="C895" s="20">
        <f t="shared" si="27"/>
        <v>12</v>
      </c>
      <c r="D895" t="s">
        <v>6056</v>
      </c>
      <c r="E895" s="49">
        <v>1</v>
      </c>
      <c r="F895" t="s">
        <v>6057</v>
      </c>
      <c r="G895" t="s">
        <v>21</v>
      </c>
      <c r="H895" t="s">
        <v>81</v>
      </c>
      <c r="I895" s="13">
        <v>85000</v>
      </c>
      <c r="J895" s="13">
        <v>83000</v>
      </c>
      <c r="K895" s="13">
        <f>IF(J895&lt;'Mapa Oficinas'!$I$21,0,IF(J895&gt;'Mapa Oficinas'!$I$20,0,1))</f>
        <v>1</v>
      </c>
      <c r="L895" t="s">
        <v>23</v>
      </c>
      <c r="M895" t="s">
        <v>23</v>
      </c>
      <c r="N895" t="s">
        <v>6058</v>
      </c>
      <c r="O895" t="s">
        <v>6059</v>
      </c>
      <c r="P895" t="s">
        <v>45</v>
      </c>
      <c r="Q895">
        <v>2</v>
      </c>
      <c r="R895" t="s">
        <v>5631</v>
      </c>
      <c r="S895" t="s">
        <v>28</v>
      </c>
      <c r="T895" t="str">
        <f>VLOOKUP(S895,'Mapa Oficinas'!$H$7:$I$16,2,FALSE)</f>
        <v>CB</v>
      </c>
      <c r="U895" t="s">
        <v>29</v>
      </c>
      <c r="V895" t="str">
        <f>VLOOKUP($R895,'Mapa Oficinas'!$A$7:$C$46,2,FALSE)</f>
        <v>CABA</v>
      </c>
      <c r="W895" t="str">
        <f>VLOOKUP($R895,'Mapa Oficinas'!$A$7:$C$46,3,FALSE)</f>
        <v>Caballito</v>
      </c>
    </row>
    <row r="896" spans="1:23" x14ac:dyDescent="0.2">
      <c r="A896" s="1">
        <v>46036</v>
      </c>
      <c r="B896" s="20">
        <f t="shared" si="26"/>
        <v>2026</v>
      </c>
      <c r="C896" s="20">
        <f t="shared" si="27"/>
        <v>1</v>
      </c>
      <c r="D896" t="s">
        <v>6215</v>
      </c>
      <c r="E896" s="49">
        <v>1</v>
      </c>
      <c r="F896" t="s">
        <v>6216</v>
      </c>
      <c r="G896" t="s">
        <v>21</v>
      </c>
      <c r="H896" t="s">
        <v>37</v>
      </c>
      <c r="I896" s="13">
        <v>89000</v>
      </c>
      <c r="J896" s="13">
        <v>83000</v>
      </c>
      <c r="K896" s="13">
        <f>IF(J896&lt;'Mapa Oficinas'!$I$21,0,IF(J896&gt;'Mapa Oficinas'!$I$20,0,1))</f>
        <v>1</v>
      </c>
      <c r="L896" t="s">
        <v>23</v>
      </c>
      <c r="M896" t="s">
        <v>23</v>
      </c>
      <c r="N896" t="s">
        <v>6217</v>
      </c>
      <c r="O896" t="s">
        <v>390</v>
      </c>
      <c r="P896" t="s">
        <v>45</v>
      </c>
      <c r="Q896">
        <v>2</v>
      </c>
      <c r="R896" t="s">
        <v>1605</v>
      </c>
      <c r="S896" t="s">
        <v>28</v>
      </c>
      <c r="T896" t="str">
        <f>VLOOKUP(S896,'Mapa Oficinas'!$H$7:$I$16,2,FALSE)</f>
        <v>CB</v>
      </c>
      <c r="U896" t="s">
        <v>29</v>
      </c>
      <c r="V896" t="str">
        <f>VLOOKUP($R896,'Mapa Oficinas'!$A$7:$C$46,2,FALSE)</f>
        <v>CABA</v>
      </c>
      <c r="W896" t="str">
        <f>VLOOKUP($R896,'Mapa Oficinas'!$A$7:$C$46,3,FALSE)</f>
        <v>Núñez</v>
      </c>
    </row>
    <row r="897" spans="1:23" x14ac:dyDescent="0.2">
      <c r="A897" s="1">
        <v>46050</v>
      </c>
      <c r="B897" s="20">
        <f t="shared" si="26"/>
        <v>2026</v>
      </c>
      <c r="C897" s="20">
        <f t="shared" si="27"/>
        <v>1</v>
      </c>
      <c r="D897" t="s">
        <v>6435</v>
      </c>
      <c r="E897" s="49">
        <v>1</v>
      </c>
      <c r="F897" t="s">
        <v>6436</v>
      </c>
      <c r="G897" t="s">
        <v>21</v>
      </c>
      <c r="H897" t="s">
        <v>37</v>
      </c>
      <c r="I897" s="13">
        <v>31000</v>
      </c>
      <c r="J897" s="13">
        <v>83000</v>
      </c>
      <c r="K897" s="13">
        <f>IF(J897&lt;'Mapa Oficinas'!$I$21,0,IF(J897&gt;'Mapa Oficinas'!$I$20,0,1))</f>
        <v>1</v>
      </c>
      <c r="L897" t="s">
        <v>23</v>
      </c>
      <c r="M897" t="s">
        <v>23</v>
      </c>
      <c r="N897" t="s">
        <v>6437</v>
      </c>
      <c r="O897" t="s">
        <v>1260</v>
      </c>
      <c r="P897" t="s">
        <v>45</v>
      </c>
      <c r="Q897">
        <v>2</v>
      </c>
      <c r="R897" t="s">
        <v>67</v>
      </c>
      <c r="S897" t="s">
        <v>28</v>
      </c>
      <c r="T897" t="str">
        <f>VLOOKUP(S897,'Mapa Oficinas'!$H$7:$I$16,2,FALSE)</f>
        <v>CB</v>
      </c>
      <c r="U897" t="s">
        <v>29</v>
      </c>
      <c r="V897" t="str">
        <f>VLOOKUP($R897,'Mapa Oficinas'!$A$7:$C$46,2,FALSE)</f>
        <v>CABA</v>
      </c>
      <c r="W897" t="str">
        <f>VLOOKUP($R897,'Mapa Oficinas'!$A$7:$C$46,3,FALSE)</f>
        <v>Barrio Parque</v>
      </c>
    </row>
    <row r="898" spans="1:23" x14ac:dyDescent="0.2">
      <c r="A898" s="1">
        <v>46087</v>
      </c>
      <c r="B898" s="20">
        <f t="shared" ref="B898:B961" si="28">YEAR($A898)</f>
        <v>2026</v>
      </c>
      <c r="C898" s="20">
        <f t="shared" ref="C898:C961" si="29">MONTH($A898)</f>
        <v>3</v>
      </c>
      <c r="D898" t="s">
        <v>6993</v>
      </c>
      <c r="E898" s="49">
        <v>1</v>
      </c>
      <c r="F898" t="s">
        <v>6994</v>
      </c>
      <c r="G898" t="s">
        <v>21</v>
      </c>
      <c r="H898" t="s">
        <v>22</v>
      </c>
      <c r="I898" s="13">
        <v>69900</v>
      </c>
      <c r="J898" s="13">
        <v>83000</v>
      </c>
      <c r="K898" s="13">
        <f>IF(J898&lt;'Mapa Oficinas'!$I$21,0,IF(J898&gt;'Mapa Oficinas'!$I$20,0,1))</f>
        <v>1</v>
      </c>
      <c r="L898" t="s">
        <v>23</v>
      </c>
      <c r="M898" t="s">
        <v>23</v>
      </c>
      <c r="N898" t="s">
        <v>6995</v>
      </c>
      <c r="O898" t="s">
        <v>3811</v>
      </c>
      <c r="P898" t="s">
        <v>45</v>
      </c>
      <c r="Q898">
        <v>2</v>
      </c>
      <c r="R898" t="s">
        <v>5367</v>
      </c>
      <c r="S898" t="s">
        <v>28</v>
      </c>
      <c r="T898" t="str">
        <f>VLOOKUP(S898,'Mapa Oficinas'!$H$7:$I$16,2,FALSE)</f>
        <v>CB</v>
      </c>
      <c r="U898" t="s">
        <v>29</v>
      </c>
      <c r="V898" t="str">
        <f>VLOOKUP($R898,'Mapa Oficinas'!$A$7:$C$46,2,FALSE)</f>
        <v>CABA</v>
      </c>
      <c r="W898" t="str">
        <f>VLOOKUP($R898,'Mapa Oficinas'!$A$7:$C$46,3,FALSE)</f>
        <v>Retiro</v>
      </c>
    </row>
    <row r="899" spans="1:23" x14ac:dyDescent="0.2">
      <c r="A899" s="1">
        <v>46090</v>
      </c>
      <c r="B899" s="20">
        <f t="shared" si="28"/>
        <v>2026</v>
      </c>
      <c r="C899" s="20">
        <f t="shared" si="29"/>
        <v>3</v>
      </c>
      <c r="D899" t="s">
        <v>7036</v>
      </c>
      <c r="E899" s="49">
        <v>1</v>
      </c>
      <c r="F899" t="s">
        <v>7037</v>
      </c>
      <c r="G899" t="s">
        <v>21</v>
      </c>
      <c r="H899" t="s">
        <v>37</v>
      </c>
      <c r="I899" s="13">
        <v>90000</v>
      </c>
      <c r="J899" s="13">
        <v>83000</v>
      </c>
      <c r="K899" s="13">
        <f>IF(J899&lt;'Mapa Oficinas'!$I$21,0,IF(J899&gt;'Mapa Oficinas'!$I$20,0,1))</f>
        <v>1</v>
      </c>
      <c r="L899" t="s">
        <v>23</v>
      </c>
      <c r="M899" t="s">
        <v>23</v>
      </c>
      <c r="N899" t="s">
        <v>7038</v>
      </c>
      <c r="O899" t="s">
        <v>50</v>
      </c>
      <c r="P899" t="s">
        <v>45</v>
      </c>
      <c r="Q899">
        <v>2</v>
      </c>
      <c r="R899" t="s">
        <v>670</v>
      </c>
      <c r="S899" t="s">
        <v>28</v>
      </c>
      <c r="T899" t="str">
        <f>VLOOKUP(S899,'Mapa Oficinas'!$H$7:$I$16,2,FALSE)</f>
        <v>CB</v>
      </c>
      <c r="U899" t="s">
        <v>29</v>
      </c>
      <c r="V899" t="str">
        <f>VLOOKUP($R899,'Mapa Oficinas'!$A$7:$C$46,2,FALSE)</f>
        <v>CABA</v>
      </c>
      <c r="W899" t="str">
        <f>VLOOKUP($R899,'Mapa Oficinas'!$A$7:$C$46,3,FALSE)</f>
        <v>Recoleta</v>
      </c>
    </row>
    <row r="900" spans="1:23" x14ac:dyDescent="0.2">
      <c r="A900" s="1">
        <v>46090</v>
      </c>
      <c r="B900" s="20">
        <f t="shared" si="28"/>
        <v>2026</v>
      </c>
      <c r="C900" s="20">
        <f t="shared" si="29"/>
        <v>3</v>
      </c>
      <c r="D900" t="s">
        <v>7039</v>
      </c>
      <c r="E900" s="49">
        <v>1</v>
      </c>
      <c r="F900" t="s">
        <v>7039</v>
      </c>
      <c r="G900" t="s">
        <v>21</v>
      </c>
      <c r="H900" t="s">
        <v>90</v>
      </c>
      <c r="I900" s="13">
        <v>83400</v>
      </c>
      <c r="J900" s="13">
        <v>83400</v>
      </c>
      <c r="K900" s="13">
        <f>IF(J900&lt;'Mapa Oficinas'!$I$21,0,IF(J900&gt;'Mapa Oficinas'!$I$20,0,1))</f>
        <v>1</v>
      </c>
      <c r="L900" t="s">
        <v>23</v>
      </c>
      <c r="M900" t="s">
        <v>23</v>
      </c>
      <c r="O900" t="s">
        <v>102</v>
      </c>
      <c r="P900" t="s">
        <v>34</v>
      </c>
      <c r="Q900">
        <v>1</v>
      </c>
      <c r="R900" t="s">
        <v>103</v>
      </c>
      <c r="S900" t="s">
        <v>152</v>
      </c>
      <c r="T900" t="str">
        <f>VLOOKUP(S900,'Mapa Oficinas'!$H$7:$I$16,2,FALSE)</f>
        <v>Otra Red Captación</v>
      </c>
      <c r="U900" t="s">
        <v>29</v>
      </c>
      <c r="V900" t="str">
        <f>VLOOKUP($R900,'Mapa Oficinas'!$A$7:$C$46,2,FALSE)</f>
        <v>Zona Sur (GBA)</v>
      </c>
      <c r="W900" t="str">
        <f>VLOOKUP($R900,'Mapa Oficinas'!$A$7:$C$46,3,FALSE)</f>
        <v>La Plata</v>
      </c>
    </row>
    <row r="901" spans="1:23" x14ac:dyDescent="0.2">
      <c r="A901" s="1">
        <v>45993</v>
      </c>
      <c r="B901" s="20">
        <f t="shared" si="28"/>
        <v>2025</v>
      </c>
      <c r="C901" s="20">
        <f t="shared" si="29"/>
        <v>12</v>
      </c>
      <c r="D901" t="s">
        <v>5591</v>
      </c>
      <c r="E901" s="49">
        <v>1</v>
      </c>
      <c r="F901" t="s">
        <v>5592</v>
      </c>
      <c r="G901" t="s">
        <v>21</v>
      </c>
      <c r="H901" t="s">
        <v>37</v>
      </c>
      <c r="I901" s="13">
        <v>105000</v>
      </c>
      <c r="J901" s="13">
        <v>83400</v>
      </c>
      <c r="K901" s="13">
        <f>IF(J901&lt;'Mapa Oficinas'!$I$21,0,IF(J901&gt;'Mapa Oficinas'!$I$20,0,1))</f>
        <v>1</v>
      </c>
      <c r="L901" t="s">
        <v>23</v>
      </c>
      <c r="M901" t="s">
        <v>23</v>
      </c>
      <c r="N901" t="s">
        <v>5593</v>
      </c>
      <c r="O901" t="s">
        <v>634</v>
      </c>
      <c r="P901" t="s">
        <v>61</v>
      </c>
      <c r="Q901">
        <v>2</v>
      </c>
      <c r="R901" t="s">
        <v>62</v>
      </c>
      <c r="S901" t="s">
        <v>28</v>
      </c>
      <c r="T901" t="str">
        <f>VLOOKUP(S901,'Mapa Oficinas'!$H$7:$I$16,2,FALSE)</f>
        <v>CB</v>
      </c>
      <c r="U901" t="s">
        <v>29</v>
      </c>
      <c r="V901" t="str">
        <f>VLOOKUP($R901,'Mapa Oficinas'!$A$7:$C$46,2,FALSE)</f>
        <v>CABA</v>
      </c>
      <c r="W901" t="str">
        <f>VLOOKUP($R901,'Mapa Oficinas'!$A$7:$C$46,3,FALSE)</f>
        <v>Villa Urquiza</v>
      </c>
    </row>
    <row r="902" spans="1:23" x14ac:dyDescent="0.2">
      <c r="A902" s="1">
        <v>45800</v>
      </c>
      <c r="B902" s="20">
        <f t="shared" si="28"/>
        <v>2025</v>
      </c>
      <c r="C902" s="20">
        <f t="shared" si="29"/>
        <v>5</v>
      </c>
      <c r="D902" t="s">
        <v>2107</v>
      </c>
      <c r="E902" s="49">
        <v>1</v>
      </c>
      <c r="F902" t="s">
        <v>2108</v>
      </c>
      <c r="G902" t="s">
        <v>21</v>
      </c>
      <c r="H902" t="s">
        <v>81</v>
      </c>
      <c r="I902" s="13">
        <v>88000</v>
      </c>
      <c r="J902" s="13">
        <v>83500</v>
      </c>
      <c r="K902" s="13">
        <f>IF(J902&lt;'Mapa Oficinas'!$I$21,0,IF(J902&gt;'Mapa Oficinas'!$I$20,0,1))</f>
        <v>1</v>
      </c>
      <c r="L902" t="s">
        <v>23</v>
      </c>
      <c r="M902" t="s">
        <v>23</v>
      </c>
      <c r="N902" t="s">
        <v>2109</v>
      </c>
      <c r="O902" t="s">
        <v>102</v>
      </c>
      <c r="P902" t="s">
        <v>61</v>
      </c>
      <c r="Q902">
        <v>1</v>
      </c>
      <c r="R902" t="s">
        <v>103</v>
      </c>
      <c r="S902" t="s">
        <v>47</v>
      </c>
      <c r="T902" t="str">
        <f>VLOOKUP(S902,'Mapa Oficinas'!$H$7:$I$16,2,FALSE)</f>
        <v>Otra Red Búsqueda</v>
      </c>
      <c r="U902" t="s">
        <v>29</v>
      </c>
      <c r="V902" t="str">
        <f>VLOOKUP($R902,'Mapa Oficinas'!$A$7:$C$46,2,FALSE)</f>
        <v>Zona Sur (GBA)</v>
      </c>
      <c r="W902" t="str">
        <f>VLOOKUP($R902,'Mapa Oficinas'!$A$7:$C$46,3,FALSE)</f>
        <v>La Plata</v>
      </c>
    </row>
    <row r="903" spans="1:23" x14ac:dyDescent="0.2">
      <c r="A903" s="1">
        <v>45905</v>
      </c>
      <c r="B903" s="20">
        <f t="shared" si="28"/>
        <v>2025</v>
      </c>
      <c r="C903" s="20">
        <f t="shared" si="29"/>
        <v>9</v>
      </c>
      <c r="D903" t="s">
        <v>4006</v>
      </c>
      <c r="E903" s="49">
        <v>3</v>
      </c>
      <c r="F903" t="s">
        <v>4007</v>
      </c>
      <c r="G903" t="s">
        <v>21</v>
      </c>
      <c r="H903" t="s">
        <v>76</v>
      </c>
      <c r="I903" s="13">
        <v>85000</v>
      </c>
      <c r="J903" s="13">
        <v>83500</v>
      </c>
      <c r="K903" s="13">
        <f>IF(J903&lt;'Mapa Oficinas'!$I$21,0,IF(J903&gt;'Mapa Oficinas'!$I$20,0,1))</f>
        <v>1</v>
      </c>
      <c r="L903" t="s">
        <v>23</v>
      </c>
      <c r="M903" t="s">
        <v>23</v>
      </c>
      <c r="N903" t="s">
        <v>4007</v>
      </c>
      <c r="O903" t="s">
        <v>4008</v>
      </c>
      <c r="P903" t="s">
        <v>45</v>
      </c>
      <c r="Q903">
        <v>2</v>
      </c>
      <c r="R903" t="s">
        <v>257</v>
      </c>
      <c r="S903" t="s">
        <v>241</v>
      </c>
      <c r="T903" t="str">
        <f>VLOOKUP(S903,'Mapa Oficinas'!$H$7:$I$16,2,FALSE)</f>
        <v>CB</v>
      </c>
      <c r="U903" t="s">
        <v>29</v>
      </c>
      <c r="V903" t="str">
        <f>VLOOKUP($R903,'Mapa Oficinas'!$A$7:$C$46,2,FALSE)</f>
        <v>Zona Norte (GBA)</v>
      </c>
      <c r="W903" t="str">
        <f>VLOOKUP($R903,'Mapa Oficinas'!$A$7:$C$46,3,FALSE)</f>
        <v>Pilar</v>
      </c>
    </row>
    <row r="904" spans="1:23" x14ac:dyDescent="0.2">
      <c r="A904" s="1">
        <v>45874</v>
      </c>
      <c r="B904" s="20">
        <f t="shared" si="28"/>
        <v>2025</v>
      </c>
      <c r="C904" s="20">
        <f t="shared" si="29"/>
        <v>8</v>
      </c>
      <c r="D904" t="s">
        <v>3418</v>
      </c>
      <c r="E904" s="49">
        <v>1</v>
      </c>
      <c r="F904" t="s">
        <v>3419</v>
      </c>
      <c r="G904" t="s">
        <v>21</v>
      </c>
      <c r="H904" t="s">
        <v>37</v>
      </c>
      <c r="I904" s="13">
        <v>90000</v>
      </c>
      <c r="J904" s="13">
        <v>83500</v>
      </c>
      <c r="K904" s="13">
        <f>IF(J904&lt;'Mapa Oficinas'!$I$21,0,IF(J904&gt;'Mapa Oficinas'!$I$20,0,1))</f>
        <v>1</v>
      </c>
      <c r="L904" t="s">
        <v>23</v>
      </c>
      <c r="M904" t="s">
        <v>23</v>
      </c>
      <c r="N904" t="s">
        <v>3420</v>
      </c>
      <c r="O904" t="s">
        <v>2084</v>
      </c>
      <c r="P904" t="s">
        <v>45</v>
      </c>
      <c r="Q904">
        <v>2</v>
      </c>
      <c r="R904" t="s">
        <v>135</v>
      </c>
      <c r="S904" t="s">
        <v>28</v>
      </c>
      <c r="T904" t="str">
        <f>VLOOKUP(S904,'Mapa Oficinas'!$H$7:$I$16,2,FALSE)</f>
        <v>CB</v>
      </c>
      <c r="U904" t="s">
        <v>29</v>
      </c>
      <c r="V904" t="str">
        <f>VLOOKUP($R904,'Mapa Oficinas'!$A$7:$C$46,2,FALSE)</f>
        <v>CABA</v>
      </c>
      <c r="W904" t="str">
        <f>VLOOKUP($R904,'Mapa Oficinas'!$A$7:$C$46,3,FALSE)</f>
        <v>Recoleta</v>
      </c>
    </row>
    <row r="905" spans="1:23" x14ac:dyDescent="0.2">
      <c r="A905" s="1">
        <v>45807</v>
      </c>
      <c r="B905" s="20">
        <f t="shared" si="28"/>
        <v>2025</v>
      </c>
      <c r="C905" s="20">
        <f t="shared" si="29"/>
        <v>5</v>
      </c>
      <c r="D905" t="s">
        <v>2237</v>
      </c>
      <c r="E905" s="49">
        <v>1</v>
      </c>
      <c r="F905" t="s">
        <v>2238</v>
      </c>
      <c r="G905" t="s">
        <v>21</v>
      </c>
      <c r="H905" t="s">
        <v>37</v>
      </c>
      <c r="I905" s="13">
        <v>83000</v>
      </c>
      <c r="J905" s="13">
        <v>83700</v>
      </c>
      <c r="K905" s="13">
        <f>IF(J905&lt;'Mapa Oficinas'!$I$21,0,IF(J905&gt;'Mapa Oficinas'!$I$20,0,1))</f>
        <v>1</v>
      </c>
      <c r="L905" t="s">
        <v>23</v>
      </c>
      <c r="M905" t="s">
        <v>23</v>
      </c>
      <c r="N905" t="s">
        <v>91</v>
      </c>
      <c r="O905" t="s">
        <v>92</v>
      </c>
      <c r="P905" t="s">
        <v>45</v>
      </c>
      <c r="Q905">
        <v>2</v>
      </c>
      <c r="R905" t="s">
        <v>62</v>
      </c>
      <c r="S905" t="s">
        <v>28</v>
      </c>
      <c r="T905" t="str">
        <f>VLOOKUP(S905,'Mapa Oficinas'!$H$7:$I$16,2,FALSE)</f>
        <v>CB</v>
      </c>
      <c r="U905" t="s">
        <v>29</v>
      </c>
      <c r="V905" t="str">
        <f>VLOOKUP($R905,'Mapa Oficinas'!$A$7:$C$46,2,FALSE)</f>
        <v>CABA</v>
      </c>
      <c r="W905" t="str">
        <f>VLOOKUP($R905,'Mapa Oficinas'!$A$7:$C$46,3,FALSE)</f>
        <v>Villa Urquiza</v>
      </c>
    </row>
    <row r="906" spans="1:23" x14ac:dyDescent="0.2">
      <c r="A906" s="1">
        <v>45741</v>
      </c>
      <c r="B906" s="20">
        <f t="shared" si="28"/>
        <v>2025</v>
      </c>
      <c r="C906" s="20">
        <f t="shared" si="29"/>
        <v>3</v>
      </c>
      <c r="E906" s="49">
        <v>1</v>
      </c>
      <c r="F906" t="s">
        <v>1081</v>
      </c>
      <c r="G906" t="s">
        <v>21</v>
      </c>
      <c r="H906" t="s">
        <v>97</v>
      </c>
      <c r="I906" s="13">
        <v>84000</v>
      </c>
      <c r="J906" s="13">
        <v>84000</v>
      </c>
      <c r="K906" s="13">
        <f>IF(J906&lt;'Mapa Oficinas'!$I$21,0,IF(J906&gt;'Mapa Oficinas'!$I$20,0,1))</f>
        <v>1</v>
      </c>
      <c r="L906" t="s">
        <v>23</v>
      </c>
      <c r="M906" t="s">
        <v>23</v>
      </c>
      <c r="N906" t="s">
        <v>1082</v>
      </c>
      <c r="O906" t="s">
        <v>1083</v>
      </c>
      <c r="P906" t="s">
        <v>45</v>
      </c>
      <c r="Q906">
        <v>1</v>
      </c>
      <c r="R906" t="s">
        <v>84</v>
      </c>
      <c r="S906" t="s">
        <v>122</v>
      </c>
      <c r="T906" t="str">
        <f>VLOOKUP(S906,'Mapa Oficinas'!$H$7:$I$16,2,FALSE)</f>
        <v>Otra Red Búsqueda</v>
      </c>
      <c r="U906" t="s">
        <v>29</v>
      </c>
      <c r="V906" t="str">
        <f>VLOOKUP($R906,'Mapa Oficinas'!$A$7:$C$46,2,FALSE)</f>
        <v>Interior - Neuquén</v>
      </c>
      <c r="W906" t="str">
        <f>VLOOKUP($R906,'Mapa Oficinas'!$A$7:$C$46,3,FALSE)</f>
        <v>Villa La Angostura</v>
      </c>
    </row>
    <row r="907" spans="1:23" x14ac:dyDescent="0.2">
      <c r="A907" s="1">
        <v>45790</v>
      </c>
      <c r="B907" s="20">
        <f t="shared" si="28"/>
        <v>2025</v>
      </c>
      <c r="C907" s="20">
        <f t="shared" si="29"/>
        <v>5</v>
      </c>
      <c r="E907" s="49">
        <v>1</v>
      </c>
      <c r="F907" t="s">
        <v>1898</v>
      </c>
      <c r="G907" t="s">
        <v>21</v>
      </c>
      <c r="H907" t="s">
        <v>81</v>
      </c>
      <c r="I907" s="13">
        <v>84000</v>
      </c>
      <c r="J907" s="13">
        <v>84000</v>
      </c>
      <c r="K907" s="13">
        <f>IF(J907&lt;'Mapa Oficinas'!$I$21,0,IF(J907&gt;'Mapa Oficinas'!$I$20,0,1))</f>
        <v>1</v>
      </c>
      <c r="L907" t="s">
        <v>23</v>
      </c>
      <c r="M907" t="s">
        <v>23</v>
      </c>
      <c r="O907" t="s">
        <v>870</v>
      </c>
      <c r="P907" t="s">
        <v>26</v>
      </c>
      <c r="Q907">
        <v>1</v>
      </c>
      <c r="R907" t="s">
        <v>130</v>
      </c>
      <c r="S907" t="s">
        <v>122</v>
      </c>
      <c r="T907" t="str">
        <f>VLOOKUP(S907,'Mapa Oficinas'!$H$7:$I$16,2,FALSE)</f>
        <v>Otra Red Búsqueda</v>
      </c>
      <c r="U907" t="s">
        <v>29</v>
      </c>
      <c r="V907" t="str">
        <f>VLOOKUP($R907,'Mapa Oficinas'!$A$7:$C$46,2,FALSE)</f>
        <v>Interior - Neuquén</v>
      </c>
      <c r="W907" t="str">
        <f>VLOOKUP($R907,'Mapa Oficinas'!$A$7:$C$46,3,FALSE)</f>
        <v>San Martín de los Andes</v>
      </c>
    </row>
    <row r="908" spans="1:23" x14ac:dyDescent="0.2">
      <c r="A908" s="1">
        <v>45952</v>
      </c>
      <c r="B908" s="20">
        <f t="shared" si="28"/>
        <v>2025</v>
      </c>
      <c r="C908" s="20">
        <f t="shared" si="29"/>
        <v>10</v>
      </c>
      <c r="D908" t="s">
        <v>4837</v>
      </c>
      <c r="E908" s="49">
        <v>1</v>
      </c>
      <c r="F908" t="s">
        <v>4837</v>
      </c>
      <c r="G908" t="s">
        <v>21</v>
      </c>
      <c r="H908" t="s">
        <v>37</v>
      </c>
      <c r="I908" s="13">
        <v>85000</v>
      </c>
      <c r="J908" s="13">
        <v>84000</v>
      </c>
      <c r="K908" s="13">
        <f>IF(J908&lt;'Mapa Oficinas'!$I$21,0,IF(J908&gt;'Mapa Oficinas'!$I$20,0,1))</f>
        <v>1</v>
      </c>
      <c r="L908" t="s">
        <v>23</v>
      </c>
      <c r="M908" t="s">
        <v>23</v>
      </c>
      <c r="N908" t="s">
        <v>4837</v>
      </c>
      <c r="O908" t="s">
        <v>390</v>
      </c>
      <c r="P908" t="s">
        <v>45</v>
      </c>
      <c r="Q908">
        <v>1</v>
      </c>
      <c r="R908" t="s">
        <v>495</v>
      </c>
      <c r="S908" t="s">
        <v>122</v>
      </c>
      <c r="T908" t="str">
        <f>VLOOKUP(S908,'Mapa Oficinas'!$H$7:$I$16,2,FALSE)</f>
        <v>Otra Red Búsqueda</v>
      </c>
      <c r="U908" t="s">
        <v>29</v>
      </c>
      <c r="V908" t="str">
        <f>VLOOKUP($R908,'Mapa Oficinas'!$A$7:$C$46,2,FALSE)</f>
        <v>Zona Norte (GBA)</v>
      </c>
      <c r="W908" t="str">
        <f>VLOOKUP($R908,'Mapa Oficinas'!$A$7:$C$46,3,FALSE)</f>
        <v>Escobar</v>
      </c>
    </row>
    <row r="909" spans="1:23" x14ac:dyDescent="0.2">
      <c r="A909" s="1">
        <v>46042</v>
      </c>
      <c r="B909" s="20">
        <f t="shared" si="28"/>
        <v>2026</v>
      </c>
      <c r="C909" s="20">
        <f t="shared" si="29"/>
        <v>1</v>
      </c>
      <c r="D909" t="s">
        <v>6323</v>
      </c>
      <c r="E909" s="49">
        <v>1</v>
      </c>
      <c r="F909" t="s">
        <v>6324</v>
      </c>
      <c r="G909" t="s">
        <v>21</v>
      </c>
      <c r="H909" t="s">
        <v>221</v>
      </c>
      <c r="I909" s="13">
        <v>86900</v>
      </c>
      <c r="J909" s="13">
        <v>84000</v>
      </c>
      <c r="K909" s="13">
        <f>IF(J909&lt;'Mapa Oficinas'!$I$21,0,IF(J909&gt;'Mapa Oficinas'!$I$20,0,1))</f>
        <v>1</v>
      </c>
      <c r="L909" t="s">
        <v>23</v>
      </c>
      <c r="M909" t="s">
        <v>23</v>
      </c>
      <c r="N909" t="s">
        <v>6325</v>
      </c>
      <c r="O909" t="s">
        <v>1469</v>
      </c>
      <c r="P909" t="s">
        <v>45</v>
      </c>
      <c r="Q909">
        <v>1</v>
      </c>
      <c r="R909" t="s">
        <v>167</v>
      </c>
      <c r="S909" t="s">
        <v>152</v>
      </c>
      <c r="T909" t="str">
        <f>VLOOKUP(S909,'Mapa Oficinas'!$H$7:$I$16,2,FALSE)</f>
        <v>Otra Red Captación</v>
      </c>
      <c r="U909" t="s">
        <v>29</v>
      </c>
      <c r="V909" t="str">
        <f>VLOOKUP($R909,'Mapa Oficinas'!$A$7:$C$46,2,FALSE)</f>
        <v>Interior - Santa Fe</v>
      </c>
      <c r="W909" t="str">
        <f>VLOOKUP($R909,'Mapa Oficinas'!$A$7:$C$46,3,FALSE)</f>
        <v>Capital Santa Fe</v>
      </c>
    </row>
    <row r="910" spans="1:23" x14ac:dyDescent="0.2">
      <c r="A910" s="1">
        <v>45863</v>
      </c>
      <c r="B910" s="20">
        <f t="shared" si="28"/>
        <v>2025</v>
      </c>
      <c r="C910" s="20">
        <f t="shared" si="29"/>
        <v>7</v>
      </c>
      <c r="D910" t="s">
        <v>3218</v>
      </c>
      <c r="E910" s="49">
        <v>1</v>
      </c>
      <c r="F910" t="s">
        <v>3219</v>
      </c>
      <c r="G910" t="s">
        <v>21</v>
      </c>
      <c r="H910" t="s">
        <v>37</v>
      </c>
      <c r="I910" s="13">
        <v>90000</v>
      </c>
      <c r="J910" s="13">
        <v>84000</v>
      </c>
      <c r="K910" s="13">
        <f>IF(J910&lt;'Mapa Oficinas'!$I$21,0,IF(J910&gt;'Mapa Oficinas'!$I$20,0,1))</f>
        <v>1</v>
      </c>
      <c r="L910" t="s">
        <v>23</v>
      </c>
      <c r="M910" t="s">
        <v>23</v>
      </c>
      <c r="N910" t="s">
        <v>3220</v>
      </c>
      <c r="O910" t="s">
        <v>92</v>
      </c>
      <c r="P910" t="s">
        <v>61</v>
      </c>
      <c r="Q910">
        <v>2</v>
      </c>
      <c r="R910" t="s">
        <v>56</v>
      </c>
      <c r="S910" t="s">
        <v>79</v>
      </c>
      <c r="T910" t="str">
        <f>VLOOKUP(S910,'Mapa Oficinas'!$H$7:$I$16,2,FALSE)</f>
        <v>CB</v>
      </c>
      <c r="U910" t="s">
        <v>29</v>
      </c>
      <c r="V910" t="str">
        <f>VLOOKUP($R910,'Mapa Oficinas'!$A$7:$C$46,2,FALSE)</f>
        <v>Zona Norte (GBA)</v>
      </c>
      <c r="W910" t="str">
        <f>VLOOKUP($R910,'Mapa Oficinas'!$A$7:$C$46,3,FALSE)</f>
        <v>Vicente López</v>
      </c>
    </row>
    <row r="911" spans="1:23" x14ac:dyDescent="0.2">
      <c r="A911" s="1">
        <v>45687</v>
      </c>
      <c r="B911" s="20">
        <f t="shared" si="28"/>
        <v>2025</v>
      </c>
      <c r="C911" s="20">
        <f t="shared" si="29"/>
        <v>1</v>
      </c>
      <c r="D911" t="s">
        <v>437</v>
      </c>
      <c r="E911" s="49">
        <v>1</v>
      </c>
      <c r="F911" t="s">
        <v>438</v>
      </c>
      <c r="G911" t="s">
        <v>21</v>
      </c>
      <c r="H911" t="s">
        <v>37</v>
      </c>
      <c r="I911" s="13">
        <v>92000</v>
      </c>
      <c r="J911" s="13">
        <v>84000</v>
      </c>
      <c r="K911" s="13">
        <f>IF(J911&lt;'Mapa Oficinas'!$I$21,0,IF(J911&gt;'Mapa Oficinas'!$I$20,0,1))</f>
        <v>1</v>
      </c>
      <c r="L911" t="s">
        <v>23</v>
      </c>
      <c r="M911" t="s">
        <v>23</v>
      </c>
      <c r="N911" t="s">
        <v>439</v>
      </c>
      <c r="O911" t="s">
        <v>440</v>
      </c>
      <c r="P911" t="s">
        <v>45</v>
      </c>
      <c r="Q911">
        <v>2</v>
      </c>
      <c r="R911" t="s">
        <v>67</v>
      </c>
      <c r="S911" t="s">
        <v>200</v>
      </c>
      <c r="T911" t="str">
        <f>VLOOKUP(S911,'Mapa Oficinas'!$H$7:$I$16,2,FALSE)</f>
        <v>Otra Red Captación</v>
      </c>
      <c r="U911" t="s">
        <v>29</v>
      </c>
      <c r="V911" t="str">
        <f>VLOOKUP($R911,'Mapa Oficinas'!$A$7:$C$46,2,FALSE)</f>
        <v>CABA</v>
      </c>
      <c r="W911" t="str">
        <f>VLOOKUP($R911,'Mapa Oficinas'!$A$7:$C$46,3,FALSE)</f>
        <v>Barrio Parque</v>
      </c>
    </row>
    <row r="912" spans="1:23" x14ac:dyDescent="0.2">
      <c r="A912" s="1">
        <v>45820</v>
      </c>
      <c r="B912" s="20">
        <f t="shared" si="28"/>
        <v>2025</v>
      </c>
      <c r="C912" s="20">
        <f t="shared" si="29"/>
        <v>6</v>
      </c>
      <c r="D912" t="s">
        <v>2470</v>
      </c>
      <c r="E912" s="49">
        <v>1</v>
      </c>
      <c r="F912" t="s">
        <v>2471</v>
      </c>
      <c r="G912" t="s">
        <v>21</v>
      </c>
      <c r="H912" t="s">
        <v>37</v>
      </c>
      <c r="I912" s="13">
        <v>85000</v>
      </c>
      <c r="J912" s="13">
        <v>84000</v>
      </c>
      <c r="K912" s="13">
        <f>IF(J912&lt;'Mapa Oficinas'!$I$21,0,IF(J912&gt;'Mapa Oficinas'!$I$20,0,1))</f>
        <v>1</v>
      </c>
      <c r="L912" t="s">
        <v>23</v>
      </c>
      <c r="M912" t="s">
        <v>23</v>
      </c>
      <c r="N912" t="s">
        <v>2472</v>
      </c>
      <c r="O912" t="s">
        <v>2473</v>
      </c>
      <c r="P912" t="s">
        <v>45</v>
      </c>
      <c r="Q912">
        <v>2</v>
      </c>
      <c r="R912" t="s">
        <v>183</v>
      </c>
      <c r="S912" t="s">
        <v>200</v>
      </c>
      <c r="T912" t="str">
        <f>VLOOKUP(S912,'Mapa Oficinas'!$H$7:$I$16,2,FALSE)</f>
        <v>Otra Red Captación</v>
      </c>
      <c r="U912" t="s">
        <v>29</v>
      </c>
      <c r="V912" t="str">
        <f>VLOOKUP($R912,'Mapa Oficinas'!$A$7:$C$46,2,FALSE)</f>
        <v>Interior - Neuquén</v>
      </c>
      <c r="W912" t="str">
        <f>VLOOKUP($R912,'Mapa Oficinas'!$A$7:$C$46,3,FALSE)</f>
        <v>Capital Neuquén</v>
      </c>
    </row>
    <row r="913" spans="1:23" x14ac:dyDescent="0.2">
      <c r="A913" s="1">
        <v>45728</v>
      </c>
      <c r="B913" s="20">
        <f t="shared" si="28"/>
        <v>2025</v>
      </c>
      <c r="C913" s="20">
        <f t="shared" si="29"/>
        <v>3</v>
      </c>
      <c r="D913" t="s">
        <v>915</v>
      </c>
      <c r="E913" s="49">
        <v>1</v>
      </c>
      <c r="F913" t="s">
        <v>916</v>
      </c>
      <c r="G913" t="s">
        <v>21</v>
      </c>
      <c r="H913" t="s">
        <v>22</v>
      </c>
      <c r="I913" s="13">
        <v>84000</v>
      </c>
      <c r="J913" s="13">
        <v>84000</v>
      </c>
      <c r="K913" s="13">
        <f>IF(J913&lt;'Mapa Oficinas'!$I$21,0,IF(J913&gt;'Mapa Oficinas'!$I$20,0,1))</f>
        <v>1</v>
      </c>
      <c r="L913" t="s">
        <v>23</v>
      </c>
      <c r="M913" t="s">
        <v>23</v>
      </c>
      <c r="O913" t="s">
        <v>238</v>
      </c>
      <c r="P913" t="s">
        <v>26</v>
      </c>
      <c r="Q913">
        <v>2</v>
      </c>
      <c r="R913" t="s">
        <v>321</v>
      </c>
      <c r="S913" t="s">
        <v>28</v>
      </c>
      <c r="T913" t="str">
        <f>VLOOKUP(S913,'Mapa Oficinas'!$H$7:$I$16,2,FALSE)</f>
        <v>CB</v>
      </c>
      <c r="U913" t="s">
        <v>29</v>
      </c>
      <c r="V913" t="str">
        <f>VLOOKUP($R913,'Mapa Oficinas'!$A$7:$C$46,2,FALSE)</f>
        <v>CABA</v>
      </c>
      <c r="W913" t="str">
        <f>VLOOKUP($R913,'Mapa Oficinas'!$A$7:$C$46,3,FALSE)</f>
        <v>Palermo</v>
      </c>
    </row>
    <row r="914" spans="1:23" x14ac:dyDescent="0.2">
      <c r="A914" s="1">
        <v>45819</v>
      </c>
      <c r="B914" s="20">
        <f t="shared" si="28"/>
        <v>2025</v>
      </c>
      <c r="C914" s="20">
        <f t="shared" si="29"/>
        <v>6</v>
      </c>
      <c r="D914" t="s">
        <v>2423</v>
      </c>
      <c r="E914" s="49">
        <v>1</v>
      </c>
      <c r="F914" t="s">
        <v>2424</v>
      </c>
      <c r="G914" t="s">
        <v>21</v>
      </c>
      <c r="H914" t="s">
        <v>37</v>
      </c>
      <c r="I914" s="13">
        <v>89000</v>
      </c>
      <c r="J914" s="13">
        <v>84000</v>
      </c>
      <c r="K914" s="13">
        <f>IF(J914&lt;'Mapa Oficinas'!$I$21,0,IF(J914&gt;'Mapa Oficinas'!$I$20,0,1))</f>
        <v>1</v>
      </c>
      <c r="L914" t="s">
        <v>23</v>
      </c>
      <c r="M914" t="s">
        <v>23</v>
      </c>
      <c r="N914" t="s">
        <v>2425</v>
      </c>
      <c r="O914" t="s">
        <v>440</v>
      </c>
      <c r="P914" t="s">
        <v>45</v>
      </c>
      <c r="Q914">
        <v>2</v>
      </c>
      <c r="R914" t="s">
        <v>1024</v>
      </c>
      <c r="S914" t="s">
        <v>28</v>
      </c>
      <c r="T914" t="str">
        <f>VLOOKUP(S914,'Mapa Oficinas'!$H$7:$I$16,2,FALSE)</f>
        <v>CB</v>
      </c>
      <c r="U914" t="s">
        <v>29</v>
      </c>
      <c r="V914" t="str">
        <f>VLOOKUP($R914,'Mapa Oficinas'!$A$7:$C$46,2,FALSE)</f>
        <v>CABA</v>
      </c>
      <c r="W914" t="str">
        <f>VLOOKUP($R914,'Mapa Oficinas'!$A$7:$C$46,3,FALSE)</f>
        <v>Puerto Madero</v>
      </c>
    </row>
    <row r="915" spans="1:23" x14ac:dyDescent="0.2">
      <c r="A915" s="1">
        <v>45854</v>
      </c>
      <c r="B915" s="20">
        <f t="shared" si="28"/>
        <v>2025</v>
      </c>
      <c r="C915" s="20">
        <f t="shared" si="29"/>
        <v>7</v>
      </c>
      <c r="D915" t="s">
        <v>3069</v>
      </c>
      <c r="E915" s="49">
        <v>1</v>
      </c>
      <c r="F915" t="s">
        <v>3070</v>
      </c>
      <c r="G915" t="s">
        <v>21</v>
      </c>
      <c r="H915" t="s">
        <v>22</v>
      </c>
      <c r="I915" s="13">
        <v>88900</v>
      </c>
      <c r="J915" s="13">
        <v>84000</v>
      </c>
      <c r="K915" s="13">
        <f>IF(J915&lt;'Mapa Oficinas'!$I$21,0,IF(J915&gt;'Mapa Oficinas'!$I$20,0,1))</f>
        <v>1</v>
      </c>
      <c r="L915" t="s">
        <v>23</v>
      </c>
      <c r="M915" t="s">
        <v>23</v>
      </c>
      <c r="N915" t="s">
        <v>3071</v>
      </c>
      <c r="O915" t="s">
        <v>92</v>
      </c>
      <c r="P915" t="s">
        <v>45</v>
      </c>
      <c r="Q915">
        <v>2</v>
      </c>
      <c r="R915" t="s">
        <v>62</v>
      </c>
      <c r="S915" t="s">
        <v>28</v>
      </c>
      <c r="T915" t="str">
        <f>VLOOKUP(S915,'Mapa Oficinas'!$H$7:$I$16,2,FALSE)</f>
        <v>CB</v>
      </c>
      <c r="U915" t="s">
        <v>29</v>
      </c>
      <c r="V915" t="str">
        <f>VLOOKUP($R915,'Mapa Oficinas'!$A$7:$C$46,2,FALSE)</f>
        <v>CABA</v>
      </c>
      <c r="W915" t="str">
        <f>VLOOKUP($R915,'Mapa Oficinas'!$A$7:$C$46,3,FALSE)</f>
        <v>Villa Urquiza</v>
      </c>
    </row>
    <row r="916" spans="1:23" x14ac:dyDescent="0.2">
      <c r="A916" s="1">
        <v>45887</v>
      </c>
      <c r="B916" s="20">
        <f t="shared" si="28"/>
        <v>2025</v>
      </c>
      <c r="C916" s="20">
        <f t="shared" si="29"/>
        <v>8</v>
      </c>
      <c r="D916" t="s">
        <v>3617</v>
      </c>
      <c r="E916" s="49">
        <v>1</v>
      </c>
      <c r="F916" t="s">
        <v>3618</v>
      </c>
      <c r="G916" t="s">
        <v>21</v>
      </c>
      <c r="H916" t="s">
        <v>37</v>
      </c>
      <c r="I916" s="13">
        <v>87000</v>
      </c>
      <c r="J916" s="13">
        <v>84000</v>
      </c>
      <c r="K916" s="13">
        <f>IF(J916&lt;'Mapa Oficinas'!$I$21,0,IF(J916&gt;'Mapa Oficinas'!$I$20,0,1))</f>
        <v>1</v>
      </c>
      <c r="L916" t="s">
        <v>23</v>
      </c>
      <c r="M916" t="s">
        <v>23</v>
      </c>
      <c r="N916" t="s">
        <v>3619</v>
      </c>
      <c r="O916" t="s">
        <v>3189</v>
      </c>
      <c r="P916" t="s">
        <v>45</v>
      </c>
      <c r="Q916">
        <v>2</v>
      </c>
      <c r="R916" t="s">
        <v>1024</v>
      </c>
      <c r="S916" t="s">
        <v>28</v>
      </c>
      <c r="T916" t="str">
        <f>VLOOKUP(S916,'Mapa Oficinas'!$H$7:$I$16,2,FALSE)</f>
        <v>CB</v>
      </c>
      <c r="U916" t="s">
        <v>29</v>
      </c>
      <c r="V916" t="str">
        <f>VLOOKUP($R916,'Mapa Oficinas'!$A$7:$C$46,2,FALSE)</f>
        <v>CABA</v>
      </c>
      <c r="W916" t="str">
        <f>VLOOKUP($R916,'Mapa Oficinas'!$A$7:$C$46,3,FALSE)</f>
        <v>Puerto Madero</v>
      </c>
    </row>
    <row r="917" spans="1:23" x14ac:dyDescent="0.2">
      <c r="A917" s="1">
        <v>45945</v>
      </c>
      <c r="B917" s="20">
        <f t="shared" si="28"/>
        <v>2025</v>
      </c>
      <c r="C917" s="20">
        <f t="shared" si="29"/>
        <v>10</v>
      </c>
      <c r="D917" t="s">
        <v>4698</v>
      </c>
      <c r="E917" s="49">
        <v>1</v>
      </c>
      <c r="F917" t="s">
        <v>4699</v>
      </c>
      <c r="G917" t="s">
        <v>21</v>
      </c>
      <c r="H917" t="s">
        <v>37</v>
      </c>
      <c r="I917" s="13">
        <v>90000</v>
      </c>
      <c r="J917" s="13">
        <v>84000</v>
      </c>
      <c r="K917" s="13">
        <f>IF(J917&lt;'Mapa Oficinas'!$I$21,0,IF(J917&gt;'Mapa Oficinas'!$I$20,0,1))</f>
        <v>1</v>
      </c>
      <c r="L917" t="s">
        <v>23</v>
      </c>
      <c r="M917" t="s">
        <v>23</v>
      </c>
      <c r="N917" t="s">
        <v>4700</v>
      </c>
      <c r="O917" t="s">
        <v>4701</v>
      </c>
      <c r="P917" t="s">
        <v>45</v>
      </c>
      <c r="Q917">
        <v>2</v>
      </c>
      <c r="R917" t="s">
        <v>62</v>
      </c>
      <c r="S917" t="s">
        <v>28</v>
      </c>
      <c r="T917" t="str">
        <f>VLOOKUP(S917,'Mapa Oficinas'!$H$7:$I$16,2,FALSE)</f>
        <v>CB</v>
      </c>
      <c r="U917" t="s">
        <v>29</v>
      </c>
      <c r="V917" t="str">
        <f>VLOOKUP($R917,'Mapa Oficinas'!$A$7:$C$46,2,FALSE)</f>
        <v>CABA</v>
      </c>
      <c r="W917" t="str">
        <f>VLOOKUP($R917,'Mapa Oficinas'!$A$7:$C$46,3,FALSE)</f>
        <v>Villa Urquiza</v>
      </c>
    </row>
    <row r="918" spans="1:23" x14ac:dyDescent="0.2">
      <c r="A918" s="1">
        <v>45952</v>
      </c>
      <c r="B918" s="20">
        <f t="shared" si="28"/>
        <v>2025</v>
      </c>
      <c r="C918" s="20">
        <f t="shared" si="29"/>
        <v>10</v>
      </c>
      <c r="D918">
        <v>10573</v>
      </c>
      <c r="E918" s="49">
        <v>1</v>
      </c>
      <c r="F918" t="s">
        <v>4836</v>
      </c>
      <c r="G918" t="s">
        <v>21</v>
      </c>
      <c r="H918" t="s">
        <v>37</v>
      </c>
      <c r="I918" s="13">
        <v>84000</v>
      </c>
      <c r="J918" s="13">
        <v>84000</v>
      </c>
      <c r="K918" s="13">
        <f>IF(J918&lt;'Mapa Oficinas'!$I$21,0,IF(J918&gt;'Mapa Oficinas'!$I$20,0,1))</f>
        <v>1</v>
      </c>
      <c r="L918" t="s">
        <v>23</v>
      </c>
      <c r="M918" t="s">
        <v>23</v>
      </c>
      <c r="N918" t="s">
        <v>4836</v>
      </c>
      <c r="O918" t="s">
        <v>2104</v>
      </c>
      <c r="P918" t="s">
        <v>45</v>
      </c>
      <c r="Q918">
        <v>2</v>
      </c>
      <c r="R918" t="s">
        <v>67</v>
      </c>
      <c r="S918" t="s">
        <v>28</v>
      </c>
      <c r="T918" t="str">
        <f>VLOOKUP(S918,'Mapa Oficinas'!$H$7:$I$16,2,FALSE)</f>
        <v>CB</v>
      </c>
      <c r="U918" t="s">
        <v>29</v>
      </c>
      <c r="V918" t="str">
        <f>VLOOKUP($R918,'Mapa Oficinas'!$A$7:$C$46,2,FALSE)</f>
        <v>CABA</v>
      </c>
      <c r="W918" t="str">
        <f>VLOOKUP($R918,'Mapa Oficinas'!$A$7:$C$46,3,FALSE)</f>
        <v>Barrio Parque</v>
      </c>
    </row>
    <row r="919" spans="1:23" x14ac:dyDescent="0.2">
      <c r="A919" s="1">
        <v>45961</v>
      </c>
      <c r="B919" s="20">
        <f t="shared" si="28"/>
        <v>2025</v>
      </c>
      <c r="C919" s="20">
        <f t="shared" si="29"/>
        <v>10</v>
      </c>
      <c r="D919" t="s">
        <v>5025</v>
      </c>
      <c r="E919" s="49">
        <v>1</v>
      </c>
      <c r="F919" t="s">
        <v>5026</v>
      </c>
      <c r="G919" t="s">
        <v>21</v>
      </c>
      <c r="H919" t="s">
        <v>37</v>
      </c>
      <c r="I919" s="13">
        <v>89900</v>
      </c>
      <c r="J919" s="13">
        <v>84000</v>
      </c>
      <c r="K919" s="13">
        <f>IF(J919&lt;'Mapa Oficinas'!$I$21,0,IF(J919&gt;'Mapa Oficinas'!$I$20,0,1))</f>
        <v>1</v>
      </c>
      <c r="L919" t="s">
        <v>23</v>
      </c>
      <c r="M919" t="s">
        <v>23</v>
      </c>
      <c r="N919" t="s">
        <v>5027</v>
      </c>
      <c r="O919" t="s">
        <v>470</v>
      </c>
      <c r="P919" t="s">
        <v>45</v>
      </c>
      <c r="Q919">
        <v>2</v>
      </c>
      <c r="R919" t="s">
        <v>46</v>
      </c>
      <c r="S919" t="s">
        <v>28</v>
      </c>
      <c r="T919" t="str">
        <f>VLOOKUP(S919,'Mapa Oficinas'!$H$7:$I$16,2,FALSE)</f>
        <v>CB</v>
      </c>
      <c r="U919" t="s">
        <v>29</v>
      </c>
      <c r="V919" t="str">
        <f>VLOOKUP($R919,'Mapa Oficinas'!$A$7:$C$46,2,FALSE)</f>
        <v>CABA</v>
      </c>
      <c r="W919" t="str">
        <f>VLOOKUP($R919,'Mapa Oficinas'!$A$7:$C$46,3,FALSE)</f>
        <v>Palermo</v>
      </c>
    </row>
    <row r="920" spans="1:23" x14ac:dyDescent="0.2">
      <c r="A920" s="1">
        <v>45988</v>
      </c>
      <c r="B920" s="20">
        <f t="shared" si="28"/>
        <v>2025</v>
      </c>
      <c r="C920" s="20">
        <f t="shared" si="29"/>
        <v>11</v>
      </c>
      <c r="D920" t="s">
        <v>5393</v>
      </c>
      <c r="E920" s="49">
        <v>1</v>
      </c>
      <c r="F920" t="s">
        <v>5394</v>
      </c>
      <c r="G920" t="s">
        <v>21</v>
      </c>
      <c r="H920" t="s">
        <v>37</v>
      </c>
      <c r="I920" s="13">
        <v>89000</v>
      </c>
      <c r="J920" s="13">
        <v>84000</v>
      </c>
      <c r="K920" s="13">
        <f>IF(J920&lt;'Mapa Oficinas'!$I$21,0,IF(J920&gt;'Mapa Oficinas'!$I$20,0,1))</f>
        <v>1</v>
      </c>
      <c r="L920" t="s">
        <v>23</v>
      </c>
      <c r="M920" t="s">
        <v>23</v>
      </c>
      <c r="N920" t="s">
        <v>5395</v>
      </c>
      <c r="O920" t="s">
        <v>66</v>
      </c>
      <c r="P920" t="s">
        <v>45</v>
      </c>
      <c r="Q920">
        <v>2</v>
      </c>
      <c r="R920" t="s">
        <v>40</v>
      </c>
      <c r="S920" t="s">
        <v>28</v>
      </c>
      <c r="T920" t="str">
        <f>VLOOKUP(S920,'Mapa Oficinas'!$H$7:$I$16,2,FALSE)</f>
        <v>CB</v>
      </c>
      <c r="U920" t="s">
        <v>29</v>
      </c>
      <c r="V920" t="str">
        <f>VLOOKUP($R920,'Mapa Oficinas'!$A$7:$C$46,2,FALSE)</f>
        <v>CABA</v>
      </c>
      <c r="W920" t="str">
        <f>VLOOKUP($R920,'Mapa Oficinas'!$A$7:$C$46,3,FALSE)</f>
        <v>Núñez</v>
      </c>
    </row>
    <row r="921" spans="1:23" x14ac:dyDescent="0.2">
      <c r="A921" s="1">
        <v>45994</v>
      </c>
      <c r="B921" s="20">
        <f t="shared" si="28"/>
        <v>2025</v>
      </c>
      <c r="C921" s="20">
        <f t="shared" si="29"/>
        <v>12</v>
      </c>
      <c r="D921" t="s">
        <v>5601</v>
      </c>
      <c r="E921" s="49">
        <v>1</v>
      </c>
      <c r="F921" t="s">
        <v>5602</v>
      </c>
      <c r="G921" t="s">
        <v>21</v>
      </c>
      <c r="H921" t="s">
        <v>37</v>
      </c>
      <c r="I921" s="13">
        <v>85000</v>
      </c>
      <c r="J921" s="13">
        <v>84000</v>
      </c>
      <c r="K921" s="13">
        <f>IF(J921&lt;'Mapa Oficinas'!$I$21,0,IF(J921&gt;'Mapa Oficinas'!$I$20,0,1))</f>
        <v>1</v>
      </c>
      <c r="L921" t="s">
        <v>23</v>
      </c>
      <c r="M921" t="s">
        <v>23</v>
      </c>
      <c r="N921" t="s">
        <v>5603</v>
      </c>
      <c r="O921" t="s">
        <v>421</v>
      </c>
      <c r="P921" t="s">
        <v>61</v>
      </c>
      <c r="Q921">
        <v>2</v>
      </c>
      <c r="R921" t="s">
        <v>135</v>
      </c>
      <c r="S921" t="s">
        <v>28</v>
      </c>
      <c r="T921" t="str">
        <f>VLOOKUP(S921,'Mapa Oficinas'!$H$7:$I$16,2,FALSE)</f>
        <v>CB</v>
      </c>
      <c r="U921" t="s">
        <v>29</v>
      </c>
      <c r="V921" t="str">
        <f>VLOOKUP($R921,'Mapa Oficinas'!$A$7:$C$46,2,FALSE)</f>
        <v>CABA</v>
      </c>
      <c r="W921" t="str">
        <f>VLOOKUP($R921,'Mapa Oficinas'!$A$7:$C$46,3,FALSE)</f>
        <v>Recoleta</v>
      </c>
    </row>
    <row r="922" spans="1:23" x14ac:dyDescent="0.2">
      <c r="A922" s="1">
        <v>46009</v>
      </c>
      <c r="B922" s="20">
        <f t="shared" si="28"/>
        <v>2025</v>
      </c>
      <c r="C922" s="20">
        <f t="shared" si="29"/>
        <v>12</v>
      </c>
      <c r="D922" t="s">
        <v>5867</v>
      </c>
      <c r="E922" s="49">
        <v>1</v>
      </c>
      <c r="F922" t="s">
        <v>5868</v>
      </c>
      <c r="G922" t="s">
        <v>21</v>
      </c>
      <c r="H922" t="s">
        <v>81</v>
      </c>
      <c r="I922" s="13">
        <v>85000</v>
      </c>
      <c r="J922" s="13">
        <v>84000</v>
      </c>
      <c r="K922" s="13">
        <f>IF(J922&lt;'Mapa Oficinas'!$I$21,0,IF(J922&gt;'Mapa Oficinas'!$I$20,0,1))</f>
        <v>1</v>
      </c>
      <c r="L922" t="s">
        <v>23</v>
      </c>
      <c r="M922" t="s">
        <v>1927</v>
      </c>
      <c r="N922" t="s">
        <v>5869</v>
      </c>
      <c r="O922" t="s">
        <v>1116</v>
      </c>
      <c r="P922" t="s">
        <v>34</v>
      </c>
      <c r="Q922">
        <v>2</v>
      </c>
      <c r="R922" t="s">
        <v>73</v>
      </c>
      <c r="S922" t="s">
        <v>28</v>
      </c>
      <c r="T922" t="str">
        <f>VLOOKUP(S922,'Mapa Oficinas'!$H$7:$I$16,2,FALSE)</f>
        <v>CB</v>
      </c>
      <c r="U922" t="s">
        <v>29</v>
      </c>
      <c r="V922" t="str">
        <f>VLOOKUP($R922,'Mapa Oficinas'!$A$7:$C$46,2,FALSE)</f>
        <v>Interior - Salta</v>
      </c>
      <c r="W922" t="str">
        <f>VLOOKUP($R922,'Mapa Oficinas'!$A$7:$C$46,3,FALSE)</f>
        <v>San Lorenzo Chico</v>
      </c>
    </row>
    <row r="923" spans="1:23" x14ac:dyDescent="0.2">
      <c r="A923" s="1">
        <v>46013</v>
      </c>
      <c r="B923" s="20">
        <f t="shared" si="28"/>
        <v>2025</v>
      </c>
      <c r="C923" s="20">
        <f t="shared" si="29"/>
        <v>12</v>
      </c>
      <c r="D923" t="s">
        <v>5934</v>
      </c>
      <c r="E923" s="49">
        <v>1</v>
      </c>
      <c r="F923" t="s">
        <v>5935</v>
      </c>
      <c r="G923" t="s">
        <v>21</v>
      </c>
      <c r="H923" t="s">
        <v>70</v>
      </c>
      <c r="I923" s="13">
        <v>84000</v>
      </c>
      <c r="J923" s="13">
        <v>84000</v>
      </c>
      <c r="K923" s="13">
        <f>IF(J923&lt;'Mapa Oficinas'!$I$21,0,IF(J923&gt;'Mapa Oficinas'!$I$20,0,1))</f>
        <v>1</v>
      </c>
      <c r="L923" t="s">
        <v>23</v>
      </c>
      <c r="M923" t="s">
        <v>23</v>
      </c>
      <c r="N923" t="s">
        <v>5936</v>
      </c>
      <c r="O923" t="s">
        <v>1116</v>
      </c>
      <c r="P923" t="s">
        <v>34</v>
      </c>
      <c r="Q923">
        <v>2</v>
      </c>
      <c r="R923" t="s">
        <v>73</v>
      </c>
      <c r="S923" t="s">
        <v>28</v>
      </c>
      <c r="T923" t="str">
        <f>VLOOKUP(S923,'Mapa Oficinas'!$H$7:$I$16,2,FALSE)</f>
        <v>CB</v>
      </c>
      <c r="U923" t="s">
        <v>29</v>
      </c>
      <c r="V923" t="str">
        <f>VLOOKUP($R923,'Mapa Oficinas'!$A$7:$C$46,2,FALSE)</f>
        <v>Interior - Salta</v>
      </c>
      <c r="W923" t="str">
        <f>VLOOKUP($R923,'Mapa Oficinas'!$A$7:$C$46,3,FALSE)</f>
        <v>San Lorenzo Chico</v>
      </c>
    </row>
    <row r="924" spans="1:23" x14ac:dyDescent="0.2">
      <c r="A924" s="1">
        <v>46111</v>
      </c>
      <c r="B924" s="20">
        <f t="shared" si="28"/>
        <v>2026</v>
      </c>
      <c r="C924" s="20">
        <f t="shared" si="29"/>
        <v>3</v>
      </c>
      <c r="D924" t="s">
        <v>7517</v>
      </c>
      <c r="E924" s="49">
        <v>1</v>
      </c>
      <c r="F924" t="s">
        <v>7518</v>
      </c>
      <c r="G924" t="s">
        <v>21</v>
      </c>
      <c r="H924" t="s">
        <v>37</v>
      </c>
      <c r="I924" s="13">
        <v>89900</v>
      </c>
      <c r="J924" s="13">
        <v>84000</v>
      </c>
      <c r="K924" s="13">
        <f>IF(J924&lt;'Mapa Oficinas'!$I$21,0,IF(J924&gt;'Mapa Oficinas'!$I$20,0,1))</f>
        <v>1</v>
      </c>
      <c r="L924" t="s">
        <v>23</v>
      </c>
      <c r="M924" t="s">
        <v>23</v>
      </c>
      <c r="N924" t="s">
        <v>7519</v>
      </c>
      <c r="O924" t="s">
        <v>7520</v>
      </c>
      <c r="P924" t="s">
        <v>34</v>
      </c>
      <c r="Q924">
        <v>2</v>
      </c>
      <c r="R924" t="s">
        <v>151</v>
      </c>
      <c r="S924" t="s">
        <v>28</v>
      </c>
      <c r="T924" t="str">
        <f>VLOOKUP(S924,'Mapa Oficinas'!$H$7:$I$16,2,FALSE)</f>
        <v>CB</v>
      </c>
      <c r="U924" t="s">
        <v>29</v>
      </c>
      <c r="V924" t="str">
        <f>VLOOKUP($R924,'Mapa Oficinas'!$A$7:$C$46,2,FALSE)</f>
        <v>Interior - Mendoza</v>
      </c>
      <c r="W924" t="str">
        <f>VLOOKUP($R924,'Mapa Oficinas'!$A$7:$C$46,3,FALSE)</f>
        <v>Capital Mendoza</v>
      </c>
    </row>
    <row r="925" spans="1:23" x14ac:dyDescent="0.2">
      <c r="A925" s="1">
        <v>46112</v>
      </c>
      <c r="B925" s="20">
        <f t="shared" si="28"/>
        <v>2026</v>
      </c>
      <c r="C925" s="20">
        <f t="shared" si="29"/>
        <v>3</v>
      </c>
      <c r="D925" t="s">
        <v>7557</v>
      </c>
      <c r="E925" s="49">
        <v>1</v>
      </c>
      <c r="F925" t="s">
        <v>7558</v>
      </c>
      <c r="G925" t="s">
        <v>21</v>
      </c>
      <c r="H925" t="s">
        <v>76</v>
      </c>
      <c r="I925" s="13">
        <v>87000</v>
      </c>
      <c r="J925" s="13">
        <v>84000</v>
      </c>
      <c r="K925" s="13">
        <f>IF(J925&lt;'Mapa Oficinas'!$I$21,0,IF(J925&gt;'Mapa Oficinas'!$I$20,0,1))</f>
        <v>1</v>
      </c>
      <c r="L925" t="s">
        <v>23</v>
      </c>
      <c r="M925" t="s">
        <v>23</v>
      </c>
      <c r="N925" t="s">
        <v>7559</v>
      </c>
      <c r="O925" t="s">
        <v>1469</v>
      </c>
      <c r="P925" t="s">
        <v>45</v>
      </c>
      <c r="Q925">
        <v>2</v>
      </c>
      <c r="R925" t="s">
        <v>167</v>
      </c>
      <c r="S925" t="s">
        <v>28</v>
      </c>
      <c r="T925" t="str">
        <f>VLOOKUP(S925,'Mapa Oficinas'!$H$7:$I$16,2,FALSE)</f>
        <v>CB</v>
      </c>
      <c r="U925" t="s">
        <v>29</v>
      </c>
      <c r="V925" t="str">
        <f>VLOOKUP($R925,'Mapa Oficinas'!$A$7:$C$46,2,FALSE)</f>
        <v>Interior - Santa Fe</v>
      </c>
      <c r="W925" t="str">
        <f>VLOOKUP($R925,'Mapa Oficinas'!$A$7:$C$46,3,FALSE)</f>
        <v>Capital Santa Fe</v>
      </c>
    </row>
    <row r="926" spans="1:23" x14ac:dyDescent="0.2">
      <c r="A926" s="1">
        <v>45785</v>
      </c>
      <c r="B926" s="20">
        <f t="shared" si="28"/>
        <v>2025</v>
      </c>
      <c r="C926" s="20">
        <f t="shared" si="29"/>
        <v>5</v>
      </c>
      <c r="D926" t="s">
        <v>1487</v>
      </c>
      <c r="E926" s="49">
        <v>1</v>
      </c>
      <c r="F926" t="s">
        <v>287</v>
      </c>
      <c r="G926" t="s">
        <v>21</v>
      </c>
      <c r="H926" t="s">
        <v>100</v>
      </c>
      <c r="I926" s="13">
        <v>89856</v>
      </c>
      <c r="J926" s="13">
        <v>84171</v>
      </c>
      <c r="K926" s="13">
        <f>IF(J926&lt;'Mapa Oficinas'!$I$21,0,IF(J926&gt;'Mapa Oficinas'!$I$20,0,1))</f>
        <v>1</v>
      </c>
      <c r="L926" t="s">
        <v>23</v>
      </c>
      <c r="M926" t="s">
        <v>23</v>
      </c>
      <c r="N926" t="s">
        <v>288</v>
      </c>
      <c r="O926" t="s">
        <v>1158</v>
      </c>
      <c r="P926" t="s">
        <v>45</v>
      </c>
      <c r="Q926">
        <v>2</v>
      </c>
      <c r="R926" t="s">
        <v>121</v>
      </c>
      <c r="S926" t="s">
        <v>28</v>
      </c>
      <c r="T926" t="str">
        <f>VLOOKUP(S926,'Mapa Oficinas'!$H$7:$I$16,2,FALSE)</f>
        <v>CB</v>
      </c>
      <c r="U926" t="s">
        <v>29</v>
      </c>
      <c r="V926" t="str">
        <f>VLOOKUP($R926,'Mapa Oficinas'!$A$7:$C$46,2,FALSE)</f>
        <v>Interior - Río Negro</v>
      </c>
      <c r="W926" t="str">
        <f>VLOOKUP($R926,'Mapa Oficinas'!$A$7:$C$46,3,FALSE)</f>
        <v>Bariloche</v>
      </c>
    </row>
    <row r="927" spans="1:23" x14ac:dyDescent="0.2">
      <c r="A927" s="1">
        <v>45959</v>
      </c>
      <c r="B927" s="20">
        <f t="shared" si="28"/>
        <v>2025</v>
      </c>
      <c r="C927" s="20">
        <f t="shared" si="29"/>
        <v>10</v>
      </c>
      <c r="D927" t="s">
        <v>4976</v>
      </c>
      <c r="E927" s="49">
        <v>1</v>
      </c>
      <c r="F927" t="s">
        <v>4977</v>
      </c>
      <c r="G927" t="s">
        <v>21</v>
      </c>
      <c r="H927" t="s">
        <v>37</v>
      </c>
      <c r="I927" s="13">
        <v>89000</v>
      </c>
      <c r="J927" s="13">
        <v>84500</v>
      </c>
      <c r="K927" s="13">
        <f>IF(J927&lt;'Mapa Oficinas'!$I$21,0,IF(J927&gt;'Mapa Oficinas'!$I$20,0,1))</f>
        <v>1</v>
      </c>
      <c r="L927" t="s">
        <v>23</v>
      </c>
      <c r="M927" t="s">
        <v>23</v>
      </c>
      <c r="N927" t="s">
        <v>4978</v>
      </c>
      <c r="O927" t="s">
        <v>1939</v>
      </c>
      <c r="P927" t="s">
        <v>61</v>
      </c>
      <c r="Q927">
        <v>2</v>
      </c>
      <c r="R927" t="s">
        <v>46</v>
      </c>
      <c r="S927" t="s">
        <v>28</v>
      </c>
      <c r="T927" t="str">
        <f>VLOOKUP(S927,'Mapa Oficinas'!$H$7:$I$16,2,FALSE)</f>
        <v>CB</v>
      </c>
      <c r="U927" t="s">
        <v>29</v>
      </c>
      <c r="V927" t="str">
        <f>VLOOKUP($R927,'Mapa Oficinas'!$A$7:$C$46,2,FALSE)</f>
        <v>CABA</v>
      </c>
      <c r="W927" t="str">
        <f>VLOOKUP($R927,'Mapa Oficinas'!$A$7:$C$46,3,FALSE)</f>
        <v>Palermo</v>
      </c>
    </row>
    <row r="928" spans="1:23" x14ac:dyDescent="0.2">
      <c r="A928" s="1">
        <v>46017</v>
      </c>
      <c r="B928" s="20">
        <f t="shared" si="28"/>
        <v>2025</v>
      </c>
      <c r="C928" s="20">
        <f t="shared" si="29"/>
        <v>12</v>
      </c>
      <c r="D928" t="s">
        <v>6029</v>
      </c>
      <c r="E928" s="49">
        <v>1</v>
      </c>
      <c r="F928" t="s">
        <v>6030</v>
      </c>
      <c r="G928" t="s">
        <v>21</v>
      </c>
      <c r="H928" t="s">
        <v>362</v>
      </c>
      <c r="I928" s="13">
        <v>88000</v>
      </c>
      <c r="J928" s="13">
        <v>84500</v>
      </c>
      <c r="K928" s="13">
        <f>IF(J928&lt;'Mapa Oficinas'!$I$21,0,IF(J928&gt;'Mapa Oficinas'!$I$20,0,1))</f>
        <v>1</v>
      </c>
      <c r="L928" t="s">
        <v>23</v>
      </c>
      <c r="M928" t="s">
        <v>23</v>
      </c>
      <c r="N928" t="s">
        <v>6031</v>
      </c>
      <c r="O928" t="s">
        <v>976</v>
      </c>
      <c r="P928" t="s">
        <v>45</v>
      </c>
      <c r="Q928">
        <v>2</v>
      </c>
      <c r="R928" t="s">
        <v>1024</v>
      </c>
      <c r="S928" t="s">
        <v>28</v>
      </c>
      <c r="T928" t="str">
        <f>VLOOKUP(S928,'Mapa Oficinas'!$H$7:$I$16,2,FALSE)</f>
        <v>CB</v>
      </c>
      <c r="U928" t="s">
        <v>29</v>
      </c>
      <c r="V928" t="str">
        <f>VLOOKUP($R928,'Mapa Oficinas'!$A$7:$C$46,2,FALSE)</f>
        <v>CABA</v>
      </c>
      <c r="W928" t="str">
        <f>VLOOKUP($R928,'Mapa Oficinas'!$A$7:$C$46,3,FALSE)</f>
        <v>Puerto Madero</v>
      </c>
    </row>
    <row r="929" spans="1:23" x14ac:dyDescent="0.2">
      <c r="A929" s="1">
        <v>45776</v>
      </c>
      <c r="B929" s="20">
        <f t="shared" si="28"/>
        <v>2025</v>
      </c>
      <c r="C929" s="20">
        <f t="shared" si="29"/>
        <v>4</v>
      </c>
      <c r="D929" t="s">
        <v>1680</v>
      </c>
      <c r="E929" s="49">
        <v>1</v>
      </c>
      <c r="F929" t="s">
        <v>1681</v>
      </c>
      <c r="G929" t="s">
        <v>21</v>
      </c>
      <c r="H929" t="s">
        <v>100</v>
      </c>
      <c r="I929" s="13">
        <v>82000</v>
      </c>
      <c r="J929" s="13">
        <v>85000</v>
      </c>
      <c r="K929" s="13">
        <f>IF(J929&lt;'Mapa Oficinas'!$I$21,0,IF(J929&gt;'Mapa Oficinas'!$I$20,0,1))</f>
        <v>1</v>
      </c>
      <c r="L929" t="s">
        <v>23</v>
      </c>
      <c r="M929" t="s">
        <v>23</v>
      </c>
      <c r="N929" t="s">
        <v>1682</v>
      </c>
      <c r="O929" t="s">
        <v>120</v>
      </c>
      <c r="P929" t="s">
        <v>45</v>
      </c>
      <c r="Q929">
        <v>1</v>
      </c>
      <c r="R929" t="s">
        <v>121</v>
      </c>
      <c r="S929" t="s">
        <v>122</v>
      </c>
      <c r="T929" t="str">
        <f>VLOOKUP(S929,'Mapa Oficinas'!$H$7:$I$16,2,FALSE)</f>
        <v>Otra Red Búsqueda</v>
      </c>
      <c r="U929" t="s">
        <v>29</v>
      </c>
      <c r="V929" t="str">
        <f>VLOOKUP($R929,'Mapa Oficinas'!$A$7:$C$46,2,FALSE)</f>
        <v>Interior - Río Negro</v>
      </c>
      <c r="W929" t="str">
        <f>VLOOKUP($R929,'Mapa Oficinas'!$A$7:$C$46,3,FALSE)</f>
        <v>Bariloche</v>
      </c>
    </row>
    <row r="930" spans="1:23" x14ac:dyDescent="0.2">
      <c r="A930" s="1">
        <v>45705</v>
      </c>
      <c r="B930" s="20">
        <f t="shared" si="28"/>
        <v>2025</v>
      </c>
      <c r="C930" s="20">
        <f t="shared" si="29"/>
        <v>2</v>
      </c>
      <c r="D930" t="s">
        <v>627</v>
      </c>
      <c r="E930" s="49">
        <v>1</v>
      </c>
      <c r="F930" t="s">
        <v>628</v>
      </c>
      <c r="G930" t="s">
        <v>21</v>
      </c>
      <c r="H930" t="s">
        <v>37</v>
      </c>
      <c r="I930" s="13">
        <v>85000</v>
      </c>
      <c r="J930" s="13">
        <v>85000</v>
      </c>
      <c r="K930" s="13">
        <f>IF(J930&lt;'Mapa Oficinas'!$I$21,0,IF(J930&gt;'Mapa Oficinas'!$I$20,0,1))</f>
        <v>1</v>
      </c>
      <c r="L930" t="s">
        <v>23</v>
      </c>
      <c r="M930" t="s">
        <v>23</v>
      </c>
      <c r="N930" t="s">
        <v>629</v>
      </c>
      <c r="O930" t="s">
        <v>630</v>
      </c>
      <c r="P930" t="s">
        <v>45</v>
      </c>
      <c r="Q930">
        <v>2</v>
      </c>
      <c r="R930" t="s">
        <v>183</v>
      </c>
      <c r="S930" t="s">
        <v>79</v>
      </c>
      <c r="T930" t="str">
        <f>VLOOKUP(S930,'Mapa Oficinas'!$H$7:$I$16,2,FALSE)</f>
        <v>CB</v>
      </c>
      <c r="U930" t="s">
        <v>29</v>
      </c>
      <c r="V930" t="str">
        <f>VLOOKUP($R930,'Mapa Oficinas'!$A$7:$C$46,2,FALSE)</f>
        <v>Interior - Neuquén</v>
      </c>
      <c r="W930" t="str">
        <f>VLOOKUP($R930,'Mapa Oficinas'!$A$7:$C$46,3,FALSE)</f>
        <v>Capital Neuquén</v>
      </c>
    </row>
    <row r="931" spans="1:23" x14ac:dyDescent="0.2">
      <c r="A931" s="1">
        <v>45719</v>
      </c>
      <c r="B931" s="20">
        <f t="shared" si="28"/>
        <v>2025</v>
      </c>
      <c r="C931" s="20">
        <f t="shared" si="29"/>
        <v>3</v>
      </c>
      <c r="D931" t="s">
        <v>838</v>
      </c>
      <c r="E931" s="49">
        <v>1</v>
      </c>
      <c r="F931" t="s">
        <v>839</v>
      </c>
      <c r="G931" t="s">
        <v>21</v>
      </c>
      <c r="H931" t="s">
        <v>22</v>
      </c>
      <c r="I931" s="13">
        <v>85000</v>
      </c>
      <c r="J931" s="13">
        <v>85000</v>
      </c>
      <c r="K931" s="13">
        <f>IF(J931&lt;'Mapa Oficinas'!$I$21,0,IF(J931&gt;'Mapa Oficinas'!$I$20,0,1))</f>
        <v>1</v>
      </c>
      <c r="L931" t="s">
        <v>23</v>
      </c>
      <c r="M931" t="s">
        <v>23</v>
      </c>
      <c r="O931" t="s">
        <v>573</v>
      </c>
      <c r="P931" t="s">
        <v>26</v>
      </c>
      <c r="Q931">
        <v>2</v>
      </c>
      <c r="R931" t="s">
        <v>321</v>
      </c>
      <c r="S931" t="s">
        <v>79</v>
      </c>
      <c r="T931" t="str">
        <f>VLOOKUP(S931,'Mapa Oficinas'!$H$7:$I$16,2,FALSE)</f>
        <v>CB</v>
      </c>
      <c r="U931" t="s">
        <v>29</v>
      </c>
      <c r="V931" t="str">
        <f>VLOOKUP($R931,'Mapa Oficinas'!$A$7:$C$46,2,FALSE)</f>
        <v>CABA</v>
      </c>
      <c r="W931" t="str">
        <f>VLOOKUP($R931,'Mapa Oficinas'!$A$7:$C$46,3,FALSE)</f>
        <v>Palermo</v>
      </c>
    </row>
    <row r="932" spans="1:23" x14ac:dyDescent="0.2">
      <c r="A932" s="1">
        <v>45833</v>
      </c>
      <c r="B932" s="20">
        <f t="shared" si="28"/>
        <v>2025</v>
      </c>
      <c r="C932" s="20">
        <f t="shared" si="29"/>
        <v>6</v>
      </c>
      <c r="D932" t="s">
        <v>2631</v>
      </c>
      <c r="E932" s="49">
        <v>1</v>
      </c>
      <c r="F932" t="s">
        <v>2632</v>
      </c>
      <c r="G932" t="s">
        <v>21</v>
      </c>
      <c r="H932" t="s">
        <v>37</v>
      </c>
      <c r="I932" s="13">
        <v>85000</v>
      </c>
      <c r="J932" s="13">
        <v>85000</v>
      </c>
      <c r="K932" s="13">
        <f>IF(J932&lt;'Mapa Oficinas'!$I$21,0,IF(J932&gt;'Mapa Oficinas'!$I$20,0,1))</f>
        <v>1</v>
      </c>
      <c r="L932" t="s">
        <v>23</v>
      </c>
      <c r="M932" t="s">
        <v>23</v>
      </c>
      <c r="N932" t="s">
        <v>2633</v>
      </c>
      <c r="O932" t="s">
        <v>2634</v>
      </c>
      <c r="P932" t="s">
        <v>45</v>
      </c>
      <c r="Q932">
        <v>2</v>
      </c>
      <c r="R932" t="s">
        <v>110</v>
      </c>
      <c r="S932" t="s">
        <v>79</v>
      </c>
      <c r="T932" t="str">
        <f>VLOOKUP(S932,'Mapa Oficinas'!$H$7:$I$16,2,FALSE)</f>
        <v>CB</v>
      </c>
      <c r="U932" t="s">
        <v>29</v>
      </c>
      <c r="V932" t="str">
        <f>VLOOKUP($R932,'Mapa Oficinas'!$A$7:$C$46,2,FALSE)</f>
        <v>Zona Norte (GBA)</v>
      </c>
      <c r="W932" t="str">
        <f>VLOOKUP($R932,'Mapa Oficinas'!$A$7:$C$46,3,FALSE)</f>
        <v>Nordelta</v>
      </c>
    </row>
    <row r="933" spans="1:23" x14ac:dyDescent="0.2">
      <c r="A933" s="1">
        <v>46010</v>
      </c>
      <c r="B933" s="20">
        <f t="shared" si="28"/>
        <v>2025</v>
      </c>
      <c r="C933" s="20">
        <f t="shared" si="29"/>
        <v>12</v>
      </c>
      <c r="D933" t="s">
        <v>5895</v>
      </c>
      <c r="E933" s="49">
        <v>1</v>
      </c>
      <c r="F933" t="s">
        <v>5896</v>
      </c>
      <c r="G933" t="s">
        <v>21</v>
      </c>
      <c r="H933" t="s">
        <v>81</v>
      </c>
      <c r="I933" s="13">
        <v>98000</v>
      </c>
      <c r="J933" s="13">
        <v>85000</v>
      </c>
      <c r="K933" s="13">
        <f>IF(J933&lt;'Mapa Oficinas'!$I$21,0,IF(J933&gt;'Mapa Oficinas'!$I$20,0,1))</f>
        <v>1</v>
      </c>
      <c r="L933" t="s">
        <v>23</v>
      </c>
      <c r="M933" t="s">
        <v>23</v>
      </c>
      <c r="N933" t="s">
        <v>5897</v>
      </c>
      <c r="O933" t="s">
        <v>1629</v>
      </c>
      <c r="P933" t="s">
        <v>34</v>
      </c>
      <c r="Q933">
        <v>2</v>
      </c>
      <c r="R933" t="s">
        <v>482</v>
      </c>
      <c r="S933" t="s">
        <v>79</v>
      </c>
      <c r="T933" t="str">
        <f>VLOOKUP(S933,'Mapa Oficinas'!$H$7:$I$16,2,FALSE)</f>
        <v>CB</v>
      </c>
      <c r="U933" t="s">
        <v>29</v>
      </c>
      <c r="V933" t="str">
        <f>VLOOKUP($R933,'Mapa Oficinas'!$A$7:$C$46,2,FALSE)</f>
        <v>Interior - Jujuy</v>
      </c>
      <c r="W933" t="str">
        <f>VLOOKUP($R933,'Mapa Oficinas'!$A$7:$C$46,3,FALSE)</f>
        <v>Capital Jujuy</v>
      </c>
    </row>
    <row r="934" spans="1:23" x14ac:dyDescent="0.2">
      <c r="A934" s="1">
        <v>45734</v>
      </c>
      <c r="B934" s="20">
        <f t="shared" si="28"/>
        <v>2025</v>
      </c>
      <c r="C934" s="20">
        <f t="shared" si="29"/>
        <v>3</v>
      </c>
      <c r="D934" t="s">
        <v>996</v>
      </c>
      <c r="E934" s="49">
        <v>1</v>
      </c>
      <c r="F934" t="s">
        <v>997</v>
      </c>
      <c r="G934" t="s">
        <v>21</v>
      </c>
      <c r="H934" t="s">
        <v>22</v>
      </c>
      <c r="I934" s="13">
        <v>85000</v>
      </c>
      <c r="J934" s="13">
        <v>85000</v>
      </c>
      <c r="K934" s="13">
        <f>IF(J934&lt;'Mapa Oficinas'!$I$21,0,IF(J934&gt;'Mapa Oficinas'!$I$20,0,1))</f>
        <v>1</v>
      </c>
      <c r="L934" t="s">
        <v>23</v>
      </c>
      <c r="M934" t="s">
        <v>23</v>
      </c>
      <c r="N934" t="s">
        <v>998</v>
      </c>
      <c r="O934" t="s">
        <v>105</v>
      </c>
      <c r="P934" t="s">
        <v>45</v>
      </c>
      <c r="Q934">
        <v>1</v>
      </c>
      <c r="R934" t="s">
        <v>670</v>
      </c>
      <c r="S934" t="s">
        <v>47</v>
      </c>
      <c r="T934" t="str">
        <f>VLOOKUP(S934,'Mapa Oficinas'!$H$7:$I$16,2,FALSE)</f>
        <v>Otra Red Búsqueda</v>
      </c>
      <c r="U934" t="s">
        <v>29</v>
      </c>
      <c r="V934" t="str">
        <f>VLOOKUP($R934,'Mapa Oficinas'!$A$7:$C$46,2,FALSE)</f>
        <v>CABA</v>
      </c>
      <c r="W934" t="str">
        <f>VLOOKUP($R934,'Mapa Oficinas'!$A$7:$C$46,3,FALSE)</f>
        <v>Recoleta</v>
      </c>
    </row>
    <row r="935" spans="1:23" x14ac:dyDescent="0.2">
      <c r="A935" s="1">
        <v>45862</v>
      </c>
      <c r="B935" s="20">
        <f t="shared" si="28"/>
        <v>2025</v>
      </c>
      <c r="C935" s="20">
        <f t="shared" si="29"/>
        <v>7</v>
      </c>
      <c r="E935" s="49">
        <v>1</v>
      </c>
      <c r="F935" t="s">
        <v>3199</v>
      </c>
      <c r="G935" t="s">
        <v>21</v>
      </c>
      <c r="H935" t="s">
        <v>37</v>
      </c>
      <c r="I935" s="13">
        <v>85000</v>
      </c>
      <c r="J935" s="13">
        <v>85000</v>
      </c>
      <c r="K935" s="13">
        <f>IF(J935&lt;'Mapa Oficinas'!$I$21,0,IF(J935&gt;'Mapa Oficinas'!$I$20,0,1))</f>
        <v>1</v>
      </c>
      <c r="L935" t="s">
        <v>23</v>
      </c>
      <c r="M935" t="s">
        <v>23</v>
      </c>
      <c r="N935" t="s">
        <v>3200</v>
      </c>
      <c r="O935" t="s">
        <v>395</v>
      </c>
      <c r="P935" t="s">
        <v>45</v>
      </c>
      <c r="Q935">
        <v>1</v>
      </c>
      <c r="R935" t="s">
        <v>135</v>
      </c>
      <c r="S935" t="s">
        <v>47</v>
      </c>
      <c r="T935" t="str">
        <f>VLOOKUP(S935,'Mapa Oficinas'!$H$7:$I$16,2,FALSE)</f>
        <v>Otra Red Búsqueda</v>
      </c>
      <c r="U935" t="s">
        <v>29</v>
      </c>
      <c r="V935" t="str">
        <f>VLOOKUP($R935,'Mapa Oficinas'!$A$7:$C$46,2,FALSE)</f>
        <v>CABA</v>
      </c>
      <c r="W935" t="str">
        <f>VLOOKUP($R935,'Mapa Oficinas'!$A$7:$C$46,3,FALSE)</f>
        <v>Recoleta</v>
      </c>
    </row>
    <row r="936" spans="1:23" x14ac:dyDescent="0.2">
      <c r="A936" s="1">
        <v>45950</v>
      </c>
      <c r="B936" s="20">
        <f t="shared" si="28"/>
        <v>2025</v>
      </c>
      <c r="C936" s="20">
        <f t="shared" si="29"/>
        <v>10</v>
      </c>
      <c r="E936" s="49">
        <v>1</v>
      </c>
      <c r="F936" t="s">
        <v>4793</v>
      </c>
      <c r="G936" t="s">
        <v>21</v>
      </c>
      <c r="H936" t="s">
        <v>37</v>
      </c>
      <c r="I936" s="13">
        <v>85000</v>
      </c>
      <c r="J936" s="13">
        <v>85000</v>
      </c>
      <c r="K936" s="13">
        <f>IF(J936&lt;'Mapa Oficinas'!$I$21,0,IF(J936&gt;'Mapa Oficinas'!$I$20,0,1))</f>
        <v>1</v>
      </c>
      <c r="L936" t="s">
        <v>23</v>
      </c>
      <c r="M936" t="s">
        <v>23</v>
      </c>
      <c r="N936" t="s">
        <v>4794</v>
      </c>
      <c r="O936" t="s">
        <v>190</v>
      </c>
      <c r="P936" t="s">
        <v>45</v>
      </c>
      <c r="Q936">
        <v>1</v>
      </c>
      <c r="R936" t="s">
        <v>135</v>
      </c>
      <c r="S936" t="s">
        <v>47</v>
      </c>
      <c r="T936" t="str">
        <f>VLOOKUP(S936,'Mapa Oficinas'!$H$7:$I$16,2,FALSE)</f>
        <v>Otra Red Búsqueda</v>
      </c>
      <c r="U936" t="s">
        <v>29</v>
      </c>
      <c r="V936" t="str">
        <f>VLOOKUP($R936,'Mapa Oficinas'!$A$7:$C$46,2,FALSE)</f>
        <v>CABA</v>
      </c>
      <c r="W936" t="str">
        <f>VLOOKUP($R936,'Mapa Oficinas'!$A$7:$C$46,3,FALSE)</f>
        <v>Recoleta</v>
      </c>
    </row>
    <row r="937" spans="1:23" x14ac:dyDescent="0.2">
      <c r="A937" s="1">
        <v>45954</v>
      </c>
      <c r="B937" s="20">
        <f t="shared" si="28"/>
        <v>2025</v>
      </c>
      <c r="C937" s="20">
        <f t="shared" si="29"/>
        <v>10</v>
      </c>
      <c r="D937">
        <v>10572</v>
      </c>
      <c r="E937" s="49">
        <v>1</v>
      </c>
      <c r="F937" t="s">
        <v>4900</v>
      </c>
      <c r="G937" t="s">
        <v>21</v>
      </c>
      <c r="H937" t="s">
        <v>37</v>
      </c>
      <c r="I937" s="13">
        <v>85000</v>
      </c>
      <c r="J937" s="13">
        <v>85000</v>
      </c>
      <c r="K937" s="13">
        <f>IF(J937&lt;'Mapa Oficinas'!$I$21,0,IF(J937&gt;'Mapa Oficinas'!$I$20,0,1))</f>
        <v>1</v>
      </c>
      <c r="L937" t="s">
        <v>23</v>
      </c>
      <c r="M937" t="s">
        <v>23</v>
      </c>
      <c r="N937" t="s">
        <v>4900</v>
      </c>
      <c r="O937" t="s">
        <v>190</v>
      </c>
      <c r="P937" t="s">
        <v>45</v>
      </c>
      <c r="Q937">
        <v>1</v>
      </c>
      <c r="R937" t="s">
        <v>67</v>
      </c>
      <c r="S937" t="s">
        <v>47</v>
      </c>
      <c r="T937" t="str">
        <f>VLOOKUP(S937,'Mapa Oficinas'!$H$7:$I$16,2,FALSE)</f>
        <v>Otra Red Búsqueda</v>
      </c>
      <c r="U937" t="s">
        <v>29</v>
      </c>
      <c r="V937" t="str">
        <f>VLOOKUP($R937,'Mapa Oficinas'!$A$7:$C$46,2,FALSE)</f>
        <v>CABA</v>
      </c>
      <c r="W937" t="str">
        <f>VLOOKUP($R937,'Mapa Oficinas'!$A$7:$C$46,3,FALSE)</f>
        <v>Barrio Parque</v>
      </c>
    </row>
    <row r="938" spans="1:23" x14ac:dyDescent="0.2">
      <c r="A938" s="1">
        <v>46003</v>
      </c>
      <c r="B938" s="20">
        <f t="shared" si="28"/>
        <v>2025</v>
      </c>
      <c r="C938" s="20">
        <f t="shared" si="29"/>
        <v>12</v>
      </c>
      <c r="D938" t="s">
        <v>5747</v>
      </c>
      <c r="E938" s="49">
        <v>1</v>
      </c>
      <c r="F938" t="s">
        <v>5748</v>
      </c>
      <c r="G938" t="s">
        <v>21</v>
      </c>
      <c r="H938" t="s">
        <v>37</v>
      </c>
      <c r="I938" s="13">
        <v>89000</v>
      </c>
      <c r="J938" s="13">
        <v>85000</v>
      </c>
      <c r="K938" s="13">
        <f>IF(J938&lt;'Mapa Oficinas'!$I$21,0,IF(J938&gt;'Mapa Oficinas'!$I$20,0,1))</f>
        <v>1</v>
      </c>
      <c r="L938" t="s">
        <v>23</v>
      </c>
      <c r="M938" t="s">
        <v>23</v>
      </c>
      <c r="N938" t="s">
        <v>5749</v>
      </c>
      <c r="O938" t="s">
        <v>66</v>
      </c>
      <c r="P938" t="s">
        <v>45</v>
      </c>
      <c r="Q938">
        <v>2</v>
      </c>
      <c r="R938" t="s">
        <v>523</v>
      </c>
      <c r="S938" t="s">
        <v>200</v>
      </c>
      <c r="T938" t="str">
        <f>VLOOKUP(S938,'Mapa Oficinas'!$H$7:$I$16,2,FALSE)</f>
        <v>Otra Red Captación</v>
      </c>
      <c r="U938" t="s">
        <v>29</v>
      </c>
      <c r="V938" t="str">
        <f>VLOOKUP($R938,'Mapa Oficinas'!$A$7:$C$46,2,FALSE)</f>
        <v>CABA</v>
      </c>
      <c r="W938" t="str">
        <f>VLOOKUP($R938,'Mapa Oficinas'!$A$7:$C$46,3,FALSE)</f>
        <v>Belgrano</v>
      </c>
    </row>
    <row r="939" spans="1:23" x14ac:dyDescent="0.2">
      <c r="A939" s="1">
        <v>46010</v>
      </c>
      <c r="B939" s="20">
        <f t="shared" si="28"/>
        <v>2025</v>
      </c>
      <c r="C939" s="20">
        <f t="shared" si="29"/>
        <v>12</v>
      </c>
      <c r="D939" t="s">
        <v>5898</v>
      </c>
      <c r="E939" s="49">
        <v>1</v>
      </c>
      <c r="F939" t="s">
        <v>5899</v>
      </c>
      <c r="G939" t="s">
        <v>21</v>
      </c>
      <c r="H939" t="s">
        <v>37</v>
      </c>
      <c r="I939" s="13">
        <v>90000</v>
      </c>
      <c r="J939" s="13">
        <v>85000</v>
      </c>
      <c r="K939" s="13">
        <f>IF(J939&lt;'Mapa Oficinas'!$I$21,0,IF(J939&gt;'Mapa Oficinas'!$I$20,0,1))</f>
        <v>1</v>
      </c>
      <c r="L939" t="s">
        <v>23</v>
      </c>
      <c r="M939" t="s">
        <v>23</v>
      </c>
      <c r="N939" t="s">
        <v>5900</v>
      </c>
      <c r="O939" t="s">
        <v>914</v>
      </c>
      <c r="P939" t="s">
        <v>61</v>
      </c>
      <c r="Q939">
        <v>2</v>
      </c>
      <c r="R939" t="s">
        <v>135</v>
      </c>
      <c r="S939" t="s">
        <v>200</v>
      </c>
      <c r="T939" t="str">
        <f>VLOOKUP(S939,'Mapa Oficinas'!$H$7:$I$16,2,FALSE)</f>
        <v>Otra Red Captación</v>
      </c>
      <c r="U939" t="s">
        <v>29</v>
      </c>
      <c r="V939" t="str">
        <f>VLOOKUP($R939,'Mapa Oficinas'!$A$7:$C$46,2,FALSE)</f>
        <v>CABA</v>
      </c>
      <c r="W939" t="str">
        <f>VLOOKUP($R939,'Mapa Oficinas'!$A$7:$C$46,3,FALSE)</f>
        <v>Recoleta</v>
      </c>
    </row>
    <row r="940" spans="1:23" x14ac:dyDescent="0.2">
      <c r="A940" s="1">
        <v>45778</v>
      </c>
      <c r="B940" s="20">
        <f t="shared" si="28"/>
        <v>2025</v>
      </c>
      <c r="C940" s="20">
        <f t="shared" si="29"/>
        <v>5</v>
      </c>
      <c r="D940">
        <v>7</v>
      </c>
      <c r="E940" s="49">
        <v>3</v>
      </c>
      <c r="F940" t="s">
        <v>1771</v>
      </c>
      <c r="G940" t="s">
        <v>21</v>
      </c>
      <c r="H940" t="s">
        <v>81</v>
      </c>
      <c r="I940" s="13">
        <v>83000</v>
      </c>
      <c r="J940" s="13">
        <v>85000</v>
      </c>
      <c r="K940" s="13">
        <f>IF(J940&lt;'Mapa Oficinas'!$I$21,0,IF(J940&gt;'Mapa Oficinas'!$I$20,0,1))</f>
        <v>1</v>
      </c>
      <c r="L940" t="s">
        <v>23</v>
      </c>
      <c r="M940" t="s">
        <v>23</v>
      </c>
      <c r="N940" t="s">
        <v>1772</v>
      </c>
      <c r="O940" t="s">
        <v>265</v>
      </c>
      <c r="P940" t="s">
        <v>45</v>
      </c>
      <c r="Q940">
        <v>2</v>
      </c>
      <c r="R940" t="s">
        <v>1024</v>
      </c>
      <c r="S940" t="s">
        <v>232</v>
      </c>
      <c r="T940" t="str">
        <f>VLOOKUP(S940,'Mapa Oficinas'!$H$7:$I$16,2,FALSE)</f>
        <v>CB</v>
      </c>
      <c r="U940" t="s">
        <v>29</v>
      </c>
      <c r="V940" t="str">
        <f>VLOOKUP($R940,'Mapa Oficinas'!$A$7:$C$46,2,FALSE)</f>
        <v>CABA</v>
      </c>
      <c r="W940" t="str">
        <f>VLOOKUP($R940,'Mapa Oficinas'!$A$7:$C$46,3,FALSE)</f>
        <v>Puerto Madero</v>
      </c>
    </row>
    <row r="941" spans="1:23" x14ac:dyDescent="0.2">
      <c r="A941" s="1">
        <v>45818</v>
      </c>
      <c r="B941" s="20">
        <f t="shared" si="28"/>
        <v>2025</v>
      </c>
      <c r="C941" s="20">
        <f t="shared" si="29"/>
        <v>6</v>
      </c>
      <c r="D941" t="s">
        <v>2406</v>
      </c>
      <c r="E941" s="49">
        <v>3</v>
      </c>
      <c r="F941" t="s">
        <v>2407</v>
      </c>
      <c r="G941" t="s">
        <v>21</v>
      </c>
      <c r="H941" t="s">
        <v>37</v>
      </c>
      <c r="I941" s="13">
        <v>85000</v>
      </c>
      <c r="J941" s="13">
        <v>85000</v>
      </c>
      <c r="K941" s="13">
        <f>IF(J941&lt;'Mapa Oficinas'!$I$21,0,IF(J941&gt;'Mapa Oficinas'!$I$20,0,1))</f>
        <v>1</v>
      </c>
      <c r="L941" t="s">
        <v>23</v>
      </c>
      <c r="M941" t="s">
        <v>23</v>
      </c>
      <c r="N941" t="s">
        <v>2408</v>
      </c>
      <c r="O941" t="s">
        <v>470</v>
      </c>
      <c r="P941" t="s">
        <v>45</v>
      </c>
      <c r="Q941">
        <v>2</v>
      </c>
      <c r="R941" t="s">
        <v>46</v>
      </c>
      <c r="S941" t="s">
        <v>232</v>
      </c>
      <c r="T941" t="str">
        <f>VLOOKUP(S941,'Mapa Oficinas'!$H$7:$I$16,2,FALSE)</f>
        <v>CB</v>
      </c>
      <c r="U941" t="s">
        <v>29</v>
      </c>
      <c r="V941" t="str">
        <f>VLOOKUP($R941,'Mapa Oficinas'!$A$7:$C$46,2,FALSE)</f>
        <v>CABA</v>
      </c>
      <c r="W941" t="str">
        <f>VLOOKUP($R941,'Mapa Oficinas'!$A$7:$C$46,3,FALSE)</f>
        <v>Palermo</v>
      </c>
    </row>
    <row r="942" spans="1:23" x14ac:dyDescent="0.2">
      <c r="A942" s="1">
        <v>45973</v>
      </c>
      <c r="B942" s="20">
        <f t="shared" si="28"/>
        <v>2025</v>
      </c>
      <c r="C942" s="20">
        <f t="shared" si="29"/>
        <v>11</v>
      </c>
      <c r="D942" t="s">
        <v>5161</v>
      </c>
      <c r="E942" s="49">
        <v>3</v>
      </c>
      <c r="F942" t="s">
        <v>5162</v>
      </c>
      <c r="G942" t="s">
        <v>21</v>
      </c>
      <c r="H942" t="s">
        <v>37</v>
      </c>
      <c r="I942" s="13">
        <v>89000</v>
      </c>
      <c r="J942" s="13">
        <v>85000</v>
      </c>
      <c r="K942" s="13">
        <f>IF(J942&lt;'Mapa Oficinas'!$I$21,0,IF(J942&gt;'Mapa Oficinas'!$I$20,0,1))</f>
        <v>1</v>
      </c>
      <c r="L942" t="s">
        <v>23</v>
      </c>
      <c r="M942" t="s">
        <v>23</v>
      </c>
      <c r="N942" t="s">
        <v>5163</v>
      </c>
      <c r="O942" t="s">
        <v>50</v>
      </c>
      <c r="P942" t="s">
        <v>45</v>
      </c>
      <c r="Q942">
        <v>2</v>
      </c>
      <c r="R942" t="s">
        <v>670</v>
      </c>
      <c r="S942" t="s">
        <v>232</v>
      </c>
      <c r="T942" t="str">
        <f>VLOOKUP(S942,'Mapa Oficinas'!$H$7:$I$16,2,FALSE)</f>
        <v>CB</v>
      </c>
      <c r="U942" t="s">
        <v>29</v>
      </c>
      <c r="V942" t="str">
        <f>VLOOKUP($R942,'Mapa Oficinas'!$A$7:$C$46,2,FALSE)</f>
        <v>CABA</v>
      </c>
      <c r="W942" t="str">
        <f>VLOOKUP($R942,'Mapa Oficinas'!$A$7:$C$46,3,FALSE)</f>
        <v>Recoleta</v>
      </c>
    </row>
    <row r="943" spans="1:23" x14ac:dyDescent="0.2">
      <c r="A943" s="1">
        <v>45806</v>
      </c>
      <c r="B943" s="20">
        <f t="shared" si="28"/>
        <v>2025</v>
      </c>
      <c r="C943" s="20">
        <f t="shared" si="29"/>
        <v>5</v>
      </c>
      <c r="D943" t="s">
        <v>2191</v>
      </c>
      <c r="E943" s="49">
        <v>1</v>
      </c>
      <c r="F943" t="s">
        <v>2192</v>
      </c>
      <c r="G943" t="s">
        <v>21</v>
      </c>
      <c r="H943" t="s">
        <v>90</v>
      </c>
      <c r="I943" s="13">
        <v>89900</v>
      </c>
      <c r="J943" s="13">
        <v>85000</v>
      </c>
      <c r="K943" s="13">
        <f>IF(J943&lt;'Mapa Oficinas'!$I$21,0,IF(J943&gt;'Mapa Oficinas'!$I$20,0,1))</f>
        <v>1</v>
      </c>
      <c r="L943" t="s">
        <v>23</v>
      </c>
      <c r="M943" t="s">
        <v>23</v>
      </c>
      <c r="N943" t="s">
        <v>2193</v>
      </c>
      <c r="O943" t="s">
        <v>2194</v>
      </c>
      <c r="P943" t="s">
        <v>14</v>
      </c>
      <c r="Q943">
        <v>2</v>
      </c>
      <c r="R943" t="s">
        <v>62</v>
      </c>
      <c r="S943" t="s">
        <v>1265</v>
      </c>
      <c r="T943" t="str">
        <f>VLOOKUP(S943,'Mapa Oficinas'!$H$7:$I$16,2,FALSE)</f>
        <v>CB</v>
      </c>
      <c r="U943" t="s">
        <v>29</v>
      </c>
      <c r="V943" t="str">
        <f>VLOOKUP($R943,'Mapa Oficinas'!$A$7:$C$46,2,FALSE)</f>
        <v>CABA</v>
      </c>
      <c r="W943" t="str">
        <f>VLOOKUP($R943,'Mapa Oficinas'!$A$7:$C$46,3,FALSE)</f>
        <v>Villa Urquiza</v>
      </c>
    </row>
    <row r="944" spans="1:23" x14ac:dyDescent="0.2">
      <c r="A944" s="1">
        <v>45664</v>
      </c>
      <c r="B944" s="20">
        <f t="shared" si="28"/>
        <v>2025</v>
      </c>
      <c r="C944" s="20">
        <f t="shared" si="29"/>
        <v>1</v>
      </c>
      <c r="D944" t="s">
        <v>106</v>
      </c>
      <c r="E944" s="49">
        <v>1</v>
      </c>
      <c r="F944" t="s">
        <v>107</v>
      </c>
      <c r="G944" t="s">
        <v>21</v>
      </c>
      <c r="H944" t="s">
        <v>37</v>
      </c>
      <c r="I944" s="13">
        <v>99900</v>
      </c>
      <c r="J944" s="13">
        <v>85000</v>
      </c>
      <c r="K944" s="13">
        <f>IF(J944&lt;'Mapa Oficinas'!$I$21,0,IF(J944&gt;'Mapa Oficinas'!$I$20,0,1))</f>
        <v>1</v>
      </c>
      <c r="L944" t="s">
        <v>23</v>
      </c>
      <c r="M944" t="s">
        <v>23</v>
      </c>
      <c r="N944" t="s">
        <v>108</v>
      </c>
      <c r="O944" t="s">
        <v>109</v>
      </c>
      <c r="P944" t="s">
        <v>45</v>
      </c>
      <c r="Q944">
        <v>2</v>
      </c>
      <c r="R944" t="s">
        <v>110</v>
      </c>
      <c r="S944" t="s">
        <v>28</v>
      </c>
      <c r="T944" t="str">
        <f>VLOOKUP(S944,'Mapa Oficinas'!$H$7:$I$16,2,FALSE)</f>
        <v>CB</v>
      </c>
      <c r="U944" t="s">
        <v>29</v>
      </c>
      <c r="V944" t="str">
        <f>VLOOKUP($R944,'Mapa Oficinas'!$A$7:$C$46,2,FALSE)</f>
        <v>Zona Norte (GBA)</v>
      </c>
      <c r="W944" t="str">
        <f>VLOOKUP($R944,'Mapa Oficinas'!$A$7:$C$46,3,FALSE)</f>
        <v>Nordelta</v>
      </c>
    </row>
    <row r="945" spans="1:23" x14ac:dyDescent="0.2">
      <c r="A945" s="1">
        <v>45786</v>
      </c>
      <c r="B945" s="20">
        <f t="shared" si="28"/>
        <v>2025</v>
      </c>
      <c r="C945" s="20">
        <f t="shared" si="29"/>
        <v>5</v>
      </c>
      <c r="D945" t="s">
        <v>1841</v>
      </c>
      <c r="E945" s="49">
        <v>1</v>
      </c>
      <c r="F945" t="s">
        <v>1842</v>
      </c>
      <c r="G945" t="s">
        <v>21</v>
      </c>
      <c r="H945" t="s">
        <v>37</v>
      </c>
      <c r="I945" s="13">
        <v>88900</v>
      </c>
      <c r="J945" s="13">
        <v>85000</v>
      </c>
      <c r="K945" s="13">
        <f>IF(J945&lt;'Mapa Oficinas'!$I$21,0,IF(J945&gt;'Mapa Oficinas'!$I$20,0,1))</f>
        <v>1</v>
      </c>
      <c r="L945" t="s">
        <v>23</v>
      </c>
      <c r="M945" t="s">
        <v>23</v>
      </c>
      <c r="N945" t="s">
        <v>1843</v>
      </c>
      <c r="O945" t="s">
        <v>440</v>
      </c>
      <c r="P945" t="s">
        <v>45</v>
      </c>
      <c r="Q945">
        <v>2</v>
      </c>
      <c r="R945" t="s">
        <v>67</v>
      </c>
      <c r="S945" t="s">
        <v>28</v>
      </c>
      <c r="T945" t="str">
        <f>VLOOKUP(S945,'Mapa Oficinas'!$H$7:$I$16,2,FALSE)</f>
        <v>CB</v>
      </c>
      <c r="U945" t="s">
        <v>29</v>
      </c>
      <c r="V945" t="str">
        <f>VLOOKUP($R945,'Mapa Oficinas'!$A$7:$C$46,2,FALSE)</f>
        <v>CABA</v>
      </c>
      <c r="W945" t="str">
        <f>VLOOKUP($R945,'Mapa Oficinas'!$A$7:$C$46,3,FALSE)</f>
        <v>Barrio Parque</v>
      </c>
    </row>
    <row r="946" spans="1:23" x14ac:dyDescent="0.2">
      <c r="A946" s="1">
        <v>45813</v>
      </c>
      <c r="B946" s="20">
        <f t="shared" si="28"/>
        <v>2025</v>
      </c>
      <c r="C946" s="20">
        <f t="shared" si="29"/>
        <v>6</v>
      </c>
      <c r="D946" t="s">
        <v>2335</v>
      </c>
      <c r="E946" s="49">
        <v>1</v>
      </c>
      <c r="F946" t="s">
        <v>2336</v>
      </c>
      <c r="G946" t="s">
        <v>21</v>
      </c>
      <c r="H946" t="s">
        <v>37</v>
      </c>
      <c r="I946" s="13">
        <v>100000</v>
      </c>
      <c r="J946" s="13">
        <v>85000</v>
      </c>
      <c r="K946" s="13">
        <f>IF(J946&lt;'Mapa Oficinas'!$I$21,0,IF(J946&gt;'Mapa Oficinas'!$I$20,0,1))</f>
        <v>1</v>
      </c>
      <c r="L946" t="s">
        <v>23</v>
      </c>
      <c r="M946" t="s">
        <v>23</v>
      </c>
      <c r="N946" t="s">
        <v>2337</v>
      </c>
      <c r="O946" t="s">
        <v>1321</v>
      </c>
      <c r="P946" t="s">
        <v>55</v>
      </c>
      <c r="Q946">
        <v>2</v>
      </c>
      <c r="R946" t="s">
        <v>151</v>
      </c>
      <c r="S946" t="s">
        <v>28</v>
      </c>
      <c r="T946" t="str">
        <f>VLOOKUP(S946,'Mapa Oficinas'!$H$7:$I$16,2,FALSE)</f>
        <v>CB</v>
      </c>
      <c r="U946" t="s">
        <v>29</v>
      </c>
      <c r="V946" t="str">
        <f>VLOOKUP($R946,'Mapa Oficinas'!$A$7:$C$46,2,FALSE)</f>
        <v>Interior - Mendoza</v>
      </c>
      <c r="W946" t="str">
        <f>VLOOKUP($R946,'Mapa Oficinas'!$A$7:$C$46,3,FALSE)</f>
        <v>Capital Mendoza</v>
      </c>
    </row>
    <row r="947" spans="1:23" x14ac:dyDescent="0.2">
      <c r="A947" s="1">
        <v>45875</v>
      </c>
      <c r="B947" s="20">
        <f t="shared" si="28"/>
        <v>2025</v>
      </c>
      <c r="C947" s="20">
        <f t="shared" si="29"/>
        <v>8</v>
      </c>
      <c r="D947" t="s">
        <v>3443</v>
      </c>
      <c r="E947" s="49">
        <v>1</v>
      </c>
      <c r="F947" t="s">
        <v>3444</v>
      </c>
      <c r="G947" t="s">
        <v>21</v>
      </c>
      <c r="H947" t="s">
        <v>37</v>
      </c>
      <c r="I947" s="13">
        <v>89500</v>
      </c>
      <c r="J947" s="13">
        <v>85000</v>
      </c>
      <c r="K947" s="13">
        <f>IF(J947&lt;'Mapa Oficinas'!$I$21,0,IF(J947&gt;'Mapa Oficinas'!$I$20,0,1))</f>
        <v>1</v>
      </c>
      <c r="L947" t="s">
        <v>23</v>
      </c>
      <c r="M947" t="s">
        <v>23</v>
      </c>
      <c r="N947" t="s">
        <v>3445</v>
      </c>
      <c r="O947" t="s">
        <v>236</v>
      </c>
      <c r="P947" t="s">
        <v>45</v>
      </c>
      <c r="Q947">
        <v>2</v>
      </c>
      <c r="R947" t="s">
        <v>67</v>
      </c>
      <c r="S947" t="s">
        <v>28</v>
      </c>
      <c r="T947" t="str">
        <f>VLOOKUP(S947,'Mapa Oficinas'!$H$7:$I$16,2,FALSE)</f>
        <v>CB</v>
      </c>
      <c r="U947" t="s">
        <v>29</v>
      </c>
      <c r="V947" t="str">
        <f>VLOOKUP($R947,'Mapa Oficinas'!$A$7:$C$46,2,FALSE)</f>
        <v>CABA</v>
      </c>
      <c r="W947" t="str">
        <f>VLOOKUP($R947,'Mapa Oficinas'!$A$7:$C$46,3,FALSE)</f>
        <v>Barrio Parque</v>
      </c>
    </row>
    <row r="948" spans="1:23" x14ac:dyDescent="0.2">
      <c r="A948" s="1">
        <v>45883</v>
      </c>
      <c r="B948" s="20">
        <f t="shared" si="28"/>
        <v>2025</v>
      </c>
      <c r="C948" s="20">
        <f t="shared" si="29"/>
        <v>8</v>
      </c>
      <c r="D948" t="s">
        <v>3593</v>
      </c>
      <c r="E948" s="49">
        <v>1</v>
      </c>
      <c r="F948" t="s">
        <v>3594</v>
      </c>
      <c r="G948" t="s">
        <v>21</v>
      </c>
      <c r="H948" t="s">
        <v>70</v>
      </c>
      <c r="I948" s="13">
        <v>90000</v>
      </c>
      <c r="J948" s="13">
        <v>85000</v>
      </c>
      <c r="K948" s="13">
        <f>IF(J948&lt;'Mapa Oficinas'!$I$21,0,IF(J948&gt;'Mapa Oficinas'!$I$20,0,1))</f>
        <v>1</v>
      </c>
      <c r="L948" t="s">
        <v>23</v>
      </c>
      <c r="M948" t="s">
        <v>23</v>
      </c>
      <c r="N948" t="s">
        <v>3595</v>
      </c>
      <c r="O948" t="s">
        <v>3596</v>
      </c>
      <c r="P948" t="s">
        <v>34</v>
      </c>
      <c r="Q948">
        <v>2</v>
      </c>
      <c r="R948" t="s">
        <v>73</v>
      </c>
      <c r="S948" t="s">
        <v>28</v>
      </c>
      <c r="T948" t="str">
        <f>VLOOKUP(S948,'Mapa Oficinas'!$H$7:$I$16,2,FALSE)</f>
        <v>CB</v>
      </c>
      <c r="U948" t="s">
        <v>29</v>
      </c>
      <c r="V948" t="str">
        <f>VLOOKUP($R948,'Mapa Oficinas'!$A$7:$C$46,2,FALSE)</f>
        <v>Interior - Salta</v>
      </c>
      <c r="W948" t="str">
        <f>VLOOKUP($R948,'Mapa Oficinas'!$A$7:$C$46,3,FALSE)</f>
        <v>San Lorenzo Chico</v>
      </c>
    </row>
    <row r="949" spans="1:23" x14ac:dyDescent="0.2">
      <c r="A949" s="1">
        <v>45930</v>
      </c>
      <c r="B949" s="20">
        <f t="shared" si="28"/>
        <v>2025</v>
      </c>
      <c r="C949" s="20">
        <f t="shared" si="29"/>
        <v>9</v>
      </c>
      <c r="D949" t="s">
        <v>4414</v>
      </c>
      <c r="E949" s="49">
        <v>1</v>
      </c>
      <c r="F949" t="s">
        <v>4415</v>
      </c>
      <c r="G949" t="s">
        <v>21</v>
      </c>
      <c r="H949" t="s">
        <v>37</v>
      </c>
      <c r="I949" s="13">
        <v>87000</v>
      </c>
      <c r="J949" s="13">
        <v>85000</v>
      </c>
      <c r="K949" s="13">
        <f>IF(J949&lt;'Mapa Oficinas'!$I$21,0,IF(J949&gt;'Mapa Oficinas'!$I$20,0,1))</f>
        <v>1</v>
      </c>
      <c r="L949" t="s">
        <v>23</v>
      </c>
      <c r="M949" t="s">
        <v>23</v>
      </c>
      <c r="N949" t="s">
        <v>4416</v>
      </c>
      <c r="O949" t="s">
        <v>141</v>
      </c>
      <c r="P949" t="s">
        <v>45</v>
      </c>
      <c r="Q949">
        <v>2</v>
      </c>
      <c r="R949" t="s">
        <v>67</v>
      </c>
      <c r="S949" t="s">
        <v>28</v>
      </c>
      <c r="T949" t="str">
        <f>VLOOKUP(S949,'Mapa Oficinas'!$H$7:$I$16,2,FALSE)</f>
        <v>CB</v>
      </c>
      <c r="U949" t="s">
        <v>29</v>
      </c>
      <c r="V949" t="str">
        <f>VLOOKUP($R949,'Mapa Oficinas'!$A$7:$C$46,2,FALSE)</f>
        <v>CABA</v>
      </c>
      <c r="W949" t="str">
        <f>VLOOKUP($R949,'Mapa Oficinas'!$A$7:$C$46,3,FALSE)</f>
        <v>Barrio Parque</v>
      </c>
    </row>
    <row r="950" spans="1:23" x14ac:dyDescent="0.2">
      <c r="A950" s="1">
        <v>46008</v>
      </c>
      <c r="B950" s="20">
        <f t="shared" si="28"/>
        <v>2025</v>
      </c>
      <c r="C950" s="20">
        <f t="shared" si="29"/>
        <v>12</v>
      </c>
      <c r="D950" t="s">
        <v>5840</v>
      </c>
      <c r="E950" s="49">
        <v>1</v>
      </c>
      <c r="F950" t="s">
        <v>5841</v>
      </c>
      <c r="G950" t="s">
        <v>21</v>
      </c>
      <c r="H950" t="s">
        <v>100</v>
      </c>
      <c r="I950" s="13">
        <v>99000</v>
      </c>
      <c r="J950" s="13">
        <v>85000</v>
      </c>
      <c r="K950" s="13">
        <f>IF(J950&lt;'Mapa Oficinas'!$I$21,0,IF(J950&gt;'Mapa Oficinas'!$I$20,0,1))</f>
        <v>1</v>
      </c>
      <c r="L950" t="s">
        <v>23</v>
      </c>
      <c r="M950" t="s">
        <v>23</v>
      </c>
      <c r="N950" t="s">
        <v>285</v>
      </c>
      <c r="O950" t="s">
        <v>209</v>
      </c>
      <c r="P950" t="s">
        <v>26</v>
      </c>
      <c r="Q950">
        <v>2</v>
      </c>
      <c r="R950" t="s">
        <v>121</v>
      </c>
      <c r="S950" t="s">
        <v>28</v>
      </c>
      <c r="T950" t="str">
        <f>VLOOKUP(S950,'Mapa Oficinas'!$H$7:$I$16,2,FALSE)</f>
        <v>CB</v>
      </c>
      <c r="U950" t="s">
        <v>29</v>
      </c>
      <c r="V950" t="str">
        <f>VLOOKUP($R950,'Mapa Oficinas'!$A$7:$C$46,2,FALSE)</f>
        <v>Interior - Río Negro</v>
      </c>
      <c r="W950" t="str">
        <f>VLOOKUP($R950,'Mapa Oficinas'!$A$7:$C$46,3,FALSE)</f>
        <v>Bariloche</v>
      </c>
    </row>
    <row r="951" spans="1:23" x14ac:dyDescent="0.2">
      <c r="A951" s="1">
        <v>46011</v>
      </c>
      <c r="B951" s="20">
        <f t="shared" si="28"/>
        <v>2025</v>
      </c>
      <c r="C951" s="20">
        <f t="shared" si="29"/>
        <v>12</v>
      </c>
      <c r="D951" t="s">
        <v>5920</v>
      </c>
      <c r="E951" s="49">
        <v>1</v>
      </c>
      <c r="F951" t="s">
        <v>5921</v>
      </c>
      <c r="G951" t="s">
        <v>21</v>
      </c>
      <c r="H951" t="s">
        <v>37</v>
      </c>
      <c r="I951" s="13">
        <v>89000</v>
      </c>
      <c r="J951" s="13">
        <v>85000</v>
      </c>
      <c r="K951" s="13">
        <f>IF(J951&lt;'Mapa Oficinas'!$I$21,0,IF(J951&gt;'Mapa Oficinas'!$I$20,0,1))</f>
        <v>1</v>
      </c>
      <c r="L951" t="s">
        <v>23</v>
      </c>
      <c r="M951" t="s">
        <v>23</v>
      </c>
      <c r="N951" t="s">
        <v>5922</v>
      </c>
      <c r="O951" t="s">
        <v>299</v>
      </c>
      <c r="P951" t="s">
        <v>45</v>
      </c>
      <c r="Q951">
        <v>2</v>
      </c>
      <c r="R951" t="s">
        <v>135</v>
      </c>
      <c r="S951" t="s">
        <v>28</v>
      </c>
      <c r="T951" t="str">
        <f>VLOOKUP(S951,'Mapa Oficinas'!$H$7:$I$16,2,FALSE)</f>
        <v>CB</v>
      </c>
      <c r="U951" t="s">
        <v>29</v>
      </c>
      <c r="V951" t="str">
        <f>VLOOKUP($R951,'Mapa Oficinas'!$A$7:$C$46,2,FALSE)</f>
        <v>CABA</v>
      </c>
      <c r="W951" t="str">
        <f>VLOOKUP($R951,'Mapa Oficinas'!$A$7:$C$46,3,FALSE)</f>
        <v>Recoleta</v>
      </c>
    </row>
    <row r="952" spans="1:23" x14ac:dyDescent="0.2">
      <c r="A952" s="1">
        <v>46052</v>
      </c>
      <c r="B952" s="20">
        <f t="shared" si="28"/>
        <v>2026</v>
      </c>
      <c r="C952" s="20">
        <f t="shared" si="29"/>
        <v>1</v>
      </c>
      <c r="D952" t="s">
        <v>6475</v>
      </c>
      <c r="E952" s="49">
        <v>1</v>
      </c>
      <c r="F952" t="s">
        <v>6476</v>
      </c>
      <c r="G952" t="s">
        <v>21</v>
      </c>
      <c r="H952" t="s">
        <v>37</v>
      </c>
      <c r="I952" s="13">
        <v>100000</v>
      </c>
      <c r="J952" s="13">
        <v>85000</v>
      </c>
      <c r="K952" s="13">
        <f>IF(J952&lt;'Mapa Oficinas'!$I$21,0,IF(J952&gt;'Mapa Oficinas'!$I$20,0,1))</f>
        <v>1</v>
      </c>
      <c r="L952" t="s">
        <v>23</v>
      </c>
      <c r="M952" t="s">
        <v>23</v>
      </c>
      <c r="N952" t="s">
        <v>6477</v>
      </c>
      <c r="O952" t="s">
        <v>6478</v>
      </c>
      <c r="P952" t="s">
        <v>26</v>
      </c>
      <c r="Q952">
        <v>2</v>
      </c>
      <c r="R952" t="s">
        <v>84</v>
      </c>
      <c r="S952" t="s">
        <v>28</v>
      </c>
      <c r="T952" t="str">
        <f>VLOOKUP(S952,'Mapa Oficinas'!$H$7:$I$16,2,FALSE)</f>
        <v>CB</v>
      </c>
      <c r="U952" t="s">
        <v>29</v>
      </c>
      <c r="V952" t="str">
        <f>VLOOKUP($R952,'Mapa Oficinas'!$A$7:$C$46,2,FALSE)</f>
        <v>Interior - Neuquén</v>
      </c>
      <c r="W952" t="str">
        <f>VLOOKUP($R952,'Mapa Oficinas'!$A$7:$C$46,3,FALSE)</f>
        <v>Villa La Angostura</v>
      </c>
    </row>
    <row r="953" spans="1:23" x14ac:dyDescent="0.2">
      <c r="A953" s="1">
        <v>46056</v>
      </c>
      <c r="B953" s="20">
        <f t="shared" si="28"/>
        <v>2026</v>
      </c>
      <c r="C953" s="20">
        <f t="shared" si="29"/>
        <v>2</v>
      </c>
      <c r="D953" t="s">
        <v>6511</v>
      </c>
      <c r="E953" s="49">
        <v>1</v>
      </c>
      <c r="F953" t="s">
        <v>2780</v>
      </c>
      <c r="G953" t="s">
        <v>21</v>
      </c>
      <c r="H953" t="s">
        <v>90</v>
      </c>
      <c r="I953" s="13">
        <v>89900</v>
      </c>
      <c r="J953" s="13">
        <v>85000</v>
      </c>
      <c r="K953" s="13">
        <f>IF(J953&lt;'Mapa Oficinas'!$I$21,0,IF(J953&gt;'Mapa Oficinas'!$I$20,0,1))</f>
        <v>1</v>
      </c>
      <c r="L953" t="s">
        <v>23</v>
      </c>
      <c r="M953" t="s">
        <v>23</v>
      </c>
      <c r="N953" t="s">
        <v>6512</v>
      </c>
      <c r="O953" t="s">
        <v>66</v>
      </c>
      <c r="P953" t="s">
        <v>45</v>
      </c>
      <c r="Q953">
        <v>2</v>
      </c>
      <c r="R953" t="s">
        <v>372</v>
      </c>
      <c r="S953" t="s">
        <v>28</v>
      </c>
      <c r="T953" t="str">
        <f>VLOOKUP(S953,'Mapa Oficinas'!$H$7:$I$16,2,FALSE)</f>
        <v>CB</v>
      </c>
      <c r="U953" t="s">
        <v>29</v>
      </c>
      <c r="V953" t="str">
        <f>VLOOKUP($R953,'Mapa Oficinas'!$A$7:$C$46,2,FALSE)</f>
        <v>CABA</v>
      </c>
      <c r="W953" t="str">
        <f>VLOOKUP($R953,'Mapa Oficinas'!$A$7:$C$46,3,FALSE)</f>
        <v>Caballito</v>
      </c>
    </row>
    <row r="954" spans="1:23" x14ac:dyDescent="0.2">
      <c r="A954" s="1">
        <v>46076</v>
      </c>
      <c r="B954" s="20">
        <f t="shared" si="28"/>
        <v>2026</v>
      </c>
      <c r="C954" s="20">
        <f t="shared" si="29"/>
        <v>2</v>
      </c>
      <c r="D954" t="s">
        <v>6802</v>
      </c>
      <c r="E954" s="49">
        <v>1</v>
      </c>
      <c r="F954" t="s">
        <v>6803</v>
      </c>
      <c r="G954" t="s">
        <v>21</v>
      </c>
      <c r="H954" t="s">
        <v>37</v>
      </c>
      <c r="I954" s="13">
        <v>85000</v>
      </c>
      <c r="J954" s="13">
        <v>85000</v>
      </c>
      <c r="K954" s="13">
        <f>IF(J954&lt;'Mapa Oficinas'!$I$21,0,IF(J954&gt;'Mapa Oficinas'!$I$20,0,1))</f>
        <v>1</v>
      </c>
      <c r="L954" t="s">
        <v>23</v>
      </c>
      <c r="M954" t="s">
        <v>23</v>
      </c>
      <c r="N954" t="s">
        <v>6804</v>
      </c>
      <c r="O954" t="s">
        <v>6805</v>
      </c>
      <c r="P954" t="s">
        <v>26</v>
      </c>
      <c r="Q954">
        <v>2</v>
      </c>
      <c r="R954" t="s">
        <v>5714</v>
      </c>
      <c r="S954" t="s">
        <v>28</v>
      </c>
      <c r="T954" t="str">
        <f>VLOOKUP(S954,'Mapa Oficinas'!$H$7:$I$16,2,FALSE)</f>
        <v>CB</v>
      </c>
      <c r="U954" t="s">
        <v>29</v>
      </c>
      <c r="V954" t="str">
        <f>VLOOKUP($R954,'Mapa Oficinas'!$A$7:$C$46,2,FALSE)</f>
        <v>CABA</v>
      </c>
      <c r="W954" t="str">
        <f>VLOOKUP($R954,'Mapa Oficinas'!$A$7:$C$46,3,FALSE)</f>
        <v>Palermo</v>
      </c>
    </row>
    <row r="955" spans="1:23" x14ac:dyDescent="0.2">
      <c r="A955" s="1">
        <v>46093</v>
      </c>
      <c r="B955" s="20">
        <f t="shared" si="28"/>
        <v>2026</v>
      </c>
      <c r="C955" s="20">
        <f t="shared" si="29"/>
        <v>3</v>
      </c>
      <c r="D955" t="s">
        <v>6802</v>
      </c>
      <c r="E955" s="49">
        <v>1</v>
      </c>
      <c r="F955" t="s">
        <v>6803</v>
      </c>
      <c r="G955" t="s">
        <v>21</v>
      </c>
      <c r="H955" t="s">
        <v>22</v>
      </c>
      <c r="I955" s="13">
        <v>85000</v>
      </c>
      <c r="J955" s="13">
        <v>85000</v>
      </c>
      <c r="K955" s="13">
        <f>IF(J955&lt;'Mapa Oficinas'!$I$21,0,IF(J955&gt;'Mapa Oficinas'!$I$20,0,1))</f>
        <v>1</v>
      </c>
      <c r="L955" t="s">
        <v>23</v>
      </c>
      <c r="M955" t="s">
        <v>23</v>
      </c>
      <c r="N955" t="s">
        <v>6804</v>
      </c>
      <c r="O955" t="s">
        <v>6805</v>
      </c>
      <c r="P955" t="s">
        <v>26</v>
      </c>
      <c r="Q955">
        <v>2</v>
      </c>
      <c r="R955" t="s">
        <v>5714</v>
      </c>
      <c r="S955" t="s">
        <v>28</v>
      </c>
      <c r="T955" t="str">
        <f>VLOOKUP(S955,'Mapa Oficinas'!$H$7:$I$16,2,FALSE)</f>
        <v>CB</v>
      </c>
      <c r="U955" t="s">
        <v>29</v>
      </c>
      <c r="V955" t="str">
        <f>VLOOKUP($R955,'Mapa Oficinas'!$A$7:$C$46,2,FALSE)</f>
        <v>CABA</v>
      </c>
      <c r="W955" t="str">
        <f>VLOOKUP($R955,'Mapa Oficinas'!$A$7:$C$46,3,FALSE)</f>
        <v>Palermo</v>
      </c>
    </row>
    <row r="956" spans="1:23" x14ac:dyDescent="0.2">
      <c r="A956" s="1">
        <v>46097</v>
      </c>
      <c r="B956" s="20">
        <f t="shared" si="28"/>
        <v>2026</v>
      </c>
      <c r="C956" s="20">
        <f t="shared" si="29"/>
        <v>3</v>
      </c>
      <c r="D956" t="s">
        <v>7208</v>
      </c>
      <c r="E956" s="49">
        <v>1</v>
      </c>
      <c r="F956" t="s">
        <v>7209</v>
      </c>
      <c r="G956" t="s">
        <v>21</v>
      </c>
      <c r="H956" t="s">
        <v>22</v>
      </c>
      <c r="I956" s="13">
        <v>72000</v>
      </c>
      <c r="J956" s="13">
        <v>85000</v>
      </c>
      <c r="K956" s="13">
        <f>IF(J956&lt;'Mapa Oficinas'!$I$21,0,IF(J956&gt;'Mapa Oficinas'!$I$20,0,1))</f>
        <v>1</v>
      </c>
      <c r="L956" t="s">
        <v>23</v>
      </c>
      <c r="M956" t="s">
        <v>23</v>
      </c>
      <c r="N956" t="s">
        <v>7210</v>
      </c>
      <c r="O956" t="s">
        <v>231</v>
      </c>
      <c r="P956" t="s">
        <v>45</v>
      </c>
      <c r="Q956">
        <v>2</v>
      </c>
      <c r="R956" t="s">
        <v>110</v>
      </c>
      <c r="S956" t="s">
        <v>28</v>
      </c>
      <c r="T956" t="str">
        <f>VLOOKUP(S956,'Mapa Oficinas'!$H$7:$I$16,2,FALSE)</f>
        <v>CB</v>
      </c>
      <c r="U956" t="s">
        <v>29</v>
      </c>
      <c r="V956" t="str">
        <f>VLOOKUP($R956,'Mapa Oficinas'!$A$7:$C$46,2,FALSE)</f>
        <v>Zona Norte (GBA)</v>
      </c>
      <c r="W956" t="str">
        <f>VLOOKUP($R956,'Mapa Oficinas'!$A$7:$C$46,3,FALSE)</f>
        <v>Nordelta</v>
      </c>
    </row>
    <row r="957" spans="1:23" x14ac:dyDescent="0.2">
      <c r="A957" s="1">
        <v>46106</v>
      </c>
      <c r="B957" s="20">
        <f t="shared" si="28"/>
        <v>2026</v>
      </c>
      <c r="C957" s="20">
        <f t="shared" si="29"/>
        <v>3</v>
      </c>
      <c r="D957" t="s">
        <v>7403</v>
      </c>
      <c r="E957" s="49">
        <v>1</v>
      </c>
      <c r="F957" t="s">
        <v>7404</v>
      </c>
      <c r="G957" t="s">
        <v>21</v>
      </c>
      <c r="H957" t="s">
        <v>221</v>
      </c>
      <c r="I957" s="13">
        <v>85000</v>
      </c>
      <c r="J957" s="13">
        <v>85000</v>
      </c>
      <c r="K957" s="13">
        <f>IF(J957&lt;'Mapa Oficinas'!$I$21,0,IF(J957&gt;'Mapa Oficinas'!$I$20,0,1))</f>
        <v>1</v>
      </c>
      <c r="L957" t="s">
        <v>23</v>
      </c>
      <c r="M957" t="s">
        <v>23</v>
      </c>
      <c r="N957" t="s">
        <v>7405</v>
      </c>
      <c r="O957" t="s">
        <v>7406</v>
      </c>
      <c r="P957" t="s">
        <v>26</v>
      </c>
      <c r="Q957">
        <v>2</v>
      </c>
      <c r="R957" t="s">
        <v>73</v>
      </c>
      <c r="S957" t="s">
        <v>28</v>
      </c>
      <c r="T957" t="str">
        <f>VLOOKUP(S957,'Mapa Oficinas'!$H$7:$I$16,2,FALSE)</f>
        <v>CB</v>
      </c>
      <c r="U957" t="s">
        <v>29</v>
      </c>
      <c r="V957" t="str">
        <f>VLOOKUP($R957,'Mapa Oficinas'!$A$7:$C$46,2,FALSE)</f>
        <v>Interior - Salta</v>
      </c>
      <c r="W957" t="str">
        <f>VLOOKUP($R957,'Mapa Oficinas'!$A$7:$C$46,3,FALSE)</f>
        <v>San Lorenzo Chico</v>
      </c>
    </row>
    <row r="958" spans="1:23" x14ac:dyDescent="0.2">
      <c r="A958" s="1">
        <v>46112</v>
      </c>
      <c r="B958" s="20">
        <f t="shared" si="28"/>
        <v>2026</v>
      </c>
      <c r="C958" s="20">
        <f t="shared" si="29"/>
        <v>3</v>
      </c>
      <c r="D958" t="s">
        <v>7560</v>
      </c>
      <c r="E958" s="49">
        <v>1</v>
      </c>
      <c r="F958" t="s">
        <v>7561</v>
      </c>
      <c r="G958" t="s">
        <v>21</v>
      </c>
      <c r="H958" t="s">
        <v>22</v>
      </c>
      <c r="I958" s="13">
        <v>85000</v>
      </c>
      <c r="J958" s="13">
        <v>85000</v>
      </c>
      <c r="K958" s="13">
        <f>IF(J958&lt;'Mapa Oficinas'!$I$21,0,IF(J958&gt;'Mapa Oficinas'!$I$20,0,1))</f>
        <v>1</v>
      </c>
      <c r="L958" t="s">
        <v>23</v>
      </c>
      <c r="M958" t="s">
        <v>23</v>
      </c>
      <c r="N958" t="s">
        <v>7562</v>
      </c>
      <c r="O958" t="s">
        <v>7563</v>
      </c>
      <c r="P958" t="s">
        <v>26</v>
      </c>
      <c r="Q958">
        <v>2</v>
      </c>
      <c r="R958" t="s">
        <v>84</v>
      </c>
      <c r="S958" t="s">
        <v>28</v>
      </c>
      <c r="T958" t="str">
        <f>VLOOKUP(S958,'Mapa Oficinas'!$H$7:$I$16,2,FALSE)</f>
        <v>CB</v>
      </c>
      <c r="U958" t="s">
        <v>29</v>
      </c>
      <c r="V958" t="str">
        <f>VLOOKUP($R958,'Mapa Oficinas'!$A$7:$C$46,2,FALSE)</f>
        <v>Interior - Neuquén</v>
      </c>
      <c r="W958" t="str">
        <f>VLOOKUP($R958,'Mapa Oficinas'!$A$7:$C$46,3,FALSE)</f>
        <v>Villa La Angostura</v>
      </c>
    </row>
    <row r="959" spans="1:23" x14ac:dyDescent="0.2">
      <c r="A959" s="1">
        <v>45744</v>
      </c>
      <c r="B959" s="20">
        <f t="shared" si="28"/>
        <v>2025</v>
      </c>
      <c r="C959" s="20">
        <f t="shared" si="29"/>
        <v>3</v>
      </c>
      <c r="D959" t="s">
        <v>1159</v>
      </c>
      <c r="E959" s="49">
        <v>1</v>
      </c>
      <c r="F959" t="s">
        <v>550</v>
      </c>
      <c r="G959" t="s">
        <v>21</v>
      </c>
      <c r="H959" t="s">
        <v>100</v>
      </c>
      <c r="I959" s="13">
        <v>81750</v>
      </c>
      <c r="J959" s="13">
        <v>85020</v>
      </c>
      <c r="K959" s="13">
        <f>IF(J959&lt;'Mapa Oficinas'!$I$21,0,IF(J959&gt;'Mapa Oficinas'!$I$20,0,1))</f>
        <v>1</v>
      </c>
      <c r="L959" t="s">
        <v>23</v>
      </c>
      <c r="M959" t="s">
        <v>23</v>
      </c>
      <c r="N959" t="s">
        <v>1160</v>
      </c>
      <c r="O959" t="s">
        <v>209</v>
      </c>
      <c r="P959" t="s">
        <v>45</v>
      </c>
      <c r="Q959">
        <v>2</v>
      </c>
      <c r="R959" t="s">
        <v>121</v>
      </c>
      <c r="S959" t="s">
        <v>28</v>
      </c>
      <c r="T959" t="str">
        <f>VLOOKUP(S959,'Mapa Oficinas'!$H$7:$I$16,2,FALSE)</f>
        <v>CB</v>
      </c>
      <c r="U959" t="s">
        <v>29</v>
      </c>
      <c r="V959" t="str">
        <f>VLOOKUP($R959,'Mapa Oficinas'!$A$7:$C$46,2,FALSE)</f>
        <v>Interior - Río Negro</v>
      </c>
      <c r="W959" t="str">
        <f>VLOOKUP($R959,'Mapa Oficinas'!$A$7:$C$46,3,FALSE)</f>
        <v>Bariloche</v>
      </c>
    </row>
    <row r="960" spans="1:23" x14ac:dyDescent="0.2">
      <c r="A960" s="1">
        <v>45856</v>
      </c>
      <c r="B960" s="20">
        <f t="shared" si="28"/>
        <v>2025</v>
      </c>
      <c r="C960" s="20">
        <f t="shared" si="29"/>
        <v>7</v>
      </c>
      <c r="D960" t="s">
        <v>3110</v>
      </c>
      <c r="E960" s="49">
        <v>1</v>
      </c>
      <c r="F960" t="s">
        <v>3111</v>
      </c>
      <c r="G960" t="s">
        <v>21</v>
      </c>
      <c r="H960" t="s">
        <v>76</v>
      </c>
      <c r="I960" s="13">
        <v>85500</v>
      </c>
      <c r="J960" s="13">
        <v>85500</v>
      </c>
      <c r="K960" s="13">
        <f>IF(J960&lt;'Mapa Oficinas'!$I$21,0,IF(J960&gt;'Mapa Oficinas'!$I$20,0,1))</f>
        <v>1</v>
      </c>
      <c r="L960" t="s">
        <v>23</v>
      </c>
      <c r="M960" t="s">
        <v>23</v>
      </c>
      <c r="N960" t="s">
        <v>3112</v>
      </c>
      <c r="O960" t="s">
        <v>452</v>
      </c>
      <c r="P960" t="s">
        <v>45</v>
      </c>
      <c r="Q960">
        <v>2</v>
      </c>
      <c r="R960" t="s">
        <v>523</v>
      </c>
      <c r="S960" t="s">
        <v>28</v>
      </c>
      <c r="T960" t="str">
        <f>VLOOKUP(S960,'Mapa Oficinas'!$H$7:$I$16,2,FALSE)</f>
        <v>CB</v>
      </c>
      <c r="U960" t="s">
        <v>29</v>
      </c>
      <c r="V960" t="str">
        <f>VLOOKUP($R960,'Mapa Oficinas'!$A$7:$C$46,2,FALSE)</f>
        <v>CABA</v>
      </c>
      <c r="W960" t="str">
        <f>VLOOKUP($R960,'Mapa Oficinas'!$A$7:$C$46,3,FALSE)</f>
        <v>Belgrano</v>
      </c>
    </row>
    <row r="961" spans="1:23" x14ac:dyDescent="0.2">
      <c r="A961" s="1">
        <v>45812</v>
      </c>
      <c r="B961" s="20">
        <f t="shared" si="28"/>
        <v>2025</v>
      </c>
      <c r="C961" s="20">
        <f t="shared" si="29"/>
        <v>6</v>
      </c>
      <c r="D961" t="s">
        <v>2298</v>
      </c>
      <c r="E961" s="49">
        <v>1</v>
      </c>
      <c r="F961" t="s">
        <v>2299</v>
      </c>
      <c r="G961" t="s">
        <v>21</v>
      </c>
      <c r="H961" t="s">
        <v>119</v>
      </c>
      <c r="I961" s="13">
        <v>89000</v>
      </c>
      <c r="J961" s="13">
        <v>86000</v>
      </c>
      <c r="K961" s="13">
        <f>IF(J961&lt;'Mapa Oficinas'!$I$21,0,IF(J961&gt;'Mapa Oficinas'!$I$20,0,1))</f>
        <v>1</v>
      </c>
      <c r="L961" t="s">
        <v>23</v>
      </c>
      <c r="M961" t="s">
        <v>1927</v>
      </c>
      <c r="N961" t="s">
        <v>2300</v>
      </c>
      <c r="O961" t="s">
        <v>696</v>
      </c>
      <c r="P961" t="s">
        <v>45</v>
      </c>
      <c r="Q961">
        <v>2</v>
      </c>
      <c r="R961" t="s">
        <v>1024</v>
      </c>
      <c r="S961" t="s">
        <v>79</v>
      </c>
      <c r="T961" t="str">
        <f>VLOOKUP(S961,'Mapa Oficinas'!$H$7:$I$16,2,FALSE)</f>
        <v>CB</v>
      </c>
      <c r="U961" t="s">
        <v>29</v>
      </c>
      <c r="V961" t="str">
        <f>VLOOKUP($R961,'Mapa Oficinas'!$A$7:$C$46,2,FALSE)</f>
        <v>CABA</v>
      </c>
      <c r="W961" t="str">
        <f>VLOOKUP($R961,'Mapa Oficinas'!$A$7:$C$46,3,FALSE)</f>
        <v>Puerto Madero</v>
      </c>
    </row>
    <row r="962" spans="1:23" x14ac:dyDescent="0.2">
      <c r="A962" s="1">
        <v>45861</v>
      </c>
      <c r="B962" s="20">
        <f t="shared" ref="B962:B1025" si="30">YEAR($A962)</f>
        <v>2025</v>
      </c>
      <c r="C962" s="20">
        <f t="shared" ref="C962:C1025" si="31">MONTH($A962)</f>
        <v>7</v>
      </c>
      <c r="D962" t="s">
        <v>3169</v>
      </c>
      <c r="E962" s="49">
        <v>1</v>
      </c>
      <c r="F962" t="s">
        <v>3170</v>
      </c>
      <c r="G962" t="s">
        <v>21</v>
      </c>
      <c r="H962" t="s">
        <v>37</v>
      </c>
      <c r="I962" s="13">
        <v>86000</v>
      </c>
      <c r="J962" s="13">
        <v>86000</v>
      </c>
      <c r="K962" s="13">
        <f>IF(J962&lt;'Mapa Oficinas'!$I$21,0,IF(J962&gt;'Mapa Oficinas'!$I$20,0,1))</f>
        <v>1</v>
      </c>
      <c r="L962" t="s">
        <v>23</v>
      </c>
      <c r="M962" t="s">
        <v>23</v>
      </c>
      <c r="N962" t="s">
        <v>3171</v>
      </c>
      <c r="O962" t="s">
        <v>162</v>
      </c>
      <c r="P962" t="s">
        <v>34</v>
      </c>
      <c r="Q962">
        <v>1</v>
      </c>
      <c r="R962" t="s">
        <v>110</v>
      </c>
      <c r="S962" t="s">
        <v>47</v>
      </c>
      <c r="T962" t="str">
        <f>VLOOKUP(S962,'Mapa Oficinas'!$H$7:$I$16,2,FALSE)</f>
        <v>Otra Red Búsqueda</v>
      </c>
      <c r="U962" t="s">
        <v>29</v>
      </c>
      <c r="V962" t="str">
        <f>VLOOKUP($R962,'Mapa Oficinas'!$A$7:$C$46,2,FALSE)</f>
        <v>Zona Norte (GBA)</v>
      </c>
      <c r="W962" t="str">
        <f>VLOOKUP($R962,'Mapa Oficinas'!$A$7:$C$46,3,FALSE)</f>
        <v>Nordelta</v>
      </c>
    </row>
    <row r="963" spans="1:23" x14ac:dyDescent="0.2">
      <c r="A963" s="1">
        <v>45698</v>
      </c>
      <c r="B963" s="20">
        <f t="shared" si="30"/>
        <v>2025</v>
      </c>
      <c r="C963" s="20">
        <f t="shared" si="31"/>
        <v>2</v>
      </c>
      <c r="D963" t="s">
        <v>531</v>
      </c>
      <c r="E963" s="49">
        <v>1</v>
      </c>
      <c r="F963" t="s">
        <v>532</v>
      </c>
      <c r="G963" t="s">
        <v>21</v>
      </c>
      <c r="H963" t="s">
        <v>37</v>
      </c>
      <c r="I963" s="13">
        <v>90000</v>
      </c>
      <c r="J963" s="13">
        <v>86000</v>
      </c>
      <c r="K963" s="13">
        <f>IF(J963&lt;'Mapa Oficinas'!$I$21,0,IF(J963&gt;'Mapa Oficinas'!$I$20,0,1))</f>
        <v>1</v>
      </c>
      <c r="L963" t="s">
        <v>23</v>
      </c>
      <c r="M963" t="s">
        <v>23</v>
      </c>
      <c r="N963" t="s">
        <v>533</v>
      </c>
      <c r="O963" t="s">
        <v>534</v>
      </c>
      <c r="P963" t="s">
        <v>45</v>
      </c>
      <c r="Q963">
        <v>2</v>
      </c>
      <c r="R963" t="s">
        <v>40</v>
      </c>
      <c r="S963" t="s">
        <v>200</v>
      </c>
      <c r="T963" t="str">
        <f>VLOOKUP(S963,'Mapa Oficinas'!$H$7:$I$16,2,FALSE)</f>
        <v>Otra Red Captación</v>
      </c>
      <c r="U963" t="s">
        <v>29</v>
      </c>
      <c r="V963" t="str">
        <f>VLOOKUP($R963,'Mapa Oficinas'!$A$7:$C$46,2,FALSE)</f>
        <v>CABA</v>
      </c>
      <c r="W963" t="str">
        <f>VLOOKUP($R963,'Mapa Oficinas'!$A$7:$C$46,3,FALSE)</f>
        <v>Núñez</v>
      </c>
    </row>
    <row r="964" spans="1:23" x14ac:dyDescent="0.2">
      <c r="A964" s="1">
        <v>45895</v>
      </c>
      <c r="B964" s="20">
        <f t="shared" si="30"/>
        <v>2025</v>
      </c>
      <c r="C964" s="20">
        <f t="shared" si="31"/>
        <v>8</v>
      </c>
      <c r="D964" t="s">
        <v>3773</v>
      </c>
      <c r="E964" s="49">
        <v>3</v>
      </c>
      <c r="F964" t="s">
        <v>3774</v>
      </c>
      <c r="G964" t="s">
        <v>21</v>
      </c>
      <c r="H964" t="s">
        <v>37</v>
      </c>
      <c r="I964" s="13">
        <v>86000</v>
      </c>
      <c r="J964" s="13">
        <v>86000</v>
      </c>
      <c r="K964" s="13">
        <f>IF(J964&lt;'Mapa Oficinas'!$I$21,0,IF(J964&gt;'Mapa Oficinas'!$I$20,0,1))</f>
        <v>1</v>
      </c>
      <c r="L964" t="s">
        <v>23</v>
      </c>
      <c r="M964" t="s">
        <v>23</v>
      </c>
      <c r="N964" t="s">
        <v>3775</v>
      </c>
      <c r="O964" t="s">
        <v>1196</v>
      </c>
      <c r="P964" t="s">
        <v>45</v>
      </c>
      <c r="Q964">
        <v>2</v>
      </c>
      <c r="R964" t="s">
        <v>67</v>
      </c>
      <c r="S964" t="s">
        <v>241</v>
      </c>
      <c r="T964" t="str">
        <f>VLOOKUP(S964,'Mapa Oficinas'!$H$7:$I$16,2,FALSE)</f>
        <v>CB</v>
      </c>
      <c r="U964" t="s">
        <v>29</v>
      </c>
      <c r="V964" t="str">
        <f>VLOOKUP($R964,'Mapa Oficinas'!$A$7:$C$46,2,FALSE)</f>
        <v>CABA</v>
      </c>
      <c r="W964" t="str">
        <f>VLOOKUP($R964,'Mapa Oficinas'!$A$7:$C$46,3,FALSE)</f>
        <v>Barrio Parque</v>
      </c>
    </row>
    <row r="965" spans="1:23" x14ac:dyDescent="0.2">
      <c r="A965" s="1">
        <v>45742</v>
      </c>
      <c r="B965" s="20">
        <f t="shared" si="30"/>
        <v>2025</v>
      </c>
      <c r="C965" s="20">
        <f t="shared" si="31"/>
        <v>3</v>
      </c>
      <c r="D965" t="s">
        <v>1110</v>
      </c>
      <c r="E965" s="49">
        <v>1</v>
      </c>
      <c r="F965" t="s">
        <v>1111</v>
      </c>
      <c r="G965" t="s">
        <v>21</v>
      </c>
      <c r="H965" t="s">
        <v>37</v>
      </c>
      <c r="I965" s="13">
        <v>88500</v>
      </c>
      <c r="J965" s="13">
        <v>86000</v>
      </c>
      <c r="K965" s="13">
        <f>IF(J965&lt;'Mapa Oficinas'!$I$21,0,IF(J965&gt;'Mapa Oficinas'!$I$20,0,1))</f>
        <v>1</v>
      </c>
      <c r="L965" t="s">
        <v>23</v>
      </c>
      <c r="M965" t="s">
        <v>23</v>
      </c>
      <c r="N965" t="s">
        <v>1112</v>
      </c>
      <c r="O965" t="s">
        <v>470</v>
      </c>
      <c r="P965" t="s">
        <v>45</v>
      </c>
      <c r="Q965">
        <v>2</v>
      </c>
      <c r="R965" t="s">
        <v>67</v>
      </c>
      <c r="S965" t="s">
        <v>28</v>
      </c>
      <c r="T965" t="str">
        <f>VLOOKUP(S965,'Mapa Oficinas'!$H$7:$I$16,2,FALSE)</f>
        <v>CB</v>
      </c>
      <c r="U965" t="s">
        <v>29</v>
      </c>
      <c r="V965" t="str">
        <f>VLOOKUP($R965,'Mapa Oficinas'!$A$7:$C$46,2,FALSE)</f>
        <v>CABA</v>
      </c>
      <c r="W965" t="str">
        <f>VLOOKUP($R965,'Mapa Oficinas'!$A$7:$C$46,3,FALSE)</f>
        <v>Barrio Parque</v>
      </c>
    </row>
    <row r="966" spans="1:23" x14ac:dyDescent="0.2">
      <c r="A966" s="1">
        <v>45875</v>
      </c>
      <c r="B966" s="20">
        <f t="shared" si="30"/>
        <v>2025</v>
      </c>
      <c r="C966" s="20">
        <f t="shared" si="31"/>
        <v>8</v>
      </c>
      <c r="D966" t="s">
        <v>3446</v>
      </c>
      <c r="E966" s="49">
        <v>1</v>
      </c>
      <c r="F966" t="s">
        <v>3447</v>
      </c>
      <c r="G966" t="s">
        <v>21</v>
      </c>
      <c r="H966" t="s">
        <v>37</v>
      </c>
      <c r="I966" s="13">
        <v>94000</v>
      </c>
      <c r="J966" s="13">
        <v>86000</v>
      </c>
      <c r="K966" s="13">
        <f>IF(J966&lt;'Mapa Oficinas'!$I$21,0,IF(J966&gt;'Mapa Oficinas'!$I$20,0,1))</f>
        <v>1</v>
      </c>
      <c r="L966" t="s">
        <v>23</v>
      </c>
      <c r="M966" t="s">
        <v>23</v>
      </c>
      <c r="N966" t="s">
        <v>3448</v>
      </c>
      <c r="O966" t="s">
        <v>3449</v>
      </c>
      <c r="P966" t="s">
        <v>45</v>
      </c>
      <c r="Q966">
        <v>2</v>
      </c>
      <c r="R966" t="s">
        <v>1605</v>
      </c>
      <c r="S966" t="s">
        <v>28</v>
      </c>
      <c r="T966" t="str">
        <f>VLOOKUP(S966,'Mapa Oficinas'!$H$7:$I$16,2,FALSE)</f>
        <v>CB</v>
      </c>
      <c r="U966" t="s">
        <v>29</v>
      </c>
      <c r="V966" t="str">
        <f>VLOOKUP($R966,'Mapa Oficinas'!$A$7:$C$46,2,FALSE)</f>
        <v>CABA</v>
      </c>
      <c r="W966" t="str">
        <f>VLOOKUP($R966,'Mapa Oficinas'!$A$7:$C$46,3,FALSE)</f>
        <v>Núñez</v>
      </c>
    </row>
    <row r="967" spans="1:23" x14ac:dyDescent="0.2">
      <c r="A967" s="1">
        <v>45898</v>
      </c>
      <c r="B967" s="20">
        <f t="shared" si="30"/>
        <v>2025</v>
      </c>
      <c r="C967" s="20">
        <f t="shared" si="31"/>
        <v>8</v>
      </c>
      <c r="D967" t="s">
        <v>3868</v>
      </c>
      <c r="E967" s="49">
        <v>1</v>
      </c>
      <c r="F967" t="s">
        <v>3869</v>
      </c>
      <c r="G967" t="s">
        <v>21</v>
      </c>
      <c r="H967" t="s">
        <v>37</v>
      </c>
      <c r="I967" s="13">
        <v>87000</v>
      </c>
      <c r="J967" s="13">
        <v>86000</v>
      </c>
      <c r="K967" s="13">
        <f>IF(J967&lt;'Mapa Oficinas'!$I$21,0,IF(J967&gt;'Mapa Oficinas'!$I$20,0,1))</f>
        <v>1</v>
      </c>
      <c r="L967" t="s">
        <v>23</v>
      </c>
      <c r="M967" t="s">
        <v>23</v>
      </c>
      <c r="N967" t="s">
        <v>3870</v>
      </c>
      <c r="O967" t="s">
        <v>976</v>
      </c>
      <c r="P967" t="s">
        <v>45</v>
      </c>
      <c r="Q967">
        <v>2</v>
      </c>
      <c r="R967" t="s">
        <v>46</v>
      </c>
      <c r="S967" t="s">
        <v>28</v>
      </c>
      <c r="T967" t="str">
        <f>VLOOKUP(S967,'Mapa Oficinas'!$H$7:$I$16,2,FALSE)</f>
        <v>CB</v>
      </c>
      <c r="U967" t="s">
        <v>29</v>
      </c>
      <c r="V967" t="str">
        <f>VLOOKUP($R967,'Mapa Oficinas'!$A$7:$C$46,2,FALSE)</f>
        <v>CABA</v>
      </c>
      <c r="W967" t="str">
        <f>VLOOKUP($R967,'Mapa Oficinas'!$A$7:$C$46,3,FALSE)</f>
        <v>Palermo</v>
      </c>
    </row>
    <row r="968" spans="1:23" x14ac:dyDescent="0.2">
      <c r="A968" s="1">
        <v>46108</v>
      </c>
      <c r="B968" s="20">
        <f t="shared" si="30"/>
        <v>2026</v>
      </c>
      <c r="C968" s="20">
        <f t="shared" si="31"/>
        <v>3</v>
      </c>
      <c r="D968" t="s">
        <v>7467</v>
      </c>
      <c r="E968" s="49">
        <v>1</v>
      </c>
      <c r="F968" t="s">
        <v>7468</v>
      </c>
      <c r="G968" t="s">
        <v>21</v>
      </c>
      <c r="H968" t="s">
        <v>37</v>
      </c>
      <c r="I968" s="13">
        <v>89000</v>
      </c>
      <c r="J968" s="13">
        <v>86000</v>
      </c>
      <c r="K968" s="13">
        <f>IF(J968&lt;'Mapa Oficinas'!$I$21,0,IF(J968&gt;'Mapa Oficinas'!$I$20,0,1))</f>
        <v>1</v>
      </c>
      <c r="L968" t="s">
        <v>23</v>
      </c>
      <c r="M968" t="s">
        <v>23</v>
      </c>
      <c r="N968" t="s">
        <v>7469</v>
      </c>
      <c r="O968" t="s">
        <v>992</v>
      </c>
      <c r="P968" t="s">
        <v>45</v>
      </c>
      <c r="Q968">
        <v>2</v>
      </c>
      <c r="R968" t="s">
        <v>670</v>
      </c>
      <c r="S968" t="s">
        <v>28</v>
      </c>
      <c r="T968" t="str">
        <f>VLOOKUP(S968,'Mapa Oficinas'!$H$7:$I$16,2,FALSE)</f>
        <v>CB</v>
      </c>
      <c r="U968" t="s">
        <v>29</v>
      </c>
      <c r="V968" t="str">
        <f>VLOOKUP($R968,'Mapa Oficinas'!$A$7:$C$46,2,FALSE)</f>
        <v>CABA</v>
      </c>
      <c r="W968" t="str">
        <f>VLOOKUP($R968,'Mapa Oficinas'!$A$7:$C$46,3,FALSE)</f>
        <v>Recoleta</v>
      </c>
    </row>
    <row r="969" spans="1:23" x14ac:dyDescent="0.2">
      <c r="A969" s="1">
        <v>45763</v>
      </c>
      <c r="B969" s="20">
        <f t="shared" si="30"/>
        <v>2025</v>
      </c>
      <c r="C969" s="20">
        <f t="shared" si="31"/>
        <v>4</v>
      </c>
      <c r="D969" t="s">
        <v>1487</v>
      </c>
      <c r="E969" s="49">
        <v>1</v>
      </c>
      <c r="F969" t="s">
        <v>287</v>
      </c>
      <c r="G969" t="s">
        <v>21</v>
      </c>
      <c r="H969" t="s">
        <v>119</v>
      </c>
      <c r="I969" s="13">
        <v>89856</v>
      </c>
      <c r="J969" s="13">
        <v>86400</v>
      </c>
      <c r="K969" s="13">
        <f>IF(J969&lt;'Mapa Oficinas'!$I$21,0,IF(J969&gt;'Mapa Oficinas'!$I$20,0,1))</f>
        <v>1</v>
      </c>
      <c r="L969" t="s">
        <v>23</v>
      </c>
      <c r="M969" t="s">
        <v>23</v>
      </c>
      <c r="N969" t="s">
        <v>288</v>
      </c>
      <c r="O969" t="s">
        <v>1158</v>
      </c>
      <c r="P969" t="s">
        <v>45</v>
      </c>
      <c r="Q969">
        <v>2</v>
      </c>
      <c r="R969" t="s">
        <v>121</v>
      </c>
      <c r="S969" t="s">
        <v>79</v>
      </c>
      <c r="T969" t="str">
        <f>VLOOKUP(S969,'Mapa Oficinas'!$H$7:$I$16,2,FALSE)</f>
        <v>CB</v>
      </c>
      <c r="U969" t="s">
        <v>29</v>
      </c>
      <c r="V969" t="str">
        <f>VLOOKUP($R969,'Mapa Oficinas'!$A$7:$C$46,2,FALSE)</f>
        <v>Interior - Río Negro</v>
      </c>
      <c r="W969" t="str">
        <f>VLOOKUP($R969,'Mapa Oficinas'!$A$7:$C$46,3,FALSE)</f>
        <v>Bariloche</v>
      </c>
    </row>
    <row r="970" spans="1:23" x14ac:dyDescent="0.2">
      <c r="A970" s="1">
        <v>45674</v>
      </c>
      <c r="B970" s="20">
        <f t="shared" si="30"/>
        <v>2025</v>
      </c>
      <c r="C970" s="20">
        <f t="shared" si="31"/>
        <v>1</v>
      </c>
      <c r="D970" t="s">
        <v>283</v>
      </c>
      <c r="E970" s="49">
        <v>1</v>
      </c>
      <c r="F970" t="s">
        <v>284</v>
      </c>
      <c r="G970" t="s">
        <v>21</v>
      </c>
      <c r="H970" t="s">
        <v>76</v>
      </c>
      <c r="I970" s="13">
        <v>88000</v>
      </c>
      <c r="J970" s="13">
        <v>86500</v>
      </c>
      <c r="K970" s="13">
        <f>IF(J970&lt;'Mapa Oficinas'!$I$21,0,IF(J970&gt;'Mapa Oficinas'!$I$20,0,1))</f>
        <v>1</v>
      </c>
      <c r="L970" t="s">
        <v>23</v>
      </c>
      <c r="M970" t="s">
        <v>23</v>
      </c>
      <c r="N970" t="s">
        <v>285</v>
      </c>
      <c r="O970" t="s">
        <v>209</v>
      </c>
      <c r="P970" t="s">
        <v>45</v>
      </c>
      <c r="Q970">
        <v>2</v>
      </c>
      <c r="R970" t="s">
        <v>121</v>
      </c>
      <c r="S970" t="s">
        <v>28</v>
      </c>
      <c r="T970" t="str">
        <f>VLOOKUP(S970,'Mapa Oficinas'!$H$7:$I$16,2,FALSE)</f>
        <v>CB</v>
      </c>
      <c r="U970" t="s">
        <v>29</v>
      </c>
      <c r="V970" t="str">
        <f>VLOOKUP($R970,'Mapa Oficinas'!$A$7:$C$46,2,FALSE)</f>
        <v>Interior - Río Negro</v>
      </c>
      <c r="W970" t="str">
        <f>VLOOKUP($R970,'Mapa Oficinas'!$A$7:$C$46,3,FALSE)</f>
        <v>Bariloche</v>
      </c>
    </row>
    <row r="971" spans="1:23" x14ac:dyDescent="0.2">
      <c r="A971" s="1">
        <v>45799</v>
      </c>
      <c r="B971" s="20">
        <f t="shared" si="30"/>
        <v>2025</v>
      </c>
      <c r="C971" s="20">
        <f t="shared" si="31"/>
        <v>5</v>
      </c>
      <c r="D971">
        <v>10364</v>
      </c>
      <c r="E971" s="49">
        <v>1</v>
      </c>
      <c r="F971" t="s">
        <v>2094</v>
      </c>
      <c r="G971" t="s">
        <v>21</v>
      </c>
      <c r="H971" t="s">
        <v>37</v>
      </c>
      <c r="I971" s="13">
        <v>0</v>
      </c>
      <c r="J971" s="13">
        <v>86500</v>
      </c>
      <c r="K971" s="13">
        <f>IF(J971&lt;'Mapa Oficinas'!$I$21,0,IF(J971&gt;'Mapa Oficinas'!$I$20,0,1))</f>
        <v>1</v>
      </c>
      <c r="L971" t="s">
        <v>23</v>
      </c>
      <c r="M971" t="s">
        <v>23</v>
      </c>
      <c r="O971" t="s">
        <v>114</v>
      </c>
      <c r="P971" t="s">
        <v>45</v>
      </c>
      <c r="Q971">
        <v>2</v>
      </c>
      <c r="R971" t="s">
        <v>67</v>
      </c>
      <c r="S971" t="s">
        <v>28</v>
      </c>
      <c r="T971" t="str">
        <f>VLOOKUP(S971,'Mapa Oficinas'!$H$7:$I$16,2,FALSE)</f>
        <v>CB</v>
      </c>
      <c r="U971" t="s">
        <v>29</v>
      </c>
      <c r="V971" t="str">
        <f>VLOOKUP($R971,'Mapa Oficinas'!$A$7:$C$46,2,FALSE)</f>
        <v>CABA</v>
      </c>
      <c r="W971" t="str">
        <f>VLOOKUP($R971,'Mapa Oficinas'!$A$7:$C$46,3,FALSE)</f>
        <v>Barrio Parque</v>
      </c>
    </row>
    <row r="972" spans="1:23" x14ac:dyDescent="0.2">
      <c r="A972" s="1">
        <v>45924</v>
      </c>
      <c r="B972" s="20">
        <f t="shared" si="30"/>
        <v>2025</v>
      </c>
      <c r="C972" s="20">
        <f t="shared" si="31"/>
        <v>9</v>
      </c>
      <c r="D972" t="s">
        <v>4308</v>
      </c>
      <c r="E972" s="49">
        <v>1</v>
      </c>
      <c r="F972" t="s">
        <v>4309</v>
      </c>
      <c r="G972" t="s">
        <v>21</v>
      </c>
      <c r="H972" t="s">
        <v>37</v>
      </c>
      <c r="I972" s="13">
        <v>90000</v>
      </c>
      <c r="J972" s="13">
        <v>86500</v>
      </c>
      <c r="K972" s="13">
        <f>IF(J972&lt;'Mapa Oficinas'!$I$21,0,IF(J972&gt;'Mapa Oficinas'!$I$20,0,1))</f>
        <v>1</v>
      </c>
      <c r="L972" t="s">
        <v>23</v>
      </c>
      <c r="M972" t="s">
        <v>23</v>
      </c>
      <c r="N972" t="s">
        <v>4310</v>
      </c>
      <c r="O972" t="s">
        <v>1429</v>
      </c>
      <c r="P972" t="s">
        <v>45</v>
      </c>
      <c r="Q972">
        <v>2</v>
      </c>
      <c r="R972" t="s">
        <v>372</v>
      </c>
      <c r="S972" t="s">
        <v>28</v>
      </c>
      <c r="T972" t="str">
        <f>VLOOKUP(S972,'Mapa Oficinas'!$H$7:$I$16,2,FALSE)</f>
        <v>CB</v>
      </c>
      <c r="U972" t="s">
        <v>29</v>
      </c>
      <c r="V972" t="str">
        <f>VLOOKUP($R972,'Mapa Oficinas'!$A$7:$C$46,2,FALSE)</f>
        <v>CABA</v>
      </c>
      <c r="W972" t="str">
        <f>VLOOKUP($R972,'Mapa Oficinas'!$A$7:$C$46,3,FALSE)</f>
        <v>Caballito</v>
      </c>
    </row>
    <row r="973" spans="1:23" x14ac:dyDescent="0.2">
      <c r="A973" s="1">
        <v>45855</v>
      </c>
      <c r="B973" s="20">
        <f t="shared" si="30"/>
        <v>2025</v>
      </c>
      <c r="C973" s="20">
        <f t="shared" si="31"/>
        <v>7</v>
      </c>
      <c r="D973" t="s">
        <v>3087</v>
      </c>
      <c r="E973" s="49">
        <v>1</v>
      </c>
      <c r="F973" t="s">
        <v>3087</v>
      </c>
      <c r="G973" t="s">
        <v>21</v>
      </c>
      <c r="H973" t="s">
        <v>37</v>
      </c>
      <c r="I973" s="13">
        <v>86800</v>
      </c>
      <c r="J973" s="13">
        <v>86800</v>
      </c>
      <c r="K973" s="13">
        <f>IF(J973&lt;'Mapa Oficinas'!$I$21,0,IF(J973&gt;'Mapa Oficinas'!$I$20,0,1))</f>
        <v>1</v>
      </c>
      <c r="L973" t="s">
        <v>23</v>
      </c>
      <c r="M973" t="s">
        <v>23</v>
      </c>
      <c r="O973" t="s">
        <v>1865</v>
      </c>
      <c r="P973" t="s">
        <v>26</v>
      </c>
      <c r="Q973">
        <v>2</v>
      </c>
      <c r="R973" t="s">
        <v>321</v>
      </c>
      <c r="S973" t="s">
        <v>28</v>
      </c>
      <c r="T973" t="str">
        <f>VLOOKUP(S973,'Mapa Oficinas'!$H$7:$I$16,2,FALSE)</f>
        <v>CB</v>
      </c>
      <c r="U973" t="s">
        <v>29</v>
      </c>
      <c r="V973" t="str">
        <f>VLOOKUP($R973,'Mapa Oficinas'!$A$7:$C$46,2,FALSE)</f>
        <v>CABA</v>
      </c>
      <c r="W973" t="str">
        <f>VLOOKUP($R973,'Mapa Oficinas'!$A$7:$C$46,3,FALSE)</f>
        <v>Palermo</v>
      </c>
    </row>
    <row r="974" spans="1:23" x14ac:dyDescent="0.2">
      <c r="A974" s="1">
        <v>45700</v>
      </c>
      <c r="B974" s="20">
        <f t="shared" si="30"/>
        <v>2025</v>
      </c>
      <c r="C974" s="20">
        <f t="shared" si="31"/>
        <v>2</v>
      </c>
      <c r="D974" t="s">
        <v>571</v>
      </c>
      <c r="E974" s="49">
        <v>1</v>
      </c>
      <c r="F974" t="s">
        <v>572</v>
      </c>
      <c r="G974" t="s">
        <v>21</v>
      </c>
      <c r="H974" t="s">
        <v>22</v>
      </c>
      <c r="I974" s="13">
        <v>87000</v>
      </c>
      <c r="J974" s="13">
        <v>87000</v>
      </c>
      <c r="K974" s="13">
        <f>IF(J974&lt;'Mapa Oficinas'!$I$21,0,IF(J974&gt;'Mapa Oficinas'!$I$20,0,1))</f>
        <v>1</v>
      </c>
      <c r="L974" t="s">
        <v>23</v>
      </c>
      <c r="M974" t="s">
        <v>23</v>
      </c>
      <c r="O974" t="s">
        <v>573</v>
      </c>
      <c r="P974" t="s">
        <v>26</v>
      </c>
      <c r="Q974">
        <v>2</v>
      </c>
      <c r="R974" t="s">
        <v>321</v>
      </c>
      <c r="S974" t="s">
        <v>79</v>
      </c>
      <c r="T974" t="str">
        <f>VLOOKUP(S974,'Mapa Oficinas'!$H$7:$I$16,2,FALSE)</f>
        <v>CB</v>
      </c>
      <c r="U974" t="s">
        <v>29</v>
      </c>
      <c r="V974" t="str">
        <f>VLOOKUP($R974,'Mapa Oficinas'!$A$7:$C$46,2,FALSE)</f>
        <v>CABA</v>
      </c>
      <c r="W974" t="str">
        <f>VLOOKUP($R974,'Mapa Oficinas'!$A$7:$C$46,3,FALSE)</f>
        <v>Palermo</v>
      </c>
    </row>
    <row r="975" spans="1:23" x14ac:dyDescent="0.2">
      <c r="A975" s="1">
        <v>45833</v>
      </c>
      <c r="B975" s="20">
        <f t="shared" si="30"/>
        <v>2025</v>
      </c>
      <c r="C975" s="20">
        <f t="shared" si="31"/>
        <v>6</v>
      </c>
      <c r="D975" t="s">
        <v>2635</v>
      </c>
      <c r="E975" s="49">
        <v>1</v>
      </c>
      <c r="F975" t="s">
        <v>2636</v>
      </c>
      <c r="G975" t="s">
        <v>21</v>
      </c>
      <c r="H975" t="s">
        <v>37</v>
      </c>
      <c r="I975" s="13">
        <v>90000</v>
      </c>
      <c r="J975" s="13">
        <v>87000</v>
      </c>
      <c r="K975" s="13">
        <f>IF(J975&lt;'Mapa Oficinas'!$I$21,0,IF(J975&gt;'Mapa Oficinas'!$I$20,0,1))</f>
        <v>1</v>
      </c>
      <c r="L975" t="s">
        <v>23</v>
      </c>
      <c r="M975" t="s">
        <v>23</v>
      </c>
      <c r="N975" t="s">
        <v>2637</v>
      </c>
      <c r="O975" t="s">
        <v>477</v>
      </c>
      <c r="P975" t="s">
        <v>45</v>
      </c>
      <c r="Q975">
        <v>2</v>
      </c>
      <c r="R975" t="s">
        <v>110</v>
      </c>
      <c r="S975" t="s">
        <v>79</v>
      </c>
      <c r="T975" t="str">
        <f>VLOOKUP(S975,'Mapa Oficinas'!$H$7:$I$16,2,FALSE)</f>
        <v>CB</v>
      </c>
      <c r="U975" t="s">
        <v>29</v>
      </c>
      <c r="V975" t="str">
        <f>VLOOKUP($R975,'Mapa Oficinas'!$A$7:$C$46,2,FALSE)</f>
        <v>Zona Norte (GBA)</v>
      </c>
      <c r="W975" t="str">
        <f>VLOOKUP($R975,'Mapa Oficinas'!$A$7:$C$46,3,FALSE)</f>
        <v>Nordelta</v>
      </c>
    </row>
    <row r="976" spans="1:23" x14ac:dyDescent="0.2">
      <c r="A976" s="1">
        <v>45769</v>
      </c>
      <c r="B976" s="20">
        <f t="shared" si="30"/>
        <v>2025</v>
      </c>
      <c r="C976" s="20">
        <f t="shared" si="31"/>
        <v>4</v>
      </c>
      <c r="E976" s="49">
        <v>1</v>
      </c>
      <c r="F976" t="s">
        <v>1522</v>
      </c>
      <c r="G976" t="s">
        <v>21</v>
      </c>
      <c r="H976" t="s">
        <v>1523</v>
      </c>
      <c r="I976" s="13">
        <v>87000</v>
      </c>
      <c r="J976" s="13">
        <v>87000</v>
      </c>
      <c r="K976" s="13">
        <f>IF(J976&lt;'Mapa Oficinas'!$I$21,0,IF(J976&gt;'Mapa Oficinas'!$I$20,0,1))</f>
        <v>1</v>
      </c>
      <c r="L976" t="s">
        <v>23</v>
      </c>
      <c r="M976" t="s">
        <v>23</v>
      </c>
      <c r="N976" t="s">
        <v>1524</v>
      </c>
      <c r="O976" t="s">
        <v>92</v>
      </c>
      <c r="P976" t="s">
        <v>45</v>
      </c>
      <c r="Q976">
        <v>1</v>
      </c>
      <c r="R976" t="s">
        <v>523</v>
      </c>
      <c r="S976" t="s">
        <v>47</v>
      </c>
      <c r="T976" t="str">
        <f>VLOOKUP(S976,'Mapa Oficinas'!$H$7:$I$16,2,FALSE)</f>
        <v>Otra Red Búsqueda</v>
      </c>
      <c r="U976" t="s">
        <v>29</v>
      </c>
      <c r="V976" t="str">
        <f>VLOOKUP($R976,'Mapa Oficinas'!$A$7:$C$46,2,FALSE)</f>
        <v>CABA</v>
      </c>
      <c r="W976" t="str">
        <f>VLOOKUP($R976,'Mapa Oficinas'!$A$7:$C$46,3,FALSE)</f>
        <v>Belgrano</v>
      </c>
    </row>
    <row r="977" spans="1:23" x14ac:dyDescent="0.2">
      <c r="A977" s="1">
        <v>45938</v>
      </c>
      <c r="B977" s="20">
        <f t="shared" si="30"/>
        <v>2025</v>
      </c>
      <c r="C977" s="20">
        <f t="shared" si="31"/>
        <v>10</v>
      </c>
      <c r="D977" t="s">
        <v>4580</v>
      </c>
      <c r="E977" s="49">
        <v>1</v>
      </c>
      <c r="F977" t="s">
        <v>4581</v>
      </c>
      <c r="G977" t="s">
        <v>21</v>
      </c>
      <c r="H977" t="s">
        <v>37</v>
      </c>
      <c r="I977" s="13">
        <v>87000</v>
      </c>
      <c r="J977" s="13">
        <v>87000</v>
      </c>
      <c r="K977" s="13">
        <f>IF(J977&lt;'Mapa Oficinas'!$I$21,0,IF(J977&gt;'Mapa Oficinas'!$I$20,0,1))</f>
        <v>1</v>
      </c>
      <c r="L977" t="s">
        <v>23</v>
      </c>
      <c r="M977" t="s">
        <v>23</v>
      </c>
      <c r="N977" t="s">
        <v>4582</v>
      </c>
      <c r="O977" t="s">
        <v>50</v>
      </c>
      <c r="P977" t="s">
        <v>45</v>
      </c>
      <c r="Q977">
        <v>1</v>
      </c>
      <c r="R977" t="s">
        <v>670</v>
      </c>
      <c r="S977" t="s">
        <v>47</v>
      </c>
      <c r="T977" t="str">
        <f>VLOOKUP(S977,'Mapa Oficinas'!$H$7:$I$16,2,FALSE)</f>
        <v>Otra Red Búsqueda</v>
      </c>
      <c r="U977" t="s">
        <v>29</v>
      </c>
      <c r="V977" t="str">
        <f>VLOOKUP($R977,'Mapa Oficinas'!$A$7:$C$46,2,FALSE)</f>
        <v>CABA</v>
      </c>
      <c r="W977" t="str">
        <f>VLOOKUP($R977,'Mapa Oficinas'!$A$7:$C$46,3,FALSE)</f>
        <v>Recoleta</v>
      </c>
    </row>
    <row r="978" spans="1:23" x14ac:dyDescent="0.2">
      <c r="A978" s="1">
        <v>45845</v>
      </c>
      <c r="B978" s="20">
        <f t="shared" si="30"/>
        <v>2025</v>
      </c>
      <c r="C978" s="20">
        <f t="shared" si="31"/>
        <v>7</v>
      </c>
      <c r="D978" t="s">
        <v>2902</v>
      </c>
      <c r="E978" s="49">
        <v>1</v>
      </c>
      <c r="F978" t="s">
        <v>2903</v>
      </c>
      <c r="G978" t="s">
        <v>21</v>
      </c>
      <c r="H978" t="s">
        <v>37</v>
      </c>
      <c r="I978" s="13">
        <v>89000</v>
      </c>
      <c r="J978" s="13">
        <v>87000</v>
      </c>
      <c r="K978" s="13">
        <f>IF(J978&lt;'Mapa Oficinas'!$I$21,0,IF(J978&gt;'Mapa Oficinas'!$I$20,0,1))</f>
        <v>1</v>
      </c>
      <c r="L978" t="s">
        <v>23</v>
      </c>
      <c r="M978" t="s">
        <v>23</v>
      </c>
      <c r="N978" t="s">
        <v>2904</v>
      </c>
      <c r="O978" t="s">
        <v>1196</v>
      </c>
      <c r="P978" t="s">
        <v>45</v>
      </c>
      <c r="Q978">
        <v>2</v>
      </c>
      <c r="R978" t="s">
        <v>523</v>
      </c>
      <c r="S978" t="s">
        <v>200</v>
      </c>
      <c r="T978" t="str">
        <f>VLOOKUP(S978,'Mapa Oficinas'!$H$7:$I$16,2,FALSE)</f>
        <v>Otra Red Captación</v>
      </c>
      <c r="U978" t="s">
        <v>29</v>
      </c>
      <c r="V978" t="str">
        <f>VLOOKUP($R978,'Mapa Oficinas'!$A$7:$C$46,2,FALSE)</f>
        <v>CABA</v>
      </c>
      <c r="W978" t="str">
        <f>VLOOKUP($R978,'Mapa Oficinas'!$A$7:$C$46,3,FALSE)</f>
        <v>Belgrano</v>
      </c>
    </row>
    <row r="979" spans="1:23" x14ac:dyDescent="0.2">
      <c r="A979" s="1">
        <v>45911</v>
      </c>
      <c r="B979" s="20">
        <f t="shared" si="30"/>
        <v>2025</v>
      </c>
      <c r="C979" s="20">
        <f t="shared" si="31"/>
        <v>9</v>
      </c>
      <c r="D979" t="s">
        <v>4080</v>
      </c>
      <c r="E979" s="49">
        <v>1</v>
      </c>
      <c r="F979" t="s">
        <v>4081</v>
      </c>
      <c r="G979" t="s">
        <v>21</v>
      </c>
      <c r="H979" t="s">
        <v>37</v>
      </c>
      <c r="I979" s="13">
        <v>94900</v>
      </c>
      <c r="J979" s="13">
        <v>87000</v>
      </c>
      <c r="K979" s="13">
        <f>IF(J979&lt;'Mapa Oficinas'!$I$21,0,IF(J979&gt;'Mapa Oficinas'!$I$20,0,1))</f>
        <v>1</v>
      </c>
      <c r="L979" t="s">
        <v>23</v>
      </c>
      <c r="M979" t="s">
        <v>23</v>
      </c>
      <c r="N979" t="s">
        <v>4082</v>
      </c>
      <c r="O979" t="s">
        <v>114</v>
      </c>
      <c r="P979" t="s">
        <v>45</v>
      </c>
      <c r="Q979">
        <v>2</v>
      </c>
      <c r="R979" t="s">
        <v>40</v>
      </c>
      <c r="S979" t="s">
        <v>200</v>
      </c>
      <c r="T979" t="str">
        <f>VLOOKUP(S979,'Mapa Oficinas'!$H$7:$I$16,2,FALSE)</f>
        <v>Otra Red Captación</v>
      </c>
      <c r="U979" t="s">
        <v>29</v>
      </c>
      <c r="V979" t="str">
        <f>VLOOKUP($R979,'Mapa Oficinas'!$A$7:$C$46,2,FALSE)</f>
        <v>CABA</v>
      </c>
      <c r="W979" t="str">
        <f>VLOOKUP($R979,'Mapa Oficinas'!$A$7:$C$46,3,FALSE)</f>
        <v>Núñez</v>
      </c>
    </row>
    <row r="980" spans="1:23" x14ac:dyDescent="0.2">
      <c r="A980" s="1">
        <v>45937</v>
      </c>
      <c r="B980" s="20">
        <f t="shared" si="30"/>
        <v>2025</v>
      </c>
      <c r="C980" s="20">
        <f t="shared" si="31"/>
        <v>10</v>
      </c>
      <c r="D980" t="s">
        <v>4546</v>
      </c>
      <c r="E980" s="49">
        <v>1</v>
      </c>
      <c r="F980" t="s">
        <v>4547</v>
      </c>
      <c r="G980" t="s">
        <v>21</v>
      </c>
      <c r="H980" t="s">
        <v>37</v>
      </c>
      <c r="I980" s="13">
        <v>92000</v>
      </c>
      <c r="J980" s="13">
        <v>87000</v>
      </c>
      <c r="K980" s="13">
        <f>IF(J980&lt;'Mapa Oficinas'!$I$21,0,IF(J980&gt;'Mapa Oficinas'!$I$20,0,1))</f>
        <v>1</v>
      </c>
      <c r="L980" t="s">
        <v>23</v>
      </c>
      <c r="M980" t="s">
        <v>23</v>
      </c>
      <c r="N980" t="s">
        <v>4548</v>
      </c>
      <c r="O980" t="s">
        <v>822</v>
      </c>
      <c r="P980" t="s">
        <v>61</v>
      </c>
      <c r="Q980">
        <v>2</v>
      </c>
      <c r="R980" t="s">
        <v>67</v>
      </c>
      <c r="S980" t="s">
        <v>200</v>
      </c>
      <c r="T980" t="str">
        <f>VLOOKUP(S980,'Mapa Oficinas'!$H$7:$I$16,2,FALSE)</f>
        <v>Otra Red Captación</v>
      </c>
      <c r="U980" t="s">
        <v>29</v>
      </c>
      <c r="V980" t="str">
        <f>VLOOKUP($R980,'Mapa Oficinas'!$A$7:$C$46,2,FALSE)</f>
        <v>CABA</v>
      </c>
      <c r="W980" t="str">
        <f>VLOOKUP($R980,'Mapa Oficinas'!$A$7:$C$46,3,FALSE)</f>
        <v>Barrio Parque</v>
      </c>
    </row>
    <row r="981" spans="1:23" x14ac:dyDescent="0.2">
      <c r="A981" s="1">
        <v>46064</v>
      </c>
      <c r="B981" s="20">
        <f t="shared" si="30"/>
        <v>2026</v>
      </c>
      <c r="C981" s="20">
        <f t="shared" si="31"/>
        <v>2</v>
      </c>
      <c r="D981" t="s">
        <v>6649</v>
      </c>
      <c r="E981" s="49">
        <v>1</v>
      </c>
      <c r="F981" t="s">
        <v>6650</v>
      </c>
      <c r="G981" t="s">
        <v>21</v>
      </c>
      <c r="H981" t="s">
        <v>37</v>
      </c>
      <c r="I981" s="13">
        <v>87000</v>
      </c>
      <c r="J981" s="13">
        <v>87000</v>
      </c>
      <c r="K981" s="13">
        <f>IF(J981&lt;'Mapa Oficinas'!$I$21,0,IF(J981&gt;'Mapa Oficinas'!$I$20,0,1))</f>
        <v>1</v>
      </c>
      <c r="L981" t="s">
        <v>23</v>
      </c>
      <c r="M981" t="s">
        <v>23</v>
      </c>
      <c r="N981" t="s">
        <v>6651</v>
      </c>
      <c r="O981" t="s">
        <v>827</v>
      </c>
      <c r="P981" t="s">
        <v>45</v>
      </c>
      <c r="Q981">
        <v>2</v>
      </c>
      <c r="R981" t="s">
        <v>56</v>
      </c>
      <c r="S981" t="s">
        <v>28</v>
      </c>
      <c r="T981" t="str">
        <f>VLOOKUP(S981,'Mapa Oficinas'!$H$7:$I$16,2,FALSE)</f>
        <v>CB</v>
      </c>
      <c r="U981" t="s">
        <v>29</v>
      </c>
      <c r="V981" t="str">
        <f>VLOOKUP($R981,'Mapa Oficinas'!$A$7:$C$46,2,FALSE)</f>
        <v>Zona Norte (GBA)</v>
      </c>
      <c r="W981" t="str">
        <f>VLOOKUP($R981,'Mapa Oficinas'!$A$7:$C$46,3,FALSE)</f>
        <v>Vicente López</v>
      </c>
    </row>
    <row r="982" spans="1:23" x14ac:dyDescent="0.2">
      <c r="A982" s="1">
        <v>46080</v>
      </c>
      <c r="B982" s="20">
        <f t="shared" si="30"/>
        <v>2026</v>
      </c>
      <c r="C982" s="20">
        <f t="shared" si="31"/>
        <v>2</v>
      </c>
      <c r="D982" t="s">
        <v>6888</v>
      </c>
      <c r="E982" s="49">
        <v>1</v>
      </c>
      <c r="F982" t="s">
        <v>6889</v>
      </c>
      <c r="G982" t="s">
        <v>21</v>
      </c>
      <c r="H982" t="s">
        <v>37</v>
      </c>
      <c r="I982" s="13">
        <v>93000</v>
      </c>
      <c r="J982" s="13">
        <v>87000</v>
      </c>
      <c r="K982" s="13">
        <f>IF(J982&lt;'Mapa Oficinas'!$I$21,0,IF(J982&gt;'Mapa Oficinas'!$I$20,0,1))</f>
        <v>1</v>
      </c>
      <c r="L982" t="s">
        <v>23</v>
      </c>
      <c r="M982" t="s">
        <v>23</v>
      </c>
      <c r="N982" t="s">
        <v>6890</v>
      </c>
      <c r="O982" t="s">
        <v>992</v>
      </c>
      <c r="P982" t="s">
        <v>45</v>
      </c>
      <c r="Q982">
        <v>2</v>
      </c>
      <c r="R982" t="s">
        <v>135</v>
      </c>
      <c r="S982" t="s">
        <v>28</v>
      </c>
      <c r="T982" t="str">
        <f>VLOOKUP(S982,'Mapa Oficinas'!$H$7:$I$16,2,FALSE)</f>
        <v>CB</v>
      </c>
      <c r="U982" t="s">
        <v>29</v>
      </c>
      <c r="V982" t="str">
        <f>VLOOKUP($R982,'Mapa Oficinas'!$A$7:$C$46,2,FALSE)</f>
        <v>CABA</v>
      </c>
      <c r="W982" t="str">
        <f>VLOOKUP($R982,'Mapa Oficinas'!$A$7:$C$46,3,FALSE)</f>
        <v>Recoleta</v>
      </c>
    </row>
    <row r="983" spans="1:23" x14ac:dyDescent="0.2">
      <c r="A983" s="1">
        <v>45979</v>
      </c>
      <c r="B983" s="20">
        <f t="shared" si="30"/>
        <v>2025</v>
      </c>
      <c r="C983" s="20">
        <f t="shared" si="31"/>
        <v>11</v>
      </c>
      <c r="D983" t="s">
        <v>4141</v>
      </c>
      <c r="E983" s="49">
        <v>1</v>
      </c>
      <c r="F983" t="s">
        <v>4142</v>
      </c>
      <c r="G983" t="s">
        <v>21</v>
      </c>
      <c r="H983" t="s">
        <v>37</v>
      </c>
      <c r="I983" s="13">
        <v>95000</v>
      </c>
      <c r="J983" s="13">
        <v>87500</v>
      </c>
      <c r="K983" s="13">
        <f>IF(J983&lt;'Mapa Oficinas'!$I$21,0,IF(J983&gt;'Mapa Oficinas'!$I$20,0,1))</f>
        <v>1</v>
      </c>
      <c r="L983" t="s">
        <v>23</v>
      </c>
      <c r="M983" t="s">
        <v>23</v>
      </c>
      <c r="N983" t="s">
        <v>4143</v>
      </c>
      <c r="O983" t="s">
        <v>4144</v>
      </c>
      <c r="P983" t="s">
        <v>45</v>
      </c>
      <c r="Q983">
        <v>2</v>
      </c>
      <c r="R983" t="s">
        <v>110</v>
      </c>
      <c r="S983" t="s">
        <v>79</v>
      </c>
      <c r="T983" t="str">
        <f>VLOOKUP(S983,'Mapa Oficinas'!$H$7:$I$16,2,FALSE)</f>
        <v>CB</v>
      </c>
      <c r="U983" t="s">
        <v>29</v>
      </c>
      <c r="V983" t="str">
        <f>VLOOKUP($R983,'Mapa Oficinas'!$A$7:$C$46,2,FALSE)</f>
        <v>Zona Norte (GBA)</v>
      </c>
      <c r="W983" t="str">
        <f>VLOOKUP($R983,'Mapa Oficinas'!$A$7:$C$46,3,FALSE)</f>
        <v>Nordelta</v>
      </c>
    </row>
    <row r="984" spans="1:23" x14ac:dyDescent="0.2">
      <c r="A984" s="1">
        <v>45903</v>
      </c>
      <c r="B984" s="20">
        <f t="shared" si="30"/>
        <v>2025</v>
      </c>
      <c r="C984" s="20">
        <f t="shared" si="31"/>
        <v>9</v>
      </c>
      <c r="D984" t="s">
        <v>3665</v>
      </c>
      <c r="E984" s="49">
        <v>1</v>
      </c>
      <c r="F984" t="s">
        <v>3666</v>
      </c>
      <c r="G984" t="s">
        <v>21</v>
      </c>
      <c r="H984" t="s">
        <v>37</v>
      </c>
      <c r="I984" s="13">
        <v>87500</v>
      </c>
      <c r="J984" s="13">
        <v>87500</v>
      </c>
      <c r="K984" s="13">
        <f>IF(J984&lt;'Mapa Oficinas'!$I$21,0,IF(J984&gt;'Mapa Oficinas'!$I$20,0,1))</f>
        <v>1</v>
      </c>
      <c r="L984" t="s">
        <v>23</v>
      </c>
      <c r="M984" t="s">
        <v>23</v>
      </c>
      <c r="N984" t="s">
        <v>3667</v>
      </c>
      <c r="O984" t="s">
        <v>102</v>
      </c>
      <c r="P984" t="s">
        <v>45</v>
      </c>
      <c r="Q984">
        <v>2</v>
      </c>
      <c r="R984" t="s">
        <v>103</v>
      </c>
      <c r="S984" t="s">
        <v>28</v>
      </c>
      <c r="T984" t="str">
        <f>VLOOKUP(S984,'Mapa Oficinas'!$H$7:$I$16,2,FALSE)</f>
        <v>CB</v>
      </c>
      <c r="U984" t="s">
        <v>29</v>
      </c>
      <c r="V984" t="str">
        <f>VLOOKUP($R984,'Mapa Oficinas'!$A$7:$C$46,2,FALSE)</f>
        <v>Zona Sur (GBA)</v>
      </c>
      <c r="W984" t="str">
        <f>VLOOKUP($R984,'Mapa Oficinas'!$A$7:$C$46,3,FALSE)</f>
        <v>La Plata</v>
      </c>
    </row>
    <row r="985" spans="1:23" x14ac:dyDescent="0.2">
      <c r="A985" s="1">
        <v>46065</v>
      </c>
      <c r="B985" s="20">
        <f t="shared" si="30"/>
        <v>2026</v>
      </c>
      <c r="C985" s="20">
        <f t="shared" si="31"/>
        <v>2</v>
      </c>
      <c r="D985" t="s">
        <v>6670</v>
      </c>
      <c r="E985" s="49">
        <v>1</v>
      </c>
      <c r="F985" t="s">
        <v>6670</v>
      </c>
      <c r="G985" t="s">
        <v>21</v>
      </c>
      <c r="H985" t="s">
        <v>22</v>
      </c>
      <c r="I985" s="13">
        <v>175000</v>
      </c>
      <c r="J985" s="13">
        <v>87500</v>
      </c>
      <c r="K985" s="13">
        <f>IF(J985&lt;'Mapa Oficinas'!$I$21,0,IF(J985&gt;'Mapa Oficinas'!$I$20,0,1))</f>
        <v>1</v>
      </c>
      <c r="L985" t="s">
        <v>23</v>
      </c>
      <c r="M985" t="s">
        <v>23</v>
      </c>
      <c r="N985" t="s">
        <v>6670</v>
      </c>
      <c r="O985" t="s">
        <v>116</v>
      </c>
      <c r="P985" t="s">
        <v>45</v>
      </c>
      <c r="Q985">
        <v>2</v>
      </c>
      <c r="R985" t="s">
        <v>62</v>
      </c>
      <c r="S985" t="s">
        <v>28</v>
      </c>
      <c r="T985" t="str">
        <f>VLOOKUP(S985,'Mapa Oficinas'!$H$7:$I$16,2,FALSE)</f>
        <v>CB</v>
      </c>
      <c r="U985" t="s">
        <v>29</v>
      </c>
      <c r="V985" t="str">
        <f>VLOOKUP($R985,'Mapa Oficinas'!$A$7:$C$46,2,FALSE)</f>
        <v>CABA</v>
      </c>
      <c r="W985" t="str">
        <f>VLOOKUP($R985,'Mapa Oficinas'!$A$7:$C$46,3,FALSE)</f>
        <v>Villa Urquiza</v>
      </c>
    </row>
    <row r="986" spans="1:23" x14ac:dyDescent="0.2">
      <c r="A986" s="1">
        <v>45790</v>
      </c>
      <c r="B986" s="20">
        <f t="shared" si="30"/>
        <v>2025</v>
      </c>
      <c r="C986" s="20">
        <f t="shared" si="31"/>
        <v>5</v>
      </c>
      <c r="D986" t="s">
        <v>1899</v>
      </c>
      <c r="E986" s="49">
        <v>1</v>
      </c>
      <c r="F986" t="s">
        <v>1900</v>
      </c>
      <c r="G986" t="s">
        <v>21</v>
      </c>
      <c r="H986" t="s">
        <v>100</v>
      </c>
      <c r="I986" s="13">
        <v>88000</v>
      </c>
      <c r="J986" s="13">
        <v>88000</v>
      </c>
      <c r="K986" s="13">
        <f>IF(J986&lt;'Mapa Oficinas'!$I$21,0,IF(J986&gt;'Mapa Oficinas'!$I$20,0,1))</f>
        <v>1</v>
      </c>
      <c r="L986" t="s">
        <v>23</v>
      </c>
      <c r="M986" t="s">
        <v>23</v>
      </c>
      <c r="N986" t="s">
        <v>1900</v>
      </c>
      <c r="O986" t="s">
        <v>120</v>
      </c>
      <c r="P986" t="s">
        <v>26</v>
      </c>
      <c r="Q986">
        <v>1</v>
      </c>
      <c r="R986" t="s">
        <v>121</v>
      </c>
      <c r="S986" t="s">
        <v>122</v>
      </c>
      <c r="T986" t="str">
        <f>VLOOKUP(S986,'Mapa Oficinas'!$H$7:$I$16,2,FALSE)</f>
        <v>Otra Red Búsqueda</v>
      </c>
      <c r="U986" t="s">
        <v>29</v>
      </c>
      <c r="V986" t="str">
        <f>VLOOKUP($R986,'Mapa Oficinas'!$A$7:$C$46,2,FALSE)</f>
        <v>Interior - Río Negro</v>
      </c>
      <c r="W986" t="str">
        <f>VLOOKUP($R986,'Mapa Oficinas'!$A$7:$C$46,3,FALSE)</f>
        <v>Bariloche</v>
      </c>
    </row>
    <row r="987" spans="1:23" x14ac:dyDescent="0.2">
      <c r="A987" s="1">
        <v>45891</v>
      </c>
      <c r="B987" s="20">
        <f t="shared" si="30"/>
        <v>2025</v>
      </c>
      <c r="C987" s="20">
        <f t="shared" si="31"/>
        <v>8</v>
      </c>
      <c r="D987" t="s">
        <v>3721</v>
      </c>
      <c r="E987" s="49">
        <v>1</v>
      </c>
      <c r="F987" t="s">
        <v>3722</v>
      </c>
      <c r="G987" t="s">
        <v>21</v>
      </c>
      <c r="H987" t="s">
        <v>81</v>
      </c>
      <c r="I987" s="13">
        <v>89000</v>
      </c>
      <c r="J987" s="13">
        <v>88000</v>
      </c>
      <c r="K987" s="13">
        <f>IF(J987&lt;'Mapa Oficinas'!$I$21,0,IF(J987&gt;'Mapa Oficinas'!$I$20,0,1))</f>
        <v>1</v>
      </c>
      <c r="L987" t="s">
        <v>23</v>
      </c>
      <c r="M987" t="s">
        <v>23</v>
      </c>
      <c r="N987" t="s">
        <v>3723</v>
      </c>
      <c r="O987" t="s">
        <v>3270</v>
      </c>
      <c r="P987" t="s">
        <v>34</v>
      </c>
      <c r="Q987">
        <v>1</v>
      </c>
      <c r="R987" t="s">
        <v>167</v>
      </c>
      <c r="S987" t="s">
        <v>152</v>
      </c>
      <c r="T987" t="str">
        <f>VLOOKUP(S987,'Mapa Oficinas'!$H$7:$I$16,2,FALSE)</f>
        <v>Otra Red Captación</v>
      </c>
      <c r="U987" t="s">
        <v>29</v>
      </c>
      <c r="V987" t="str">
        <f>VLOOKUP($R987,'Mapa Oficinas'!$A$7:$C$46,2,FALSE)</f>
        <v>Interior - Santa Fe</v>
      </c>
      <c r="W987" t="str">
        <f>VLOOKUP($R987,'Mapa Oficinas'!$A$7:$C$46,3,FALSE)</f>
        <v>Capital Santa Fe</v>
      </c>
    </row>
    <row r="988" spans="1:23" x14ac:dyDescent="0.2">
      <c r="A988" s="1">
        <v>45922</v>
      </c>
      <c r="B988" s="20">
        <f t="shared" si="30"/>
        <v>2025</v>
      </c>
      <c r="C988" s="20">
        <f t="shared" si="31"/>
        <v>9</v>
      </c>
      <c r="D988" t="s">
        <v>4262</v>
      </c>
      <c r="E988" s="49">
        <v>1</v>
      </c>
      <c r="F988" t="s">
        <v>4263</v>
      </c>
      <c r="G988" t="s">
        <v>21</v>
      </c>
      <c r="H988" t="s">
        <v>37</v>
      </c>
      <c r="I988" s="13">
        <v>93000</v>
      </c>
      <c r="J988" s="13">
        <v>88000</v>
      </c>
      <c r="K988" s="13">
        <f>IF(J988&lt;'Mapa Oficinas'!$I$21,0,IF(J988&gt;'Mapa Oficinas'!$I$20,0,1))</f>
        <v>1</v>
      </c>
      <c r="L988" t="s">
        <v>23</v>
      </c>
      <c r="M988" t="s">
        <v>23</v>
      </c>
      <c r="N988" t="s">
        <v>4264</v>
      </c>
      <c r="O988" t="s">
        <v>436</v>
      </c>
      <c r="P988" t="s">
        <v>45</v>
      </c>
      <c r="Q988">
        <v>1</v>
      </c>
      <c r="R988" t="s">
        <v>183</v>
      </c>
      <c r="S988" t="s">
        <v>152</v>
      </c>
      <c r="T988" t="str">
        <f>VLOOKUP(S988,'Mapa Oficinas'!$H$7:$I$16,2,FALSE)</f>
        <v>Otra Red Captación</v>
      </c>
      <c r="U988" t="s">
        <v>29</v>
      </c>
      <c r="V988" t="str">
        <f>VLOOKUP($R988,'Mapa Oficinas'!$A$7:$C$46,2,FALSE)</f>
        <v>Interior - Neuquén</v>
      </c>
      <c r="W988" t="str">
        <f>VLOOKUP($R988,'Mapa Oficinas'!$A$7:$C$46,3,FALSE)</f>
        <v>Capital Neuquén</v>
      </c>
    </row>
    <row r="989" spans="1:23" x14ac:dyDescent="0.2">
      <c r="A989" s="1">
        <v>46059</v>
      </c>
      <c r="B989" s="20">
        <f t="shared" si="30"/>
        <v>2026</v>
      </c>
      <c r="C989" s="20">
        <f t="shared" si="31"/>
        <v>2</v>
      </c>
      <c r="D989" t="s">
        <v>5537</v>
      </c>
      <c r="E989" s="49">
        <v>1</v>
      </c>
      <c r="F989" t="s">
        <v>5538</v>
      </c>
      <c r="G989" t="s">
        <v>21</v>
      </c>
      <c r="H989" t="s">
        <v>37</v>
      </c>
      <c r="I989" s="13">
        <v>90000</v>
      </c>
      <c r="J989" s="13">
        <v>88000</v>
      </c>
      <c r="K989" s="13">
        <f>IF(J989&lt;'Mapa Oficinas'!$I$21,0,IF(J989&gt;'Mapa Oficinas'!$I$20,0,1))</f>
        <v>1</v>
      </c>
      <c r="L989" t="s">
        <v>23</v>
      </c>
      <c r="M989" t="s">
        <v>23</v>
      </c>
      <c r="N989" t="s">
        <v>5539</v>
      </c>
      <c r="O989" t="s">
        <v>577</v>
      </c>
      <c r="P989" t="s">
        <v>45</v>
      </c>
      <c r="Q989">
        <v>1</v>
      </c>
      <c r="R989" t="s">
        <v>151</v>
      </c>
      <c r="S989" t="s">
        <v>152</v>
      </c>
      <c r="T989" t="str">
        <f>VLOOKUP(S989,'Mapa Oficinas'!$H$7:$I$16,2,FALSE)</f>
        <v>Otra Red Captación</v>
      </c>
      <c r="U989" t="s">
        <v>29</v>
      </c>
      <c r="V989" t="str">
        <f>VLOOKUP($R989,'Mapa Oficinas'!$A$7:$C$46,2,FALSE)</f>
        <v>Interior - Mendoza</v>
      </c>
      <c r="W989" t="str">
        <f>VLOOKUP($R989,'Mapa Oficinas'!$A$7:$C$46,3,FALSE)</f>
        <v>Capital Mendoza</v>
      </c>
    </row>
    <row r="990" spans="1:23" x14ac:dyDescent="0.2">
      <c r="A990" s="1">
        <v>45945</v>
      </c>
      <c r="B990" s="20">
        <f t="shared" si="30"/>
        <v>2025</v>
      </c>
      <c r="C990" s="20">
        <f t="shared" si="31"/>
        <v>10</v>
      </c>
      <c r="D990" t="s">
        <v>4702</v>
      </c>
      <c r="E990" s="49">
        <v>1</v>
      </c>
      <c r="F990" t="s">
        <v>4703</v>
      </c>
      <c r="G990" t="s">
        <v>21</v>
      </c>
      <c r="H990" t="s">
        <v>90</v>
      </c>
      <c r="I990" s="13">
        <v>92000</v>
      </c>
      <c r="J990" s="13">
        <v>88000</v>
      </c>
      <c r="K990" s="13">
        <f>IF(J990&lt;'Mapa Oficinas'!$I$21,0,IF(J990&gt;'Mapa Oficinas'!$I$20,0,1))</f>
        <v>1</v>
      </c>
      <c r="L990" t="s">
        <v>23</v>
      </c>
      <c r="M990" t="s">
        <v>23</v>
      </c>
      <c r="N990" t="s">
        <v>4704</v>
      </c>
      <c r="O990" t="s">
        <v>190</v>
      </c>
      <c r="P990" t="s">
        <v>45</v>
      </c>
      <c r="Q990">
        <v>2</v>
      </c>
      <c r="R990" t="s">
        <v>62</v>
      </c>
      <c r="S990" t="s">
        <v>79</v>
      </c>
      <c r="T990" t="str">
        <f>VLOOKUP(S990,'Mapa Oficinas'!$H$7:$I$16,2,FALSE)</f>
        <v>CB</v>
      </c>
      <c r="U990" t="s">
        <v>29</v>
      </c>
      <c r="V990" t="str">
        <f>VLOOKUP($R990,'Mapa Oficinas'!$A$7:$C$46,2,FALSE)</f>
        <v>CABA</v>
      </c>
      <c r="W990" t="str">
        <f>VLOOKUP($R990,'Mapa Oficinas'!$A$7:$C$46,3,FALSE)</f>
        <v>Villa Urquiza</v>
      </c>
    </row>
    <row r="991" spans="1:23" x14ac:dyDescent="0.2">
      <c r="A991" s="1">
        <v>46080</v>
      </c>
      <c r="B991" s="20">
        <f t="shared" si="30"/>
        <v>2026</v>
      </c>
      <c r="C991" s="20">
        <f t="shared" si="31"/>
        <v>2</v>
      </c>
      <c r="D991" t="s">
        <v>6891</v>
      </c>
      <c r="E991" s="49">
        <v>1</v>
      </c>
      <c r="F991" t="s">
        <v>6891</v>
      </c>
      <c r="G991" t="s">
        <v>21</v>
      </c>
      <c r="H991" t="s">
        <v>37</v>
      </c>
      <c r="I991" s="13">
        <v>88000</v>
      </c>
      <c r="J991" s="13">
        <v>88000</v>
      </c>
      <c r="K991" s="13">
        <f>IF(J991&lt;'Mapa Oficinas'!$I$21,0,IF(J991&gt;'Mapa Oficinas'!$I$20,0,1))</f>
        <v>1</v>
      </c>
      <c r="L991" t="s">
        <v>23</v>
      </c>
      <c r="M991" t="s">
        <v>23</v>
      </c>
      <c r="N991" t="s">
        <v>6891</v>
      </c>
      <c r="O991" t="s">
        <v>1459</v>
      </c>
      <c r="P991" t="s">
        <v>34</v>
      </c>
      <c r="Q991">
        <v>2</v>
      </c>
      <c r="R991" t="s">
        <v>62</v>
      </c>
      <c r="S991" t="s">
        <v>79</v>
      </c>
      <c r="T991" t="str">
        <f>VLOOKUP(S991,'Mapa Oficinas'!$H$7:$I$16,2,FALSE)</f>
        <v>CB</v>
      </c>
      <c r="U991" t="s">
        <v>29</v>
      </c>
      <c r="V991" t="str">
        <f>VLOOKUP($R991,'Mapa Oficinas'!$A$7:$C$46,2,FALSE)</f>
        <v>CABA</v>
      </c>
      <c r="W991" t="str">
        <f>VLOOKUP($R991,'Mapa Oficinas'!$A$7:$C$46,3,FALSE)</f>
        <v>Villa Urquiza</v>
      </c>
    </row>
    <row r="992" spans="1:23" x14ac:dyDescent="0.2">
      <c r="A992" s="1">
        <v>45842</v>
      </c>
      <c r="B992" s="20">
        <f t="shared" si="30"/>
        <v>2025</v>
      </c>
      <c r="C992" s="20">
        <f t="shared" si="31"/>
        <v>7</v>
      </c>
      <c r="D992" t="s">
        <v>2877</v>
      </c>
      <c r="E992" s="49">
        <v>1</v>
      </c>
      <c r="F992" t="s">
        <v>2878</v>
      </c>
      <c r="G992" t="s">
        <v>21</v>
      </c>
      <c r="H992" t="s">
        <v>37</v>
      </c>
      <c r="I992" s="13">
        <v>88000</v>
      </c>
      <c r="J992" s="13">
        <v>88000</v>
      </c>
      <c r="K992" s="13">
        <f>IF(J992&lt;'Mapa Oficinas'!$I$21,0,IF(J992&gt;'Mapa Oficinas'!$I$20,0,1))</f>
        <v>1</v>
      </c>
      <c r="L992" t="s">
        <v>23</v>
      </c>
      <c r="M992" t="s">
        <v>23</v>
      </c>
      <c r="N992" t="s">
        <v>2879</v>
      </c>
      <c r="O992" t="s">
        <v>50</v>
      </c>
      <c r="P992" t="s">
        <v>45</v>
      </c>
      <c r="Q992">
        <v>1</v>
      </c>
      <c r="R992" t="s">
        <v>670</v>
      </c>
      <c r="S992" t="s">
        <v>47</v>
      </c>
      <c r="T992" t="str">
        <f>VLOOKUP(S992,'Mapa Oficinas'!$H$7:$I$16,2,FALSE)</f>
        <v>Otra Red Búsqueda</v>
      </c>
      <c r="U992" t="s">
        <v>29</v>
      </c>
      <c r="V992" t="str">
        <f>VLOOKUP($R992,'Mapa Oficinas'!$A$7:$C$46,2,FALSE)</f>
        <v>CABA</v>
      </c>
      <c r="W992" t="str">
        <f>VLOOKUP($R992,'Mapa Oficinas'!$A$7:$C$46,3,FALSE)</f>
        <v>Recoleta</v>
      </c>
    </row>
    <row r="993" spans="1:23" x14ac:dyDescent="0.2">
      <c r="A993" s="1">
        <v>45890</v>
      </c>
      <c r="B993" s="20">
        <f t="shared" si="30"/>
        <v>2025</v>
      </c>
      <c r="C993" s="20">
        <f t="shared" si="31"/>
        <v>8</v>
      </c>
      <c r="D993" t="s">
        <v>3694</v>
      </c>
      <c r="E993" s="49">
        <v>1</v>
      </c>
      <c r="F993" t="s">
        <v>3695</v>
      </c>
      <c r="G993" t="s">
        <v>21</v>
      </c>
      <c r="H993" t="s">
        <v>37</v>
      </c>
      <c r="I993" s="13">
        <v>95000</v>
      </c>
      <c r="J993" s="13">
        <v>88000</v>
      </c>
      <c r="K993" s="13">
        <f>IF(J993&lt;'Mapa Oficinas'!$I$21,0,IF(J993&gt;'Mapa Oficinas'!$I$20,0,1))</f>
        <v>1</v>
      </c>
      <c r="L993" t="s">
        <v>23</v>
      </c>
      <c r="M993" t="s">
        <v>23</v>
      </c>
      <c r="N993" t="s">
        <v>3696</v>
      </c>
      <c r="O993" t="s">
        <v>477</v>
      </c>
      <c r="P993" t="s">
        <v>45</v>
      </c>
      <c r="Q993">
        <v>1</v>
      </c>
      <c r="R993" t="s">
        <v>523</v>
      </c>
      <c r="S993" t="s">
        <v>47</v>
      </c>
      <c r="T993" t="str">
        <f>VLOOKUP(S993,'Mapa Oficinas'!$H$7:$I$16,2,FALSE)</f>
        <v>Otra Red Búsqueda</v>
      </c>
      <c r="U993" t="s">
        <v>29</v>
      </c>
      <c r="V993" t="str">
        <f>VLOOKUP($R993,'Mapa Oficinas'!$A$7:$C$46,2,FALSE)</f>
        <v>CABA</v>
      </c>
      <c r="W993" t="str">
        <f>VLOOKUP($R993,'Mapa Oficinas'!$A$7:$C$46,3,FALSE)</f>
        <v>Belgrano</v>
      </c>
    </row>
    <row r="994" spans="1:23" x14ac:dyDescent="0.2">
      <c r="A994" s="1">
        <v>45966</v>
      </c>
      <c r="B994" s="20">
        <f t="shared" si="30"/>
        <v>2025</v>
      </c>
      <c r="C994" s="20">
        <f t="shared" si="31"/>
        <v>11</v>
      </c>
      <c r="D994" t="s">
        <v>5054</v>
      </c>
      <c r="E994" s="49">
        <v>1</v>
      </c>
      <c r="F994" t="s">
        <v>5055</v>
      </c>
      <c r="G994" t="s">
        <v>21</v>
      </c>
      <c r="H994" t="s">
        <v>37</v>
      </c>
      <c r="I994" s="13">
        <v>88000</v>
      </c>
      <c r="J994" s="13">
        <v>88000</v>
      </c>
      <c r="K994" s="13">
        <f>IF(J994&lt;'Mapa Oficinas'!$I$21,0,IF(J994&gt;'Mapa Oficinas'!$I$20,0,1))</f>
        <v>1</v>
      </c>
      <c r="L994" t="s">
        <v>23</v>
      </c>
      <c r="M994" t="s">
        <v>23</v>
      </c>
      <c r="N994" t="s">
        <v>5056</v>
      </c>
      <c r="O994" t="s">
        <v>50</v>
      </c>
      <c r="P994" t="s">
        <v>45</v>
      </c>
      <c r="Q994">
        <v>1</v>
      </c>
      <c r="R994" t="s">
        <v>670</v>
      </c>
      <c r="S994" t="s">
        <v>47</v>
      </c>
      <c r="T994" t="str">
        <f>VLOOKUP(S994,'Mapa Oficinas'!$H$7:$I$16,2,FALSE)</f>
        <v>Otra Red Búsqueda</v>
      </c>
      <c r="U994" t="s">
        <v>29</v>
      </c>
      <c r="V994" t="str">
        <f>VLOOKUP($R994,'Mapa Oficinas'!$A$7:$C$46,2,FALSE)</f>
        <v>CABA</v>
      </c>
      <c r="W994" t="str">
        <f>VLOOKUP($R994,'Mapa Oficinas'!$A$7:$C$46,3,FALSE)</f>
        <v>Recoleta</v>
      </c>
    </row>
    <row r="995" spans="1:23" x14ac:dyDescent="0.2">
      <c r="A995" s="1">
        <v>45811</v>
      </c>
      <c r="B995" s="20">
        <f t="shared" si="30"/>
        <v>2025</v>
      </c>
      <c r="C995" s="20">
        <f t="shared" si="31"/>
        <v>6</v>
      </c>
      <c r="D995" t="s">
        <v>2275</v>
      </c>
      <c r="E995" s="49">
        <v>1</v>
      </c>
      <c r="F995" t="s">
        <v>2276</v>
      </c>
      <c r="G995" t="s">
        <v>21</v>
      </c>
      <c r="H995" t="s">
        <v>37</v>
      </c>
      <c r="I995" s="13">
        <v>95000</v>
      </c>
      <c r="J995" s="13">
        <v>88000</v>
      </c>
      <c r="K995" s="13">
        <f>IF(J995&lt;'Mapa Oficinas'!$I$21,0,IF(J995&gt;'Mapa Oficinas'!$I$20,0,1))</f>
        <v>1</v>
      </c>
      <c r="L995" t="s">
        <v>23</v>
      </c>
      <c r="M995" t="s">
        <v>23</v>
      </c>
      <c r="N995" t="s">
        <v>2277</v>
      </c>
      <c r="O995" t="s">
        <v>1717</v>
      </c>
      <c r="P995" t="s">
        <v>45</v>
      </c>
      <c r="Q995">
        <v>2</v>
      </c>
      <c r="R995" t="s">
        <v>517</v>
      </c>
      <c r="S995" t="s">
        <v>200</v>
      </c>
      <c r="T995" t="str">
        <f>VLOOKUP(S995,'Mapa Oficinas'!$H$7:$I$16,2,FALSE)</f>
        <v>Otra Red Captación</v>
      </c>
      <c r="U995" t="s">
        <v>29</v>
      </c>
      <c r="V995" t="str">
        <f>VLOOKUP($R995,'Mapa Oficinas'!$A$7:$C$46,2,FALSE)</f>
        <v>Zona Sur (GBA)</v>
      </c>
      <c r="W995" t="str">
        <f>VLOOKUP($R995,'Mapa Oficinas'!$A$7:$C$46,3,FALSE)</f>
        <v>Canning</v>
      </c>
    </row>
    <row r="996" spans="1:23" x14ac:dyDescent="0.2">
      <c r="A996" s="1">
        <v>46100</v>
      </c>
      <c r="B996" s="20">
        <f t="shared" si="30"/>
        <v>2026</v>
      </c>
      <c r="C996" s="20">
        <f t="shared" si="31"/>
        <v>3</v>
      </c>
      <c r="D996" t="s">
        <v>7298</v>
      </c>
      <c r="E996" s="49">
        <v>1</v>
      </c>
      <c r="F996" t="s">
        <v>7299</v>
      </c>
      <c r="G996" t="s">
        <v>21</v>
      </c>
      <c r="H996" t="s">
        <v>37</v>
      </c>
      <c r="I996" s="13">
        <v>92000</v>
      </c>
      <c r="J996" s="13">
        <v>88000</v>
      </c>
      <c r="K996" s="13">
        <f>IF(J996&lt;'Mapa Oficinas'!$I$21,0,IF(J996&gt;'Mapa Oficinas'!$I$20,0,1))</f>
        <v>1</v>
      </c>
      <c r="L996" t="s">
        <v>23</v>
      </c>
      <c r="M996" t="s">
        <v>23</v>
      </c>
      <c r="N996" t="s">
        <v>7300</v>
      </c>
      <c r="O996" t="s">
        <v>92</v>
      </c>
      <c r="P996" t="s">
        <v>45</v>
      </c>
      <c r="Q996">
        <v>2</v>
      </c>
      <c r="R996" t="s">
        <v>170</v>
      </c>
      <c r="S996" t="s">
        <v>200</v>
      </c>
      <c r="T996" t="str">
        <f>VLOOKUP(S996,'Mapa Oficinas'!$H$7:$I$16,2,FALSE)</f>
        <v>Otra Red Captación</v>
      </c>
      <c r="U996" t="s">
        <v>29</v>
      </c>
      <c r="V996" t="str">
        <f>VLOOKUP($R996,'Mapa Oficinas'!$A$7:$C$46,2,FALSE)</f>
        <v>CABA</v>
      </c>
      <c r="W996" t="str">
        <f>VLOOKUP($R996,'Mapa Oficinas'!$A$7:$C$46,3,FALSE)</f>
        <v>Belgrano</v>
      </c>
    </row>
    <row r="997" spans="1:23" x14ac:dyDescent="0.2">
      <c r="A997" s="1">
        <v>45667</v>
      </c>
      <c r="B997" s="20">
        <f t="shared" si="30"/>
        <v>2025</v>
      </c>
      <c r="C997" s="20">
        <f t="shared" si="31"/>
        <v>1</v>
      </c>
      <c r="E997" s="49">
        <v>1</v>
      </c>
      <c r="F997" t="s">
        <v>161</v>
      </c>
      <c r="G997" t="s">
        <v>21</v>
      </c>
      <c r="H997" t="s">
        <v>37</v>
      </c>
      <c r="I997" s="13">
        <v>88000</v>
      </c>
      <c r="J997" s="13">
        <v>88000</v>
      </c>
      <c r="K997" s="13">
        <f>IF(J997&lt;'Mapa Oficinas'!$I$21,0,IF(J997&gt;'Mapa Oficinas'!$I$20,0,1))</f>
        <v>1</v>
      </c>
      <c r="L997" t="s">
        <v>23</v>
      </c>
      <c r="M997" t="s">
        <v>23</v>
      </c>
      <c r="N997" t="s">
        <v>161</v>
      </c>
      <c r="O997" t="s">
        <v>162</v>
      </c>
      <c r="P997" t="s">
        <v>34</v>
      </c>
      <c r="Q997">
        <v>2</v>
      </c>
      <c r="R997" t="s">
        <v>56</v>
      </c>
      <c r="S997" t="s">
        <v>28</v>
      </c>
      <c r="T997" t="str">
        <f>VLOOKUP(S997,'Mapa Oficinas'!$H$7:$I$16,2,FALSE)</f>
        <v>CB</v>
      </c>
      <c r="U997" t="s">
        <v>29</v>
      </c>
      <c r="V997" t="str">
        <f>VLOOKUP($R997,'Mapa Oficinas'!$A$7:$C$46,2,FALSE)</f>
        <v>Zona Norte (GBA)</v>
      </c>
      <c r="W997" t="str">
        <f>VLOOKUP($R997,'Mapa Oficinas'!$A$7:$C$46,3,FALSE)</f>
        <v>Vicente López</v>
      </c>
    </row>
    <row r="998" spans="1:23" x14ac:dyDescent="0.2">
      <c r="A998" s="1">
        <v>45687</v>
      </c>
      <c r="B998" s="20">
        <f t="shared" si="30"/>
        <v>2025</v>
      </c>
      <c r="C998" s="20">
        <f t="shared" si="31"/>
        <v>1</v>
      </c>
      <c r="D998" t="s">
        <v>441</v>
      </c>
      <c r="E998" s="49">
        <v>1</v>
      </c>
      <c r="F998" t="s">
        <v>441</v>
      </c>
      <c r="G998" t="s">
        <v>21</v>
      </c>
      <c r="H998" t="s">
        <v>22</v>
      </c>
      <c r="I998" s="13">
        <v>88000</v>
      </c>
      <c r="J998" s="13">
        <v>88000</v>
      </c>
      <c r="K998" s="13">
        <f>IF(J998&lt;'Mapa Oficinas'!$I$21,0,IF(J998&gt;'Mapa Oficinas'!$I$20,0,1))</f>
        <v>1</v>
      </c>
      <c r="L998" t="s">
        <v>23</v>
      </c>
      <c r="M998" t="s">
        <v>23</v>
      </c>
      <c r="N998" t="s">
        <v>441</v>
      </c>
      <c r="O998" t="s">
        <v>116</v>
      </c>
      <c r="P998" t="s">
        <v>34</v>
      </c>
      <c r="Q998">
        <v>2</v>
      </c>
      <c r="R998" t="s">
        <v>62</v>
      </c>
      <c r="S998" t="s">
        <v>28</v>
      </c>
      <c r="T998" t="str">
        <f>VLOOKUP(S998,'Mapa Oficinas'!$H$7:$I$16,2,FALSE)</f>
        <v>CB</v>
      </c>
      <c r="U998" t="s">
        <v>29</v>
      </c>
      <c r="V998" t="str">
        <f>VLOOKUP($R998,'Mapa Oficinas'!$A$7:$C$46,2,FALSE)</f>
        <v>CABA</v>
      </c>
      <c r="W998" t="str">
        <f>VLOOKUP($R998,'Mapa Oficinas'!$A$7:$C$46,3,FALSE)</f>
        <v>Villa Urquiza</v>
      </c>
    </row>
    <row r="999" spans="1:23" x14ac:dyDescent="0.2">
      <c r="A999" s="1">
        <v>45716</v>
      </c>
      <c r="B999" s="20">
        <f t="shared" si="30"/>
        <v>2025</v>
      </c>
      <c r="C999" s="20">
        <f t="shared" si="31"/>
        <v>2</v>
      </c>
      <c r="D999" t="s">
        <v>796</v>
      </c>
      <c r="E999" s="49">
        <v>1</v>
      </c>
      <c r="F999" t="s">
        <v>796</v>
      </c>
      <c r="G999" t="s">
        <v>21</v>
      </c>
      <c r="H999" t="s">
        <v>90</v>
      </c>
      <c r="I999" s="13">
        <v>88000</v>
      </c>
      <c r="J999" s="13">
        <v>88000</v>
      </c>
      <c r="K999" s="13">
        <f>IF(J999&lt;'Mapa Oficinas'!$I$21,0,IF(J999&gt;'Mapa Oficinas'!$I$20,0,1))</f>
        <v>1</v>
      </c>
      <c r="L999" t="s">
        <v>23</v>
      </c>
      <c r="M999" t="s">
        <v>23</v>
      </c>
      <c r="N999" t="s">
        <v>796</v>
      </c>
      <c r="O999" t="s">
        <v>797</v>
      </c>
      <c r="P999" t="s">
        <v>45</v>
      </c>
      <c r="Q999">
        <v>2</v>
      </c>
      <c r="R999" t="s">
        <v>62</v>
      </c>
      <c r="S999" t="s">
        <v>28</v>
      </c>
      <c r="T999" t="str">
        <f>VLOOKUP(S999,'Mapa Oficinas'!$H$7:$I$16,2,FALSE)</f>
        <v>CB</v>
      </c>
      <c r="U999" t="s">
        <v>29</v>
      </c>
      <c r="V999" t="str">
        <f>VLOOKUP($R999,'Mapa Oficinas'!$A$7:$C$46,2,FALSE)</f>
        <v>CABA</v>
      </c>
      <c r="W999" t="str">
        <f>VLOOKUP($R999,'Mapa Oficinas'!$A$7:$C$46,3,FALSE)</f>
        <v>Villa Urquiza</v>
      </c>
    </row>
    <row r="1000" spans="1:23" x14ac:dyDescent="0.2">
      <c r="A1000" s="1">
        <v>45758</v>
      </c>
      <c r="B1000" s="20">
        <f t="shared" si="30"/>
        <v>2025</v>
      </c>
      <c r="C1000" s="20">
        <f t="shared" si="31"/>
        <v>4</v>
      </c>
      <c r="D1000" t="s">
        <v>1379</v>
      </c>
      <c r="E1000" s="49">
        <v>1</v>
      </c>
      <c r="F1000" t="s">
        <v>1380</v>
      </c>
      <c r="G1000" t="s">
        <v>21</v>
      </c>
      <c r="H1000" t="s">
        <v>37</v>
      </c>
      <c r="I1000" s="13">
        <v>92000</v>
      </c>
      <c r="J1000" s="13">
        <v>88000</v>
      </c>
      <c r="K1000" s="13">
        <f>IF(J1000&lt;'Mapa Oficinas'!$I$21,0,IF(J1000&gt;'Mapa Oficinas'!$I$20,0,1))</f>
        <v>1</v>
      </c>
      <c r="L1000" t="s">
        <v>23</v>
      </c>
      <c r="M1000" t="s">
        <v>23</v>
      </c>
      <c r="N1000" t="s">
        <v>1381</v>
      </c>
      <c r="O1000" t="s">
        <v>50</v>
      </c>
      <c r="P1000" t="s">
        <v>45</v>
      </c>
      <c r="Q1000">
        <v>2</v>
      </c>
      <c r="R1000" t="s">
        <v>135</v>
      </c>
      <c r="S1000" t="s">
        <v>28</v>
      </c>
      <c r="T1000" t="str">
        <f>VLOOKUP(S1000,'Mapa Oficinas'!$H$7:$I$16,2,FALSE)</f>
        <v>CB</v>
      </c>
      <c r="U1000" t="s">
        <v>29</v>
      </c>
      <c r="V1000" t="str">
        <f>VLOOKUP($R1000,'Mapa Oficinas'!$A$7:$C$46,2,FALSE)</f>
        <v>CABA</v>
      </c>
      <c r="W1000" t="str">
        <f>VLOOKUP($R1000,'Mapa Oficinas'!$A$7:$C$46,3,FALSE)</f>
        <v>Recoleta</v>
      </c>
    </row>
    <row r="1001" spans="1:23" x14ac:dyDescent="0.2">
      <c r="A1001" s="1">
        <v>45932</v>
      </c>
      <c r="B1001" s="20">
        <f t="shared" si="30"/>
        <v>2025</v>
      </c>
      <c r="C1001" s="20">
        <f t="shared" si="31"/>
        <v>10</v>
      </c>
      <c r="D1001" t="s">
        <v>4462</v>
      </c>
      <c r="E1001" s="49">
        <v>1</v>
      </c>
      <c r="F1001" t="s">
        <v>4463</v>
      </c>
      <c r="G1001" t="s">
        <v>21</v>
      </c>
      <c r="H1001" t="s">
        <v>22</v>
      </c>
      <c r="I1001" s="13">
        <v>105000</v>
      </c>
      <c r="J1001" s="13">
        <v>88000</v>
      </c>
      <c r="K1001" s="13">
        <f>IF(J1001&lt;'Mapa Oficinas'!$I$21,0,IF(J1001&gt;'Mapa Oficinas'!$I$20,0,1))</f>
        <v>1</v>
      </c>
      <c r="L1001" t="s">
        <v>23</v>
      </c>
      <c r="M1001" t="s">
        <v>23</v>
      </c>
      <c r="N1001" t="s">
        <v>4464</v>
      </c>
      <c r="O1001" t="s">
        <v>92</v>
      </c>
      <c r="P1001" t="s">
        <v>45</v>
      </c>
      <c r="Q1001">
        <v>2</v>
      </c>
      <c r="R1001" t="s">
        <v>62</v>
      </c>
      <c r="S1001" t="s">
        <v>28</v>
      </c>
      <c r="T1001" t="str">
        <f>VLOOKUP(S1001,'Mapa Oficinas'!$H$7:$I$16,2,FALSE)</f>
        <v>CB</v>
      </c>
      <c r="U1001" t="s">
        <v>29</v>
      </c>
      <c r="V1001" t="str">
        <f>VLOOKUP($R1001,'Mapa Oficinas'!$A$7:$C$46,2,FALSE)</f>
        <v>CABA</v>
      </c>
      <c r="W1001" t="str">
        <f>VLOOKUP($R1001,'Mapa Oficinas'!$A$7:$C$46,3,FALSE)</f>
        <v>Villa Urquiza</v>
      </c>
    </row>
    <row r="1002" spans="1:23" x14ac:dyDescent="0.2">
      <c r="A1002" s="1">
        <v>45951</v>
      </c>
      <c r="B1002" s="20">
        <f t="shared" si="30"/>
        <v>2025</v>
      </c>
      <c r="C1002" s="20">
        <f t="shared" si="31"/>
        <v>10</v>
      </c>
      <c r="D1002" t="s">
        <v>4813</v>
      </c>
      <c r="E1002" s="49">
        <v>1</v>
      </c>
      <c r="F1002" t="s">
        <v>4814</v>
      </c>
      <c r="G1002" t="s">
        <v>21</v>
      </c>
      <c r="H1002" t="s">
        <v>37</v>
      </c>
      <c r="I1002" s="13">
        <v>89900</v>
      </c>
      <c r="J1002" s="13">
        <v>88000</v>
      </c>
      <c r="K1002" s="13">
        <f>IF(J1002&lt;'Mapa Oficinas'!$I$21,0,IF(J1002&gt;'Mapa Oficinas'!$I$20,0,1))</f>
        <v>1</v>
      </c>
      <c r="L1002" t="s">
        <v>23</v>
      </c>
      <c r="M1002" t="s">
        <v>23</v>
      </c>
      <c r="N1002" t="s">
        <v>4815</v>
      </c>
      <c r="O1002" t="s">
        <v>1429</v>
      </c>
      <c r="P1002" t="s">
        <v>45</v>
      </c>
      <c r="Q1002">
        <v>2</v>
      </c>
      <c r="R1002" t="s">
        <v>56</v>
      </c>
      <c r="S1002" t="s">
        <v>28</v>
      </c>
      <c r="T1002" t="str">
        <f>VLOOKUP(S1002,'Mapa Oficinas'!$H$7:$I$16,2,FALSE)</f>
        <v>CB</v>
      </c>
      <c r="U1002" t="s">
        <v>29</v>
      </c>
      <c r="V1002" t="str">
        <f>VLOOKUP($R1002,'Mapa Oficinas'!$A$7:$C$46,2,FALSE)</f>
        <v>Zona Norte (GBA)</v>
      </c>
      <c r="W1002" t="str">
        <f>VLOOKUP($R1002,'Mapa Oficinas'!$A$7:$C$46,3,FALSE)</f>
        <v>Vicente López</v>
      </c>
    </row>
    <row r="1003" spans="1:23" x14ac:dyDescent="0.2">
      <c r="A1003" s="1">
        <v>45992</v>
      </c>
      <c r="B1003" s="20">
        <f t="shared" si="30"/>
        <v>2025</v>
      </c>
      <c r="C1003" s="20">
        <f t="shared" si="31"/>
        <v>12</v>
      </c>
      <c r="D1003" t="s">
        <v>5537</v>
      </c>
      <c r="E1003" s="49">
        <v>1</v>
      </c>
      <c r="F1003" t="s">
        <v>5538</v>
      </c>
      <c r="G1003" t="s">
        <v>21</v>
      </c>
      <c r="H1003" t="s">
        <v>37</v>
      </c>
      <c r="I1003" s="13">
        <v>90000</v>
      </c>
      <c r="J1003" s="13">
        <v>88000</v>
      </c>
      <c r="K1003" s="13">
        <f>IF(J1003&lt;'Mapa Oficinas'!$I$21,0,IF(J1003&gt;'Mapa Oficinas'!$I$20,0,1))</f>
        <v>1</v>
      </c>
      <c r="L1003" t="s">
        <v>23</v>
      </c>
      <c r="M1003" t="s">
        <v>23</v>
      </c>
      <c r="N1003" t="s">
        <v>5539</v>
      </c>
      <c r="O1003" t="s">
        <v>577</v>
      </c>
      <c r="P1003" t="s">
        <v>45</v>
      </c>
      <c r="Q1003">
        <v>2</v>
      </c>
      <c r="R1003" t="s">
        <v>151</v>
      </c>
      <c r="S1003" t="s">
        <v>28</v>
      </c>
      <c r="T1003" t="str">
        <f>VLOOKUP(S1003,'Mapa Oficinas'!$H$7:$I$16,2,FALSE)</f>
        <v>CB</v>
      </c>
      <c r="U1003" t="s">
        <v>29</v>
      </c>
      <c r="V1003" t="str">
        <f>VLOOKUP($R1003,'Mapa Oficinas'!$A$7:$C$46,2,FALSE)</f>
        <v>Interior - Mendoza</v>
      </c>
      <c r="W1003" t="str">
        <f>VLOOKUP($R1003,'Mapa Oficinas'!$A$7:$C$46,3,FALSE)</f>
        <v>Capital Mendoza</v>
      </c>
    </row>
    <row r="1004" spans="1:23" x14ac:dyDescent="0.2">
      <c r="A1004" s="1">
        <v>46010</v>
      </c>
      <c r="B1004" s="20">
        <f t="shared" si="30"/>
        <v>2025</v>
      </c>
      <c r="C1004" s="20">
        <f t="shared" si="31"/>
        <v>12</v>
      </c>
      <c r="D1004" t="s">
        <v>5901</v>
      </c>
      <c r="E1004" s="49">
        <v>1</v>
      </c>
      <c r="F1004" t="s">
        <v>5902</v>
      </c>
      <c r="G1004" t="s">
        <v>21</v>
      </c>
      <c r="H1004" t="s">
        <v>37</v>
      </c>
      <c r="I1004" s="13">
        <v>90000</v>
      </c>
      <c r="J1004" s="13">
        <v>88000</v>
      </c>
      <c r="K1004" s="13">
        <f>IF(J1004&lt;'Mapa Oficinas'!$I$21,0,IF(J1004&gt;'Mapa Oficinas'!$I$20,0,1))</f>
        <v>1</v>
      </c>
      <c r="L1004" t="s">
        <v>23</v>
      </c>
      <c r="M1004" t="s">
        <v>23</v>
      </c>
      <c r="N1004" t="s">
        <v>5903</v>
      </c>
      <c r="O1004" t="s">
        <v>5904</v>
      </c>
      <c r="P1004" t="s">
        <v>34</v>
      </c>
      <c r="Q1004">
        <v>2</v>
      </c>
      <c r="R1004" t="s">
        <v>151</v>
      </c>
      <c r="S1004" t="s">
        <v>28</v>
      </c>
      <c r="T1004" t="str">
        <f>VLOOKUP(S1004,'Mapa Oficinas'!$H$7:$I$16,2,FALSE)</f>
        <v>CB</v>
      </c>
      <c r="U1004" t="s">
        <v>29</v>
      </c>
      <c r="V1004" t="str">
        <f>VLOOKUP($R1004,'Mapa Oficinas'!$A$7:$C$46,2,FALSE)</f>
        <v>Interior - Mendoza</v>
      </c>
      <c r="W1004" t="str">
        <f>VLOOKUP($R1004,'Mapa Oficinas'!$A$7:$C$46,3,FALSE)</f>
        <v>Capital Mendoza</v>
      </c>
    </row>
    <row r="1005" spans="1:23" x14ac:dyDescent="0.2">
      <c r="A1005" s="1">
        <v>45785</v>
      </c>
      <c r="B1005" s="20">
        <f t="shared" si="30"/>
        <v>2025</v>
      </c>
      <c r="C1005" s="20">
        <f t="shared" si="31"/>
        <v>5</v>
      </c>
      <c r="D1005" t="s">
        <v>1487</v>
      </c>
      <c r="E1005" s="49">
        <v>1</v>
      </c>
      <c r="F1005" t="s">
        <v>287</v>
      </c>
      <c r="G1005" t="s">
        <v>21</v>
      </c>
      <c r="H1005" t="s">
        <v>100</v>
      </c>
      <c r="I1005" s="13">
        <v>89856</v>
      </c>
      <c r="J1005" s="13">
        <v>88290</v>
      </c>
      <c r="K1005" s="13">
        <f>IF(J1005&lt;'Mapa Oficinas'!$I$21,0,IF(J1005&gt;'Mapa Oficinas'!$I$20,0,1))</f>
        <v>1</v>
      </c>
      <c r="L1005" t="s">
        <v>23</v>
      </c>
      <c r="M1005" t="s">
        <v>23</v>
      </c>
      <c r="N1005" t="s">
        <v>288</v>
      </c>
      <c r="O1005" t="s">
        <v>1158</v>
      </c>
      <c r="P1005" t="s">
        <v>45</v>
      </c>
      <c r="Q1005">
        <v>2</v>
      </c>
      <c r="R1005" t="s">
        <v>121</v>
      </c>
      <c r="S1005" t="s">
        <v>28</v>
      </c>
      <c r="T1005" t="str">
        <f>VLOOKUP(S1005,'Mapa Oficinas'!$H$7:$I$16,2,FALSE)</f>
        <v>CB</v>
      </c>
      <c r="U1005" t="s">
        <v>29</v>
      </c>
      <c r="V1005" t="str">
        <f>VLOOKUP($R1005,'Mapa Oficinas'!$A$7:$C$46,2,FALSE)</f>
        <v>Interior - Río Negro</v>
      </c>
      <c r="W1005" t="str">
        <f>VLOOKUP($R1005,'Mapa Oficinas'!$A$7:$C$46,3,FALSE)</f>
        <v>Bariloche</v>
      </c>
    </row>
    <row r="1006" spans="1:23" x14ac:dyDescent="0.2">
      <c r="A1006" s="1">
        <v>45992</v>
      </c>
      <c r="B1006" s="20">
        <f t="shared" si="30"/>
        <v>2025</v>
      </c>
      <c r="C1006" s="20">
        <f t="shared" si="31"/>
        <v>12</v>
      </c>
      <c r="D1006" t="s">
        <v>5540</v>
      </c>
      <c r="E1006" s="49">
        <v>1</v>
      </c>
      <c r="F1006" t="s">
        <v>5541</v>
      </c>
      <c r="G1006" t="s">
        <v>21</v>
      </c>
      <c r="H1006" t="s">
        <v>37</v>
      </c>
      <c r="I1006" s="13">
        <v>90000</v>
      </c>
      <c r="J1006" s="13">
        <v>88500</v>
      </c>
      <c r="K1006" s="13">
        <f>IF(J1006&lt;'Mapa Oficinas'!$I$21,0,IF(J1006&gt;'Mapa Oficinas'!$I$20,0,1))</f>
        <v>1</v>
      </c>
      <c r="L1006" t="s">
        <v>23</v>
      </c>
      <c r="M1006" t="s">
        <v>23</v>
      </c>
      <c r="N1006" t="s">
        <v>5542</v>
      </c>
      <c r="O1006" t="s">
        <v>2322</v>
      </c>
      <c r="P1006" t="s">
        <v>26</v>
      </c>
      <c r="Q1006">
        <v>2</v>
      </c>
      <c r="R1006" t="s">
        <v>151</v>
      </c>
      <c r="S1006" t="s">
        <v>28</v>
      </c>
      <c r="T1006" t="str">
        <f>VLOOKUP(S1006,'Mapa Oficinas'!$H$7:$I$16,2,FALSE)</f>
        <v>CB</v>
      </c>
      <c r="U1006" t="s">
        <v>29</v>
      </c>
      <c r="V1006" t="str">
        <f>VLOOKUP($R1006,'Mapa Oficinas'!$A$7:$C$46,2,FALSE)</f>
        <v>Interior - Mendoza</v>
      </c>
      <c r="W1006" t="str">
        <f>VLOOKUP($R1006,'Mapa Oficinas'!$A$7:$C$46,3,FALSE)</f>
        <v>Capital Mendoza</v>
      </c>
    </row>
    <row r="1007" spans="1:23" x14ac:dyDescent="0.2">
      <c r="A1007" s="1">
        <v>45702</v>
      </c>
      <c r="B1007" s="20">
        <f t="shared" si="30"/>
        <v>2025</v>
      </c>
      <c r="C1007" s="20">
        <f t="shared" si="31"/>
        <v>2</v>
      </c>
      <c r="D1007" t="s">
        <v>593</v>
      </c>
      <c r="E1007" s="49">
        <v>1</v>
      </c>
      <c r="F1007" t="s">
        <v>594</v>
      </c>
      <c r="G1007" t="s">
        <v>21</v>
      </c>
      <c r="H1007" t="s">
        <v>37</v>
      </c>
      <c r="I1007" s="13">
        <v>81645</v>
      </c>
      <c r="J1007" s="13">
        <v>88742</v>
      </c>
      <c r="K1007" s="13">
        <f>IF(J1007&lt;'Mapa Oficinas'!$I$21,0,IF(J1007&gt;'Mapa Oficinas'!$I$20,0,1))</f>
        <v>1</v>
      </c>
      <c r="L1007" t="s">
        <v>23</v>
      </c>
      <c r="M1007" t="s">
        <v>23</v>
      </c>
      <c r="N1007" t="s">
        <v>594</v>
      </c>
      <c r="O1007" t="s">
        <v>595</v>
      </c>
      <c r="P1007" t="s">
        <v>45</v>
      </c>
      <c r="Q1007">
        <v>2</v>
      </c>
      <c r="R1007" t="s">
        <v>110</v>
      </c>
      <c r="S1007" t="s">
        <v>79</v>
      </c>
      <c r="T1007" t="str">
        <f>VLOOKUP(S1007,'Mapa Oficinas'!$H$7:$I$16,2,FALSE)</f>
        <v>CB</v>
      </c>
      <c r="U1007" t="s">
        <v>29</v>
      </c>
      <c r="V1007" t="str">
        <f>VLOOKUP($R1007,'Mapa Oficinas'!$A$7:$C$46,2,FALSE)</f>
        <v>Zona Norte (GBA)</v>
      </c>
      <c r="W1007" t="str">
        <f>VLOOKUP($R1007,'Mapa Oficinas'!$A$7:$C$46,3,FALSE)</f>
        <v>Nordelta</v>
      </c>
    </row>
    <row r="1008" spans="1:23" x14ac:dyDescent="0.2">
      <c r="A1008" s="1">
        <v>45716</v>
      </c>
      <c r="B1008" s="20">
        <f t="shared" si="30"/>
        <v>2025</v>
      </c>
      <c r="C1008" s="20">
        <f t="shared" si="31"/>
        <v>2</v>
      </c>
      <c r="D1008" t="s">
        <v>798</v>
      </c>
      <c r="E1008" s="49">
        <v>1</v>
      </c>
      <c r="F1008" t="s">
        <v>799</v>
      </c>
      <c r="G1008" t="s">
        <v>21</v>
      </c>
      <c r="H1008" t="s">
        <v>37</v>
      </c>
      <c r="I1008" s="13">
        <v>85250</v>
      </c>
      <c r="J1008" s="13">
        <v>88742</v>
      </c>
      <c r="K1008" s="13">
        <f>IF(J1008&lt;'Mapa Oficinas'!$I$21,0,IF(J1008&gt;'Mapa Oficinas'!$I$20,0,1))</f>
        <v>1</v>
      </c>
      <c r="L1008" t="s">
        <v>23</v>
      </c>
      <c r="M1008" t="s">
        <v>23</v>
      </c>
      <c r="N1008" t="s">
        <v>800</v>
      </c>
      <c r="O1008" t="s">
        <v>595</v>
      </c>
      <c r="P1008" t="s">
        <v>45</v>
      </c>
      <c r="Q1008">
        <v>2</v>
      </c>
      <c r="R1008" t="s">
        <v>110</v>
      </c>
      <c r="S1008" t="s">
        <v>79</v>
      </c>
      <c r="T1008" t="str">
        <f>VLOOKUP(S1008,'Mapa Oficinas'!$H$7:$I$16,2,FALSE)</f>
        <v>CB</v>
      </c>
      <c r="U1008" t="s">
        <v>29</v>
      </c>
      <c r="V1008" t="str">
        <f>VLOOKUP($R1008,'Mapa Oficinas'!$A$7:$C$46,2,FALSE)</f>
        <v>Zona Norte (GBA)</v>
      </c>
      <c r="W1008" t="str">
        <f>VLOOKUP($R1008,'Mapa Oficinas'!$A$7:$C$46,3,FALSE)</f>
        <v>Nordelta</v>
      </c>
    </row>
    <row r="1009" spans="1:23" x14ac:dyDescent="0.2">
      <c r="A1009" s="1">
        <v>45881</v>
      </c>
      <c r="B1009" s="20">
        <f t="shared" si="30"/>
        <v>2025</v>
      </c>
      <c r="C1009" s="20">
        <f t="shared" si="31"/>
        <v>8</v>
      </c>
      <c r="D1009" t="s">
        <v>3539</v>
      </c>
      <c r="E1009" s="49">
        <v>1</v>
      </c>
      <c r="F1009" t="s">
        <v>3540</v>
      </c>
      <c r="G1009" t="s">
        <v>21</v>
      </c>
      <c r="H1009" t="s">
        <v>37</v>
      </c>
      <c r="I1009" s="13">
        <v>76000</v>
      </c>
      <c r="J1009" s="13">
        <v>88830</v>
      </c>
      <c r="K1009" s="13">
        <f>IF(J1009&lt;'Mapa Oficinas'!$I$21,0,IF(J1009&gt;'Mapa Oficinas'!$I$20,0,1))</f>
        <v>1</v>
      </c>
      <c r="L1009" t="s">
        <v>23</v>
      </c>
      <c r="M1009" t="s">
        <v>23</v>
      </c>
      <c r="N1009" t="s">
        <v>3541</v>
      </c>
      <c r="O1009" t="s">
        <v>2046</v>
      </c>
      <c r="P1009" t="s">
        <v>14</v>
      </c>
      <c r="Q1009">
        <v>2</v>
      </c>
      <c r="R1009" t="s">
        <v>110</v>
      </c>
      <c r="S1009" t="s">
        <v>28</v>
      </c>
      <c r="T1009" t="str">
        <f>VLOOKUP(S1009,'Mapa Oficinas'!$H$7:$I$16,2,FALSE)</f>
        <v>CB</v>
      </c>
      <c r="U1009" t="s">
        <v>29</v>
      </c>
      <c r="V1009" t="str">
        <f>VLOOKUP($R1009,'Mapa Oficinas'!$A$7:$C$46,2,FALSE)</f>
        <v>Zona Norte (GBA)</v>
      </c>
      <c r="W1009" t="str">
        <f>VLOOKUP($R1009,'Mapa Oficinas'!$A$7:$C$46,3,FALSE)</f>
        <v>Nordelta</v>
      </c>
    </row>
    <row r="1010" spans="1:23" x14ac:dyDescent="0.2">
      <c r="A1010" s="1">
        <v>46101</v>
      </c>
      <c r="B1010" s="20">
        <f t="shared" si="30"/>
        <v>2026</v>
      </c>
      <c r="C1010" s="20">
        <f t="shared" si="31"/>
        <v>3</v>
      </c>
      <c r="D1010" t="s">
        <v>7340</v>
      </c>
      <c r="E1010" s="49">
        <v>1</v>
      </c>
      <c r="F1010" t="s">
        <v>7341</v>
      </c>
      <c r="G1010" t="s">
        <v>21</v>
      </c>
      <c r="H1010" t="s">
        <v>70</v>
      </c>
      <c r="I1010" s="13">
        <v>92500</v>
      </c>
      <c r="J1010" s="13">
        <v>89000</v>
      </c>
      <c r="K1010" s="13">
        <f>IF(J1010&lt;'Mapa Oficinas'!$I$21,0,IF(J1010&gt;'Mapa Oficinas'!$I$20,0,1))</f>
        <v>1</v>
      </c>
      <c r="L1010" t="s">
        <v>23</v>
      </c>
      <c r="M1010" t="s">
        <v>23</v>
      </c>
      <c r="N1010" t="s">
        <v>7342</v>
      </c>
      <c r="O1010" t="s">
        <v>282</v>
      </c>
      <c r="P1010" t="s">
        <v>34</v>
      </c>
      <c r="Q1010">
        <v>1</v>
      </c>
      <c r="R1010" t="s">
        <v>73</v>
      </c>
      <c r="S1010" t="s">
        <v>152</v>
      </c>
      <c r="T1010" t="str">
        <f>VLOOKUP(S1010,'Mapa Oficinas'!$H$7:$I$16,2,FALSE)</f>
        <v>Otra Red Captación</v>
      </c>
      <c r="U1010" t="s">
        <v>29</v>
      </c>
      <c r="V1010" t="str">
        <f>VLOOKUP($R1010,'Mapa Oficinas'!$A$7:$C$46,2,FALSE)</f>
        <v>Interior - Salta</v>
      </c>
      <c r="W1010" t="str">
        <f>VLOOKUP($R1010,'Mapa Oficinas'!$A$7:$C$46,3,FALSE)</f>
        <v>San Lorenzo Chico</v>
      </c>
    </row>
    <row r="1011" spans="1:23" x14ac:dyDescent="0.2">
      <c r="A1011" s="1">
        <v>45702</v>
      </c>
      <c r="B1011" s="20">
        <f t="shared" si="30"/>
        <v>2025</v>
      </c>
      <c r="C1011" s="20">
        <f t="shared" si="31"/>
        <v>2</v>
      </c>
      <c r="D1011" t="s">
        <v>596</v>
      </c>
      <c r="E1011" s="49">
        <v>1</v>
      </c>
      <c r="F1011" t="s">
        <v>597</v>
      </c>
      <c r="G1011" t="s">
        <v>21</v>
      </c>
      <c r="H1011" t="s">
        <v>37</v>
      </c>
      <c r="I1011" s="13">
        <v>95000</v>
      </c>
      <c r="J1011" s="13">
        <v>89000</v>
      </c>
      <c r="K1011" s="13">
        <f>IF(J1011&lt;'Mapa Oficinas'!$I$21,0,IF(J1011&gt;'Mapa Oficinas'!$I$20,0,1))</f>
        <v>1</v>
      </c>
      <c r="L1011" t="s">
        <v>23</v>
      </c>
      <c r="M1011" t="s">
        <v>23</v>
      </c>
      <c r="N1011" t="s">
        <v>598</v>
      </c>
      <c r="O1011" t="s">
        <v>599</v>
      </c>
      <c r="P1011" t="s">
        <v>45</v>
      </c>
      <c r="Q1011">
        <v>2</v>
      </c>
      <c r="R1011" t="s">
        <v>62</v>
      </c>
      <c r="S1011" t="s">
        <v>79</v>
      </c>
      <c r="T1011" t="str">
        <f>VLOOKUP(S1011,'Mapa Oficinas'!$H$7:$I$16,2,FALSE)</f>
        <v>CB</v>
      </c>
      <c r="U1011" t="s">
        <v>29</v>
      </c>
      <c r="V1011" t="str">
        <f>VLOOKUP($R1011,'Mapa Oficinas'!$A$7:$C$46,2,FALSE)</f>
        <v>CABA</v>
      </c>
      <c r="W1011" t="str">
        <f>VLOOKUP($R1011,'Mapa Oficinas'!$A$7:$C$46,3,FALSE)</f>
        <v>Villa Urquiza</v>
      </c>
    </row>
    <row r="1012" spans="1:23" x14ac:dyDescent="0.2">
      <c r="A1012" s="1">
        <v>45722</v>
      </c>
      <c r="B1012" s="20">
        <f t="shared" si="30"/>
        <v>2025</v>
      </c>
      <c r="C1012" s="20">
        <f t="shared" si="31"/>
        <v>3</v>
      </c>
      <c r="D1012" t="s">
        <v>857</v>
      </c>
      <c r="E1012" s="49">
        <v>1</v>
      </c>
      <c r="F1012" t="s">
        <v>858</v>
      </c>
      <c r="G1012" t="s">
        <v>21</v>
      </c>
      <c r="H1012" t="s">
        <v>230</v>
      </c>
      <c r="I1012" s="13">
        <v>92000</v>
      </c>
      <c r="J1012" s="13">
        <v>89000</v>
      </c>
      <c r="K1012" s="13">
        <f>IF(J1012&lt;'Mapa Oficinas'!$I$21,0,IF(J1012&gt;'Mapa Oficinas'!$I$20,0,1))</f>
        <v>1</v>
      </c>
      <c r="L1012" t="s">
        <v>23</v>
      </c>
      <c r="M1012" t="s">
        <v>23</v>
      </c>
      <c r="N1012" t="s">
        <v>859</v>
      </c>
      <c r="O1012" t="s">
        <v>860</v>
      </c>
      <c r="P1012" t="s">
        <v>45</v>
      </c>
      <c r="Q1012">
        <v>2</v>
      </c>
      <c r="R1012" t="s">
        <v>84</v>
      </c>
      <c r="S1012" t="s">
        <v>79</v>
      </c>
      <c r="T1012" t="str">
        <f>VLOOKUP(S1012,'Mapa Oficinas'!$H$7:$I$16,2,FALSE)</f>
        <v>CB</v>
      </c>
      <c r="U1012" t="s">
        <v>29</v>
      </c>
      <c r="V1012" t="str">
        <f>VLOOKUP($R1012,'Mapa Oficinas'!$A$7:$C$46,2,FALSE)</f>
        <v>Interior - Neuquén</v>
      </c>
      <c r="W1012" t="str">
        <f>VLOOKUP($R1012,'Mapa Oficinas'!$A$7:$C$46,3,FALSE)</f>
        <v>Villa La Angostura</v>
      </c>
    </row>
    <row r="1013" spans="1:23" x14ac:dyDescent="0.2">
      <c r="A1013" s="1">
        <v>46036</v>
      </c>
      <c r="B1013" s="20">
        <f t="shared" si="30"/>
        <v>2026</v>
      </c>
      <c r="C1013" s="20">
        <f t="shared" si="31"/>
        <v>1</v>
      </c>
      <c r="D1013" t="s">
        <v>6218</v>
      </c>
      <c r="E1013" s="49">
        <v>1</v>
      </c>
      <c r="F1013" t="s">
        <v>6219</v>
      </c>
      <c r="G1013" t="s">
        <v>21</v>
      </c>
      <c r="H1013" t="s">
        <v>37</v>
      </c>
      <c r="I1013" s="13">
        <v>155000</v>
      </c>
      <c r="J1013" s="13">
        <v>89000</v>
      </c>
      <c r="K1013" s="13">
        <f>IF(J1013&lt;'Mapa Oficinas'!$I$21,0,IF(J1013&gt;'Mapa Oficinas'!$I$20,0,1))</f>
        <v>1</v>
      </c>
      <c r="L1013" t="s">
        <v>23</v>
      </c>
      <c r="M1013" t="s">
        <v>23</v>
      </c>
      <c r="N1013" t="s">
        <v>6220</v>
      </c>
      <c r="O1013" t="s">
        <v>6221</v>
      </c>
      <c r="P1013" t="s">
        <v>14</v>
      </c>
      <c r="Q1013">
        <v>2</v>
      </c>
      <c r="R1013" t="s">
        <v>110</v>
      </c>
      <c r="S1013" t="s">
        <v>79</v>
      </c>
      <c r="T1013" t="str">
        <f>VLOOKUP(S1013,'Mapa Oficinas'!$H$7:$I$16,2,FALSE)</f>
        <v>CB</v>
      </c>
      <c r="U1013" t="s">
        <v>29</v>
      </c>
      <c r="V1013" t="str">
        <f>VLOOKUP($R1013,'Mapa Oficinas'!$A$7:$C$46,2,FALSE)</f>
        <v>Zona Norte (GBA)</v>
      </c>
      <c r="W1013" t="str">
        <f>VLOOKUP($R1013,'Mapa Oficinas'!$A$7:$C$46,3,FALSE)</f>
        <v>Nordelta</v>
      </c>
    </row>
    <row r="1014" spans="1:23" x14ac:dyDescent="0.2">
      <c r="A1014" s="1">
        <v>45777</v>
      </c>
      <c r="B1014" s="20">
        <f t="shared" si="30"/>
        <v>2025</v>
      </c>
      <c r="C1014" s="20">
        <f t="shared" si="31"/>
        <v>4</v>
      </c>
      <c r="D1014" t="s">
        <v>1727</v>
      </c>
      <c r="E1014" s="49">
        <v>1</v>
      </c>
      <c r="F1014" t="s">
        <v>1728</v>
      </c>
      <c r="G1014" t="s">
        <v>21</v>
      </c>
      <c r="H1014" t="s">
        <v>37</v>
      </c>
      <c r="I1014" s="13">
        <v>89000</v>
      </c>
      <c r="J1014" s="13">
        <v>89000</v>
      </c>
      <c r="K1014" s="13">
        <f>IF(J1014&lt;'Mapa Oficinas'!$I$21,0,IF(J1014&gt;'Mapa Oficinas'!$I$20,0,1))</f>
        <v>1</v>
      </c>
      <c r="L1014" t="s">
        <v>23</v>
      </c>
      <c r="M1014" t="s">
        <v>23</v>
      </c>
      <c r="N1014" t="s">
        <v>1729</v>
      </c>
      <c r="O1014" t="s">
        <v>1730</v>
      </c>
      <c r="P1014" t="s">
        <v>45</v>
      </c>
      <c r="Q1014">
        <v>2</v>
      </c>
      <c r="R1014" t="s">
        <v>67</v>
      </c>
      <c r="S1014" t="s">
        <v>28</v>
      </c>
      <c r="T1014" t="str">
        <f>VLOOKUP(S1014,'Mapa Oficinas'!$H$7:$I$16,2,FALSE)</f>
        <v>CB</v>
      </c>
      <c r="U1014" t="s">
        <v>29</v>
      </c>
      <c r="V1014" t="str">
        <f>VLOOKUP($R1014,'Mapa Oficinas'!$A$7:$C$46,2,FALSE)</f>
        <v>CABA</v>
      </c>
      <c r="W1014" t="str">
        <f>VLOOKUP($R1014,'Mapa Oficinas'!$A$7:$C$46,3,FALSE)</f>
        <v>Barrio Parque</v>
      </c>
    </row>
    <row r="1015" spans="1:23" x14ac:dyDescent="0.2">
      <c r="A1015" s="1">
        <v>45800</v>
      </c>
      <c r="B1015" s="20">
        <f t="shared" si="30"/>
        <v>2025</v>
      </c>
      <c r="C1015" s="20">
        <f t="shared" si="31"/>
        <v>5</v>
      </c>
      <c r="D1015" t="s">
        <v>2110</v>
      </c>
      <c r="E1015" s="49">
        <v>1</v>
      </c>
      <c r="F1015" t="s">
        <v>2111</v>
      </c>
      <c r="G1015" t="s">
        <v>21</v>
      </c>
      <c r="H1015" t="s">
        <v>90</v>
      </c>
      <c r="I1015" s="13">
        <v>71900</v>
      </c>
      <c r="J1015" s="13">
        <v>89000</v>
      </c>
      <c r="K1015" s="13">
        <f>IF(J1015&lt;'Mapa Oficinas'!$I$21,0,IF(J1015&gt;'Mapa Oficinas'!$I$20,0,1))</f>
        <v>1</v>
      </c>
      <c r="L1015" t="s">
        <v>23</v>
      </c>
      <c r="M1015" t="s">
        <v>23</v>
      </c>
      <c r="N1015" t="s">
        <v>2112</v>
      </c>
      <c r="O1015" t="s">
        <v>1677</v>
      </c>
      <c r="P1015" t="s">
        <v>61</v>
      </c>
      <c r="Q1015">
        <v>2</v>
      </c>
      <c r="R1015" t="s">
        <v>62</v>
      </c>
      <c r="S1015" t="s">
        <v>28</v>
      </c>
      <c r="T1015" t="str">
        <f>VLOOKUP(S1015,'Mapa Oficinas'!$H$7:$I$16,2,FALSE)</f>
        <v>CB</v>
      </c>
      <c r="U1015" t="s">
        <v>29</v>
      </c>
      <c r="V1015" t="str">
        <f>VLOOKUP($R1015,'Mapa Oficinas'!$A$7:$C$46,2,FALSE)</f>
        <v>CABA</v>
      </c>
      <c r="W1015" t="str">
        <f>VLOOKUP($R1015,'Mapa Oficinas'!$A$7:$C$46,3,FALSE)</f>
        <v>Villa Urquiza</v>
      </c>
    </row>
    <row r="1016" spans="1:23" x14ac:dyDescent="0.2">
      <c r="A1016" s="1">
        <v>45874</v>
      </c>
      <c r="B1016" s="20">
        <f t="shared" si="30"/>
        <v>2025</v>
      </c>
      <c r="C1016" s="20">
        <f t="shared" si="31"/>
        <v>8</v>
      </c>
      <c r="D1016" t="s">
        <v>3421</v>
      </c>
      <c r="E1016" s="49">
        <v>1</v>
      </c>
      <c r="F1016" t="s">
        <v>3422</v>
      </c>
      <c r="G1016" t="s">
        <v>21</v>
      </c>
      <c r="H1016" t="s">
        <v>76</v>
      </c>
      <c r="I1016" s="13">
        <v>95000</v>
      </c>
      <c r="J1016" s="13">
        <v>89000</v>
      </c>
      <c r="K1016" s="13">
        <f>IF(J1016&lt;'Mapa Oficinas'!$I$21,0,IF(J1016&gt;'Mapa Oficinas'!$I$20,0,1))</f>
        <v>1</v>
      </c>
      <c r="L1016" t="s">
        <v>23</v>
      </c>
      <c r="M1016" t="s">
        <v>23</v>
      </c>
      <c r="N1016" t="s">
        <v>3423</v>
      </c>
      <c r="O1016" t="s">
        <v>3304</v>
      </c>
      <c r="P1016" t="s">
        <v>34</v>
      </c>
      <c r="Q1016">
        <v>2</v>
      </c>
      <c r="R1016" t="s">
        <v>73</v>
      </c>
      <c r="S1016" t="s">
        <v>28</v>
      </c>
      <c r="T1016" t="str">
        <f>VLOOKUP(S1016,'Mapa Oficinas'!$H$7:$I$16,2,FALSE)</f>
        <v>CB</v>
      </c>
      <c r="U1016" t="s">
        <v>29</v>
      </c>
      <c r="V1016" t="str">
        <f>VLOOKUP($R1016,'Mapa Oficinas'!$A$7:$C$46,2,FALSE)</f>
        <v>Interior - Salta</v>
      </c>
      <c r="W1016" t="str">
        <f>VLOOKUP($R1016,'Mapa Oficinas'!$A$7:$C$46,3,FALSE)</f>
        <v>San Lorenzo Chico</v>
      </c>
    </row>
    <row r="1017" spans="1:23" x14ac:dyDescent="0.2">
      <c r="A1017" s="1">
        <v>45922</v>
      </c>
      <c r="B1017" s="20">
        <f t="shared" si="30"/>
        <v>2025</v>
      </c>
      <c r="C1017" s="20">
        <f t="shared" si="31"/>
        <v>9</v>
      </c>
      <c r="D1017" t="s">
        <v>4265</v>
      </c>
      <c r="E1017" s="49">
        <v>1</v>
      </c>
      <c r="F1017" t="s">
        <v>4265</v>
      </c>
      <c r="G1017" t="s">
        <v>21</v>
      </c>
      <c r="H1017" t="s">
        <v>22</v>
      </c>
      <c r="I1017" s="13">
        <v>89000</v>
      </c>
      <c r="J1017" s="13">
        <v>89000</v>
      </c>
      <c r="K1017" s="13">
        <f>IF(J1017&lt;'Mapa Oficinas'!$I$21,0,IF(J1017&gt;'Mapa Oficinas'!$I$20,0,1))</f>
        <v>1</v>
      </c>
      <c r="L1017" t="s">
        <v>23</v>
      </c>
      <c r="M1017" t="s">
        <v>23</v>
      </c>
      <c r="N1017" t="s">
        <v>4266</v>
      </c>
      <c r="O1017" t="s">
        <v>2222</v>
      </c>
      <c r="P1017" t="s">
        <v>45</v>
      </c>
      <c r="Q1017">
        <v>2</v>
      </c>
      <c r="R1017" t="s">
        <v>110</v>
      </c>
      <c r="S1017" t="s">
        <v>28</v>
      </c>
      <c r="T1017" t="str">
        <f>VLOOKUP(S1017,'Mapa Oficinas'!$H$7:$I$16,2,FALSE)</f>
        <v>CB</v>
      </c>
      <c r="U1017" t="s">
        <v>29</v>
      </c>
      <c r="V1017" t="str">
        <f>VLOOKUP($R1017,'Mapa Oficinas'!$A$7:$C$46,2,FALSE)</f>
        <v>Zona Norte (GBA)</v>
      </c>
      <c r="W1017" t="str">
        <f>VLOOKUP($R1017,'Mapa Oficinas'!$A$7:$C$46,3,FALSE)</f>
        <v>Nordelta</v>
      </c>
    </row>
    <row r="1018" spans="1:23" x14ac:dyDescent="0.2">
      <c r="A1018" s="1">
        <v>46079</v>
      </c>
      <c r="B1018" s="20">
        <f t="shared" si="30"/>
        <v>2026</v>
      </c>
      <c r="C1018" s="20">
        <f t="shared" si="31"/>
        <v>2</v>
      </c>
      <c r="D1018" t="s">
        <v>6857</v>
      </c>
      <c r="E1018" s="49">
        <v>1</v>
      </c>
      <c r="F1018" t="s">
        <v>6858</v>
      </c>
      <c r="G1018" t="s">
        <v>21</v>
      </c>
      <c r="H1018" t="s">
        <v>37</v>
      </c>
      <c r="I1018" s="13">
        <v>92000</v>
      </c>
      <c r="J1018" s="13">
        <v>89000</v>
      </c>
      <c r="K1018" s="13">
        <f>IF(J1018&lt;'Mapa Oficinas'!$I$21,0,IF(J1018&gt;'Mapa Oficinas'!$I$20,0,1))</f>
        <v>1</v>
      </c>
      <c r="L1018" t="s">
        <v>23</v>
      </c>
      <c r="M1018" t="s">
        <v>23</v>
      </c>
      <c r="N1018" t="s">
        <v>6859</v>
      </c>
      <c r="O1018" t="s">
        <v>6860</v>
      </c>
      <c r="P1018" t="s">
        <v>34</v>
      </c>
      <c r="Q1018">
        <v>2</v>
      </c>
      <c r="R1018" t="s">
        <v>429</v>
      </c>
      <c r="S1018" t="s">
        <v>28</v>
      </c>
      <c r="T1018" t="str">
        <f>VLOOKUP(S1018,'Mapa Oficinas'!$H$7:$I$16,2,FALSE)</f>
        <v>CB</v>
      </c>
      <c r="U1018" t="s">
        <v>29</v>
      </c>
      <c r="V1018" t="str">
        <f>VLOOKUP($R1018,'Mapa Oficinas'!$A$7:$C$46,2,FALSE)</f>
        <v>Zona Oeste (GBA)</v>
      </c>
      <c r="W1018" t="str">
        <f>VLOOKUP($R1018,'Mapa Oficinas'!$A$7:$C$46,3,FALSE)</f>
        <v>Parque Leloir</v>
      </c>
    </row>
    <row r="1019" spans="1:23" x14ac:dyDescent="0.2">
      <c r="A1019" s="1">
        <v>46093</v>
      </c>
      <c r="B1019" s="20">
        <f t="shared" si="30"/>
        <v>2026</v>
      </c>
      <c r="C1019" s="20">
        <f t="shared" si="31"/>
        <v>3</v>
      </c>
      <c r="D1019" t="s">
        <v>7136</v>
      </c>
      <c r="E1019" s="49">
        <v>1</v>
      </c>
      <c r="F1019" t="s">
        <v>7137</v>
      </c>
      <c r="G1019" t="s">
        <v>21</v>
      </c>
      <c r="H1019" t="s">
        <v>22</v>
      </c>
      <c r="I1019" s="13">
        <v>95000</v>
      </c>
      <c r="J1019" s="13">
        <v>89000</v>
      </c>
      <c r="K1019" s="13">
        <f>IF(J1019&lt;'Mapa Oficinas'!$I$21,0,IF(J1019&gt;'Mapa Oficinas'!$I$20,0,1))</f>
        <v>1</v>
      </c>
      <c r="L1019" t="s">
        <v>23</v>
      </c>
      <c r="M1019" t="s">
        <v>23</v>
      </c>
      <c r="N1019" t="s">
        <v>4113</v>
      </c>
      <c r="O1019" t="s">
        <v>50</v>
      </c>
      <c r="P1019" t="s">
        <v>45</v>
      </c>
      <c r="Q1019">
        <v>2</v>
      </c>
      <c r="R1019" t="s">
        <v>62</v>
      </c>
      <c r="S1019" t="s">
        <v>28</v>
      </c>
      <c r="T1019" t="str">
        <f>VLOOKUP(S1019,'Mapa Oficinas'!$H$7:$I$16,2,FALSE)</f>
        <v>CB</v>
      </c>
      <c r="U1019" t="s">
        <v>29</v>
      </c>
      <c r="V1019" t="str">
        <f>VLOOKUP($R1019,'Mapa Oficinas'!$A$7:$C$46,2,FALSE)</f>
        <v>CABA</v>
      </c>
      <c r="W1019" t="str">
        <f>VLOOKUP($R1019,'Mapa Oficinas'!$A$7:$C$46,3,FALSE)</f>
        <v>Villa Urquiza</v>
      </c>
    </row>
    <row r="1020" spans="1:23" x14ac:dyDescent="0.2">
      <c r="A1020" s="1">
        <v>45674</v>
      </c>
      <c r="B1020" s="20">
        <f t="shared" si="30"/>
        <v>2025</v>
      </c>
      <c r="C1020" s="20">
        <f t="shared" si="31"/>
        <v>1</v>
      </c>
      <c r="D1020" t="s">
        <v>286</v>
      </c>
      <c r="E1020" s="49">
        <v>1</v>
      </c>
      <c r="F1020" t="s">
        <v>287</v>
      </c>
      <c r="G1020" t="s">
        <v>21</v>
      </c>
      <c r="H1020" t="s">
        <v>100</v>
      </c>
      <c r="I1020" s="13">
        <v>84502</v>
      </c>
      <c r="J1020" s="13">
        <v>89892</v>
      </c>
      <c r="K1020" s="13">
        <f>IF(J1020&lt;'Mapa Oficinas'!$I$21,0,IF(J1020&gt;'Mapa Oficinas'!$I$20,0,1))</f>
        <v>1</v>
      </c>
      <c r="L1020" t="s">
        <v>23</v>
      </c>
      <c r="M1020" t="s">
        <v>23</v>
      </c>
      <c r="N1020" t="s">
        <v>288</v>
      </c>
      <c r="O1020" t="s">
        <v>209</v>
      </c>
      <c r="P1020" t="s">
        <v>45</v>
      </c>
      <c r="Q1020">
        <v>2</v>
      </c>
      <c r="R1020" t="s">
        <v>121</v>
      </c>
      <c r="S1020" t="s">
        <v>28</v>
      </c>
      <c r="T1020" t="str">
        <f>VLOOKUP(S1020,'Mapa Oficinas'!$H$7:$I$16,2,FALSE)</f>
        <v>CB</v>
      </c>
      <c r="U1020" t="s">
        <v>29</v>
      </c>
      <c r="V1020" t="str">
        <f>VLOOKUP($R1020,'Mapa Oficinas'!$A$7:$C$46,2,FALSE)</f>
        <v>Interior - Río Negro</v>
      </c>
      <c r="W1020" t="str">
        <f>VLOOKUP($R1020,'Mapa Oficinas'!$A$7:$C$46,3,FALSE)</f>
        <v>Bariloche</v>
      </c>
    </row>
    <row r="1021" spans="1:23" x14ac:dyDescent="0.2">
      <c r="A1021" s="1">
        <v>45763</v>
      </c>
      <c r="B1021" s="20">
        <f t="shared" si="30"/>
        <v>2025</v>
      </c>
      <c r="C1021" s="20">
        <f t="shared" si="31"/>
        <v>4</v>
      </c>
      <c r="D1021" t="s">
        <v>1488</v>
      </c>
      <c r="E1021" s="49">
        <v>1</v>
      </c>
      <c r="F1021" t="s">
        <v>1488</v>
      </c>
      <c r="G1021" t="s">
        <v>21</v>
      </c>
      <c r="H1021" t="s">
        <v>37</v>
      </c>
      <c r="I1021" s="13">
        <v>89900</v>
      </c>
      <c r="J1021" s="13">
        <v>89900</v>
      </c>
      <c r="K1021" s="13">
        <f>IF(J1021&lt;'Mapa Oficinas'!$I$21,0,IF(J1021&gt;'Mapa Oficinas'!$I$20,0,1))</f>
        <v>1</v>
      </c>
      <c r="L1021" t="s">
        <v>23</v>
      </c>
      <c r="M1021" t="s">
        <v>23</v>
      </c>
      <c r="N1021" t="s">
        <v>1488</v>
      </c>
      <c r="O1021" t="s">
        <v>231</v>
      </c>
      <c r="P1021" t="s">
        <v>34</v>
      </c>
      <c r="Q1021">
        <v>2</v>
      </c>
      <c r="R1021" t="s">
        <v>56</v>
      </c>
      <c r="S1021" t="s">
        <v>28</v>
      </c>
      <c r="T1021" t="str">
        <f>VLOOKUP(S1021,'Mapa Oficinas'!$H$7:$I$16,2,FALSE)</f>
        <v>CB</v>
      </c>
      <c r="U1021" t="s">
        <v>29</v>
      </c>
      <c r="V1021" t="str">
        <f>VLOOKUP($R1021,'Mapa Oficinas'!$A$7:$C$46,2,FALSE)</f>
        <v>Zona Norte (GBA)</v>
      </c>
      <c r="W1021" t="str">
        <f>VLOOKUP($R1021,'Mapa Oficinas'!$A$7:$C$46,3,FALSE)</f>
        <v>Vicente López</v>
      </c>
    </row>
    <row r="1022" spans="1:23" x14ac:dyDescent="0.2">
      <c r="A1022" s="1">
        <v>45691</v>
      </c>
      <c r="B1022" s="20">
        <f t="shared" si="30"/>
        <v>2025</v>
      </c>
      <c r="C1022" s="20">
        <f t="shared" si="31"/>
        <v>2</v>
      </c>
      <c r="E1022" s="49">
        <v>1</v>
      </c>
      <c r="F1022" t="s">
        <v>472</v>
      </c>
      <c r="G1022" t="s">
        <v>21</v>
      </c>
      <c r="H1022" t="s">
        <v>81</v>
      </c>
      <c r="I1022" s="13">
        <v>90000</v>
      </c>
      <c r="J1022" s="13">
        <v>90000</v>
      </c>
      <c r="K1022" s="13">
        <f>IF(J1022&lt;'Mapa Oficinas'!$I$21,0,IF(J1022&gt;'Mapa Oficinas'!$I$20,0,1))</f>
        <v>1</v>
      </c>
      <c r="L1022" t="s">
        <v>23</v>
      </c>
      <c r="M1022" t="s">
        <v>23</v>
      </c>
      <c r="N1022" t="s">
        <v>473</v>
      </c>
      <c r="O1022" t="s">
        <v>83</v>
      </c>
      <c r="P1022" t="s">
        <v>26</v>
      </c>
      <c r="Q1022">
        <v>1</v>
      </c>
      <c r="R1022" t="s">
        <v>84</v>
      </c>
      <c r="S1022" t="s">
        <v>122</v>
      </c>
      <c r="T1022" t="str">
        <f>VLOOKUP(S1022,'Mapa Oficinas'!$H$7:$I$16,2,FALSE)</f>
        <v>Otra Red Búsqueda</v>
      </c>
      <c r="U1022" t="s">
        <v>29</v>
      </c>
      <c r="V1022" t="str">
        <f>VLOOKUP($R1022,'Mapa Oficinas'!$A$7:$C$46,2,FALSE)</f>
        <v>Interior - Neuquén</v>
      </c>
      <c r="W1022" t="str">
        <f>VLOOKUP($R1022,'Mapa Oficinas'!$A$7:$C$46,3,FALSE)</f>
        <v>Villa La Angostura</v>
      </c>
    </row>
    <row r="1023" spans="1:23" x14ac:dyDescent="0.2">
      <c r="A1023" s="1">
        <v>46050</v>
      </c>
      <c r="B1023" s="20">
        <f t="shared" si="30"/>
        <v>2026</v>
      </c>
      <c r="C1023" s="20">
        <f t="shared" si="31"/>
        <v>1</v>
      </c>
      <c r="E1023" s="49">
        <v>1</v>
      </c>
      <c r="F1023" t="s">
        <v>6438</v>
      </c>
      <c r="G1023" t="s">
        <v>21</v>
      </c>
      <c r="H1023" t="s">
        <v>90</v>
      </c>
      <c r="I1023" s="13">
        <v>90000</v>
      </c>
      <c r="J1023" s="13">
        <v>90000</v>
      </c>
      <c r="K1023" s="13">
        <f>IF(J1023&lt;'Mapa Oficinas'!$I$21,0,IF(J1023&gt;'Mapa Oficinas'!$I$20,0,1))</f>
        <v>1</v>
      </c>
      <c r="L1023" t="s">
        <v>23</v>
      </c>
      <c r="M1023" t="s">
        <v>23</v>
      </c>
      <c r="O1023" t="s">
        <v>6439</v>
      </c>
      <c r="P1023" t="s">
        <v>26</v>
      </c>
      <c r="Q1023">
        <v>1</v>
      </c>
      <c r="R1023" t="s">
        <v>130</v>
      </c>
      <c r="S1023" t="s">
        <v>122</v>
      </c>
      <c r="T1023" t="str">
        <f>VLOOKUP(S1023,'Mapa Oficinas'!$H$7:$I$16,2,FALSE)</f>
        <v>Otra Red Búsqueda</v>
      </c>
      <c r="U1023" t="s">
        <v>29</v>
      </c>
      <c r="V1023" t="str">
        <f>VLOOKUP($R1023,'Mapa Oficinas'!$A$7:$C$46,2,FALSE)</f>
        <v>Interior - Neuquén</v>
      </c>
      <c r="W1023" t="str">
        <f>VLOOKUP($R1023,'Mapa Oficinas'!$A$7:$C$46,3,FALSE)</f>
        <v>San Martín de los Andes</v>
      </c>
    </row>
    <row r="1024" spans="1:23" x14ac:dyDescent="0.2">
      <c r="A1024" s="1">
        <v>46062</v>
      </c>
      <c r="B1024" s="20">
        <f t="shared" si="30"/>
        <v>2026</v>
      </c>
      <c r="C1024" s="20">
        <f t="shared" si="31"/>
        <v>2</v>
      </c>
      <c r="D1024" t="s">
        <v>6594</v>
      </c>
      <c r="E1024" s="49">
        <v>1</v>
      </c>
      <c r="F1024" t="s">
        <v>6595</v>
      </c>
      <c r="G1024" t="s">
        <v>21</v>
      </c>
      <c r="H1024" t="s">
        <v>81</v>
      </c>
      <c r="I1024" s="13">
        <v>90000</v>
      </c>
      <c r="J1024" s="13">
        <v>90000</v>
      </c>
      <c r="K1024" s="13">
        <f>IF(J1024&lt;'Mapa Oficinas'!$I$21,0,IF(J1024&gt;'Mapa Oficinas'!$I$20,0,1))</f>
        <v>1</v>
      </c>
      <c r="L1024" t="s">
        <v>23</v>
      </c>
      <c r="M1024" t="s">
        <v>23</v>
      </c>
      <c r="N1024" t="s">
        <v>6596</v>
      </c>
      <c r="O1024" t="s">
        <v>329</v>
      </c>
      <c r="P1024" t="s">
        <v>26</v>
      </c>
      <c r="Q1024">
        <v>1</v>
      </c>
      <c r="R1024" t="s">
        <v>183</v>
      </c>
      <c r="S1024" t="s">
        <v>122</v>
      </c>
      <c r="T1024" t="str">
        <f>VLOOKUP(S1024,'Mapa Oficinas'!$H$7:$I$16,2,FALSE)</f>
        <v>Otra Red Búsqueda</v>
      </c>
      <c r="U1024" t="s">
        <v>29</v>
      </c>
      <c r="V1024" t="str">
        <f>VLOOKUP($R1024,'Mapa Oficinas'!$A$7:$C$46,2,FALSE)</f>
        <v>Interior - Neuquén</v>
      </c>
      <c r="W1024" t="str">
        <f>VLOOKUP($R1024,'Mapa Oficinas'!$A$7:$C$46,3,FALSE)</f>
        <v>Capital Neuquén</v>
      </c>
    </row>
    <row r="1025" spans="1:23" x14ac:dyDescent="0.2">
      <c r="A1025" s="1">
        <v>45811</v>
      </c>
      <c r="B1025" s="20">
        <f t="shared" si="30"/>
        <v>2025</v>
      </c>
      <c r="C1025" s="20">
        <f t="shared" si="31"/>
        <v>6</v>
      </c>
      <c r="D1025" t="s">
        <v>2278</v>
      </c>
      <c r="E1025" s="49">
        <v>1</v>
      </c>
      <c r="F1025" t="s">
        <v>2279</v>
      </c>
      <c r="G1025" t="s">
        <v>21</v>
      </c>
      <c r="H1025" t="s">
        <v>37</v>
      </c>
      <c r="I1025" s="13">
        <v>120000</v>
      </c>
      <c r="J1025" s="13">
        <v>90000</v>
      </c>
      <c r="K1025" s="13">
        <f>IF(J1025&lt;'Mapa Oficinas'!$I$21,0,IF(J1025&gt;'Mapa Oficinas'!$I$20,0,1))</f>
        <v>1</v>
      </c>
      <c r="L1025" t="s">
        <v>23</v>
      </c>
      <c r="M1025" t="s">
        <v>23</v>
      </c>
      <c r="N1025" t="s">
        <v>2280</v>
      </c>
      <c r="O1025" t="s">
        <v>2281</v>
      </c>
      <c r="P1025" t="s">
        <v>34</v>
      </c>
      <c r="Q1025">
        <v>1</v>
      </c>
      <c r="R1025" t="s">
        <v>167</v>
      </c>
      <c r="S1025" t="s">
        <v>152</v>
      </c>
      <c r="T1025" t="str">
        <f>VLOOKUP(S1025,'Mapa Oficinas'!$H$7:$I$16,2,FALSE)</f>
        <v>Otra Red Captación</v>
      </c>
      <c r="U1025" t="s">
        <v>29</v>
      </c>
      <c r="V1025" t="str">
        <f>VLOOKUP($R1025,'Mapa Oficinas'!$A$7:$C$46,2,FALSE)</f>
        <v>Interior - Santa Fe</v>
      </c>
      <c r="W1025" t="str">
        <f>VLOOKUP($R1025,'Mapa Oficinas'!$A$7:$C$46,3,FALSE)</f>
        <v>Capital Santa Fe</v>
      </c>
    </row>
    <row r="1026" spans="1:23" x14ac:dyDescent="0.2">
      <c r="A1026" s="1">
        <v>45849</v>
      </c>
      <c r="B1026" s="20">
        <f t="shared" ref="B1026:B1089" si="32">YEAR($A1026)</f>
        <v>2025</v>
      </c>
      <c r="C1026" s="20">
        <f t="shared" ref="C1026:C1089" si="33">MONTH($A1026)</f>
        <v>7</v>
      </c>
      <c r="D1026" t="s">
        <v>2976</v>
      </c>
      <c r="E1026" s="49">
        <v>1</v>
      </c>
      <c r="F1026" t="s">
        <v>2977</v>
      </c>
      <c r="G1026" t="s">
        <v>21</v>
      </c>
      <c r="H1026" t="s">
        <v>81</v>
      </c>
      <c r="I1026" s="13">
        <v>91000</v>
      </c>
      <c r="J1026" s="13">
        <v>90000</v>
      </c>
      <c r="K1026" s="13">
        <f>IF(J1026&lt;'Mapa Oficinas'!$I$21,0,IF(J1026&gt;'Mapa Oficinas'!$I$20,0,1))</f>
        <v>1</v>
      </c>
      <c r="L1026" t="s">
        <v>23</v>
      </c>
      <c r="M1026" t="s">
        <v>23</v>
      </c>
      <c r="N1026" t="s">
        <v>2978</v>
      </c>
      <c r="O1026" t="s">
        <v>2322</v>
      </c>
      <c r="P1026" t="s">
        <v>26</v>
      </c>
      <c r="Q1026">
        <v>1</v>
      </c>
      <c r="R1026" t="s">
        <v>151</v>
      </c>
      <c r="S1026" t="s">
        <v>152</v>
      </c>
      <c r="T1026" t="str">
        <f>VLOOKUP(S1026,'Mapa Oficinas'!$H$7:$I$16,2,FALSE)</f>
        <v>Otra Red Captación</v>
      </c>
      <c r="U1026" t="s">
        <v>29</v>
      </c>
      <c r="V1026" t="str">
        <f>VLOOKUP($R1026,'Mapa Oficinas'!$A$7:$C$46,2,FALSE)</f>
        <v>Interior - Mendoza</v>
      </c>
      <c r="W1026" t="str">
        <f>VLOOKUP($R1026,'Mapa Oficinas'!$A$7:$C$46,3,FALSE)</f>
        <v>Capital Mendoza</v>
      </c>
    </row>
    <row r="1027" spans="1:23" x14ac:dyDescent="0.2">
      <c r="A1027" s="1">
        <v>45919</v>
      </c>
      <c r="B1027" s="20">
        <f t="shared" si="32"/>
        <v>2025</v>
      </c>
      <c r="C1027" s="20">
        <f t="shared" si="33"/>
        <v>9</v>
      </c>
      <c r="D1027" t="s">
        <v>4245</v>
      </c>
      <c r="E1027" s="49">
        <v>1</v>
      </c>
      <c r="F1027" t="s">
        <v>4246</v>
      </c>
      <c r="G1027" t="s">
        <v>21</v>
      </c>
      <c r="H1027" t="s">
        <v>37</v>
      </c>
      <c r="I1027" s="13">
        <v>90000</v>
      </c>
      <c r="J1027" s="13">
        <v>90000</v>
      </c>
      <c r="K1027" s="13">
        <f>IF(J1027&lt;'Mapa Oficinas'!$I$21,0,IF(J1027&gt;'Mapa Oficinas'!$I$20,0,1))</f>
        <v>1</v>
      </c>
      <c r="L1027" t="s">
        <v>23</v>
      </c>
      <c r="M1027" t="s">
        <v>23</v>
      </c>
      <c r="N1027" t="s">
        <v>4247</v>
      </c>
      <c r="O1027" t="s">
        <v>4248</v>
      </c>
      <c r="P1027" t="s">
        <v>45</v>
      </c>
      <c r="Q1027">
        <v>1</v>
      </c>
      <c r="R1027" t="s">
        <v>56</v>
      </c>
      <c r="S1027" t="s">
        <v>152</v>
      </c>
      <c r="T1027" t="str">
        <f>VLOOKUP(S1027,'Mapa Oficinas'!$H$7:$I$16,2,FALSE)</f>
        <v>Otra Red Captación</v>
      </c>
      <c r="U1027" t="s">
        <v>29</v>
      </c>
      <c r="V1027" t="str">
        <f>VLOOKUP($R1027,'Mapa Oficinas'!$A$7:$C$46,2,FALSE)</f>
        <v>Zona Norte (GBA)</v>
      </c>
      <c r="W1027" t="str">
        <f>VLOOKUP($R1027,'Mapa Oficinas'!$A$7:$C$46,3,FALSE)</f>
        <v>Vicente López</v>
      </c>
    </row>
    <row r="1028" spans="1:23" x14ac:dyDescent="0.2">
      <c r="A1028" s="1">
        <v>45681</v>
      </c>
      <c r="B1028" s="20">
        <f t="shared" si="32"/>
        <v>2025</v>
      </c>
      <c r="C1028" s="20">
        <f t="shared" si="33"/>
        <v>1</v>
      </c>
      <c r="D1028" t="s">
        <v>339</v>
      </c>
      <c r="E1028" s="49">
        <v>1</v>
      </c>
      <c r="F1028" t="s">
        <v>340</v>
      </c>
      <c r="G1028" t="s">
        <v>21</v>
      </c>
      <c r="H1028" t="s">
        <v>81</v>
      </c>
      <c r="I1028" s="13">
        <v>99000</v>
      </c>
      <c r="J1028" s="13">
        <v>90000</v>
      </c>
      <c r="K1028" s="13">
        <f>IF(J1028&lt;'Mapa Oficinas'!$I$21,0,IF(J1028&gt;'Mapa Oficinas'!$I$20,0,1))</f>
        <v>1</v>
      </c>
      <c r="L1028" t="s">
        <v>23</v>
      </c>
      <c r="M1028" t="s">
        <v>23</v>
      </c>
      <c r="N1028" t="s">
        <v>341</v>
      </c>
      <c r="O1028" t="s">
        <v>166</v>
      </c>
      <c r="P1028" t="s">
        <v>34</v>
      </c>
      <c r="Q1028">
        <v>2</v>
      </c>
      <c r="R1028" t="s">
        <v>167</v>
      </c>
      <c r="S1028" t="s">
        <v>79</v>
      </c>
      <c r="T1028" t="str">
        <f>VLOOKUP(S1028,'Mapa Oficinas'!$H$7:$I$16,2,FALSE)</f>
        <v>CB</v>
      </c>
      <c r="U1028" t="s">
        <v>29</v>
      </c>
      <c r="V1028" t="str">
        <f>VLOOKUP($R1028,'Mapa Oficinas'!$A$7:$C$46,2,FALSE)</f>
        <v>Interior - Santa Fe</v>
      </c>
      <c r="W1028" t="str">
        <f>VLOOKUP($R1028,'Mapa Oficinas'!$A$7:$C$46,3,FALSE)</f>
        <v>Capital Santa Fe</v>
      </c>
    </row>
    <row r="1029" spans="1:23" x14ac:dyDescent="0.2">
      <c r="A1029" s="1">
        <v>45730</v>
      </c>
      <c r="B1029" s="20">
        <f t="shared" si="32"/>
        <v>2025</v>
      </c>
      <c r="C1029" s="20">
        <f t="shared" si="33"/>
        <v>3</v>
      </c>
      <c r="D1029" t="s">
        <v>959</v>
      </c>
      <c r="E1029" s="49">
        <v>1</v>
      </c>
      <c r="F1029" t="s">
        <v>960</v>
      </c>
      <c r="G1029" t="s">
        <v>21</v>
      </c>
      <c r="H1029" t="s">
        <v>37</v>
      </c>
      <c r="I1029" s="13">
        <v>90000</v>
      </c>
      <c r="J1029" s="13">
        <v>90000</v>
      </c>
      <c r="K1029" s="13">
        <f>IF(J1029&lt;'Mapa Oficinas'!$I$21,0,IF(J1029&gt;'Mapa Oficinas'!$I$20,0,1))</f>
        <v>1</v>
      </c>
      <c r="L1029" t="s">
        <v>23</v>
      </c>
      <c r="M1029" t="s">
        <v>23</v>
      </c>
      <c r="N1029" t="s">
        <v>961</v>
      </c>
      <c r="O1029" t="s">
        <v>303</v>
      </c>
      <c r="P1029" t="s">
        <v>45</v>
      </c>
      <c r="Q1029">
        <v>2</v>
      </c>
      <c r="R1029" t="s">
        <v>183</v>
      </c>
      <c r="S1029" t="s">
        <v>79</v>
      </c>
      <c r="T1029" t="str">
        <f>VLOOKUP(S1029,'Mapa Oficinas'!$H$7:$I$16,2,FALSE)</f>
        <v>CB</v>
      </c>
      <c r="U1029" t="s">
        <v>29</v>
      </c>
      <c r="V1029" t="str">
        <f>VLOOKUP($R1029,'Mapa Oficinas'!$A$7:$C$46,2,FALSE)</f>
        <v>Interior - Neuquén</v>
      </c>
      <c r="W1029" t="str">
        <f>VLOOKUP($R1029,'Mapa Oficinas'!$A$7:$C$46,3,FALSE)</f>
        <v>Capital Neuquén</v>
      </c>
    </row>
    <row r="1030" spans="1:23" x14ac:dyDescent="0.2">
      <c r="A1030" s="1">
        <v>45827</v>
      </c>
      <c r="B1030" s="20">
        <f t="shared" si="32"/>
        <v>2025</v>
      </c>
      <c r="C1030" s="20">
        <f t="shared" si="33"/>
        <v>6</v>
      </c>
      <c r="D1030" t="s">
        <v>2567</v>
      </c>
      <c r="E1030" s="49">
        <v>1</v>
      </c>
      <c r="F1030" t="s">
        <v>2568</v>
      </c>
      <c r="G1030" t="s">
        <v>21</v>
      </c>
      <c r="H1030" t="s">
        <v>100</v>
      </c>
      <c r="I1030" s="13">
        <v>97000</v>
      </c>
      <c r="J1030" s="13">
        <v>90000</v>
      </c>
      <c r="K1030" s="13">
        <f>IF(J1030&lt;'Mapa Oficinas'!$I$21,0,IF(J1030&gt;'Mapa Oficinas'!$I$20,0,1))</f>
        <v>1</v>
      </c>
      <c r="L1030" t="s">
        <v>23</v>
      </c>
      <c r="M1030" t="s">
        <v>23</v>
      </c>
      <c r="N1030" t="s">
        <v>285</v>
      </c>
      <c r="O1030" t="s">
        <v>209</v>
      </c>
      <c r="P1030" t="s">
        <v>45</v>
      </c>
      <c r="Q1030">
        <v>2</v>
      </c>
      <c r="R1030" t="s">
        <v>121</v>
      </c>
      <c r="S1030" t="s">
        <v>79</v>
      </c>
      <c r="T1030" t="str">
        <f>VLOOKUP(S1030,'Mapa Oficinas'!$H$7:$I$16,2,FALSE)</f>
        <v>CB</v>
      </c>
      <c r="U1030" t="s">
        <v>29</v>
      </c>
      <c r="V1030" t="str">
        <f>VLOOKUP($R1030,'Mapa Oficinas'!$A$7:$C$46,2,FALSE)</f>
        <v>Interior - Río Negro</v>
      </c>
      <c r="W1030" t="str">
        <f>VLOOKUP($R1030,'Mapa Oficinas'!$A$7:$C$46,3,FALSE)</f>
        <v>Bariloche</v>
      </c>
    </row>
    <row r="1031" spans="1:23" x14ac:dyDescent="0.2">
      <c r="A1031" s="1">
        <v>45832</v>
      </c>
      <c r="B1031" s="20">
        <f t="shared" si="32"/>
        <v>2025</v>
      </c>
      <c r="C1031" s="20">
        <f t="shared" si="33"/>
        <v>6</v>
      </c>
      <c r="D1031" t="s">
        <v>2601</v>
      </c>
      <c r="E1031" s="49">
        <v>1</v>
      </c>
      <c r="F1031" t="s">
        <v>2602</v>
      </c>
      <c r="G1031" t="s">
        <v>21</v>
      </c>
      <c r="H1031" t="s">
        <v>37</v>
      </c>
      <c r="I1031" s="13">
        <v>110000</v>
      </c>
      <c r="J1031" s="13">
        <v>90000</v>
      </c>
      <c r="K1031" s="13">
        <f>IF(J1031&lt;'Mapa Oficinas'!$I$21,0,IF(J1031&gt;'Mapa Oficinas'!$I$20,0,1))</f>
        <v>1</v>
      </c>
      <c r="L1031" t="s">
        <v>23</v>
      </c>
      <c r="M1031" t="s">
        <v>23</v>
      </c>
      <c r="N1031" t="s">
        <v>2603</v>
      </c>
      <c r="O1031" t="s">
        <v>2604</v>
      </c>
      <c r="P1031" t="s">
        <v>34</v>
      </c>
      <c r="Q1031">
        <v>2</v>
      </c>
      <c r="R1031" t="s">
        <v>62</v>
      </c>
      <c r="S1031" t="s">
        <v>79</v>
      </c>
      <c r="T1031" t="str">
        <f>VLOOKUP(S1031,'Mapa Oficinas'!$H$7:$I$16,2,FALSE)</f>
        <v>CB</v>
      </c>
      <c r="U1031" t="s">
        <v>29</v>
      </c>
      <c r="V1031" t="str">
        <f>VLOOKUP($R1031,'Mapa Oficinas'!$A$7:$C$46,2,FALSE)</f>
        <v>CABA</v>
      </c>
      <c r="W1031" t="str">
        <f>VLOOKUP($R1031,'Mapa Oficinas'!$A$7:$C$46,3,FALSE)</f>
        <v>Villa Urquiza</v>
      </c>
    </row>
    <row r="1032" spans="1:23" x14ac:dyDescent="0.2">
      <c r="A1032" s="1">
        <v>45898</v>
      </c>
      <c r="B1032" s="20">
        <f t="shared" si="32"/>
        <v>2025</v>
      </c>
      <c r="C1032" s="20">
        <f t="shared" si="33"/>
        <v>8</v>
      </c>
      <c r="D1032" t="s">
        <v>3871</v>
      </c>
      <c r="E1032" s="49">
        <v>1</v>
      </c>
      <c r="F1032" t="s">
        <v>3872</v>
      </c>
      <c r="G1032" t="s">
        <v>21</v>
      </c>
      <c r="H1032" t="s">
        <v>81</v>
      </c>
      <c r="I1032" s="13">
        <v>92000</v>
      </c>
      <c r="J1032" s="13">
        <v>90000</v>
      </c>
      <c r="K1032" s="13">
        <f>IF(J1032&lt;'Mapa Oficinas'!$I$21,0,IF(J1032&gt;'Mapa Oficinas'!$I$20,0,1))</f>
        <v>1</v>
      </c>
      <c r="L1032" t="s">
        <v>23</v>
      </c>
      <c r="M1032" t="s">
        <v>23</v>
      </c>
      <c r="N1032" t="s">
        <v>3873</v>
      </c>
      <c r="O1032" t="s">
        <v>329</v>
      </c>
      <c r="P1032" t="s">
        <v>34</v>
      </c>
      <c r="Q1032">
        <v>2</v>
      </c>
      <c r="R1032" t="s">
        <v>183</v>
      </c>
      <c r="S1032" t="s">
        <v>79</v>
      </c>
      <c r="T1032" t="str">
        <f>VLOOKUP(S1032,'Mapa Oficinas'!$H$7:$I$16,2,FALSE)</f>
        <v>CB</v>
      </c>
      <c r="U1032" t="s">
        <v>29</v>
      </c>
      <c r="V1032" t="str">
        <f>VLOOKUP($R1032,'Mapa Oficinas'!$A$7:$C$46,2,FALSE)</f>
        <v>Interior - Neuquén</v>
      </c>
      <c r="W1032" t="str">
        <f>VLOOKUP($R1032,'Mapa Oficinas'!$A$7:$C$46,3,FALSE)</f>
        <v>Capital Neuquén</v>
      </c>
    </row>
    <row r="1033" spans="1:23" x14ac:dyDescent="0.2">
      <c r="A1033" s="1">
        <v>45918</v>
      </c>
      <c r="B1033" s="20">
        <f t="shared" si="32"/>
        <v>2025</v>
      </c>
      <c r="C1033" s="20">
        <f t="shared" si="33"/>
        <v>9</v>
      </c>
      <c r="D1033" t="s">
        <v>4218</v>
      </c>
      <c r="E1033" s="49">
        <v>1</v>
      </c>
      <c r="F1033" t="s">
        <v>4219</v>
      </c>
      <c r="G1033" t="s">
        <v>21</v>
      </c>
      <c r="H1033" t="s">
        <v>22</v>
      </c>
      <c r="I1033" s="13">
        <v>95000</v>
      </c>
      <c r="J1033" s="13">
        <v>90000</v>
      </c>
      <c r="K1033" s="13">
        <f>IF(J1033&lt;'Mapa Oficinas'!$I$21,0,IF(J1033&gt;'Mapa Oficinas'!$I$20,0,1))</f>
        <v>1</v>
      </c>
      <c r="L1033" t="s">
        <v>23</v>
      </c>
      <c r="M1033" t="s">
        <v>23</v>
      </c>
      <c r="N1033" t="s">
        <v>4220</v>
      </c>
      <c r="O1033" t="s">
        <v>408</v>
      </c>
      <c r="P1033" t="s">
        <v>61</v>
      </c>
      <c r="Q1033">
        <v>2</v>
      </c>
      <c r="R1033" t="s">
        <v>62</v>
      </c>
      <c r="S1033" t="s">
        <v>79</v>
      </c>
      <c r="T1033" t="str">
        <f>VLOOKUP(S1033,'Mapa Oficinas'!$H$7:$I$16,2,FALSE)</f>
        <v>CB</v>
      </c>
      <c r="U1033" t="s">
        <v>29</v>
      </c>
      <c r="V1033" t="str">
        <f>VLOOKUP($R1033,'Mapa Oficinas'!$A$7:$C$46,2,FALSE)</f>
        <v>CABA</v>
      </c>
      <c r="W1033" t="str">
        <f>VLOOKUP($R1033,'Mapa Oficinas'!$A$7:$C$46,3,FALSE)</f>
        <v>Villa Urquiza</v>
      </c>
    </row>
    <row r="1034" spans="1:23" x14ac:dyDescent="0.2">
      <c r="A1034" s="1">
        <v>46077</v>
      </c>
      <c r="B1034" s="20">
        <f t="shared" si="32"/>
        <v>2026</v>
      </c>
      <c r="C1034" s="20">
        <f t="shared" si="33"/>
        <v>2</v>
      </c>
      <c r="D1034" t="s">
        <v>6831</v>
      </c>
      <c r="E1034" s="49">
        <v>1</v>
      </c>
      <c r="F1034" t="s">
        <v>6832</v>
      </c>
      <c r="G1034" t="s">
        <v>21</v>
      </c>
      <c r="H1034" t="s">
        <v>37</v>
      </c>
      <c r="I1034" s="13">
        <v>95000</v>
      </c>
      <c r="J1034" s="13">
        <v>90000</v>
      </c>
      <c r="K1034" s="13">
        <f>IF(J1034&lt;'Mapa Oficinas'!$I$21,0,IF(J1034&gt;'Mapa Oficinas'!$I$20,0,1))</f>
        <v>1</v>
      </c>
      <c r="L1034" t="s">
        <v>23</v>
      </c>
      <c r="M1034" t="s">
        <v>23</v>
      </c>
      <c r="N1034" t="s">
        <v>6833</v>
      </c>
      <c r="O1034" t="s">
        <v>6834</v>
      </c>
      <c r="P1034" t="s">
        <v>2681</v>
      </c>
      <c r="Q1034">
        <v>2</v>
      </c>
      <c r="R1034" t="s">
        <v>151</v>
      </c>
      <c r="S1034" t="s">
        <v>79</v>
      </c>
      <c r="T1034" t="str">
        <f>VLOOKUP(S1034,'Mapa Oficinas'!$H$7:$I$16,2,FALSE)</f>
        <v>CB</v>
      </c>
      <c r="U1034" t="s">
        <v>29</v>
      </c>
      <c r="V1034" t="str">
        <f>VLOOKUP($R1034,'Mapa Oficinas'!$A$7:$C$46,2,FALSE)</f>
        <v>Interior - Mendoza</v>
      </c>
      <c r="W1034" t="str">
        <f>VLOOKUP($R1034,'Mapa Oficinas'!$A$7:$C$46,3,FALSE)</f>
        <v>Capital Mendoza</v>
      </c>
    </row>
    <row r="1035" spans="1:23" x14ac:dyDescent="0.2">
      <c r="A1035" s="1">
        <v>45874</v>
      </c>
      <c r="B1035" s="20">
        <f t="shared" si="32"/>
        <v>2025</v>
      </c>
      <c r="C1035" s="20">
        <f t="shared" si="33"/>
        <v>8</v>
      </c>
      <c r="D1035" t="s">
        <v>3424</v>
      </c>
      <c r="E1035" s="49">
        <v>1</v>
      </c>
      <c r="F1035" t="s">
        <v>3425</v>
      </c>
      <c r="G1035" t="s">
        <v>21</v>
      </c>
      <c r="H1035" t="s">
        <v>37</v>
      </c>
      <c r="I1035" s="13">
        <v>95000</v>
      </c>
      <c r="J1035" s="13">
        <v>90000</v>
      </c>
      <c r="K1035" s="13">
        <f>IF(J1035&lt;'Mapa Oficinas'!$I$21,0,IF(J1035&gt;'Mapa Oficinas'!$I$20,0,1))</f>
        <v>1</v>
      </c>
      <c r="L1035" t="s">
        <v>23</v>
      </c>
      <c r="M1035" t="s">
        <v>23</v>
      </c>
      <c r="N1035" s="19" t="s">
        <v>3426</v>
      </c>
      <c r="O1035" t="s">
        <v>253</v>
      </c>
      <c r="P1035" t="s">
        <v>45</v>
      </c>
      <c r="Q1035">
        <v>2</v>
      </c>
      <c r="R1035" t="s">
        <v>110</v>
      </c>
      <c r="S1035" t="s">
        <v>232</v>
      </c>
      <c r="T1035" t="str">
        <f>VLOOKUP(S1035,'Mapa Oficinas'!$H$7:$I$16,2,FALSE)</f>
        <v>CB</v>
      </c>
      <c r="U1035" t="s">
        <v>29</v>
      </c>
      <c r="V1035" t="str">
        <f>VLOOKUP($R1035,'Mapa Oficinas'!$A$7:$C$46,2,FALSE)</f>
        <v>Zona Norte (GBA)</v>
      </c>
      <c r="W1035" t="str">
        <f>VLOOKUP($R1035,'Mapa Oficinas'!$A$7:$C$46,3,FALSE)</f>
        <v>Nordelta</v>
      </c>
    </row>
    <row r="1036" spans="1:23" x14ac:dyDescent="0.2">
      <c r="A1036" s="1">
        <v>45895</v>
      </c>
      <c r="B1036" s="20">
        <f t="shared" si="32"/>
        <v>2025</v>
      </c>
      <c r="C1036" s="20">
        <f t="shared" si="33"/>
        <v>8</v>
      </c>
      <c r="D1036">
        <v>10486</v>
      </c>
      <c r="E1036" s="49">
        <v>0</v>
      </c>
      <c r="F1036" s="19" t="s">
        <v>3776</v>
      </c>
      <c r="G1036" t="s">
        <v>21</v>
      </c>
      <c r="H1036" t="s">
        <v>230</v>
      </c>
      <c r="I1036" s="13">
        <v>0</v>
      </c>
      <c r="J1036" s="13">
        <v>90000</v>
      </c>
      <c r="K1036" s="13">
        <f>IF(J1036&lt;'Mapa Oficinas'!$I$21,0,IF(J1036&gt;'Mapa Oficinas'!$I$20,0,1))</f>
        <v>1</v>
      </c>
      <c r="L1036" t="s">
        <v>23</v>
      </c>
      <c r="M1036" t="s">
        <v>23</v>
      </c>
      <c r="O1036" t="s">
        <v>190</v>
      </c>
      <c r="P1036" t="s">
        <v>45</v>
      </c>
      <c r="Q1036">
        <v>2</v>
      </c>
      <c r="R1036" t="s">
        <v>67</v>
      </c>
      <c r="S1036" t="s">
        <v>232</v>
      </c>
      <c r="T1036" t="str">
        <f>VLOOKUP(S1036,'Mapa Oficinas'!$H$7:$I$16,2,FALSE)</f>
        <v>CB</v>
      </c>
      <c r="U1036" t="s">
        <v>29</v>
      </c>
      <c r="V1036" t="str">
        <f>VLOOKUP($R1036,'Mapa Oficinas'!$A$7:$C$46,2,FALSE)</f>
        <v>CABA</v>
      </c>
      <c r="W1036" t="str">
        <f>VLOOKUP($R1036,'Mapa Oficinas'!$A$7:$C$46,3,FALSE)</f>
        <v>Barrio Parque</v>
      </c>
    </row>
    <row r="1037" spans="1:23" x14ac:dyDescent="0.2">
      <c r="A1037" s="1">
        <v>45687</v>
      </c>
      <c r="B1037" s="20">
        <f t="shared" si="32"/>
        <v>2025</v>
      </c>
      <c r="C1037" s="20">
        <f t="shared" si="33"/>
        <v>1</v>
      </c>
      <c r="D1037" t="s">
        <v>442</v>
      </c>
      <c r="E1037" s="49">
        <v>1</v>
      </c>
      <c r="F1037" t="s">
        <v>443</v>
      </c>
      <c r="G1037" t="s">
        <v>21</v>
      </c>
      <c r="H1037" t="s">
        <v>37</v>
      </c>
      <c r="I1037" s="13">
        <v>100000</v>
      </c>
      <c r="J1037" s="13">
        <v>90000</v>
      </c>
      <c r="K1037" s="13">
        <f>IF(J1037&lt;'Mapa Oficinas'!$I$21,0,IF(J1037&gt;'Mapa Oficinas'!$I$20,0,1))</f>
        <v>1</v>
      </c>
      <c r="L1037" t="s">
        <v>23</v>
      </c>
      <c r="M1037" t="s">
        <v>23</v>
      </c>
      <c r="N1037" t="s">
        <v>444</v>
      </c>
      <c r="O1037" t="s">
        <v>329</v>
      </c>
      <c r="P1037" t="s">
        <v>34</v>
      </c>
      <c r="Q1037">
        <v>2</v>
      </c>
      <c r="R1037" t="s">
        <v>183</v>
      </c>
      <c r="S1037" t="s">
        <v>200</v>
      </c>
      <c r="T1037" t="str">
        <f>VLOOKUP(S1037,'Mapa Oficinas'!$H$7:$I$16,2,FALSE)</f>
        <v>Otra Red Captación</v>
      </c>
      <c r="U1037" t="s">
        <v>29</v>
      </c>
      <c r="V1037" t="str">
        <f>VLOOKUP($R1037,'Mapa Oficinas'!$A$7:$C$46,2,FALSE)</f>
        <v>Interior - Neuquén</v>
      </c>
      <c r="W1037" t="str">
        <f>VLOOKUP($R1037,'Mapa Oficinas'!$A$7:$C$46,3,FALSE)</f>
        <v>Capital Neuquén</v>
      </c>
    </row>
    <row r="1038" spans="1:23" x14ac:dyDescent="0.2">
      <c r="A1038" s="1">
        <v>45741</v>
      </c>
      <c r="B1038" s="20">
        <f t="shared" si="32"/>
        <v>2025</v>
      </c>
      <c r="C1038" s="20">
        <f t="shared" si="33"/>
        <v>3</v>
      </c>
      <c r="D1038" t="s">
        <v>1084</v>
      </c>
      <c r="E1038" s="49">
        <v>1</v>
      </c>
      <c r="F1038" t="s">
        <v>1085</v>
      </c>
      <c r="G1038" t="s">
        <v>21</v>
      </c>
      <c r="H1038" t="s">
        <v>37</v>
      </c>
      <c r="I1038" s="13">
        <v>90000</v>
      </c>
      <c r="J1038" s="13">
        <v>90000</v>
      </c>
      <c r="K1038" s="13">
        <f>IF(J1038&lt;'Mapa Oficinas'!$I$21,0,IF(J1038&gt;'Mapa Oficinas'!$I$20,0,1))</f>
        <v>1</v>
      </c>
      <c r="L1038" t="s">
        <v>23</v>
      </c>
      <c r="M1038" t="s">
        <v>23</v>
      </c>
      <c r="N1038" t="s">
        <v>1086</v>
      </c>
      <c r="O1038" t="s">
        <v>50</v>
      </c>
      <c r="P1038" t="s">
        <v>45</v>
      </c>
      <c r="Q1038">
        <v>2</v>
      </c>
      <c r="R1038" t="s">
        <v>110</v>
      </c>
      <c r="S1038" t="s">
        <v>200</v>
      </c>
      <c r="T1038" t="str">
        <f>VLOOKUP(S1038,'Mapa Oficinas'!$H$7:$I$16,2,FALSE)</f>
        <v>Otra Red Captación</v>
      </c>
      <c r="U1038" t="s">
        <v>29</v>
      </c>
      <c r="V1038" t="str">
        <f>VLOOKUP($R1038,'Mapa Oficinas'!$A$7:$C$46,2,FALSE)</f>
        <v>Zona Norte (GBA)</v>
      </c>
      <c r="W1038" t="str">
        <f>VLOOKUP($R1038,'Mapa Oficinas'!$A$7:$C$46,3,FALSE)</f>
        <v>Nordelta</v>
      </c>
    </row>
    <row r="1039" spans="1:23" x14ac:dyDescent="0.2">
      <c r="A1039" s="1">
        <v>45800</v>
      </c>
      <c r="B1039" s="20">
        <f t="shared" si="32"/>
        <v>2025</v>
      </c>
      <c r="C1039" s="20">
        <f t="shared" si="33"/>
        <v>5</v>
      </c>
      <c r="D1039" t="s">
        <v>2113</v>
      </c>
      <c r="E1039" s="49">
        <v>1</v>
      </c>
      <c r="F1039" t="s">
        <v>2114</v>
      </c>
      <c r="G1039" t="s">
        <v>21</v>
      </c>
      <c r="H1039" t="s">
        <v>37</v>
      </c>
      <c r="I1039" s="13">
        <v>90000</v>
      </c>
      <c r="J1039" s="13">
        <v>90000</v>
      </c>
      <c r="K1039" s="13">
        <f>IF(J1039&lt;'Mapa Oficinas'!$I$21,0,IF(J1039&gt;'Mapa Oficinas'!$I$20,0,1))</f>
        <v>1</v>
      </c>
      <c r="L1039" t="s">
        <v>23</v>
      </c>
      <c r="M1039" t="s">
        <v>23</v>
      </c>
      <c r="N1039" t="s">
        <v>2115</v>
      </c>
      <c r="O1039" t="s">
        <v>182</v>
      </c>
      <c r="P1039" t="s">
        <v>26</v>
      </c>
      <c r="Q1039">
        <v>2</v>
      </c>
      <c r="R1039" t="s">
        <v>183</v>
      </c>
      <c r="S1039" t="s">
        <v>200</v>
      </c>
      <c r="T1039" t="str">
        <f>VLOOKUP(S1039,'Mapa Oficinas'!$H$7:$I$16,2,FALSE)</f>
        <v>Otra Red Captación</v>
      </c>
      <c r="U1039" t="s">
        <v>29</v>
      </c>
      <c r="V1039" t="str">
        <f>VLOOKUP($R1039,'Mapa Oficinas'!$A$7:$C$46,2,FALSE)</f>
        <v>Interior - Neuquén</v>
      </c>
      <c r="W1039" t="str">
        <f>VLOOKUP($R1039,'Mapa Oficinas'!$A$7:$C$46,3,FALSE)</f>
        <v>Capital Neuquén</v>
      </c>
    </row>
    <row r="1040" spans="1:23" x14ac:dyDescent="0.2">
      <c r="A1040" s="1">
        <v>45832</v>
      </c>
      <c r="B1040" s="20">
        <f t="shared" si="32"/>
        <v>2025</v>
      </c>
      <c r="C1040" s="20">
        <f t="shared" si="33"/>
        <v>6</v>
      </c>
      <c r="D1040">
        <v>10420</v>
      </c>
      <c r="E1040" s="49">
        <v>1</v>
      </c>
      <c r="F1040" t="s">
        <v>2600</v>
      </c>
      <c r="G1040" t="s">
        <v>21</v>
      </c>
      <c r="H1040" t="s">
        <v>37</v>
      </c>
      <c r="I1040" s="13">
        <v>0</v>
      </c>
      <c r="J1040" s="13">
        <v>90000</v>
      </c>
      <c r="K1040" s="13">
        <f>IF(J1040&lt;'Mapa Oficinas'!$I$21,0,IF(J1040&gt;'Mapa Oficinas'!$I$20,0,1))</f>
        <v>1</v>
      </c>
      <c r="L1040" t="s">
        <v>23</v>
      </c>
      <c r="M1040" t="s">
        <v>23</v>
      </c>
      <c r="O1040" t="s">
        <v>696</v>
      </c>
      <c r="P1040" t="s">
        <v>45</v>
      </c>
      <c r="Q1040">
        <v>2</v>
      </c>
      <c r="R1040" t="s">
        <v>67</v>
      </c>
      <c r="S1040" t="s">
        <v>200</v>
      </c>
      <c r="T1040" t="str">
        <f>VLOOKUP(S1040,'Mapa Oficinas'!$H$7:$I$16,2,FALSE)</f>
        <v>Otra Red Captación</v>
      </c>
      <c r="U1040" t="s">
        <v>29</v>
      </c>
      <c r="V1040" t="str">
        <f>VLOOKUP($R1040,'Mapa Oficinas'!$A$7:$C$46,2,FALSE)</f>
        <v>CABA</v>
      </c>
      <c r="W1040" t="str">
        <f>VLOOKUP($R1040,'Mapa Oficinas'!$A$7:$C$46,3,FALSE)</f>
        <v>Barrio Parque</v>
      </c>
    </row>
    <row r="1041" spans="1:23" x14ac:dyDescent="0.2">
      <c r="A1041" s="1">
        <v>45840</v>
      </c>
      <c r="B1041" s="20">
        <f t="shared" si="32"/>
        <v>2025</v>
      </c>
      <c r="C1041" s="20">
        <f t="shared" si="33"/>
        <v>7</v>
      </c>
      <c r="D1041" t="s">
        <v>2828</v>
      </c>
      <c r="E1041" s="49">
        <v>1</v>
      </c>
      <c r="F1041" t="s">
        <v>2829</v>
      </c>
      <c r="G1041" t="s">
        <v>21</v>
      </c>
      <c r="H1041" t="s">
        <v>37</v>
      </c>
      <c r="I1041" s="13">
        <v>94000</v>
      </c>
      <c r="J1041" s="13">
        <v>90000</v>
      </c>
      <c r="K1041" s="13">
        <f>IF(J1041&lt;'Mapa Oficinas'!$I$21,0,IF(J1041&gt;'Mapa Oficinas'!$I$20,0,1))</f>
        <v>1</v>
      </c>
      <c r="L1041" t="s">
        <v>23</v>
      </c>
      <c r="M1041" t="s">
        <v>23</v>
      </c>
      <c r="N1041" t="s">
        <v>2830</v>
      </c>
      <c r="O1041" t="s">
        <v>253</v>
      </c>
      <c r="P1041" t="s">
        <v>45</v>
      </c>
      <c r="Q1041">
        <v>2</v>
      </c>
      <c r="R1041" t="s">
        <v>135</v>
      </c>
      <c r="S1041" t="s">
        <v>200</v>
      </c>
      <c r="T1041" t="str">
        <f>VLOOKUP(S1041,'Mapa Oficinas'!$H$7:$I$16,2,FALSE)</f>
        <v>Otra Red Captación</v>
      </c>
      <c r="U1041" t="s">
        <v>29</v>
      </c>
      <c r="V1041" t="str">
        <f>VLOOKUP($R1041,'Mapa Oficinas'!$A$7:$C$46,2,FALSE)</f>
        <v>CABA</v>
      </c>
      <c r="W1041" t="str">
        <f>VLOOKUP($R1041,'Mapa Oficinas'!$A$7:$C$46,3,FALSE)</f>
        <v>Recoleta</v>
      </c>
    </row>
    <row r="1042" spans="1:23" x14ac:dyDescent="0.2">
      <c r="A1042" s="1">
        <v>45986</v>
      </c>
      <c r="B1042" s="20">
        <f t="shared" si="32"/>
        <v>2025</v>
      </c>
      <c r="C1042" s="20">
        <f t="shared" si="33"/>
        <v>11</v>
      </c>
      <c r="D1042" t="s">
        <v>5368</v>
      </c>
      <c r="E1042" s="49">
        <v>1</v>
      </c>
      <c r="F1042" t="s">
        <v>5369</v>
      </c>
      <c r="G1042" t="s">
        <v>21</v>
      </c>
      <c r="H1042" t="s">
        <v>37</v>
      </c>
      <c r="I1042" s="13">
        <v>93900</v>
      </c>
      <c r="J1042" s="13">
        <v>90000</v>
      </c>
      <c r="K1042" s="13">
        <f>IF(J1042&lt;'Mapa Oficinas'!$I$21,0,IF(J1042&gt;'Mapa Oficinas'!$I$20,0,1))</f>
        <v>1</v>
      </c>
      <c r="L1042" t="s">
        <v>23</v>
      </c>
      <c r="M1042" t="s">
        <v>23</v>
      </c>
      <c r="N1042" t="s">
        <v>5370</v>
      </c>
      <c r="O1042" t="s">
        <v>1010</v>
      </c>
      <c r="P1042" t="s">
        <v>45</v>
      </c>
      <c r="Q1042">
        <v>2</v>
      </c>
      <c r="R1042" t="s">
        <v>67</v>
      </c>
      <c r="S1042" t="s">
        <v>200</v>
      </c>
      <c r="T1042" t="str">
        <f>VLOOKUP(S1042,'Mapa Oficinas'!$H$7:$I$16,2,FALSE)</f>
        <v>Otra Red Captación</v>
      </c>
      <c r="U1042" t="s">
        <v>29</v>
      </c>
      <c r="V1042" t="str">
        <f>VLOOKUP($R1042,'Mapa Oficinas'!$A$7:$C$46,2,FALSE)</f>
        <v>CABA</v>
      </c>
      <c r="W1042" t="str">
        <f>VLOOKUP($R1042,'Mapa Oficinas'!$A$7:$C$46,3,FALSE)</f>
        <v>Barrio Parque</v>
      </c>
    </row>
    <row r="1043" spans="1:23" x14ac:dyDescent="0.2">
      <c r="A1043" s="1">
        <v>46010</v>
      </c>
      <c r="B1043" s="20">
        <f t="shared" si="32"/>
        <v>2025</v>
      </c>
      <c r="C1043" s="20">
        <f t="shared" si="33"/>
        <v>12</v>
      </c>
      <c r="D1043">
        <v>10584</v>
      </c>
      <c r="E1043" s="49">
        <v>1</v>
      </c>
      <c r="F1043" t="s">
        <v>5905</v>
      </c>
      <c r="G1043" t="s">
        <v>21</v>
      </c>
      <c r="H1043" t="s">
        <v>37</v>
      </c>
      <c r="I1043" s="13">
        <v>90000</v>
      </c>
      <c r="J1043" s="13">
        <v>90000</v>
      </c>
      <c r="K1043" s="13">
        <f>IF(J1043&lt;'Mapa Oficinas'!$I$21,0,IF(J1043&gt;'Mapa Oficinas'!$I$20,0,1))</f>
        <v>1</v>
      </c>
      <c r="L1043" t="s">
        <v>23</v>
      </c>
      <c r="M1043" t="s">
        <v>23</v>
      </c>
      <c r="N1043" t="s">
        <v>5905</v>
      </c>
      <c r="O1043" t="s">
        <v>92</v>
      </c>
      <c r="P1043" t="s">
        <v>45</v>
      </c>
      <c r="Q1043">
        <v>2</v>
      </c>
      <c r="R1043" t="s">
        <v>67</v>
      </c>
      <c r="S1043" t="s">
        <v>200</v>
      </c>
      <c r="T1043" t="str">
        <f>VLOOKUP(S1043,'Mapa Oficinas'!$H$7:$I$16,2,FALSE)</f>
        <v>Otra Red Captación</v>
      </c>
      <c r="U1043" t="s">
        <v>29</v>
      </c>
      <c r="V1043" t="str">
        <f>VLOOKUP($R1043,'Mapa Oficinas'!$A$7:$C$46,2,FALSE)</f>
        <v>CABA</v>
      </c>
      <c r="W1043" t="str">
        <f>VLOOKUP($R1043,'Mapa Oficinas'!$A$7:$C$46,3,FALSE)</f>
        <v>Barrio Parque</v>
      </c>
    </row>
    <row r="1044" spans="1:23" x14ac:dyDescent="0.2">
      <c r="A1044" s="1">
        <v>45670</v>
      </c>
      <c r="B1044" s="20">
        <f t="shared" si="32"/>
        <v>2025</v>
      </c>
      <c r="C1044" s="20">
        <f t="shared" si="33"/>
        <v>1</v>
      </c>
      <c r="D1044" t="s">
        <v>206</v>
      </c>
      <c r="E1044" s="49">
        <v>1</v>
      </c>
      <c r="F1044" t="s">
        <v>207</v>
      </c>
      <c r="G1044" t="s">
        <v>21</v>
      </c>
      <c r="H1044" t="s">
        <v>100</v>
      </c>
      <c r="I1044" s="13">
        <v>90000</v>
      </c>
      <c r="J1044" s="13">
        <v>90000</v>
      </c>
      <c r="K1044" s="13">
        <f>IF(J1044&lt;'Mapa Oficinas'!$I$21,0,IF(J1044&gt;'Mapa Oficinas'!$I$20,0,1))</f>
        <v>1</v>
      </c>
      <c r="L1044" t="s">
        <v>23</v>
      </c>
      <c r="M1044" t="s">
        <v>23</v>
      </c>
      <c r="N1044" t="s">
        <v>208</v>
      </c>
      <c r="O1044" t="s">
        <v>209</v>
      </c>
      <c r="P1044" t="s">
        <v>45</v>
      </c>
      <c r="Q1044">
        <v>2</v>
      </c>
      <c r="R1044" t="s">
        <v>121</v>
      </c>
      <c r="S1044" t="s">
        <v>28</v>
      </c>
      <c r="T1044" t="str">
        <f>VLOOKUP(S1044,'Mapa Oficinas'!$H$7:$I$16,2,FALSE)</f>
        <v>CB</v>
      </c>
      <c r="U1044" t="s">
        <v>29</v>
      </c>
      <c r="V1044" t="str">
        <f>VLOOKUP($R1044,'Mapa Oficinas'!$A$7:$C$46,2,FALSE)</f>
        <v>Interior - Río Negro</v>
      </c>
      <c r="W1044" t="str">
        <f>VLOOKUP($R1044,'Mapa Oficinas'!$A$7:$C$46,3,FALSE)</f>
        <v>Bariloche</v>
      </c>
    </row>
    <row r="1045" spans="1:23" x14ac:dyDescent="0.2">
      <c r="A1045" s="1">
        <v>45772</v>
      </c>
      <c r="B1045" s="20">
        <f t="shared" si="32"/>
        <v>2025</v>
      </c>
      <c r="C1045" s="20">
        <f t="shared" si="33"/>
        <v>4</v>
      </c>
      <c r="D1045" t="s">
        <v>1622</v>
      </c>
      <c r="E1045" s="49">
        <v>1</v>
      </c>
      <c r="F1045" t="s">
        <v>1623</v>
      </c>
      <c r="G1045" t="s">
        <v>21</v>
      </c>
      <c r="H1045" t="s">
        <v>37</v>
      </c>
      <c r="I1045" s="13">
        <v>22000</v>
      </c>
      <c r="J1045" s="13">
        <v>90000</v>
      </c>
      <c r="K1045" s="13">
        <f>IF(J1045&lt;'Mapa Oficinas'!$I$21,0,IF(J1045&gt;'Mapa Oficinas'!$I$20,0,1))</f>
        <v>1</v>
      </c>
      <c r="L1045" t="s">
        <v>23</v>
      </c>
      <c r="M1045" t="s">
        <v>23</v>
      </c>
      <c r="N1045" t="s">
        <v>1624</v>
      </c>
      <c r="O1045" t="s">
        <v>66</v>
      </c>
      <c r="P1045" t="s">
        <v>1625</v>
      </c>
      <c r="Q1045">
        <v>2</v>
      </c>
      <c r="R1045" t="s">
        <v>135</v>
      </c>
      <c r="S1045" t="s">
        <v>28</v>
      </c>
      <c r="T1045" t="str">
        <f>VLOOKUP(S1045,'Mapa Oficinas'!$H$7:$I$16,2,FALSE)</f>
        <v>CB</v>
      </c>
      <c r="U1045" t="s">
        <v>29</v>
      </c>
      <c r="V1045" t="str">
        <f>VLOOKUP($R1045,'Mapa Oficinas'!$A$7:$C$46,2,FALSE)</f>
        <v>CABA</v>
      </c>
      <c r="W1045" t="str">
        <f>VLOOKUP($R1045,'Mapa Oficinas'!$A$7:$C$46,3,FALSE)</f>
        <v>Recoleta</v>
      </c>
    </row>
    <row r="1046" spans="1:23" x14ac:dyDescent="0.2">
      <c r="A1046" s="1">
        <v>45775</v>
      </c>
      <c r="B1046" s="20">
        <f t="shared" si="32"/>
        <v>2025</v>
      </c>
      <c r="C1046" s="20">
        <f t="shared" si="33"/>
        <v>4</v>
      </c>
      <c r="D1046" t="s">
        <v>1655</v>
      </c>
      <c r="E1046" s="49">
        <v>1</v>
      </c>
      <c r="F1046" t="s">
        <v>1656</v>
      </c>
      <c r="G1046" t="s">
        <v>21</v>
      </c>
      <c r="H1046" t="s">
        <v>81</v>
      </c>
      <c r="I1046" s="13">
        <v>95000</v>
      </c>
      <c r="J1046" s="13">
        <v>90000</v>
      </c>
      <c r="K1046" s="13">
        <f>IF(J1046&lt;'Mapa Oficinas'!$I$21,0,IF(J1046&gt;'Mapa Oficinas'!$I$20,0,1))</f>
        <v>1</v>
      </c>
      <c r="L1046" t="s">
        <v>23</v>
      </c>
      <c r="M1046" t="s">
        <v>23</v>
      </c>
      <c r="N1046" t="s">
        <v>1657</v>
      </c>
      <c r="O1046" t="s">
        <v>1116</v>
      </c>
      <c r="P1046" t="s">
        <v>34</v>
      </c>
      <c r="Q1046">
        <v>2</v>
      </c>
      <c r="R1046" t="s">
        <v>73</v>
      </c>
      <c r="S1046" t="s">
        <v>28</v>
      </c>
      <c r="T1046" t="str">
        <f>VLOOKUP(S1046,'Mapa Oficinas'!$H$7:$I$16,2,FALSE)</f>
        <v>CB</v>
      </c>
      <c r="U1046" t="s">
        <v>29</v>
      </c>
      <c r="V1046" t="str">
        <f>VLOOKUP($R1046,'Mapa Oficinas'!$A$7:$C$46,2,FALSE)</f>
        <v>Interior - Salta</v>
      </c>
      <c r="W1046" t="str">
        <f>VLOOKUP($R1046,'Mapa Oficinas'!$A$7:$C$46,3,FALSE)</f>
        <v>San Lorenzo Chico</v>
      </c>
    </row>
    <row r="1047" spans="1:23" x14ac:dyDescent="0.2">
      <c r="A1047" s="1">
        <v>45784</v>
      </c>
      <c r="B1047" s="20">
        <f t="shared" si="32"/>
        <v>2025</v>
      </c>
      <c r="C1047" s="20">
        <f t="shared" si="33"/>
        <v>5</v>
      </c>
      <c r="D1047" t="s">
        <v>1802</v>
      </c>
      <c r="E1047" s="49">
        <v>1</v>
      </c>
      <c r="F1047" t="s">
        <v>1802</v>
      </c>
      <c r="G1047" t="s">
        <v>21</v>
      </c>
      <c r="H1047" t="s">
        <v>37</v>
      </c>
      <c r="I1047" s="13">
        <v>90000</v>
      </c>
      <c r="J1047" s="13">
        <v>90000</v>
      </c>
      <c r="K1047" s="13">
        <f>IF(J1047&lt;'Mapa Oficinas'!$I$21,0,IF(J1047&gt;'Mapa Oficinas'!$I$20,0,1))</f>
        <v>1</v>
      </c>
      <c r="L1047" t="s">
        <v>23</v>
      </c>
      <c r="M1047" t="s">
        <v>23</v>
      </c>
      <c r="N1047" t="s">
        <v>1802</v>
      </c>
      <c r="O1047" t="s">
        <v>116</v>
      </c>
      <c r="P1047" t="s">
        <v>45</v>
      </c>
      <c r="Q1047">
        <v>2</v>
      </c>
      <c r="R1047" t="s">
        <v>62</v>
      </c>
      <c r="S1047" t="s">
        <v>28</v>
      </c>
      <c r="T1047" t="str">
        <f>VLOOKUP(S1047,'Mapa Oficinas'!$H$7:$I$16,2,FALSE)</f>
        <v>CB</v>
      </c>
      <c r="U1047" t="s">
        <v>29</v>
      </c>
      <c r="V1047" t="str">
        <f>VLOOKUP($R1047,'Mapa Oficinas'!$A$7:$C$46,2,FALSE)</f>
        <v>CABA</v>
      </c>
      <c r="W1047" t="str">
        <f>VLOOKUP($R1047,'Mapa Oficinas'!$A$7:$C$46,3,FALSE)</f>
        <v>Villa Urquiza</v>
      </c>
    </row>
    <row r="1048" spans="1:23" x14ac:dyDescent="0.2">
      <c r="A1048" s="1">
        <v>45807</v>
      </c>
      <c r="B1048" s="20">
        <f t="shared" si="32"/>
        <v>2025</v>
      </c>
      <c r="C1048" s="20">
        <f t="shared" si="33"/>
        <v>5</v>
      </c>
      <c r="D1048" t="s">
        <v>2239</v>
      </c>
      <c r="E1048" s="49">
        <v>1</v>
      </c>
      <c r="F1048" t="s">
        <v>2240</v>
      </c>
      <c r="G1048" t="s">
        <v>21</v>
      </c>
      <c r="H1048" t="s">
        <v>37</v>
      </c>
      <c r="I1048" s="13">
        <v>95000</v>
      </c>
      <c r="J1048" s="13">
        <v>90000</v>
      </c>
      <c r="K1048" s="13">
        <f>IF(J1048&lt;'Mapa Oficinas'!$I$21,0,IF(J1048&gt;'Mapa Oficinas'!$I$20,0,1))</f>
        <v>1</v>
      </c>
      <c r="L1048" t="s">
        <v>23</v>
      </c>
      <c r="M1048" t="s">
        <v>23</v>
      </c>
      <c r="N1048" t="s">
        <v>2241</v>
      </c>
      <c r="O1048" t="s">
        <v>190</v>
      </c>
      <c r="P1048" t="s">
        <v>45</v>
      </c>
      <c r="Q1048">
        <v>2</v>
      </c>
      <c r="R1048" t="s">
        <v>67</v>
      </c>
      <c r="S1048" t="s">
        <v>28</v>
      </c>
      <c r="T1048" t="str">
        <f>VLOOKUP(S1048,'Mapa Oficinas'!$H$7:$I$16,2,FALSE)</f>
        <v>CB</v>
      </c>
      <c r="U1048" t="s">
        <v>29</v>
      </c>
      <c r="V1048" t="str">
        <f>VLOOKUP($R1048,'Mapa Oficinas'!$A$7:$C$46,2,FALSE)</f>
        <v>CABA</v>
      </c>
      <c r="W1048" t="str">
        <f>VLOOKUP($R1048,'Mapa Oficinas'!$A$7:$C$46,3,FALSE)</f>
        <v>Barrio Parque</v>
      </c>
    </row>
    <row r="1049" spans="1:23" x14ac:dyDescent="0.2">
      <c r="A1049" s="1">
        <v>45814</v>
      </c>
      <c r="B1049" s="20">
        <f t="shared" si="32"/>
        <v>2025</v>
      </c>
      <c r="C1049" s="20">
        <f t="shared" si="33"/>
        <v>6</v>
      </c>
      <c r="D1049" t="s">
        <v>2362</v>
      </c>
      <c r="E1049" s="49">
        <v>1</v>
      </c>
      <c r="F1049" t="s">
        <v>2363</v>
      </c>
      <c r="G1049" t="s">
        <v>21</v>
      </c>
      <c r="H1049" t="s">
        <v>37</v>
      </c>
      <c r="I1049" s="13">
        <v>89900</v>
      </c>
      <c r="J1049" s="13">
        <v>90000</v>
      </c>
      <c r="K1049" s="13">
        <f>IF(J1049&lt;'Mapa Oficinas'!$I$21,0,IF(J1049&gt;'Mapa Oficinas'!$I$20,0,1))</f>
        <v>1</v>
      </c>
      <c r="L1049" t="s">
        <v>23</v>
      </c>
      <c r="M1049" t="s">
        <v>23</v>
      </c>
      <c r="N1049" t="s">
        <v>2364</v>
      </c>
      <c r="O1049" t="s">
        <v>1045</v>
      </c>
      <c r="P1049" t="s">
        <v>45</v>
      </c>
      <c r="Q1049">
        <v>2</v>
      </c>
      <c r="R1049" t="s">
        <v>62</v>
      </c>
      <c r="S1049" t="s">
        <v>28</v>
      </c>
      <c r="T1049" t="str">
        <f>VLOOKUP(S1049,'Mapa Oficinas'!$H$7:$I$16,2,FALSE)</f>
        <v>CB</v>
      </c>
      <c r="U1049" t="s">
        <v>29</v>
      </c>
      <c r="V1049" t="str">
        <f>VLOOKUP($R1049,'Mapa Oficinas'!$A$7:$C$46,2,FALSE)</f>
        <v>CABA</v>
      </c>
      <c r="W1049" t="str">
        <f>VLOOKUP($R1049,'Mapa Oficinas'!$A$7:$C$46,3,FALSE)</f>
        <v>Villa Urquiza</v>
      </c>
    </row>
    <row r="1050" spans="1:23" x14ac:dyDescent="0.2">
      <c r="A1050" s="1">
        <v>45838</v>
      </c>
      <c r="B1050" s="20">
        <f t="shared" si="32"/>
        <v>2025</v>
      </c>
      <c r="C1050" s="20">
        <f t="shared" si="33"/>
        <v>6</v>
      </c>
      <c r="D1050" t="s">
        <v>2763</v>
      </c>
      <c r="E1050" s="49">
        <v>1</v>
      </c>
      <c r="F1050" t="s">
        <v>2764</v>
      </c>
      <c r="G1050" t="s">
        <v>21</v>
      </c>
      <c r="H1050" t="s">
        <v>37</v>
      </c>
      <c r="I1050" s="13">
        <v>134000</v>
      </c>
      <c r="J1050" s="13">
        <v>90000</v>
      </c>
      <c r="K1050" s="13">
        <f>IF(J1050&lt;'Mapa Oficinas'!$I$21,0,IF(J1050&gt;'Mapa Oficinas'!$I$20,0,1))</f>
        <v>1</v>
      </c>
      <c r="L1050" t="s">
        <v>23</v>
      </c>
      <c r="M1050" t="s">
        <v>23</v>
      </c>
      <c r="N1050" t="s">
        <v>2765</v>
      </c>
      <c r="O1050" t="s">
        <v>2766</v>
      </c>
      <c r="P1050" t="s">
        <v>34</v>
      </c>
      <c r="Q1050">
        <v>2</v>
      </c>
      <c r="R1050" t="s">
        <v>823</v>
      </c>
      <c r="S1050" t="s">
        <v>28</v>
      </c>
      <c r="T1050" t="str">
        <f>VLOOKUP(S1050,'Mapa Oficinas'!$H$7:$I$16,2,FALSE)</f>
        <v>CB</v>
      </c>
      <c r="U1050" t="s">
        <v>29</v>
      </c>
      <c r="V1050" t="str">
        <f>VLOOKUP($R1050,'Mapa Oficinas'!$A$7:$C$46,2,FALSE)</f>
        <v>Zona Norte (GBA)</v>
      </c>
      <c r="W1050" t="str">
        <f>VLOOKUP($R1050,'Mapa Oficinas'!$A$7:$C$46,3,FALSE)</f>
        <v>Pilar</v>
      </c>
    </row>
    <row r="1051" spans="1:23" x14ac:dyDescent="0.2">
      <c r="A1051" s="1">
        <v>45856</v>
      </c>
      <c r="B1051" s="20">
        <f t="shared" si="32"/>
        <v>2025</v>
      </c>
      <c r="C1051" s="20">
        <f t="shared" si="33"/>
        <v>7</v>
      </c>
      <c r="D1051" t="s">
        <v>3113</v>
      </c>
      <c r="E1051" s="49">
        <v>1</v>
      </c>
      <c r="F1051" t="s">
        <v>3114</v>
      </c>
      <c r="G1051" t="s">
        <v>21</v>
      </c>
      <c r="H1051" t="s">
        <v>37</v>
      </c>
      <c r="I1051" s="13">
        <v>95000</v>
      </c>
      <c r="J1051" s="13">
        <v>90000</v>
      </c>
      <c r="K1051" s="13">
        <f>IF(J1051&lt;'Mapa Oficinas'!$I$21,0,IF(J1051&gt;'Mapa Oficinas'!$I$20,0,1))</f>
        <v>1</v>
      </c>
      <c r="L1051" t="s">
        <v>23</v>
      </c>
      <c r="M1051" t="s">
        <v>23</v>
      </c>
      <c r="N1051" t="s">
        <v>3115</v>
      </c>
      <c r="O1051" t="s">
        <v>50</v>
      </c>
      <c r="P1051" t="s">
        <v>45</v>
      </c>
      <c r="Q1051">
        <v>2</v>
      </c>
      <c r="R1051" t="s">
        <v>67</v>
      </c>
      <c r="S1051" t="s">
        <v>28</v>
      </c>
      <c r="T1051" t="str">
        <f>VLOOKUP(S1051,'Mapa Oficinas'!$H$7:$I$16,2,FALSE)</f>
        <v>CB</v>
      </c>
      <c r="U1051" t="s">
        <v>29</v>
      </c>
      <c r="V1051" t="str">
        <f>VLOOKUP($R1051,'Mapa Oficinas'!$A$7:$C$46,2,FALSE)</f>
        <v>CABA</v>
      </c>
      <c r="W1051" t="str">
        <f>VLOOKUP($R1051,'Mapa Oficinas'!$A$7:$C$46,3,FALSE)</f>
        <v>Barrio Parque</v>
      </c>
    </row>
    <row r="1052" spans="1:23" x14ac:dyDescent="0.2">
      <c r="A1052" s="1">
        <v>45916</v>
      </c>
      <c r="B1052" s="20">
        <f t="shared" si="32"/>
        <v>2025</v>
      </c>
      <c r="C1052" s="20">
        <f t="shared" si="33"/>
        <v>9</v>
      </c>
      <c r="D1052" t="s">
        <v>4184</v>
      </c>
      <c r="E1052" s="49">
        <v>1</v>
      </c>
      <c r="F1052" t="s">
        <v>4185</v>
      </c>
      <c r="G1052" t="s">
        <v>21</v>
      </c>
      <c r="H1052" t="s">
        <v>221</v>
      </c>
      <c r="I1052" s="13">
        <v>100000</v>
      </c>
      <c r="J1052" s="13">
        <v>90000</v>
      </c>
      <c r="K1052" s="13">
        <f>IF(J1052&lt;'Mapa Oficinas'!$I$21,0,IF(J1052&gt;'Mapa Oficinas'!$I$20,0,1))</f>
        <v>1</v>
      </c>
      <c r="L1052" t="s">
        <v>23</v>
      </c>
      <c r="M1052" t="s">
        <v>23</v>
      </c>
      <c r="N1052" t="s">
        <v>4186</v>
      </c>
      <c r="O1052" t="s">
        <v>4187</v>
      </c>
      <c r="P1052" t="s">
        <v>34</v>
      </c>
      <c r="Q1052">
        <v>2</v>
      </c>
      <c r="R1052" t="s">
        <v>73</v>
      </c>
      <c r="S1052" t="s">
        <v>28</v>
      </c>
      <c r="T1052" t="str">
        <f>VLOOKUP(S1052,'Mapa Oficinas'!$H$7:$I$16,2,FALSE)</f>
        <v>CB</v>
      </c>
      <c r="U1052" t="s">
        <v>29</v>
      </c>
      <c r="V1052" t="str">
        <f>VLOOKUP($R1052,'Mapa Oficinas'!$A$7:$C$46,2,FALSE)</f>
        <v>Interior - Salta</v>
      </c>
      <c r="W1052" t="str">
        <f>VLOOKUP($R1052,'Mapa Oficinas'!$A$7:$C$46,3,FALSE)</f>
        <v>San Lorenzo Chico</v>
      </c>
    </row>
    <row r="1053" spans="1:23" x14ac:dyDescent="0.2">
      <c r="A1053" s="1">
        <v>45917</v>
      </c>
      <c r="B1053" s="20">
        <f t="shared" si="32"/>
        <v>2025</v>
      </c>
      <c r="C1053" s="20">
        <f t="shared" si="33"/>
        <v>9</v>
      </c>
      <c r="D1053" t="s">
        <v>4196</v>
      </c>
      <c r="E1053" s="49">
        <v>1</v>
      </c>
      <c r="F1053" t="s">
        <v>4197</v>
      </c>
      <c r="G1053" t="s">
        <v>21</v>
      </c>
      <c r="H1053" t="s">
        <v>37</v>
      </c>
      <c r="I1053" s="13">
        <v>92500</v>
      </c>
      <c r="J1053" s="13">
        <v>90000</v>
      </c>
      <c r="K1053" s="13">
        <f>IF(J1053&lt;'Mapa Oficinas'!$I$21,0,IF(J1053&gt;'Mapa Oficinas'!$I$20,0,1))</f>
        <v>1</v>
      </c>
      <c r="L1053" t="s">
        <v>23</v>
      </c>
      <c r="M1053" t="s">
        <v>23</v>
      </c>
      <c r="N1053" t="s">
        <v>4198</v>
      </c>
      <c r="O1053" t="s">
        <v>2466</v>
      </c>
      <c r="P1053" t="s">
        <v>45</v>
      </c>
      <c r="Q1053">
        <v>2</v>
      </c>
      <c r="R1053" t="s">
        <v>67</v>
      </c>
      <c r="S1053" t="s">
        <v>28</v>
      </c>
      <c r="T1053" t="str">
        <f>VLOOKUP(S1053,'Mapa Oficinas'!$H$7:$I$16,2,FALSE)</f>
        <v>CB</v>
      </c>
      <c r="U1053" t="s">
        <v>29</v>
      </c>
      <c r="V1053" t="str">
        <f>VLOOKUP($R1053,'Mapa Oficinas'!$A$7:$C$46,2,FALSE)</f>
        <v>CABA</v>
      </c>
      <c r="W1053" t="str">
        <f>VLOOKUP($R1053,'Mapa Oficinas'!$A$7:$C$46,3,FALSE)</f>
        <v>Barrio Parque</v>
      </c>
    </row>
    <row r="1054" spans="1:23" x14ac:dyDescent="0.2">
      <c r="A1054" s="1">
        <v>45952</v>
      </c>
      <c r="B1054" s="20">
        <f t="shared" si="32"/>
        <v>2025</v>
      </c>
      <c r="C1054" s="20">
        <f t="shared" si="33"/>
        <v>10</v>
      </c>
      <c r="D1054" t="s">
        <v>4838</v>
      </c>
      <c r="E1054" s="49">
        <v>1</v>
      </c>
      <c r="F1054" t="s">
        <v>4839</v>
      </c>
      <c r="G1054" t="s">
        <v>21</v>
      </c>
      <c r="H1054" t="s">
        <v>37</v>
      </c>
      <c r="I1054" s="13">
        <v>90000</v>
      </c>
      <c r="J1054" s="13">
        <v>90000</v>
      </c>
      <c r="K1054" s="13">
        <f>IF(J1054&lt;'Mapa Oficinas'!$I$21,0,IF(J1054&gt;'Mapa Oficinas'!$I$20,0,1))</f>
        <v>1</v>
      </c>
      <c r="L1054" t="s">
        <v>23</v>
      </c>
      <c r="M1054" t="s">
        <v>23</v>
      </c>
      <c r="N1054" t="s">
        <v>4840</v>
      </c>
      <c r="O1054" t="s">
        <v>4841</v>
      </c>
      <c r="P1054" t="s">
        <v>45</v>
      </c>
      <c r="Q1054">
        <v>2</v>
      </c>
      <c r="R1054" t="s">
        <v>151</v>
      </c>
      <c r="S1054" t="s">
        <v>28</v>
      </c>
      <c r="T1054" t="str">
        <f>VLOOKUP(S1054,'Mapa Oficinas'!$H$7:$I$16,2,FALSE)</f>
        <v>CB</v>
      </c>
      <c r="U1054" t="s">
        <v>29</v>
      </c>
      <c r="V1054" t="str">
        <f>VLOOKUP($R1054,'Mapa Oficinas'!$A$7:$C$46,2,FALSE)</f>
        <v>Interior - Mendoza</v>
      </c>
      <c r="W1054" t="str">
        <f>VLOOKUP($R1054,'Mapa Oficinas'!$A$7:$C$46,3,FALSE)</f>
        <v>Capital Mendoza</v>
      </c>
    </row>
    <row r="1055" spans="1:23" x14ac:dyDescent="0.2">
      <c r="A1055" s="1">
        <v>45959</v>
      </c>
      <c r="B1055" s="20">
        <f t="shared" si="32"/>
        <v>2025</v>
      </c>
      <c r="C1055" s="20">
        <f t="shared" si="33"/>
        <v>10</v>
      </c>
      <c r="D1055" t="s">
        <v>4979</v>
      </c>
      <c r="E1055" s="49">
        <v>1</v>
      </c>
      <c r="F1055" t="s">
        <v>4980</v>
      </c>
      <c r="G1055" t="s">
        <v>21</v>
      </c>
      <c r="H1055" t="s">
        <v>37</v>
      </c>
      <c r="I1055" s="13">
        <v>92000</v>
      </c>
      <c r="J1055" s="13">
        <v>90000</v>
      </c>
      <c r="K1055" s="13">
        <f>IF(J1055&lt;'Mapa Oficinas'!$I$21,0,IF(J1055&gt;'Mapa Oficinas'!$I$20,0,1))</f>
        <v>1</v>
      </c>
      <c r="L1055" t="s">
        <v>23</v>
      </c>
      <c r="M1055" t="s">
        <v>23</v>
      </c>
      <c r="O1055" t="s">
        <v>303</v>
      </c>
      <c r="P1055" t="s">
        <v>26</v>
      </c>
      <c r="Q1055">
        <v>2</v>
      </c>
      <c r="R1055" t="s">
        <v>183</v>
      </c>
      <c r="S1055" t="s">
        <v>28</v>
      </c>
      <c r="T1055" t="str">
        <f>VLOOKUP(S1055,'Mapa Oficinas'!$H$7:$I$16,2,FALSE)</f>
        <v>CB</v>
      </c>
      <c r="U1055" t="s">
        <v>29</v>
      </c>
      <c r="V1055" t="str">
        <f>VLOOKUP($R1055,'Mapa Oficinas'!$A$7:$C$46,2,FALSE)</f>
        <v>Interior - Neuquén</v>
      </c>
      <c r="W1055" t="str">
        <f>VLOOKUP($R1055,'Mapa Oficinas'!$A$7:$C$46,3,FALSE)</f>
        <v>Capital Neuquén</v>
      </c>
    </row>
    <row r="1056" spans="1:23" x14ac:dyDescent="0.2">
      <c r="A1056" s="1">
        <v>45973</v>
      </c>
      <c r="B1056" s="20">
        <f t="shared" si="32"/>
        <v>2025</v>
      </c>
      <c r="C1056" s="20">
        <f t="shared" si="33"/>
        <v>11</v>
      </c>
      <c r="D1056" t="s">
        <v>5164</v>
      </c>
      <c r="E1056" s="49">
        <v>1</v>
      </c>
      <c r="F1056" t="s">
        <v>5165</v>
      </c>
      <c r="G1056" t="s">
        <v>21</v>
      </c>
      <c r="H1056" t="s">
        <v>90</v>
      </c>
      <c r="I1056" s="13">
        <v>109900</v>
      </c>
      <c r="J1056" s="13">
        <v>90000</v>
      </c>
      <c r="K1056" s="13">
        <f>IF(J1056&lt;'Mapa Oficinas'!$I$21,0,IF(J1056&gt;'Mapa Oficinas'!$I$20,0,1))</f>
        <v>1</v>
      </c>
      <c r="L1056" t="s">
        <v>23</v>
      </c>
      <c r="M1056" t="s">
        <v>23</v>
      </c>
      <c r="N1056" t="s">
        <v>5166</v>
      </c>
      <c r="O1056" t="s">
        <v>1002</v>
      </c>
      <c r="P1056" t="s">
        <v>34</v>
      </c>
      <c r="Q1056">
        <v>2</v>
      </c>
      <c r="R1056" t="s">
        <v>62</v>
      </c>
      <c r="S1056" t="s">
        <v>28</v>
      </c>
      <c r="T1056" t="str">
        <f>VLOOKUP(S1056,'Mapa Oficinas'!$H$7:$I$16,2,FALSE)</f>
        <v>CB</v>
      </c>
      <c r="U1056" t="s">
        <v>29</v>
      </c>
      <c r="V1056" t="str">
        <f>VLOOKUP($R1056,'Mapa Oficinas'!$A$7:$C$46,2,FALSE)</f>
        <v>CABA</v>
      </c>
      <c r="W1056" t="str">
        <f>VLOOKUP($R1056,'Mapa Oficinas'!$A$7:$C$46,3,FALSE)</f>
        <v>Villa Urquiza</v>
      </c>
    </row>
    <row r="1057" spans="1:23" x14ac:dyDescent="0.2">
      <c r="A1057" s="1">
        <v>45992</v>
      </c>
      <c r="B1057" s="20">
        <f t="shared" si="32"/>
        <v>2025</v>
      </c>
      <c r="C1057" s="20">
        <f t="shared" si="33"/>
        <v>12</v>
      </c>
      <c r="D1057" t="s">
        <v>5543</v>
      </c>
      <c r="E1057" s="49">
        <v>1</v>
      </c>
      <c r="F1057" t="s">
        <v>5544</v>
      </c>
      <c r="G1057" t="s">
        <v>21</v>
      </c>
      <c r="H1057" t="s">
        <v>37</v>
      </c>
      <c r="I1057" s="13">
        <v>99000</v>
      </c>
      <c r="J1057" s="13">
        <v>90000</v>
      </c>
      <c r="K1057" s="13">
        <f>IF(J1057&lt;'Mapa Oficinas'!$I$21,0,IF(J1057&gt;'Mapa Oficinas'!$I$20,0,1))</f>
        <v>1</v>
      </c>
      <c r="L1057" t="s">
        <v>23</v>
      </c>
      <c r="M1057" t="s">
        <v>23</v>
      </c>
      <c r="N1057" t="s">
        <v>5545</v>
      </c>
      <c r="O1057" t="s">
        <v>4841</v>
      </c>
      <c r="P1057" t="s">
        <v>34</v>
      </c>
      <c r="Q1057">
        <v>2</v>
      </c>
      <c r="R1057" t="s">
        <v>151</v>
      </c>
      <c r="S1057" t="s">
        <v>28</v>
      </c>
      <c r="T1057" t="str">
        <f>VLOOKUP(S1057,'Mapa Oficinas'!$H$7:$I$16,2,FALSE)</f>
        <v>CB</v>
      </c>
      <c r="U1057" t="s">
        <v>29</v>
      </c>
      <c r="V1057" t="str">
        <f>VLOOKUP($R1057,'Mapa Oficinas'!$A$7:$C$46,2,FALSE)</f>
        <v>Interior - Mendoza</v>
      </c>
      <c r="W1057" t="str">
        <f>VLOOKUP($R1057,'Mapa Oficinas'!$A$7:$C$46,3,FALSE)</f>
        <v>Capital Mendoza</v>
      </c>
    </row>
    <row r="1058" spans="1:23" x14ac:dyDescent="0.2">
      <c r="A1058" s="1">
        <v>46000</v>
      </c>
      <c r="B1058" s="20">
        <f t="shared" si="32"/>
        <v>2025</v>
      </c>
      <c r="C1058" s="20">
        <f t="shared" si="33"/>
        <v>12</v>
      </c>
      <c r="D1058" t="s">
        <v>5671</v>
      </c>
      <c r="E1058" s="49">
        <v>1</v>
      </c>
      <c r="F1058" t="s">
        <v>5672</v>
      </c>
      <c r="G1058" t="s">
        <v>21</v>
      </c>
      <c r="H1058" t="s">
        <v>37</v>
      </c>
      <c r="I1058" s="13">
        <v>98000</v>
      </c>
      <c r="J1058" s="13">
        <v>90000</v>
      </c>
      <c r="K1058" s="13">
        <f>IF(J1058&lt;'Mapa Oficinas'!$I$21,0,IF(J1058&gt;'Mapa Oficinas'!$I$20,0,1))</f>
        <v>1</v>
      </c>
      <c r="L1058" t="s">
        <v>23</v>
      </c>
      <c r="M1058" t="s">
        <v>23</v>
      </c>
      <c r="N1058" t="s">
        <v>5673</v>
      </c>
      <c r="O1058" t="s">
        <v>965</v>
      </c>
      <c r="P1058" t="s">
        <v>45</v>
      </c>
      <c r="Q1058">
        <v>2</v>
      </c>
      <c r="R1058" t="s">
        <v>1024</v>
      </c>
      <c r="S1058" t="s">
        <v>28</v>
      </c>
      <c r="T1058" t="str">
        <f>VLOOKUP(S1058,'Mapa Oficinas'!$H$7:$I$16,2,FALSE)</f>
        <v>CB</v>
      </c>
      <c r="U1058" t="s">
        <v>29</v>
      </c>
      <c r="V1058" t="str">
        <f>VLOOKUP($R1058,'Mapa Oficinas'!$A$7:$C$46,2,FALSE)</f>
        <v>CABA</v>
      </c>
      <c r="W1058" t="str">
        <f>VLOOKUP($R1058,'Mapa Oficinas'!$A$7:$C$46,3,FALSE)</f>
        <v>Puerto Madero</v>
      </c>
    </row>
    <row r="1059" spans="1:23" x14ac:dyDescent="0.2">
      <c r="A1059" s="1">
        <v>46041</v>
      </c>
      <c r="B1059" s="20">
        <f t="shared" si="32"/>
        <v>2026</v>
      </c>
      <c r="C1059" s="20">
        <f t="shared" si="33"/>
        <v>1</v>
      </c>
      <c r="D1059" t="s">
        <v>6309</v>
      </c>
      <c r="E1059" s="49">
        <v>1</v>
      </c>
      <c r="F1059" t="s">
        <v>6310</v>
      </c>
      <c r="G1059" t="s">
        <v>21</v>
      </c>
      <c r="H1059" t="s">
        <v>37</v>
      </c>
      <c r="I1059" s="13">
        <v>99000</v>
      </c>
      <c r="J1059" s="13">
        <v>90000</v>
      </c>
      <c r="K1059" s="13">
        <f>IF(J1059&lt;'Mapa Oficinas'!$I$21,0,IF(J1059&gt;'Mapa Oficinas'!$I$20,0,1))</f>
        <v>1</v>
      </c>
      <c r="L1059" t="s">
        <v>23</v>
      </c>
      <c r="M1059" t="s">
        <v>23</v>
      </c>
      <c r="N1059" t="s">
        <v>6311</v>
      </c>
      <c r="O1059" t="s">
        <v>3449</v>
      </c>
      <c r="P1059" t="s">
        <v>26</v>
      </c>
      <c r="Q1059">
        <v>2</v>
      </c>
      <c r="R1059" t="s">
        <v>46</v>
      </c>
      <c r="S1059" t="s">
        <v>28</v>
      </c>
      <c r="T1059" t="str">
        <f>VLOOKUP(S1059,'Mapa Oficinas'!$H$7:$I$16,2,FALSE)</f>
        <v>CB</v>
      </c>
      <c r="U1059" t="s">
        <v>29</v>
      </c>
      <c r="V1059" t="str">
        <f>VLOOKUP($R1059,'Mapa Oficinas'!$A$7:$C$46,2,FALSE)</f>
        <v>CABA</v>
      </c>
      <c r="W1059" t="str">
        <f>VLOOKUP($R1059,'Mapa Oficinas'!$A$7:$C$46,3,FALSE)</f>
        <v>Palermo</v>
      </c>
    </row>
    <row r="1060" spans="1:23" x14ac:dyDescent="0.2">
      <c r="A1060" s="1">
        <v>46092</v>
      </c>
      <c r="B1060" s="20">
        <f t="shared" si="32"/>
        <v>2026</v>
      </c>
      <c r="C1060" s="20">
        <f t="shared" si="33"/>
        <v>3</v>
      </c>
      <c r="D1060" t="s">
        <v>7099</v>
      </c>
      <c r="E1060" s="49">
        <v>1</v>
      </c>
      <c r="F1060" t="s">
        <v>7100</v>
      </c>
      <c r="G1060" t="s">
        <v>21</v>
      </c>
      <c r="H1060" t="s">
        <v>22</v>
      </c>
      <c r="I1060" s="13">
        <v>90000</v>
      </c>
      <c r="J1060" s="13">
        <v>90000</v>
      </c>
      <c r="K1060" s="13">
        <f>IF(J1060&lt;'Mapa Oficinas'!$I$21,0,IF(J1060&gt;'Mapa Oficinas'!$I$20,0,1))</f>
        <v>1</v>
      </c>
      <c r="L1060" t="s">
        <v>23</v>
      </c>
      <c r="M1060" t="s">
        <v>23</v>
      </c>
      <c r="N1060" t="s">
        <v>7101</v>
      </c>
      <c r="O1060" t="s">
        <v>519</v>
      </c>
      <c r="P1060" t="s">
        <v>45</v>
      </c>
      <c r="Q1060">
        <v>2</v>
      </c>
      <c r="R1060" t="s">
        <v>5456</v>
      </c>
      <c r="S1060" t="s">
        <v>28</v>
      </c>
      <c r="T1060" t="str">
        <f>VLOOKUP(S1060,'Mapa Oficinas'!$H$7:$I$16,2,FALSE)</f>
        <v>CB</v>
      </c>
      <c r="U1060" t="s">
        <v>29</v>
      </c>
      <c r="V1060" t="str">
        <f>VLOOKUP($R1060,'Mapa Oficinas'!$A$7:$C$46,2,FALSE)</f>
        <v>CABA</v>
      </c>
      <c r="W1060" t="str">
        <f>VLOOKUP($R1060,'Mapa Oficinas'!$A$7:$C$46,3,FALSE)</f>
        <v>Núñez</v>
      </c>
    </row>
    <row r="1061" spans="1:23" x14ac:dyDescent="0.2">
      <c r="A1061" s="1">
        <v>46101</v>
      </c>
      <c r="B1061" s="20">
        <f t="shared" si="32"/>
        <v>2026</v>
      </c>
      <c r="C1061" s="20">
        <f t="shared" si="33"/>
        <v>3</v>
      </c>
      <c r="D1061" t="s">
        <v>7343</v>
      </c>
      <c r="E1061" s="49">
        <v>1</v>
      </c>
      <c r="F1061" t="s">
        <v>7344</v>
      </c>
      <c r="G1061" t="s">
        <v>21</v>
      </c>
      <c r="H1061" t="s">
        <v>22</v>
      </c>
      <c r="I1061" s="13">
        <v>94500</v>
      </c>
      <c r="J1061" s="13">
        <v>90000</v>
      </c>
      <c r="K1061" s="13">
        <f>IF(J1061&lt;'Mapa Oficinas'!$I$21,0,IF(J1061&gt;'Mapa Oficinas'!$I$20,0,1))</f>
        <v>1</v>
      </c>
      <c r="L1061" t="s">
        <v>23</v>
      </c>
      <c r="M1061" t="s">
        <v>23</v>
      </c>
      <c r="N1061" t="s">
        <v>7345</v>
      </c>
      <c r="O1061" t="s">
        <v>141</v>
      </c>
      <c r="P1061" t="s">
        <v>45</v>
      </c>
      <c r="Q1061">
        <v>2</v>
      </c>
      <c r="R1061" t="s">
        <v>62</v>
      </c>
      <c r="S1061" t="s">
        <v>28</v>
      </c>
      <c r="T1061" t="str">
        <f>VLOOKUP(S1061,'Mapa Oficinas'!$H$7:$I$16,2,FALSE)</f>
        <v>CB</v>
      </c>
      <c r="U1061" t="s">
        <v>29</v>
      </c>
      <c r="V1061" t="str">
        <f>VLOOKUP($R1061,'Mapa Oficinas'!$A$7:$C$46,2,FALSE)</f>
        <v>CABA</v>
      </c>
      <c r="W1061" t="str">
        <f>VLOOKUP($R1061,'Mapa Oficinas'!$A$7:$C$46,3,FALSE)</f>
        <v>Villa Urquiza</v>
      </c>
    </row>
    <row r="1062" spans="1:23" x14ac:dyDescent="0.2">
      <c r="A1062" s="1">
        <v>46106</v>
      </c>
      <c r="B1062" s="20">
        <f t="shared" si="32"/>
        <v>2026</v>
      </c>
      <c r="C1062" s="20">
        <f t="shared" si="33"/>
        <v>3</v>
      </c>
      <c r="D1062" t="s">
        <v>7407</v>
      </c>
      <c r="E1062" s="49">
        <v>1</v>
      </c>
      <c r="F1062" t="s">
        <v>7408</v>
      </c>
      <c r="G1062" t="s">
        <v>21</v>
      </c>
      <c r="H1062" t="s">
        <v>37</v>
      </c>
      <c r="I1062" s="13">
        <v>93000</v>
      </c>
      <c r="J1062" s="13">
        <v>90000</v>
      </c>
      <c r="K1062" s="13">
        <f>IF(J1062&lt;'Mapa Oficinas'!$I$21,0,IF(J1062&gt;'Mapa Oficinas'!$I$20,0,1))</f>
        <v>1</v>
      </c>
      <c r="L1062" t="s">
        <v>23</v>
      </c>
      <c r="M1062" t="s">
        <v>23</v>
      </c>
      <c r="N1062" t="s">
        <v>7409</v>
      </c>
      <c r="O1062" t="s">
        <v>390</v>
      </c>
      <c r="P1062" t="s">
        <v>45</v>
      </c>
      <c r="Q1062">
        <v>2</v>
      </c>
      <c r="R1062" t="s">
        <v>523</v>
      </c>
      <c r="S1062" t="s">
        <v>28</v>
      </c>
      <c r="T1062" t="str">
        <f>VLOOKUP(S1062,'Mapa Oficinas'!$H$7:$I$16,2,FALSE)</f>
        <v>CB</v>
      </c>
      <c r="U1062" t="s">
        <v>29</v>
      </c>
      <c r="V1062" t="str">
        <f>VLOOKUP($R1062,'Mapa Oficinas'!$A$7:$C$46,2,FALSE)</f>
        <v>CABA</v>
      </c>
      <c r="W1062" t="str">
        <f>VLOOKUP($R1062,'Mapa Oficinas'!$A$7:$C$46,3,FALSE)</f>
        <v>Belgrano</v>
      </c>
    </row>
    <row r="1063" spans="1:23" x14ac:dyDescent="0.2">
      <c r="A1063" s="1">
        <v>46111</v>
      </c>
      <c r="B1063" s="20">
        <f t="shared" si="32"/>
        <v>2026</v>
      </c>
      <c r="C1063" s="20">
        <f t="shared" si="33"/>
        <v>3</v>
      </c>
      <c r="D1063" t="s">
        <v>206</v>
      </c>
      <c r="E1063" s="49">
        <v>1</v>
      </c>
      <c r="F1063" t="s">
        <v>207</v>
      </c>
      <c r="G1063" t="s">
        <v>21</v>
      </c>
      <c r="H1063" t="s">
        <v>100</v>
      </c>
      <c r="I1063" s="13">
        <v>90000</v>
      </c>
      <c r="J1063" s="13">
        <v>90000</v>
      </c>
      <c r="K1063" s="13">
        <f>IF(J1063&lt;'Mapa Oficinas'!$I$21,0,IF(J1063&gt;'Mapa Oficinas'!$I$20,0,1))</f>
        <v>1</v>
      </c>
      <c r="L1063" t="s">
        <v>23</v>
      </c>
      <c r="M1063" t="s">
        <v>23</v>
      </c>
      <c r="N1063" t="s">
        <v>208</v>
      </c>
      <c r="O1063" t="s">
        <v>209</v>
      </c>
      <c r="P1063" t="s">
        <v>45</v>
      </c>
      <c r="Q1063">
        <v>2</v>
      </c>
      <c r="R1063" t="s">
        <v>121</v>
      </c>
      <c r="S1063" t="s">
        <v>28</v>
      </c>
      <c r="T1063" t="str">
        <f>VLOOKUP(S1063,'Mapa Oficinas'!$H$7:$I$16,2,FALSE)</f>
        <v>CB</v>
      </c>
      <c r="U1063" t="s">
        <v>29</v>
      </c>
      <c r="V1063" t="str">
        <f>VLOOKUP($R1063,'Mapa Oficinas'!$A$7:$C$46,2,FALSE)</f>
        <v>Interior - Río Negro</v>
      </c>
      <c r="W1063" t="str">
        <f>VLOOKUP($R1063,'Mapa Oficinas'!$A$7:$C$46,3,FALSE)</f>
        <v>Bariloche</v>
      </c>
    </row>
    <row r="1064" spans="1:23" x14ac:dyDescent="0.2">
      <c r="A1064" s="1">
        <v>45805</v>
      </c>
      <c r="B1064" s="20">
        <f t="shared" si="32"/>
        <v>2025</v>
      </c>
      <c r="C1064" s="20">
        <f t="shared" si="33"/>
        <v>5</v>
      </c>
      <c r="D1064" t="s">
        <v>2164</v>
      </c>
      <c r="E1064" s="49">
        <v>1</v>
      </c>
      <c r="F1064" t="s">
        <v>2165</v>
      </c>
      <c r="G1064" t="s">
        <v>21</v>
      </c>
      <c r="H1064" t="s">
        <v>37</v>
      </c>
      <c r="I1064" s="13">
        <v>99000</v>
      </c>
      <c r="J1064" s="13">
        <v>91000</v>
      </c>
      <c r="K1064" s="13">
        <f>IF(J1064&lt;'Mapa Oficinas'!$I$21,0,IF(J1064&gt;'Mapa Oficinas'!$I$20,0,1))</f>
        <v>1</v>
      </c>
      <c r="L1064" t="s">
        <v>23</v>
      </c>
      <c r="M1064" t="s">
        <v>23</v>
      </c>
      <c r="N1064" t="s">
        <v>2166</v>
      </c>
      <c r="O1064" t="s">
        <v>299</v>
      </c>
      <c r="P1064" t="s">
        <v>45</v>
      </c>
      <c r="Q1064">
        <v>2</v>
      </c>
      <c r="R1064" t="s">
        <v>135</v>
      </c>
      <c r="S1064" t="s">
        <v>200</v>
      </c>
      <c r="T1064" t="str">
        <f>VLOOKUP(S1064,'Mapa Oficinas'!$H$7:$I$16,2,FALSE)</f>
        <v>Otra Red Captación</v>
      </c>
      <c r="U1064" t="s">
        <v>29</v>
      </c>
      <c r="V1064" t="str">
        <f>VLOOKUP($R1064,'Mapa Oficinas'!$A$7:$C$46,2,FALSE)</f>
        <v>CABA</v>
      </c>
      <c r="W1064" t="str">
        <f>VLOOKUP($R1064,'Mapa Oficinas'!$A$7:$C$46,3,FALSE)</f>
        <v>Recoleta</v>
      </c>
    </row>
    <row r="1065" spans="1:23" x14ac:dyDescent="0.2">
      <c r="A1065" s="1">
        <v>45687</v>
      </c>
      <c r="B1065" s="20">
        <f t="shared" si="32"/>
        <v>2025</v>
      </c>
      <c r="C1065" s="20">
        <f t="shared" si="33"/>
        <v>1</v>
      </c>
      <c r="D1065" t="s">
        <v>445</v>
      </c>
      <c r="E1065" s="49">
        <v>1</v>
      </c>
      <c r="F1065" t="s">
        <v>446</v>
      </c>
      <c r="G1065" t="s">
        <v>21</v>
      </c>
      <c r="H1065" t="s">
        <v>37</v>
      </c>
      <c r="I1065" s="13">
        <v>99990</v>
      </c>
      <c r="J1065" s="13">
        <v>91000</v>
      </c>
      <c r="K1065" s="13">
        <f>IF(J1065&lt;'Mapa Oficinas'!$I$21,0,IF(J1065&gt;'Mapa Oficinas'!$I$20,0,1))</f>
        <v>1</v>
      </c>
      <c r="L1065" t="s">
        <v>23</v>
      </c>
      <c r="M1065" t="s">
        <v>23</v>
      </c>
      <c r="N1065" t="s">
        <v>447</v>
      </c>
      <c r="O1065" t="s">
        <v>448</v>
      </c>
      <c r="P1065" t="s">
        <v>45</v>
      </c>
      <c r="Q1065">
        <v>2</v>
      </c>
      <c r="R1065" t="s">
        <v>46</v>
      </c>
      <c r="S1065" t="s">
        <v>28</v>
      </c>
      <c r="T1065" t="str">
        <f>VLOOKUP(S1065,'Mapa Oficinas'!$H$7:$I$16,2,FALSE)</f>
        <v>CB</v>
      </c>
      <c r="U1065" t="s">
        <v>29</v>
      </c>
      <c r="V1065" t="str">
        <f>VLOOKUP($R1065,'Mapa Oficinas'!$A$7:$C$46,2,FALSE)</f>
        <v>CABA</v>
      </c>
      <c r="W1065" t="str">
        <f>VLOOKUP($R1065,'Mapa Oficinas'!$A$7:$C$46,3,FALSE)</f>
        <v>Palermo</v>
      </c>
    </row>
    <row r="1066" spans="1:23" x14ac:dyDescent="0.2">
      <c r="A1066" s="1">
        <v>45713</v>
      </c>
      <c r="B1066" s="20">
        <f t="shared" si="32"/>
        <v>2025</v>
      </c>
      <c r="C1066" s="20">
        <f t="shared" si="33"/>
        <v>2</v>
      </c>
      <c r="D1066" t="s">
        <v>749</v>
      </c>
      <c r="E1066" s="49">
        <v>1</v>
      </c>
      <c r="F1066" t="s">
        <v>750</v>
      </c>
      <c r="G1066" t="s">
        <v>21</v>
      </c>
      <c r="H1066" t="s">
        <v>37</v>
      </c>
      <c r="I1066" s="13">
        <v>108000</v>
      </c>
      <c r="J1066" s="13">
        <v>91000</v>
      </c>
      <c r="K1066" s="13">
        <f>IF(J1066&lt;'Mapa Oficinas'!$I$21,0,IF(J1066&gt;'Mapa Oficinas'!$I$20,0,1))</f>
        <v>1</v>
      </c>
      <c r="L1066" t="s">
        <v>23</v>
      </c>
      <c r="M1066" t="s">
        <v>23</v>
      </c>
      <c r="N1066" t="s">
        <v>751</v>
      </c>
      <c r="O1066" t="s">
        <v>738</v>
      </c>
      <c r="P1066" t="s">
        <v>45</v>
      </c>
      <c r="Q1066">
        <v>2</v>
      </c>
      <c r="R1066" t="s">
        <v>670</v>
      </c>
      <c r="S1066" t="s">
        <v>28</v>
      </c>
      <c r="T1066" t="str">
        <f>VLOOKUP(S1066,'Mapa Oficinas'!$H$7:$I$16,2,FALSE)</f>
        <v>CB</v>
      </c>
      <c r="U1066" t="s">
        <v>29</v>
      </c>
      <c r="V1066" t="str">
        <f>VLOOKUP($R1066,'Mapa Oficinas'!$A$7:$C$46,2,FALSE)</f>
        <v>CABA</v>
      </c>
      <c r="W1066" t="str">
        <f>VLOOKUP($R1066,'Mapa Oficinas'!$A$7:$C$46,3,FALSE)</f>
        <v>Recoleta</v>
      </c>
    </row>
    <row r="1067" spans="1:23" x14ac:dyDescent="0.2">
      <c r="A1067" s="1">
        <v>45812</v>
      </c>
      <c r="B1067" s="20">
        <f t="shared" si="32"/>
        <v>2025</v>
      </c>
      <c r="C1067" s="20">
        <f t="shared" si="33"/>
        <v>6</v>
      </c>
      <c r="D1067" t="s">
        <v>2301</v>
      </c>
      <c r="E1067" s="49">
        <v>1</v>
      </c>
      <c r="F1067" t="s">
        <v>2302</v>
      </c>
      <c r="G1067" t="s">
        <v>21</v>
      </c>
      <c r="H1067" t="s">
        <v>81</v>
      </c>
      <c r="I1067" s="13">
        <v>105000</v>
      </c>
      <c r="J1067" s="13">
        <v>91000</v>
      </c>
      <c r="K1067" s="13">
        <f>IF(J1067&lt;'Mapa Oficinas'!$I$21,0,IF(J1067&gt;'Mapa Oficinas'!$I$20,0,1))</f>
        <v>1</v>
      </c>
      <c r="L1067" t="s">
        <v>23</v>
      </c>
      <c r="M1067" t="s">
        <v>23</v>
      </c>
      <c r="N1067" t="s">
        <v>2303</v>
      </c>
      <c r="O1067" t="s">
        <v>2304</v>
      </c>
      <c r="P1067" t="s">
        <v>34</v>
      </c>
      <c r="Q1067">
        <v>2</v>
      </c>
      <c r="R1067" t="s">
        <v>482</v>
      </c>
      <c r="S1067" t="s">
        <v>28</v>
      </c>
      <c r="T1067" t="str">
        <f>VLOOKUP(S1067,'Mapa Oficinas'!$H$7:$I$16,2,FALSE)</f>
        <v>CB</v>
      </c>
      <c r="U1067" t="s">
        <v>29</v>
      </c>
      <c r="V1067" t="str">
        <f>VLOOKUP($R1067,'Mapa Oficinas'!$A$7:$C$46,2,FALSE)</f>
        <v>Interior - Jujuy</v>
      </c>
      <c r="W1067" t="str">
        <f>VLOOKUP($R1067,'Mapa Oficinas'!$A$7:$C$46,3,FALSE)</f>
        <v>Capital Jujuy</v>
      </c>
    </row>
    <row r="1068" spans="1:23" x14ac:dyDescent="0.2">
      <c r="A1068" s="1">
        <v>45708</v>
      </c>
      <c r="B1068" s="20">
        <f t="shared" si="32"/>
        <v>2025</v>
      </c>
      <c r="C1068" s="20">
        <f t="shared" si="33"/>
        <v>2</v>
      </c>
      <c r="D1068" t="s">
        <v>697</v>
      </c>
      <c r="E1068" s="49">
        <v>1</v>
      </c>
      <c r="F1068" t="s">
        <v>698</v>
      </c>
      <c r="G1068" t="s">
        <v>21</v>
      </c>
      <c r="H1068" t="s">
        <v>100</v>
      </c>
      <c r="I1068" s="13">
        <v>105000</v>
      </c>
      <c r="J1068" s="13">
        <v>91500</v>
      </c>
      <c r="K1068" s="13">
        <f>IF(J1068&lt;'Mapa Oficinas'!$I$21,0,IF(J1068&gt;'Mapa Oficinas'!$I$20,0,1))</f>
        <v>1</v>
      </c>
      <c r="L1068" t="s">
        <v>23</v>
      </c>
      <c r="M1068" t="s">
        <v>23</v>
      </c>
      <c r="N1068" t="s">
        <v>285</v>
      </c>
      <c r="O1068" t="s">
        <v>209</v>
      </c>
      <c r="P1068" t="s">
        <v>45</v>
      </c>
      <c r="Q1068">
        <v>2</v>
      </c>
      <c r="R1068" t="s">
        <v>121</v>
      </c>
      <c r="S1068" t="s">
        <v>79</v>
      </c>
      <c r="T1068" t="str">
        <f>VLOOKUP(S1068,'Mapa Oficinas'!$H$7:$I$16,2,FALSE)</f>
        <v>CB</v>
      </c>
      <c r="U1068" t="s">
        <v>29</v>
      </c>
      <c r="V1068" t="str">
        <f>VLOOKUP($R1068,'Mapa Oficinas'!$A$7:$C$46,2,FALSE)</f>
        <v>Interior - Río Negro</v>
      </c>
      <c r="W1068" t="str">
        <f>VLOOKUP($R1068,'Mapa Oficinas'!$A$7:$C$46,3,FALSE)</f>
        <v>Bariloche</v>
      </c>
    </row>
    <row r="1069" spans="1:23" x14ac:dyDescent="0.2">
      <c r="A1069" s="1">
        <v>45838</v>
      </c>
      <c r="B1069" s="20">
        <f t="shared" si="32"/>
        <v>2025</v>
      </c>
      <c r="C1069" s="20">
        <f t="shared" si="33"/>
        <v>6</v>
      </c>
      <c r="D1069" t="s">
        <v>2770</v>
      </c>
      <c r="E1069" s="49">
        <v>3</v>
      </c>
      <c r="F1069" t="s">
        <v>2771</v>
      </c>
      <c r="G1069" t="s">
        <v>21</v>
      </c>
      <c r="H1069" t="s">
        <v>76</v>
      </c>
      <c r="I1069" s="13">
        <v>91500</v>
      </c>
      <c r="J1069" s="13">
        <v>91500</v>
      </c>
      <c r="K1069" s="13">
        <f>IF(J1069&lt;'Mapa Oficinas'!$I$21,0,IF(J1069&gt;'Mapa Oficinas'!$I$20,0,1))</f>
        <v>1</v>
      </c>
      <c r="L1069" t="s">
        <v>23</v>
      </c>
      <c r="M1069" t="s">
        <v>23</v>
      </c>
      <c r="O1069" t="s">
        <v>440</v>
      </c>
      <c r="P1069" t="s">
        <v>45</v>
      </c>
      <c r="Q1069">
        <v>2</v>
      </c>
      <c r="R1069" t="s">
        <v>121</v>
      </c>
      <c r="S1069" t="s">
        <v>241</v>
      </c>
      <c r="T1069" t="str">
        <f>VLOOKUP(S1069,'Mapa Oficinas'!$H$7:$I$16,2,FALSE)</f>
        <v>CB</v>
      </c>
      <c r="U1069" t="s">
        <v>29</v>
      </c>
      <c r="V1069" t="str">
        <f>VLOOKUP($R1069,'Mapa Oficinas'!$A$7:$C$46,2,FALSE)</f>
        <v>Interior - Río Negro</v>
      </c>
      <c r="W1069" t="str">
        <f>VLOOKUP($R1069,'Mapa Oficinas'!$A$7:$C$46,3,FALSE)</f>
        <v>Bariloche</v>
      </c>
    </row>
    <row r="1070" spans="1:23" x14ac:dyDescent="0.2">
      <c r="A1070" s="1">
        <v>45838</v>
      </c>
      <c r="B1070" s="20">
        <f t="shared" si="32"/>
        <v>2025</v>
      </c>
      <c r="C1070" s="20">
        <f t="shared" si="33"/>
        <v>6</v>
      </c>
      <c r="D1070" t="s">
        <v>2767</v>
      </c>
      <c r="E1070" s="49">
        <v>1</v>
      </c>
      <c r="F1070" t="s">
        <v>2768</v>
      </c>
      <c r="G1070" t="s">
        <v>21</v>
      </c>
      <c r="H1070" t="s">
        <v>90</v>
      </c>
      <c r="I1070" s="13">
        <v>93000</v>
      </c>
      <c r="J1070" s="13">
        <v>91500</v>
      </c>
      <c r="K1070" s="13">
        <f>IF(J1070&lt;'Mapa Oficinas'!$I$21,0,IF(J1070&gt;'Mapa Oficinas'!$I$20,0,1))</f>
        <v>1</v>
      </c>
      <c r="L1070" t="s">
        <v>23</v>
      </c>
      <c r="M1070" t="s">
        <v>23</v>
      </c>
      <c r="N1070" t="s">
        <v>2769</v>
      </c>
      <c r="O1070" t="s">
        <v>440</v>
      </c>
      <c r="P1070" t="s">
        <v>45</v>
      </c>
      <c r="Q1070">
        <v>2</v>
      </c>
      <c r="R1070" t="s">
        <v>62</v>
      </c>
      <c r="S1070" t="s">
        <v>28</v>
      </c>
      <c r="T1070" t="str">
        <f>VLOOKUP(S1070,'Mapa Oficinas'!$H$7:$I$16,2,FALSE)</f>
        <v>CB</v>
      </c>
      <c r="U1070" t="s">
        <v>29</v>
      </c>
      <c r="V1070" t="str">
        <f>VLOOKUP($R1070,'Mapa Oficinas'!$A$7:$C$46,2,FALSE)</f>
        <v>CABA</v>
      </c>
      <c r="W1070" t="str">
        <f>VLOOKUP($R1070,'Mapa Oficinas'!$A$7:$C$46,3,FALSE)</f>
        <v>Villa Urquiza</v>
      </c>
    </row>
    <row r="1071" spans="1:23" x14ac:dyDescent="0.2">
      <c r="A1071" s="1">
        <v>45952</v>
      </c>
      <c r="B1071" s="20">
        <f t="shared" si="32"/>
        <v>2025</v>
      </c>
      <c r="C1071" s="20">
        <f t="shared" si="33"/>
        <v>10</v>
      </c>
      <c r="E1071" s="49">
        <v>1</v>
      </c>
      <c r="F1071" t="s">
        <v>4842</v>
      </c>
      <c r="G1071" t="s">
        <v>21</v>
      </c>
      <c r="H1071" t="s">
        <v>37</v>
      </c>
      <c r="I1071" s="13">
        <v>92000</v>
      </c>
      <c r="J1071" s="13">
        <v>92000</v>
      </c>
      <c r="K1071" s="13">
        <f>IF(J1071&lt;'Mapa Oficinas'!$I$21,0,IF(J1071&gt;'Mapa Oficinas'!$I$20,0,1))</f>
        <v>1</v>
      </c>
      <c r="L1071" t="s">
        <v>23</v>
      </c>
      <c r="M1071" t="s">
        <v>23</v>
      </c>
      <c r="P1071" t="s">
        <v>45</v>
      </c>
      <c r="Q1071">
        <v>1</v>
      </c>
      <c r="R1071" t="s">
        <v>103</v>
      </c>
      <c r="S1071" t="s">
        <v>152</v>
      </c>
      <c r="T1071" t="str">
        <f>VLOOKUP(S1071,'Mapa Oficinas'!$H$7:$I$16,2,FALSE)</f>
        <v>Otra Red Captación</v>
      </c>
      <c r="U1071" t="s">
        <v>29</v>
      </c>
      <c r="V1071" t="str">
        <f>VLOOKUP($R1071,'Mapa Oficinas'!$A$7:$C$46,2,FALSE)</f>
        <v>Zona Sur (GBA)</v>
      </c>
      <c r="W1071" t="str">
        <f>VLOOKUP($R1071,'Mapa Oficinas'!$A$7:$C$46,3,FALSE)</f>
        <v>La Plata</v>
      </c>
    </row>
    <row r="1072" spans="1:23" x14ac:dyDescent="0.2">
      <c r="A1072" s="1">
        <v>45796</v>
      </c>
      <c r="B1072" s="20">
        <f t="shared" si="32"/>
        <v>2025</v>
      </c>
      <c r="C1072" s="20">
        <f t="shared" si="33"/>
        <v>5</v>
      </c>
      <c r="D1072" t="s">
        <v>2010</v>
      </c>
      <c r="E1072" s="49">
        <v>1</v>
      </c>
      <c r="F1072" t="s">
        <v>2011</v>
      </c>
      <c r="G1072" t="s">
        <v>21</v>
      </c>
      <c r="H1072" t="s">
        <v>37</v>
      </c>
      <c r="I1072" s="13">
        <v>99000</v>
      </c>
      <c r="J1072" s="13">
        <v>92000</v>
      </c>
      <c r="K1072" s="13">
        <f>IF(J1072&lt;'Mapa Oficinas'!$I$21,0,IF(J1072&gt;'Mapa Oficinas'!$I$20,0,1))</f>
        <v>1</v>
      </c>
      <c r="L1072" t="s">
        <v>23</v>
      </c>
      <c r="M1072" t="s">
        <v>23</v>
      </c>
      <c r="N1072" t="s">
        <v>2012</v>
      </c>
      <c r="O1072" t="s">
        <v>2013</v>
      </c>
      <c r="P1072" t="s">
        <v>45</v>
      </c>
      <c r="Q1072">
        <v>2</v>
      </c>
      <c r="R1072" t="s">
        <v>62</v>
      </c>
      <c r="S1072" t="s">
        <v>79</v>
      </c>
      <c r="T1072" t="str">
        <f>VLOOKUP(S1072,'Mapa Oficinas'!$H$7:$I$16,2,FALSE)</f>
        <v>CB</v>
      </c>
      <c r="U1072" t="s">
        <v>29</v>
      </c>
      <c r="V1072" t="str">
        <f>VLOOKUP($R1072,'Mapa Oficinas'!$A$7:$C$46,2,FALSE)</f>
        <v>CABA</v>
      </c>
      <c r="W1072" t="str">
        <f>VLOOKUP($R1072,'Mapa Oficinas'!$A$7:$C$46,3,FALSE)</f>
        <v>Villa Urquiza</v>
      </c>
    </row>
    <row r="1073" spans="1:23" x14ac:dyDescent="0.2">
      <c r="A1073" s="1">
        <v>45862</v>
      </c>
      <c r="B1073" s="20">
        <f t="shared" si="32"/>
        <v>2025</v>
      </c>
      <c r="C1073" s="20">
        <f t="shared" si="33"/>
        <v>7</v>
      </c>
      <c r="E1073" s="49">
        <v>1</v>
      </c>
      <c r="F1073" t="s">
        <v>3201</v>
      </c>
      <c r="G1073" t="s">
        <v>21</v>
      </c>
      <c r="H1073" t="s">
        <v>22</v>
      </c>
      <c r="I1073" s="13">
        <v>92000</v>
      </c>
      <c r="J1073" s="13">
        <v>92000</v>
      </c>
      <c r="K1073" s="13">
        <f>IF(J1073&lt;'Mapa Oficinas'!$I$21,0,IF(J1073&gt;'Mapa Oficinas'!$I$20,0,1))</f>
        <v>1</v>
      </c>
      <c r="L1073" t="s">
        <v>23</v>
      </c>
      <c r="M1073" t="s">
        <v>23</v>
      </c>
      <c r="N1073" t="s">
        <v>3202</v>
      </c>
      <c r="O1073" t="s">
        <v>1859</v>
      </c>
      <c r="P1073" t="s">
        <v>26</v>
      </c>
      <c r="Q1073">
        <v>2</v>
      </c>
      <c r="R1073" t="s">
        <v>84</v>
      </c>
      <c r="S1073" t="s">
        <v>79</v>
      </c>
      <c r="T1073" t="str">
        <f>VLOOKUP(S1073,'Mapa Oficinas'!$H$7:$I$16,2,FALSE)</f>
        <v>CB</v>
      </c>
      <c r="U1073" t="s">
        <v>29</v>
      </c>
      <c r="V1073" t="str">
        <f>VLOOKUP($R1073,'Mapa Oficinas'!$A$7:$C$46,2,FALSE)</f>
        <v>Interior - Neuquén</v>
      </c>
      <c r="W1073" t="str">
        <f>VLOOKUP($R1073,'Mapa Oficinas'!$A$7:$C$46,3,FALSE)</f>
        <v>Villa La Angostura</v>
      </c>
    </row>
    <row r="1074" spans="1:23" x14ac:dyDescent="0.2">
      <c r="A1074" s="1">
        <v>45856</v>
      </c>
      <c r="B1074" s="20">
        <f t="shared" si="32"/>
        <v>2025</v>
      </c>
      <c r="C1074" s="20">
        <f t="shared" si="33"/>
        <v>7</v>
      </c>
      <c r="D1074" t="s">
        <v>3116</v>
      </c>
      <c r="E1074" s="49">
        <v>1</v>
      </c>
      <c r="F1074" t="s">
        <v>3117</v>
      </c>
      <c r="G1074" t="s">
        <v>21</v>
      </c>
      <c r="H1074" t="s">
        <v>37</v>
      </c>
      <c r="I1074" s="13">
        <v>99000</v>
      </c>
      <c r="J1074" s="13">
        <v>92000</v>
      </c>
      <c r="K1074" s="13">
        <f>IF(J1074&lt;'Mapa Oficinas'!$I$21,0,IF(J1074&gt;'Mapa Oficinas'!$I$20,0,1))</f>
        <v>1</v>
      </c>
      <c r="L1074" t="s">
        <v>23</v>
      </c>
      <c r="M1074" t="s">
        <v>23</v>
      </c>
      <c r="N1074" t="s">
        <v>3118</v>
      </c>
      <c r="O1074" t="s">
        <v>3119</v>
      </c>
      <c r="P1074" t="s">
        <v>34</v>
      </c>
      <c r="Q1074">
        <v>1</v>
      </c>
      <c r="R1074" t="s">
        <v>103</v>
      </c>
      <c r="S1074" t="s">
        <v>47</v>
      </c>
      <c r="T1074" t="str">
        <f>VLOOKUP(S1074,'Mapa Oficinas'!$H$7:$I$16,2,FALSE)</f>
        <v>Otra Red Búsqueda</v>
      </c>
      <c r="U1074" t="s">
        <v>29</v>
      </c>
      <c r="V1074" t="str">
        <f>VLOOKUP($R1074,'Mapa Oficinas'!$A$7:$C$46,2,FALSE)</f>
        <v>Zona Sur (GBA)</v>
      </c>
      <c r="W1074" t="str">
        <f>VLOOKUP($R1074,'Mapa Oficinas'!$A$7:$C$46,3,FALSE)</f>
        <v>La Plata</v>
      </c>
    </row>
    <row r="1075" spans="1:23" x14ac:dyDescent="0.2">
      <c r="A1075" s="1">
        <v>46013</v>
      </c>
      <c r="B1075" s="20">
        <f t="shared" si="32"/>
        <v>2025</v>
      </c>
      <c r="C1075" s="20">
        <f t="shared" si="33"/>
        <v>12</v>
      </c>
      <c r="D1075">
        <v>49</v>
      </c>
      <c r="E1075" s="49">
        <v>1</v>
      </c>
      <c r="F1075" t="s">
        <v>5937</v>
      </c>
      <c r="G1075" t="s">
        <v>21</v>
      </c>
      <c r="H1075" t="s">
        <v>37</v>
      </c>
      <c r="I1075" s="13">
        <v>92000</v>
      </c>
      <c r="J1075" s="13">
        <v>92000</v>
      </c>
      <c r="K1075" s="13">
        <f>IF(J1075&lt;'Mapa Oficinas'!$I$21,0,IF(J1075&gt;'Mapa Oficinas'!$I$20,0,1))</f>
        <v>1</v>
      </c>
      <c r="L1075" t="s">
        <v>23</v>
      </c>
      <c r="M1075" t="s">
        <v>23</v>
      </c>
      <c r="N1075" t="s">
        <v>5938</v>
      </c>
      <c r="P1075" t="s">
        <v>45</v>
      </c>
      <c r="Q1075">
        <v>1</v>
      </c>
      <c r="R1075" t="s">
        <v>1024</v>
      </c>
      <c r="S1075" t="s">
        <v>47</v>
      </c>
      <c r="T1075" t="str">
        <f>VLOOKUP(S1075,'Mapa Oficinas'!$H$7:$I$16,2,FALSE)</f>
        <v>Otra Red Búsqueda</v>
      </c>
      <c r="U1075" t="s">
        <v>29</v>
      </c>
      <c r="V1075" t="str">
        <f>VLOOKUP($R1075,'Mapa Oficinas'!$A$7:$C$46,2,FALSE)</f>
        <v>CABA</v>
      </c>
      <c r="W1075" t="str">
        <f>VLOOKUP($R1075,'Mapa Oficinas'!$A$7:$C$46,3,FALSE)</f>
        <v>Puerto Madero</v>
      </c>
    </row>
    <row r="1076" spans="1:23" x14ac:dyDescent="0.2">
      <c r="A1076" s="1">
        <v>46083</v>
      </c>
      <c r="B1076" s="20">
        <f t="shared" si="32"/>
        <v>2026</v>
      </c>
      <c r="C1076" s="20">
        <f t="shared" si="33"/>
        <v>3</v>
      </c>
      <c r="D1076" t="s">
        <v>6935</v>
      </c>
      <c r="E1076" s="49">
        <v>1</v>
      </c>
      <c r="F1076" t="s">
        <v>6936</v>
      </c>
      <c r="G1076" t="s">
        <v>21</v>
      </c>
      <c r="H1076" t="s">
        <v>37</v>
      </c>
      <c r="I1076" s="13">
        <v>700000</v>
      </c>
      <c r="J1076" s="13">
        <v>92000</v>
      </c>
      <c r="K1076" s="13">
        <f>IF(J1076&lt;'Mapa Oficinas'!$I$21,0,IF(J1076&gt;'Mapa Oficinas'!$I$20,0,1))</f>
        <v>1</v>
      </c>
      <c r="L1076" t="s">
        <v>23</v>
      </c>
      <c r="M1076" t="s">
        <v>1927</v>
      </c>
      <c r="N1076" t="s">
        <v>6937</v>
      </c>
      <c r="O1076" t="s">
        <v>976</v>
      </c>
      <c r="P1076" t="s">
        <v>45</v>
      </c>
      <c r="Q1076">
        <v>1</v>
      </c>
      <c r="R1076" t="s">
        <v>142</v>
      </c>
      <c r="S1076" t="s">
        <v>47</v>
      </c>
      <c r="T1076" t="str">
        <f>VLOOKUP(S1076,'Mapa Oficinas'!$H$7:$I$16,2,FALSE)</f>
        <v>Otra Red Búsqueda</v>
      </c>
      <c r="U1076" t="s">
        <v>29</v>
      </c>
      <c r="V1076" t="str">
        <f>VLOOKUP($R1076,'Mapa Oficinas'!$A$7:$C$46,2,FALSE)</f>
        <v>CABA</v>
      </c>
      <c r="W1076" t="str">
        <f>VLOOKUP($R1076,'Mapa Oficinas'!$A$7:$C$46,3,FALSE)</f>
        <v>Palermo</v>
      </c>
    </row>
    <row r="1077" spans="1:23" x14ac:dyDescent="0.2">
      <c r="A1077" s="1">
        <v>45838</v>
      </c>
      <c r="B1077" s="20">
        <f t="shared" si="32"/>
        <v>2025</v>
      </c>
      <c r="C1077" s="20">
        <f t="shared" si="33"/>
        <v>6</v>
      </c>
      <c r="D1077" t="s">
        <v>2772</v>
      </c>
      <c r="E1077" s="49">
        <v>1</v>
      </c>
      <c r="F1077" t="s">
        <v>2773</v>
      </c>
      <c r="G1077" t="s">
        <v>21</v>
      </c>
      <c r="H1077" t="s">
        <v>37</v>
      </c>
      <c r="I1077" s="13">
        <v>95000</v>
      </c>
      <c r="J1077" s="13">
        <v>92000</v>
      </c>
      <c r="K1077" s="13">
        <f>IF(J1077&lt;'Mapa Oficinas'!$I$21,0,IF(J1077&gt;'Mapa Oficinas'!$I$20,0,1))</f>
        <v>1</v>
      </c>
      <c r="L1077" t="s">
        <v>23</v>
      </c>
      <c r="M1077" t="s">
        <v>23</v>
      </c>
      <c r="N1077" t="s">
        <v>2774</v>
      </c>
      <c r="O1077" t="s">
        <v>425</v>
      </c>
      <c r="P1077" t="s">
        <v>26</v>
      </c>
      <c r="Q1077">
        <v>2</v>
      </c>
      <c r="R1077" t="s">
        <v>183</v>
      </c>
      <c r="S1077" t="s">
        <v>200</v>
      </c>
      <c r="T1077" t="str">
        <f>VLOOKUP(S1077,'Mapa Oficinas'!$H$7:$I$16,2,FALSE)</f>
        <v>Otra Red Captación</v>
      </c>
      <c r="U1077" t="s">
        <v>29</v>
      </c>
      <c r="V1077" t="str">
        <f>VLOOKUP($R1077,'Mapa Oficinas'!$A$7:$C$46,2,FALSE)</f>
        <v>Interior - Neuquén</v>
      </c>
      <c r="W1077" t="str">
        <f>VLOOKUP($R1077,'Mapa Oficinas'!$A$7:$C$46,3,FALSE)</f>
        <v>Capital Neuquén</v>
      </c>
    </row>
    <row r="1078" spans="1:23" x14ac:dyDescent="0.2">
      <c r="A1078" s="1">
        <v>45937</v>
      </c>
      <c r="B1078" s="20">
        <f t="shared" si="32"/>
        <v>2025</v>
      </c>
      <c r="C1078" s="20">
        <f t="shared" si="33"/>
        <v>10</v>
      </c>
      <c r="D1078" t="s">
        <v>4549</v>
      </c>
      <c r="E1078" s="49">
        <v>1</v>
      </c>
      <c r="F1078" t="s">
        <v>4550</v>
      </c>
      <c r="G1078" t="s">
        <v>21</v>
      </c>
      <c r="H1078" t="s">
        <v>37</v>
      </c>
      <c r="I1078" s="13">
        <v>95000</v>
      </c>
      <c r="J1078" s="13">
        <v>92000</v>
      </c>
      <c r="K1078" s="13">
        <f>IF(J1078&lt;'Mapa Oficinas'!$I$21,0,IF(J1078&gt;'Mapa Oficinas'!$I$20,0,1))</f>
        <v>1</v>
      </c>
      <c r="L1078" t="s">
        <v>23</v>
      </c>
      <c r="M1078" t="s">
        <v>23</v>
      </c>
      <c r="N1078" t="s">
        <v>4551</v>
      </c>
      <c r="O1078" t="s">
        <v>2194</v>
      </c>
      <c r="P1078" t="s">
        <v>45</v>
      </c>
      <c r="Q1078">
        <v>2</v>
      </c>
      <c r="R1078" t="s">
        <v>523</v>
      </c>
      <c r="S1078" t="s">
        <v>200</v>
      </c>
      <c r="T1078" t="str">
        <f>VLOOKUP(S1078,'Mapa Oficinas'!$H$7:$I$16,2,FALSE)</f>
        <v>Otra Red Captación</v>
      </c>
      <c r="U1078" t="s">
        <v>29</v>
      </c>
      <c r="V1078" t="str">
        <f>VLOOKUP($R1078,'Mapa Oficinas'!$A$7:$C$46,2,FALSE)</f>
        <v>CABA</v>
      </c>
      <c r="W1078" t="str">
        <f>VLOOKUP($R1078,'Mapa Oficinas'!$A$7:$C$46,3,FALSE)</f>
        <v>Belgrano</v>
      </c>
    </row>
    <row r="1079" spans="1:23" x14ac:dyDescent="0.2">
      <c r="A1079" s="1">
        <v>45680</v>
      </c>
      <c r="B1079" s="20">
        <f t="shared" si="32"/>
        <v>2025</v>
      </c>
      <c r="C1079" s="20">
        <f t="shared" si="33"/>
        <v>1</v>
      </c>
      <c r="D1079" t="s">
        <v>330</v>
      </c>
      <c r="E1079" s="49">
        <v>1</v>
      </c>
      <c r="F1079" t="s">
        <v>331</v>
      </c>
      <c r="G1079" t="s">
        <v>21</v>
      </c>
      <c r="H1079" t="s">
        <v>90</v>
      </c>
      <c r="I1079" s="13">
        <v>98000</v>
      </c>
      <c r="J1079" s="13">
        <v>92000</v>
      </c>
      <c r="K1079" s="13">
        <f>IF(J1079&lt;'Mapa Oficinas'!$I$21,0,IF(J1079&gt;'Mapa Oficinas'!$I$20,0,1))</f>
        <v>1</v>
      </c>
      <c r="L1079" t="s">
        <v>23</v>
      </c>
      <c r="M1079" t="s">
        <v>23</v>
      </c>
      <c r="N1079" t="s">
        <v>332</v>
      </c>
      <c r="O1079" t="s">
        <v>333</v>
      </c>
      <c r="P1079" t="s">
        <v>45</v>
      </c>
      <c r="Q1079">
        <v>2</v>
      </c>
      <c r="R1079" t="s">
        <v>62</v>
      </c>
      <c r="S1079" t="s">
        <v>28</v>
      </c>
      <c r="T1079" t="str">
        <f>VLOOKUP(S1079,'Mapa Oficinas'!$H$7:$I$16,2,FALSE)</f>
        <v>CB</v>
      </c>
      <c r="U1079" t="s">
        <v>29</v>
      </c>
      <c r="V1079" t="str">
        <f>VLOOKUP($R1079,'Mapa Oficinas'!$A$7:$C$46,2,FALSE)</f>
        <v>CABA</v>
      </c>
      <c r="W1079" t="str">
        <f>VLOOKUP($R1079,'Mapa Oficinas'!$A$7:$C$46,3,FALSE)</f>
        <v>Villa Urquiza</v>
      </c>
    </row>
    <row r="1080" spans="1:23" x14ac:dyDescent="0.2">
      <c r="A1080" s="1">
        <v>45680</v>
      </c>
      <c r="B1080" s="20">
        <f t="shared" si="32"/>
        <v>2025</v>
      </c>
      <c r="C1080" s="20">
        <f t="shared" si="33"/>
        <v>1</v>
      </c>
      <c r="D1080" t="s">
        <v>334</v>
      </c>
      <c r="E1080" s="49">
        <v>1</v>
      </c>
      <c r="F1080" t="s">
        <v>334</v>
      </c>
      <c r="G1080" t="s">
        <v>21</v>
      </c>
      <c r="H1080" t="s">
        <v>22</v>
      </c>
      <c r="I1080" s="13">
        <v>92000</v>
      </c>
      <c r="J1080" s="13">
        <v>92000</v>
      </c>
      <c r="K1080" s="13">
        <f>IF(J1080&lt;'Mapa Oficinas'!$I$21,0,IF(J1080&gt;'Mapa Oficinas'!$I$20,0,1))</f>
        <v>1</v>
      </c>
      <c r="L1080" t="s">
        <v>23</v>
      </c>
      <c r="M1080" t="s">
        <v>23</v>
      </c>
      <c r="N1080" t="s">
        <v>334</v>
      </c>
      <c r="O1080" t="s">
        <v>116</v>
      </c>
      <c r="P1080" t="s">
        <v>45</v>
      </c>
      <c r="Q1080">
        <v>2</v>
      </c>
      <c r="R1080" t="s">
        <v>62</v>
      </c>
      <c r="S1080" t="s">
        <v>28</v>
      </c>
      <c r="T1080" t="str">
        <f>VLOOKUP(S1080,'Mapa Oficinas'!$H$7:$I$16,2,FALSE)</f>
        <v>CB</v>
      </c>
      <c r="U1080" t="s">
        <v>29</v>
      </c>
      <c r="V1080" t="str">
        <f>VLOOKUP($R1080,'Mapa Oficinas'!$A$7:$C$46,2,FALSE)</f>
        <v>CABA</v>
      </c>
      <c r="W1080" t="str">
        <f>VLOOKUP($R1080,'Mapa Oficinas'!$A$7:$C$46,3,FALSE)</f>
        <v>Villa Urquiza</v>
      </c>
    </row>
    <row r="1081" spans="1:23" x14ac:dyDescent="0.2">
      <c r="A1081" s="1">
        <v>45835</v>
      </c>
      <c r="B1081" s="20">
        <f t="shared" si="32"/>
        <v>2025</v>
      </c>
      <c r="C1081" s="20">
        <f t="shared" si="33"/>
        <v>6</v>
      </c>
      <c r="D1081" t="s">
        <v>2697</v>
      </c>
      <c r="E1081" s="49">
        <v>1</v>
      </c>
      <c r="F1081" t="s">
        <v>2698</v>
      </c>
      <c r="G1081" t="s">
        <v>21</v>
      </c>
      <c r="H1081" t="s">
        <v>81</v>
      </c>
      <c r="I1081" s="13">
        <v>110000</v>
      </c>
      <c r="J1081" s="13">
        <v>92000</v>
      </c>
      <c r="K1081" s="13">
        <f>IF(J1081&lt;'Mapa Oficinas'!$I$21,0,IF(J1081&gt;'Mapa Oficinas'!$I$20,0,1))</f>
        <v>1</v>
      </c>
      <c r="L1081" t="s">
        <v>23</v>
      </c>
      <c r="M1081" t="s">
        <v>23</v>
      </c>
      <c r="N1081" t="s">
        <v>2699</v>
      </c>
      <c r="O1081" t="s">
        <v>870</v>
      </c>
      <c r="P1081" t="s">
        <v>26</v>
      </c>
      <c r="Q1081">
        <v>2</v>
      </c>
      <c r="R1081" t="s">
        <v>130</v>
      </c>
      <c r="S1081" t="s">
        <v>28</v>
      </c>
      <c r="T1081" t="str">
        <f>VLOOKUP(S1081,'Mapa Oficinas'!$H$7:$I$16,2,FALSE)</f>
        <v>CB</v>
      </c>
      <c r="U1081" t="s">
        <v>29</v>
      </c>
      <c r="V1081" t="str">
        <f>VLOOKUP($R1081,'Mapa Oficinas'!$A$7:$C$46,2,FALSE)</f>
        <v>Interior - Neuquén</v>
      </c>
      <c r="W1081" t="str">
        <f>VLOOKUP($R1081,'Mapa Oficinas'!$A$7:$C$46,3,FALSE)</f>
        <v>San Martín de los Andes</v>
      </c>
    </row>
    <row r="1082" spans="1:23" x14ac:dyDescent="0.2">
      <c r="A1082" s="1">
        <v>45915</v>
      </c>
      <c r="B1082" s="20">
        <f t="shared" si="32"/>
        <v>2025</v>
      </c>
      <c r="C1082" s="20">
        <f t="shared" si="33"/>
        <v>9</v>
      </c>
      <c r="D1082" t="s">
        <v>4150</v>
      </c>
      <c r="E1082" s="49">
        <v>1</v>
      </c>
      <c r="F1082" t="s">
        <v>4151</v>
      </c>
      <c r="G1082" t="s">
        <v>21</v>
      </c>
      <c r="H1082" t="s">
        <v>100</v>
      </c>
      <c r="I1082" s="13">
        <v>105000</v>
      </c>
      <c r="J1082" s="13">
        <v>92000</v>
      </c>
      <c r="K1082" s="13">
        <f>IF(J1082&lt;'Mapa Oficinas'!$I$21,0,IF(J1082&gt;'Mapa Oficinas'!$I$20,0,1))</f>
        <v>1</v>
      </c>
      <c r="L1082" t="s">
        <v>23</v>
      </c>
      <c r="M1082" t="s">
        <v>23</v>
      </c>
      <c r="N1082" t="s">
        <v>4152</v>
      </c>
      <c r="O1082" t="s">
        <v>4153</v>
      </c>
      <c r="P1082" t="s">
        <v>34</v>
      </c>
      <c r="Q1082">
        <v>2</v>
      </c>
      <c r="R1082" t="s">
        <v>151</v>
      </c>
      <c r="S1082" t="s">
        <v>28</v>
      </c>
      <c r="T1082" t="str">
        <f>VLOOKUP(S1082,'Mapa Oficinas'!$H$7:$I$16,2,FALSE)</f>
        <v>CB</v>
      </c>
      <c r="U1082" t="s">
        <v>29</v>
      </c>
      <c r="V1082" t="str">
        <f>VLOOKUP($R1082,'Mapa Oficinas'!$A$7:$C$46,2,FALSE)</f>
        <v>Interior - Mendoza</v>
      </c>
      <c r="W1082" t="str">
        <f>VLOOKUP($R1082,'Mapa Oficinas'!$A$7:$C$46,3,FALSE)</f>
        <v>Capital Mendoza</v>
      </c>
    </row>
    <row r="1083" spans="1:23" x14ac:dyDescent="0.2">
      <c r="A1083" s="1">
        <v>45925</v>
      </c>
      <c r="B1083" s="20">
        <f t="shared" si="32"/>
        <v>2025</v>
      </c>
      <c r="C1083" s="20">
        <f t="shared" si="33"/>
        <v>9</v>
      </c>
      <c r="D1083" t="s">
        <v>4348</v>
      </c>
      <c r="E1083" s="49">
        <v>1</v>
      </c>
      <c r="F1083" t="s">
        <v>4349</v>
      </c>
      <c r="G1083" t="s">
        <v>21</v>
      </c>
      <c r="H1083" t="s">
        <v>90</v>
      </c>
      <c r="I1083" s="13">
        <v>99900</v>
      </c>
      <c r="J1083" s="13">
        <v>92000</v>
      </c>
      <c r="K1083" s="13">
        <f>IF(J1083&lt;'Mapa Oficinas'!$I$21,0,IF(J1083&gt;'Mapa Oficinas'!$I$20,0,1))</f>
        <v>1</v>
      </c>
      <c r="L1083" t="s">
        <v>23</v>
      </c>
      <c r="M1083" t="s">
        <v>23</v>
      </c>
      <c r="N1083" t="s">
        <v>4350</v>
      </c>
      <c r="O1083" t="s">
        <v>4092</v>
      </c>
      <c r="P1083" t="s">
        <v>61</v>
      </c>
      <c r="Q1083">
        <v>2</v>
      </c>
      <c r="R1083" t="s">
        <v>62</v>
      </c>
      <c r="S1083" t="s">
        <v>28</v>
      </c>
      <c r="T1083" t="str">
        <f>VLOOKUP(S1083,'Mapa Oficinas'!$H$7:$I$16,2,FALSE)</f>
        <v>CB</v>
      </c>
      <c r="U1083" t="s">
        <v>29</v>
      </c>
      <c r="V1083" t="str">
        <f>VLOOKUP($R1083,'Mapa Oficinas'!$A$7:$C$46,2,FALSE)</f>
        <v>CABA</v>
      </c>
      <c r="W1083" t="str">
        <f>VLOOKUP($R1083,'Mapa Oficinas'!$A$7:$C$46,3,FALSE)</f>
        <v>Villa Urquiza</v>
      </c>
    </row>
    <row r="1084" spans="1:23" x14ac:dyDescent="0.2">
      <c r="A1084" s="1">
        <v>45930</v>
      </c>
      <c r="B1084" s="20">
        <f t="shared" si="32"/>
        <v>2025</v>
      </c>
      <c r="C1084" s="20">
        <f t="shared" si="33"/>
        <v>9</v>
      </c>
      <c r="D1084" t="s">
        <v>4417</v>
      </c>
      <c r="E1084" s="49">
        <v>1</v>
      </c>
      <c r="F1084" t="s">
        <v>4418</v>
      </c>
      <c r="G1084" t="s">
        <v>21</v>
      </c>
      <c r="H1084" t="s">
        <v>37</v>
      </c>
      <c r="I1084" s="13">
        <v>98000</v>
      </c>
      <c r="J1084" s="13">
        <v>92000</v>
      </c>
      <c r="K1084" s="13">
        <f>IF(J1084&lt;'Mapa Oficinas'!$I$21,0,IF(J1084&gt;'Mapa Oficinas'!$I$20,0,1))</f>
        <v>1</v>
      </c>
      <c r="L1084" t="s">
        <v>23</v>
      </c>
      <c r="M1084" t="s">
        <v>23</v>
      </c>
      <c r="N1084" t="s">
        <v>4419</v>
      </c>
      <c r="O1084" t="s">
        <v>1869</v>
      </c>
      <c r="P1084" t="s">
        <v>61</v>
      </c>
      <c r="Q1084">
        <v>2</v>
      </c>
      <c r="R1084" t="s">
        <v>56</v>
      </c>
      <c r="S1084" t="s">
        <v>28</v>
      </c>
      <c r="T1084" t="str">
        <f>VLOOKUP(S1084,'Mapa Oficinas'!$H$7:$I$16,2,FALSE)</f>
        <v>CB</v>
      </c>
      <c r="U1084" t="s">
        <v>29</v>
      </c>
      <c r="V1084" t="str">
        <f>VLOOKUP($R1084,'Mapa Oficinas'!$A$7:$C$46,2,FALSE)</f>
        <v>Zona Norte (GBA)</v>
      </c>
      <c r="W1084" t="str">
        <f>VLOOKUP($R1084,'Mapa Oficinas'!$A$7:$C$46,3,FALSE)</f>
        <v>Vicente López</v>
      </c>
    </row>
    <row r="1085" spans="1:23" x14ac:dyDescent="0.2">
      <c r="A1085" s="1">
        <v>46013</v>
      </c>
      <c r="B1085" s="20">
        <f t="shared" si="32"/>
        <v>2025</v>
      </c>
      <c r="C1085" s="20">
        <f t="shared" si="33"/>
        <v>12</v>
      </c>
      <c r="D1085" t="s">
        <v>5939</v>
      </c>
      <c r="E1085" s="49">
        <v>1</v>
      </c>
      <c r="F1085" t="s">
        <v>5940</v>
      </c>
      <c r="G1085" t="s">
        <v>21</v>
      </c>
      <c r="H1085" t="s">
        <v>37</v>
      </c>
      <c r="I1085" s="13">
        <v>115000</v>
      </c>
      <c r="J1085" s="13">
        <v>92000</v>
      </c>
      <c r="K1085" s="13">
        <f>IF(J1085&lt;'Mapa Oficinas'!$I$21,0,IF(J1085&gt;'Mapa Oficinas'!$I$20,0,1))</f>
        <v>1</v>
      </c>
      <c r="L1085" t="s">
        <v>23</v>
      </c>
      <c r="M1085" t="s">
        <v>23</v>
      </c>
      <c r="N1085" t="s">
        <v>3786</v>
      </c>
      <c r="O1085" t="s">
        <v>174</v>
      </c>
      <c r="P1085" t="s">
        <v>55</v>
      </c>
      <c r="Q1085">
        <v>2</v>
      </c>
      <c r="R1085" t="s">
        <v>56</v>
      </c>
      <c r="S1085" t="s">
        <v>28</v>
      </c>
      <c r="T1085" t="str">
        <f>VLOOKUP(S1085,'Mapa Oficinas'!$H$7:$I$16,2,FALSE)</f>
        <v>CB</v>
      </c>
      <c r="U1085" t="s">
        <v>29</v>
      </c>
      <c r="V1085" t="str">
        <f>VLOOKUP($R1085,'Mapa Oficinas'!$A$7:$C$46,2,FALSE)</f>
        <v>Zona Norte (GBA)</v>
      </c>
      <c r="W1085" t="str">
        <f>VLOOKUP($R1085,'Mapa Oficinas'!$A$7:$C$46,3,FALSE)</f>
        <v>Vicente López</v>
      </c>
    </row>
    <row r="1086" spans="1:23" x14ac:dyDescent="0.2">
      <c r="A1086" s="1">
        <v>46059</v>
      </c>
      <c r="B1086" s="20">
        <f t="shared" si="32"/>
        <v>2026</v>
      </c>
      <c r="C1086" s="20">
        <f t="shared" si="33"/>
        <v>2</v>
      </c>
      <c r="D1086" t="s">
        <v>6571</v>
      </c>
      <c r="E1086" s="49">
        <v>1</v>
      </c>
      <c r="F1086" t="s">
        <v>550</v>
      </c>
      <c r="G1086" t="s">
        <v>21</v>
      </c>
      <c r="H1086" t="s">
        <v>100</v>
      </c>
      <c r="I1086" s="13">
        <v>92000</v>
      </c>
      <c r="J1086" s="13">
        <v>92000</v>
      </c>
      <c r="K1086" s="13">
        <f>IF(J1086&lt;'Mapa Oficinas'!$I$21,0,IF(J1086&gt;'Mapa Oficinas'!$I$20,0,1))</f>
        <v>1</v>
      </c>
      <c r="L1086" t="s">
        <v>23</v>
      </c>
      <c r="M1086" t="s">
        <v>23</v>
      </c>
      <c r="N1086" t="s">
        <v>288</v>
      </c>
      <c r="O1086" t="s">
        <v>209</v>
      </c>
      <c r="P1086" t="s">
        <v>45</v>
      </c>
      <c r="Q1086">
        <v>2</v>
      </c>
      <c r="R1086" t="s">
        <v>121</v>
      </c>
      <c r="S1086" t="s">
        <v>28</v>
      </c>
      <c r="T1086" t="str">
        <f>VLOOKUP(S1086,'Mapa Oficinas'!$H$7:$I$16,2,FALSE)</f>
        <v>CB</v>
      </c>
      <c r="U1086" t="s">
        <v>29</v>
      </c>
      <c r="V1086" t="str">
        <f>VLOOKUP($R1086,'Mapa Oficinas'!$A$7:$C$46,2,FALSE)</f>
        <v>Interior - Río Negro</v>
      </c>
      <c r="W1086" t="str">
        <f>VLOOKUP($R1086,'Mapa Oficinas'!$A$7:$C$46,3,FALSE)</f>
        <v>Bariloche</v>
      </c>
    </row>
    <row r="1087" spans="1:23" x14ac:dyDescent="0.2">
      <c r="A1087" s="1">
        <v>45896</v>
      </c>
      <c r="B1087" s="20">
        <f t="shared" si="32"/>
        <v>2025</v>
      </c>
      <c r="C1087" s="20">
        <f t="shared" si="33"/>
        <v>8</v>
      </c>
      <c r="D1087" t="s">
        <v>3798</v>
      </c>
      <c r="E1087" s="49">
        <v>1</v>
      </c>
      <c r="F1087" t="s">
        <v>3799</v>
      </c>
      <c r="G1087" t="s">
        <v>21</v>
      </c>
      <c r="H1087" t="s">
        <v>37</v>
      </c>
      <c r="I1087" s="13">
        <v>95000</v>
      </c>
      <c r="J1087" s="13">
        <v>92500</v>
      </c>
      <c r="K1087" s="13">
        <f>IF(J1087&lt;'Mapa Oficinas'!$I$21,0,IF(J1087&gt;'Mapa Oficinas'!$I$20,0,1))</f>
        <v>1</v>
      </c>
      <c r="L1087" t="s">
        <v>23</v>
      </c>
      <c r="M1087" t="s">
        <v>23</v>
      </c>
      <c r="N1087" t="s">
        <v>1570</v>
      </c>
      <c r="O1087" t="s">
        <v>2013</v>
      </c>
      <c r="P1087" t="s">
        <v>45</v>
      </c>
      <c r="Q1087">
        <v>2</v>
      </c>
      <c r="R1087" t="s">
        <v>523</v>
      </c>
      <c r="S1087" t="s">
        <v>200</v>
      </c>
      <c r="T1087" t="str">
        <f>VLOOKUP(S1087,'Mapa Oficinas'!$H$7:$I$16,2,FALSE)</f>
        <v>Otra Red Captación</v>
      </c>
      <c r="U1087" t="s">
        <v>29</v>
      </c>
      <c r="V1087" t="str">
        <f>VLOOKUP($R1087,'Mapa Oficinas'!$A$7:$C$46,2,FALSE)</f>
        <v>CABA</v>
      </c>
      <c r="W1087" t="str">
        <f>VLOOKUP($R1087,'Mapa Oficinas'!$A$7:$C$46,3,FALSE)</f>
        <v>Belgrano</v>
      </c>
    </row>
    <row r="1088" spans="1:23" x14ac:dyDescent="0.2">
      <c r="A1088" s="1">
        <v>45770</v>
      </c>
      <c r="B1088" s="20">
        <f t="shared" si="32"/>
        <v>2025</v>
      </c>
      <c r="C1088" s="20">
        <f t="shared" si="33"/>
        <v>4</v>
      </c>
      <c r="D1088" t="s">
        <v>1575</v>
      </c>
      <c r="E1088" s="49">
        <v>1</v>
      </c>
      <c r="F1088" t="s">
        <v>1576</v>
      </c>
      <c r="G1088" t="s">
        <v>21</v>
      </c>
      <c r="H1088" t="s">
        <v>37</v>
      </c>
      <c r="I1088" s="13">
        <v>95000</v>
      </c>
      <c r="J1088" s="13">
        <v>92500</v>
      </c>
      <c r="K1088" s="13">
        <f>IF(J1088&lt;'Mapa Oficinas'!$I$21,0,IF(J1088&gt;'Mapa Oficinas'!$I$20,0,1))</f>
        <v>1</v>
      </c>
      <c r="L1088" t="s">
        <v>23</v>
      </c>
      <c r="M1088" t="s">
        <v>23</v>
      </c>
      <c r="N1088" t="s">
        <v>1077</v>
      </c>
      <c r="O1088" t="s">
        <v>105</v>
      </c>
      <c r="P1088" t="s">
        <v>45</v>
      </c>
      <c r="Q1088">
        <v>2</v>
      </c>
      <c r="R1088" t="s">
        <v>67</v>
      </c>
      <c r="S1088" t="s">
        <v>28</v>
      </c>
      <c r="T1088" t="str">
        <f>VLOOKUP(S1088,'Mapa Oficinas'!$H$7:$I$16,2,FALSE)</f>
        <v>CB</v>
      </c>
      <c r="U1088" t="s">
        <v>29</v>
      </c>
      <c r="V1088" t="str">
        <f>VLOOKUP($R1088,'Mapa Oficinas'!$A$7:$C$46,2,FALSE)</f>
        <v>CABA</v>
      </c>
      <c r="W1088" t="str">
        <f>VLOOKUP($R1088,'Mapa Oficinas'!$A$7:$C$46,3,FALSE)</f>
        <v>Barrio Parque</v>
      </c>
    </row>
    <row r="1089" spans="1:23" x14ac:dyDescent="0.2">
      <c r="A1089" s="1">
        <v>46108</v>
      </c>
      <c r="B1089" s="20">
        <f t="shared" si="32"/>
        <v>2026</v>
      </c>
      <c r="C1089" s="20">
        <f t="shared" si="33"/>
        <v>3</v>
      </c>
      <c r="D1089" t="s">
        <v>7470</v>
      </c>
      <c r="E1089" s="49">
        <v>1</v>
      </c>
      <c r="F1089" t="s">
        <v>7471</v>
      </c>
      <c r="G1089" t="s">
        <v>21</v>
      </c>
      <c r="H1089" t="s">
        <v>76</v>
      </c>
      <c r="I1089" s="13">
        <v>95000</v>
      </c>
      <c r="J1089" s="13">
        <v>92500</v>
      </c>
      <c r="K1089" s="13">
        <f>IF(J1089&lt;'Mapa Oficinas'!$I$21,0,IF(J1089&gt;'Mapa Oficinas'!$I$20,0,1))</f>
        <v>1</v>
      </c>
      <c r="L1089" t="s">
        <v>23</v>
      </c>
      <c r="M1089" t="s">
        <v>23</v>
      </c>
      <c r="N1089" t="s">
        <v>7472</v>
      </c>
      <c r="O1089" t="s">
        <v>7473</v>
      </c>
      <c r="P1089" t="s">
        <v>34</v>
      </c>
      <c r="Q1089">
        <v>2</v>
      </c>
      <c r="R1089" t="s">
        <v>5456</v>
      </c>
      <c r="S1089" t="s">
        <v>28</v>
      </c>
      <c r="T1089" t="str">
        <f>VLOOKUP(S1089,'Mapa Oficinas'!$H$7:$I$16,2,FALSE)</f>
        <v>CB</v>
      </c>
      <c r="U1089" t="s">
        <v>29</v>
      </c>
      <c r="V1089" t="str">
        <f>VLOOKUP($R1089,'Mapa Oficinas'!$A$7:$C$46,2,FALSE)</f>
        <v>CABA</v>
      </c>
      <c r="W1089" t="str">
        <f>VLOOKUP($R1089,'Mapa Oficinas'!$A$7:$C$46,3,FALSE)</f>
        <v>Núñez</v>
      </c>
    </row>
    <row r="1090" spans="1:23" x14ac:dyDescent="0.2">
      <c r="A1090" s="1">
        <v>45894</v>
      </c>
      <c r="B1090" s="20">
        <f t="shared" ref="B1090:B1153" si="34">YEAR($A1090)</f>
        <v>2025</v>
      </c>
      <c r="C1090" s="20">
        <f t="shared" ref="C1090:C1153" si="35">MONTH($A1090)</f>
        <v>8</v>
      </c>
      <c r="D1090" t="s">
        <v>3742</v>
      </c>
      <c r="E1090" s="49">
        <v>1</v>
      </c>
      <c r="F1090" t="s">
        <v>3743</v>
      </c>
      <c r="G1090" t="s">
        <v>21</v>
      </c>
      <c r="H1090" t="s">
        <v>81</v>
      </c>
      <c r="I1090" s="13">
        <v>100000</v>
      </c>
      <c r="J1090" s="13">
        <v>93000</v>
      </c>
      <c r="K1090" s="13">
        <f>IF(J1090&lt;'Mapa Oficinas'!$I$21,0,IF(J1090&gt;'Mapa Oficinas'!$I$20,0,1))</f>
        <v>1</v>
      </c>
      <c r="L1090" t="s">
        <v>23</v>
      </c>
      <c r="M1090" t="s">
        <v>23</v>
      </c>
      <c r="N1090" t="s">
        <v>3744</v>
      </c>
      <c r="O1090" t="s">
        <v>223</v>
      </c>
      <c r="P1090" t="s">
        <v>34</v>
      </c>
      <c r="Q1090">
        <v>1</v>
      </c>
      <c r="R1090" t="s">
        <v>167</v>
      </c>
      <c r="S1090" t="s">
        <v>122</v>
      </c>
      <c r="T1090" t="str">
        <f>VLOOKUP(S1090,'Mapa Oficinas'!$H$7:$I$16,2,FALSE)</f>
        <v>Otra Red Búsqueda</v>
      </c>
      <c r="U1090" t="s">
        <v>29</v>
      </c>
      <c r="V1090" t="str">
        <f>VLOOKUP($R1090,'Mapa Oficinas'!$A$7:$C$46,2,FALSE)</f>
        <v>Interior - Santa Fe</v>
      </c>
      <c r="W1090" t="str">
        <f>VLOOKUP($R1090,'Mapa Oficinas'!$A$7:$C$46,3,FALSE)</f>
        <v>Capital Santa Fe</v>
      </c>
    </row>
    <row r="1091" spans="1:23" x14ac:dyDescent="0.2">
      <c r="A1091" s="1">
        <v>45896</v>
      </c>
      <c r="B1091" s="20">
        <f t="shared" si="34"/>
        <v>2025</v>
      </c>
      <c r="C1091" s="20">
        <f t="shared" si="35"/>
        <v>8</v>
      </c>
      <c r="D1091" t="s">
        <v>3800</v>
      </c>
      <c r="E1091" s="49">
        <v>1</v>
      </c>
      <c r="F1091" t="s">
        <v>3801</v>
      </c>
      <c r="G1091" t="s">
        <v>21</v>
      </c>
      <c r="H1091" t="s">
        <v>37</v>
      </c>
      <c r="I1091" s="13">
        <v>93000</v>
      </c>
      <c r="J1091" s="13">
        <v>93000</v>
      </c>
      <c r="K1091" s="13">
        <f>IF(J1091&lt;'Mapa Oficinas'!$I$21,0,IF(J1091&gt;'Mapa Oficinas'!$I$20,0,1))</f>
        <v>1</v>
      </c>
      <c r="L1091" t="s">
        <v>23</v>
      </c>
      <c r="M1091" t="s">
        <v>23</v>
      </c>
      <c r="O1091" t="s">
        <v>329</v>
      </c>
      <c r="P1091" t="s">
        <v>26</v>
      </c>
      <c r="Q1091">
        <v>1</v>
      </c>
      <c r="R1091" t="s">
        <v>183</v>
      </c>
      <c r="S1091" t="s">
        <v>122</v>
      </c>
      <c r="T1091" t="str">
        <f>VLOOKUP(S1091,'Mapa Oficinas'!$H$7:$I$16,2,FALSE)</f>
        <v>Otra Red Búsqueda</v>
      </c>
      <c r="U1091" t="s">
        <v>29</v>
      </c>
      <c r="V1091" t="str">
        <f>VLOOKUP($R1091,'Mapa Oficinas'!$A$7:$C$46,2,FALSE)</f>
        <v>Interior - Neuquén</v>
      </c>
      <c r="W1091" t="str">
        <f>VLOOKUP($R1091,'Mapa Oficinas'!$A$7:$C$46,3,FALSE)</f>
        <v>Capital Neuquén</v>
      </c>
    </row>
    <row r="1092" spans="1:23" x14ac:dyDescent="0.2">
      <c r="A1092" s="1">
        <v>46111</v>
      </c>
      <c r="B1092" s="20">
        <f t="shared" si="34"/>
        <v>2026</v>
      </c>
      <c r="C1092" s="20">
        <f t="shared" si="35"/>
        <v>3</v>
      </c>
      <c r="D1092" t="s">
        <v>7521</v>
      </c>
      <c r="E1092" s="49">
        <v>1</v>
      </c>
      <c r="F1092" t="s">
        <v>7522</v>
      </c>
      <c r="G1092" t="s">
        <v>21</v>
      </c>
      <c r="H1092" t="s">
        <v>362</v>
      </c>
      <c r="I1092" s="13">
        <v>890000</v>
      </c>
      <c r="J1092" s="13">
        <v>93000</v>
      </c>
      <c r="K1092" s="13">
        <f>IF(J1092&lt;'Mapa Oficinas'!$I$21,0,IF(J1092&gt;'Mapa Oficinas'!$I$20,0,1))</f>
        <v>1</v>
      </c>
      <c r="L1092" t="s">
        <v>23</v>
      </c>
      <c r="M1092" t="s">
        <v>1927</v>
      </c>
      <c r="N1092" t="s">
        <v>7523</v>
      </c>
      <c r="O1092" t="s">
        <v>120</v>
      </c>
      <c r="P1092" t="s">
        <v>45</v>
      </c>
      <c r="Q1092">
        <v>1</v>
      </c>
      <c r="R1092" t="s">
        <v>121</v>
      </c>
      <c r="S1092" t="s">
        <v>122</v>
      </c>
      <c r="T1092" t="str">
        <f>VLOOKUP(S1092,'Mapa Oficinas'!$H$7:$I$16,2,FALSE)</f>
        <v>Otra Red Búsqueda</v>
      </c>
      <c r="U1092" t="s">
        <v>29</v>
      </c>
      <c r="V1092" t="str">
        <f>VLOOKUP($R1092,'Mapa Oficinas'!$A$7:$C$46,2,FALSE)</f>
        <v>Interior - Río Negro</v>
      </c>
      <c r="W1092" t="str">
        <f>VLOOKUP($R1092,'Mapa Oficinas'!$A$7:$C$46,3,FALSE)</f>
        <v>Bariloche</v>
      </c>
    </row>
    <row r="1093" spans="1:23" x14ac:dyDescent="0.2">
      <c r="A1093" s="1">
        <v>46063</v>
      </c>
      <c r="B1093" s="20">
        <f t="shared" si="34"/>
        <v>2026</v>
      </c>
      <c r="C1093" s="20">
        <f t="shared" si="35"/>
        <v>2</v>
      </c>
      <c r="D1093" t="s">
        <v>6618</v>
      </c>
      <c r="E1093" s="49">
        <v>1</v>
      </c>
      <c r="F1093" t="s">
        <v>6619</v>
      </c>
      <c r="G1093" t="s">
        <v>21</v>
      </c>
      <c r="H1093" t="s">
        <v>81</v>
      </c>
      <c r="I1093" s="13">
        <v>115000</v>
      </c>
      <c r="J1093" s="13">
        <v>93000</v>
      </c>
      <c r="K1093" s="13">
        <f>IF(J1093&lt;'Mapa Oficinas'!$I$21,0,IF(J1093&gt;'Mapa Oficinas'!$I$20,0,1))</f>
        <v>1</v>
      </c>
      <c r="L1093" t="s">
        <v>23</v>
      </c>
      <c r="M1093" t="s">
        <v>23</v>
      </c>
      <c r="N1093" t="s">
        <v>6620</v>
      </c>
      <c r="O1093" t="s">
        <v>223</v>
      </c>
      <c r="P1093" t="s">
        <v>34</v>
      </c>
      <c r="Q1093">
        <v>1</v>
      </c>
      <c r="R1093" t="s">
        <v>167</v>
      </c>
      <c r="S1093" t="s">
        <v>152</v>
      </c>
      <c r="T1093" t="str">
        <f>VLOOKUP(S1093,'Mapa Oficinas'!$H$7:$I$16,2,FALSE)</f>
        <v>Otra Red Captación</v>
      </c>
      <c r="U1093" t="s">
        <v>29</v>
      </c>
      <c r="V1093" t="str">
        <f>VLOOKUP($R1093,'Mapa Oficinas'!$A$7:$C$46,2,FALSE)</f>
        <v>Interior - Santa Fe</v>
      </c>
      <c r="W1093" t="str">
        <f>VLOOKUP($R1093,'Mapa Oficinas'!$A$7:$C$46,3,FALSE)</f>
        <v>Capital Santa Fe</v>
      </c>
    </row>
    <row r="1094" spans="1:23" x14ac:dyDescent="0.2">
      <c r="A1094" s="1">
        <v>46100</v>
      </c>
      <c r="B1094" s="20">
        <f t="shared" si="34"/>
        <v>2026</v>
      </c>
      <c r="C1094" s="20">
        <f t="shared" si="35"/>
        <v>3</v>
      </c>
      <c r="D1094" t="s">
        <v>7301</v>
      </c>
      <c r="E1094" s="49">
        <v>1</v>
      </c>
      <c r="F1094" t="s">
        <v>7302</v>
      </c>
      <c r="G1094" t="s">
        <v>21</v>
      </c>
      <c r="H1094" t="s">
        <v>100</v>
      </c>
      <c r="I1094" s="13">
        <v>99000</v>
      </c>
      <c r="J1094" s="13">
        <v>93000</v>
      </c>
      <c r="K1094" s="13">
        <f>IF(J1094&lt;'Mapa Oficinas'!$I$21,0,IF(J1094&gt;'Mapa Oficinas'!$I$20,0,1))</f>
        <v>1</v>
      </c>
      <c r="L1094" t="s">
        <v>23</v>
      </c>
      <c r="M1094" t="s">
        <v>23</v>
      </c>
      <c r="N1094" t="s">
        <v>7303</v>
      </c>
      <c r="O1094" t="s">
        <v>120</v>
      </c>
      <c r="P1094" t="s">
        <v>45</v>
      </c>
      <c r="Q1094">
        <v>1</v>
      </c>
      <c r="R1094" t="s">
        <v>121</v>
      </c>
      <c r="S1094" t="s">
        <v>152</v>
      </c>
      <c r="T1094" t="str">
        <f>VLOOKUP(S1094,'Mapa Oficinas'!$H$7:$I$16,2,FALSE)</f>
        <v>Otra Red Captación</v>
      </c>
      <c r="U1094" t="s">
        <v>29</v>
      </c>
      <c r="V1094" t="str">
        <f>VLOOKUP($R1094,'Mapa Oficinas'!$A$7:$C$46,2,FALSE)</f>
        <v>Interior - Río Negro</v>
      </c>
      <c r="W1094" t="str">
        <f>VLOOKUP($R1094,'Mapa Oficinas'!$A$7:$C$46,3,FALSE)</f>
        <v>Bariloche</v>
      </c>
    </row>
    <row r="1095" spans="1:23" x14ac:dyDescent="0.2">
      <c r="A1095" s="1">
        <v>45793</v>
      </c>
      <c r="B1095" s="20">
        <f t="shared" si="34"/>
        <v>2025</v>
      </c>
      <c r="C1095" s="20">
        <f t="shared" si="35"/>
        <v>5</v>
      </c>
      <c r="D1095" t="s">
        <v>1982</v>
      </c>
      <c r="E1095" s="49">
        <v>1</v>
      </c>
      <c r="F1095" t="s">
        <v>1983</v>
      </c>
      <c r="G1095" t="s">
        <v>21</v>
      </c>
      <c r="H1095" t="s">
        <v>81</v>
      </c>
      <c r="I1095" s="13">
        <v>95000</v>
      </c>
      <c r="J1095" s="13">
        <v>93000</v>
      </c>
      <c r="K1095" s="13">
        <f>IF(J1095&lt;'Mapa Oficinas'!$I$21,0,IF(J1095&gt;'Mapa Oficinas'!$I$20,0,1))</f>
        <v>1</v>
      </c>
      <c r="L1095" t="s">
        <v>23</v>
      </c>
      <c r="M1095" t="s">
        <v>23</v>
      </c>
      <c r="N1095" t="s">
        <v>1984</v>
      </c>
      <c r="O1095" t="s">
        <v>325</v>
      </c>
      <c r="P1095" t="s">
        <v>45</v>
      </c>
      <c r="Q1095">
        <v>2</v>
      </c>
      <c r="R1095" t="s">
        <v>130</v>
      </c>
      <c r="S1095" t="s">
        <v>79</v>
      </c>
      <c r="T1095" t="str">
        <f>VLOOKUP(S1095,'Mapa Oficinas'!$H$7:$I$16,2,FALSE)</f>
        <v>CB</v>
      </c>
      <c r="U1095" t="s">
        <v>29</v>
      </c>
      <c r="V1095" t="str">
        <f>VLOOKUP($R1095,'Mapa Oficinas'!$A$7:$C$46,2,FALSE)</f>
        <v>Interior - Neuquén</v>
      </c>
      <c r="W1095" t="str">
        <f>VLOOKUP($R1095,'Mapa Oficinas'!$A$7:$C$46,3,FALSE)</f>
        <v>San Martín de los Andes</v>
      </c>
    </row>
    <row r="1096" spans="1:23" x14ac:dyDescent="0.2">
      <c r="A1096" s="1">
        <v>45945</v>
      </c>
      <c r="B1096" s="20">
        <f t="shared" si="34"/>
        <v>2025</v>
      </c>
      <c r="C1096" s="20">
        <f t="shared" si="35"/>
        <v>10</v>
      </c>
      <c r="D1096" t="s">
        <v>4705</v>
      </c>
      <c r="E1096" s="49">
        <v>1</v>
      </c>
      <c r="F1096" t="s">
        <v>4706</v>
      </c>
      <c r="G1096" t="s">
        <v>21</v>
      </c>
      <c r="H1096" t="s">
        <v>22</v>
      </c>
      <c r="I1096" s="13">
        <v>60000</v>
      </c>
      <c r="J1096" s="13">
        <v>93000</v>
      </c>
      <c r="K1096" s="13">
        <f>IF(J1096&lt;'Mapa Oficinas'!$I$21,0,IF(J1096&gt;'Mapa Oficinas'!$I$20,0,1))</f>
        <v>1</v>
      </c>
      <c r="L1096" t="s">
        <v>23</v>
      </c>
      <c r="M1096" t="s">
        <v>23</v>
      </c>
      <c r="N1096" t="s">
        <v>4201</v>
      </c>
      <c r="O1096" t="s">
        <v>380</v>
      </c>
      <c r="P1096" t="s">
        <v>45</v>
      </c>
      <c r="Q1096">
        <v>2</v>
      </c>
      <c r="R1096" t="s">
        <v>62</v>
      </c>
      <c r="S1096" t="s">
        <v>79</v>
      </c>
      <c r="T1096" t="str">
        <f>VLOOKUP(S1096,'Mapa Oficinas'!$H$7:$I$16,2,FALSE)</f>
        <v>CB</v>
      </c>
      <c r="U1096" t="s">
        <v>29</v>
      </c>
      <c r="V1096" t="str">
        <f>VLOOKUP($R1096,'Mapa Oficinas'!$A$7:$C$46,2,FALSE)</f>
        <v>CABA</v>
      </c>
      <c r="W1096" t="str">
        <f>VLOOKUP($R1096,'Mapa Oficinas'!$A$7:$C$46,3,FALSE)</f>
        <v>Villa Urquiza</v>
      </c>
    </row>
    <row r="1097" spans="1:23" x14ac:dyDescent="0.2">
      <c r="A1097" s="1">
        <v>46101</v>
      </c>
      <c r="B1097" s="20">
        <f t="shared" si="34"/>
        <v>2026</v>
      </c>
      <c r="C1097" s="20">
        <f t="shared" si="35"/>
        <v>3</v>
      </c>
      <c r="D1097" t="s">
        <v>168</v>
      </c>
      <c r="E1097" s="49">
        <v>1</v>
      </c>
      <c r="F1097" t="s">
        <v>7346</v>
      </c>
      <c r="G1097" t="s">
        <v>21</v>
      </c>
      <c r="H1097" t="s">
        <v>37</v>
      </c>
      <c r="I1097" s="13">
        <v>93000</v>
      </c>
      <c r="J1097" s="13">
        <v>93000</v>
      </c>
      <c r="K1097" s="13">
        <f>IF(J1097&lt;'Mapa Oficinas'!$I$21,0,IF(J1097&gt;'Mapa Oficinas'!$I$20,0,1))</f>
        <v>1</v>
      </c>
      <c r="L1097" t="s">
        <v>23</v>
      </c>
      <c r="M1097" t="s">
        <v>23</v>
      </c>
      <c r="N1097" t="s">
        <v>7347</v>
      </c>
      <c r="O1097" t="s">
        <v>477</v>
      </c>
      <c r="P1097" t="s">
        <v>45</v>
      </c>
      <c r="Q1097">
        <v>1</v>
      </c>
      <c r="R1097" t="s">
        <v>170</v>
      </c>
      <c r="S1097" t="s">
        <v>47</v>
      </c>
      <c r="T1097" t="str">
        <f>VLOOKUP(S1097,'Mapa Oficinas'!$H$7:$I$16,2,FALSE)</f>
        <v>Otra Red Búsqueda</v>
      </c>
      <c r="U1097" t="s">
        <v>29</v>
      </c>
      <c r="V1097" t="str">
        <f>VLOOKUP($R1097,'Mapa Oficinas'!$A$7:$C$46,2,FALSE)</f>
        <v>CABA</v>
      </c>
      <c r="W1097" t="str">
        <f>VLOOKUP($R1097,'Mapa Oficinas'!$A$7:$C$46,3,FALSE)</f>
        <v>Belgrano</v>
      </c>
    </row>
    <row r="1098" spans="1:23" x14ac:dyDescent="0.2">
      <c r="A1098" s="1">
        <v>46111</v>
      </c>
      <c r="B1098" s="20">
        <f t="shared" si="34"/>
        <v>2026</v>
      </c>
      <c r="C1098" s="20">
        <f t="shared" si="35"/>
        <v>3</v>
      </c>
      <c r="D1098" t="s">
        <v>7524</v>
      </c>
      <c r="E1098" s="49">
        <v>1</v>
      </c>
      <c r="F1098" t="s">
        <v>7525</v>
      </c>
      <c r="G1098" t="s">
        <v>21</v>
      </c>
      <c r="H1098" t="s">
        <v>22</v>
      </c>
      <c r="I1098" s="13">
        <v>93000</v>
      </c>
      <c r="J1098" s="13">
        <v>93000</v>
      </c>
      <c r="K1098" s="13">
        <f>IF(J1098&lt;'Mapa Oficinas'!$I$21,0,IF(J1098&gt;'Mapa Oficinas'!$I$20,0,1))</f>
        <v>1</v>
      </c>
      <c r="L1098" t="s">
        <v>23</v>
      </c>
      <c r="M1098" t="s">
        <v>23</v>
      </c>
      <c r="O1098" t="s">
        <v>7526</v>
      </c>
      <c r="P1098" t="s">
        <v>26</v>
      </c>
      <c r="Q1098">
        <v>1</v>
      </c>
      <c r="R1098" t="s">
        <v>110</v>
      </c>
      <c r="S1098" t="s">
        <v>47</v>
      </c>
      <c r="T1098" t="str">
        <f>VLOOKUP(S1098,'Mapa Oficinas'!$H$7:$I$16,2,FALSE)</f>
        <v>Otra Red Búsqueda</v>
      </c>
      <c r="U1098" t="s">
        <v>29</v>
      </c>
      <c r="V1098" t="str">
        <f>VLOOKUP($R1098,'Mapa Oficinas'!$A$7:$C$46,2,FALSE)</f>
        <v>Zona Norte (GBA)</v>
      </c>
      <c r="W1098" t="str">
        <f>VLOOKUP($R1098,'Mapa Oficinas'!$A$7:$C$46,3,FALSE)</f>
        <v>Nordelta</v>
      </c>
    </row>
    <row r="1099" spans="1:23" x14ac:dyDescent="0.2">
      <c r="A1099" s="1">
        <v>45926</v>
      </c>
      <c r="B1099" s="20">
        <f t="shared" si="34"/>
        <v>2025</v>
      </c>
      <c r="C1099" s="20">
        <f t="shared" si="35"/>
        <v>9</v>
      </c>
      <c r="D1099" t="s">
        <v>4380</v>
      </c>
      <c r="E1099" s="49">
        <v>1</v>
      </c>
      <c r="F1099" t="s">
        <v>3881</v>
      </c>
      <c r="G1099" t="s">
        <v>21</v>
      </c>
      <c r="H1099" t="s">
        <v>37</v>
      </c>
      <c r="I1099" s="13">
        <v>103000</v>
      </c>
      <c r="J1099" s="13">
        <v>93000</v>
      </c>
      <c r="K1099" s="13">
        <f>IF(J1099&lt;'Mapa Oficinas'!$I$21,0,IF(J1099&gt;'Mapa Oficinas'!$I$20,0,1))</f>
        <v>1</v>
      </c>
      <c r="L1099" t="s">
        <v>23</v>
      </c>
      <c r="M1099" t="s">
        <v>23</v>
      </c>
      <c r="N1099" t="s">
        <v>3882</v>
      </c>
      <c r="O1099" t="s">
        <v>380</v>
      </c>
      <c r="P1099" t="s">
        <v>45</v>
      </c>
      <c r="Q1099">
        <v>2</v>
      </c>
      <c r="R1099" t="s">
        <v>67</v>
      </c>
      <c r="S1099" t="s">
        <v>200</v>
      </c>
      <c r="T1099" t="str">
        <f>VLOOKUP(S1099,'Mapa Oficinas'!$H$7:$I$16,2,FALSE)</f>
        <v>Otra Red Captación</v>
      </c>
      <c r="U1099" t="s">
        <v>29</v>
      </c>
      <c r="V1099" t="str">
        <f>VLOOKUP($R1099,'Mapa Oficinas'!$A$7:$C$46,2,FALSE)</f>
        <v>CABA</v>
      </c>
      <c r="W1099" t="str">
        <f>VLOOKUP($R1099,'Mapa Oficinas'!$A$7:$C$46,3,FALSE)</f>
        <v>Barrio Parque</v>
      </c>
    </row>
    <row r="1100" spans="1:23" x14ac:dyDescent="0.2">
      <c r="A1100" s="1">
        <v>45796</v>
      </c>
      <c r="B1100" s="20">
        <f t="shared" si="34"/>
        <v>2025</v>
      </c>
      <c r="C1100" s="20">
        <f t="shared" si="35"/>
        <v>5</v>
      </c>
      <c r="D1100" t="s">
        <v>2014</v>
      </c>
      <c r="E1100" s="49">
        <v>1</v>
      </c>
      <c r="F1100" t="s">
        <v>2015</v>
      </c>
      <c r="G1100" t="s">
        <v>21</v>
      </c>
      <c r="H1100" t="s">
        <v>37</v>
      </c>
      <c r="I1100" s="13">
        <v>95000</v>
      </c>
      <c r="J1100" s="13">
        <v>93000</v>
      </c>
      <c r="K1100" s="13">
        <f>IF(J1100&lt;'Mapa Oficinas'!$I$21,0,IF(J1100&gt;'Mapa Oficinas'!$I$20,0,1))</f>
        <v>1</v>
      </c>
      <c r="L1100" t="s">
        <v>23</v>
      </c>
      <c r="M1100" t="s">
        <v>23</v>
      </c>
      <c r="N1100" t="s">
        <v>2016</v>
      </c>
      <c r="O1100" t="s">
        <v>60</v>
      </c>
      <c r="P1100" t="s">
        <v>45</v>
      </c>
      <c r="Q1100">
        <v>2</v>
      </c>
      <c r="R1100" t="s">
        <v>1024</v>
      </c>
      <c r="S1100" t="s">
        <v>28</v>
      </c>
      <c r="T1100" t="str">
        <f>VLOOKUP(S1100,'Mapa Oficinas'!$H$7:$I$16,2,FALSE)</f>
        <v>CB</v>
      </c>
      <c r="U1100" t="s">
        <v>29</v>
      </c>
      <c r="V1100" t="str">
        <f>VLOOKUP($R1100,'Mapa Oficinas'!$A$7:$C$46,2,FALSE)</f>
        <v>CABA</v>
      </c>
      <c r="W1100" t="str">
        <f>VLOOKUP($R1100,'Mapa Oficinas'!$A$7:$C$46,3,FALSE)</f>
        <v>Puerto Madero</v>
      </c>
    </row>
    <row r="1101" spans="1:23" x14ac:dyDescent="0.2">
      <c r="A1101" s="1">
        <v>46076</v>
      </c>
      <c r="B1101" s="20">
        <f t="shared" si="34"/>
        <v>2026</v>
      </c>
      <c r="C1101" s="20">
        <f t="shared" si="35"/>
        <v>2</v>
      </c>
      <c r="D1101" t="s">
        <v>6806</v>
      </c>
      <c r="E1101" s="49">
        <v>1</v>
      </c>
      <c r="F1101" t="s">
        <v>6807</v>
      </c>
      <c r="G1101" t="s">
        <v>21</v>
      </c>
      <c r="H1101" t="s">
        <v>37</v>
      </c>
      <c r="I1101" s="13">
        <v>109000</v>
      </c>
      <c r="J1101" s="13">
        <v>93000</v>
      </c>
      <c r="K1101" s="13">
        <f>IF(J1101&lt;'Mapa Oficinas'!$I$21,0,IF(J1101&gt;'Mapa Oficinas'!$I$20,0,1))</f>
        <v>1</v>
      </c>
      <c r="L1101" t="s">
        <v>23</v>
      </c>
      <c r="M1101" t="s">
        <v>23</v>
      </c>
      <c r="N1101" t="s">
        <v>6808</v>
      </c>
      <c r="O1101" t="s">
        <v>380</v>
      </c>
      <c r="P1101" t="s">
        <v>61</v>
      </c>
      <c r="Q1101">
        <v>2</v>
      </c>
      <c r="R1101" t="s">
        <v>5714</v>
      </c>
      <c r="S1101" t="s">
        <v>28</v>
      </c>
      <c r="T1101" t="str">
        <f>VLOOKUP(S1101,'Mapa Oficinas'!$H$7:$I$16,2,FALSE)</f>
        <v>CB</v>
      </c>
      <c r="U1101" t="s">
        <v>29</v>
      </c>
      <c r="V1101" t="str">
        <f>VLOOKUP($R1101,'Mapa Oficinas'!$A$7:$C$46,2,FALSE)</f>
        <v>CABA</v>
      </c>
      <c r="W1101" t="str">
        <f>VLOOKUP($R1101,'Mapa Oficinas'!$A$7:$C$46,3,FALSE)</f>
        <v>Palermo</v>
      </c>
    </row>
    <row r="1102" spans="1:23" x14ac:dyDescent="0.2">
      <c r="A1102" s="1">
        <v>46087</v>
      </c>
      <c r="B1102" s="20">
        <f t="shared" si="34"/>
        <v>2026</v>
      </c>
      <c r="C1102" s="20">
        <f t="shared" si="35"/>
        <v>3</v>
      </c>
      <c r="D1102" t="s">
        <v>6996</v>
      </c>
      <c r="E1102" s="49">
        <v>1</v>
      </c>
      <c r="F1102" t="s">
        <v>6997</v>
      </c>
      <c r="G1102" t="s">
        <v>21</v>
      </c>
      <c r="H1102" t="s">
        <v>37</v>
      </c>
      <c r="I1102" s="13">
        <v>114000</v>
      </c>
      <c r="J1102" s="13">
        <v>93000</v>
      </c>
      <c r="K1102" s="13">
        <f>IF(J1102&lt;'Mapa Oficinas'!$I$21,0,IF(J1102&gt;'Mapa Oficinas'!$I$20,0,1))</f>
        <v>1</v>
      </c>
      <c r="L1102" t="s">
        <v>23</v>
      </c>
      <c r="M1102" t="s">
        <v>23</v>
      </c>
      <c r="N1102" t="s">
        <v>6998</v>
      </c>
      <c r="O1102" t="s">
        <v>2194</v>
      </c>
      <c r="P1102" t="s">
        <v>45</v>
      </c>
      <c r="Q1102">
        <v>2</v>
      </c>
      <c r="R1102" t="s">
        <v>135</v>
      </c>
      <c r="S1102" t="s">
        <v>28</v>
      </c>
      <c r="T1102" t="str">
        <f>VLOOKUP(S1102,'Mapa Oficinas'!$H$7:$I$16,2,FALSE)</f>
        <v>CB</v>
      </c>
      <c r="U1102" t="s">
        <v>29</v>
      </c>
      <c r="V1102" t="str">
        <f>VLOOKUP($R1102,'Mapa Oficinas'!$A$7:$C$46,2,FALSE)</f>
        <v>CABA</v>
      </c>
      <c r="W1102" t="str">
        <f>VLOOKUP($R1102,'Mapa Oficinas'!$A$7:$C$46,3,FALSE)</f>
        <v>Recoleta</v>
      </c>
    </row>
    <row r="1103" spans="1:23" x14ac:dyDescent="0.2">
      <c r="A1103" s="1">
        <v>46093</v>
      </c>
      <c r="B1103" s="20">
        <f t="shared" si="34"/>
        <v>2026</v>
      </c>
      <c r="C1103" s="20">
        <f t="shared" si="35"/>
        <v>3</v>
      </c>
      <c r="D1103" t="s">
        <v>6806</v>
      </c>
      <c r="E1103" s="49">
        <v>1</v>
      </c>
      <c r="F1103" t="s">
        <v>6807</v>
      </c>
      <c r="G1103" t="s">
        <v>21</v>
      </c>
      <c r="H1103" t="s">
        <v>37</v>
      </c>
      <c r="I1103" s="13">
        <v>109000</v>
      </c>
      <c r="J1103" s="13">
        <v>93000</v>
      </c>
      <c r="K1103" s="13">
        <f>IF(J1103&lt;'Mapa Oficinas'!$I$21,0,IF(J1103&gt;'Mapa Oficinas'!$I$20,0,1))</f>
        <v>1</v>
      </c>
      <c r="L1103" t="s">
        <v>23</v>
      </c>
      <c r="M1103" t="s">
        <v>23</v>
      </c>
      <c r="N1103" t="s">
        <v>6808</v>
      </c>
      <c r="O1103" t="s">
        <v>380</v>
      </c>
      <c r="P1103" t="s">
        <v>61</v>
      </c>
      <c r="Q1103">
        <v>2</v>
      </c>
      <c r="R1103" t="s">
        <v>5714</v>
      </c>
      <c r="S1103" t="s">
        <v>28</v>
      </c>
      <c r="T1103" t="str">
        <f>VLOOKUP(S1103,'Mapa Oficinas'!$H$7:$I$16,2,FALSE)</f>
        <v>CB</v>
      </c>
      <c r="U1103" t="s">
        <v>29</v>
      </c>
      <c r="V1103" t="str">
        <f>VLOOKUP($R1103,'Mapa Oficinas'!$A$7:$C$46,2,FALSE)</f>
        <v>CABA</v>
      </c>
      <c r="W1103" t="str">
        <f>VLOOKUP($R1103,'Mapa Oficinas'!$A$7:$C$46,3,FALSE)</f>
        <v>Palermo</v>
      </c>
    </row>
    <row r="1104" spans="1:23" x14ac:dyDescent="0.2">
      <c r="A1104" s="1">
        <v>46055</v>
      </c>
      <c r="B1104" s="20">
        <f t="shared" si="34"/>
        <v>2026</v>
      </c>
      <c r="C1104" s="20">
        <f t="shared" si="35"/>
        <v>2</v>
      </c>
      <c r="E1104" s="49">
        <v>1</v>
      </c>
      <c r="F1104" t="s">
        <v>6496</v>
      </c>
      <c r="G1104" t="s">
        <v>21</v>
      </c>
      <c r="H1104" t="s">
        <v>76</v>
      </c>
      <c r="I1104" s="13">
        <v>94000</v>
      </c>
      <c r="J1104" s="13">
        <v>94000</v>
      </c>
      <c r="K1104" s="13">
        <f>IF(J1104&lt;'Mapa Oficinas'!$I$21,0,IF(J1104&gt;'Mapa Oficinas'!$I$20,0,1))</f>
        <v>1</v>
      </c>
      <c r="L1104" t="s">
        <v>23</v>
      </c>
      <c r="M1104" t="s">
        <v>23</v>
      </c>
      <c r="N1104" t="s">
        <v>6497</v>
      </c>
      <c r="O1104" t="s">
        <v>6498</v>
      </c>
      <c r="P1104" t="s">
        <v>34</v>
      </c>
      <c r="Q1104">
        <v>1</v>
      </c>
      <c r="R1104" t="s">
        <v>130</v>
      </c>
      <c r="S1104" t="s">
        <v>122</v>
      </c>
      <c r="T1104" t="str">
        <f>VLOOKUP(S1104,'Mapa Oficinas'!$H$7:$I$16,2,FALSE)</f>
        <v>Otra Red Búsqueda</v>
      </c>
      <c r="U1104" t="s">
        <v>29</v>
      </c>
      <c r="V1104" t="str">
        <f>VLOOKUP($R1104,'Mapa Oficinas'!$A$7:$C$46,2,FALSE)</f>
        <v>Interior - Neuquén</v>
      </c>
      <c r="W1104" t="str">
        <f>VLOOKUP($R1104,'Mapa Oficinas'!$A$7:$C$46,3,FALSE)</f>
        <v>San Martín de los Andes</v>
      </c>
    </row>
    <row r="1105" spans="1:23" x14ac:dyDescent="0.2">
      <c r="A1105" s="1">
        <v>45733</v>
      </c>
      <c r="B1105" s="20">
        <f t="shared" si="34"/>
        <v>2025</v>
      </c>
      <c r="C1105" s="20">
        <f t="shared" si="35"/>
        <v>3</v>
      </c>
      <c r="D1105" t="s">
        <v>982</v>
      </c>
      <c r="E1105" s="49">
        <v>1</v>
      </c>
      <c r="F1105" t="s">
        <v>982</v>
      </c>
      <c r="G1105" t="s">
        <v>21</v>
      </c>
      <c r="H1105" t="s">
        <v>37</v>
      </c>
      <c r="I1105" s="13">
        <v>94000</v>
      </c>
      <c r="J1105" s="13">
        <v>94000</v>
      </c>
      <c r="K1105" s="13">
        <f>IF(J1105&lt;'Mapa Oficinas'!$I$21,0,IF(J1105&gt;'Mapa Oficinas'!$I$20,0,1))</f>
        <v>1</v>
      </c>
      <c r="L1105" t="s">
        <v>23</v>
      </c>
      <c r="M1105" t="s">
        <v>23</v>
      </c>
      <c r="N1105" t="s">
        <v>982</v>
      </c>
      <c r="O1105" t="s">
        <v>116</v>
      </c>
      <c r="P1105" t="s">
        <v>45</v>
      </c>
      <c r="Q1105">
        <v>2</v>
      </c>
      <c r="R1105" t="s">
        <v>62</v>
      </c>
      <c r="S1105" t="s">
        <v>79</v>
      </c>
      <c r="T1105" t="str">
        <f>VLOOKUP(S1105,'Mapa Oficinas'!$H$7:$I$16,2,FALSE)</f>
        <v>CB</v>
      </c>
      <c r="U1105" t="s">
        <v>29</v>
      </c>
      <c r="V1105" t="str">
        <f>VLOOKUP($R1105,'Mapa Oficinas'!$A$7:$C$46,2,FALSE)</f>
        <v>CABA</v>
      </c>
      <c r="W1105" t="str">
        <f>VLOOKUP($R1105,'Mapa Oficinas'!$A$7:$C$46,3,FALSE)</f>
        <v>Villa Urquiza</v>
      </c>
    </row>
    <row r="1106" spans="1:23" x14ac:dyDescent="0.2">
      <c r="A1106" s="1">
        <v>45867</v>
      </c>
      <c r="B1106" s="20">
        <f t="shared" si="34"/>
        <v>2025</v>
      </c>
      <c r="C1106" s="20">
        <f t="shared" si="35"/>
        <v>7</v>
      </c>
      <c r="D1106" t="s">
        <v>3274</v>
      </c>
      <c r="E1106" s="49">
        <v>1</v>
      </c>
      <c r="F1106" t="s">
        <v>3274</v>
      </c>
      <c r="G1106" t="s">
        <v>21</v>
      </c>
      <c r="H1106" t="s">
        <v>90</v>
      </c>
      <c r="I1106" s="13">
        <v>94000</v>
      </c>
      <c r="J1106" s="13">
        <v>94000</v>
      </c>
      <c r="K1106" s="13">
        <f>IF(J1106&lt;'Mapa Oficinas'!$I$21,0,IF(J1106&gt;'Mapa Oficinas'!$I$20,0,1))</f>
        <v>1</v>
      </c>
      <c r="L1106" t="s">
        <v>23</v>
      </c>
      <c r="M1106" t="s">
        <v>23</v>
      </c>
      <c r="N1106" t="s">
        <v>3274</v>
      </c>
      <c r="O1106" t="s">
        <v>116</v>
      </c>
      <c r="P1106" t="s">
        <v>61</v>
      </c>
      <c r="Q1106">
        <v>2</v>
      </c>
      <c r="R1106" t="s">
        <v>62</v>
      </c>
      <c r="S1106" t="s">
        <v>79</v>
      </c>
      <c r="T1106" t="str">
        <f>VLOOKUP(S1106,'Mapa Oficinas'!$H$7:$I$16,2,FALSE)</f>
        <v>CB</v>
      </c>
      <c r="U1106" t="s">
        <v>29</v>
      </c>
      <c r="V1106" t="str">
        <f>VLOOKUP($R1106,'Mapa Oficinas'!$A$7:$C$46,2,FALSE)</f>
        <v>CABA</v>
      </c>
      <c r="W1106" t="str">
        <f>VLOOKUP($R1106,'Mapa Oficinas'!$A$7:$C$46,3,FALSE)</f>
        <v>Villa Urquiza</v>
      </c>
    </row>
    <row r="1107" spans="1:23" x14ac:dyDescent="0.2">
      <c r="A1107" s="1">
        <v>45856</v>
      </c>
      <c r="B1107" s="20">
        <f t="shared" si="34"/>
        <v>2025</v>
      </c>
      <c r="C1107" s="20">
        <f t="shared" si="35"/>
        <v>7</v>
      </c>
      <c r="D1107">
        <v>23</v>
      </c>
      <c r="E1107" s="49">
        <v>1</v>
      </c>
      <c r="F1107" t="s">
        <v>3120</v>
      </c>
      <c r="G1107" t="s">
        <v>21</v>
      </c>
      <c r="H1107" t="s">
        <v>37</v>
      </c>
      <c r="I1107" s="13">
        <v>94000</v>
      </c>
      <c r="J1107" s="13">
        <v>94000</v>
      </c>
      <c r="K1107" s="13">
        <f>IF(J1107&lt;'Mapa Oficinas'!$I$21,0,IF(J1107&gt;'Mapa Oficinas'!$I$20,0,1))</f>
        <v>1</v>
      </c>
      <c r="L1107" t="s">
        <v>23</v>
      </c>
      <c r="M1107" t="s">
        <v>23</v>
      </c>
      <c r="N1107" t="s">
        <v>3120</v>
      </c>
      <c r="O1107" t="s">
        <v>265</v>
      </c>
      <c r="P1107" t="s">
        <v>45</v>
      </c>
      <c r="Q1107">
        <v>1</v>
      </c>
      <c r="R1107" t="s">
        <v>1024</v>
      </c>
      <c r="S1107" t="s">
        <v>47</v>
      </c>
      <c r="T1107" t="str">
        <f>VLOOKUP(S1107,'Mapa Oficinas'!$H$7:$I$16,2,FALSE)</f>
        <v>Otra Red Búsqueda</v>
      </c>
      <c r="U1107" t="s">
        <v>29</v>
      </c>
      <c r="V1107" t="str">
        <f>VLOOKUP($R1107,'Mapa Oficinas'!$A$7:$C$46,2,FALSE)</f>
        <v>CABA</v>
      </c>
      <c r="W1107" t="str">
        <f>VLOOKUP($R1107,'Mapa Oficinas'!$A$7:$C$46,3,FALSE)</f>
        <v>Puerto Madero</v>
      </c>
    </row>
    <row r="1108" spans="1:23" x14ac:dyDescent="0.2">
      <c r="A1108" s="1">
        <v>45936</v>
      </c>
      <c r="B1108" s="20">
        <f t="shared" si="34"/>
        <v>2025</v>
      </c>
      <c r="C1108" s="20">
        <f t="shared" si="35"/>
        <v>10</v>
      </c>
      <c r="D1108" t="s">
        <v>4521</v>
      </c>
      <c r="E1108" s="49">
        <v>1</v>
      </c>
      <c r="F1108" t="s">
        <v>4522</v>
      </c>
      <c r="G1108" t="s">
        <v>21</v>
      </c>
      <c r="H1108" t="s">
        <v>37</v>
      </c>
      <c r="I1108" s="13">
        <v>98500</v>
      </c>
      <c r="J1108" s="13">
        <v>94000</v>
      </c>
      <c r="K1108" s="13">
        <f>IF(J1108&lt;'Mapa Oficinas'!$I$21,0,IF(J1108&gt;'Mapa Oficinas'!$I$20,0,1))</f>
        <v>1</v>
      </c>
      <c r="L1108" t="s">
        <v>23</v>
      </c>
      <c r="M1108" t="s">
        <v>23</v>
      </c>
      <c r="N1108" t="s">
        <v>4523</v>
      </c>
      <c r="O1108" t="s">
        <v>66</v>
      </c>
      <c r="P1108" t="s">
        <v>45</v>
      </c>
      <c r="Q1108">
        <v>2</v>
      </c>
      <c r="R1108" t="s">
        <v>67</v>
      </c>
      <c r="S1108" t="s">
        <v>200</v>
      </c>
      <c r="T1108" t="str">
        <f>VLOOKUP(S1108,'Mapa Oficinas'!$H$7:$I$16,2,FALSE)</f>
        <v>Otra Red Captación</v>
      </c>
      <c r="U1108" t="s">
        <v>29</v>
      </c>
      <c r="V1108" t="str">
        <f>VLOOKUP($R1108,'Mapa Oficinas'!$A$7:$C$46,2,FALSE)</f>
        <v>CABA</v>
      </c>
      <c r="W1108" t="str">
        <f>VLOOKUP($R1108,'Mapa Oficinas'!$A$7:$C$46,3,FALSE)</f>
        <v>Barrio Parque</v>
      </c>
    </row>
    <row r="1109" spans="1:23" x14ac:dyDescent="0.2">
      <c r="A1109" s="1">
        <v>45974</v>
      </c>
      <c r="B1109" s="20">
        <f t="shared" si="34"/>
        <v>2025</v>
      </c>
      <c r="C1109" s="20">
        <f t="shared" si="35"/>
        <v>11</v>
      </c>
      <c r="D1109" t="s">
        <v>5199</v>
      </c>
      <c r="E1109" s="49">
        <v>1</v>
      </c>
      <c r="F1109" t="s">
        <v>4493</v>
      </c>
      <c r="G1109" t="s">
        <v>21</v>
      </c>
      <c r="H1109" t="s">
        <v>221</v>
      </c>
      <c r="I1109" s="13">
        <v>97000</v>
      </c>
      <c r="J1109" s="13">
        <v>94000</v>
      </c>
      <c r="K1109" s="13">
        <f>IF(J1109&lt;'Mapa Oficinas'!$I$21,0,IF(J1109&gt;'Mapa Oficinas'!$I$20,0,1))</f>
        <v>1</v>
      </c>
      <c r="L1109" t="s">
        <v>23</v>
      </c>
      <c r="M1109" t="s">
        <v>23</v>
      </c>
      <c r="N1109" t="s">
        <v>5200</v>
      </c>
      <c r="O1109" t="s">
        <v>4107</v>
      </c>
      <c r="P1109" t="s">
        <v>34</v>
      </c>
      <c r="Q1109">
        <v>2</v>
      </c>
      <c r="R1109" t="s">
        <v>2003</v>
      </c>
      <c r="S1109" t="s">
        <v>1265</v>
      </c>
      <c r="T1109" t="str">
        <f>VLOOKUP(S1109,'Mapa Oficinas'!$H$7:$I$16,2,FALSE)</f>
        <v>CB</v>
      </c>
      <c r="U1109" t="s">
        <v>29</v>
      </c>
      <c r="V1109" t="str">
        <f>VLOOKUP($R1109,'Mapa Oficinas'!$A$7:$C$46,2,FALSE)</f>
        <v>Interior - Mendoza</v>
      </c>
      <c r="W1109" t="str">
        <f>VLOOKUP($R1109,'Mapa Oficinas'!$A$7:$C$46,3,FALSE)</f>
        <v>San Rafael</v>
      </c>
    </row>
    <row r="1110" spans="1:23" x14ac:dyDescent="0.2">
      <c r="A1110" s="1">
        <v>45741</v>
      </c>
      <c r="B1110" s="20">
        <f t="shared" si="34"/>
        <v>2025</v>
      </c>
      <c r="C1110" s="20">
        <f t="shared" si="35"/>
        <v>3</v>
      </c>
      <c r="D1110" t="s">
        <v>1087</v>
      </c>
      <c r="E1110" s="49">
        <v>1</v>
      </c>
      <c r="F1110" t="s">
        <v>1088</v>
      </c>
      <c r="G1110" t="s">
        <v>21</v>
      </c>
      <c r="H1110" t="s">
        <v>37</v>
      </c>
      <c r="I1110" s="13">
        <v>100000</v>
      </c>
      <c r="J1110" s="13">
        <v>94000</v>
      </c>
      <c r="K1110" s="13">
        <f>IF(J1110&lt;'Mapa Oficinas'!$I$21,0,IF(J1110&gt;'Mapa Oficinas'!$I$20,0,1))</f>
        <v>1</v>
      </c>
      <c r="L1110" t="s">
        <v>23</v>
      </c>
      <c r="M1110" t="s">
        <v>23</v>
      </c>
      <c r="N1110" t="s">
        <v>1089</v>
      </c>
      <c r="O1110" t="s">
        <v>1090</v>
      </c>
      <c r="P1110" t="s">
        <v>45</v>
      </c>
      <c r="Q1110">
        <v>2</v>
      </c>
      <c r="R1110" t="s">
        <v>67</v>
      </c>
      <c r="S1110" t="s">
        <v>28</v>
      </c>
      <c r="T1110" t="str">
        <f>VLOOKUP(S1110,'Mapa Oficinas'!$H$7:$I$16,2,FALSE)</f>
        <v>CB</v>
      </c>
      <c r="U1110" t="s">
        <v>29</v>
      </c>
      <c r="V1110" t="str">
        <f>VLOOKUP($R1110,'Mapa Oficinas'!$A$7:$C$46,2,FALSE)</f>
        <v>CABA</v>
      </c>
      <c r="W1110" t="str">
        <f>VLOOKUP($R1110,'Mapa Oficinas'!$A$7:$C$46,3,FALSE)</f>
        <v>Barrio Parque</v>
      </c>
    </row>
    <row r="1111" spans="1:23" x14ac:dyDescent="0.2">
      <c r="A1111" s="1">
        <v>46101</v>
      </c>
      <c r="B1111" s="20">
        <f t="shared" si="34"/>
        <v>2026</v>
      </c>
      <c r="C1111" s="20">
        <f t="shared" si="35"/>
        <v>3</v>
      </c>
      <c r="D1111" t="s">
        <v>7348</v>
      </c>
      <c r="E1111" s="49">
        <v>1</v>
      </c>
      <c r="F1111" t="s">
        <v>7349</v>
      </c>
      <c r="G1111" t="s">
        <v>21</v>
      </c>
      <c r="H1111" t="s">
        <v>37</v>
      </c>
      <c r="I1111" s="13">
        <v>98000</v>
      </c>
      <c r="J1111" s="13">
        <v>94000</v>
      </c>
      <c r="K1111" s="13">
        <f>IF(J1111&lt;'Mapa Oficinas'!$I$21,0,IF(J1111&gt;'Mapa Oficinas'!$I$20,0,1))</f>
        <v>1</v>
      </c>
      <c r="L1111" t="s">
        <v>23</v>
      </c>
      <c r="M1111" t="s">
        <v>23</v>
      </c>
      <c r="N1111" t="s">
        <v>7350</v>
      </c>
      <c r="O1111" t="s">
        <v>1239</v>
      </c>
      <c r="P1111" t="s">
        <v>34</v>
      </c>
      <c r="Q1111">
        <v>2</v>
      </c>
      <c r="R1111" t="s">
        <v>130</v>
      </c>
      <c r="S1111" t="s">
        <v>28</v>
      </c>
      <c r="T1111" t="str">
        <f>VLOOKUP(S1111,'Mapa Oficinas'!$H$7:$I$16,2,FALSE)</f>
        <v>CB</v>
      </c>
      <c r="U1111" t="s">
        <v>29</v>
      </c>
      <c r="V1111" t="str">
        <f>VLOOKUP($R1111,'Mapa Oficinas'!$A$7:$C$46,2,FALSE)</f>
        <v>Interior - Neuquén</v>
      </c>
      <c r="W1111" t="str">
        <f>VLOOKUP($R1111,'Mapa Oficinas'!$A$7:$C$46,3,FALSE)</f>
        <v>San Martín de los Andes</v>
      </c>
    </row>
    <row r="1112" spans="1:23" x14ac:dyDescent="0.2">
      <c r="A1112" s="1">
        <v>45952</v>
      </c>
      <c r="B1112" s="20">
        <f t="shared" si="34"/>
        <v>2025</v>
      </c>
      <c r="C1112" s="20">
        <f t="shared" si="35"/>
        <v>10</v>
      </c>
      <c r="D1112" t="s">
        <v>4843</v>
      </c>
      <c r="E1112" s="49">
        <v>1</v>
      </c>
      <c r="F1112" t="s">
        <v>4844</v>
      </c>
      <c r="G1112" t="s">
        <v>21</v>
      </c>
      <c r="H1112" t="s">
        <v>81</v>
      </c>
      <c r="I1112" s="13">
        <v>94000</v>
      </c>
      <c r="J1112" s="13">
        <v>94050</v>
      </c>
      <c r="K1112" s="13">
        <f>IF(J1112&lt;'Mapa Oficinas'!$I$21,0,IF(J1112&gt;'Mapa Oficinas'!$I$20,0,1))</f>
        <v>1</v>
      </c>
      <c r="L1112" t="s">
        <v>23</v>
      </c>
      <c r="M1112" t="s">
        <v>23</v>
      </c>
      <c r="P1112" t="s">
        <v>45</v>
      </c>
      <c r="Q1112">
        <v>1</v>
      </c>
      <c r="R1112" t="s">
        <v>27</v>
      </c>
      <c r="S1112" t="s">
        <v>47</v>
      </c>
      <c r="T1112" t="str">
        <f>VLOOKUP(S1112,'Mapa Oficinas'!$H$7:$I$16,2,FALSE)</f>
        <v>Otra Red Búsqueda</v>
      </c>
      <c r="U1112" t="s">
        <v>29</v>
      </c>
      <c r="V1112" t="str">
        <f>VLOOKUP($R1112,'Mapa Oficinas'!$A$7:$C$46,2,FALSE)</f>
        <v>Zona Norte (GBA)</v>
      </c>
      <c r="W1112" t="str">
        <f>VLOOKUP($R1112,'Mapa Oficinas'!$A$7:$C$46,3,FALSE)</f>
        <v>Tigre</v>
      </c>
    </row>
    <row r="1113" spans="1:23" x14ac:dyDescent="0.2">
      <c r="A1113" s="1">
        <v>45785</v>
      </c>
      <c r="B1113" s="20">
        <f t="shared" si="34"/>
        <v>2025</v>
      </c>
      <c r="C1113" s="20">
        <f t="shared" si="35"/>
        <v>5</v>
      </c>
      <c r="D1113" t="s">
        <v>549</v>
      </c>
      <c r="E1113" s="49">
        <v>1</v>
      </c>
      <c r="F1113" t="s">
        <v>550</v>
      </c>
      <c r="G1113" t="s">
        <v>21</v>
      </c>
      <c r="H1113" t="s">
        <v>119</v>
      </c>
      <c r="I1113" s="13">
        <v>92800</v>
      </c>
      <c r="J1113" s="13">
        <v>94470</v>
      </c>
      <c r="K1113" s="13">
        <f>IF(J1113&lt;'Mapa Oficinas'!$I$21,0,IF(J1113&gt;'Mapa Oficinas'!$I$20,0,1))</f>
        <v>1</v>
      </c>
      <c r="L1113" t="s">
        <v>23</v>
      </c>
      <c r="M1113" t="s">
        <v>23</v>
      </c>
      <c r="N1113" t="s">
        <v>288</v>
      </c>
      <c r="O1113" t="s">
        <v>209</v>
      </c>
      <c r="P1113" t="s">
        <v>45</v>
      </c>
      <c r="Q1113">
        <v>2</v>
      </c>
      <c r="R1113" t="s">
        <v>121</v>
      </c>
      <c r="S1113" t="s">
        <v>28</v>
      </c>
      <c r="T1113" t="str">
        <f>VLOOKUP(S1113,'Mapa Oficinas'!$H$7:$I$16,2,FALSE)</f>
        <v>CB</v>
      </c>
      <c r="U1113" t="s">
        <v>29</v>
      </c>
      <c r="V1113" t="str">
        <f>VLOOKUP($R1113,'Mapa Oficinas'!$A$7:$C$46,2,FALSE)</f>
        <v>Interior - Río Negro</v>
      </c>
      <c r="W1113" t="str">
        <f>VLOOKUP($R1113,'Mapa Oficinas'!$A$7:$C$46,3,FALSE)</f>
        <v>Bariloche</v>
      </c>
    </row>
    <row r="1114" spans="1:23" x14ac:dyDescent="0.2">
      <c r="A1114" s="1">
        <v>45867</v>
      </c>
      <c r="B1114" s="20">
        <f t="shared" si="34"/>
        <v>2025</v>
      </c>
      <c r="C1114" s="20">
        <f t="shared" si="35"/>
        <v>7</v>
      </c>
      <c r="D1114">
        <v>28072025</v>
      </c>
      <c r="E1114" s="49">
        <v>1</v>
      </c>
      <c r="F1114" t="s">
        <v>3275</v>
      </c>
      <c r="G1114" t="s">
        <v>21</v>
      </c>
      <c r="H1114" t="s">
        <v>100</v>
      </c>
      <c r="I1114" s="13">
        <v>94500</v>
      </c>
      <c r="J1114" s="13">
        <v>94500</v>
      </c>
      <c r="K1114" s="13">
        <f>IF(J1114&lt;'Mapa Oficinas'!$I$21,0,IF(J1114&gt;'Mapa Oficinas'!$I$20,0,1))</f>
        <v>1</v>
      </c>
      <c r="L1114" t="s">
        <v>23</v>
      </c>
      <c r="M1114" t="s">
        <v>23</v>
      </c>
      <c r="O1114" t="s">
        <v>120</v>
      </c>
      <c r="P1114" t="s">
        <v>45</v>
      </c>
      <c r="Q1114">
        <v>1</v>
      </c>
      <c r="R1114" t="s">
        <v>121</v>
      </c>
      <c r="S1114" t="s">
        <v>122</v>
      </c>
      <c r="T1114" t="str">
        <f>VLOOKUP(S1114,'Mapa Oficinas'!$H$7:$I$16,2,FALSE)</f>
        <v>Otra Red Búsqueda</v>
      </c>
      <c r="U1114" t="s">
        <v>29</v>
      </c>
      <c r="V1114" t="str">
        <f>VLOOKUP($R1114,'Mapa Oficinas'!$A$7:$C$46,2,FALSE)</f>
        <v>Interior - Río Negro</v>
      </c>
      <c r="W1114" t="str">
        <f>VLOOKUP($R1114,'Mapa Oficinas'!$A$7:$C$46,3,FALSE)</f>
        <v>Bariloche</v>
      </c>
    </row>
    <row r="1115" spans="1:23" x14ac:dyDescent="0.2">
      <c r="A1115" s="1">
        <v>45834</v>
      </c>
      <c r="B1115" s="20">
        <f t="shared" si="34"/>
        <v>2025</v>
      </c>
      <c r="C1115" s="20">
        <f t="shared" si="35"/>
        <v>6</v>
      </c>
      <c r="D1115" t="s">
        <v>2659</v>
      </c>
      <c r="E1115" s="49">
        <v>1</v>
      </c>
      <c r="F1115" t="s">
        <v>2660</v>
      </c>
      <c r="G1115" t="s">
        <v>21</v>
      </c>
      <c r="H1115" t="s">
        <v>100</v>
      </c>
      <c r="I1115" s="13">
        <v>95000</v>
      </c>
      <c r="J1115" s="13">
        <v>94500</v>
      </c>
      <c r="K1115" s="13">
        <f>IF(J1115&lt;'Mapa Oficinas'!$I$21,0,IF(J1115&gt;'Mapa Oficinas'!$I$20,0,1))</f>
        <v>1</v>
      </c>
      <c r="L1115" t="s">
        <v>23</v>
      </c>
      <c r="M1115" t="s">
        <v>23</v>
      </c>
      <c r="N1115" t="s">
        <v>2661</v>
      </c>
      <c r="O1115" t="s">
        <v>403</v>
      </c>
      <c r="P1115" t="s">
        <v>45</v>
      </c>
      <c r="Q1115">
        <v>2</v>
      </c>
      <c r="R1115" t="s">
        <v>121</v>
      </c>
      <c r="S1115" t="s">
        <v>28</v>
      </c>
      <c r="T1115" t="str">
        <f>VLOOKUP(S1115,'Mapa Oficinas'!$H$7:$I$16,2,FALSE)</f>
        <v>CB</v>
      </c>
      <c r="U1115" t="s">
        <v>29</v>
      </c>
      <c r="V1115" t="str">
        <f>VLOOKUP($R1115,'Mapa Oficinas'!$A$7:$C$46,2,FALSE)</f>
        <v>Interior - Río Negro</v>
      </c>
      <c r="W1115" t="str">
        <f>VLOOKUP($R1115,'Mapa Oficinas'!$A$7:$C$46,3,FALSE)</f>
        <v>Bariloche</v>
      </c>
    </row>
    <row r="1116" spans="1:23" x14ac:dyDescent="0.2">
      <c r="A1116" s="1">
        <v>45897</v>
      </c>
      <c r="B1116" s="20">
        <f t="shared" si="34"/>
        <v>2025</v>
      </c>
      <c r="C1116" s="20">
        <f t="shared" si="35"/>
        <v>8</v>
      </c>
      <c r="D1116" t="s">
        <v>3825</v>
      </c>
      <c r="E1116" s="49">
        <v>1</v>
      </c>
      <c r="F1116" t="s">
        <v>3826</v>
      </c>
      <c r="G1116" t="s">
        <v>21</v>
      </c>
      <c r="H1116" t="s">
        <v>37</v>
      </c>
      <c r="I1116" s="13">
        <v>100000</v>
      </c>
      <c r="J1116" s="13">
        <v>95000</v>
      </c>
      <c r="K1116" s="13">
        <f>IF(J1116&lt;'Mapa Oficinas'!$I$21,0,IF(J1116&gt;'Mapa Oficinas'!$I$20,0,1))</f>
        <v>1</v>
      </c>
      <c r="L1116" t="s">
        <v>23</v>
      </c>
      <c r="M1116" t="s">
        <v>23</v>
      </c>
      <c r="N1116" t="s">
        <v>3827</v>
      </c>
      <c r="O1116" t="s">
        <v>329</v>
      </c>
      <c r="P1116" t="s">
        <v>45</v>
      </c>
      <c r="Q1116">
        <v>1</v>
      </c>
      <c r="R1116" t="s">
        <v>183</v>
      </c>
      <c r="S1116" t="s">
        <v>152</v>
      </c>
      <c r="T1116" t="str">
        <f>VLOOKUP(S1116,'Mapa Oficinas'!$H$7:$I$16,2,FALSE)</f>
        <v>Otra Red Captación</v>
      </c>
      <c r="U1116" t="s">
        <v>29</v>
      </c>
      <c r="V1116" t="str">
        <f>VLOOKUP($R1116,'Mapa Oficinas'!$A$7:$C$46,2,FALSE)</f>
        <v>Interior - Neuquén</v>
      </c>
      <c r="W1116" t="str">
        <f>VLOOKUP($R1116,'Mapa Oficinas'!$A$7:$C$46,3,FALSE)</f>
        <v>Capital Neuquén</v>
      </c>
    </row>
    <row r="1117" spans="1:23" x14ac:dyDescent="0.2">
      <c r="A1117" s="1">
        <v>46111</v>
      </c>
      <c r="B1117" s="20">
        <f t="shared" si="34"/>
        <v>2026</v>
      </c>
      <c r="C1117" s="20">
        <f t="shared" si="35"/>
        <v>3</v>
      </c>
      <c r="D1117" t="s">
        <v>7527</v>
      </c>
      <c r="E1117" s="49">
        <v>1</v>
      </c>
      <c r="F1117" t="s">
        <v>7528</v>
      </c>
      <c r="G1117" t="s">
        <v>21</v>
      </c>
      <c r="H1117" t="s">
        <v>37</v>
      </c>
      <c r="I1117" s="13">
        <v>105000</v>
      </c>
      <c r="J1117" s="13">
        <v>95000</v>
      </c>
      <c r="K1117" s="13">
        <f>IF(J1117&lt;'Mapa Oficinas'!$I$21,0,IF(J1117&gt;'Mapa Oficinas'!$I$20,0,1))</f>
        <v>1</v>
      </c>
      <c r="L1117" t="s">
        <v>23</v>
      </c>
      <c r="M1117" t="s">
        <v>23</v>
      </c>
      <c r="N1117" t="s">
        <v>7529</v>
      </c>
      <c r="O1117" t="s">
        <v>4153</v>
      </c>
      <c r="P1117" t="s">
        <v>45</v>
      </c>
      <c r="Q1117">
        <v>1</v>
      </c>
      <c r="R1117" t="s">
        <v>151</v>
      </c>
      <c r="S1117" t="s">
        <v>152</v>
      </c>
      <c r="T1117" t="str">
        <f>VLOOKUP(S1117,'Mapa Oficinas'!$H$7:$I$16,2,FALSE)</f>
        <v>Otra Red Captación</v>
      </c>
      <c r="U1117" t="s">
        <v>29</v>
      </c>
      <c r="V1117" t="str">
        <f>VLOOKUP($R1117,'Mapa Oficinas'!$A$7:$C$46,2,FALSE)</f>
        <v>Interior - Mendoza</v>
      </c>
      <c r="W1117" t="str">
        <f>VLOOKUP($R1117,'Mapa Oficinas'!$A$7:$C$46,3,FALSE)</f>
        <v>Capital Mendoza</v>
      </c>
    </row>
    <row r="1118" spans="1:23" x14ac:dyDescent="0.2">
      <c r="A1118" s="1">
        <v>45826</v>
      </c>
      <c r="B1118" s="20">
        <f t="shared" si="34"/>
        <v>2025</v>
      </c>
      <c r="C1118" s="20">
        <f t="shared" si="35"/>
        <v>6</v>
      </c>
      <c r="D1118" t="s">
        <v>2542</v>
      </c>
      <c r="E1118" s="49">
        <v>1</v>
      </c>
      <c r="F1118" t="s">
        <v>2543</v>
      </c>
      <c r="G1118" t="s">
        <v>21</v>
      </c>
      <c r="H1118" t="s">
        <v>37</v>
      </c>
      <c r="I1118" s="13">
        <v>99900</v>
      </c>
      <c r="J1118" s="13">
        <v>95000</v>
      </c>
      <c r="K1118" s="13">
        <f>IF(J1118&lt;'Mapa Oficinas'!$I$21,0,IF(J1118&gt;'Mapa Oficinas'!$I$20,0,1))</f>
        <v>1</v>
      </c>
      <c r="L1118" t="s">
        <v>23</v>
      </c>
      <c r="M1118" t="s">
        <v>23</v>
      </c>
      <c r="N1118" t="s">
        <v>2544</v>
      </c>
      <c r="O1118" t="s">
        <v>519</v>
      </c>
      <c r="P1118" t="s">
        <v>45</v>
      </c>
      <c r="Q1118">
        <v>2</v>
      </c>
      <c r="R1118" t="s">
        <v>62</v>
      </c>
      <c r="S1118" t="s">
        <v>79</v>
      </c>
      <c r="T1118" t="str">
        <f>VLOOKUP(S1118,'Mapa Oficinas'!$H$7:$I$16,2,FALSE)</f>
        <v>CB</v>
      </c>
      <c r="U1118" t="s">
        <v>29</v>
      </c>
      <c r="V1118" t="str">
        <f>VLOOKUP($R1118,'Mapa Oficinas'!$A$7:$C$46,2,FALSE)</f>
        <v>CABA</v>
      </c>
      <c r="W1118" t="str">
        <f>VLOOKUP($R1118,'Mapa Oficinas'!$A$7:$C$46,3,FALSE)</f>
        <v>Villa Urquiza</v>
      </c>
    </row>
    <row r="1119" spans="1:23" x14ac:dyDescent="0.2">
      <c r="A1119" s="1">
        <v>45838</v>
      </c>
      <c r="B1119" s="20">
        <f t="shared" si="34"/>
        <v>2025</v>
      </c>
      <c r="C1119" s="20">
        <f t="shared" si="35"/>
        <v>6</v>
      </c>
      <c r="D1119" t="s">
        <v>2775</v>
      </c>
      <c r="E1119" s="49">
        <v>1</v>
      </c>
      <c r="F1119" t="s">
        <v>2776</v>
      </c>
      <c r="G1119" t="s">
        <v>21</v>
      </c>
      <c r="H1119" t="s">
        <v>81</v>
      </c>
      <c r="I1119" s="13">
        <v>120000</v>
      </c>
      <c r="J1119" s="13">
        <v>95000</v>
      </c>
      <c r="K1119" s="13">
        <f>IF(J1119&lt;'Mapa Oficinas'!$I$21,0,IF(J1119&gt;'Mapa Oficinas'!$I$20,0,1))</f>
        <v>1</v>
      </c>
      <c r="L1119" t="s">
        <v>23</v>
      </c>
      <c r="M1119" t="s">
        <v>23</v>
      </c>
      <c r="N1119" t="s">
        <v>2777</v>
      </c>
      <c r="O1119" t="s">
        <v>1897</v>
      </c>
      <c r="P1119" t="s">
        <v>26</v>
      </c>
      <c r="Q1119">
        <v>2</v>
      </c>
      <c r="R1119" t="s">
        <v>130</v>
      </c>
      <c r="S1119" t="s">
        <v>79</v>
      </c>
      <c r="T1119" t="str">
        <f>VLOOKUP(S1119,'Mapa Oficinas'!$H$7:$I$16,2,FALSE)</f>
        <v>CB</v>
      </c>
      <c r="U1119" t="s">
        <v>29</v>
      </c>
      <c r="V1119" t="str">
        <f>VLOOKUP($R1119,'Mapa Oficinas'!$A$7:$C$46,2,FALSE)</f>
        <v>Interior - Neuquén</v>
      </c>
      <c r="W1119" t="str">
        <f>VLOOKUP($R1119,'Mapa Oficinas'!$A$7:$C$46,3,FALSE)</f>
        <v>San Martín de los Andes</v>
      </c>
    </row>
    <row r="1120" spans="1:23" x14ac:dyDescent="0.2">
      <c r="A1120" s="1">
        <v>45948</v>
      </c>
      <c r="B1120" s="20">
        <f t="shared" si="34"/>
        <v>2025</v>
      </c>
      <c r="C1120" s="20">
        <f t="shared" si="35"/>
        <v>10</v>
      </c>
      <c r="D1120" t="s">
        <v>4785</v>
      </c>
      <c r="E1120" s="49">
        <v>1</v>
      </c>
      <c r="F1120" t="s">
        <v>4786</v>
      </c>
      <c r="G1120" t="s">
        <v>21</v>
      </c>
      <c r="H1120" t="s">
        <v>22</v>
      </c>
      <c r="I1120" s="13">
        <v>105000</v>
      </c>
      <c r="J1120" s="13">
        <v>95000</v>
      </c>
      <c r="K1120" s="13">
        <f>IF(J1120&lt;'Mapa Oficinas'!$I$21,0,IF(J1120&gt;'Mapa Oficinas'!$I$20,0,1))</f>
        <v>1</v>
      </c>
      <c r="L1120" t="s">
        <v>23</v>
      </c>
      <c r="M1120" t="s">
        <v>23</v>
      </c>
      <c r="N1120" t="s">
        <v>4787</v>
      </c>
      <c r="O1120" t="s">
        <v>470</v>
      </c>
      <c r="P1120" t="s">
        <v>45</v>
      </c>
      <c r="Q1120">
        <v>2</v>
      </c>
      <c r="R1120" t="s">
        <v>110</v>
      </c>
      <c r="S1120" t="s">
        <v>79</v>
      </c>
      <c r="T1120" t="str">
        <f>VLOOKUP(S1120,'Mapa Oficinas'!$H$7:$I$16,2,FALSE)</f>
        <v>CB</v>
      </c>
      <c r="U1120" t="s">
        <v>29</v>
      </c>
      <c r="V1120" t="str">
        <f>VLOOKUP($R1120,'Mapa Oficinas'!$A$7:$C$46,2,FALSE)</f>
        <v>Zona Norte (GBA)</v>
      </c>
      <c r="W1120" t="str">
        <f>VLOOKUP($R1120,'Mapa Oficinas'!$A$7:$C$46,3,FALSE)</f>
        <v>Nordelta</v>
      </c>
    </row>
    <row r="1121" spans="1:23" x14ac:dyDescent="0.2">
      <c r="A1121" s="1">
        <v>45992</v>
      </c>
      <c r="B1121" s="20">
        <f t="shared" si="34"/>
        <v>2025</v>
      </c>
      <c r="C1121" s="20">
        <f t="shared" si="35"/>
        <v>12</v>
      </c>
      <c r="D1121" t="s">
        <v>5546</v>
      </c>
      <c r="E1121" s="49">
        <v>1</v>
      </c>
      <c r="F1121" t="s">
        <v>5547</v>
      </c>
      <c r="G1121" t="s">
        <v>21</v>
      </c>
      <c r="H1121" t="s">
        <v>81</v>
      </c>
      <c r="I1121" s="13">
        <v>99000</v>
      </c>
      <c r="J1121" s="13">
        <v>95000</v>
      </c>
      <c r="K1121" s="13">
        <f>IF(J1121&lt;'Mapa Oficinas'!$I$21,0,IF(J1121&gt;'Mapa Oficinas'!$I$20,0,1))</f>
        <v>1</v>
      </c>
      <c r="L1121" t="s">
        <v>23</v>
      </c>
      <c r="M1121" t="s">
        <v>23</v>
      </c>
      <c r="N1121" t="s">
        <v>5548</v>
      </c>
      <c r="O1121" t="s">
        <v>3192</v>
      </c>
      <c r="P1121" t="s">
        <v>45</v>
      </c>
      <c r="Q1121">
        <v>2</v>
      </c>
      <c r="R1121" t="s">
        <v>151</v>
      </c>
      <c r="S1121" t="s">
        <v>79</v>
      </c>
      <c r="T1121" t="str">
        <f>VLOOKUP(S1121,'Mapa Oficinas'!$H$7:$I$16,2,FALSE)</f>
        <v>CB</v>
      </c>
      <c r="U1121" t="s">
        <v>29</v>
      </c>
      <c r="V1121" t="str">
        <f>VLOOKUP($R1121,'Mapa Oficinas'!$A$7:$C$46,2,FALSE)</f>
        <v>Interior - Mendoza</v>
      </c>
      <c r="W1121" t="str">
        <f>VLOOKUP($R1121,'Mapa Oficinas'!$A$7:$C$46,3,FALSE)</f>
        <v>Capital Mendoza</v>
      </c>
    </row>
    <row r="1122" spans="1:23" x14ac:dyDescent="0.2">
      <c r="A1122" s="1">
        <v>46048</v>
      </c>
      <c r="B1122" s="20">
        <f t="shared" si="34"/>
        <v>2026</v>
      </c>
      <c r="C1122" s="20">
        <f t="shared" si="35"/>
        <v>1</v>
      </c>
      <c r="D1122" t="s">
        <v>6403</v>
      </c>
      <c r="E1122" s="49">
        <v>1</v>
      </c>
      <c r="F1122" t="s">
        <v>6404</v>
      </c>
      <c r="G1122" t="s">
        <v>21</v>
      </c>
      <c r="H1122" t="s">
        <v>81</v>
      </c>
      <c r="I1122" s="13">
        <v>100000</v>
      </c>
      <c r="J1122" s="13">
        <v>95000</v>
      </c>
      <c r="K1122" s="13">
        <f>IF(J1122&lt;'Mapa Oficinas'!$I$21,0,IF(J1122&gt;'Mapa Oficinas'!$I$20,0,1))</f>
        <v>1</v>
      </c>
      <c r="L1122" t="s">
        <v>23</v>
      </c>
      <c r="M1122" t="s">
        <v>23</v>
      </c>
      <c r="N1122" t="s">
        <v>6405</v>
      </c>
      <c r="O1122" t="s">
        <v>6051</v>
      </c>
      <c r="P1122" t="s">
        <v>45</v>
      </c>
      <c r="Q1122">
        <v>2</v>
      </c>
      <c r="R1122" t="s">
        <v>167</v>
      </c>
      <c r="S1122" t="s">
        <v>79</v>
      </c>
      <c r="T1122" t="str">
        <f>VLOOKUP(S1122,'Mapa Oficinas'!$H$7:$I$16,2,FALSE)</f>
        <v>CB</v>
      </c>
      <c r="U1122" t="s">
        <v>29</v>
      </c>
      <c r="V1122" t="str">
        <f>VLOOKUP($R1122,'Mapa Oficinas'!$A$7:$C$46,2,FALSE)</f>
        <v>Interior - Santa Fe</v>
      </c>
      <c r="W1122" t="str">
        <f>VLOOKUP($R1122,'Mapa Oficinas'!$A$7:$C$46,3,FALSE)</f>
        <v>Capital Santa Fe</v>
      </c>
    </row>
    <row r="1123" spans="1:23" x14ac:dyDescent="0.2">
      <c r="A1123" s="1">
        <v>45987</v>
      </c>
      <c r="B1123" s="20">
        <f t="shared" si="34"/>
        <v>2025</v>
      </c>
      <c r="C1123" s="20">
        <f t="shared" si="35"/>
        <v>11</v>
      </c>
      <c r="D1123" t="s">
        <v>5381</v>
      </c>
      <c r="E1123" s="49">
        <v>0</v>
      </c>
      <c r="F1123" t="s">
        <v>5382</v>
      </c>
      <c r="G1123" t="s">
        <v>21</v>
      </c>
      <c r="H1123" t="s">
        <v>37</v>
      </c>
      <c r="I1123" s="13">
        <v>95000</v>
      </c>
      <c r="J1123" s="13">
        <v>95000</v>
      </c>
      <c r="K1123" s="13">
        <f>IF(J1123&lt;'Mapa Oficinas'!$I$21,0,IF(J1123&gt;'Mapa Oficinas'!$I$20,0,1))</f>
        <v>1</v>
      </c>
      <c r="L1123" t="s">
        <v>23</v>
      </c>
      <c r="M1123" t="s">
        <v>23</v>
      </c>
      <c r="N1123" t="s">
        <v>5383</v>
      </c>
      <c r="O1123" t="s">
        <v>265</v>
      </c>
      <c r="P1123" t="s">
        <v>45</v>
      </c>
      <c r="Q1123">
        <v>2</v>
      </c>
      <c r="R1123" t="s">
        <v>670</v>
      </c>
      <c r="S1123" t="s">
        <v>232</v>
      </c>
      <c r="T1123" t="str">
        <f>VLOOKUP(S1123,'Mapa Oficinas'!$H$7:$I$16,2,FALSE)</f>
        <v>CB</v>
      </c>
      <c r="U1123" t="s">
        <v>29</v>
      </c>
      <c r="V1123" t="str">
        <f>VLOOKUP($R1123,'Mapa Oficinas'!$A$7:$C$46,2,FALSE)</f>
        <v>CABA</v>
      </c>
      <c r="W1123" t="str">
        <f>VLOOKUP($R1123,'Mapa Oficinas'!$A$7:$C$46,3,FALSE)</f>
        <v>Recoleta</v>
      </c>
    </row>
    <row r="1124" spans="1:23" x14ac:dyDescent="0.2">
      <c r="A1124" s="1">
        <v>45987</v>
      </c>
      <c r="B1124" s="20">
        <f t="shared" si="34"/>
        <v>2025</v>
      </c>
      <c r="C1124" s="20">
        <f t="shared" si="35"/>
        <v>11</v>
      </c>
      <c r="D1124" t="s">
        <v>5378</v>
      </c>
      <c r="E1124" s="49">
        <v>1</v>
      </c>
      <c r="F1124" t="s">
        <v>5379</v>
      </c>
      <c r="G1124" t="s">
        <v>21</v>
      </c>
      <c r="H1124" t="s">
        <v>37</v>
      </c>
      <c r="I1124" s="13">
        <v>109000</v>
      </c>
      <c r="J1124" s="13">
        <v>95000</v>
      </c>
      <c r="K1124" s="13">
        <f>IF(J1124&lt;'Mapa Oficinas'!$I$21,0,IF(J1124&gt;'Mapa Oficinas'!$I$20,0,1))</f>
        <v>1</v>
      </c>
      <c r="L1124" t="s">
        <v>23</v>
      </c>
      <c r="M1124" t="s">
        <v>23</v>
      </c>
      <c r="N1124" t="s">
        <v>5380</v>
      </c>
      <c r="O1124" t="s">
        <v>265</v>
      </c>
      <c r="P1124" t="s">
        <v>45</v>
      </c>
      <c r="Q1124">
        <v>2</v>
      </c>
      <c r="R1124" t="s">
        <v>67</v>
      </c>
      <c r="S1124" t="s">
        <v>232</v>
      </c>
      <c r="T1124" t="str">
        <f>VLOOKUP(S1124,'Mapa Oficinas'!$H$7:$I$16,2,FALSE)</f>
        <v>CB</v>
      </c>
      <c r="U1124" t="s">
        <v>29</v>
      </c>
      <c r="V1124" t="str">
        <f>VLOOKUP($R1124,'Mapa Oficinas'!$A$7:$C$46,2,FALSE)</f>
        <v>CABA</v>
      </c>
      <c r="W1124" t="str">
        <f>VLOOKUP($R1124,'Mapa Oficinas'!$A$7:$C$46,3,FALSE)</f>
        <v>Barrio Parque</v>
      </c>
    </row>
    <row r="1125" spans="1:23" x14ac:dyDescent="0.2">
      <c r="A1125" s="1">
        <v>45953</v>
      </c>
      <c r="B1125" s="20">
        <f t="shared" si="34"/>
        <v>2025</v>
      </c>
      <c r="C1125" s="20">
        <f t="shared" si="35"/>
        <v>10</v>
      </c>
      <c r="E1125" s="49">
        <v>1</v>
      </c>
      <c r="F1125" t="s">
        <v>4870</v>
      </c>
      <c r="G1125" t="s">
        <v>21</v>
      </c>
      <c r="H1125" t="s">
        <v>37</v>
      </c>
      <c r="I1125" s="13">
        <v>95000</v>
      </c>
      <c r="J1125" s="13">
        <v>95000</v>
      </c>
      <c r="K1125" s="13">
        <f>IF(J1125&lt;'Mapa Oficinas'!$I$21,0,IF(J1125&gt;'Mapa Oficinas'!$I$20,0,1))</f>
        <v>1</v>
      </c>
      <c r="L1125" t="s">
        <v>23</v>
      </c>
      <c r="M1125" t="s">
        <v>23</v>
      </c>
      <c r="N1125" t="s">
        <v>4871</v>
      </c>
      <c r="O1125" t="s">
        <v>797</v>
      </c>
      <c r="P1125" t="s">
        <v>45</v>
      </c>
      <c r="Q1125">
        <v>1</v>
      </c>
      <c r="R1125" t="s">
        <v>135</v>
      </c>
      <c r="S1125" t="s">
        <v>47</v>
      </c>
      <c r="T1125" t="str">
        <f>VLOOKUP(S1125,'Mapa Oficinas'!$H$7:$I$16,2,FALSE)</f>
        <v>Otra Red Búsqueda</v>
      </c>
      <c r="U1125" t="s">
        <v>29</v>
      </c>
      <c r="V1125" t="str">
        <f>VLOOKUP($R1125,'Mapa Oficinas'!$A$7:$C$46,2,FALSE)</f>
        <v>CABA</v>
      </c>
      <c r="W1125" t="str">
        <f>VLOOKUP($R1125,'Mapa Oficinas'!$A$7:$C$46,3,FALSE)</f>
        <v>Recoleta</v>
      </c>
    </row>
    <row r="1126" spans="1:23" x14ac:dyDescent="0.2">
      <c r="A1126" s="1">
        <v>45965</v>
      </c>
      <c r="B1126" s="20">
        <f t="shared" si="34"/>
        <v>2025</v>
      </c>
      <c r="C1126" s="20">
        <f t="shared" si="35"/>
        <v>11</v>
      </c>
      <c r="E1126" s="49">
        <v>1</v>
      </c>
      <c r="F1126" t="s">
        <v>5046</v>
      </c>
      <c r="G1126" t="s">
        <v>21</v>
      </c>
      <c r="H1126" t="s">
        <v>37</v>
      </c>
      <c r="I1126" s="13">
        <v>95000</v>
      </c>
      <c r="J1126" s="13">
        <v>95000</v>
      </c>
      <c r="K1126" s="13">
        <f>IF(J1126&lt;'Mapa Oficinas'!$I$21,0,IF(J1126&gt;'Mapa Oficinas'!$I$20,0,1))</f>
        <v>1</v>
      </c>
      <c r="L1126" t="s">
        <v>23</v>
      </c>
      <c r="M1126" t="s">
        <v>23</v>
      </c>
      <c r="N1126" t="s">
        <v>5047</v>
      </c>
      <c r="O1126" t="s">
        <v>1730</v>
      </c>
      <c r="P1126" t="s">
        <v>45</v>
      </c>
      <c r="Q1126">
        <v>1</v>
      </c>
      <c r="R1126" t="s">
        <v>4688</v>
      </c>
      <c r="S1126" t="s">
        <v>47</v>
      </c>
      <c r="T1126" t="str">
        <f>VLOOKUP(S1126,'Mapa Oficinas'!$H$7:$I$16,2,FALSE)</f>
        <v>Otra Red Búsqueda</v>
      </c>
      <c r="U1126" t="s">
        <v>29</v>
      </c>
      <c r="V1126" t="str">
        <f>VLOOKUP($R1126,'Mapa Oficinas'!$A$7:$C$46,2,FALSE)</f>
        <v>Zona Norte (GBA)</v>
      </c>
      <c r="W1126" t="str">
        <f>VLOOKUP($R1126,'Mapa Oficinas'!$A$7:$C$46,3,FALSE)</f>
        <v>San Isidro</v>
      </c>
    </row>
    <row r="1127" spans="1:23" x14ac:dyDescent="0.2">
      <c r="A1127" s="1">
        <v>46105</v>
      </c>
      <c r="B1127" s="20">
        <f t="shared" si="34"/>
        <v>2026</v>
      </c>
      <c r="C1127" s="20">
        <f t="shared" si="35"/>
        <v>3</v>
      </c>
      <c r="D1127" t="s">
        <v>7379</v>
      </c>
      <c r="E1127" s="49">
        <v>1</v>
      </c>
      <c r="F1127" t="s">
        <v>7380</v>
      </c>
      <c r="G1127" t="s">
        <v>21</v>
      </c>
      <c r="H1127" t="s">
        <v>22</v>
      </c>
      <c r="I1127" s="13">
        <v>250000</v>
      </c>
      <c r="J1127" s="13">
        <v>95000</v>
      </c>
      <c r="K1127" s="13">
        <f>IF(J1127&lt;'Mapa Oficinas'!$I$21,0,IF(J1127&gt;'Mapa Oficinas'!$I$20,0,1))</f>
        <v>1</v>
      </c>
      <c r="L1127" t="s">
        <v>23</v>
      </c>
      <c r="M1127" t="s">
        <v>23</v>
      </c>
      <c r="N1127" t="s">
        <v>7381</v>
      </c>
      <c r="O1127" t="s">
        <v>7382</v>
      </c>
      <c r="P1127" t="s">
        <v>34</v>
      </c>
      <c r="Q1127">
        <v>1</v>
      </c>
      <c r="R1127" t="s">
        <v>110</v>
      </c>
      <c r="S1127" t="s">
        <v>47</v>
      </c>
      <c r="T1127" t="str">
        <f>VLOOKUP(S1127,'Mapa Oficinas'!$H$7:$I$16,2,FALSE)</f>
        <v>Otra Red Búsqueda</v>
      </c>
      <c r="U1127" t="s">
        <v>29</v>
      </c>
      <c r="V1127" t="str">
        <f>VLOOKUP($R1127,'Mapa Oficinas'!$A$7:$C$46,2,FALSE)</f>
        <v>Zona Norte (GBA)</v>
      </c>
      <c r="W1127" t="str">
        <f>VLOOKUP($R1127,'Mapa Oficinas'!$A$7:$C$46,3,FALSE)</f>
        <v>Nordelta</v>
      </c>
    </row>
    <row r="1128" spans="1:23" x14ac:dyDescent="0.2">
      <c r="A1128" s="1">
        <v>45873</v>
      </c>
      <c r="B1128" s="20">
        <f t="shared" si="34"/>
        <v>2025</v>
      </c>
      <c r="C1128" s="20">
        <f t="shared" si="35"/>
        <v>8</v>
      </c>
      <c r="D1128" t="s">
        <v>3394</v>
      </c>
      <c r="E1128" s="49">
        <v>3</v>
      </c>
      <c r="F1128" t="s">
        <v>3395</v>
      </c>
      <c r="G1128" t="s">
        <v>21</v>
      </c>
      <c r="H1128" t="s">
        <v>76</v>
      </c>
      <c r="I1128" s="13">
        <v>95000</v>
      </c>
      <c r="J1128" s="13">
        <v>95000</v>
      </c>
      <c r="K1128" s="13">
        <f>IF(J1128&lt;'Mapa Oficinas'!$I$21,0,IF(J1128&gt;'Mapa Oficinas'!$I$20,0,1))</f>
        <v>1</v>
      </c>
      <c r="L1128" t="s">
        <v>23</v>
      </c>
      <c r="M1128" t="s">
        <v>23</v>
      </c>
      <c r="N1128" t="s">
        <v>3396</v>
      </c>
      <c r="O1128" t="s">
        <v>1239</v>
      </c>
      <c r="P1128" t="s">
        <v>45</v>
      </c>
      <c r="Q1128">
        <v>2</v>
      </c>
      <c r="R1128" t="s">
        <v>130</v>
      </c>
      <c r="S1128" t="s">
        <v>241</v>
      </c>
      <c r="T1128" t="str">
        <f>VLOOKUP(S1128,'Mapa Oficinas'!$H$7:$I$16,2,FALSE)</f>
        <v>CB</v>
      </c>
      <c r="U1128" t="s">
        <v>29</v>
      </c>
      <c r="V1128" t="str">
        <f>VLOOKUP($R1128,'Mapa Oficinas'!$A$7:$C$46,2,FALSE)</f>
        <v>Interior - Neuquén</v>
      </c>
      <c r="W1128" t="str">
        <f>VLOOKUP($R1128,'Mapa Oficinas'!$A$7:$C$46,3,FALSE)</f>
        <v>San Martín de los Andes</v>
      </c>
    </row>
    <row r="1129" spans="1:23" x14ac:dyDescent="0.2">
      <c r="A1129" s="1">
        <v>46010</v>
      </c>
      <c r="B1129" s="20">
        <f t="shared" si="34"/>
        <v>2025</v>
      </c>
      <c r="C1129" s="20">
        <f t="shared" si="35"/>
        <v>12</v>
      </c>
      <c r="D1129" t="s">
        <v>5906</v>
      </c>
      <c r="E1129" s="49">
        <v>3</v>
      </c>
      <c r="F1129" t="s">
        <v>5907</v>
      </c>
      <c r="G1129" t="s">
        <v>21</v>
      </c>
      <c r="H1129" t="s">
        <v>37</v>
      </c>
      <c r="I1129" s="13">
        <v>99500</v>
      </c>
      <c r="J1129" s="13">
        <v>95000</v>
      </c>
      <c r="K1129" s="13">
        <f>IF(J1129&lt;'Mapa Oficinas'!$I$21,0,IF(J1129&gt;'Mapa Oficinas'!$I$20,0,1))</f>
        <v>1</v>
      </c>
      <c r="L1129" t="s">
        <v>23</v>
      </c>
      <c r="M1129" t="s">
        <v>23</v>
      </c>
      <c r="N1129" t="s">
        <v>5908</v>
      </c>
      <c r="O1129" t="s">
        <v>190</v>
      </c>
      <c r="P1129" t="s">
        <v>45</v>
      </c>
      <c r="Q1129">
        <v>2</v>
      </c>
      <c r="R1129" t="s">
        <v>67</v>
      </c>
      <c r="S1129" t="s">
        <v>241</v>
      </c>
      <c r="T1129" t="str">
        <f>VLOOKUP(S1129,'Mapa Oficinas'!$H$7:$I$16,2,FALSE)</f>
        <v>CB</v>
      </c>
      <c r="U1129" t="s">
        <v>29</v>
      </c>
      <c r="V1129" t="str">
        <f>VLOOKUP($R1129,'Mapa Oficinas'!$A$7:$C$46,2,FALSE)</f>
        <v>CABA</v>
      </c>
      <c r="W1129" t="str">
        <f>VLOOKUP($R1129,'Mapa Oficinas'!$A$7:$C$46,3,FALSE)</f>
        <v>Barrio Parque</v>
      </c>
    </row>
    <row r="1130" spans="1:23" x14ac:dyDescent="0.2">
      <c r="A1130" s="1">
        <v>46101</v>
      </c>
      <c r="B1130" s="20">
        <f t="shared" si="34"/>
        <v>2026</v>
      </c>
      <c r="C1130" s="20">
        <f t="shared" si="35"/>
        <v>3</v>
      </c>
      <c r="D1130" t="s">
        <v>7351</v>
      </c>
      <c r="E1130" s="49">
        <v>3</v>
      </c>
      <c r="F1130" t="s">
        <v>7352</v>
      </c>
      <c r="G1130" t="s">
        <v>21</v>
      </c>
      <c r="H1130" t="s">
        <v>37</v>
      </c>
      <c r="I1130" s="13">
        <v>95000</v>
      </c>
      <c r="J1130" s="13">
        <v>95000</v>
      </c>
      <c r="K1130" s="13">
        <f>IF(J1130&lt;'Mapa Oficinas'!$I$21,0,IF(J1130&gt;'Mapa Oficinas'!$I$20,0,1))</f>
        <v>1</v>
      </c>
      <c r="L1130" t="s">
        <v>23</v>
      </c>
      <c r="M1130" t="s">
        <v>23</v>
      </c>
      <c r="N1130" t="s">
        <v>7353</v>
      </c>
      <c r="O1130" t="s">
        <v>256</v>
      </c>
      <c r="P1130" t="s">
        <v>34</v>
      </c>
      <c r="Q1130">
        <v>2</v>
      </c>
      <c r="R1130" t="s">
        <v>257</v>
      </c>
      <c r="S1130" t="s">
        <v>241</v>
      </c>
      <c r="T1130" t="str">
        <f>VLOOKUP(S1130,'Mapa Oficinas'!$H$7:$I$16,2,FALSE)</f>
        <v>CB</v>
      </c>
      <c r="U1130" t="s">
        <v>29</v>
      </c>
      <c r="V1130" t="str">
        <f>VLOOKUP($R1130,'Mapa Oficinas'!$A$7:$C$46,2,FALSE)</f>
        <v>Zona Norte (GBA)</v>
      </c>
      <c r="W1130" t="str">
        <f>VLOOKUP($R1130,'Mapa Oficinas'!$A$7:$C$46,3,FALSE)</f>
        <v>Pilar</v>
      </c>
    </row>
    <row r="1131" spans="1:23" x14ac:dyDescent="0.2">
      <c r="A1131" s="1">
        <v>45664</v>
      </c>
      <c r="B1131" s="20">
        <f t="shared" si="34"/>
        <v>2025</v>
      </c>
      <c r="C1131" s="20">
        <f t="shared" si="35"/>
        <v>1</v>
      </c>
      <c r="D1131" t="s">
        <v>111</v>
      </c>
      <c r="E1131" s="49">
        <v>1</v>
      </c>
      <c r="F1131" t="s">
        <v>112</v>
      </c>
      <c r="G1131" t="s">
        <v>21</v>
      </c>
      <c r="H1131" t="s">
        <v>37</v>
      </c>
      <c r="I1131" s="13">
        <v>95000</v>
      </c>
      <c r="J1131" s="13">
        <v>95000</v>
      </c>
      <c r="K1131" s="13">
        <f>IF(J1131&lt;'Mapa Oficinas'!$I$21,0,IF(J1131&gt;'Mapa Oficinas'!$I$20,0,1))</f>
        <v>1</v>
      </c>
      <c r="L1131" t="s">
        <v>23</v>
      </c>
      <c r="M1131" t="s">
        <v>23</v>
      </c>
      <c r="N1131" t="s">
        <v>113</v>
      </c>
      <c r="O1131" t="s">
        <v>114</v>
      </c>
      <c r="P1131" t="s">
        <v>45</v>
      </c>
      <c r="Q1131">
        <v>2</v>
      </c>
      <c r="R1131" t="s">
        <v>110</v>
      </c>
      <c r="S1131" t="s">
        <v>28</v>
      </c>
      <c r="T1131" t="str">
        <f>VLOOKUP(S1131,'Mapa Oficinas'!$H$7:$I$16,2,FALSE)</f>
        <v>CB</v>
      </c>
      <c r="U1131" t="s">
        <v>29</v>
      </c>
      <c r="V1131" t="str">
        <f>VLOOKUP($R1131,'Mapa Oficinas'!$A$7:$C$46,2,FALSE)</f>
        <v>Zona Norte (GBA)</v>
      </c>
      <c r="W1131" t="str">
        <f>VLOOKUP($R1131,'Mapa Oficinas'!$A$7:$C$46,3,FALSE)</f>
        <v>Nordelta</v>
      </c>
    </row>
    <row r="1132" spans="1:23" x14ac:dyDescent="0.2">
      <c r="A1132" s="1">
        <v>45672</v>
      </c>
      <c r="B1132" s="20">
        <f t="shared" si="34"/>
        <v>2025</v>
      </c>
      <c r="C1132" s="20">
        <f t="shared" si="35"/>
        <v>1</v>
      </c>
      <c r="D1132" t="s">
        <v>233</v>
      </c>
      <c r="E1132" s="49">
        <v>1</v>
      </c>
      <c r="F1132" t="s">
        <v>234</v>
      </c>
      <c r="G1132" t="s">
        <v>21</v>
      </c>
      <c r="H1132" t="s">
        <v>37</v>
      </c>
      <c r="I1132" s="13">
        <v>96000</v>
      </c>
      <c r="J1132" s="13">
        <v>95000</v>
      </c>
      <c r="K1132" s="13">
        <f>IF(J1132&lt;'Mapa Oficinas'!$I$21,0,IF(J1132&gt;'Mapa Oficinas'!$I$20,0,1))</f>
        <v>1</v>
      </c>
      <c r="L1132" t="s">
        <v>23</v>
      </c>
      <c r="M1132" t="s">
        <v>23</v>
      </c>
      <c r="N1132" t="s">
        <v>235</v>
      </c>
      <c r="O1132" t="s">
        <v>236</v>
      </c>
      <c r="P1132" t="s">
        <v>45</v>
      </c>
      <c r="Q1132">
        <v>2</v>
      </c>
      <c r="R1132" t="s">
        <v>67</v>
      </c>
      <c r="S1132" t="s">
        <v>28</v>
      </c>
      <c r="T1132" t="str">
        <f>VLOOKUP(S1132,'Mapa Oficinas'!$H$7:$I$16,2,FALSE)</f>
        <v>CB</v>
      </c>
      <c r="U1132" t="s">
        <v>29</v>
      </c>
      <c r="V1132" t="str">
        <f>VLOOKUP($R1132,'Mapa Oficinas'!$A$7:$C$46,2,FALSE)</f>
        <v>CABA</v>
      </c>
      <c r="W1132" t="str">
        <f>VLOOKUP($R1132,'Mapa Oficinas'!$A$7:$C$46,3,FALSE)</f>
        <v>Barrio Parque</v>
      </c>
    </row>
    <row r="1133" spans="1:23" x14ac:dyDescent="0.2">
      <c r="A1133" s="1">
        <v>45684</v>
      </c>
      <c r="B1133" s="20">
        <f t="shared" si="34"/>
        <v>2025</v>
      </c>
      <c r="C1133" s="20">
        <f t="shared" si="35"/>
        <v>1</v>
      </c>
      <c r="D1133" t="s">
        <v>368</v>
      </c>
      <c r="E1133" s="49">
        <v>1</v>
      </c>
      <c r="F1133" t="s">
        <v>369</v>
      </c>
      <c r="G1133" t="s">
        <v>21</v>
      </c>
      <c r="H1133" t="s">
        <v>37</v>
      </c>
      <c r="I1133" s="13">
        <v>99000</v>
      </c>
      <c r="J1133" s="13">
        <v>95000</v>
      </c>
      <c r="K1133" s="13">
        <f>IF(J1133&lt;'Mapa Oficinas'!$I$21,0,IF(J1133&gt;'Mapa Oficinas'!$I$20,0,1))</f>
        <v>1</v>
      </c>
      <c r="L1133" t="s">
        <v>23</v>
      </c>
      <c r="M1133" t="s">
        <v>23</v>
      </c>
      <c r="N1133" t="s">
        <v>370</v>
      </c>
      <c r="O1133" t="s">
        <v>371</v>
      </c>
      <c r="P1133" t="s">
        <v>34</v>
      </c>
      <c r="Q1133">
        <v>2</v>
      </c>
      <c r="R1133" t="s">
        <v>372</v>
      </c>
      <c r="S1133" t="s">
        <v>28</v>
      </c>
      <c r="T1133" t="str">
        <f>VLOOKUP(S1133,'Mapa Oficinas'!$H$7:$I$16,2,FALSE)</f>
        <v>CB</v>
      </c>
      <c r="U1133" t="s">
        <v>29</v>
      </c>
      <c r="V1133" t="str">
        <f>VLOOKUP($R1133,'Mapa Oficinas'!$A$7:$C$46,2,FALSE)</f>
        <v>CABA</v>
      </c>
      <c r="W1133" t="str">
        <f>VLOOKUP($R1133,'Mapa Oficinas'!$A$7:$C$46,3,FALSE)</f>
        <v>Caballito</v>
      </c>
    </row>
    <row r="1134" spans="1:23" x14ac:dyDescent="0.2">
      <c r="A1134" s="1">
        <v>45751</v>
      </c>
      <c r="B1134" s="20">
        <f t="shared" si="34"/>
        <v>2025</v>
      </c>
      <c r="C1134" s="20">
        <f t="shared" si="35"/>
        <v>4</v>
      </c>
      <c r="D1134" t="s">
        <v>1271</v>
      </c>
      <c r="E1134" s="49">
        <v>1</v>
      </c>
      <c r="F1134" t="s">
        <v>1272</v>
      </c>
      <c r="G1134" t="s">
        <v>21</v>
      </c>
      <c r="H1134" t="s">
        <v>37</v>
      </c>
      <c r="I1134" s="13">
        <v>99000</v>
      </c>
      <c r="J1134" s="13">
        <v>95000</v>
      </c>
      <c r="K1134" s="13">
        <f>IF(J1134&lt;'Mapa Oficinas'!$I$21,0,IF(J1134&gt;'Mapa Oficinas'!$I$20,0,1))</f>
        <v>1</v>
      </c>
      <c r="L1134" t="s">
        <v>23</v>
      </c>
      <c r="M1134" t="s">
        <v>23</v>
      </c>
      <c r="N1134" t="s">
        <v>1273</v>
      </c>
      <c r="O1134" t="s">
        <v>380</v>
      </c>
      <c r="P1134" t="s">
        <v>45</v>
      </c>
      <c r="Q1134">
        <v>2</v>
      </c>
      <c r="R1134" t="s">
        <v>67</v>
      </c>
      <c r="S1134" t="s">
        <v>28</v>
      </c>
      <c r="T1134" t="str">
        <f>VLOOKUP(S1134,'Mapa Oficinas'!$H$7:$I$16,2,FALSE)</f>
        <v>CB</v>
      </c>
      <c r="U1134" t="s">
        <v>29</v>
      </c>
      <c r="V1134" t="str">
        <f>VLOOKUP($R1134,'Mapa Oficinas'!$A$7:$C$46,2,FALSE)</f>
        <v>CABA</v>
      </c>
      <c r="W1134" t="str">
        <f>VLOOKUP($R1134,'Mapa Oficinas'!$A$7:$C$46,3,FALSE)</f>
        <v>Barrio Parque</v>
      </c>
    </row>
    <row r="1135" spans="1:23" x14ac:dyDescent="0.2">
      <c r="A1135" s="1">
        <v>45768</v>
      </c>
      <c r="B1135" s="20">
        <f t="shared" si="34"/>
        <v>2025</v>
      </c>
      <c r="C1135" s="20">
        <f t="shared" si="35"/>
        <v>4</v>
      </c>
      <c r="D1135" t="s">
        <v>1503</v>
      </c>
      <c r="E1135" s="49">
        <v>1</v>
      </c>
      <c r="F1135" t="s">
        <v>1504</v>
      </c>
      <c r="G1135" t="s">
        <v>21</v>
      </c>
      <c r="H1135" t="s">
        <v>37</v>
      </c>
      <c r="I1135" s="13">
        <v>97500</v>
      </c>
      <c r="J1135" s="13">
        <v>95000</v>
      </c>
      <c r="K1135" s="13">
        <f>IF(J1135&lt;'Mapa Oficinas'!$I$21,0,IF(J1135&gt;'Mapa Oficinas'!$I$20,0,1))</f>
        <v>1</v>
      </c>
      <c r="L1135" t="s">
        <v>23</v>
      </c>
      <c r="M1135" t="s">
        <v>23</v>
      </c>
      <c r="N1135" t="s">
        <v>498</v>
      </c>
      <c r="O1135" t="s">
        <v>470</v>
      </c>
      <c r="P1135" t="s">
        <v>45</v>
      </c>
      <c r="Q1135">
        <v>2</v>
      </c>
      <c r="R1135" t="s">
        <v>46</v>
      </c>
      <c r="S1135" t="s">
        <v>28</v>
      </c>
      <c r="T1135" t="str">
        <f>VLOOKUP(S1135,'Mapa Oficinas'!$H$7:$I$16,2,FALSE)</f>
        <v>CB</v>
      </c>
      <c r="U1135" t="s">
        <v>29</v>
      </c>
      <c r="V1135" t="str">
        <f>VLOOKUP($R1135,'Mapa Oficinas'!$A$7:$C$46,2,FALSE)</f>
        <v>CABA</v>
      </c>
      <c r="W1135" t="str">
        <f>VLOOKUP($R1135,'Mapa Oficinas'!$A$7:$C$46,3,FALSE)</f>
        <v>Palermo</v>
      </c>
    </row>
    <row r="1136" spans="1:23" x14ac:dyDescent="0.2">
      <c r="A1136" s="1">
        <v>45799</v>
      </c>
      <c r="B1136" s="20">
        <f t="shared" si="34"/>
        <v>2025</v>
      </c>
      <c r="C1136" s="20">
        <f t="shared" si="35"/>
        <v>5</v>
      </c>
      <c r="D1136" t="s">
        <v>2095</v>
      </c>
      <c r="E1136" s="49">
        <v>1</v>
      </c>
      <c r="F1136" t="s">
        <v>2096</v>
      </c>
      <c r="G1136" t="s">
        <v>21</v>
      </c>
      <c r="H1136" t="s">
        <v>37</v>
      </c>
      <c r="I1136" s="13">
        <v>96000</v>
      </c>
      <c r="J1136" s="13">
        <v>95000</v>
      </c>
      <c r="K1136" s="13">
        <f>IF(J1136&lt;'Mapa Oficinas'!$I$21,0,IF(J1136&gt;'Mapa Oficinas'!$I$20,0,1))</f>
        <v>1</v>
      </c>
      <c r="L1136" t="s">
        <v>23</v>
      </c>
      <c r="M1136" t="s">
        <v>23</v>
      </c>
      <c r="N1136" t="s">
        <v>2097</v>
      </c>
      <c r="O1136" t="s">
        <v>178</v>
      </c>
      <c r="P1136" t="s">
        <v>45</v>
      </c>
      <c r="Q1136">
        <v>2</v>
      </c>
      <c r="R1136" t="s">
        <v>372</v>
      </c>
      <c r="S1136" t="s">
        <v>28</v>
      </c>
      <c r="T1136" t="str">
        <f>VLOOKUP(S1136,'Mapa Oficinas'!$H$7:$I$16,2,FALSE)</f>
        <v>CB</v>
      </c>
      <c r="U1136" t="s">
        <v>29</v>
      </c>
      <c r="V1136" t="str">
        <f>VLOOKUP($R1136,'Mapa Oficinas'!$A$7:$C$46,2,FALSE)</f>
        <v>CABA</v>
      </c>
      <c r="W1136" t="str">
        <f>VLOOKUP($R1136,'Mapa Oficinas'!$A$7:$C$46,3,FALSE)</f>
        <v>Caballito</v>
      </c>
    </row>
    <row r="1137" spans="1:23" x14ac:dyDescent="0.2">
      <c r="A1137" s="1">
        <v>45800</v>
      </c>
      <c r="B1137" s="20">
        <f t="shared" si="34"/>
        <v>2025</v>
      </c>
      <c r="C1137" s="20">
        <f t="shared" si="35"/>
        <v>5</v>
      </c>
      <c r="D1137" t="s">
        <v>2116</v>
      </c>
      <c r="E1137" s="49">
        <v>1</v>
      </c>
      <c r="F1137" t="s">
        <v>2117</v>
      </c>
      <c r="G1137" t="s">
        <v>21</v>
      </c>
      <c r="H1137" t="s">
        <v>37</v>
      </c>
      <c r="I1137" s="13">
        <v>98000</v>
      </c>
      <c r="J1137" s="13">
        <v>95000</v>
      </c>
      <c r="K1137" s="13">
        <f>IF(J1137&lt;'Mapa Oficinas'!$I$21,0,IF(J1137&gt;'Mapa Oficinas'!$I$20,0,1))</f>
        <v>1</v>
      </c>
      <c r="L1137" t="s">
        <v>23</v>
      </c>
      <c r="M1137" t="s">
        <v>23</v>
      </c>
      <c r="N1137" t="s">
        <v>2118</v>
      </c>
      <c r="O1137" t="s">
        <v>401</v>
      </c>
      <c r="P1137" t="s">
        <v>34</v>
      </c>
      <c r="Q1137">
        <v>2</v>
      </c>
      <c r="R1137" t="s">
        <v>1024</v>
      </c>
      <c r="S1137" t="s">
        <v>28</v>
      </c>
      <c r="T1137" t="str">
        <f>VLOOKUP(S1137,'Mapa Oficinas'!$H$7:$I$16,2,FALSE)</f>
        <v>CB</v>
      </c>
      <c r="U1137" t="s">
        <v>29</v>
      </c>
      <c r="V1137" t="str">
        <f>VLOOKUP($R1137,'Mapa Oficinas'!$A$7:$C$46,2,FALSE)</f>
        <v>CABA</v>
      </c>
      <c r="W1137" t="str">
        <f>VLOOKUP($R1137,'Mapa Oficinas'!$A$7:$C$46,3,FALSE)</f>
        <v>Puerto Madero</v>
      </c>
    </row>
    <row r="1138" spans="1:23" x14ac:dyDescent="0.2">
      <c r="A1138" s="1">
        <v>45917</v>
      </c>
      <c r="B1138" s="20">
        <f t="shared" si="34"/>
        <v>2025</v>
      </c>
      <c r="C1138" s="20">
        <f t="shared" si="35"/>
        <v>9</v>
      </c>
      <c r="D1138" t="s">
        <v>4199</v>
      </c>
      <c r="E1138" s="49">
        <v>1</v>
      </c>
      <c r="F1138" t="s">
        <v>4200</v>
      </c>
      <c r="G1138" t="s">
        <v>21</v>
      </c>
      <c r="H1138" t="s">
        <v>37</v>
      </c>
      <c r="I1138" s="13">
        <v>110000</v>
      </c>
      <c r="J1138" s="13">
        <v>95000</v>
      </c>
      <c r="K1138" s="13">
        <f>IF(J1138&lt;'Mapa Oficinas'!$I$21,0,IF(J1138&gt;'Mapa Oficinas'!$I$20,0,1))</f>
        <v>1</v>
      </c>
      <c r="L1138" t="s">
        <v>23</v>
      </c>
      <c r="M1138" t="s">
        <v>23</v>
      </c>
      <c r="N1138" t="s">
        <v>4201</v>
      </c>
      <c r="O1138" t="s">
        <v>380</v>
      </c>
      <c r="P1138" t="s">
        <v>45</v>
      </c>
      <c r="Q1138">
        <v>2</v>
      </c>
      <c r="R1138" t="s">
        <v>170</v>
      </c>
      <c r="S1138" t="s">
        <v>28</v>
      </c>
      <c r="T1138" t="str">
        <f>VLOOKUP(S1138,'Mapa Oficinas'!$H$7:$I$16,2,FALSE)</f>
        <v>CB</v>
      </c>
      <c r="U1138" t="s">
        <v>29</v>
      </c>
      <c r="V1138" t="str">
        <f>VLOOKUP($R1138,'Mapa Oficinas'!$A$7:$C$46,2,FALSE)</f>
        <v>CABA</v>
      </c>
      <c r="W1138" t="str">
        <f>VLOOKUP($R1138,'Mapa Oficinas'!$A$7:$C$46,3,FALSE)</f>
        <v>Belgrano</v>
      </c>
    </row>
    <row r="1139" spans="1:23" x14ac:dyDescent="0.2">
      <c r="A1139" s="1">
        <v>45992</v>
      </c>
      <c r="B1139" s="20">
        <f t="shared" si="34"/>
        <v>2025</v>
      </c>
      <c r="C1139" s="20">
        <f t="shared" si="35"/>
        <v>12</v>
      </c>
      <c r="D1139" t="s">
        <v>5549</v>
      </c>
      <c r="E1139" s="49">
        <v>1</v>
      </c>
      <c r="F1139" t="s">
        <v>5550</v>
      </c>
      <c r="G1139" t="s">
        <v>21</v>
      </c>
      <c r="H1139" t="s">
        <v>37</v>
      </c>
      <c r="I1139" s="13">
        <v>95000</v>
      </c>
      <c r="J1139" s="13">
        <v>95000</v>
      </c>
      <c r="K1139" s="13">
        <f>IF(J1139&lt;'Mapa Oficinas'!$I$21,0,IF(J1139&gt;'Mapa Oficinas'!$I$20,0,1))</f>
        <v>1</v>
      </c>
      <c r="L1139" t="s">
        <v>23</v>
      </c>
      <c r="M1139" t="s">
        <v>23</v>
      </c>
      <c r="N1139" t="s">
        <v>5551</v>
      </c>
      <c r="O1139" t="s">
        <v>2231</v>
      </c>
      <c r="P1139" t="s">
        <v>34</v>
      </c>
      <c r="Q1139">
        <v>2</v>
      </c>
      <c r="R1139" t="s">
        <v>103</v>
      </c>
      <c r="S1139" t="s">
        <v>28</v>
      </c>
      <c r="T1139" t="str">
        <f>VLOOKUP(S1139,'Mapa Oficinas'!$H$7:$I$16,2,FALSE)</f>
        <v>CB</v>
      </c>
      <c r="U1139" t="s">
        <v>29</v>
      </c>
      <c r="V1139" t="str">
        <f>VLOOKUP($R1139,'Mapa Oficinas'!$A$7:$C$46,2,FALSE)</f>
        <v>Zona Sur (GBA)</v>
      </c>
      <c r="W1139" t="str">
        <f>VLOOKUP($R1139,'Mapa Oficinas'!$A$7:$C$46,3,FALSE)</f>
        <v>La Plata</v>
      </c>
    </row>
    <row r="1140" spans="1:23" x14ac:dyDescent="0.2">
      <c r="A1140" s="1">
        <v>46000</v>
      </c>
      <c r="B1140" s="20">
        <f t="shared" si="34"/>
        <v>2025</v>
      </c>
      <c r="C1140" s="20">
        <f t="shared" si="35"/>
        <v>12</v>
      </c>
      <c r="D1140" t="s">
        <v>5674</v>
      </c>
      <c r="E1140" s="49">
        <v>1</v>
      </c>
      <c r="F1140" t="s">
        <v>5675</v>
      </c>
      <c r="G1140" t="s">
        <v>21</v>
      </c>
      <c r="H1140" t="s">
        <v>22</v>
      </c>
      <c r="I1140" s="13">
        <v>95000</v>
      </c>
      <c r="J1140" s="13">
        <v>95000</v>
      </c>
      <c r="K1140" s="13">
        <f>IF(J1140&lt;'Mapa Oficinas'!$I$21,0,IF(J1140&gt;'Mapa Oficinas'!$I$20,0,1))</f>
        <v>1</v>
      </c>
      <c r="L1140" t="s">
        <v>23</v>
      </c>
      <c r="M1140" t="s">
        <v>23</v>
      </c>
      <c r="N1140" t="s">
        <v>5676</v>
      </c>
      <c r="O1140" t="s">
        <v>827</v>
      </c>
      <c r="P1140" t="s">
        <v>61</v>
      </c>
      <c r="Q1140">
        <v>2</v>
      </c>
      <c r="R1140" t="s">
        <v>1024</v>
      </c>
      <c r="S1140" t="s">
        <v>28</v>
      </c>
      <c r="T1140" t="str">
        <f>VLOOKUP(S1140,'Mapa Oficinas'!$H$7:$I$16,2,FALSE)</f>
        <v>CB</v>
      </c>
      <c r="U1140" t="s">
        <v>29</v>
      </c>
      <c r="V1140" t="str">
        <f>VLOOKUP($R1140,'Mapa Oficinas'!$A$7:$C$46,2,FALSE)</f>
        <v>CABA</v>
      </c>
      <c r="W1140" t="str">
        <f>VLOOKUP($R1140,'Mapa Oficinas'!$A$7:$C$46,3,FALSE)</f>
        <v>Puerto Madero</v>
      </c>
    </row>
    <row r="1141" spans="1:23" x14ac:dyDescent="0.2">
      <c r="A1141" s="1">
        <v>46051</v>
      </c>
      <c r="B1141" s="20">
        <f t="shared" si="34"/>
        <v>2026</v>
      </c>
      <c r="C1141" s="20">
        <f t="shared" si="35"/>
        <v>1</v>
      </c>
      <c r="D1141" t="s">
        <v>6453</v>
      </c>
      <c r="E1141" s="49">
        <v>1</v>
      </c>
      <c r="F1141" t="s">
        <v>6454</v>
      </c>
      <c r="G1141" t="s">
        <v>21</v>
      </c>
      <c r="H1141" t="s">
        <v>37</v>
      </c>
      <c r="I1141" s="13">
        <v>98000</v>
      </c>
      <c r="J1141" s="13">
        <v>95000</v>
      </c>
      <c r="K1141" s="13">
        <f>IF(J1141&lt;'Mapa Oficinas'!$I$21,0,IF(J1141&gt;'Mapa Oficinas'!$I$20,0,1))</f>
        <v>1</v>
      </c>
      <c r="L1141" t="s">
        <v>23</v>
      </c>
      <c r="M1141" t="s">
        <v>23</v>
      </c>
      <c r="N1141" t="s">
        <v>6455</v>
      </c>
      <c r="O1141" t="s">
        <v>325</v>
      </c>
      <c r="P1141" t="s">
        <v>45</v>
      </c>
      <c r="Q1141">
        <v>2</v>
      </c>
      <c r="R1141" t="s">
        <v>183</v>
      </c>
      <c r="S1141" t="s">
        <v>28</v>
      </c>
      <c r="T1141" t="str">
        <f>VLOOKUP(S1141,'Mapa Oficinas'!$H$7:$I$16,2,FALSE)</f>
        <v>CB</v>
      </c>
      <c r="U1141" t="s">
        <v>29</v>
      </c>
      <c r="V1141" t="str">
        <f>VLOOKUP($R1141,'Mapa Oficinas'!$A$7:$C$46,2,FALSE)</f>
        <v>Interior - Neuquén</v>
      </c>
      <c r="W1141" t="str">
        <f>VLOOKUP($R1141,'Mapa Oficinas'!$A$7:$C$46,3,FALSE)</f>
        <v>Capital Neuquén</v>
      </c>
    </row>
    <row r="1142" spans="1:23" x14ac:dyDescent="0.2">
      <c r="A1142" s="1">
        <v>46062</v>
      </c>
      <c r="B1142" s="20">
        <f t="shared" si="34"/>
        <v>2026</v>
      </c>
      <c r="C1142" s="20">
        <f t="shared" si="35"/>
        <v>2</v>
      </c>
      <c r="D1142" t="s">
        <v>6597</v>
      </c>
      <c r="E1142" s="49">
        <v>1</v>
      </c>
      <c r="F1142" t="s">
        <v>6598</v>
      </c>
      <c r="G1142" t="s">
        <v>21</v>
      </c>
      <c r="H1142" t="s">
        <v>37</v>
      </c>
      <c r="I1142" s="13">
        <v>115000</v>
      </c>
      <c r="J1142" s="13">
        <v>95000</v>
      </c>
      <c r="K1142" s="13">
        <f>IF(J1142&lt;'Mapa Oficinas'!$I$21,0,IF(J1142&gt;'Mapa Oficinas'!$I$20,0,1))</f>
        <v>1</v>
      </c>
      <c r="L1142" t="s">
        <v>23</v>
      </c>
      <c r="M1142" t="s">
        <v>23</v>
      </c>
      <c r="N1142" t="s">
        <v>6599</v>
      </c>
      <c r="O1142" t="s">
        <v>713</v>
      </c>
      <c r="P1142" t="s">
        <v>45</v>
      </c>
      <c r="Q1142">
        <v>2</v>
      </c>
      <c r="R1142" t="s">
        <v>670</v>
      </c>
      <c r="S1142" t="s">
        <v>28</v>
      </c>
      <c r="T1142" t="str">
        <f>VLOOKUP(S1142,'Mapa Oficinas'!$H$7:$I$16,2,FALSE)</f>
        <v>CB</v>
      </c>
      <c r="U1142" t="s">
        <v>29</v>
      </c>
      <c r="V1142" t="str">
        <f>VLOOKUP($R1142,'Mapa Oficinas'!$A$7:$C$46,2,FALSE)</f>
        <v>CABA</v>
      </c>
      <c r="W1142" t="str">
        <f>VLOOKUP($R1142,'Mapa Oficinas'!$A$7:$C$46,3,FALSE)</f>
        <v>Recoleta</v>
      </c>
    </row>
    <row r="1143" spans="1:23" x14ac:dyDescent="0.2">
      <c r="A1143" s="1">
        <v>46080</v>
      </c>
      <c r="B1143" s="20">
        <f t="shared" si="34"/>
        <v>2026</v>
      </c>
      <c r="C1143" s="20">
        <f t="shared" si="35"/>
        <v>2</v>
      </c>
      <c r="D1143" t="s">
        <v>6892</v>
      </c>
      <c r="E1143" s="49">
        <v>1</v>
      </c>
      <c r="F1143" t="s">
        <v>6893</v>
      </c>
      <c r="G1143" t="s">
        <v>21</v>
      </c>
      <c r="H1143" t="s">
        <v>37</v>
      </c>
      <c r="I1143" s="13">
        <v>105000</v>
      </c>
      <c r="J1143" s="13">
        <v>95000</v>
      </c>
      <c r="K1143" s="13">
        <f>IF(J1143&lt;'Mapa Oficinas'!$I$21,0,IF(J1143&gt;'Mapa Oficinas'!$I$20,0,1))</f>
        <v>1</v>
      </c>
      <c r="L1143" t="s">
        <v>23</v>
      </c>
      <c r="M1143" t="s">
        <v>23</v>
      </c>
      <c r="N1143" t="s">
        <v>6894</v>
      </c>
      <c r="O1143" t="s">
        <v>408</v>
      </c>
      <c r="P1143" t="s">
        <v>45</v>
      </c>
      <c r="Q1143">
        <v>2</v>
      </c>
      <c r="R1143" t="s">
        <v>1024</v>
      </c>
      <c r="S1143" t="s">
        <v>28</v>
      </c>
      <c r="T1143" t="str">
        <f>VLOOKUP(S1143,'Mapa Oficinas'!$H$7:$I$16,2,FALSE)</f>
        <v>CB</v>
      </c>
      <c r="U1143" t="s">
        <v>29</v>
      </c>
      <c r="V1143" t="str">
        <f>VLOOKUP($R1143,'Mapa Oficinas'!$A$7:$C$46,2,FALSE)</f>
        <v>CABA</v>
      </c>
      <c r="W1143" t="str">
        <f>VLOOKUP($R1143,'Mapa Oficinas'!$A$7:$C$46,3,FALSE)</f>
        <v>Puerto Madero</v>
      </c>
    </row>
    <row r="1144" spans="1:23" x14ac:dyDescent="0.2">
      <c r="A1144" s="1">
        <v>46093</v>
      </c>
      <c r="B1144" s="20">
        <f t="shared" si="34"/>
        <v>2026</v>
      </c>
      <c r="C1144" s="20">
        <f t="shared" si="35"/>
        <v>3</v>
      </c>
      <c r="D1144" t="s">
        <v>7138</v>
      </c>
      <c r="E1144" s="49">
        <v>1</v>
      </c>
      <c r="F1144" t="s">
        <v>7139</v>
      </c>
      <c r="G1144" t="s">
        <v>21</v>
      </c>
      <c r="H1144" t="s">
        <v>37</v>
      </c>
      <c r="I1144" s="13">
        <v>99900</v>
      </c>
      <c r="J1144" s="13">
        <v>95000</v>
      </c>
      <c r="K1144" s="13">
        <f>IF(J1144&lt;'Mapa Oficinas'!$I$21,0,IF(J1144&gt;'Mapa Oficinas'!$I$20,0,1))</f>
        <v>1</v>
      </c>
      <c r="L1144" t="s">
        <v>23</v>
      </c>
      <c r="M1144" t="s">
        <v>23</v>
      </c>
      <c r="N1144" t="s">
        <v>7140</v>
      </c>
      <c r="O1144" t="s">
        <v>534</v>
      </c>
      <c r="P1144" t="s">
        <v>45</v>
      </c>
      <c r="Q1144">
        <v>2</v>
      </c>
      <c r="R1144" t="s">
        <v>67</v>
      </c>
      <c r="S1144" t="s">
        <v>28</v>
      </c>
      <c r="T1144" t="str">
        <f>VLOOKUP(S1144,'Mapa Oficinas'!$H$7:$I$16,2,FALSE)</f>
        <v>CB</v>
      </c>
      <c r="U1144" t="s">
        <v>29</v>
      </c>
      <c r="V1144" t="str">
        <f>VLOOKUP($R1144,'Mapa Oficinas'!$A$7:$C$46,2,FALSE)</f>
        <v>CABA</v>
      </c>
      <c r="W1144" t="str">
        <f>VLOOKUP($R1144,'Mapa Oficinas'!$A$7:$C$46,3,FALSE)</f>
        <v>Barrio Parque</v>
      </c>
    </row>
    <row r="1145" spans="1:23" x14ac:dyDescent="0.2">
      <c r="A1145" s="1">
        <v>46097</v>
      </c>
      <c r="B1145" s="20">
        <f t="shared" si="34"/>
        <v>2026</v>
      </c>
      <c r="C1145" s="20">
        <f t="shared" si="35"/>
        <v>3</v>
      </c>
      <c r="D1145" t="s">
        <v>7211</v>
      </c>
      <c r="E1145" s="49">
        <v>1</v>
      </c>
      <c r="F1145" t="s">
        <v>7212</v>
      </c>
      <c r="G1145" t="s">
        <v>21</v>
      </c>
      <c r="H1145" t="s">
        <v>81</v>
      </c>
      <c r="I1145" s="13">
        <v>109000</v>
      </c>
      <c r="J1145" s="13">
        <v>95000</v>
      </c>
      <c r="K1145" s="13">
        <f>IF(J1145&lt;'Mapa Oficinas'!$I$21,0,IF(J1145&gt;'Mapa Oficinas'!$I$20,0,1))</f>
        <v>1</v>
      </c>
      <c r="L1145" t="s">
        <v>23</v>
      </c>
      <c r="M1145" t="s">
        <v>23</v>
      </c>
      <c r="N1145" t="s">
        <v>7213</v>
      </c>
      <c r="O1145" t="s">
        <v>1629</v>
      </c>
      <c r="P1145" t="s">
        <v>34</v>
      </c>
      <c r="Q1145">
        <v>2</v>
      </c>
      <c r="R1145" t="s">
        <v>482</v>
      </c>
      <c r="S1145" t="s">
        <v>28</v>
      </c>
      <c r="T1145" t="str">
        <f>VLOOKUP(S1145,'Mapa Oficinas'!$H$7:$I$16,2,FALSE)</f>
        <v>CB</v>
      </c>
      <c r="U1145" t="s">
        <v>29</v>
      </c>
      <c r="V1145" t="str">
        <f>VLOOKUP($R1145,'Mapa Oficinas'!$A$7:$C$46,2,FALSE)</f>
        <v>Interior - Jujuy</v>
      </c>
      <c r="W1145" t="str">
        <f>VLOOKUP($R1145,'Mapa Oficinas'!$A$7:$C$46,3,FALSE)</f>
        <v>Capital Jujuy</v>
      </c>
    </row>
    <row r="1146" spans="1:23" x14ac:dyDescent="0.2">
      <c r="A1146" s="1">
        <v>45798</v>
      </c>
      <c r="B1146" s="20">
        <f t="shared" si="34"/>
        <v>2025</v>
      </c>
      <c r="C1146" s="20">
        <f t="shared" si="35"/>
        <v>5</v>
      </c>
      <c r="E1146" s="49">
        <v>1</v>
      </c>
      <c r="F1146" t="s">
        <v>2065</v>
      </c>
      <c r="G1146" t="s">
        <v>21</v>
      </c>
      <c r="H1146" t="s">
        <v>37</v>
      </c>
      <c r="I1146" s="13">
        <v>96000</v>
      </c>
      <c r="J1146" s="13">
        <v>96000</v>
      </c>
      <c r="K1146" s="13">
        <f>IF(J1146&lt;'Mapa Oficinas'!$I$21,0,IF(J1146&gt;'Mapa Oficinas'!$I$20,0,1))</f>
        <v>1</v>
      </c>
      <c r="L1146" t="s">
        <v>23</v>
      </c>
      <c r="M1146" t="s">
        <v>23</v>
      </c>
      <c r="N1146" t="s">
        <v>1874</v>
      </c>
      <c r="O1146" t="s">
        <v>83</v>
      </c>
      <c r="P1146" t="s">
        <v>14</v>
      </c>
      <c r="Q1146">
        <v>2</v>
      </c>
      <c r="R1146" t="s">
        <v>84</v>
      </c>
      <c r="S1146" t="s">
        <v>79</v>
      </c>
      <c r="T1146" t="str">
        <f>VLOOKUP(S1146,'Mapa Oficinas'!$H$7:$I$16,2,FALSE)</f>
        <v>CB</v>
      </c>
      <c r="U1146" t="s">
        <v>29</v>
      </c>
      <c r="V1146" t="str">
        <f>VLOOKUP($R1146,'Mapa Oficinas'!$A$7:$C$46,2,FALSE)</f>
        <v>Interior - Neuquén</v>
      </c>
      <c r="W1146" t="str">
        <f>VLOOKUP($R1146,'Mapa Oficinas'!$A$7:$C$46,3,FALSE)</f>
        <v>Villa La Angostura</v>
      </c>
    </row>
    <row r="1147" spans="1:23" x14ac:dyDescent="0.2">
      <c r="A1147" s="1">
        <v>45861</v>
      </c>
      <c r="B1147" s="20">
        <f t="shared" si="34"/>
        <v>2025</v>
      </c>
      <c r="C1147" s="20">
        <f t="shared" si="35"/>
        <v>7</v>
      </c>
      <c r="D1147" t="s">
        <v>3172</v>
      </c>
      <c r="E1147" s="49">
        <v>1</v>
      </c>
      <c r="F1147" t="s">
        <v>3173</v>
      </c>
      <c r="G1147" t="s">
        <v>21</v>
      </c>
      <c r="H1147" t="s">
        <v>100</v>
      </c>
      <c r="I1147" s="13">
        <v>115000</v>
      </c>
      <c r="J1147" s="13">
        <v>96000</v>
      </c>
      <c r="K1147" s="13">
        <f>IF(J1147&lt;'Mapa Oficinas'!$I$21,0,IF(J1147&gt;'Mapa Oficinas'!$I$20,0,1))</f>
        <v>1</v>
      </c>
      <c r="L1147" t="s">
        <v>23</v>
      </c>
      <c r="M1147" t="s">
        <v>23</v>
      </c>
      <c r="N1147" t="s">
        <v>3174</v>
      </c>
      <c r="O1147" t="s">
        <v>3175</v>
      </c>
      <c r="P1147" t="s">
        <v>61</v>
      </c>
      <c r="Q1147">
        <v>2</v>
      </c>
      <c r="R1147" t="s">
        <v>121</v>
      </c>
      <c r="S1147" t="s">
        <v>79</v>
      </c>
      <c r="T1147" t="str">
        <f>VLOOKUP(S1147,'Mapa Oficinas'!$H$7:$I$16,2,FALSE)</f>
        <v>CB</v>
      </c>
      <c r="U1147" t="s">
        <v>29</v>
      </c>
      <c r="V1147" t="str">
        <f>VLOOKUP($R1147,'Mapa Oficinas'!$A$7:$C$46,2,FALSE)</f>
        <v>Interior - Río Negro</v>
      </c>
      <c r="W1147" t="str">
        <f>VLOOKUP($R1147,'Mapa Oficinas'!$A$7:$C$46,3,FALSE)</f>
        <v>Bariloche</v>
      </c>
    </row>
    <row r="1148" spans="1:23" x14ac:dyDescent="0.2">
      <c r="A1148" s="1">
        <v>45853</v>
      </c>
      <c r="B1148" s="20">
        <f t="shared" si="34"/>
        <v>2025</v>
      </c>
      <c r="C1148" s="20">
        <f t="shared" si="35"/>
        <v>7</v>
      </c>
      <c r="D1148" t="s">
        <v>3044</v>
      </c>
      <c r="E1148" s="49">
        <v>1</v>
      </c>
      <c r="F1148" t="s">
        <v>3045</v>
      </c>
      <c r="G1148" t="s">
        <v>21</v>
      </c>
      <c r="H1148" t="s">
        <v>90</v>
      </c>
      <c r="I1148" s="13">
        <v>106000</v>
      </c>
      <c r="J1148" s="13">
        <v>96000</v>
      </c>
      <c r="K1148" s="13">
        <f>IF(J1148&lt;'Mapa Oficinas'!$I$21,0,IF(J1148&gt;'Mapa Oficinas'!$I$20,0,1))</f>
        <v>1</v>
      </c>
      <c r="L1148" t="s">
        <v>23</v>
      </c>
      <c r="M1148" t="s">
        <v>23</v>
      </c>
      <c r="N1148" t="s">
        <v>3046</v>
      </c>
      <c r="O1148" t="s">
        <v>1425</v>
      </c>
      <c r="P1148" t="s">
        <v>34</v>
      </c>
      <c r="Q1148">
        <v>2</v>
      </c>
      <c r="R1148" t="s">
        <v>67</v>
      </c>
      <c r="S1148" t="s">
        <v>28</v>
      </c>
      <c r="T1148" t="str">
        <f>VLOOKUP(S1148,'Mapa Oficinas'!$H$7:$I$16,2,FALSE)</f>
        <v>CB</v>
      </c>
      <c r="U1148" t="s">
        <v>29</v>
      </c>
      <c r="V1148" t="str">
        <f>VLOOKUP($R1148,'Mapa Oficinas'!$A$7:$C$46,2,FALSE)</f>
        <v>CABA</v>
      </c>
      <c r="W1148" t="str">
        <f>VLOOKUP($R1148,'Mapa Oficinas'!$A$7:$C$46,3,FALSE)</f>
        <v>Barrio Parque</v>
      </c>
    </row>
    <row r="1149" spans="1:23" x14ac:dyDescent="0.2">
      <c r="A1149" s="1">
        <v>46000</v>
      </c>
      <c r="B1149" s="20">
        <f t="shared" si="34"/>
        <v>2025</v>
      </c>
      <c r="C1149" s="20">
        <f t="shared" si="35"/>
        <v>12</v>
      </c>
      <c r="D1149" t="s">
        <v>5677</v>
      </c>
      <c r="E1149" s="49">
        <v>1</v>
      </c>
      <c r="F1149" t="s">
        <v>5678</v>
      </c>
      <c r="G1149" t="s">
        <v>21</v>
      </c>
      <c r="H1149" t="s">
        <v>37</v>
      </c>
      <c r="I1149" s="13">
        <v>101000</v>
      </c>
      <c r="J1149" s="13">
        <v>96000</v>
      </c>
      <c r="K1149" s="13">
        <f>IF(J1149&lt;'Mapa Oficinas'!$I$21,0,IF(J1149&gt;'Mapa Oficinas'!$I$20,0,1))</f>
        <v>1</v>
      </c>
      <c r="L1149" t="s">
        <v>23</v>
      </c>
      <c r="M1149" t="s">
        <v>23</v>
      </c>
      <c r="N1149" t="s">
        <v>5679</v>
      </c>
      <c r="O1149" t="s">
        <v>2013</v>
      </c>
      <c r="P1149" t="s">
        <v>45</v>
      </c>
      <c r="Q1149">
        <v>2</v>
      </c>
      <c r="R1149" t="s">
        <v>40</v>
      </c>
      <c r="S1149" t="s">
        <v>28</v>
      </c>
      <c r="T1149" t="str">
        <f>VLOOKUP(S1149,'Mapa Oficinas'!$H$7:$I$16,2,FALSE)</f>
        <v>CB</v>
      </c>
      <c r="U1149" t="s">
        <v>29</v>
      </c>
      <c r="V1149" t="str">
        <f>VLOOKUP($R1149,'Mapa Oficinas'!$A$7:$C$46,2,FALSE)</f>
        <v>CABA</v>
      </c>
      <c r="W1149" t="str">
        <f>VLOOKUP($R1149,'Mapa Oficinas'!$A$7:$C$46,3,FALSE)</f>
        <v>Núñez</v>
      </c>
    </row>
    <row r="1150" spans="1:23" x14ac:dyDescent="0.2">
      <c r="A1150" s="1">
        <v>46064</v>
      </c>
      <c r="B1150" s="20">
        <f t="shared" si="34"/>
        <v>2026</v>
      </c>
      <c r="C1150" s="20">
        <f t="shared" si="35"/>
        <v>2</v>
      </c>
      <c r="E1150" s="49">
        <v>0</v>
      </c>
      <c r="F1150" t="s">
        <v>6652</v>
      </c>
      <c r="G1150" t="s">
        <v>21</v>
      </c>
      <c r="H1150" t="s">
        <v>37</v>
      </c>
      <c r="I1150" s="13">
        <v>0</v>
      </c>
      <c r="J1150" s="13">
        <v>96500</v>
      </c>
      <c r="K1150" s="13">
        <f>IF(J1150&lt;'Mapa Oficinas'!$I$21,0,IF(J1150&gt;'Mapa Oficinas'!$I$20,0,1))</f>
        <v>1</v>
      </c>
      <c r="L1150" t="s">
        <v>23</v>
      </c>
      <c r="M1150" t="s">
        <v>23</v>
      </c>
      <c r="N1150" t="s">
        <v>6653</v>
      </c>
      <c r="O1150" t="s">
        <v>50</v>
      </c>
      <c r="P1150" t="s">
        <v>45</v>
      </c>
      <c r="Q1150">
        <v>2</v>
      </c>
      <c r="R1150" t="s">
        <v>135</v>
      </c>
      <c r="S1150" t="s">
        <v>232</v>
      </c>
      <c r="T1150" t="str">
        <f>VLOOKUP(S1150,'Mapa Oficinas'!$H$7:$I$16,2,FALSE)</f>
        <v>CB</v>
      </c>
      <c r="U1150" t="s">
        <v>29</v>
      </c>
      <c r="V1150" t="str">
        <f>VLOOKUP($R1150,'Mapa Oficinas'!$A$7:$C$46,2,FALSE)</f>
        <v>CABA</v>
      </c>
      <c r="W1150" t="str">
        <f>VLOOKUP($R1150,'Mapa Oficinas'!$A$7:$C$46,3,FALSE)</f>
        <v>Recoleta</v>
      </c>
    </row>
    <row r="1151" spans="1:23" x14ac:dyDescent="0.2">
      <c r="A1151" s="1">
        <v>46075</v>
      </c>
      <c r="B1151" s="20">
        <f t="shared" si="34"/>
        <v>2026</v>
      </c>
      <c r="C1151" s="20">
        <f t="shared" si="35"/>
        <v>2</v>
      </c>
      <c r="D1151" t="s">
        <v>6792</v>
      </c>
      <c r="E1151" s="49">
        <v>1</v>
      </c>
      <c r="F1151" t="s">
        <v>6793</v>
      </c>
      <c r="G1151" t="s">
        <v>21</v>
      </c>
      <c r="H1151" t="s">
        <v>37</v>
      </c>
      <c r="I1151" s="13">
        <v>98000</v>
      </c>
      <c r="J1151" s="13">
        <v>96500</v>
      </c>
      <c r="K1151" s="13">
        <f>IF(J1151&lt;'Mapa Oficinas'!$I$21,0,IF(J1151&gt;'Mapa Oficinas'!$I$20,0,1))</f>
        <v>1</v>
      </c>
      <c r="L1151" t="s">
        <v>23</v>
      </c>
      <c r="M1151" t="s">
        <v>23</v>
      </c>
      <c r="N1151" t="s">
        <v>6794</v>
      </c>
      <c r="O1151" t="s">
        <v>992</v>
      </c>
      <c r="P1151" t="s">
        <v>45</v>
      </c>
      <c r="Q1151">
        <v>2</v>
      </c>
      <c r="R1151" t="s">
        <v>67</v>
      </c>
      <c r="S1151" t="s">
        <v>232</v>
      </c>
      <c r="T1151" t="str">
        <f>VLOOKUP(S1151,'Mapa Oficinas'!$H$7:$I$16,2,FALSE)</f>
        <v>CB</v>
      </c>
      <c r="U1151" t="s">
        <v>29</v>
      </c>
      <c r="V1151" t="str">
        <f>VLOOKUP($R1151,'Mapa Oficinas'!$A$7:$C$46,2,FALSE)</f>
        <v>CABA</v>
      </c>
      <c r="W1151" t="str">
        <f>VLOOKUP($R1151,'Mapa Oficinas'!$A$7:$C$46,3,FALSE)</f>
        <v>Barrio Parque</v>
      </c>
    </row>
    <row r="1152" spans="1:23" x14ac:dyDescent="0.2">
      <c r="A1152" s="1">
        <v>46083</v>
      </c>
      <c r="B1152" s="20">
        <f t="shared" si="34"/>
        <v>2026</v>
      </c>
      <c r="C1152" s="20">
        <f t="shared" si="35"/>
        <v>3</v>
      </c>
      <c r="D1152" t="s">
        <v>6938</v>
      </c>
      <c r="E1152" s="49">
        <v>1</v>
      </c>
      <c r="F1152" t="s">
        <v>6938</v>
      </c>
      <c r="G1152" t="s">
        <v>21</v>
      </c>
      <c r="H1152" t="s">
        <v>37</v>
      </c>
      <c r="I1152" s="13">
        <v>97000</v>
      </c>
      <c r="J1152" s="13">
        <v>97000</v>
      </c>
      <c r="K1152" s="13">
        <f>IF(J1152&lt;'Mapa Oficinas'!$I$21,0,IF(J1152&gt;'Mapa Oficinas'!$I$20,0,1))</f>
        <v>1</v>
      </c>
      <c r="L1152" t="s">
        <v>23</v>
      </c>
      <c r="M1152" t="s">
        <v>23</v>
      </c>
      <c r="N1152" t="s">
        <v>6938</v>
      </c>
      <c r="O1152" t="s">
        <v>3362</v>
      </c>
      <c r="P1152" t="s">
        <v>61</v>
      </c>
      <c r="Q1152">
        <v>1</v>
      </c>
      <c r="R1152" t="s">
        <v>56</v>
      </c>
      <c r="S1152" t="s">
        <v>152</v>
      </c>
      <c r="T1152" t="str">
        <f>VLOOKUP(S1152,'Mapa Oficinas'!$H$7:$I$16,2,FALSE)</f>
        <v>Otra Red Captación</v>
      </c>
      <c r="U1152" t="s">
        <v>29</v>
      </c>
      <c r="V1152" t="str">
        <f>VLOOKUP($R1152,'Mapa Oficinas'!$A$7:$C$46,2,FALSE)</f>
        <v>Zona Norte (GBA)</v>
      </c>
      <c r="W1152" t="str">
        <f>VLOOKUP($R1152,'Mapa Oficinas'!$A$7:$C$46,3,FALSE)</f>
        <v>Vicente López</v>
      </c>
    </row>
    <row r="1153" spans="1:23" x14ac:dyDescent="0.2">
      <c r="A1153" s="1">
        <v>45705</v>
      </c>
      <c r="B1153" s="20">
        <f t="shared" si="34"/>
        <v>2025</v>
      </c>
      <c r="C1153" s="20">
        <f t="shared" si="35"/>
        <v>2</v>
      </c>
      <c r="D1153" t="s">
        <v>631</v>
      </c>
      <c r="E1153" s="49">
        <v>1</v>
      </c>
      <c r="F1153" t="s">
        <v>632</v>
      </c>
      <c r="G1153" t="s">
        <v>21</v>
      </c>
      <c r="H1153" t="s">
        <v>37</v>
      </c>
      <c r="I1153" s="13">
        <v>99000</v>
      </c>
      <c r="J1153" s="13">
        <v>97000</v>
      </c>
      <c r="K1153" s="13">
        <f>IF(J1153&lt;'Mapa Oficinas'!$I$21,0,IF(J1153&gt;'Mapa Oficinas'!$I$20,0,1))</f>
        <v>1</v>
      </c>
      <c r="L1153" t="s">
        <v>23</v>
      </c>
      <c r="M1153" t="s">
        <v>23</v>
      </c>
      <c r="N1153" t="s">
        <v>633</v>
      </c>
      <c r="O1153" t="s">
        <v>634</v>
      </c>
      <c r="P1153" t="s">
        <v>45</v>
      </c>
      <c r="Q1153">
        <v>2</v>
      </c>
      <c r="R1153" t="s">
        <v>372</v>
      </c>
      <c r="S1153" t="s">
        <v>28</v>
      </c>
      <c r="T1153" t="str">
        <f>VLOOKUP(S1153,'Mapa Oficinas'!$H$7:$I$16,2,FALSE)</f>
        <v>CB</v>
      </c>
      <c r="U1153" t="s">
        <v>29</v>
      </c>
      <c r="V1153" t="str">
        <f>VLOOKUP($R1153,'Mapa Oficinas'!$A$7:$C$46,2,FALSE)</f>
        <v>CABA</v>
      </c>
      <c r="W1153" t="str">
        <f>VLOOKUP($R1153,'Mapa Oficinas'!$A$7:$C$46,3,FALSE)</f>
        <v>Caballito</v>
      </c>
    </row>
    <row r="1154" spans="1:23" x14ac:dyDescent="0.2">
      <c r="A1154" s="1">
        <v>45831</v>
      </c>
      <c r="B1154" s="20">
        <f t="shared" ref="B1154:B1217" si="36">YEAR($A1154)</f>
        <v>2025</v>
      </c>
      <c r="C1154" s="20">
        <f t="shared" ref="C1154:C1217" si="37">MONTH($A1154)</f>
        <v>6</v>
      </c>
      <c r="D1154" t="s">
        <v>2577</v>
      </c>
      <c r="E1154" s="49">
        <v>1</v>
      </c>
      <c r="F1154" t="s">
        <v>2578</v>
      </c>
      <c r="G1154" t="s">
        <v>21</v>
      </c>
      <c r="H1154" t="s">
        <v>37</v>
      </c>
      <c r="I1154" s="13">
        <v>100000</v>
      </c>
      <c r="J1154" s="13">
        <v>97000</v>
      </c>
      <c r="K1154" s="13">
        <f>IF(J1154&lt;'Mapa Oficinas'!$I$21,0,IF(J1154&gt;'Mapa Oficinas'!$I$20,0,1))</f>
        <v>1</v>
      </c>
      <c r="L1154" t="s">
        <v>23</v>
      </c>
      <c r="M1154" t="s">
        <v>23</v>
      </c>
      <c r="N1154" t="s">
        <v>2579</v>
      </c>
      <c r="O1154" t="s">
        <v>333</v>
      </c>
      <c r="P1154" t="s">
        <v>45</v>
      </c>
      <c r="Q1154">
        <v>2</v>
      </c>
      <c r="R1154" t="s">
        <v>1024</v>
      </c>
      <c r="S1154" t="s">
        <v>28</v>
      </c>
      <c r="T1154" t="str">
        <f>VLOOKUP(S1154,'Mapa Oficinas'!$H$7:$I$16,2,FALSE)</f>
        <v>CB</v>
      </c>
      <c r="U1154" t="s">
        <v>29</v>
      </c>
      <c r="V1154" t="str">
        <f>VLOOKUP($R1154,'Mapa Oficinas'!$A$7:$C$46,2,FALSE)</f>
        <v>CABA</v>
      </c>
      <c r="W1154" t="str">
        <f>VLOOKUP($R1154,'Mapa Oficinas'!$A$7:$C$46,3,FALSE)</f>
        <v>Puerto Madero</v>
      </c>
    </row>
    <row r="1155" spans="1:23" x14ac:dyDescent="0.2">
      <c r="A1155" s="1">
        <v>45835</v>
      </c>
      <c r="B1155" s="20">
        <f t="shared" si="36"/>
        <v>2025</v>
      </c>
      <c r="C1155" s="20">
        <f t="shared" si="37"/>
        <v>6</v>
      </c>
      <c r="D1155" t="s">
        <v>2700</v>
      </c>
      <c r="E1155" s="49">
        <v>1</v>
      </c>
      <c r="F1155" t="s">
        <v>2701</v>
      </c>
      <c r="G1155" t="s">
        <v>21</v>
      </c>
      <c r="H1155" t="s">
        <v>37</v>
      </c>
      <c r="I1155" s="13">
        <v>99800</v>
      </c>
      <c r="J1155" s="13">
        <v>97000</v>
      </c>
      <c r="K1155" s="13">
        <f>IF(J1155&lt;'Mapa Oficinas'!$I$21,0,IF(J1155&gt;'Mapa Oficinas'!$I$20,0,1))</f>
        <v>1</v>
      </c>
      <c r="L1155" t="s">
        <v>23</v>
      </c>
      <c r="M1155" t="s">
        <v>23</v>
      </c>
      <c r="N1155" t="s">
        <v>2702</v>
      </c>
      <c r="O1155" t="s">
        <v>992</v>
      </c>
      <c r="P1155" t="s">
        <v>45</v>
      </c>
      <c r="Q1155">
        <v>2</v>
      </c>
      <c r="R1155" t="s">
        <v>46</v>
      </c>
      <c r="S1155" t="s">
        <v>28</v>
      </c>
      <c r="T1155" t="str">
        <f>VLOOKUP(S1155,'Mapa Oficinas'!$H$7:$I$16,2,FALSE)</f>
        <v>CB</v>
      </c>
      <c r="U1155" t="s">
        <v>29</v>
      </c>
      <c r="V1155" t="str">
        <f>VLOOKUP($R1155,'Mapa Oficinas'!$A$7:$C$46,2,FALSE)</f>
        <v>CABA</v>
      </c>
      <c r="W1155" t="str">
        <f>VLOOKUP($R1155,'Mapa Oficinas'!$A$7:$C$46,3,FALSE)</f>
        <v>Palermo</v>
      </c>
    </row>
    <row r="1156" spans="1:23" x14ac:dyDescent="0.2">
      <c r="A1156" s="1">
        <v>45861</v>
      </c>
      <c r="B1156" s="20">
        <f t="shared" si="36"/>
        <v>2025</v>
      </c>
      <c r="C1156" s="20">
        <f t="shared" si="37"/>
        <v>7</v>
      </c>
      <c r="D1156" t="s">
        <v>3176</v>
      </c>
      <c r="E1156" s="49">
        <v>1</v>
      </c>
      <c r="F1156" t="s">
        <v>3177</v>
      </c>
      <c r="G1156" t="s">
        <v>21</v>
      </c>
      <c r="H1156" t="s">
        <v>90</v>
      </c>
      <c r="I1156" s="13">
        <v>190000</v>
      </c>
      <c r="J1156" s="13">
        <v>97500</v>
      </c>
      <c r="K1156" s="13">
        <f>IF(J1156&lt;'Mapa Oficinas'!$I$21,0,IF(J1156&gt;'Mapa Oficinas'!$I$20,0,1))</f>
        <v>1</v>
      </c>
      <c r="L1156" t="s">
        <v>23</v>
      </c>
      <c r="M1156" t="s">
        <v>23</v>
      </c>
      <c r="N1156" t="s">
        <v>3178</v>
      </c>
      <c r="O1156" t="s">
        <v>141</v>
      </c>
      <c r="P1156" t="s">
        <v>45</v>
      </c>
      <c r="Q1156">
        <v>2</v>
      </c>
      <c r="R1156" t="s">
        <v>62</v>
      </c>
      <c r="S1156" t="s">
        <v>28</v>
      </c>
      <c r="T1156" t="str">
        <f>VLOOKUP(S1156,'Mapa Oficinas'!$H$7:$I$16,2,FALSE)</f>
        <v>CB</v>
      </c>
      <c r="U1156" t="s">
        <v>29</v>
      </c>
      <c r="V1156" t="str">
        <f>VLOOKUP($R1156,'Mapa Oficinas'!$A$7:$C$46,2,FALSE)</f>
        <v>CABA</v>
      </c>
      <c r="W1156" t="str">
        <f>VLOOKUP($R1156,'Mapa Oficinas'!$A$7:$C$46,3,FALSE)</f>
        <v>Villa Urquiza</v>
      </c>
    </row>
    <row r="1157" spans="1:23" x14ac:dyDescent="0.2">
      <c r="A1157" s="1">
        <v>45952</v>
      </c>
      <c r="B1157" s="20">
        <f t="shared" si="36"/>
        <v>2025</v>
      </c>
      <c r="C1157" s="20">
        <f t="shared" si="37"/>
        <v>10</v>
      </c>
      <c r="D1157" t="s">
        <v>4845</v>
      </c>
      <c r="E1157" s="49">
        <v>1</v>
      </c>
      <c r="F1157" t="s">
        <v>4846</v>
      </c>
      <c r="G1157" t="s">
        <v>21</v>
      </c>
      <c r="H1157" t="s">
        <v>37</v>
      </c>
      <c r="I1157" s="13">
        <v>100000</v>
      </c>
      <c r="J1157" s="13">
        <v>97500</v>
      </c>
      <c r="K1157" s="13">
        <f>IF(J1157&lt;'Mapa Oficinas'!$I$21,0,IF(J1157&gt;'Mapa Oficinas'!$I$20,0,1))</f>
        <v>1</v>
      </c>
      <c r="L1157" t="s">
        <v>23</v>
      </c>
      <c r="M1157" t="s">
        <v>23</v>
      </c>
      <c r="N1157" t="s">
        <v>4847</v>
      </c>
      <c r="O1157" t="s">
        <v>141</v>
      </c>
      <c r="P1157" t="s">
        <v>45</v>
      </c>
      <c r="Q1157">
        <v>2</v>
      </c>
      <c r="R1157" t="s">
        <v>67</v>
      </c>
      <c r="S1157" t="s">
        <v>28</v>
      </c>
      <c r="T1157" t="str">
        <f>VLOOKUP(S1157,'Mapa Oficinas'!$H$7:$I$16,2,FALSE)</f>
        <v>CB</v>
      </c>
      <c r="U1157" t="s">
        <v>29</v>
      </c>
      <c r="V1157" t="str">
        <f>VLOOKUP($R1157,'Mapa Oficinas'!$A$7:$C$46,2,FALSE)</f>
        <v>CABA</v>
      </c>
      <c r="W1157" t="str">
        <f>VLOOKUP($R1157,'Mapa Oficinas'!$A$7:$C$46,3,FALSE)</f>
        <v>Barrio Parque</v>
      </c>
    </row>
    <row r="1158" spans="1:23" x14ac:dyDescent="0.2">
      <c r="A1158" s="1">
        <v>46083</v>
      </c>
      <c r="B1158" s="20">
        <f t="shared" si="36"/>
        <v>2026</v>
      </c>
      <c r="C1158" s="20">
        <f t="shared" si="37"/>
        <v>3</v>
      </c>
      <c r="D1158" t="s">
        <v>6939</v>
      </c>
      <c r="E1158" s="49">
        <v>1</v>
      </c>
      <c r="F1158" t="s">
        <v>2780</v>
      </c>
      <c r="G1158" t="s">
        <v>21</v>
      </c>
      <c r="H1158" t="s">
        <v>37</v>
      </c>
      <c r="I1158" s="13">
        <v>105000</v>
      </c>
      <c r="J1158" s="13">
        <v>97500</v>
      </c>
      <c r="K1158" s="13">
        <f>IF(J1158&lt;'Mapa Oficinas'!$I$21,0,IF(J1158&gt;'Mapa Oficinas'!$I$20,0,1))</f>
        <v>1</v>
      </c>
      <c r="L1158" t="s">
        <v>23</v>
      </c>
      <c r="M1158" t="s">
        <v>23</v>
      </c>
      <c r="N1158" t="s">
        <v>6940</v>
      </c>
      <c r="O1158" t="s">
        <v>66</v>
      </c>
      <c r="P1158" t="s">
        <v>45</v>
      </c>
      <c r="Q1158">
        <v>2</v>
      </c>
      <c r="R1158" t="s">
        <v>670</v>
      </c>
      <c r="S1158" t="s">
        <v>28</v>
      </c>
      <c r="T1158" t="str">
        <f>VLOOKUP(S1158,'Mapa Oficinas'!$H$7:$I$16,2,FALSE)</f>
        <v>CB</v>
      </c>
      <c r="U1158" t="s">
        <v>29</v>
      </c>
      <c r="V1158" t="str">
        <f>VLOOKUP($R1158,'Mapa Oficinas'!$A$7:$C$46,2,FALSE)</f>
        <v>CABA</v>
      </c>
      <c r="W1158" t="str">
        <f>VLOOKUP($R1158,'Mapa Oficinas'!$A$7:$C$46,3,FALSE)</f>
        <v>Recoleta</v>
      </c>
    </row>
    <row r="1159" spans="1:23" x14ac:dyDescent="0.2">
      <c r="A1159" s="1">
        <v>46092</v>
      </c>
      <c r="B1159" s="20">
        <f t="shared" si="36"/>
        <v>2026</v>
      </c>
      <c r="C1159" s="20">
        <f t="shared" si="37"/>
        <v>3</v>
      </c>
      <c r="D1159" t="s">
        <v>7102</v>
      </c>
      <c r="E1159" s="49">
        <v>1</v>
      </c>
      <c r="F1159" t="s">
        <v>7102</v>
      </c>
      <c r="G1159" t="s">
        <v>21</v>
      </c>
      <c r="H1159" t="s">
        <v>37</v>
      </c>
      <c r="I1159" s="13">
        <v>198000</v>
      </c>
      <c r="J1159" s="13">
        <v>98000</v>
      </c>
      <c r="K1159" s="13">
        <f>IF(J1159&lt;'Mapa Oficinas'!$I$21,0,IF(J1159&gt;'Mapa Oficinas'!$I$20,0,1))</f>
        <v>1</v>
      </c>
      <c r="L1159" t="s">
        <v>23</v>
      </c>
      <c r="M1159" t="s">
        <v>23</v>
      </c>
      <c r="N1159" t="s">
        <v>7102</v>
      </c>
      <c r="O1159" t="s">
        <v>976</v>
      </c>
      <c r="P1159" t="s">
        <v>45</v>
      </c>
      <c r="Q1159">
        <v>1</v>
      </c>
      <c r="R1159" t="s">
        <v>56</v>
      </c>
      <c r="S1159" t="s">
        <v>122</v>
      </c>
      <c r="T1159" t="str">
        <f>VLOOKUP(S1159,'Mapa Oficinas'!$H$7:$I$16,2,FALSE)</f>
        <v>Otra Red Búsqueda</v>
      </c>
      <c r="U1159" t="s">
        <v>29</v>
      </c>
      <c r="V1159" t="str">
        <f>VLOOKUP($R1159,'Mapa Oficinas'!$A$7:$C$46,2,FALSE)</f>
        <v>Zona Norte (GBA)</v>
      </c>
      <c r="W1159" t="str">
        <f>VLOOKUP($R1159,'Mapa Oficinas'!$A$7:$C$46,3,FALSE)</f>
        <v>Vicente López</v>
      </c>
    </row>
    <row r="1160" spans="1:23" x14ac:dyDescent="0.2">
      <c r="A1160" s="1">
        <v>45869</v>
      </c>
      <c r="B1160" s="20">
        <f t="shared" si="36"/>
        <v>2025</v>
      </c>
      <c r="C1160" s="20">
        <f t="shared" si="37"/>
        <v>7</v>
      </c>
      <c r="D1160" t="s">
        <v>3344</v>
      </c>
      <c r="E1160" s="49">
        <v>1</v>
      </c>
      <c r="F1160" t="s">
        <v>3345</v>
      </c>
      <c r="G1160" t="s">
        <v>21</v>
      </c>
      <c r="H1160" t="s">
        <v>100</v>
      </c>
      <c r="I1160" s="13">
        <v>99000</v>
      </c>
      <c r="J1160" s="13">
        <v>98000</v>
      </c>
      <c r="K1160" s="13">
        <f>IF(J1160&lt;'Mapa Oficinas'!$I$21,0,IF(J1160&gt;'Mapa Oficinas'!$I$20,0,1))</f>
        <v>1</v>
      </c>
      <c r="L1160" t="s">
        <v>23</v>
      </c>
      <c r="M1160" t="s">
        <v>23</v>
      </c>
      <c r="N1160" t="s">
        <v>3346</v>
      </c>
      <c r="O1160" t="s">
        <v>3347</v>
      </c>
      <c r="P1160" t="s">
        <v>45</v>
      </c>
      <c r="Q1160">
        <v>1</v>
      </c>
      <c r="R1160" t="s">
        <v>121</v>
      </c>
      <c r="S1160" t="s">
        <v>152</v>
      </c>
      <c r="T1160" t="str">
        <f>VLOOKUP(S1160,'Mapa Oficinas'!$H$7:$I$16,2,FALSE)</f>
        <v>Otra Red Captación</v>
      </c>
      <c r="U1160" t="s">
        <v>29</v>
      </c>
      <c r="V1160" t="str">
        <f>VLOOKUP($R1160,'Mapa Oficinas'!$A$7:$C$46,2,FALSE)</f>
        <v>Interior - Río Negro</v>
      </c>
      <c r="W1160" t="str">
        <f>VLOOKUP($R1160,'Mapa Oficinas'!$A$7:$C$46,3,FALSE)</f>
        <v>Bariloche</v>
      </c>
    </row>
    <row r="1161" spans="1:23" x14ac:dyDescent="0.2">
      <c r="A1161" s="1">
        <v>45945</v>
      </c>
      <c r="B1161" s="20">
        <f t="shared" si="36"/>
        <v>2025</v>
      </c>
      <c r="C1161" s="20">
        <f t="shared" si="37"/>
        <v>10</v>
      </c>
      <c r="D1161" t="s">
        <v>4707</v>
      </c>
      <c r="E1161" s="49">
        <v>1</v>
      </c>
      <c r="F1161" t="s">
        <v>4708</v>
      </c>
      <c r="G1161" t="s">
        <v>21</v>
      </c>
      <c r="H1161" t="s">
        <v>37</v>
      </c>
      <c r="I1161" s="13">
        <v>99000</v>
      </c>
      <c r="J1161" s="13">
        <v>98000</v>
      </c>
      <c r="K1161" s="13">
        <f>IF(J1161&lt;'Mapa Oficinas'!$I$21,0,IF(J1161&gt;'Mapa Oficinas'!$I$20,0,1))</f>
        <v>1</v>
      </c>
      <c r="L1161" t="s">
        <v>23</v>
      </c>
      <c r="M1161" t="s">
        <v>23</v>
      </c>
      <c r="N1161" t="s">
        <v>4709</v>
      </c>
      <c r="O1161" t="s">
        <v>105</v>
      </c>
      <c r="P1161" t="s">
        <v>45</v>
      </c>
      <c r="Q1161">
        <v>2</v>
      </c>
      <c r="R1161" t="s">
        <v>110</v>
      </c>
      <c r="S1161" t="s">
        <v>79</v>
      </c>
      <c r="T1161" t="str">
        <f>VLOOKUP(S1161,'Mapa Oficinas'!$H$7:$I$16,2,FALSE)</f>
        <v>CB</v>
      </c>
      <c r="U1161" t="s">
        <v>29</v>
      </c>
      <c r="V1161" t="str">
        <f>VLOOKUP($R1161,'Mapa Oficinas'!$A$7:$C$46,2,FALSE)</f>
        <v>Zona Norte (GBA)</v>
      </c>
      <c r="W1161" t="str">
        <f>VLOOKUP($R1161,'Mapa Oficinas'!$A$7:$C$46,3,FALSE)</f>
        <v>Nordelta</v>
      </c>
    </row>
    <row r="1162" spans="1:23" x14ac:dyDescent="0.2">
      <c r="A1162" s="1">
        <v>45862</v>
      </c>
      <c r="B1162" s="20">
        <f t="shared" si="36"/>
        <v>2025</v>
      </c>
      <c r="C1162" s="20">
        <f t="shared" si="37"/>
        <v>7</v>
      </c>
      <c r="E1162" s="49">
        <v>0</v>
      </c>
      <c r="F1162" t="s">
        <v>3206</v>
      </c>
      <c r="G1162" t="s">
        <v>21</v>
      </c>
      <c r="H1162" t="s">
        <v>37</v>
      </c>
      <c r="I1162" s="13">
        <v>98000</v>
      </c>
      <c r="J1162" s="13">
        <v>98000</v>
      </c>
      <c r="K1162" s="13">
        <f>IF(J1162&lt;'Mapa Oficinas'!$I$21,0,IF(J1162&gt;'Mapa Oficinas'!$I$20,0,1))</f>
        <v>1</v>
      </c>
      <c r="L1162" t="s">
        <v>23</v>
      </c>
      <c r="M1162" t="s">
        <v>23</v>
      </c>
      <c r="N1162" t="s">
        <v>3206</v>
      </c>
      <c r="O1162" t="s">
        <v>50</v>
      </c>
      <c r="P1162" t="s">
        <v>45</v>
      </c>
      <c r="Q1162">
        <v>2</v>
      </c>
      <c r="R1162" t="s">
        <v>135</v>
      </c>
      <c r="S1162" t="s">
        <v>232</v>
      </c>
      <c r="T1162" t="str">
        <f>VLOOKUP(S1162,'Mapa Oficinas'!$H$7:$I$16,2,FALSE)</f>
        <v>CB</v>
      </c>
      <c r="U1162" t="s">
        <v>29</v>
      </c>
      <c r="V1162" t="str">
        <f>VLOOKUP($R1162,'Mapa Oficinas'!$A$7:$C$46,2,FALSE)</f>
        <v>CABA</v>
      </c>
      <c r="W1162" t="str">
        <f>VLOOKUP($R1162,'Mapa Oficinas'!$A$7:$C$46,3,FALSE)</f>
        <v>Recoleta</v>
      </c>
    </row>
    <row r="1163" spans="1:23" x14ac:dyDescent="0.2">
      <c r="A1163" s="1">
        <v>45862</v>
      </c>
      <c r="B1163" s="20">
        <f t="shared" si="36"/>
        <v>2025</v>
      </c>
      <c r="C1163" s="20">
        <f t="shared" si="37"/>
        <v>7</v>
      </c>
      <c r="D1163" t="s">
        <v>3203</v>
      </c>
      <c r="E1163" s="49">
        <v>1</v>
      </c>
      <c r="F1163" t="s">
        <v>3204</v>
      </c>
      <c r="G1163" t="s">
        <v>21</v>
      </c>
      <c r="H1163" t="s">
        <v>37</v>
      </c>
      <c r="I1163" s="13">
        <v>98000</v>
      </c>
      <c r="J1163" s="13">
        <v>98000</v>
      </c>
      <c r="K1163" s="13">
        <f>IF(J1163&lt;'Mapa Oficinas'!$I$21,0,IF(J1163&gt;'Mapa Oficinas'!$I$20,0,1))</f>
        <v>1</v>
      </c>
      <c r="L1163" t="s">
        <v>23</v>
      </c>
      <c r="M1163" t="s">
        <v>23</v>
      </c>
      <c r="N1163" t="s">
        <v>3205</v>
      </c>
      <c r="O1163" t="s">
        <v>299</v>
      </c>
      <c r="P1163" t="s">
        <v>45</v>
      </c>
      <c r="Q1163">
        <v>2</v>
      </c>
      <c r="R1163" t="s">
        <v>46</v>
      </c>
      <c r="S1163" t="s">
        <v>232</v>
      </c>
      <c r="T1163" t="str">
        <f>VLOOKUP(S1163,'Mapa Oficinas'!$H$7:$I$16,2,FALSE)</f>
        <v>CB</v>
      </c>
      <c r="U1163" t="s">
        <v>29</v>
      </c>
      <c r="V1163" t="str">
        <f>VLOOKUP($R1163,'Mapa Oficinas'!$A$7:$C$46,2,FALSE)</f>
        <v>CABA</v>
      </c>
      <c r="W1163" t="str">
        <f>VLOOKUP($R1163,'Mapa Oficinas'!$A$7:$C$46,3,FALSE)</f>
        <v>Palermo</v>
      </c>
    </row>
    <row r="1164" spans="1:23" x14ac:dyDescent="0.2">
      <c r="A1164" s="1">
        <v>45856</v>
      </c>
      <c r="B1164" s="20">
        <f t="shared" si="36"/>
        <v>2025</v>
      </c>
      <c r="C1164" s="20">
        <f t="shared" si="37"/>
        <v>7</v>
      </c>
      <c r="D1164">
        <v>24</v>
      </c>
      <c r="E1164" s="49">
        <v>1</v>
      </c>
      <c r="F1164" t="s">
        <v>3121</v>
      </c>
      <c r="G1164" t="s">
        <v>21</v>
      </c>
      <c r="H1164" t="s">
        <v>37</v>
      </c>
      <c r="I1164" s="13">
        <v>98000</v>
      </c>
      <c r="J1164" s="13">
        <v>98000</v>
      </c>
      <c r="K1164" s="13">
        <f>IF(J1164&lt;'Mapa Oficinas'!$I$21,0,IF(J1164&gt;'Mapa Oficinas'!$I$20,0,1))</f>
        <v>1</v>
      </c>
      <c r="L1164" t="s">
        <v>23</v>
      </c>
      <c r="M1164" t="s">
        <v>23</v>
      </c>
      <c r="N1164" t="s">
        <v>3121</v>
      </c>
      <c r="O1164" t="s">
        <v>114</v>
      </c>
      <c r="P1164" t="s">
        <v>45</v>
      </c>
      <c r="Q1164">
        <v>1</v>
      </c>
      <c r="R1164" t="s">
        <v>1024</v>
      </c>
      <c r="S1164" t="s">
        <v>47</v>
      </c>
      <c r="T1164" t="str">
        <f>VLOOKUP(S1164,'Mapa Oficinas'!$H$7:$I$16,2,FALSE)</f>
        <v>Otra Red Búsqueda</v>
      </c>
      <c r="U1164" t="s">
        <v>29</v>
      </c>
      <c r="V1164" t="str">
        <f>VLOOKUP($R1164,'Mapa Oficinas'!$A$7:$C$46,2,FALSE)</f>
        <v>CABA</v>
      </c>
      <c r="W1164" t="str">
        <f>VLOOKUP($R1164,'Mapa Oficinas'!$A$7:$C$46,3,FALSE)</f>
        <v>Puerto Madero</v>
      </c>
    </row>
    <row r="1165" spans="1:23" x14ac:dyDescent="0.2">
      <c r="A1165" s="1">
        <v>45996</v>
      </c>
      <c r="B1165" s="20">
        <f t="shared" si="36"/>
        <v>2025</v>
      </c>
      <c r="C1165" s="20">
        <f t="shared" si="37"/>
        <v>12</v>
      </c>
      <c r="D1165" t="s">
        <v>5642</v>
      </c>
      <c r="E1165" s="49">
        <v>1</v>
      </c>
      <c r="F1165" t="s">
        <v>5643</v>
      </c>
      <c r="G1165" t="s">
        <v>21</v>
      </c>
      <c r="H1165" t="s">
        <v>97</v>
      </c>
      <c r="I1165" s="13">
        <v>98000</v>
      </c>
      <c r="J1165" s="13">
        <v>98000</v>
      </c>
      <c r="K1165" s="13">
        <f>IF(J1165&lt;'Mapa Oficinas'!$I$21,0,IF(J1165&gt;'Mapa Oficinas'!$I$20,0,1))</f>
        <v>1</v>
      </c>
      <c r="L1165" t="s">
        <v>23</v>
      </c>
      <c r="M1165" t="s">
        <v>23</v>
      </c>
      <c r="N1165" t="s">
        <v>5644</v>
      </c>
      <c r="O1165" t="s">
        <v>837</v>
      </c>
      <c r="P1165" t="s">
        <v>45</v>
      </c>
      <c r="Q1165">
        <v>1</v>
      </c>
      <c r="R1165" t="s">
        <v>27</v>
      </c>
      <c r="S1165" t="s">
        <v>47</v>
      </c>
      <c r="T1165" t="str">
        <f>VLOOKUP(S1165,'Mapa Oficinas'!$H$7:$I$16,2,FALSE)</f>
        <v>Otra Red Búsqueda</v>
      </c>
      <c r="U1165" t="s">
        <v>29</v>
      </c>
      <c r="V1165" t="str">
        <f>VLOOKUP($R1165,'Mapa Oficinas'!$A$7:$C$46,2,FALSE)</f>
        <v>Zona Norte (GBA)</v>
      </c>
      <c r="W1165" t="str">
        <f>VLOOKUP($R1165,'Mapa Oficinas'!$A$7:$C$46,3,FALSE)</f>
        <v>Tigre</v>
      </c>
    </row>
    <row r="1166" spans="1:23" x14ac:dyDescent="0.2">
      <c r="A1166" s="1">
        <v>45956</v>
      </c>
      <c r="B1166" s="20">
        <f t="shared" si="36"/>
        <v>2025</v>
      </c>
      <c r="C1166" s="20">
        <f t="shared" si="37"/>
        <v>10</v>
      </c>
      <c r="D1166" t="s">
        <v>4937</v>
      </c>
      <c r="E1166" s="49">
        <v>1</v>
      </c>
      <c r="F1166" t="s">
        <v>4938</v>
      </c>
      <c r="G1166" t="s">
        <v>21</v>
      </c>
      <c r="H1166" t="s">
        <v>37</v>
      </c>
      <c r="I1166" s="13">
        <v>110000</v>
      </c>
      <c r="J1166" s="13">
        <v>98000</v>
      </c>
      <c r="K1166" s="13">
        <f>IF(J1166&lt;'Mapa Oficinas'!$I$21,0,IF(J1166&gt;'Mapa Oficinas'!$I$20,0,1))</f>
        <v>1</v>
      </c>
      <c r="L1166" t="s">
        <v>23</v>
      </c>
      <c r="M1166" t="s">
        <v>23</v>
      </c>
      <c r="N1166" t="s">
        <v>4939</v>
      </c>
      <c r="O1166" t="s">
        <v>1954</v>
      </c>
      <c r="P1166" t="s">
        <v>45</v>
      </c>
      <c r="Q1166">
        <v>2</v>
      </c>
      <c r="R1166" t="s">
        <v>1605</v>
      </c>
      <c r="S1166" t="s">
        <v>200</v>
      </c>
      <c r="T1166" t="str">
        <f>VLOOKUP(S1166,'Mapa Oficinas'!$H$7:$I$16,2,FALSE)</f>
        <v>Otra Red Captación</v>
      </c>
      <c r="U1166" t="s">
        <v>29</v>
      </c>
      <c r="V1166" t="str">
        <f>VLOOKUP($R1166,'Mapa Oficinas'!$A$7:$C$46,2,FALSE)</f>
        <v>CABA</v>
      </c>
      <c r="W1166" t="str">
        <f>VLOOKUP($R1166,'Mapa Oficinas'!$A$7:$C$46,3,FALSE)</f>
        <v>Núñez</v>
      </c>
    </row>
    <row r="1167" spans="1:23" x14ac:dyDescent="0.2">
      <c r="A1167" s="1">
        <v>45866</v>
      </c>
      <c r="B1167" s="20">
        <f t="shared" si="36"/>
        <v>2025</v>
      </c>
      <c r="C1167" s="20">
        <f t="shared" si="37"/>
        <v>7</v>
      </c>
      <c r="D1167" t="s">
        <v>3256</v>
      </c>
      <c r="E1167" s="49">
        <v>1</v>
      </c>
      <c r="F1167" t="s">
        <v>3257</v>
      </c>
      <c r="G1167" t="s">
        <v>21</v>
      </c>
      <c r="H1167" t="s">
        <v>100</v>
      </c>
      <c r="I1167" s="13">
        <v>104000</v>
      </c>
      <c r="J1167" s="13">
        <v>98000</v>
      </c>
      <c r="K1167" s="13">
        <f>IF(J1167&lt;'Mapa Oficinas'!$I$21,0,IF(J1167&gt;'Mapa Oficinas'!$I$20,0,1))</f>
        <v>1</v>
      </c>
      <c r="L1167" t="s">
        <v>23</v>
      </c>
      <c r="M1167" t="s">
        <v>23</v>
      </c>
      <c r="N1167" t="s">
        <v>3258</v>
      </c>
      <c r="O1167" t="s">
        <v>120</v>
      </c>
      <c r="P1167" t="s">
        <v>45</v>
      </c>
      <c r="Q1167">
        <v>2</v>
      </c>
      <c r="R1167" t="s">
        <v>121</v>
      </c>
      <c r="S1167" t="s">
        <v>28</v>
      </c>
      <c r="T1167" t="str">
        <f>VLOOKUP(S1167,'Mapa Oficinas'!$H$7:$I$16,2,FALSE)</f>
        <v>CB</v>
      </c>
      <c r="U1167" t="s">
        <v>29</v>
      </c>
      <c r="V1167" t="str">
        <f>VLOOKUP($R1167,'Mapa Oficinas'!$A$7:$C$46,2,FALSE)</f>
        <v>Interior - Río Negro</v>
      </c>
      <c r="W1167" t="str">
        <f>VLOOKUP($R1167,'Mapa Oficinas'!$A$7:$C$46,3,FALSE)</f>
        <v>Bariloche</v>
      </c>
    </row>
    <row r="1168" spans="1:23" x14ac:dyDescent="0.2">
      <c r="A1168" s="1">
        <v>46035</v>
      </c>
      <c r="B1168" s="20">
        <f t="shared" si="36"/>
        <v>2026</v>
      </c>
      <c r="C1168" s="20">
        <f t="shared" si="37"/>
        <v>1</v>
      </c>
      <c r="D1168" t="s">
        <v>6203</v>
      </c>
      <c r="E1168" s="49">
        <v>1</v>
      </c>
      <c r="F1168" t="s">
        <v>6204</v>
      </c>
      <c r="G1168" t="s">
        <v>21</v>
      </c>
      <c r="H1168" t="s">
        <v>22</v>
      </c>
      <c r="I1168" s="13">
        <v>109900</v>
      </c>
      <c r="J1168" s="13">
        <v>98000</v>
      </c>
      <c r="K1168" s="13">
        <f>IF(J1168&lt;'Mapa Oficinas'!$I$21,0,IF(J1168&gt;'Mapa Oficinas'!$I$20,0,1))</f>
        <v>1</v>
      </c>
      <c r="L1168" t="s">
        <v>23</v>
      </c>
      <c r="M1168" t="s">
        <v>23</v>
      </c>
      <c r="N1168" t="s">
        <v>6205</v>
      </c>
      <c r="O1168" t="s">
        <v>66</v>
      </c>
      <c r="P1168" t="s">
        <v>45</v>
      </c>
      <c r="Q1168">
        <v>2</v>
      </c>
      <c r="R1168" t="s">
        <v>62</v>
      </c>
      <c r="S1168" t="s">
        <v>28</v>
      </c>
      <c r="T1168" t="str">
        <f>VLOOKUP(S1168,'Mapa Oficinas'!$H$7:$I$16,2,FALSE)</f>
        <v>CB</v>
      </c>
      <c r="U1168" t="s">
        <v>29</v>
      </c>
      <c r="V1168" t="str">
        <f>VLOOKUP($R1168,'Mapa Oficinas'!$A$7:$C$46,2,FALSE)</f>
        <v>CABA</v>
      </c>
      <c r="W1168" t="str">
        <f>VLOOKUP($R1168,'Mapa Oficinas'!$A$7:$C$46,3,FALSE)</f>
        <v>Villa Urquiza</v>
      </c>
    </row>
    <row r="1169" spans="1:23" x14ac:dyDescent="0.2">
      <c r="A1169" s="1">
        <v>45931</v>
      </c>
      <c r="B1169" s="20">
        <f t="shared" si="36"/>
        <v>2025</v>
      </c>
      <c r="C1169" s="20">
        <f t="shared" si="37"/>
        <v>10</v>
      </c>
      <c r="E1169" s="49">
        <v>1</v>
      </c>
      <c r="F1169" t="s">
        <v>4451</v>
      </c>
      <c r="G1169" t="s">
        <v>21</v>
      </c>
      <c r="H1169" t="s">
        <v>230</v>
      </c>
      <c r="I1169" s="13">
        <v>98400</v>
      </c>
      <c r="J1169" s="13">
        <v>98400</v>
      </c>
      <c r="K1169" s="13">
        <f>IF(J1169&lt;'Mapa Oficinas'!$I$21,0,IF(J1169&gt;'Mapa Oficinas'!$I$20,0,1))</f>
        <v>1</v>
      </c>
      <c r="L1169" t="s">
        <v>23</v>
      </c>
      <c r="M1169" t="s">
        <v>23</v>
      </c>
      <c r="N1169" t="s">
        <v>4452</v>
      </c>
      <c r="O1169" t="s">
        <v>83</v>
      </c>
      <c r="P1169" t="s">
        <v>45</v>
      </c>
      <c r="Q1169">
        <v>2</v>
      </c>
      <c r="R1169" t="s">
        <v>84</v>
      </c>
      <c r="S1169" t="s">
        <v>28</v>
      </c>
      <c r="T1169" t="str">
        <f>VLOOKUP(S1169,'Mapa Oficinas'!$H$7:$I$16,2,FALSE)</f>
        <v>CB</v>
      </c>
      <c r="U1169" t="s">
        <v>29</v>
      </c>
      <c r="V1169" t="str">
        <f>VLOOKUP($R1169,'Mapa Oficinas'!$A$7:$C$46,2,FALSE)</f>
        <v>Interior - Neuquén</v>
      </c>
      <c r="W1169" t="str">
        <f>VLOOKUP($R1169,'Mapa Oficinas'!$A$7:$C$46,3,FALSE)</f>
        <v>Villa La Angostura</v>
      </c>
    </row>
    <row r="1170" spans="1:23" x14ac:dyDescent="0.2">
      <c r="A1170" s="1">
        <v>46107</v>
      </c>
      <c r="B1170" s="20">
        <f t="shared" si="36"/>
        <v>2026</v>
      </c>
      <c r="C1170" s="20">
        <f t="shared" si="37"/>
        <v>3</v>
      </c>
      <c r="D1170" t="s">
        <v>7430</v>
      </c>
      <c r="E1170" s="49">
        <v>1</v>
      </c>
      <c r="F1170" t="s">
        <v>1185</v>
      </c>
      <c r="G1170" t="s">
        <v>21</v>
      </c>
      <c r="H1170" t="s">
        <v>100</v>
      </c>
      <c r="I1170" s="13">
        <v>99094</v>
      </c>
      <c r="J1170" s="13">
        <v>98916</v>
      </c>
      <c r="K1170" s="13">
        <f>IF(J1170&lt;'Mapa Oficinas'!$I$21,0,IF(J1170&gt;'Mapa Oficinas'!$I$20,0,1))</f>
        <v>1</v>
      </c>
      <c r="L1170" t="s">
        <v>23</v>
      </c>
      <c r="M1170" t="s">
        <v>23</v>
      </c>
      <c r="N1170" t="s">
        <v>1160</v>
      </c>
      <c r="O1170" t="s">
        <v>209</v>
      </c>
      <c r="P1170" t="s">
        <v>45</v>
      </c>
      <c r="Q1170">
        <v>2</v>
      </c>
      <c r="R1170" t="s">
        <v>121</v>
      </c>
      <c r="S1170" t="s">
        <v>28</v>
      </c>
      <c r="T1170" t="str">
        <f>VLOOKUP(S1170,'Mapa Oficinas'!$H$7:$I$16,2,FALSE)</f>
        <v>CB</v>
      </c>
      <c r="U1170" t="s">
        <v>29</v>
      </c>
      <c r="V1170" t="str">
        <f>VLOOKUP($R1170,'Mapa Oficinas'!$A$7:$C$46,2,FALSE)</f>
        <v>Interior - Río Negro</v>
      </c>
      <c r="W1170" t="str">
        <f>VLOOKUP($R1170,'Mapa Oficinas'!$A$7:$C$46,3,FALSE)</f>
        <v>Bariloche</v>
      </c>
    </row>
    <row r="1171" spans="1:23" x14ac:dyDescent="0.2">
      <c r="A1171" s="1">
        <v>45848</v>
      </c>
      <c r="B1171" s="20">
        <f t="shared" si="36"/>
        <v>2025</v>
      </c>
      <c r="C1171" s="20">
        <f t="shared" si="37"/>
        <v>7</v>
      </c>
      <c r="E1171" s="49">
        <v>3</v>
      </c>
      <c r="F1171" t="s">
        <v>1018</v>
      </c>
      <c r="G1171" t="s">
        <v>21</v>
      </c>
      <c r="H1171" t="s">
        <v>37</v>
      </c>
      <c r="I1171" s="13">
        <v>99000</v>
      </c>
      <c r="J1171" s="13">
        <v>99000</v>
      </c>
      <c r="K1171" s="13">
        <f>IF(J1171&lt;'Mapa Oficinas'!$I$21,0,IF(J1171&gt;'Mapa Oficinas'!$I$20,0,1))</f>
        <v>1</v>
      </c>
      <c r="L1171" t="s">
        <v>23</v>
      </c>
      <c r="M1171" t="s">
        <v>23</v>
      </c>
      <c r="N1171" t="s">
        <v>1019</v>
      </c>
      <c r="O1171" t="s">
        <v>1020</v>
      </c>
      <c r="P1171" t="s">
        <v>45</v>
      </c>
      <c r="Q1171">
        <v>2</v>
      </c>
      <c r="R1171" t="s">
        <v>84</v>
      </c>
      <c r="S1171" t="s">
        <v>241</v>
      </c>
      <c r="T1171" t="str">
        <f>VLOOKUP(S1171,'Mapa Oficinas'!$H$7:$I$16,2,FALSE)</f>
        <v>CB</v>
      </c>
      <c r="U1171" t="s">
        <v>29</v>
      </c>
      <c r="V1171" t="str">
        <f>VLOOKUP($R1171,'Mapa Oficinas'!$A$7:$C$46,2,FALSE)</f>
        <v>Interior - Neuquén</v>
      </c>
      <c r="W1171" t="str">
        <f>VLOOKUP($R1171,'Mapa Oficinas'!$A$7:$C$46,3,FALSE)</f>
        <v>Villa La Angostura</v>
      </c>
    </row>
    <row r="1172" spans="1:23" x14ac:dyDescent="0.2">
      <c r="A1172" s="1">
        <v>45924</v>
      </c>
      <c r="B1172" s="20">
        <f t="shared" si="36"/>
        <v>2025</v>
      </c>
      <c r="C1172" s="20">
        <f t="shared" si="37"/>
        <v>9</v>
      </c>
      <c r="D1172" t="s">
        <v>4311</v>
      </c>
      <c r="E1172" s="49">
        <v>1</v>
      </c>
      <c r="F1172" t="s">
        <v>4312</v>
      </c>
      <c r="G1172" t="s">
        <v>21</v>
      </c>
      <c r="H1172" t="s">
        <v>37</v>
      </c>
      <c r="I1172" s="13">
        <v>99000</v>
      </c>
      <c r="J1172" s="13">
        <v>99000</v>
      </c>
      <c r="K1172" s="13">
        <f>IF(J1172&lt;'Mapa Oficinas'!$I$21,0,IF(J1172&gt;'Mapa Oficinas'!$I$20,0,1))</f>
        <v>1</v>
      </c>
      <c r="L1172" t="s">
        <v>23</v>
      </c>
      <c r="M1172" t="s">
        <v>23</v>
      </c>
      <c r="N1172" t="s">
        <v>4313</v>
      </c>
      <c r="O1172" t="s">
        <v>4314</v>
      </c>
      <c r="P1172" t="s">
        <v>34</v>
      </c>
      <c r="Q1172">
        <v>2</v>
      </c>
      <c r="R1172" t="s">
        <v>372</v>
      </c>
      <c r="S1172" t="s">
        <v>1265</v>
      </c>
      <c r="T1172" t="str">
        <f>VLOOKUP(S1172,'Mapa Oficinas'!$H$7:$I$16,2,FALSE)</f>
        <v>CB</v>
      </c>
      <c r="U1172" t="s">
        <v>29</v>
      </c>
      <c r="V1172" t="str">
        <f>VLOOKUP($R1172,'Mapa Oficinas'!$A$7:$C$46,2,FALSE)</f>
        <v>CABA</v>
      </c>
      <c r="W1172" t="str">
        <f>VLOOKUP($R1172,'Mapa Oficinas'!$A$7:$C$46,3,FALSE)</f>
        <v>Caballito</v>
      </c>
    </row>
    <row r="1173" spans="1:23" x14ac:dyDescent="0.2">
      <c r="A1173" s="1">
        <v>45736</v>
      </c>
      <c r="B1173" s="20">
        <f t="shared" si="36"/>
        <v>2025</v>
      </c>
      <c r="C1173" s="20">
        <f t="shared" si="37"/>
        <v>3</v>
      </c>
      <c r="E1173" s="49">
        <v>1</v>
      </c>
      <c r="F1173" t="s">
        <v>1018</v>
      </c>
      <c r="G1173" t="s">
        <v>21</v>
      </c>
      <c r="H1173" t="s">
        <v>97</v>
      </c>
      <c r="I1173" s="13">
        <v>99000</v>
      </c>
      <c r="J1173" s="13">
        <v>99000</v>
      </c>
      <c r="K1173" s="13">
        <f>IF(J1173&lt;'Mapa Oficinas'!$I$21,0,IF(J1173&gt;'Mapa Oficinas'!$I$20,0,1))</f>
        <v>1</v>
      </c>
      <c r="L1173" t="s">
        <v>23</v>
      </c>
      <c r="M1173" t="s">
        <v>23</v>
      </c>
      <c r="N1173" t="s">
        <v>1019</v>
      </c>
      <c r="O1173" t="s">
        <v>1020</v>
      </c>
      <c r="P1173" t="s">
        <v>45</v>
      </c>
      <c r="Q1173">
        <v>2</v>
      </c>
      <c r="R1173" t="s">
        <v>84</v>
      </c>
      <c r="S1173" t="s">
        <v>28</v>
      </c>
      <c r="T1173" t="str">
        <f>VLOOKUP(S1173,'Mapa Oficinas'!$H$7:$I$16,2,FALSE)</f>
        <v>CB</v>
      </c>
      <c r="U1173" t="s">
        <v>29</v>
      </c>
      <c r="V1173" t="str">
        <f>VLOOKUP($R1173,'Mapa Oficinas'!$A$7:$C$46,2,FALSE)</f>
        <v>Interior - Neuquén</v>
      </c>
      <c r="W1173" t="str">
        <f>VLOOKUP($R1173,'Mapa Oficinas'!$A$7:$C$46,3,FALSE)</f>
        <v>Villa La Angostura</v>
      </c>
    </row>
    <row r="1174" spans="1:23" x14ac:dyDescent="0.2">
      <c r="A1174" s="1">
        <v>45812</v>
      </c>
      <c r="B1174" s="20">
        <f t="shared" si="36"/>
        <v>2025</v>
      </c>
      <c r="C1174" s="20">
        <f t="shared" si="37"/>
        <v>6</v>
      </c>
      <c r="D1174" t="s">
        <v>2305</v>
      </c>
      <c r="E1174" s="49">
        <v>1</v>
      </c>
      <c r="F1174" t="s">
        <v>2306</v>
      </c>
      <c r="G1174" t="s">
        <v>21</v>
      </c>
      <c r="H1174" t="s">
        <v>37</v>
      </c>
      <c r="I1174" s="13">
        <v>100000</v>
      </c>
      <c r="J1174" s="13">
        <v>99000</v>
      </c>
      <c r="K1174" s="13">
        <f>IF(J1174&lt;'Mapa Oficinas'!$I$21,0,IF(J1174&gt;'Mapa Oficinas'!$I$20,0,1))</f>
        <v>1</v>
      </c>
      <c r="L1174" t="s">
        <v>23</v>
      </c>
      <c r="M1174" t="s">
        <v>23</v>
      </c>
      <c r="N1174" t="s">
        <v>2307</v>
      </c>
      <c r="O1174" t="s">
        <v>105</v>
      </c>
      <c r="P1174" t="s">
        <v>45</v>
      </c>
      <c r="Q1174">
        <v>2</v>
      </c>
      <c r="R1174" t="s">
        <v>67</v>
      </c>
      <c r="S1174" t="s">
        <v>28</v>
      </c>
      <c r="T1174" t="str">
        <f>VLOOKUP(S1174,'Mapa Oficinas'!$H$7:$I$16,2,FALSE)</f>
        <v>CB</v>
      </c>
      <c r="U1174" t="s">
        <v>29</v>
      </c>
      <c r="V1174" t="str">
        <f>VLOOKUP($R1174,'Mapa Oficinas'!$A$7:$C$46,2,FALSE)</f>
        <v>CABA</v>
      </c>
      <c r="W1174" t="str">
        <f>VLOOKUP($R1174,'Mapa Oficinas'!$A$7:$C$46,3,FALSE)</f>
        <v>Barrio Parque</v>
      </c>
    </row>
    <row r="1175" spans="1:23" x14ac:dyDescent="0.2">
      <c r="A1175" s="1">
        <v>45831</v>
      </c>
      <c r="B1175" s="20">
        <f t="shared" si="36"/>
        <v>2025</v>
      </c>
      <c r="C1175" s="20">
        <f t="shared" si="37"/>
        <v>6</v>
      </c>
      <c r="D1175" t="s">
        <v>2580</v>
      </c>
      <c r="E1175" s="49">
        <v>1</v>
      </c>
      <c r="F1175" t="s">
        <v>2581</v>
      </c>
      <c r="G1175" t="s">
        <v>21</v>
      </c>
      <c r="H1175" t="s">
        <v>37</v>
      </c>
      <c r="I1175" s="13">
        <v>110000</v>
      </c>
      <c r="J1175" s="13">
        <v>99000</v>
      </c>
      <c r="K1175" s="13">
        <f>IF(J1175&lt;'Mapa Oficinas'!$I$21,0,IF(J1175&gt;'Mapa Oficinas'!$I$20,0,1))</f>
        <v>1</v>
      </c>
      <c r="L1175" t="s">
        <v>23</v>
      </c>
      <c r="M1175" t="s">
        <v>23</v>
      </c>
      <c r="N1175" t="s">
        <v>1312</v>
      </c>
      <c r="O1175" t="s">
        <v>1090</v>
      </c>
      <c r="P1175" t="s">
        <v>2934</v>
      </c>
      <c r="Q1175">
        <v>2</v>
      </c>
      <c r="R1175" t="s">
        <v>56</v>
      </c>
      <c r="S1175" t="s">
        <v>28</v>
      </c>
      <c r="T1175" t="str">
        <f>VLOOKUP(S1175,'Mapa Oficinas'!$H$7:$I$16,2,FALSE)</f>
        <v>CB</v>
      </c>
      <c r="U1175" t="s">
        <v>29</v>
      </c>
      <c r="V1175" t="str">
        <f>VLOOKUP($R1175,'Mapa Oficinas'!$A$7:$C$46,2,FALSE)</f>
        <v>Zona Norte (GBA)</v>
      </c>
      <c r="W1175" t="str">
        <f>VLOOKUP($R1175,'Mapa Oficinas'!$A$7:$C$46,3,FALSE)</f>
        <v>Vicente López</v>
      </c>
    </row>
    <row r="1176" spans="1:23" x14ac:dyDescent="0.2">
      <c r="A1176" s="1">
        <v>45931</v>
      </c>
      <c r="B1176" s="20">
        <f t="shared" si="36"/>
        <v>2025</v>
      </c>
      <c r="C1176" s="20">
        <f t="shared" si="37"/>
        <v>10</v>
      </c>
      <c r="D1176" t="s">
        <v>4453</v>
      </c>
      <c r="E1176" s="49">
        <v>1</v>
      </c>
      <c r="F1176" t="s">
        <v>4454</v>
      </c>
      <c r="G1176" t="s">
        <v>21</v>
      </c>
      <c r="H1176" t="s">
        <v>97</v>
      </c>
      <c r="I1176" s="13">
        <v>108200</v>
      </c>
      <c r="J1176" s="13">
        <v>99000</v>
      </c>
      <c r="K1176" s="13">
        <f>IF(J1176&lt;'Mapa Oficinas'!$I$21,0,IF(J1176&gt;'Mapa Oficinas'!$I$20,0,1))</f>
        <v>1</v>
      </c>
      <c r="L1176" t="s">
        <v>23</v>
      </c>
      <c r="M1176" t="s">
        <v>23</v>
      </c>
      <c r="N1176" t="s">
        <v>3807</v>
      </c>
      <c r="O1176" t="s">
        <v>1020</v>
      </c>
      <c r="P1176" t="s">
        <v>45</v>
      </c>
      <c r="Q1176">
        <v>2</v>
      </c>
      <c r="R1176" t="s">
        <v>84</v>
      </c>
      <c r="S1176" t="s">
        <v>28</v>
      </c>
      <c r="T1176" t="str">
        <f>VLOOKUP(S1176,'Mapa Oficinas'!$H$7:$I$16,2,FALSE)</f>
        <v>CB</v>
      </c>
      <c r="U1176" t="s">
        <v>29</v>
      </c>
      <c r="V1176" t="str">
        <f>VLOOKUP($R1176,'Mapa Oficinas'!$A$7:$C$46,2,FALSE)</f>
        <v>Interior - Neuquén</v>
      </c>
      <c r="W1176" t="str">
        <f>VLOOKUP($R1176,'Mapa Oficinas'!$A$7:$C$46,3,FALSE)</f>
        <v>Villa La Angostura</v>
      </c>
    </row>
    <row r="1177" spans="1:23" x14ac:dyDescent="0.2">
      <c r="A1177" s="1">
        <v>45880</v>
      </c>
      <c r="B1177" s="20">
        <f t="shared" si="36"/>
        <v>2025</v>
      </c>
      <c r="C1177" s="20">
        <f t="shared" si="37"/>
        <v>8</v>
      </c>
      <c r="D1177" t="s">
        <v>3506</v>
      </c>
      <c r="E1177" s="49">
        <v>1</v>
      </c>
      <c r="F1177" t="s">
        <v>3507</v>
      </c>
      <c r="G1177" t="s">
        <v>21</v>
      </c>
      <c r="H1177" t="s">
        <v>37</v>
      </c>
      <c r="I1177" s="13">
        <v>120000</v>
      </c>
      <c r="J1177" s="13">
        <v>99300</v>
      </c>
      <c r="K1177" s="13">
        <f>IF(J1177&lt;'Mapa Oficinas'!$I$21,0,IF(J1177&gt;'Mapa Oficinas'!$I$20,0,1))</f>
        <v>1</v>
      </c>
      <c r="L1177" t="s">
        <v>23</v>
      </c>
      <c r="M1177" t="s">
        <v>23</v>
      </c>
      <c r="N1177" t="s">
        <v>3508</v>
      </c>
      <c r="O1177" t="s">
        <v>190</v>
      </c>
      <c r="P1177" t="s">
        <v>45</v>
      </c>
      <c r="Q1177">
        <v>2</v>
      </c>
      <c r="R1177" t="s">
        <v>67</v>
      </c>
      <c r="S1177" t="s">
        <v>28</v>
      </c>
      <c r="T1177" t="str">
        <f>VLOOKUP(S1177,'Mapa Oficinas'!$H$7:$I$16,2,FALSE)</f>
        <v>CB</v>
      </c>
      <c r="U1177" t="s">
        <v>29</v>
      </c>
      <c r="V1177" t="str">
        <f>VLOOKUP($R1177,'Mapa Oficinas'!$A$7:$C$46,2,FALSE)</f>
        <v>CABA</v>
      </c>
      <c r="W1177" t="str">
        <f>VLOOKUP($R1177,'Mapa Oficinas'!$A$7:$C$46,3,FALSE)</f>
        <v>Barrio Parque</v>
      </c>
    </row>
    <row r="1178" spans="1:23" x14ac:dyDescent="0.2">
      <c r="A1178" s="1">
        <v>45809</v>
      </c>
      <c r="B1178" s="20">
        <f t="shared" si="36"/>
        <v>2025</v>
      </c>
      <c r="C1178" s="20">
        <f t="shared" si="37"/>
        <v>6</v>
      </c>
      <c r="D1178" t="s">
        <v>2263</v>
      </c>
      <c r="E1178" s="49">
        <v>1</v>
      </c>
      <c r="F1178" t="s">
        <v>2264</v>
      </c>
      <c r="G1178" t="s">
        <v>21</v>
      </c>
      <c r="H1178" t="s">
        <v>37</v>
      </c>
      <c r="I1178" s="13">
        <v>82214</v>
      </c>
      <c r="J1178" s="13">
        <v>99714</v>
      </c>
      <c r="K1178" s="13">
        <f>IF(J1178&lt;'Mapa Oficinas'!$I$21,0,IF(J1178&gt;'Mapa Oficinas'!$I$20,0,1))</f>
        <v>1</v>
      </c>
      <c r="L1178" t="s">
        <v>23</v>
      </c>
      <c r="M1178" t="s">
        <v>23</v>
      </c>
      <c r="N1178" t="s">
        <v>87</v>
      </c>
      <c r="O1178" t="s">
        <v>83</v>
      </c>
      <c r="P1178" t="s">
        <v>45</v>
      </c>
      <c r="Q1178">
        <v>2</v>
      </c>
      <c r="R1178" t="s">
        <v>84</v>
      </c>
      <c r="S1178" t="s">
        <v>79</v>
      </c>
      <c r="T1178" t="str">
        <f>VLOOKUP(S1178,'Mapa Oficinas'!$H$7:$I$16,2,FALSE)</f>
        <v>CB</v>
      </c>
      <c r="U1178" t="s">
        <v>29</v>
      </c>
      <c r="V1178" t="str">
        <f>VLOOKUP($R1178,'Mapa Oficinas'!$A$7:$C$46,2,FALSE)</f>
        <v>Interior - Neuquén</v>
      </c>
      <c r="W1178" t="str">
        <f>VLOOKUP($R1178,'Mapa Oficinas'!$A$7:$C$46,3,FALSE)</f>
        <v>Villa La Angostura</v>
      </c>
    </row>
    <row r="1179" spans="1:23" x14ac:dyDescent="0.2">
      <c r="A1179" s="1">
        <v>45947</v>
      </c>
      <c r="B1179" s="20">
        <f t="shared" si="36"/>
        <v>2025</v>
      </c>
      <c r="C1179" s="20">
        <f t="shared" si="37"/>
        <v>10</v>
      </c>
      <c r="E1179" s="49">
        <v>1</v>
      </c>
      <c r="F1179" t="s">
        <v>4760</v>
      </c>
      <c r="G1179" t="s">
        <v>21</v>
      </c>
      <c r="H1179" t="s">
        <v>37</v>
      </c>
      <c r="I1179" s="13">
        <v>0</v>
      </c>
      <c r="J1179" s="13">
        <v>99900</v>
      </c>
      <c r="K1179" s="13">
        <f>IF(J1179&lt;'Mapa Oficinas'!$I$21,0,IF(J1179&gt;'Mapa Oficinas'!$I$20,0,1))</f>
        <v>1</v>
      </c>
      <c r="L1179" t="s">
        <v>23</v>
      </c>
      <c r="M1179" t="s">
        <v>23</v>
      </c>
      <c r="N1179" t="s">
        <v>4761</v>
      </c>
      <c r="O1179" t="s">
        <v>190</v>
      </c>
      <c r="P1179" t="s">
        <v>26</v>
      </c>
      <c r="Q1179">
        <v>1</v>
      </c>
      <c r="R1179" t="s">
        <v>67</v>
      </c>
      <c r="S1179" t="s">
        <v>47</v>
      </c>
      <c r="T1179" t="str">
        <f>VLOOKUP(S1179,'Mapa Oficinas'!$H$7:$I$16,2,FALSE)</f>
        <v>Otra Red Búsqueda</v>
      </c>
      <c r="U1179" t="s">
        <v>29</v>
      </c>
      <c r="V1179" t="str">
        <f>VLOOKUP($R1179,'Mapa Oficinas'!$A$7:$C$46,2,FALSE)</f>
        <v>CABA</v>
      </c>
      <c r="W1179" t="str">
        <f>VLOOKUP($R1179,'Mapa Oficinas'!$A$7:$C$46,3,FALSE)</f>
        <v>Barrio Parque</v>
      </c>
    </row>
    <row r="1180" spans="1:23" x14ac:dyDescent="0.2">
      <c r="A1180" s="1">
        <v>45761</v>
      </c>
      <c r="B1180" s="20">
        <f t="shared" si="36"/>
        <v>2025</v>
      </c>
      <c r="C1180" s="20">
        <f t="shared" si="37"/>
        <v>4</v>
      </c>
      <c r="D1180" t="s">
        <v>1415</v>
      </c>
      <c r="E1180" s="49">
        <v>1</v>
      </c>
      <c r="F1180" t="s">
        <v>1416</v>
      </c>
      <c r="G1180" t="s">
        <v>21</v>
      </c>
      <c r="H1180" t="s">
        <v>81</v>
      </c>
      <c r="I1180" s="13">
        <v>115000</v>
      </c>
      <c r="J1180" s="13">
        <v>100000</v>
      </c>
      <c r="K1180" s="13">
        <f>IF(J1180&lt;'Mapa Oficinas'!$I$21,0,IF(J1180&gt;'Mapa Oficinas'!$I$20,0,1))</f>
        <v>1</v>
      </c>
      <c r="L1180" t="s">
        <v>23</v>
      </c>
      <c r="M1180" t="s">
        <v>23</v>
      </c>
      <c r="O1180" t="s">
        <v>1417</v>
      </c>
      <c r="P1180" t="s">
        <v>8587</v>
      </c>
      <c r="Q1180">
        <v>1</v>
      </c>
      <c r="R1180" t="s">
        <v>167</v>
      </c>
      <c r="S1180" t="s">
        <v>122</v>
      </c>
      <c r="T1180" t="str">
        <f>VLOOKUP(S1180,'Mapa Oficinas'!$H$7:$I$16,2,FALSE)</f>
        <v>Otra Red Búsqueda</v>
      </c>
      <c r="U1180" t="s">
        <v>29</v>
      </c>
      <c r="V1180" t="str">
        <f>VLOOKUP($R1180,'Mapa Oficinas'!$A$7:$C$46,2,FALSE)</f>
        <v>Interior - Santa Fe</v>
      </c>
      <c r="W1180" t="str">
        <f>VLOOKUP($R1180,'Mapa Oficinas'!$A$7:$C$46,3,FALSE)</f>
        <v>Capital Santa Fe</v>
      </c>
    </row>
    <row r="1181" spans="1:23" x14ac:dyDescent="0.2">
      <c r="A1181" s="1">
        <v>45992</v>
      </c>
      <c r="B1181" s="20">
        <f t="shared" si="36"/>
        <v>2025</v>
      </c>
      <c r="C1181" s="20">
        <f t="shared" si="37"/>
        <v>12</v>
      </c>
      <c r="E1181" s="49">
        <v>1</v>
      </c>
      <c r="F1181" t="s">
        <v>5552</v>
      </c>
      <c r="G1181" t="s">
        <v>21</v>
      </c>
      <c r="H1181" t="s">
        <v>37</v>
      </c>
      <c r="I1181" s="13">
        <v>100000</v>
      </c>
      <c r="J1181" s="13">
        <v>100000</v>
      </c>
      <c r="K1181" s="13">
        <f>IF(J1181&lt;'Mapa Oficinas'!$I$21,0,IF(J1181&gt;'Mapa Oficinas'!$I$20,0,1))</f>
        <v>1</v>
      </c>
      <c r="L1181" t="s">
        <v>23</v>
      </c>
      <c r="M1181" t="s">
        <v>23</v>
      </c>
      <c r="N1181" t="s">
        <v>5553</v>
      </c>
      <c r="O1181" t="s">
        <v>83</v>
      </c>
      <c r="P1181" t="s">
        <v>45</v>
      </c>
      <c r="Q1181">
        <v>1</v>
      </c>
      <c r="R1181" t="s">
        <v>84</v>
      </c>
      <c r="S1181" t="s">
        <v>122</v>
      </c>
      <c r="T1181" t="str">
        <f>VLOOKUP(S1181,'Mapa Oficinas'!$H$7:$I$16,2,FALSE)</f>
        <v>Otra Red Búsqueda</v>
      </c>
      <c r="U1181" t="s">
        <v>29</v>
      </c>
      <c r="V1181" t="str">
        <f>VLOOKUP($R1181,'Mapa Oficinas'!$A$7:$C$46,2,FALSE)</f>
        <v>Interior - Neuquén</v>
      </c>
      <c r="W1181" t="str">
        <f>VLOOKUP($R1181,'Mapa Oficinas'!$A$7:$C$46,3,FALSE)</f>
        <v>Villa La Angostura</v>
      </c>
    </row>
    <row r="1182" spans="1:23" x14ac:dyDescent="0.2">
      <c r="A1182" s="1">
        <v>46050</v>
      </c>
      <c r="B1182" s="20">
        <f t="shared" si="36"/>
        <v>2026</v>
      </c>
      <c r="C1182" s="20">
        <f t="shared" si="37"/>
        <v>1</v>
      </c>
      <c r="D1182" t="s">
        <v>6440</v>
      </c>
      <c r="E1182" s="49">
        <v>1</v>
      </c>
      <c r="F1182" t="s">
        <v>6441</v>
      </c>
      <c r="G1182" t="s">
        <v>21</v>
      </c>
      <c r="H1182" t="s">
        <v>76</v>
      </c>
      <c r="I1182" s="13">
        <v>110000</v>
      </c>
      <c r="J1182" s="13">
        <v>100000</v>
      </c>
      <c r="K1182" s="13">
        <f>IF(J1182&lt;'Mapa Oficinas'!$I$21,0,IF(J1182&gt;'Mapa Oficinas'!$I$20,0,1))</f>
        <v>1</v>
      </c>
      <c r="L1182" t="s">
        <v>23</v>
      </c>
      <c r="M1182" t="s">
        <v>23</v>
      </c>
      <c r="N1182" t="s">
        <v>6442</v>
      </c>
      <c r="O1182" t="s">
        <v>72</v>
      </c>
      <c r="P1182" t="s">
        <v>45</v>
      </c>
      <c r="Q1182">
        <v>1</v>
      </c>
      <c r="R1182" t="s">
        <v>73</v>
      </c>
      <c r="S1182" t="s">
        <v>152</v>
      </c>
      <c r="T1182" t="str">
        <f>VLOOKUP(S1182,'Mapa Oficinas'!$H$7:$I$16,2,FALSE)</f>
        <v>Otra Red Captación</v>
      </c>
      <c r="U1182" t="s">
        <v>29</v>
      </c>
      <c r="V1182" t="str">
        <f>VLOOKUP($R1182,'Mapa Oficinas'!$A$7:$C$46,2,FALSE)</f>
        <v>Interior - Salta</v>
      </c>
      <c r="W1182" t="str">
        <f>VLOOKUP($R1182,'Mapa Oficinas'!$A$7:$C$46,3,FALSE)</f>
        <v>San Lorenzo Chico</v>
      </c>
    </row>
    <row r="1183" spans="1:23" x14ac:dyDescent="0.2">
      <c r="A1183" s="1">
        <v>46086</v>
      </c>
      <c r="B1183" s="20">
        <f t="shared" si="36"/>
        <v>2026</v>
      </c>
      <c r="C1183" s="20">
        <f t="shared" si="37"/>
        <v>3</v>
      </c>
      <c r="D1183" t="s">
        <v>6970</v>
      </c>
      <c r="E1183" s="49">
        <v>1</v>
      </c>
      <c r="F1183" t="s">
        <v>6971</v>
      </c>
      <c r="G1183" t="s">
        <v>21</v>
      </c>
      <c r="H1183" t="s">
        <v>22</v>
      </c>
      <c r="I1183" s="13">
        <v>109000</v>
      </c>
      <c r="J1183" s="13">
        <v>100000</v>
      </c>
      <c r="K1183" s="13">
        <f>IF(J1183&lt;'Mapa Oficinas'!$I$21,0,IF(J1183&gt;'Mapa Oficinas'!$I$20,0,1))</f>
        <v>1</v>
      </c>
      <c r="L1183" t="s">
        <v>23</v>
      </c>
      <c r="M1183" t="s">
        <v>23</v>
      </c>
      <c r="N1183" t="s">
        <v>6972</v>
      </c>
      <c r="O1183" t="s">
        <v>6973</v>
      </c>
      <c r="P1183" t="s">
        <v>34</v>
      </c>
      <c r="Q1183">
        <v>1</v>
      </c>
      <c r="R1183" t="s">
        <v>103</v>
      </c>
      <c r="S1183" t="s">
        <v>152</v>
      </c>
      <c r="T1183" t="str">
        <f>VLOOKUP(S1183,'Mapa Oficinas'!$H$7:$I$16,2,FALSE)</f>
        <v>Otra Red Captación</v>
      </c>
      <c r="U1183" t="s">
        <v>29</v>
      </c>
      <c r="V1183" t="str">
        <f>VLOOKUP($R1183,'Mapa Oficinas'!$A$7:$C$46,2,FALSE)</f>
        <v>Zona Sur (GBA)</v>
      </c>
      <c r="W1183" t="str">
        <f>VLOOKUP($R1183,'Mapa Oficinas'!$A$7:$C$46,3,FALSE)</f>
        <v>La Plata</v>
      </c>
    </row>
    <row r="1184" spans="1:23" x14ac:dyDescent="0.2">
      <c r="A1184" s="1">
        <v>45883</v>
      </c>
      <c r="B1184" s="20">
        <f t="shared" si="36"/>
        <v>2025</v>
      </c>
      <c r="C1184" s="20">
        <f t="shared" si="37"/>
        <v>8</v>
      </c>
      <c r="E1184" s="49">
        <v>1</v>
      </c>
      <c r="F1184" t="s">
        <v>3597</v>
      </c>
      <c r="G1184" t="s">
        <v>21</v>
      </c>
      <c r="H1184" t="s">
        <v>81</v>
      </c>
      <c r="I1184" s="13">
        <v>105000</v>
      </c>
      <c r="J1184" s="13">
        <v>100000</v>
      </c>
      <c r="K1184" s="13">
        <f>IF(J1184&lt;'Mapa Oficinas'!$I$21,0,IF(J1184&gt;'Mapa Oficinas'!$I$20,0,1))</f>
        <v>1</v>
      </c>
      <c r="L1184" t="s">
        <v>23</v>
      </c>
      <c r="M1184" t="s">
        <v>23</v>
      </c>
      <c r="N1184" t="s">
        <v>3598</v>
      </c>
      <c r="O1184" t="s">
        <v>83</v>
      </c>
      <c r="P1184" t="s">
        <v>45</v>
      </c>
      <c r="Q1184">
        <v>2</v>
      </c>
      <c r="R1184" t="s">
        <v>84</v>
      </c>
      <c r="S1184" t="s">
        <v>79</v>
      </c>
      <c r="T1184" t="str">
        <f>VLOOKUP(S1184,'Mapa Oficinas'!$H$7:$I$16,2,FALSE)</f>
        <v>CB</v>
      </c>
      <c r="U1184" t="s">
        <v>29</v>
      </c>
      <c r="V1184" t="str">
        <f>VLOOKUP($R1184,'Mapa Oficinas'!$A$7:$C$46,2,FALSE)</f>
        <v>Interior - Neuquén</v>
      </c>
      <c r="W1184" t="str">
        <f>VLOOKUP($R1184,'Mapa Oficinas'!$A$7:$C$46,3,FALSE)</f>
        <v>Villa La Angostura</v>
      </c>
    </row>
    <row r="1185" spans="1:23" x14ac:dyDescent="0.2">
      <c r="A1185" s="1">
        <v>45898</v>
      </c>
      <c r="B1185" s="20">
        <f t="shared" si="36"/>
        <v>2025</v>
      </c>
      <c r="C1185" s="20">
        <f t="shared" si="37"/>
        <v>8</v>
      </c>
      <c r="D1185" t="s">
        <v>3874</v>
      </c>
      <c r="E1185" s="49">
        <v>1</v>
      </c>
      <c r="F1185" t="s">
        <v>3875</v>
      </c>
      <c r="G1185" t="s">
        <v>21</v>
      </c>
      <c r="H1185" t="s">
        <v>76</v>
      </c>
      <c r="I1185" s="13">
        <v>75000</v>
      </c>
      <c r="J1185" s="13">
        <v>100000</v>
      </c>
      <c r="K1185" s="13">
        <f>IF(J1185&lt;'Mapa Oficinas'!$I$21,0,IF(J1185&gt;'Mapa Oficinas'!$I$20,0,1))</f>
        <v>1</v>
      </c>
      <c r="L1185" t="s">
        <v>23</v>
      </c>
      <c r="M1185" t="s">
        <v>23</v>
      </c>
      <c r="N1185" t="s">
        <v>3876</v>
      </c>
      <c r="O1185" t="s">
        <v>129</v>
      </c>
      <c r="P1185" t="s">
        <v>34</v>
      </c>
      <c r="Q1185">
        <v>2</v>
      </c>
      <c r="R1185" t="s">
        <v>130</v>
      </c>
      <c r="S1185" t="s">
        <v>79</v>
      </c>
      <c r="T1185" t="str">
        <f>VLOOKUP(S1185,'Mapa Oficinas'!$H$7:$I$16,2,FALSE)</f>
        <v>CB</v>
      </c>
      <c r="U1185" t="s">
        <v>29</v>
      </c>
      <c r="V1185" t="str">
        <f>VLOOKUP($R1185,'Mapa Oficinas'!$A$7:$C$46,2,FALSE)</f>
        <v>Interior - Neuquén</v>
      </c>
      <c r="W1185" t="str">
        <f>VLOOKUP($R1185,'Mapa Oficinas'!$A$7:$C$46,3,FALSE)</f>
        <v>San Martín de los Andes</v>
      </c>
    </row>
    <row r="1186" spans="1:23" x14ac:dyDescent="0.2">
      <c r="A1186" s="1">
        <v>45925</v>
      </c>
      <c r="B1186" s="20">
        <f t="shared" si="36"/>
        <v>2025</v>
      </c>
      <c r="C1186" s="20">
        <f t="shared" si="37"/>
        <v>9</v>
      </c>
      <c r="D1186" t="s">
        <v>639</v>
      </c>
      <c r="E1186" s="49">
        <v>1</v>
      </c>
      <c r="F1186" t="s">
        <v>640</v>
      </c>
      <c r="G1186" t="s">
        <v>21</v>
      </c>
      <c r="H1186" t="s">
        <v>37</v>
      </c>
      <c r="I1186" s="13">
        <v>115000</v>
      </c>
      <c r="J1186" s="13">
        <v>100000</v>
      </c>
      <c r="K1186" s="13">
        <f>IF(J1186&lt;'Mapa Oficinas'!$I$21,0,IF(J1186&gt;'Mapa Oficinas'!$I$20,0,1))</f>
        <v>1</v>
      </c>
      <c r="L1186" t="s">
        <v>23</v>
      </c>
      <c r="M1186" t="s">
        <v>23</v>
      </c>
      <c r="N1186" t="s">
        <v>641</v>
      </c>
      <c r="O1186" t="s">
        <v>642</v>
      </c>
      <c r="P1186" t="s">
        <v>45</v>
      </c>
      <c r="Q1186">
        <v>2</v>
      </c>
      <c r="R1186" t="s">
        <v>110</v>
      </c>
      <c r="S1186" t="s">
        <v>79</v>
      </c>
      <c r="T1186" t="str">
        <f>VLOOKUP(S1186,'Mapa Oficinas'!$H$7:$I$16,2,FALSE)</f>
        <v>CB</v>
      </c>
      <c r="U1186" t="s">
        <v>29</v>
      </c>
      <c r="V1186" t="str">
        <f>VLOOKUP($R1186,'Mapa Oficinas'!$A$7:$C$46,2,FALSE)</f>
        <v>Zona Norte (GBA)</v>
      </c>
      <c r="W1186" t="str">
        <f>VLOOKUP($R1186,'Mapa Oficinas'!$A$7:$C$46,3,FALSE)</f>
        <v>Nordelta</v>
      </c>
    </row>
    <row r="1187" spans="1:23" x14ac:dyDescent="0.2">
      <c r="A1187" s="1">
        <v>46036</v>
      </c>
      <c r="B1187" s="20">
        <f t="shared" si="36"/>
        <v>2026</v>
      </c>
      <c r="C1187" s="20">
        <f t="shared" si="37"/>
        <v>1</v>
      </c>
      <c r="D1187" t="s">
        <v>6222</v>
      </c>
      <c r="E1187" s="49">
        <v>1</v>
      </c>
      <c r="F1187" t="s">
        <v>6223</v>
      </c>
      <c r="G1187" t="s">
        <v>21</v>
      </c>
      <c r="H1187" t="s">
        <v>119</v>
      </c>
      <c r="I1187" s="13">
        <v>100000</v>
      </c>
      <c r="J1187" s="13">
        <v>100000</v>
      </c>
      <c r="K1187" s="13">
        <f>IF(J1187&lt;'Mapa Oficinas'!$I$21,0,IF(J1187&gt;'Mapa Oficinas'!$I$20,0,1))</f>
        <v>1</v>
      </c>
      <c r="L1187" t="s">
        <v>23</v>
      </c>
      <c r="M1187" t="s">
        <v>23</v>
      </c>
      <c r="N1187" t="s">
        <v>3807</v>
      </c>
      <c r="O1187" t="s">
        <v>1020</v>
      </c>
      <c r="P1187" t="s">
        <v>45</v>
      </c>
      <c r="Q1187">
        <v>2</v>
      </c>
      <c r="R1187" t="s">
        <v>84</v>
      </c>
      <c r="S1187" t="s">
        <v>79</v>
      </c>
      <c r="T1187" t="str">
        <f>VLOOKUP(S1187,'Mapa Oficinas'!$H$7:$I$16,2,FALSE)</f>
        <v>CB</v>
      </c>
      <c r="U1187" t="s">
        <v>29</v>
      </c>
      <c r="V1187" t="str">
        <f>VLOOKUP($R1187,'Mapa Oficinas'!$A$7:$C$46,2,FALSE)</f>
        <v>Interior - Neuquén</v>
      </c>
      <c r="W1187" t="str">
        <f>VLOOKUP($R1187,'Mapa Oficinas'!$A$7:$C$46,3,FALSE)</f>
        <v>Villa La Angostura</v>
      </c>
    </row>
    <row r="1188" spans="1:23" x14ac:dyDescent="0.2">
      <c r="A1188" s="1">
        <v>45845</v>
      </c>
      <c r="B1188" s="20">
        <f t="shared" si="36"/>
        <v>2025</v>
      </c>
      <c r="C1188" s="20">
        <f t="shared" si="37"/>
        <v>7</v>
      </c>
      <c r="D1188" t="s">
        <v>2905</v>
      </c>
      <c r="E1188" s="49">
        <v>1</v>
      </c>
      <c r="F1188" t="s">
        <v>2905</v>
      </c>
      <c r="G1188" t="s">
        <v>21</v>
      </c>
      <c r="H1188" t="s">
        <v>37</v>
      </c>
      <c r="I1188" s="13">
        <v>100000</v>
      </c>
      <c r="J1188" s="13">
        <v>100000</v>
      </c>
      <c r="K1188" s="13">
        <f>IF(J1188&lt;'Mapa Oficinas'!$I$21,0,IF(J1188&gt;'Mapa Oficinas'!$I$20,0,1))</f>
        <v>1</v>
      </c>
      <c r="L1188" t="s">
        <v>23</v>
      </c>
      <c r="M1188" t="s">
        <v>23</v>
      </c>
      <c r="O1188" t="s">
        <v>303</v>
      </c>
      <c r="P1188" t="s">
        <v>34</v>
      </c>
      <c r="Q1188">
        <v>1</v>
      </c>
      <c r="R1188" t="s">
        <v>183</v>
      </c>
      <c r="S1188" t="s">
        <v>47</v>
      </c>
      <c r="T1188" t="str">
        <f>VLOOKUP(S1188,'Mapa Oficinas'!$H$7:$I$16,2,FALSE)</f>
        <v>Otra Red Búsqueda</v>
      </c>
      <c r="U1188" t="s">
        <v>29</v>
      </c>
      <c r="V1188" t="str">
        <f>VLOOKUP($R1188,'Mapa Oficinas'!$A$7:$C$46,2,FALSE)</f>
        <v>Interior - Neuquén</v>
      </c>
      <c r="W1188" t="str">
        <f>VLOOKUP($R1188,'Mapa Oficinas'!$A$7:$C$46,3,FALSE)</f>
        <v>Capital Neuquén</v>
      </c>
    </row>
    <row r="1189" spans="1:23" x14ac:dyDescent="0.2">
      <c r="A1189" s="1">
        <v>45947</v>
      </c>
      <c r="B1189" s="20">
        <f t="shared" si="36"/>
        <v>2025</v>
      </c>
      <c r="C1189" s="20">
        <f t="shared" si="37"/>
        <v>10</v>
      </c>
      <c r="E1189" s="49">
        <v>1</v>
      </c>
      <c r="F1189" t="s">
        <v>4762</v>
      </c>
      <c r="G1189" t="s">
        <v>21</v>
      </c>
      <c r="H1189" t="s">
        <v>37</v>
      </c>
      <c r="I1189" s="13">
        <v>100000</v>
      </c>
      <c r="J1189" s="13">
        <v>100000</v>
      </c>
      <c r="K1189" s="13">
        <f>IF(J1189&lt;'Mapa Oficinas'!$I$21,0,IF(J1189&gt;'Mapa Oficinas'!$I$20,0,1))</f>
        <v>1</v>
      </c>
      <c r="L1189" t="s">
        <v>23</v>
      </c>
      <c r="M1189" t="s">
        <v>23</v>
      </c>
      <c r="N1189" t="s">
        <v>4763</v>
      </c>
      <c r="O1189" t="s">
        <v>50</v>
      </c>
      <c r="P1189" t="s">
        <v>45</v>
      </c>
      <c r="Q1189">
        <v>1</v>
      </c>
      <c r="R1189" t="s">
        <v>135</v>
      </c>
      <c r="S1189" t="s">
        <v>47</v>
      </c>
      <c r="T1189" t="str">
        <f>VLOOKUP(S1189,'Mapa Oficinas'!$H$7:$I$16,2,FALSE)</f>
        <v>Otra Red Búsqueda</v>
      </c>
      <c r="U1189" t="s">
        <v>29</v>
      </c>
      <c r="V1189" t="str">
        <f>VLOOKUP($R1189,'Mapa Oficinas'!$A$7:$C$46,2,FALSE)</f>
        <v>CABA</v>
      </c>
      <c r="W1189" t="str">
        <f>VLOOKUP($R1189,'Mapa Oficinas'!$A$7:$C$46,3,FALSE)</f>
        <v>Recoleta</v>
      </c>
    </row>
    <row r="1190" spans="1:23" x14ac:dyDescent="0.2">
      <c r="A1190" s="1">
        <v>45966</v>
      </c>
      <c r="B1190" s="20">
        <f t="shared" si="36"/>
        <v>2025</v>
      </c>
      <c r="C1190" s="20">
        <f t="shared" si="37"/>
        <v>11</v>
      </c>
      <c r="D1190" t="s">
        <v>5057</v>
      </c>
      <c r="E1190" s="49">
        <v>1</v>
      </c>
      <c r="F1190" t="s">
        <v>5058</v>
      </c>
      <c r="G1190" t="s">
        <v>21</v>
      </c>
      <c r="H1190" t="s">
        <v>37</v>
      </c>
      <c r="I1190" s="13">
        <v>100000</v>
      </c>
      <c r="J1190" s="13">
        <v>100000</v>
      </c>
      <c r="K1190" s="13">
        <f>IF(J1190&lt;'Mapa Oficinas'!$I$21,0,IF(J1190&gt;'Mapa Oficinas'!$I$20,0,1))</f>
        <v>1</v>
      </c>
      <c r="L1190" t="s">
        <v>23</v>
      </c>
      <c r="M1190" t="s">
        <v>23</v>
      </c>
      <c r="N1190" t="s">
        <v>5059</v>
      </c>
      <c r="O1190" t="s">
        <v>265</v>
      </c>
      <c r="P1190" t="s">
        <v>45</v>
      </c>
      <c r="Q1190">
        <v>1</v>
      </c>
      <c r="R1190" t="s">
        <v>670</v>
      </c>
      <c r="S1190" t="s">
        <v>47</v>
      </c>
      <c r="T1190" t="str">
        <f>VLOOKUP(S1190,'Mapa Oficinas'!$H$7:$I$16,2,FALSE)</f>
        <v>Otra Red Búsqueda</v>
      </c>
      <c r="U1190" t="s">
        <v>29</v>
      </c>
      <c r="V1190" t="str">
        <f>VLOOKUP($R1190,'Mapa Oficinas'!$A$7:$C$46,2,FALSE)</f>
        <v>CABA</v>
      </c>
      <c r="W1190" t="str">
        <f>VLOOKUP($R1190,'Mapa Oficinas'!$A$7:$C$46,3,FALSE)</f>
        <v>Recoleta</v>
      </c>
    </row>
    <row r="1191" spans="1:23" x14ac:dyDescent="0.2">
      <c r="A1191" s="1">
        <v>46001</v>
      </c>
      <c r="B1191" s="20">
        <f t="shared" si="36"/>
        <v>2025</v>
      </c>
      <c r="C1191" s="20">
        <f t="shared" si="37"/>
        <v>12</v>
      </c>
      <c r="D1191" t="s">
        <v>639</v>
      </c>
      <c r="E1191" s="49">
        <v>1</v>
      </c>
      <c r="F1191" t="s">
        <v>640</v>
      </c>
      <c r="G1191" t="s">
        <v>21</v>
      </c>
      <c r="H1191" t="s">
        <v>22</v>
      </c>
      <c r="I1191" s="13">
        <v>115000</v>
      </c>
      <c r="J1191" s="13">
        <v>100000</v>
      </c>
      <c r="K1191" s="13">
        <f>IF(J1191&lt;'Mapa Oficinas'!$I$21,0,IF(J1191&gt;'Mapa Oficinas'!$I$20,0,1))</f>
        <v>1</v>
      </c>
      <c r="L1191" t="s">
        <v>23</v>
      </c>
      <c r="M1191" t="s">
        <v>23</v>
      </c>
      <c r="N1191" t="s">
        <v>641</v>
      </c>
      <c r="O1191" t="s">
        <v>642</v>
      </c>
      <c r="P1191" t="s">
        <v>45</v>
      </c>
      <c r="Q1191">
        <v>1</v>
      </c>
      <c r="R1191" t="s">
        <v>110</v>
      </c>
      <c r="S1191" t="s">
        <v>47</v>
      </c>
      <c r="T1191" t="str">
        <f>VLOOKUP(S1191,'Mapa Oficinas'!$H$7:$I$16,2,FALSE)</f>
        <v>Otra Red Búsqueda</v>
      </c>
      <c r="U1191" t="s">
        <v>29</v>
      </c>
      <c r="V1191" t="str">
        <f>VLOOKUP($R1191,'Mapa Oficinas'!$A$7:$C$46,2,FALSE)</f>
        <v>Zona Norte (GBA)</v>
      </c>
      <c r="W1191" t="str">
        <f>VLOOKUP($R1191,'Mapa Oficinas'!$A$7:$C$46,3,FALSE)</f>
        <v>Nordelta</v>
      </c>
    </row>
    <row r="1192" spans="1:23" x14ac:dyDescent="0.2">
      <c r="A1192" s="1">
        <v>45744</v>
      </c>
      <c r="B1192" s="20">
        <f t="shared" si="36"/>
        <v>2025</v>
      </c>
      <c r="C1192" s="20">
        <f t="shared" si="37"/>
        <v>3</v>
      </c>
      <c r="D1192" t="s">
        <v>1161</v>
      </c>
      <c r="E1192" s="49">
        <v>1</v>
      </c>
      <c r="F1192" t="s">
        <v>1162</v>
      </c>
      <c r="G1192" t="s">
        <v>21</v>
      </c>
      <c r="H1192" t="s">
        <v>37</v>
      </c>
      <c r="I1192" s="13">
        <v>105000</v>
      </c>
      <c r="J1192" s="13">
        <v>100000</v>
      </c>
      <c r="K1192" s="13">
        <f>IF(J1192&lt;'Mapa Oficinas'!$I$21,0,IF(J1192&gt;'Mapa Oficinas'!$I$20,0,1))</f>
        <v>1</v>
      </c>
      <c r="L1192" t="s">
        <v>23</v>
      </c>
      <c r="M1192" t="s">
        <v>23</v>
      </c>
      <c r="N1192" t="s">
        <v>1163</v>
      </c>
      <c r="O1192" t="s">
        <v>1164</v>
      </c>
      <c r="P1192" t="s">
        <v>45</v>
      </c>
      <c r="Q1192">
        <v>2</v>
      </c>
      <c r="R1192" t="s">
        <v>110</v>
      </c>
      <c r="S1192" t="s">
        <v>200</v>
      </c>
      <c r="T1192" t="str">
        <f>VLOOKUP(S1192,'Mapa Oficinas'!$H$7:$I$16,2,FALSE)</f>
        <v>Otra Red Captación</v>
      </c>
      <c r="U1192" t="s">
        <v>29</v>
      </c>
      <c r="V1192" t="str">
        <f>VLOOKUP($R1192,'Mapa Oficinas'!$A$7:$C$46,2,FALSE)</f>
        <v>Zona Norte (GBA)</v>
      </c>
      <c r="W1192" t="str">
        <f>VLOOKUP($R1192,'Mapa Oficinas'!$A$7:$C$46,3,FALSE)</f>
        <v>Nordelta</v>
      </c>
    </row>
    <row r="1193" spans="1:23" x14ac:dyDescent="0.2">
      <c r="A1193" s="1">
        <v>45821</v>
      </c>
      <c r="B1193" s="20">
        <f t="shared" si="36"/>
        <v>2025</v>
      </c>
      <c r="C1193" s="20">
        <f t="shared" si="37"/>
        <v>6</v>
      </c>
      <c r="D1193" t="s">
        <v>2487</v>
      </c>
      <c r="E1193" s="49">
        <v>1</v>
      </c>
      <c r="F1193" t="s">
        <v>2488</v>
      </c>
      <c r="G1193" t="s">
        <v>21</v>
      </c>
      <c r="H1193" t="s">
        <v>37</v>
      </c>
      <c r="I1193" s="13">
        <v>125000</v>
      </c>
      <c r="J1193" s="13">
        <v>100000</v>
      </c>
      <c r="K1193" s="13">
        <f>IF(J1193&lt;'Mapa Oficinas'!$I$21,0,IF(J1193&gt;'Mapa Oficinas'!$I$20,0,1))</f>
        <v>1</v>
      </c>
      <c r="L1193" t="s">
        <v>23</v>
      </c>
      <c r="M1193" t="s">
        <v>23</v>
      </c>
      <c r="N1193" t="s">
        <v>2489</v>
      </c>
      <c r="O1193" t="s">
        <v>50</v>
      </c>
      <c r="P1193" t="s">
        <v>45</v>
      </c>
      <c r="Q1193">
        <v>2</v>
      </c>
      <c r="R1193" t="s">
        <v>46</v>
      </c>
      <c r="S1193" t="s">
        <v>200</v>
      </c>
      <c r="T1193" t="str">
        <f>VLOOKUP(S1193,'Mapa Oficinas'!$H$7:$I$16,2,FALSE)</f>
        <v>Otra Red Captación</v>
      </c>
      <c r="U1193" t="s">
        <v>29</v>
      </c>
      <c r="V1193" t="str">
        <f>VLOOKUP($R1193,'Mapa Oficinas'!$A$7:$C$46,2,FALSE)</f>
        <v>CABA</v>
      </c>
      <c r="W1193" t="str">
        <f>VLOOKUP($R1193,'Mapa Oficinas'!$A$7:$C$46,3,FALSE)</f>
        <v>Palermo</v>
      </c>
    </row>
    <row r="1194" spans="1:23" x14ac:dyDescent="0.2">
      <c r="A1194" s="1">
        <v>46107</v>
      </c>
      <c r="B1194" s="20">
        <f t="shared" si="36"/>
        <v>2026</v>
      </c>
      <c r="C1194" s="20">
        <f t="shared" si="37"/>
        <v>3</v>
      </c>
      <c r="D1194" t="s">
        <v>7431</v>
      </c>
      <c r="E1194" s="49">
        <v>1</v>
      </c>
      <c r="F1194" t="s">
        <v>7432</v>
      </c>
      <c r="G1194" t="s">
        <v>21</v>
      </c>
      <c r="H1194" t="s">
        <v>37</v>
      </c>
      <c r="I1194" s="13">
        <v>104000</v>
      </c>
      <c r="J1194" s="13">
        <v>100000</v>
      </c>
      <c r="K1194" s="13">
        <f>IF(J1194&lt;'Mapa Oficinas'!$I$21,0,IF(J1194&gt;'Mapa Oficinas'!$I$20,0,1))</f>
        <v>1</v>
      </c>
      <c r="L1194" t="s">
        <v>23</v>
      </c>
      <c r="M1194" t="s">
        <v>23</v>
      </c>
      <c r="N1194" t="s">
        <v>7433</v>
      </c>
      <c r="O1194" t="s">
        <v>92</v>
      </c>
      <c r="P1194" t="s">
        <v>45</v>
      </c>
      <c r="Q1194">
        <v>2</v>
      </c>
      <c r="R1194" t="s">
        <v>67</v>
      </c>
      <c r="S1194" t="s">
        <v>200</v>
      </c>
      <c r="T1194" t="str">
        <f>VLOOKUP(S1194,'Mapa Oficinas'!$H$7:$I$16,2,FALSE)</f>
        <v>Otra Red Captación</v>
      </c>
      <c r="U1194" t="s">
        <v>29</v>
      </c>
      <c r="V1194" t="str">
        <f>VLOOKUP($R1194,'Mapa Oficinas'!$A$7:$C$46,2,FALSE)</f>
        <v>CABA</v>
      </c>
      <c r="W1194" t="str">
        <f>VLOOKUP($R1194,'Mapa Oficinas'!$A$7:$C$46,3,FALSE)</f>
        <v>Barrio Parque</v>
      </c>
    </row>
    <row r="1195" spans="1:23" x14ac:dyDescent="0.2">
      <c r="A1195" s="1">
        <v>45673</v>
      </c>
      <c r="B1195" s="20">
        <f t="shared" si="36"/>
        <v>2025</v>
      </c>
      <c r="C1195" s="20">
        <f t="shared" si="37"/>
        <v>1</v>
      </c>
      <c r="D1195" t="s">
        <v>254</v>
      </c>
      <c r="E1195" s="49">
        <v>1</v>
      </c>
      <c r="F1195" t="s">
        <v>255</v>
      </c>
      <c r="G1195" t="s">
        <v>21</v>
      </c>
      <c r="H1195" t="s">
        <v>76</v>
      </c>
      <c r="I1195" s="13">
        <v>750</v>
      </c>
      <c r="J1195" s="13">
        <v>100000</v>
      </c>
      <c r="K1195" s="13">
        <f>IF(J1195&lt;'Mapa Oficinas'!$I$21,0,IF(J1195&gt;'Mapa Oficinas'!$I$20,0,1))</f>
        <v>1</v>
      </c>
      <c r="L1195" t="s">
        <v>23</v>
      </c>
      <c r="M1195" t="s">
        <v>23</v>
      </c>
      <c r="N1195" t="s">
        <v>255</v>
      </c>
      <c r="O1195" t="s">
        <v>256</v>
      </c>
      <c r="P1195" t="s">
        <v>45</v>
      </c>
      <c r="Q1195">
        <v>2</v>
      </c>
      <c r="R1195" t="s">
        <v>257</v>
      </c>
      <c r="S1195" t="s">
        <v>28</v>
      </c>
      <c r="T1195" t="str">
        <f>VLOOKUP(S1195,'Mapa Oficinas'!$H$7:$I$16,2,FALSE)</f>
        <v>CB</v>
      </c>
      <c r="U1195" t="s">
        <v>29</v>
      </c>
      <c r="V1195" t="str">
        <f>VLOOKUP($R1195,'Mapa Oficinas'!$A$7:$C$46,2,FALSE)</f>
        <v>Zona Norte (GBA)</v>
      </c>
      <c r="W1195" t="str">
        <f>VLOOKUP($R1195,'Mapa Oficinas'!$A$7:$C$46,3,FALSE)</f>
        <v>Pilar</v>
      </c>
    </row>
    <row r="1196" spans="1:23" x14ac:dyDescent="0.2">
      <c r="A1196" s="1">
        <v>45705</v>
      </c>
      <c r="B1196" s="20">
        <f t="shared" si="36"/>
        <v>2025</v>
      </c>
      <c r="C1196" s="20">
        <f t="shared" si="37"/>
        <v>2</v>
      </c>
      <c r="D1196" t="s">
        <v>635</v>
      </c>
      <c r="E1196" s="49">
        <v>1</v>
      </c>
      <c r="F1196" t="s">
        <v>636</v>
      </c>
      <c r="G1196" t="s">
        <v>21</v>
      </c>
      <c r="H1196" t="s">
        <v>22</v>
      </c>
      <c r="I1196" s="13">
        <v>116000</v>
      </c>
      <c r="J1196" s="13">
        <v>100000</v>
      </c>
      <c r="K1196" s="13">
        <f>IF(J1196&lt;'Mapa Oficinas'!$I$21,0,IF(J1196&gt;'Mapa Oficinas'!$I$20,0,1))</f>
        <v>1</v>
      </c>
      <c r="L1196" t="s">
        <v>23</v>
      </c>
      <c r="M1196" t="s">
        <v>23</v>
      </c>
      <c r="N1196" t="s">
        <v>637</v>
      </c>
      <c r="O1196" t="s">
        <v>638</v>
      </c>
      <c r="P1196" t="s">
        <v>26</v>
      </c>
      <c r="Q1196">
        <v>2</v>
      </c>
      <c r="R1196" t="s">
        <v>62</v>
      </c>
      <c r="S1196" t="s">
        <v>28</v>
      </c>
      <c r="T1196" t="str">
        <f>VLOOKUP(S1196,'Mapa Oficinas'!$H$7:$I$16,2,FALSE)</f>
        <v>CB</v>
      </c>
      <c r="U1196" t="s">
        <v>29</v>
      </c>
      <c r="V1196" t="str">
        <f>VLOOKUP($R1196,'Mapa Oficinas'!$A$7:$C$46,2,FALSE)</f>
        <v>CABA</v>
      </c>
      <c r="W1196" t="str">
        <f>VLOOKUP($R1196,'Mapa Oficinas'!$A$7:$C$46,3,FALSE)</f>
        <v>Villa Urquiza</v>
      </c>
    </row>
    <row r="1197" spans="1:23" x14ac:dyDescent="0.2">
      <c r="A1197" s="1">
        <v>45716</v>
      </c>
      <c r="B1197" s="20">
        <f t="shared" si="36"/>
        <v>2025</v>
      </c>
      <c r="C1197" s="20">
        <f t="shared" si="37"/>
        <v>2</v>
      </c>
      <c r="D1197" t="s">
        <v>801</v>
      </c>
      <c r="E1197" s="49">
        <v>1</v>
      </c>
      <c r="F1197" t="s">
        <v>802</v>
      </c>
      <c r="G1197" t="s">
        <v>21</v>
      </c>
      <c r="H1197" t="s">
        <v>90</v>
      </c>
      <c r="I1197" s="13">
        <v>119000</v>
      </c>
      <c r="J1197" s="13">
        <v>100000</v>
      </c>
      <c r="K1197" s="13">
        <f>IF(J1197&lt;'Mapa Oficinas'!$I$21,0,IF(J1197&gt;'Mapa Oficinas'!$I$20,0,1))</f>
        <v>1</v>
      </c>
      <c r="L1197" t="s">
        <v>23</v>
      </c>
      <c r="M1197" t="s">
        <v>23</v>
      </c>
      <c r="N1197" t="s">
        <v>803</v>
      </c>
      <c r="O1197" t="s">
        <v>804</v>
      </c>
      <c r="P1197" t="s">
        <v>34</v>
      </c>
      <c r="Q1197">
        <v>2</v>
      </c>
      <c r="R1197" t="s">
        <v>62</v>
      </c>
      <c r="S1197" t="s">
        <v>28</v>
      </c>
      <c r="T1197" t="str">
        <f>VLOOKUP(S1197,'Mapa Oficinas'!$H$7:$I$16,2,FALSE)</f>
        <v>CB</v>
      </c>
      <c r="U1197" t="s">
        <v>29</v>
      </c>
      <c r="V1197" t="str">
        <f>VLOOKUP($R1197,'Mapa Oficinas'!$A$7:$C$46,2,FALSE)</f>
        <v>CABA</v>
      </c>
      <c r="W1197" t="str">
        <f>VLOOKUP($R1197,'Mapa Oficinas'!$A$7:$C$46,3,FALSE)</f>
        <v>Villa Urquiza</v>
      </c>
    </row>
    <row r="1198" spans="1:23" x14ac:dyDescent="0.2">
      <c r="A1198" s="1">
        <v>45749</v>
      </c>
      <c r="B1198" s="20">
        <f t="shared" si="36"/>
        <v>2025</v>
      </c>
      <c r="C1198" s="20">
        <f t="shared" si="37"/>
        <v>4</v>
      </c>
      <c r="D1198" t="s">
        <v>1251</v>
      </c>
      <c r="E1198" s="49">
        <v>1</v>
      </c>
      <c r="F1198" t="s">
        <v>1252</v>
      </c>
      <c r="G1198" t="s">
        <v>21</v>
      </c>
      <c r="H1198" t="s">
        <v>70</v>
      </c>
      <c r="I1198" s="13">
        <v>100000</v>
      </c>
      <c r="J1198" s="13">
        <v>100000</v>
      </c>
      <c r="K1198" s="13">
        <f>IF(J1198&lt;'Mapa Oficinas'!$I$21,0,IF(J1198&gt;'Mapa Oficinas'!$I$20,0,1))</f>
        <v>1</v>
      </c>
      <c r="L1198" t="s">
        <v>23</v>
      </c>
      <c r="M1198" t="s">
        <v>23</v>
      </c>
      <c r="N1198" t="s">
        <v>1253</v>
      </c>
      <c r="O1198" t="s">
        <v>282</v>
      </c>
      <c r="P1198" t="s">
        <v>34</v>
      </c>
      <c r="Q1198">
        <v>2</v>
      </c>
      <c r="R1198" t="s">
        <v>73</v>
      </c>
      <c r="S1198" t="s">
        <v>28</v>
      </c>
      <c r="T1198" t="str">
        <f>VLOOKUP(S1198,'Mapa Oficinas'!$H$7:$I$16,2,FALSE)</f>
        <v>CB</v>
      </c>
      <c r="U1198" t="s">
        <v>29</v>
      </c>
      <c r="V1198" t="str">
        <f>VLOOKUP($R1198,'Mapa Oficinas'!$A$7:$C$46,2,FALSE)</f>
        <v>Interior - Salta</v>
      </c>
      <c r="W1198" t="str">
        <f>VLOOKUP($R1198,'Mapa Oficinas'!$A$7:$C$46,3,FALSE)</f>
        <v>San Lorenzo Chico</v>
      </c>
    </row>
    <row r="1199" spans="1:23" x14ac:dyDescent="0.2">
      <c r="A1199" s="1">
        <v>45769</v>
      </c>
      <c r="B1199" s="20">
        <f t="shared" si="36"/>
        <v>2025</v>
      </c>
      <c r="C1199" s="20">
        <f t="shared" si="37"/>
        <v>4</v>
      </c>
      <c r="D1199" t="s">
        <v>1525</v>
      </c>
      <c r="E1199" s="49">
        <v>1</v>
      </c>
      <c r="F1199" t="s">
        <v>1526</v>
      </c>
      <c r="G1199" t="s">
        <v>21</v>
      </c>
      <c r="H1199" t="s">
        <v>70</v>
      </c>
      <c r="I1199" s="13">
        <v>105000</v>
      </c>
      <c r="J1199" s="13">
        <v>100000</v>
      </c>
      <c r="K1199" s="13">
        <f>IF(J1199&lt;'Mapa Oficinas'!$I$21,0,IF(J1199&gt;'Mapa Oficinas'!$I$20,0,1))</f>
        <v>1</v>
      </c>
      <c r="L1199" t="s">
        <v>23</v>
      </c>
      <c r="M1199" t="s">
        <v>23</v>
      </c>
      <c r="N1199" t="s">
        <v>1527</v>
      </c>
      <c r="O1199" t="s">
        <v>78</v>
      </c>
      <c r="P1199" t="s">
        <v>34</v>
      </c>
      <c r="Q1199">
        <v>2</v>
      </c>
      <c r="R1199" t="s">
        <v>73</v>
      </c>
      <c r="S1199" t="s">
        <v>28</v>
      </c>
      <c r="T1199" t="str">
        <f>VLOOKUP(S1199,'Mapa Oficinas'!$H$7:$I$16,2,FALSE)</f>
        <v>CB</v>
      </c>
      <c r="U1199" t="s">
        <v>29</v>
      </c>
      <c r="V1199" t="str">
        <f>VLOOKUP($R1199,'Mapa Oficinas'!$A$7:$C$46,2,FALSE)</f>
        <v>Interior - Salta</v>
      </c>
      <c r="W1199" t="str">
        <f>VLOOKUP($R1199,'Mapa Oficinas'!$A$7:$C$46,3,FALSE)</f>
        <v>San Lorenzo Chico</v>
      </c>
    </row>
    <row r="1200" spans="1:23" x14ac:dyDescent="0.2">
      <c r="A1200" s="1">
        <v>45769</v>
      </c>
      <c r="B1200" s="20">
        <f t="shared" si="36"/>
        <v>2025</v>
      </c>
      <c r="C1200" s="20">
        <f t="shared" si="37"/>
        <v>4</v>
      </c>
      <c r="D1200" t="s">
        <v>1528</v>
      </c>
      <c r="E1200" s="49">
        <v>1</v>
      </c>
      <c r="F1200" t="s">
        <v>1529</v>
      </c>
      <c r="G1200" t="s">
        <v>21</v>
      </c>
      <c r="H1200" t="s">
        <v>37</v>
      </c>
      <c r="I1200" s="13">
        <v>180000</v>
      </c>
      <c r="J1200" s="13">
        <v>100000</v>
      </c>
      <c r="K1200" s="13">
        <f>IF(J1200&lt;'Mapa Oficinas'!$I$21,0,IF(J1200&gt;'Mapa Oficinas'!$I$20,0,1))</f>
        <v>1</v>
      </c>
      <c r="L1200" t="s">
        <v>23</v>
      </c>
      <c r="M1200" t="s">
        <v>23</v>
      </c>
      <c r="N1200" t="s">
        <v>1530</v>
      </c>
      <c r="O1200" t="s">
        <v>1531</v>
      </c>
      <c r="P1200" t="s">
        <v>26</v>
      </c>
      <c r="Q1200">
        <v>2</v>
      </c>
      <c r="R1200" t="s">
        <v>62</v>
      </c>
      <c r="S1200" t="s">
        <v>28</v>
      </c>
      <c r="T1200" t="str">
        <f>VLOOKUP(S1200,'Mapa Oficinas'!$H$7:$I$16,2,FALSE)</f>
        <v>CB</v>
      </c>
      <c r="U1200" t="s">
        <v>29</v>
      </c>
      <c r="V1200" t="str">
        <f>VLOOKUP($R1200,'Mapa Oficinas'!$A$7:$C$46,2,FALSE)</f>
        <v>CABA</v>
      </c>
      <c r="W1200" t="str">
        <f>VLOOKUP($R1200,'Mapa Oficinas'!$A$7:$C$46,3,FALSE)</f>
        <v>Villa Urquiza</v>
      </c>
    </row>
    <row r="1201" spans="1:23" x14ac:dyDescent="0.2">
      <c r="A1201" s="1">
        <v>45772</v>
      </c>
      <c r="B1201" s="20">
        <f t="shared" si="36"/>
        <v>2025</v>
      </c>
      <c r="C1201" s="20">
        <f t="shared" si="37"/>
        <v>4</v>
      </c>
      <c r="D1201" t="s">
        <v>1626</v>
      </c>
      <c r="E1201" s="49">
        <v>1</v>
      </c>
      <c r="F1201" t="s">
        <v>1627</v>
      </c>
      <c r="G1201" t="s">
        <v>21</v>
      </c>
      <c r="H1201" t="s">
        <v>90</v>
      </c>
      <c r="I1201" s="13">
        <v>105000</v>
      </c>
      <c r="J1201" s="13">
        <v>100000</v>
      </c>
      <c r="K1201" s="13">
        <f>IF(J1201&lt;'Mapa Oficinas'!$I$21,0,IF(J1201&gt;'Mapa Oficinas'!$I$20,0,1))</f>
        <v>1</v>
      </c>
      <c r="L1201" t="s">
        <v>23</v>
      </c>
      <c r="M1201" t="s">
        <v>23</v>
      </c>
      <c r="N1201" t="s">
        <v>1628</v>
      </c>
      <c r="O1201" t="s">
        <v>1629</v>
      </c>
      <c r="P1201" t="s">
        <v>34</v>
      </c>
      <c r="Q1201">
        <v>2</v>
      </c>
      <c r="R1201" t="s">
        <v>482</v>
      </c>
      <c r="S1201" t="s">
        <v>28</v>
      </c>
      <c r="T1201" t="str">
        <f>VLOOKUP(S1201,'Mapa Oficinas'!$H$7:$I$16,2,FALSE)</f>
        <v>CB</v>
      </c>
      <c r="U1201" t="s">
        <v>29</v>
      </c>
      <c r="V1201" t="str">
        <f>VLOOKUP($R1201,'Mapa Oficinas'!$A$7:$C$46,2,FALSE)</f>
        <v>Interior - Jujuy</v>
      </c>
      <c r="W1201" t="str">
        <f>VLOOKUP($R1201,'Mapa Oficinas'!$A$7:$C$46,3,FALSE)</f>
        <v>Capital Jujuy</v>
      </c>
    </row>
    <row r="1202" spans="1:23" x14ac:dyDescent="0.2">
      <c r="A1202" s="1">
        <v>45777</v>
      </c>
      <c r="B1202" s="20">
        <f t="shared" si="36"/>
        <v>2025</v>
      </c>
      <c r="C1202" s="20">
        <f t="shared" si="37"/>
        <v>4</v>
      </c>
      <c r="D1202" t="s">
        <v>1731</v>
      </c>
      <c r="E1202" s="49">
        <v>1</v>
      </c>
      <c r="F1202" t="s">
        <v>1732</v>
      </c>
      <c r="G1202" t="s">
        <v>21</v>
      </c>
      <c r="H1202" t="s">
        <v>37</v>
      </c>
      <c r="I1202" s="13">
        <v>105000</v>
      </c>
      <c r="J1202" s="13">
        <v>100000</v>
      </c>
      <c r="K1202" s="13">
        <f>IF(J1202&lt;'Mapa Oficinas'!$I$21,0,IF(J1202&gt;'Mapa Oficinas'!$I$20,0,1))</f>
        <v>1</v>
      </c>
      <c r="L1202" t="s">
        <v>23</v>
      </c>
      <c r="M1202" t="s">
        <v>23</v>
      </c>
      <c r="N1202" t="s">
        <v>1733</v>
      </c>
      <c r="O1202" t="s">
        <v>60</v>
      </c>
      <c r="P1202" t="s">
        <v>61</v>
      </c>
      <c r="Q1202">
        <v>2</v>
      </c>
      <c r="R1202" t="s">
        <v>56</v>
      </c>
      <c r="S1202" t="s">
        <v>28</v>
      </c>
      <c r="T1202" t="str">
        <f>VLOOKUP(S1202,'Mapa Oficinas'!$H$7:$I$16,2,FALSE)</f>
        <v>CB</v>
      </c>
      <c r="U1202" t="s">
        <v>29</v>
      </c>
      <c r="V1202" t="str">
        <f>VLOOKUP($R1202,'Mapa Oficinas'!$A$7:$C$46,2,FALSE)</f>
        <v>Zona Norte (GBA)</v>
      </c>
      <c r="W1202" t="str">
        <f>VLOOKUP($R1202,'Mapa Oficinas'!$A$7:$C$46,3,FALSE)</f>
        <v>Vicente López</v>
      </c>
    </row>
    <row r="1203" spans="1:23" x14ac:dyDescent="0.2">
      <c r="A1203" s="1">
        <v>45817</v>
      </c>
      <c r="B1203" s="20">
        <f t="shared" si="36"/>
        <v>2025</v>
      </c>
      <c r="C1203" s="20">
        <f t="shared" si="37"/>
        <v>6</v>
      </c>
      <c r="D1203" t="s">
        <v>2385</v>
      </c>
      <c r="E1203" s="49">
        <v>1</v>
      </c>
      <c r="F1203" t="s">
        <v>2386</v>
      </c>
      <c r="G1203" t="s">
        <v>21</v>
      </c>
      <c r="H1203" t="s">
        <v>37</v>
      </c>
      <c r="I1203" s="13">
        <v>99000</v>
      </c>
      <c r="J1203" s="13">
        <v>100000</v>
      </c>
      <c r="K1203" s="13">
        <f>IF(J1203&lt;'Mapa Oficinas'!$I$21,0,IF(J1203&gt;'Mapa Oficinas'!$I$20,0,1))</f>
        <v>1</v>
      </c>
      <c r="L1203" t="s">
        <v>23</v>
      </c>
      <c r="M1203" t="s">
        <v>23</v>
      </c>
      <c r="N1203" t="s">
        <v>2387</v>
      </c>
      <c r="O1203" t="s">
        <v>679</v>
      </c>
      <c r="P1203" t="s">
        <v>34</v>
      </c>
      <c r="Q1203">
        <v>2</v>
      </c>
      <c r="R1203" t="s">
        <v>183</v>
      </c>
      <c r="S1203" t="s">
        <v>28</v>
      </c>
      <c r="T1203" t="str">
        <f>VLOOKUP(S1203,'Mapa Oficinas'!$H$7:$I$16,2,FALSE)</f>
        <v>CB</v>
      </c>
      <c r="U1203" t="s">
        <v>29</v>
      </c>
      <c r="V1203" t="str">
        <f>VLOOKUP($R1203,'Mapa Oficinas'!$A$7:$C$46,2,FALSE)</f>
        <v>Interior - Neuquén</v>
      </c>
      <c r="W1203" t="str">
        <f>VLOOKUP($R1203,'Mapa Oficinas'!$A$7:$C$46,3,FALSE)</f>
        <v>Capital Neuquén</v>
      </c>
    </row>
    <row r="1204" spans="1:23" x14ac:dyDescent="0.2">
      <c r="A1204" s="1">
        <v>45833</v>
      </c>
      <c r="B1204" s="20">
        <f t="shared" si="36"/>
        <v>2025</v>
      </c>
      <c r="C1204" s="20">
        <f t="shared" si="37"/>
        <v>6</v>
      </c>
      <c r="D1204" t="s">
        <v>2638</v>
      </c>
      <c r="E1204" s="49">
        <v>1</v>
      </c>
      <c r="F1204" t="s">
        <v>2639</v>
      </c>
      <c r="G1204" t="s">
        <v>21</v>
      </c>
      <c r="H1204" t="s">
        <v>37</v>
      </c>
      <c r="I1204" s="13">
        <v>112000</v>
      </c>
      <c r="J1204" s="13">
        <v>100000</v>
      </c>
      <c r="K1204" s="13">
        <f>IF(J1204&lt;'Mapa Oficinas'!$I$21,0,IF(J1204&gt;'Mapa Oficinas'!$I$20,0,1))</f>
        <v>1</v>
      </c>
      <c r="L1204" t="s">
        <v>23</v>
      </c>
      <c r="M1204" t="s">
        <v>23</v>
      </c>
      <c r="N1204" t="s">
        <v>2640</v>
      </c>
      <c r="O1204" t="s">
        <v>236</v>
      </c>
      <c r="P1204" t="s">
        <v>45</v>
      </c>
      <c r="Q1204">
        <v>2</v>
      </c>
      <c r="R1204" t="s">
        <v>135</v>
      </c>
      <c r="S1204" t="s">
        <v>28</v>
      </c>
      <c r="T1204" t="str">
        <f>VLOOKUP(S1204,'Mapa Oficinas'!$H$7:$I$16,2,FALSE)</f>
        <v>CB</v>
      </c>
      <c r="U1204" t="s">
        <v>29</v>
      </c>
      <c r="V1204" t="str">
        <f>VLOOKUP($R1204,'Mapa Oficinas'!$A$7:$C$46,2,FALSE)</f>
        <v>CABA</v>
      </c>
      <c r="W1204" t="str">
        <f>VLOOKUP($R1204,'Mapa Oficinas'!$A$7:$C$46,3,FALSE)</f>
        <v>Recoleta</v>
      </c>
    </row>
    <row r="1205" spans="1:23" x14ac:dyDescent="0.2">
      <c r="A1205" s="1">
        <v>45876</v>
      </c>
      <c r="B1205" s="20">
        <f t="shared" si="36"/>
        <v>2025</v>
      </c>
      <c r="C1205" s="20">
        <f t="shared" si="37"/>
        <v>8</v>
      </c>
      <c r="D1205" t="s">
        <v>3460</v>
      </c>
      <c r="E1205" s="49">
        <v>1</v>
      </c>
      <c r="F1205" t="s">
        <v>3461</v>
      </c>
      <c r="G1205" t="s">
        <v>21</v>
      </c>
      <c r="H1205" t="s">
        <v>70</v>
      </c>
      <c r="I1205" s="13">
        <v>100000</v>
      </c>
      <c r="J1205" s="13">
        <v>100000</v>
      </c>
      <c r="K1205" s="13">
        <f>IF(J1205&lt;'Mapa Oficinas'!$I$21,0,IF(J1205&gt;'Mapa Oficinas'!$I$20,0,1))</f>
        <v>1</v>
      </c>
      <c r="L1205" t="s">
        <v>23</v>
      </c>
      <c r="M1205" t="s">
        <v>23</v>
      </c>
      <c r="N1205" t="s">
        <v>3462</v>
      </c>
      <c r="O1205" t="s">
        <v>72</v>
      </c>
      <c r="P1205" t="s">
        <v>34</v>
      </c>
      <c r="Q1205">
        <v>2</v>
      </c>
      <c r="R1205" t="s">
        <v>73</v>
      </c>
      <c r="S1205" t="s">
        <v>28</v>
      </c>
      <c r="T1205" t="str">
        <f>VLOOKUP(S1205,'Mapa Oficinas'!$H$7:$I$16,2,FALSE)</f>
        <v>CB</v>
      </c>
      <c r="U1205" t="s">
        <v>29</v>
      </c>
      <c r="V1205" t="str">
        <f>VLOOKUP($R1205,'Mapa Oficinas'!$A$7:$C$46,2,FALSE)</f>
        <v>Interior - Salta</v>
      </c>
      <c r="W1205" t="str">
        <f>VLOOKUP($R1205,'Mapa Oficinas'!$A$7:$C$46,3,FALSE)</f>
        <v>San Lorenzo Chico</v>
      </c>
    </row>
    <row r="1206" spans="1:23" x14ac:dyDescent="0.2">
      <c r="A1206" s="1">
        <v>45930</v>
      </c>
      <c r="B1206" s="20">
        <f t="shared" si="36"/>
        <v>2025</v>
      </c>
      <c r="C1206" s="20">
        <f t="shared" si="37"/>
        <v>9</v>
      </c>
      <c r="D1206" t="s">
        <v>4420</v>
      </c>
      <c r="E1206" s="49">
        <v>1</v>
      </c>
      <c r="F1206" t="s">
        <v>4421</v>
      </c>
      <c r="G1206" t="s">
        <v>21</v>
      </c>
      <c r="H1206" t="s">
        <v>37</v>
      </c>
      <c r="I1206" s="13">
        <v>105000</v>
      </c>
      <c r="J1206" s="13">
        <v>100000</v>
      </c>
      <c r="K1206" s="13">
        <f>IF(J1206&lt;'Mapa Oficinas'!$I$21,0,IF(J1206&gt;'Mapa Oficinas'!$I$20,0,1))</f>
        <v>1</v>
      </c>
      <c r="L1206" t="s">
        <v>23</v>
      </c>
      <c r="M1206" t="s">
        <v>23</v>
      </c>
      <c r="N1206" t="s">
        <v>4422</v>
      </c>
      <c r="O1206" t="s">
        <v>470</v>
      </c>
      <c r="P1206" t="s">
        <v>45</v>
      </c>
      <c r="Q1206">
        <v>2</v>
      </c>
      <c r="R1206" t="s">
        <v>46</v>
      </c>
      <c r="S1206" t="s">
        <v>28</v>
      </c>
      <c r="T1206" t="str">
        <f>VLOOKUP(S1206,'Mapa Oficinas'!$H$7:$I$16,2,FALSE)</f>
        <v>CB</v>
      </c>
      <c r="U1206" t="s">
        <v>29</v>
      </c>
      <c r="V1206" t="str">
        <f>VLOOKUP($R1206,'Mapa Oficinas'!$A$7:$C$46,2,FALSE)</f>
        <v>CABA</v>
      </c>
      <c r="W1206" t="str">
        <f>VLOOKUP($R1206,'Mapa Oficinas'!$A$7:$C$46,3,FALSE)</f>
        <v>Palermo</v>
      </c>
    </row>
    <row r="1207" spans="1:23" x14ac:dyDescent="0.2">
      <c r="A1207" s="1">
        <v>45939</v>
      </c>
      <c r="B1207" s="20">
        <f t="shared" si="36"/>
        <v>2025</v>
      </c>
      <c r="C1207" s="20">
        <f t="shared" si="37"/>
        <v>10</v>
      </c>
      <c r="D1207" t="s">
        <v>4618</v>
      </c>
      <c r="E1207" s="49">
        <v>1</v>
      </c>
      <c r="F1207" t="s">
        <v>4619</v>
      </c>
      <c r="G1207" t="s">
        <v>21</v>
      </c>
      <c r="H1207" t="s">
        <v>37</v>
      </c>
      <c r="I1207" s="13">
        <v>102000</v>
      </c>
      <c r="J1207" s="13">
        <v>100000</v>
      </c>
      <c r="K1207" s="13">
        <f>IF(J1207&lt;'Mapa Oficinas'!$I$21,0,IF(J1207&gt;'Mapa Oficinas'!$I$20,0,1))</f>
        <v>1</v>
      </c>
      <c r="L1207" t="s">
        <v>23</v>
      </c>
      <c r="M1207" t="s">
        <v>23</v>
      </c>
      <c r="N1207" t="s">
        <v>4620</v>
      </c>
      <c r="O1207" t="s">
        <v>470</v>
      </c>
      <c r="P1207" t="s">
        <v>45</v>
      </c>
      <c r="Q1207">
        <v>2</v>
      </c>
      <c r="R1207" t="s">
        <v>46</v>
      </c>
      <c r="S1207" t="s">
        <v>28</v>
      </c>
      <c r="T1207" t="str">
        <f>VLOOKUP(S1207,'Mapa Oficinas'!$H$7:$I$16,2,FALSE)</f>
        <v>CB</v>
      </c>
      <c r="U1207" t="s">
        <v>29</v>
      </c>
      <c r="V1207" t="str">
        <f>VLOOKUP($R1207,'Mapa Oficinas'!$A$7:$C$46,2,FALSE)</f>
        <v>CABA</v>
      </c>
      <c r="W1207" t="str">
        <f>VLOOKUP($R1207,'Mapa Oficinas'!$A$7:$C$46,3,FALSE)</f>
        <v>Palermo</v>
      </c>
    </row>
    <row r="1208" spans="1:23" x14ac:dyDescent="0.2">
      <c r="A1208" s="1">
        <v>45951</v>
      </c>
      <c r="B1208" s="20">
        <f t="shared" si="36"/>
        <v>2025</v>
      </c>
      <c r="C1208" s="20">
        <f t="shared" si="37"/>
        <v>10</v>
      </c>
      <c r="D1208" t="s">
        <v>4816</v>
      </c>
      <c r="E1208" s="49">
        <v>1</v>
      </c>
      <c r="F1208" t="s">
        <v>4817</v>
      </c>
      <c r="G1208" t="s">
        <v>21</v>
      </c>
      <c r="H1208" t="s">
        <v>37</v>
      </c>
      <c r="I1208" s="13">
        <v>100000</v>
      </c>
      <c r="J1208" s="13">
        <v>100000</v>
      </c>
      <c r="K1208" s="13">
        <f>IF(J1208&lt;'Mapa Oficinas'!$I$21,0,IF(J1208&gt;'Mapa Oficinas'!$I$20,0,1))</f>
        <v>1</v>
      </c>
      <c r="L1208" t="s">
        <v>23</v>
      </c>
      <c r="M1208" t="s">
        <v>23</v>
      </c>
      <c r="N1208" t="s">
        <v>4818</v>
      </c>
      <c r="O1208" t="s">
        <v>2084</v>
      </c>
      <c r="P1208" t="s">
        <v>45</v>
      </c>
      <c r="Q1208">
        <v>2</v>
      </c>
      <c r="R1208" t="s">
        <v>67</v>
      </c>
      <c r="S1208" t="s">
        <v>28</v>
      </c>
      <c r="T1208" t="str">
        <f>VLOOKUP(S1208,'Mapa Oficinas'!$H$7:$I$16,2,FALSE)</f>
        <v>CB</v>
      </c>
      <c r="U1208" t="s">
        <v>29</v>
      </c>
      <c r="V1208" t="str">
        <f>VLOOKUP($R1208,'Mapa Oficinas'!$A$7:$C$46,2,FALSE)</f>
        <v>CABA</v>
      </c>
      <c r="W1208" t="str">
        <f>VLOOKUP($R1208,'Mapa Oficinas'!$A$7:$C$46,3,FALSE)</f>
        <v>Barrio Parque</v>
      </c>
    </row>
    <row r="1209" spans="1:23" x14ac:dyDescent="0.2">
      <c r="A1209" s="1">
        <v>45955</v>
      </c>
      <c r="B1209" s="20">
        <f t="shared" si="36"/>
        <v>2025</v>
      </c>
      <c r="C1209" s="20">
        <f t="shared" si="37"/>
        <v>10</v>
      </c>
      <c r="D1209" t="s">
        <v>4927</v>
      </c>
      <c r="E1209" s="49">
        <v>1</v>
      </c>
      <c r="F1209" t="s">
        <v>4928</v>
      </c>
      <c r="G1209" t="s">
        <v>21</v>
      </c>
      <c r="H1209" t="s">
        <v>37</v>
      </c>
      <c r="I1209" s="13">
        <v>119000</v>
      </c>
      <c r="J1209" s="13">
        <v>100000</v>
      </c>
      <c r="K1209" s="13">
        <f>IF(J1209&lt;'Mapa Oficinas'!$I$21,0,IF(J1209&gt;'Mapa Oficinas'!$I$20,0,1))</f>
        <v>1</v>
      </c>
      <c r="L1209" t="s">
        <v>23</v>
      </c>
      <c r="M1209" t="s">
        <v>23</v>
      </c>
      <c r="N1209" t="s">
        <v>4929</v>
      </c>
      <c r="O1209" t="s">
        <v>4930</v>
      </c>
      <c r="P1209" t="s">
        <v>34</v>
      </c>
      <c r="Q1209">
        <v>2</v>
      </c>
      <c r="R1209" t="s">
        <v>67</v>
      </c>
      <c r="S1209" t="s">
        <v>28</v>
      </c>
      <c r="T1209" t="str">
        <f>VLOOKUP(S1209,'Mapa Oficinas'!$H$7:$I$16,2,FALSE)</f>
        <v>CB</v>
      </c>
      <c r="U1209" t="s">
        <v>29</v>
      </c>
      <c r="V1209" t="str">
        <f>VLOOKUP($R1209,'Mapa Oficinas'!$A$7:$C$46,2,FALSE)</f>
        <v>CABA</v>
      </c>
      <c r="W1209" t="str">
        <f>VLOOKUP($R1209,'Mapa Oficinas'!$A$7:$C$46,3,FALSE)</f>
        <v>Barrio Parque</v>
      </c>
    </row>
    <row r="1210" spans="1:23" x14ac:dyDescent="0.2">
      <c r="A1210" s="1">
        <v>45960</v>
      </c>
      <c r="B1210" s="20">
        <f t="shared" si="36"/>
        <v>2025</v>
      </c>
      <c r="C1210" s="20">
        <f t="shared" si="37"/>
        <v>10</v>
      </c>
      <c r="D1210" t="s">
        <v>4996</v>
      </c>
      <c r="E1210" s="49">
        <v>1</v>
      </c>
      <c r="F1210" t="s">
        <v>4997</v>
      </c>
      <c r="G1210" t="s">
        <v>21</v>
      </c>
      <c r="H1210" t="s">
        <v>37</v>
      </c>
      <c r="I1210" s="13">
        <v>110000</v>
      </c>
      <c r="J1210" s="13">
        <v>100000</v>
      </c>
      <c r="K1210" s="13">
        <f>IF(J1210&lt;'Mapa Oficinas'!$I$21,0,IF(J1210&gt;'Mapa Oficinas'!$I$20,0,1))</f>
        <v>1</v>
      </c>
      <c r="L1210" t="s">
        <v>23</v>
      </c>
      <c r="M1210" t="s">
        <v>23</v>
      </c>
      <c r="N1210" t="s">
        <v>4998</v>
      </c>
      <c r="O1210" t="s">
        <v>245</v>
      </c>
      <c r="P1210" t="s">
        <v>61</v>
      </c>
      <c r="Q1210">
        <v>2</v>
      </c>
      <c r="R1210" t="s">
        <v>183</v>
      </c>
      <c r="S1210" t="s">
        <v>28</v>
      </c>
      <c r="T1210" t="str">
        <f>VLOOKUP(S1210,'Mapa Oficinas'!$H$7:$I$16,2,FALSE)</f>
        <v>CB</v>
      </c>
      <c r="U1210" t="s">
        <v>29</v>
      </c>
      <c r="V1210" t="str">
        <f>VLOOKUP($R1210,'Mapa Oficinas'!$A$7:$C$46,2,FALSE)</f>
        <v>Interior - Neuquén</v>
      </c>
      <c r="W1210" t="str">
        <f>VLOOKUP($R1210,'Mapa Oficinas'!$A$7:$C$46,3,FALSE)</f>
        <v>Capital Neuquén</v>
      </c>
    </row>
    <row r="1211" spans="1:23" x14ac:dyDescent="0.2">
      <c r="A1211" s="1">
        <v>45981</v>
      </c>
      <c r="B1211" s="20">
        <f t="shared" si="36"/>
        <v>2025</v>
      </c>
      <c r="C1211" s="20">
        <f t="shared" si="37"/>
        <v>11</v>
      </c>
      <c r="D1211" t="s">
        <v>5333</v>
      </c>
      <c r="E1211" s="49">
        <v>1</v>
      </c>
      <c r="F1211" t="s">
        <v>5334</v>
      </c>
      <c r="G1211" t="s">
        <v>21</v>
      </c>
      <c r="H1211" t="s">
        <v>37</v>
      </c>
      <c r="I1211" s="13">
        <v>149500</v>
      </c>
      <c r="J1211" s="13">
        <v>100000</v>
      </c>
      <c r="K1211" s="13">
        <f>IF(J1211&lt;'Mapa Oficinas'!$I$21,0,IF(J1211&gt;'Mapa Oficinas'!$I$20,0,1))</f>
        <v>1</v>
      </c>
      <c r="L1211" t="s">
        <v>23</v>
      </c>
      <c r="M1211" t="s">
        <v>23</v>
      </c>
      <c r="N1211" t="s">
        <v>5335</v>
      </c>
      <c r="O1211" t="s">
        <v>470</v>
      </c>
      <c r="P1211" t="s">
        <v>45</v>
      </c>
      <c r="Q1211">
        <v>2</v>
      </c>
      <c r="R1211" t="s">
        <v>321</v>
      </c>
      <c r="S1211" t="s">
        <v>28</v>
      </c>
      <c r="T1211" t="str">
        <f>VLOOKUP(S1211,'Mapa Oficinas'!$H$7:$I$16,2,FALSE)</f>
        <v>CB</v>
      </c>
      <c r="U1211" t="s">
        <v>29</v>
      </c>
      <c r="V1211" t="str">
        <f>VLOOKUP($R1211,'Mapa Oficinas'!$A$7:$C$46,2,FALSE)</f>
        <v>CABA</v>
      </c>
      <c r="W1211" t="str">
        <f>VLOOKUP($R1211,'Mapa Oficinas'!$A$7:$C$46,3,FALSE)</f>
        <v>Palermo</v>
      </c>
    </row>
    <row r="1212" spans="1:23" x14ac:dyDescent="0.2">
      <c r="A1212" s="1">
        <v>46036</v>
      </c>
      <c r="B1212" s="20">
        <f t="shared" si="36"/>
        <v>2026</v>
      </c>
      <c r="C1212" s="20">
        <f t="shared" si="37"/>
        <v>1</v>
      </c>
      <c r="D1212" t="s">
        <v>6224</v>
      </c>
      <c r="E1212" s="49">
        <v>1</v>
      </c>
      <c r="F1212" t="s">
        <v>6225</v>
      </c>
      <c r="G1212" t="s">
        <v>21</v>
      </c>
      <c r="H1212" t="s">
        <v>97</v>
      </c>
      <c r="I1212" s="13">
        <v>94000</v>
      </c>
      <c r="J1212" s="13">
        <v>100000</v>
      </c>
      <c r="K1212" s="13">
        <f>IF(J1212&lt;'Mapa Oficinas'!$I$21,0,IF(J1212&gt;'Mapa Oficinas'!$I$20,0,1))</f>
        <v>1</v>
      </c>
      <c r="L1212" t="s">
        <v>23</v>
      </c>
      <c r="M1212" t="s">
        <v>23</v>
      </c>
      <c r="N1212" t="s">
        <v>6226</v>
      </c>
      <c r="O1212" t="s">
        <v>1507</v>
      </c>
      <c r="P1212" t="s">
        <v>45</v>
      </c>
      <c r="Q1212">
        <v>2</v>
      </c>
      <c r="R1212" t="s">
        <v>84</v>
      </c>
      <c r="S1212" t="s">
        <v>28</v>
      </c>
      <c r="T1212" t="str">
        <f>VLOOKUP(S1212,'Mapa Oficinas'!$H$7:$I$16,2,FALSE)</f>
        <v>CB</v>
      </c>
      <c r="U1212" t="s">
        <v>29</v>
      </c>
      <c r="V1212" t="str">
        <f>VLOOKUP($R1212,'Mapa Oficinas'!$A$7:$C$46,2,FALSE)</f>
        <v>Interior - Neuquén</v>
      </c>
      <c r="W1212" t="str">
        <f>VLOOKUP($R1212,'Mapa Oficinas'!$A$7:$C$46,3,FALSE)</f>
        <v>Villa La Angostura</v>
      </c>
    </row>
    <row r="1213" spans="1:23" x14ac:dyDescent="0.2">
      <c r="A1213" s="1">
        <v>46056</v>
      </c>
      <c r="B1213" s="20">
        <f t="shared" si="36"/>
        <v>2026</v>
      </c>
      <c r="C1213" s="20">
        <f t="shared" si="37"/>
        <v>2</v>
      </c>
      <c r="D1213" t="s">
        <v>6513</v>
      </c>
      <c r="E1213" s="49">
        <v>1</v>
      </c>
      <c r="F1213" t="s">
        <v>4817</v>
      </c>
      <c r="G1213" t="s">
        <v>21</v>
      </c>
      <c r="H1213" t="s">
        <v>37</v>
      </c>
      <c r="I1213" s="13">
        <v>100000</v>
      </c>
      <c r="J1213" s="13">
        <v>100000</v>
      </c>
      <c r="K1213" s="13">
        <f>IF(J1213&lt;'Mapa Oficinas'!$I$21,0,IF(J1213&gt;'Mapa Oficinas'!$I$20,0,1))</f>
        <v>1</v>
      </c>
      <c r="L1213" t="s">
        <v>23</v>
      </c>
      <c r="M1213" t="s">
        <v>23</v>
      </c>
      <c r="N1213" t="s">
        <v>4818</v>
      </c>
      <c r="O1213" t="s">
        <v>2084</v>
      </c>
      <c r="P1213" t="s">
        <v>45</v>
      </c>
      <c r="Q1213">
        <v>2</v>
      </c>
      <c r="R1213" t="s">
        <v>67</v>
      </c>
      <c r="S1213" t="s">
        <v>28</v>
      </c>
      <c r="T1213" t="str">
        <f>VLOOKUP(S1213,'Mapa Oficinas'!$H$7:$I$16,2,FALSE)</f>
        <v>CB</v>
      </c>
      <c r="U1213" t="s">
        <v>29</v>
      </c>
      <c r="V1213" t="str">
        <f>VLOOKUP($R1213,'Mapa Oficinas'!$A$7:$C$46,2,FALSE)</f>
        <v>CABA</v>
      </c>
      <c r="W1213" t="str">
        <f>VLOOKUP($R1213,'Mapa Oficinas'!$A$7:$C$46,3,FALSE)</f>
        <v>Barrio Parque</v>
      </c>
    </row>
    <row r="1214" spans="1:23" x14ac:dyDescent="0.2">
      <c r="A1214" s="1">
        <v>45663</v>
      </c>
      <c r="B1214" s="20">
        <f t="shared" si="36"/>
        <v>2025</v>
      </c>
      <c r="C1214" s="20">
        <f t="shared" si="37"/>
        <v>1</v>
      </c>
      <c r="D1214" t="s">
        <v>88</v>
      </c>
      <c r="E1214" s="49">
        <v>1</v>
      </c>
      <c r="F1214" t="s">
        <v>89</v>
      </c>
      <c r="G1214" t="s">
        <v>21</v>
      </c>
      <c r="H1214" t="s">
        <v>90</v>
      </c>
      <c r="I1214" s="13">
        <v>102000</v>
      </c>
      <c r="J1214" s="13">
        <v>100250</v>
      </c>
      <c r="K1214" s="13">
        <f>IF(J1214&lt;'Mapa Oficinas'!$I$21,0,IF(J1214&gt;'Mapa Oficinas'!$I$20,0,1))</f>
        <v>1</v>
      </c>
      <c r="L1214" t="s">
        <v>23</v>
      </c>
      <c r="M1214" t="s">
        <v>23</v>
      </c>
      <c r="N1214" t="s">
        <v>91</v>
      </c>
      <c r="O1214" t="s">
        <v>92</v>
      </c>
      <c r="P1214" t="s">
        <v>45</v>
      </c>
      <c r="Q1214">
        <v>2</v>
      </c>
      <c r="R1214" t="s">
        <v>62</v>
      </c>
      <c r="S1214" t="s">
        <v>28</v>
      </c>
      <c r="T1214" t="str">
        <f>VLOOKUP(S1214,'Mapa Oficinas'!$H$7:$I$16,2,FALSE)</f>
        <v>CB</v>
      </c>
      <c r="U1214" t="s">
        <v>29</v>
      </c>
      <c r="V1214" t="str">
        <f>VLOOKUP($R1214,'Mapa Oficinas'!$A$7:$C$46,2,FALSE)</f>
        <v>CABA</v>
      </c>
      <c r="W1214" t="str">
        <f>VLOOKUP($R1214,'Mapa Oficinas'!$A$7:$C$46,3,FALSE)</f>
        <v>Villa Urquiza</v>
      </c>
    </row>
    <row r="1215" spans="1:23" x14ac:dyDescent="0.2">
      <c r="A1215" s="1">
        <v>45663</v>
      </c>
      <c r="B1215" s="20">
        <f t="shared" si="36"/>
        <v>2025</v>
      </c>
      <c r="C1215" s="20">
        <f t="shared" si="37"/>
        <v>1</v>
      </c>
      <c r="D1215" t="s">
        <v>93</v>
      </c>
      <c r="E1215" s="49">
        <v>1</v>
      </c>
      <c r="F1215" t="s">
        <v>94</v>
      </c>
      <c r="G1215" t="s">
        <v>21</v>
      </c>
      <c r="H1215" t="s">
        <v>90</v>
      </c>
      <c r="I1215" s="13">
        <v>90000</v>
      </c>
      <c r="J1215" s="13">
        <v>100250</v>
      </c>
      <c r="K1215" s="13">
        <f>IF(J1215&lt;'Mapa Oficinas'!$I$21,0,IF(J1215&gt;'Mapa Oficinas'!$I$20,0,1))</f>
        <v>1</v>
      </c>
      <c r="L1215" t="s">
        <v>23</v>
      </c>
      <c r="M1215" t="s">
        <v>23</v>
      </c>
      <c r="N1215" t="s">
        <v>91</v>
      </c>
      <c r="O1215" t="s">
        <v>92</v>
      </c>
      <c r="P1215" t="s">
        <v>45</v>
      </c>
      <c r="Q1215">
        <v>2</v>
      </c>
      <c r="R1215" t="s">
        <v>62</v>
      </c>
      <c r="S1215" t="s">
        <v>28</v>
      </c>
      <c r="T1215" t="str">
        <f>VLOOKUP(S1215,'Mapa Oficinas'!$H$7:$I$16,2,FALSE)</f>
        <v>CB</v>
      </c>
      <c r="U1215" t="s">
        <v>29</v>
      </c>
      <c r="V1215" t="str">
        <f>VLOOKUP($R1215,'Mapa Oficinas'!$A$7:$C$46,2,FALSE)</f>
        <v>CABA</v>
      </c>
      <c r="W1215" t="str">
        <f>VLOOKUP($R1215,'Mapa Oficinas'!$A$7:$C$46,3,FALSE)</f>
        <v>Villa Urquiza</v>
      </c>
    </row>
    <row r="1216" spans="1:23" x14ac:dyDescent="0.2">
      <c r="A1216" s="1">
        <v>45684</v>
      </c>
      <c r="B1216" s="20">
        <f t="shared" si="36"/>
        <v>2025</v>
      </c>
      <c r="C1216" s="20">
        <f t="shared" si="37"/>
        <v>1</v>
      </c>
      <c r="D1216" t="s">
        <v>373</v>
      </c>
      <c r="E1216" s="49">
        <v>1</v>
      </c>
      <c r="F1216" t="s">
        <v>374</v>
      </c>
      <c r="G1216" t="s">
        <v>21</v>
      </c>
      <c r="H1216" t="s">
        <v>362</v>
      </c>
      <c r="I1216" s="13">
        <v>107200</v>
      </c>
      <c r="J1216" s="13">
        <v>100380</v>
      </c>
      <c r="K1216" s="13">
        <f>IF(J1216&lt;'Mapa Oficinas'!$I$21,0,IF(J1216&gt;'Mapa Oficinas'!$I$20,0,1))</f>
        <v>1</v>
      </c>
      <c r="L1216" t="s">
        <v>23</v>
      </c>
      <c r="M1216" t="s">
        <v>23</v>
      </c>
      <c r="N1216" t="s">
        <v>375</v>
      </c>
      <c r="O1216" t="s">
        <v>376</v>
      </c>
      <c r="P1216" t="s">
        <v>26</v>
      </c>
      <c r="Q1216">
        <v>2</v>
      </c>
      <c r="R1216" t="s">
        <v>110</v>
      </c>
      <c r="S1216" t="s">
        <v>79</v>
      </c>
      <c r="T1216" t="str">
        <f>VLOOKUP(S1216,'Mapa Oficinas'!$H$7:$I$16,2,FALSE)</f>
        <v>CB</v>
      </c>
      <c r="U1216" t="s">
        <v>29</v>
      </c>
      <c r="V1216" t="str">
        <f>VLOOKUP($R1216,'Mapa Oficinas'!$A$7:$C$46,2,FALSE)</f>
        <v>Zona Norte (GBA)</v>
      </c>
      <c r="W1216" t="str">
        <f>VLOOKUP($R1216,'Mapa Oficinas'!$A$7:$C$46,3,FALSE)</f>
        <v>Nordelta</v>
      </c>
    </row>
    <row r="1217" spans="1:23" x14ac:dyDescent="0.2">
      <c r="A1217" s="1">
        <v>45912</v>
      </c>
      <c r="B1217" s="20">
        <f t="shared" si="36"/>
        <v>2025</v>
      </c>
      <c r="C1217" s="20">
        <f t="shared" si="37"/>
        <v>9</v>
      </c>
      <c r="D1217" t="s">
        <v>4108</v>
      </c>
      <c r="E1217" s="49">
        <v>1</v>
      </c>
      <c r="F1217" t="s">
        <v>4109</v>
      </c>
      <c r="G1217" t="s">
        <v>21</v>
      </c>
      <c r="H1217" t="s">
        <v>22</v>
      </c>
      <c r="I1217" s="13">
        <v>101000</v>
      </c>
      <c r="J1217" s="13">
        <v>101000</v>
      </c>
      <c r="K1217" s="13">
        <f>IF(J1217&lt;'Mapa Oficinas'!$I$21,0,IF(J1217&gt;'Mapa Oficinas'!$I$20,0,1))</f>
        <v>1</v>
      </c>
      <c r="L1217" t="s">
        <v>23</v>
      </c>
      <c r="M1217" t="s">
        <v>23</v>
      </c>
      <c r="N1217" t="s">
        <v>4110</v>
      </c>
      <c r="O1217" t="s">
        <v>50</v>
      </c>
      <c r="P1217" t="s">
        <v>26</v>
      </c>
      <c r="Q1217">
        <v>1</v>
      </c>
      <c r="R1217" t="s">
        <v>670</v>
      </c>
      <c r="S1217" t="s">
        <v>47</v>
      </c>
      <c r="T1217" t="str">
        <f>VLOOKUP(S1217,'Mapa Oficinas'!$H$7:$I$16,2,FALSE)</f>
        <v>Otra Red Búsqueda</v>
      </c>
      <c r="U1217" t="s">
        <v>29</v>
      </c>
      <c r="V1217" t="str">
        <f>VLOOKUP($R1217,'Mapa Oficinas'!$A$7:$C$46,2,FALSE)</f>
        <v>CABA</v>
      </c>
      <c r="W1217" t="str">
        <f>VLOOKUP($R1217,'Mapa Oficinas'!$A$7:$C$46,3,FALSE)</f>
        <v>Recoleta</v>
      </c>
    </row>
    <row r="1218" spans="1:23" x14ac:dyDescent="0.2">
      <c r="A1218" s="1">
        <v>45813</v>
      </c>
      <c r="B1218" s="20">
        <f t="shared" ref="B1218:B1281" si="38">YEAR($A1218)</f>
        <v>2025</v>
      </c>
      <c r="C1218" s="20">
        <f t="shared" ref="C1218:C1281" si="39">MONTH($A1218)</f>
        <v>6</v>
      </c>
      <c r="D1218" t="s">
        <v>2338</v>
      </c>
      <c r="E1218" s="49">
        <v>1</v>
      </c>
      <c r="F1218" t="s">
        <v>2339</v>
      </c>
      <c r="G1218" t="s">
        <v>21</v>
      </c>
      <c r="H1218" t="s">
        <v>37</v>
      </c>
      <c r="I1218" s="13">
        <v>106000</v>
      </c>
      <c r="J1218" s="13">
        <v>101000</v>
      </c>
      <c r="K1218" s="13">
        <f>IF(J1218&lt;'Mapa Oficinas'!$I$21,0,IF(J1218&gt;'Mapa Oficinas'!$I$20,0,1))</f>
        <v>1</v>
      </c>
      <c r="L1218" t="s">
        <v>23</v>
      </c>
      <c r="M1218" t="s">
        <v>23</v>
      </c>
      <c r="N1218" t="s">
        <v>2340</v>
      </c>
      <c r="O1218" t="s">
        <v>83</v>
      </c>
      <c r="P1218" t="s">
        <v>45</v>
      </c>
      <c r="Q1218">
        <v>2</v>
      </c>
      <c r="R1218" t="s">
        <v>84</v>
      </c>
      <c r="S1218" t="s">
        <v>28</v>
      </c>
      <c r="T1218" t="str">
        <f>VLOOKUP(S1218,'Mapa Oficinas'!$H$7:$I$16,2,FALSE)</f>
        <v>CB</v>
      </c>
      <c r="U1218" t="s">
        <v>29</v>
      </c>
      <c r="V1218" t="str">
        <f>VLOOKUP($R1218,'Mapa Oficinas'!$A$7:$C$46,2,FALSE)</f>
        <v>Interior - Neuquén</v>
      </c>
      <c r="W1218" t="str">
        <f>VLOOKUP($R1218,'Mapa Oficinas'!$A$7:$C$46,3,FALSE)</f>
        <v>Villa La Angostura</v>
      </c>
    </row>
    <row r="1219" spans="1:23" x14ac:dyDescent="0.2">
      <c r="A1219" s="1">
        <v>45786</v>
      </c>
      <c r="B1219" s="20">
        <f t="shared" si="38"/>
        <v>2025</v>
      </c>
      <c r="C1219" s="20">
        <f t="shared" si="39"/>
        <v>5</v>
      </c>
      <c r="D1219" t="s">
        <v>1844</v>
      </c>
      <c r="E1219" s="49">
        <v>1</v>
      </c>
      <c r="F1219" t="s">
        <v>550</v>
      </c>
      <c r="G1219" t="s">
        <v>21</v>
      </c>
      <c r="H1219" t="s">
        <v>100</v>
      </c>
      <c r="I1219" s="13">
        <v>104544</v>
      </c>
      <c r="J1219" s="13">
        <v>101043</v>
      </c>
      <c r="K1219" s="13">
        <f>IF(J1219&lt;'Mapa Oficinas'!$I$21,0,IF(J1219&gt;'Mapa Oficinas'!$I$20,0,1))</f>
        <v>1</v>
      </c>
      <c r="L1219" t="s">
        <v>23</v>
      </c>
      <c r="M1219" t="s">
        <v>23</v>
      </c>
      <c r="N1219" t="s">
        <v>288</v>
      </c>
      <c r="O1219" t="s">
        <v>209</v>
      </c>
      <c r="P1219" t="s">
        <v>45</v>
      </c>
      <c r="Q1219">
        <v>2</v>
      </c>
      <c r="R1219" t="s">
        <v>121</v>
      </c>
      <c r="S1219" t="s">
        <v>79</v>
      </c>
      <c r="T1219" t="str">
        <f>VLOOKUP(S1219,'Mapa Oficinas'!$H$7:$I$16,2,FALSE)</f>
        <v>CB</v>
      </c>
      <c r="U1219" t="s">
        <v>29</v>
      </c>
      <c r="V1219" t="str">
        <f>VLOOKUP($R1219,'Mapa Oficinas'!$A$7:$C$46,2,FALSE)</f>
        <v>Interior - Río Negro</v>
      </c>
      <c r="W1219" t="str">
        <f>VLOOKUP($R1219,'Mapa Oficinas'!$A$7:$C$46,3,FALSE)</f>
        <v>Bariloche</v>
      </c>
    </row>
    <row r="1220" spans="1:23" x14ac:dyDescent="0.2">
      <c r="A1220" s="1">
        <v>45798</v>
      </c>
      <c r="B1220" s="20">
        <f t="shared" si="38"/>
        <v>2025</v>
      </c>
      <c r="C1220" s="20">
        <f t="shared" si="39"/>
        <v>5</v>
      </c>
      <c r="D1220" t="s">
        <v>549</v>
      </c>
      <c r="E1220" s="49">
        <v>1</v>
      </c>
      <c r="F1220" t="s">
        <v>550</v>
      </c>
      <c r="G1220" t="s">
        <v>21</v>
      </c>
      <c r="H1220" t="s">
        <v>100</v>
      </c>
      <c r="I1220" s="13">
        <v>92800</v>
      </c>
      <c r="J1220" s="13">
        <v>101043</v>
      </c>
      <c r="K1220" s="13">
        <f>IF(J1220&lt;'Mapa Oficinas'!$I$21,0,IF(J1220&gt;'Mapa Oficinas'!$I$20,0,1))</f>
        <v>1</v>
      </c>
      <c r="L1220" t="s">
        <v>23</v>
      </c>
      <c r="M1220" t="s">
        <v>23</v>
      </c>
      <c r="N1220" t="s">
        <v>288</v>
      </c>
      <c r="O1220" t="s">
        <v>209</v>
      </c>
      <c r="P1220" t="s">
        <v>45</v>
      </c>
      <c r="Q1220">
        <v>2</v>
      </c>
      <c r="R1220" t="s">
        <v>121</v>
      </c>
      <c r="S1220" t="s">
        <v>79</v>
      </c>
      <c r="T1220" t="str">
        <f>VLOOKUP(S1220,'Mapa Oficinas'!$H$7:$I$16,2,FALSE)</f>
        <v>CB</v>
      </c>
      <c r="U1220" t="s">
        <v>29</v>
      </c>
      <c r="V1220" t="str">
        <f>VLOOKUP($R1220,'Mapa Oficinas'!$A$7:$C$46,2,FALSE)</f>
        <v>Interior - Río Negro</v>
      </c>
      <c r="W1220" t="str">
        <f>VLOOKUP($R1220,'Mapa Oficinas'!$A$7:$C$46,3,FALSE)</f>
        <v>Bariloche</v>
      </c>
    </row>
    <row r="1221" spans="1:23" x14ac:dyDescent="0.2">
      <c r="A1221" s="1">
        <v>45831</v>
      </c>
      <c r="B1221" s="20">
        <f t="shared" si="38"/>
        <v>2025</v>
      </c>
      <c r="C1221" s="20">
        <f t="shared" si="39"/>
        <v>6</v>
      </c>
      <c r="D1221" t="s">
        <v>2582</v>
      </c>
      <c r="E1221" s="49">
        <v>1</v>
      </c>
      <c r="F1221" t="s">
        <v>2583</v>
      </c>
      <c r="G1221" t="s">
        <v>21</v>
      </c>
      <c r="H1221" t="s">
        <v>22</v>
      </c>
      <c r="I1221" s="13">
        <v>102194</v>
      </c>
      <c r="J1221" s="13">
        <v>101250</v>
      </c>
      <c r="K1221" s="13">
        <f>IF(J1221&lt;'Mapa Oficinas'!$I$21,0,IF(J1221&gt;'Mapa Oficinas'!$I$20,0,1))</f>
        <v>1</v>
      </c>
      <c r="L1221" t="s">
        <v>23</v>
      </c>
      <c r="M1221" t="s">
        <v>23</v>
      </c>
      <c r="N1221" t="s">
        <v>2583</v>
      </c>
      <c r="O1221" t="s">
        <v>595</v>
      </c>
      <c r="P1221" t="s">
        <v>45</v>
      </c>
      <c r="Q1221">
        <v>2</v>
      </c>
      <c r="R1221" t="s">
        <v>110</v>
      </c>
      <c r="S1221" t="s">
        <v>79</v>
      </c>
      <c r="T1221" t="str">
        <f>VLOOKUP(S1221,'Mapa Oficinas'!$H$7:$I$16,2,FALSE)</f>
        <v>CB</v>
      </c>
      <c r="U1221" t="s">
        <v>29</v>
      </c>
      <c r="V1221" t="str">
        <f>VLOOKUP($R1221,'Mapa Oficinas'!$A$7:$C$46,2,FALSE)</f>
        <v>Zona Norte (GBA)</v>
      </c>
      <c r="W1221" t="str">
        <f>VLOOKUP($R1221,'Mapa Oficinas'!$A$7:$C$46,3,FALSE)</f>
        <v>Nordelta</v>
      </c>
    </row>
    <row r="1222" spans="1:23" x14ac:dyDescent="0.2">
      <c r="A1222" s="1">
        <v>45744</v>
      </c>
      <c r="B1222" s="20">
        <f t="shared" si="38"/>
        <v>2025</v>
      </c>
      <c r="C1222" s="20">
        <f t="shared" si="39"/>
        <v>3</v>
      </c>
      <c r="D1222" s="17" t="s">
        <v>1165</v>
      </c>
      <c r="E1222" s="50">
        <v>1</v>
      </c>
      <c r="F1222" s="17" t="s">
        <v>550</v>
      </c>
      <c r="G1222" s="17" t="s">
        <v>21</v>
      </c>
      <c r="H1222" s="17" t="s">
        <v>100</v>
      </c>
      <c r="I1222" s="18">
        <v>101370</v>
      </c>
      <c r="J1222" s="18">
        <v>101370</v>
      </c>
      <c r="K1222" s="13">
        <f>IF(J1222&lt;'Mapa Oficinas'!$I$21,0,IF(J1222&gt;'Mapa Oficinas'!$I$20,0,1))</f>
        <v>1</v>
      </c>
      <c r="L1222" t="s">
        <v>23</v>
      </c>
      <c r="M1222" t="s">
        <v>23</v>
      </c>
      <c r="N1222" t="s">
        <v>1160</v>
      </c>
      <c r="O1222" t="s">
        <v>209</v>
      </c>
      <c r="P1222" t="s">
        <v>45</v>
      </c>
      <c r="Q1222">
        <v>2</v>
      </c>
      <c r="R1222" t="s">
        <v>121</v>
      </c>
      <c r="S1222" t="s">
        <v>79</v>
      </c>
      <c r="T1222" t="str">
        <f>VLOOKUP(S1222,'Mapa Oficinas'!$H$7:$I$16,2,FALSE)</f>
        <v>CB</v>
      </c>
      <c r="U1222" t="s">
        <v>29</v>
      </c>
      <c r="V1222" t="str">
        <f>VLOOKUP($R1222,'Mapa Oficinas'!$A$7:$C$46,2,FALSE)</f>
        <v>Interior - Río Negro</v>
      </c>
      <c r="W1222" t="str">
        <f>VLOOKUP($R1222,'Mapa Oficinas'!$A$7:$C$46,3,FALSE)</f>
        <v>Bariloche</v>
      </c>
    </row>
    <row r="1223" spans="1:23" x14ac:dyDescent="0.2">
      <c r="A1223" s="1">
        <v>45699</v>
      </c>
      <c r="B1223" s="20">
        <f t="shared" si="38"/>
        <v>2025</v>
      </c>
      <c r="C1223" s="20">
        <f t="shared" si="39"/>
        <v>2</v>
      </c>
      <c r="D1223" t="s">
        <v>549</v>
      </c>
      <c r="E1223" s="49">
        <v>1</v>
      </c>
      <c r="F1223" t="s">
        <v>550</v>
      </c>
      <c r="G1223" t="s">
        <v>21</v>
      </c>
      <c r="H1223" t="s">
        <v>100</v>
      </c>
      <c r="I1223" s="13">
        <v>92800</v>
      </c>
      <c r="J1223" s="13">
        <v>101370</v>
      </c>
      <c r="K1223" s="13">
        <f>IF(J1223&lt;'Mapa Oficinas'!$I$21,0,IF(J1223&gt;'Mapa Oficinas'!$I$20,0,1))</f>
        <v>1</v>
      </c>
      <c r="L1223" t="s">
        <v>23</v>
      </c>
      <c r="M1223" t="s">
        <v>23</v>
      </c>
      <c r="N1223" t="s">
        <v>288</v>
      </c>
      <c r="O1223" t="s">
        <v>209</v>
      </c>
      <c r="P1223" t="s">
        <v>45</v>
      </c>
      <c r="Q1223">
        <v>2</v>
      </c>
      <c r="R1223" t="s">
        <v>121</v>
      </c>
      <c r="S1223" t="s">
        <v>28</v>
      </c>
      <c r="T1223" t="str">
        <f>VLOOKUP(S1223,'Mapa Oficinas'!$H$7:$I$16,2,FALSE)</f>
        <v>CB</v>
      </c>
      <c r="U1223" t="s">
        <v>29</v>
      </c>
      <c r="V1223" t="str">
        <f>VLOOKUP($R1223,'Mapa Oficinas'!$A$7:$C$46,2,FALSE)</f>
        <v>Interior - Río Negro</v>
      </c>
      <c r="W1223" t="str">
        <f>VLOOKUP($R1223,'Mapa Oficinas'!$A$7:$C$46,3,FALSE)</f>
        <v>Bariloche</v>
      </c>
    </row>
    <row r="1224" spans="1:23" x14ac:dyDescent="0.2">
      <c r="A1224" s="1">
        <v>46058</v>
      </c>
      <c r="B1224" s="20">
        <f t="shared" si="38"/>
        <v>2026</v>
      </c>
      <c r="C1224" s="20">
        <f t="shared" si="39"/>
        <v>2</v>
      </c>
      <c r="D1224" t="s">
        <v>6552</v>
      </c>
      <c r="E1224" s="49">
        <v>1</v>
      </c>
      <c r="F1224" t="s">
        <v>6553</v>
      </c>
      <c r="G1224" t="s">
        <v>21</v>
      </c>
      <c r="H1224" t="s">
        <v>100</v>
      </c>
      <c r="I1224" s="13">
        <v>90000</v>
      </c>
      <c r="J1224" s="13">
        <v>101700</v>
      </c>
      <c r="K1224" s="13">
        <f>IF(J1224&lt;'Mapa Oficinas'!$I$21,0,IF(J1224&gt;'Mapa Oficinas'!$I$20,0,1))</f>
        <v>1</v>
      </c>
      <c r="L1224" t="s">
        <v>23</v>
      </c>
      <c r="M1224" t="s">
        <v>23</v>
      </c>
      <c r="N1224" t="s">
        <v>6554</v>
      </c>
      <c r="O1224" t="s">
        <v>403</v>
      </c>
      <c r="P1224" t="s">
        <v>45</v>
      </c>
      <c r="Q1224">
        <v>2</v>
      </c>
      <c r="R1224" t="s">
        <v>121</v>
      </c>
      <c r="S1224" t="s">
        <v>28</v>
      </c>
      <c r="T1224" t="str">
        <f>VLOOKUP(S1224,'Mapa Oficinas'!$H$7:$I$16,2,FALSE)</f>
        <v>CB</v>
      </c>
      <c r="U1224" t="s">
        <v>29</v>
      </c>
      <c r="V1224" t="str">
        <f>VLOOKUP($R1224,'Mapa Oficinas'!$A$7:$C$46,2,FALSE)</f>
        <v>Interior - Río Negro</v>
      </c>
      <c r="W1224" t="str">
        <f>VLOOKUP($R1224,'Mapa Oficinas'!$A$7:$C$46,3,FALSE)</f>
        <v>Bariloche</v>
      </c>
    </row>
    <row r="1225" spans="1:23" x14ac:dyDescent="0.2">
      <c r="A1225" s="1">
        <v>46036</v>
      </c>
      <c r="B1225" s="20">
        <f t="shared" si="38"/>
        <v>2026</v>
      </c>
      <c r="C1225" s="20">
        <f t="shared" si="39"/>
        <v>1</v>
      </c>
      <c r="D1225" t="s">
        <v>1487</v>
      </c>
      <c r="E1225" s="49">
        <v>1</v>
      </c>
      <c r="F1225" t="s">
        <v>287</v>
      </c>
      <c r="G1225" t="s">
        <v>21</v>
      </c>
      <c r="H1225" t="s">
        <v>119</v>
      </c>
      <c r="I1225" s="13">
        <v>106830</v>
      </c>
      <c r="J1225" s="13">
        <v>101925</v>
      </c>
      <c r="K1225" s="13">
        <f>IF(J1225&lt;'Mapa Oficinas'!$I$21,0,IF(J1225&gt;'Mapa Oficinas'!$I$20,0,1))</f>
        <v>1</v>
      </c>
      <c r="L1225" t="s">
        <v>23</v>
      </c>
      <c r="M1225" t="s">
        <v>23</v>
      </c>
      <c r="N1225" t="s">
        <v>288</v>
      </c>
      <c r="O1225" t="s">
        <v>1158</v>
      </c>
      <c r="P1225" t="s">
        <v>45</v>
      </c>
      <c r="Q1225">
        <v>2</v>
      </c>
      <c r="R1225" t="s">
        <v>121</v>
      </c>
      <c r="S1225" t="s">
        <v>28</v>
      </c>
      <c r="T1225" t="str">
        <f>VLOOKUP(S1225,'Mapa Oficinas'!$H$7:$I$16,2,FALSE)</f>
        <v>CB</v>
      </c>
      <c r="U1225" t="s">
        <v>29</v>
      </c>
      <c r="V1225" t="str">
        <f>VLOOKUP($R1225,'Mapa Oficinas'!$A$7:$C$46,2,FALSE)</f>
        <v>Interior - Río Negro</v>
      </c>
      <c r="W1225" t="str">
        <f>VLOOKUP($R1225,'Mapa Oficinas'!$A$7:$C$46,3,FALSE)</f>
        <v>Bariloche</v>
      </c>
    </row>
    <row r="1226" spans="1:23" x14ac:dyDescent="0.2">
      <c r="A1226" s="1">
        <v>45685</v>
      </c>
      <c r="B1226" s="20">
        <f t="shared" si="38"/>
        <v>2025</v>
      </c>
      <c r="C1226" s="20">
        <f t="shared" si="39"/>
        <v>1</v>
      </c>
      <c r="D1226" t="s">
        <v>396</v>
      </c>
      <c r="E1226" s="49">
        <v>1</v>
      </c>
      <c r="F1226" t="s">
        <v>397</v>
      </c>
      <c r="G1226" t="s">
        <v>21</v>
      </c>
      <c r="H1226" t="s">
        <v>37</v>
      </c>
      <c r="I1226" s="13">
        <v>109990</v>
      </c>
      <c r="J1226" s="13">
        <v>102000</v>
      </c>
      <c r="K1226" s="13">
        <f>IF(J1226&lt;'Mapa Oficinas'!$I$21,0,IF(J1226&gt;'Mapa Oficinas'!$I$20,0,1))</f>
        <v>1</v>
      </c>
      <c r="L1226" t="s">
        <v>23</v>
      </c>
      <c r="M1226" t="s">
        <v>23</v>
      </c>
      <c r="N1226" t="s">
        <v>398</v>
      </c>
      <c r="O1226" t="s">
        <v>50</v>
      </c>
      <c r="P1226" t="s">
        <v>45</v>
      </c>
      <c r="Q1226">
        <v>2</v>
      </c>
      <c r="R1226" t="s">
        <v>62</v>
      </c>
      <c r="S1226" t="s">
        <v>79</v>
      </c>
      <c r="T1226" t="str">
        <f>VLOOKUP(S1226,'Mapa Oficinas'!$H$7:$I$16,2,FALSE)</f>
        <v>CB</v>
      </c>
      <c r="U1226" t="s">
        <v>29</v>
      </c>
      <c r="V1226" t="str">
        <f>VLOOKUP($R1226,'Mapa Oficinas'!$A$7:$C$46,2,FALSE)</f>
        <v>CABA</v>
      </c>
      <c r="W1226" t="str">
        <f>VLOOKUP($R1226,'Mapa Oficinas'!$A$7:$C$46,3,FALSE)</f>
        <v>Villa Urquiza</v>
      </c>
    </row>
    <row r="1227" spans="1:23" x14ac:dyDescent="0.2">
      <c r="A1227" s="1">
        <v>45974</v>
      </c>
      <c r="B1227" s="20">
        <f t="shared" si="38"/>
        <v>2025</v>
      </c>
      <c r="C1227" s="20">
        <f t="shared" si="39"/>
        <v>11</v>
      </c>
      <c r="D1227" t="s">
        <v>5201</v>
      </c>
      <c r="E1227" s="49">
        <v>1</v>
      </c>
      <c r="F1227" t="s">
        <v>5202</v>
      </c>
      <c r="G1227" t="s">
        <v>21</v>
      </c>
      <c r="H1227" t="s">
        <v>37</v>
      </c>
      <c r="I1227" s="13">
        <v>106000</v>
      </c>
      <c r="J1227" s="13">
        <v>102000</v>
      </c>
      <c r="K1227" s="13">
        <f>IF(J1227&lt;'Mapa Oficinas'!$I$21,0,IF(J1227&gt;'Mapa Oficinas'!$I$20,0,1))</f>
        <v>1</v>
      </c>
      <c r="L1227" t="s">
        <v>23</v>
      </c>
      <c r="M1227" t="s">
        <v>23</v>
      </c>
      <c r="N1227" t="s">
        <v>5203</v>
      </c>
      <c r="O1227" t="s">
        <v>178</v>
      </c>
      <c r="P1227" t="s">
        <v>45</v>
      </c>
      <c r="Q1227">
        <v>2</v>
      </c>
      <c r="R1227" t="s">
        <v>1605</v>
      </c>
      <c r="S1227" t="s">
        <v>200</v>
      </c>
      <c r="T1227" t="str">
        <f>VLOOKUP(S1227,'Mapa Oficinas'!$H$7:$I$16,2,FALSE)</f>
        <v>Otra Red Captación</v>
      </c>
      <c r="U1227" t="s">
        <v>29</v>
      </c>
      <c r="V1227" t="str">
        <f>VLOOKUP($R1227,'Mapa Oficinas'!$A$7:$C$46,2,FALSE)</f>
        <v>CABA</v>
      </c>
      <c r="W1227" t="str">
        <f>VLOOKUP($R1227,'Mapa Oficinas'!$A$7:$C$46,3,FALSE)</f>
        <v>Núñez</v>
      </c>
    </row>
    <row r="1228" spans="1:23" x14ac:dyDescent="0.2">
      <c r="A1228" s="1">
        <v>46112</v>
      </c>
      <c r="B1228" s="20">
        <f t="shared" si="38"/>
        <v>2026</v>
      </c>
      <c r="C1228" s="20">
        <f t="shared" si="39"/>
        <v>3</v>
      </c>
      <c r="D1228" t="s">
        <v>7564</v>
      </c>
      <c r="E1228" s="49">
        <v>3</v>
      </c>
      <c r="F1228" t="s">
        <v>7565</v>
      </c>
      <c r="G1228" t="s">
        <v>21</v>
      </c>
      <c r="H1228" t="s">
        <v>37</v>
      </c>
      <c r="I1228" s="13">
        <v>120000</v>
      </c>
      <c r="J1228" s="13">
        <v>102000</v>
      </c>
      <c r="K1228" s="13">
        <f>IF(J1228&lt;'Mapa Oficinas'!$I$21,0,IF(J1228&gt;'Mapa Oficinas'!$I$20,0,1))</f>
        <v>1</v>
      </c>
      <c r="L1228" t="s">
        <v>23</v>
      </c>
      <c r="M1228" t="s">
        <v>23</v>
      </c>
      <c r="N1228" t="s">
        <v>7566</v>
      </c>
      <c r="O1228" t="s">
        <v>256</v>
      </c>
      <c r="P1228" t="s">
        <v>45</v>
      </c>
      <c r="Q1228">
        <v>2</v>
      </c>
      <c r="R1228" t="s">
        <v>56</v>
      </c>
      <c r="S1228" t="s">
        <v>232</v>
      </c>
      <c r="T1228" t="str">
        <f>VLOOKUP(S1228,'Mapa Oficinas'!$H$7:$I$16,2,FALSE)</f>
        <v>CB</v>
      </c>
      <c r="U1228" t="s">
        <v>29</v>
      </c>
      <c r="V1228" t="str">
        <f>VLOOKUP($R1228,'Mapa Oficinas'!$A$7:$C$46,2,FALSE)</f>
        <v>Zona Norte (GBA)</v>
      </c>
      <c r="W1228" t="str">
        <f>VLOOKUP($R1228,'Mapa Oficinas'!$A$7:$C$46,3,FALSE)</f>
        <v>Vicente López</v>
      </c>
    </row>
    <row r="1229" spans="1:23" x14ac:dyDescent="0.2">
      <c r="A1229" s="1">
        <v>46112</v>
      </c>
      <c r="B1229" s="20">
        <f t="shared" si="38"/>
        <v>2026</v>
      </c>
      <c r="C1229" s="20">
        <f t="shared" si="39"/>
        <v>3</v>
      </c>
      <c r="D1229" t="s">
        <v>7351</v>
      </c>
      <c r="E1229" s="49">
        <v>3</v>
      </c>
      <c r="F1229" t="s">
        <v>7567</v>
      </c>
      <c r="G1229" t="s">
        <v>21</v>
      </c>
      <c r="H1229" t="s">
        <v>76</v>
      </c>
      <c r="I1229" s="13">
        <v>95000</v>
      </c>
      <c r="J1229" s="13">
        <v>102000</v>
      </c>
      <c r="K1229" s="13">
        <f>IF(J1229&lt;'Mapa Oficinas'!$I$21,0,IF(J1229&gt;'Mapa Oficinas'!$I$20,0,1))</f>
        <v>1</v>
      </c>
      <c r="L1229" t="s">
        <v>23</v>
      </c>
      <c r="M1229" t="s">
        <v>23</v>
      </c>
      <c r="O1229" t="s">
        <v>256</v>
      </c>
      <c r="P1229" t="s">
        <v>45</v>
      </c>
      <c r="Q1229">
        <v>2</v>
      </c>
      <c r="R1229" t="s">
        <v>257</v>
      </c>
      <c r="S1229" t="s">
        <v>241</v>
      </c>
      <c r="T1229" t="str">
        <f>VLOOKUP(S1229,'Mapa Oficinas'!$H$7:$I$16,2,FALSE)</f>
        <v>CB</v>
      </c>
      <c r="U1229" t="s">
        <v>29</v>
      </c>
      <c r="V1229" t="str">
        <f>VLOOKUP($R1229,'Mapa Oficinas'!$A$7:$C$46,2,FALSE)</f>
        <v>Zona Norte (GBA)</v>
      </c>
      <c r="W1229" t="str">
        <f>VLOOKUP($R1229,'Mapa Oficinas'!$A$7:$C$46,3,FALSE)</f>
        <v>Pilar</v>
      </c>
    </row>
    <row r="1230" spans="1:23" x14ac:dyDescent="0.2">
      <c r="A1230" s="1">
        <v>45804</v>
      </c>
      <c r="B1230" s="20">
        <f t="shared" si="38"/>
        <v>2025</v>
      </c>
      <c r="C1230" s="20">
        <f t="shared" si="39"/>
        <v>5</v>
      </c>
      <c r="D1230" t="s">
        <v>2142</v>
      </c>
      <c r="E1230" s="49">
        <v>1</v>
      </c>
      <c r="F1230" t="s">
        <v>2143</v>
      </c>
      <c r="G1230" t="s">
        <v>21</v>
      </c>
      <c r="H1230" t="s">
        <v>37</v>
      </c>
      <c r="I1230" s="13">
        <v>108000</v>
      </c>
      <c r="J1230" s="13">
        <v>102000</v>
      </c>
      <c r="K1230" s="13">
        <f>IF(J1230&lt;'Mapa Oficinas'!$I$21,0,IF(J1230&gt;'Mapa Oficinas'!$I$20,0,1))</f>
        <v>1</v>
      </c>
      <c r="L1230" t="s">
        <v>23</v>
      </c>
      <c r="M1230" t="s">
        <v>23</v>
      </c>
      <c r="N1230" t="s">
        <v>2144</v>
      </c>
      <c r="O1230" t="s">
        <v>1920</v>
      </c>
      <c r="P1230" t="s">
        <v>45</v>
      </c>
      <c r="Q1230">
        <v>2</v>
      </c>
      <c r="R1230" t="s">
        <v>1024</v>
      </c>
      <c r="S1230" t="s">
        <v>28</v>
      </c>
      <c r="T1230" t="str">
        <f>VLOOKUP(S1230,'Mapa Oficinas'!$H$7:$I$16,2,FALSE)</f>
        <v>CB</v>
      </c>
      <c r="U1230" t="s">
        <v>29</v>
      </c>
      <c r="V1230" t="str">
        <f>VLOOKUP($R1230,'Mapa Oficinas'!$A$7:$C$46,2,FALSE)</f>
        <v>CABA</v>
      </c>
      <c r="W1230" t="str">
        <f>VLOOKUP($R1230,'Mapa Oficinas'!$A$7:$C$46,3,FALSE)</f>
        <v>Puerto Madero</v>
      </c>
    </row>
    <row r="1231" spans="1:23" x14ac:dyDescent="0.2">
      <c r="A1231" s="1">
        <v>45910</v>
      </c>
      <c r="B1231" s="20">
        <f t="shared" si="38"/>
        <v>2025</v>
      </c>
      <c r="C1231" s="20">
        <f t="shared" si="39"/>
        <v>9</v>
      </c>
      <c r="D1231" t="s">
        <v>4062</v>
      </c>
      <c r="E1231" s="49">
        <v>1</v>
      </c>
      <c r="F1231" t="s">
        <v>4063</v>
      </c>
      <c r="G1231" t="s">
        <v>21</v>
      </c>
      <c r="H1231" t="s">
        <v>22</v>
      </c>
      <c r="I1231" s="13">
        <v>108000</v>
      </c>
      <c r="J1231" s="13">
        <v>102000</v>
      </c>
      <c r="K1231" s="13">
        <f>IF(J1231&lt;'Mapa Oficinas'!$I$21,0,IF(J1231&gt;'Mapa Oficinas'!$I$20,0,1))</f>
        <v>1</v>
      </c>
      <c r="L1231" t="s">
        <v>23</v>
      </c>
      <c r="M1231" t="s">
        <v>23</v>
      </c>
      <c r="N1231" t="s">
        <v>4064</v>
      </c>
      <c r="O1231" t="s">
        <v>50</v>
      </c>
      <c r="P1231" t="s">
        <v>45</v>
      </c>
      <c r="Q1231">
        <v>2</v>
      </c>
      <c r="R1231" t="s">
        <v>62</v>
      </c>
      <c r="S1231" t="s">
        <v>28</v>
      </c>
      <c r="T1231" t="str">
        <f>VLOOKUP(S1231,'Mapa Oficinas'!$H$7:$I$16,2,FALSE)</f>
        <v>CB</v>
      </c>
      <c r="U1231" t="s">
        <v>29</v>
      </c>
      <c r="V1231" t="str">
        <f>VLOOKUP($R1231,'Mapa Oficinas'!$A$7:$C$46,2,FALSE)</f>
        <v>CABA</v>
      </c>
      <c r="W1231" t="str">
        <f>VLOOKUP($R1231,'Mapa Oficinas'!$A$7:$C$46,3,FALSE)</f>
        <v>Villa Urquiza</v>
      </c>
    </row>
    <row r="1232" spans="1:23" x14ac:dyDescent="0.2">
      <c r="A1232" s="1">
        <v>46084</v>
      </c>
      <c r="B1232" s="20">
        <f t="shared" si="38"/>
        <v>2026</v>
      </c>
      <c r="C1232" s="20">
        <f t="shared" si="39"/>
        <v>3</v>
      </c>
      <c r="D1232" t="s">
        <v>6951</v>
      </c>
      <c r="E1232" s="49">
        <v>1</v>
      </c>
      <c r="F1232" t="s">
        <v>6952</v>
      </c>
      <c r="G1232" t="s">
        <v>21</v>
      </c>
      <c r="H1232" t="s">
        <v>37</v>
      </c>
      <c r="I1232" s="13">
        <v>110000</v>
      </c>
      <c r="J1232" s="13">
        <v>102000</v>
      </c>
      <c r="K1232" s="13">
        <f>IF(J1232&lt;'Mapa Oficinas'!$I$21,0,IF(J1232&gt;'Mapa Oficinas'!$I$20,0,1))</f>
        <v>1</v>
      </c>
      <c r="L1232" t="s">
        <v>23</v>
      </c>
      <c r="M1232" t="s">
        <v>23</v>
      </c>
      <c r="N1232" t="s">
        <v>6953</v>
      </c>
      <c r="O1232" t="s">
        <v>1090</v>
      </c>
      <c r="P1232" t="s">
        <v>45</v>
      </c>
      <c r="Q1232">
        <v>2</v>
      </c>
      <c r="R1232" t="s">
        <v>429</v>
      </c>
      <c r="S1232" t="s">
        <v>28</v>
      </c>
      <c r="T1232" t="str">
        <f>VLOOKUP(S1232,'Mapa Oficinas'!$H$7:$I$16,2,FALSE)</f>
        <v>CB</v>
      </c>
      <c r="U1232" t="s">
        <v>29</v>
      </c>
      <c r="V1232" t="str">
        <f>VLOOKUP($R1232,'Mapa Oficinas'!$A$7:$C$46,2,FALSE)</f>
        <v>Zona Oeste (GBA)</v>
      </c>
      <c r="W1232" t="str">
        <f>VLOOKUP($R1232,'Mapa Oficinas'!$A$7:$C$46,3,FALSE)</f>
        <v>Parque Leloir</v>
      </c>
    </row>
    <row r="1233" spans="1:23" x14ac:dyDescent="0.2">
      <c r="A1233" s="1">
        <v>46098</v>
      </c>
      <c r="B1233" s="20">
        <f t="shared" si="38"/>
        <v>2026</v>
      </c>
      <c r="C1233" s="20">
        <f t="shared" si="39"/>
        <v>3</v>
      </c>
      <c r="D1233" t="s">
        <v>7241</v>
      </c>
      <c r="E1233" s="49">
        <v>1</v>
      </c>
      <c r="F1233" t="s">
        <v>7242</v>
      </c>
      <c r="G1233" t="s">
        <v>21</v>
      </c>
      <c r="H1233" t="s">
        <v>22</v>
      </c>
      <c r="I1233" s="13">
        <v>110000</v>
      </c>
      <c r="J1233" s="13">
        <v>103000</v>
      </c>
      <c r="K1233" s="13">
        <f>IF(J1233&lt;'Mapa Oficinas'!$I$21,0,IF(J1233&gt;'Mapa Oficinas'!$I$20,0,1))</f>
        <v>1</v>
      </c>
      <c r="L1233" t="s">
        <v>23</v>
      </c>
      <c r="M1233" t="s">
        <v>23</v>
      </c>
      <c r="N1233" t="s">
        <v>7243</v>
      </c>
      <c r="O1233" t="s">
        <v>60</v>
      </c>
      <c r="P1233" t="s">
        <v>61</v>
      </c>
      <c r="Q1233">
        <v>2</v>
      </c>
      <c r="R1233" t="s">
        <v>110</v>
      </c>
      <c r="S1233" t="s">
        <v>79</v>
      </c>
      <c r="T1233" t="str">
        <f>VLOOKUP(S1233,'Mapa Oficinas'!$H$7:$I$16,2,FALSE)</f>
        <v>CB</v>
      </c>
      <c r="U1233" t="s">
        <v>29</v>
      </c>
      <c r="V1233" t="str">
        <f>VLOOKUP($R1233,'Mapa Oficinas'!$A$7:$C$46,2,FALSE)</f>
        <v>Zona Norte (GBA)</v>
      </c>
      <c r="W1233" t="str">
        <f>VLOOKUP($R1233,'Mapa Oficinas'!$A$7:$C$46,3,FALSE)</f>
        <v>Nordelta</v>
      </c>
    </row>
    <row r="1234" spans="1:23" x14ac:dyDescent="0.2">
      <c r="A1234" s="1">
        <v>45807</v>
      </c>
      <c r="B1234" s="20">
        <f t="shared" si="38"/>
        <v>2025</v>
      </c>
      <c r="C1234" s="20">
        <f t="shared" si="39"/>
        <v>5</v>
      </c>
      <c r="D1234" t="s">
        <v>2242</v>
      </c>
      <c r="E1234" s="49">
        <v>1</v>
      </c>
      <c r="F1234" t="s">
        <v>2243</v>
      </c>
      <c r="G1234" t="s">
        <v>21</v>
      </c>
      <c r="H1234" t="s">
        <v>37</v>
      </c>
      <c r="I1234" s="13">
        <v>109000</v>
      </c>
      <c r="J1234" s="13">
        <v>103000</v>
      </c>
      <c r="K1234" s="13">
        <f>IF(J1234&lt;'Mapa Oficinas'!$I$21,0,IF(J1234&gt;'Mapa Oficinas'!$I$20,0,1))</f>
        <v>1</v>
      </c>
      <c r="L1234" t="s">
        <v>23</v>
      </c>
      <c r="M1234" t="s">
        <v>23</v>
      </c>
      <c r="N1234" t="s">
        <v>2244</v>
      </c>
      <c r="O1234" t="s">
        <v>992</v>
      </c>
      <c r="P1234" t="s">
        <v>45</v>
      </c>
      <c r="Q1234">
        <v>2</v>
      </c>
      <c r="R1234" t="s">
        <v>67</v>
      </c>
      <c r="S1234" t="s">
        <v>28</v>
      </c>
      <c r="T1234" t="str">
        <f>VLOOKUP(S1234,'Mapa Oficinas'!$H$7:$I$16,2,FALSE)</f>
        <v>CB</v>
      </c>
      <c r="U1234" t="s">
        <v>29</v>
      </c>
      <c r="V1234" t="str">
        <f>VLOOKUP($R1234,'Mapa Oficinas'!$A$7:$C$46,2,FALSE)</f>
        <v>CABA</v>
      </c>
      <c r="W1234" t="str">
        <f>VLOOKUP($R1234,'Mapa Oficinas'!$A$7:$C$46,3,FALSE)</f>
        <v>Barrio Parque</v>
      </c>
    </row>
    <row r="1235" spans="1:23" x14ac:dyDescent="0.2">
      <c r="A1235" s="1">
        <v>45954</v>
      </c>
      <c r="B1235" s="20">
        <f t="shared" si="38"/>
        <v>2025</v>
      </c>
      <c r="C1235" s="20">
        <f t="shared" si="39"/>
        <v>10</v>
      </c>
      <c r="D1235" t="s">
        <v>4901</v>
      </c>
      <c r="E1235" s="49">
        <v>1</v>
      </c>
      <c r="F1235" t="s">
        <v>4902</v>
      </c>
      <c r="G1235" t="s">
        <v>21</v>
      </c>
      <c r="H1235" t="s">
        <v>37</v>
      </c>
      <c r="I1235" s="13">
        <v>105000</v>
      </c>
      <c r="J1235" s="13">
        <v>103000</v>
      </c>
      <c r="K1235" s="13">
        <f>IF(J1235&lt;'Mapa Oficinas'!$I$21,0,IF(J1235&gt;'Mapa Oficinas'!$I$20,0,1))</f>
        <v>1</v>
      </c>
      <c r="L1235" t="s">
        <v>23</v>
      </c>
      <c r="M1235" t="s">
        <v>23</v>
      </c>
      <c r="N1235" t="s">
        <v>4903</v>
      </c>
      <c r="O1235" t="s">
        <v>265</v>
      </c>
      <c r="P1235" t="s">
        <v>45</v>
      </c>
      <c r="Q1235">
        <v>2</v>
      </c>
      <c r="R1235" t="s">
        <v>670</v>
      </c>
      <c r="S1235" t="s">
        <v>28</v>
      </c>
      <c r="T1235" t="str">
        <f>VLOOKUP(S1235,'Mapa Oficinas'!$H$7:$I$16,2,FALSE)</f>
        <v>CB</v>
      </c>
      <c r="U1235" t="s">
        <v>29</v>
      </c>
      <c r="V1235" t="str">
        <f>VLOOKUP($R1235,'Mapa Oficinas'!$A$7:$C$46,2,FALSE)</f>
        <v>CABA</v>
      </c>
      <c r="W1235" t="str">
        <f>VLOOKUP($R1235,'Mapa Oficinas'!$A$7:$C$46,3,FALSE)</f>
        <v>Recoleta</v>
      </c>
    </row>
    <row r="1236" spans="1:23" x14ac:dyDescent="0.2">
      <c r="A1236" s="1">
        <v>45959</v>
      </c>
      <c r="B1236" s="20">
        <f t="shared" si="38"/>
        <v>2025</v>
      </c>
      <c r="C1236" s="20">
        <f t="shared" si="39"/>
        <v>10</v>
      </c>
      <c r="D1236" t="s">
        <v>4981</v>
      </c>
      <c r="E1236" s="49">
        <v>1</v>
      </c>
      <c r="F1236" t="s">
        <v>4982</v>
      </c>
      <c r="G1236" t="s">
        <v>21</v>
      </c>
      <c r="H1236" t="s">
        <v>37</v>
      </c>
      <c r="I1236" s="13">
        <v>108000</v>
      </c>
      <c r="J1236" s="13">
        <v>103000</v>
      </c>
      <c r="K1236" s="13">
        <f>IF(J1236&lt;'Mapa Oficinas'!$I$21,0,IF(J1236&gt;'Mapa Oficinas'!$I$20,0,1))</f>
        <v>1</v>
      </c>
      <c r="L1236" t="s">
        <v>23</v>
      </c>
      <c r="M1236" t="s">
        <v>23</v>
      </c>
      <c r="N1236" t="s">
        <v>2927</v>
      </c>
      <c r="O1236" t="s">
        <v>1196</v>
      </c>
      <c r="P1236" t="s">
        <v>45</v>
      </c>
      <c r="Q1236">
        <v>2</v>
      </c>
      <c r="R1236" t="s">
        <v>67</v>
      </c>
      <c r="S1236" t="s">
        <v>28</v>
      </c>
      <c r="T1236" t="str">
        <f>VLOOKUP(S1236,'Mapa Oficinas'!$H$7:$I$16,2,FALSE)</f>
        <v>CB</v>
      </c>
      <c r="U1236" t="s">
        <v>29</v>
      </c>
      <c r="V1236" t="str">
        <f>VLOOKUP($R1236,'Mapa Oficinas'!$A$7:$C$46,2,FALSE)</f>
        <v>CABA</v>
      </c>
      <c r="W1236" t="str">
        <f>VLOOKUP($R1236,'Mapa Oficinas'!$A$7:$C$46,3,FALSE)</f>
        <v>Barrio Parque</v>
      </c>
    </row>
    <row r="1237" spans="1:23" x14ac:dyDescent="0.2">
      <c r="A1237" s="1">
        <v>46108</v>
      </c>
      <c r="B1237" s="20">
        <f t="shared" si="38"/>
        <v>2026</v>
      </c>
      <c r="C1237" s="20">
        <f t="shared" si="39"/>
        <v>3</v>
      </c>
      <c r="D1237" t="s">
        <v>7474</v>
      </c>
      <c r="E1237" s="49">
        <v>1</v>
      </c>
      <c r="F1237" t="s">
        <v>7475</v>
      </c>
      <c r="G1237" t="s">
        <v>21</v>
      </c>
      <c r="H1237" t="s">
        <v>37</v>
      </c>
      <c r="I1237" s="13">
        <v>107000</v>
      </c>
      <c r="J1237" s="13">
        <v>103000</v>
      </c>
      <c r="K1237" s="13">
        <f>IF(J1237&lt;'Mapa Oficinas'!$I$21,0,IF(J1237&gt;'Mapa Oficinas'!$I$20,0,1))</f>
        <v>1</v>
      </c>
      <c r="L1237" t="s">
        <v>23</v>
      </c>
      <c r="M1237" t="s">
        <v>23</v>
      </c>
      <c r="N1237" t="s">
        <v>7476</v>
      </c>
      <c r="O1237" t="s">
        <v>976</v>
      </c>
      <c r="P1237" t="s">
        <v>45</v>
      </c>
      <c r="Q1237">
        <v>2</v>
      </c>
      <c r="R1237" t="s">
        <v>40</v>
      </c>
      <c r="S1237" t="s">
        <v>28</v>
      </c>
      <c r="T1237" t="str">
        <f>VLOOKUP(S1237,'Mapa Oficinas'!$H$7:$I$16,2,FALSE)</f>
        <v>CB</v>
      </c>
      <c r="U1237" t="s">
        <v>29</v>
      </c>
      <c r="V1237" t="str">
        <f>VLOOKUP($R1237,'Mapa Oficinas'!$A$7:$C$46,2,FALSE)</f>
        <v>CABA</v>
      </c>
      <c r="W1237" t="str">
        <f>VLOOKUP($R1237,'Mapa Oficinas'!$A$7:$C$46,3,FALSE)</f>
        <v>Núñez</v>
      </c>
    </row>
    <row r="1238" spans="1:23" x14ac:dyDescent="0.2">
      <c r="A1238" s="1">
        <v>45923</v>
      </c>
      <c r="B1238" s="20">
        <f t="shared" si="38"/>
        <v>2025</v>
      </c>
      <c r="C1238" s="20">
        <f t="shared" si="39"/>
        <v>9</v>
      </c>
      <c r="D1238" t="s">
        <v>4288</v>
      </c>
      <c r="E1238" s="49">
        <v>1</v>
      </c>
      <c r="F1238" t="s">
        <v>4289</v>
      </c>
      <c r="G1238" t="s">
        <v>21</v>
      </c>
      <c r="H1238" t="s">
        <v>37</v>
      </c>
      <c r="I1238" s="13">
        <v>103500</v>
      </c>
      <c r="J1238" s="13">
        <v>103500</v>
      </c>
      <c r="K1238" s="13">
        <f>IF(J1238&lt;'Mapa Oficinas'!$I$21,0,IF(J1238&gt;'Mapa Oficinas'!$I$20,0,1))</f>
        <v>1</v>
      </c>
      <c r="L1238" t="s">
        <v>23</v>
      </c>
      <c r="M1238" t="s">
        <v>23</v>
      </c>
      <c r="N1238" t="s">
        <v>4290</v>
      </c>
      <c r="P1238" t="s">
        <v>45</v>
      </c>
      <c r="Q1238">
        <v>1</v>
      </c>
      <c r="R1238" t="s">
        <v>103</v>
      </c>
      <c r="S1238" t="s">
        <v>47</v>
      </c>
      <c r="T1238" t="str">
        <f>VLOOKUP(S1238,'Mapa Oficinas'!$H$7:$I$16,2,FALSE)</f>
        <v>Otra Red Búsqueda</v>
      </c>
      <c r="U1238" t="s">
        <v>29</v>
      </c>
      <c r="V1238" t="str">
        <f>VLOOKUP($R1238,'Mapa Oficinas'!$A$7:$C$46,2,FALSE)</f>
        <v>Zona Sur (GBA)</v>
      </c>
      <c r="W1238" t="str">
        <f>VLOOKUP($R1238,'Mapa Oficinas'!$A$7:$C$46,3,FALSE)</f>
        <v>La Plata</v>
      </c>
    </row>
    <row r="1239" spans="1:23" x14ac:dyDescent="0.2">
      <c r="A1239" s="1">
        <v>45992</v>
      </c>
      <c r="B1239" s="20">
        <f t="shared" si="38"/>
        <v>2025</v>
      </c>
      <c r="C1239" s="20">
        <f t="shared" si="39"/>
        <v>12</v>
      </c>
      <c r="D1239" t="s">
        <v>5554</v>
      </c>
      <c r="E1239" s="49">
        <v>1</v>
      </c>
      <c r="F1239" t="s">
        <v>5555</v>
      </c>
      <c r="G1239" t="s">
        <v>21</v>
      </c>
      <c r="H1239" t="s">
        <v>37</v>
      </c>
      <c r="I1239" s="13">
        <v>0</v>
      </c>
      <c r="J1239" s="13">
        <v>104000</v>
      </c>
      <c r="K1239" s="13">
        <f>IF(J1239&lt;'Mapa Oficinas'!$I$21,0,IF(J1239&gt;'Mapa Oficinas'!$I$20,0,1))</f>
        <v>1</v>
      </c>
      <c r="L1239" t="s">
        <v>23</v>
      </c>
      <c r="M1239" t="s">
        <v>23</v>
      </c>
      <c r="O1239" t="s">
        <v>1646</v>
      </c>
      <c r="P1239" t="s">
        <v>34</v>
      </c>
      <c r="Q1239">
        <v>1</v>
      </c>
      <c r="R1239" t="s">
        <v>151</v>
      </c>
      <c r="S1239" t="s">
        <v>152</v>
      </c>
      <c r="T1239" t="str">
        <f>VLOOKUP(S1239,'Mapa Oficinas'!$H$7:$I$16,2,FALSE)</f>
        <v>Otra Red Captación</v>
      </c>
      <c r="U1239" t="s">
        <v>29</v>
      </c>
      <c r="V1239" t="str">
        <f>VLOOKUP($R1239,'Mapa Oficinas'!$A$7:$C$46,2,FALSE)</f>
        <v>Interior - Mendoza</v>
      </c>
      <c r="W1239" t="str">
        <f>VLOOKUP($R1239,'Mapa Oficinas'!$A$7:$C$46,3,FALSE)</f>
        <v>Capital Mendoza</v>
      </c>
    </row>
    <row r="1240" spans="1:23" x14ac:dyDescent="0.2">
      <c r="A1240" s="1">
        <v>45663</v>
      </c>
      <c r="B1240" s="20">
        <f t="shared" si="38"/>
        <v>2025</v>
      </c>
      <c r="C1240" s="20">
        <f t="shared" si="39"/>
        <v>1</v>
      </c>
      <c r="D1240" t="s">
        <v>95</v>
      </c>
      <c r="E1240" s="49">
        <v>1</v>
      </c>
      <c r="F1240" t="s">
        <v>96</v>
      </c>
      <c r="G1240" t="s">
        <v>21</v>
      </c>
      <c r="H1240" t="s">
        <v>97</v>
      </c>
      <c r="I1240" s="13">
        <v>104158</v>
      </c>
      <c r="J1240" s="13">
        <v>104000</v>
      </c>
      <c r="K1240" s="13">
        <f>IF(J1240&lt;'Mapa Oficinas'!$I$21,0,IF(J1240&gt;'Mapa Oficinas'!$I$20,0,1))</f>
        <v>1</v>
      </c>
      <c r="L1240" t="s">
        <v>23</v>
      </c>
      <c r="M1240" t="s">
        <v>23</v>
      </c>
      <c r="N1240" t="s">
        <v>87</v>
      </c>
      <c r="O1240" t="s">
        <v>83</v>
      </c>
      <c r="P1240" t="s">
        <v>45</v>
      </c>
      <c r="Q1240">
        <v>2</v>
      </c>
      <c r="R1240" t="s">
        <v>84</v>
      </c>
      <c r="S1240" t="s">
        <v>79</v>
      </c>
      <c r="T1240" t="str">
        <f>VLOOKUP(S1240,'Mapa Oficinas'!$H$7:$I$16,2,FALSE)</f>
        <v>CB</v>
      </c>
      <c r="U1240" t="s">
        <v>29</v>
      </c>
      <c r="V1240" t="str">
        <f>VLOOKUP($R1240,'Mapa Oficinas'!$A$7:$C$46,2,FALSE)</f>
        <v>Interior - Neuquén</v>
      </c>
      <c r="W1240" t="str">
        <f>VLOOKUP($R1240,'Mapa Oficinas'!$A$7:$C$46,3,FALSE)</f>
        <v>Villa La Angostura</v>
      </c>
    </row>
    <row r="1241" spans="1:23" x14ac:dyDescent="0.2">
      <c r="A1241" s="1">
        <v>45768</v>
      </c>
      <c r="B1241" s="20">
        <f t="shared" si="38"/>
        <v>2025</v>
      </c>
      <c r="C1241" s="20">
        <f t="shared" si="39"/>
        <v>4</v>
      </c>
      <c r="E1241" s="49">
        <v>1</v>
      </c>
      <c r="F1241" t="s">
        <v>1505</v>
      </c>
      <c r="G1241" t="s">
        <v>21</v>
      </c>
      <c r="H1241" t="s">
        <v>81</v>
      </c>
      <c r="I1241" s="13">
        <v>104000</v>
      </c>
      <c r="J1241" s="13">
        <v>104000</v>
      </c>
      <c r="K1241" s="13">
        <f>IF(J1241&lt;'Mapa Oficinas'!$I$21,0,IF(J1241&gt;'Mapa Oficinas'!$I$20,0,1))</f>
        <v>1</v>
      </c>
      <c r="L1241" t="s">
        <v>23</v>
      </c>
      <c r="M1241" t="s">
        <v>23</v>
      </c>
      <c r="N1241" t="s">
        <v>1506</v>
      </c>
      <c r="O1241" t="s">
        <v>1507</v>
      </c>
      <c r="P1241" t="s">
        <v>45</v>
      </c>
      <c r="Q1241">
        <v>2</v>
      </c>
      <c r="R1241" t="s">
        <v>84</v>
      </c>
      <c r="S1241" t="s">
        <v>79</v>
      </c>
      <c r="T1241" t="str">
        <f>VLOOKUP(S1241,'Mapa Oficinas'!$H$7:$I$16,2,FALSE)</f>
        <v>CB</v>
      </c>
      <c r="U1241" t="s">
        <v>29</v>
      </c>
      <c r="V1241" t="str">
        <f>VLOOKUP($R1241,'Mapa Oficinas'!$A$7:$C$46,2,FALSE)</f>
        <v>Interior - Neuquén</v>
      </c>
      <c r="W1241" t="str">
        <f>VLOOKUP($R1241,'Mapa Oficinas'!$A$7:$C$46,3,FALSE)</f>
        <v>Villa La Angostura</v>
      </c>
    </row>
    <row r="1242" spans="1:23" x14ac:dyDescent="0.2">
      <c r="A1242" s="1">
        <v>46038</v>
      </c>
      <c r="B1242" s="20">
        <f t="shared" si="38"/>
        <v>2026</v>
      </c>
      <c r="C1242" s="20">
        <f t="shared" si="39"/>
        <v>1</v>
      </c>
      <c r="D1242" t="s">
        <v>6284</v>
      </c>
      <c r="E1242" s="49">
        <v>1</v>
      </c>
      <c r="F1242" t="s">
        <v>6285</v>
      </c>
      <c r="G1242" t="s">
        <v>21</v>
      </c>
      <c r="H1242" t="s">
        <v>37</v>
      </c>
      <c r="I1242" s="13">
        <v>116000</v>
      </c>
      <c r="J1242" s="13">
        <v>104000</v>
      </c>
      <c r="K1242" s="13">
        <f>IF(J1242&lt;'Mapa Oficinas'!$I$21,0,IF(J1242&gt;'Mapa Oficinas'!$I$20,0,1))</f>
        <v>1</v>
      </c>
      <c r="L1242" t="s">
        <v>23</v>
      </c>
      <c r="M1242" t="s">
        <v>23</v>
      </c>
      <c r="N1242" t="s">
        <v>6286</v>
      </c>
      <c r="O1242" t="s">
        <v>6287</v>
      </c>
      <c r="P1242" t="s">
        <v>45</v>
      </c>
      <c r="Q1242">
        <v>2</v>
      </c>
      <c r="R1242" t="s">
        <v>1024</v>
      </c>
      <c r="S1242" t="s">
        <v>79</v>
      </c>
      <c r="T1242" t="str">
        <f>VLOOKUP(S1242,'Mapa Oficinas'!$H$7:$I$16,2,FALSE)</f>
        <v>CB</v>
      </c>
      <c r="U1242" t="s">
        <v>29</v>
      </c>
      <c r="V1242" t="str">
        <f>VLOOKUP($R1242,'Mapa Oficinas'!$A$7:$C$46,2,FALSE)</f>
        <v>CABA</v>
      </c>
      <c r="W1242" t="str">
        <f>VLOOKUP($R1242,'Mapa Oficinas'!$A$7:$C$46,3,FALSE)</f>
        <v>Puerto Madero</v>
      </c>
    </row>
    <row r="1243" spans="1:23" x14ac:dyDescent="0.2">
      <c r="A1243" s="1">
        <v>45736</v>
      </c>
      <c r="B1243" s="20">
        <f t="shared" si="38"/>
        <v>2025</v>
      </c>
      <c r="C1243" s="20">
        <f t="shared" si="39"/>
        <v>3</v>
      </c>
      <c r="D1243" t="s">
        <v>1021</v>
      </c>
      <c r="E1243" s="49">
        <v>1</v>
      </c>
      <c r="F1243" t="s">
        <v>1022</v>
      </c>
      <c r="G1243" t="s">
        <v>21</v>
      </c>
      <c r="H1243" t="s">
        <v>100</v>
      </c>
      <c r="I1243" s="13">
        <v>109000</v>
      </c>
      <c r="J1243" s="13">
        <v>104000</v>
      </c>
      <c r="K1243" s="13">
        <f>IF(J1243&lt;'Mapa Oficinas'!$I$21,0,IF(J1243&gt;'Mapa Oficinas'!$I$20,0,1))</f>
        <v>1</v>
      </c>
      <c r="L1243" t="s">
        <v>23</v>
      </c>
      <c r="M1243" t="s">
        <v>23</v>
      </c>
      <c r="N1243" t="s">
        <v>1023</v>
      </c>
      <c r="O1243" t="s">
        <v>92</v>
      </c>
      <c r="P1243" t="s">
        <v>45</v>
      </c>
      <c r="Q1243">
        <v>2</v>
      </c>
      <c r="R1243" t="s">
        <v>1024</v>
      </c>
      <c r="S1243" t="s">
        <v>200</v>
      </c>
      <c r="T1243" t="str">
        <f>VLOOKUP(S1243,'Mapa Oficinas'!$H$7:$I$16,2,FALSE)</f>
        <v>Otra Red Captación</v>
      </c>
      <c r="U1243" t="s">
        <v>29</v>
      </c>
      <c r="V1243" t="str">
        <f>VLOOKUP($R1243,'Mapa Oficinas'!$A$7:$C$46,2,FALSE)</f>
        <v>CABA</v>
      </c>
      <c r="W1243" t="str">
        <f>VLOOKUP($R1243,'Mapa Oficinas'!$A$7:$C$46,3,FALSE)</f>
        <v>Puerto Madero</v>
      </c>
    </row>
    <row r="1244" spans="1:23" x14ac:dyDescent="0.2">
      <c r="A1244" s="1">
        <v>45901</v>
      </c>
      <c r="B1244" s="20">
        <f t="shared" si="38"/>
        <v>2025</v>
      </c>
      <c r="C1244" s="20">
        <f t="shared" si="39"/>
        <v>9</v>
      </c>
      <c r="D1244" t="s">
        <v>3941</v>
      </c>
      <c r="E1244" s="49">
        <v>1</v>
      </c>
      <c r="F1244" t="s">
        <v>3942</v>
      </c>
      <c r="G1244" t="s">
        <v>21</v>
      </c>
      <c r="H1244" t="s">
        <v>90</v>
      </c>
      <c r="I1244" s="13">
        <v>104500</v>
      </c>
      <c r="J1244" s="13">
        <v>104000</v>
      </c>
      <c r="K1244" s="13">
        <f>IF(J1244&lt;'Mapa Oficinas'!$I$21,0,IF(J1244&gt;'Mapa Oficinas'!$I$20,0,1))</f>
        <v>1</v>
      </c>
      <c r="L1244" t="s">
        <v>23</v>
      </c>
      <c r="M1244" t="s">
        <v>23</v>
      </c>
      <c r="N1244" t="s">
        <v>3943</v>
      </c>
      <c r="O1244" t="s">
        <v>1920</v>
      </c>
      <c r="P1244" t="s">
        <v>61</v>
      </c>
      <c r="Q1244">
        <v>2</v>
      </c>
      <c r="R1244" t="s">
        <v>372</v>
      </c>
      <c r="S1244" t="s">
        <v>200</v>
      </c>
      <c r="T1244" t="str">
        <f>VLOOKUP(S1244,'Mapa Oficinas'!$H$7:$I$16,2,FALSE)</f>
        <v>Otra Red Captación</v>
      </c>
      <c r="U1244" t="s">
        <v>29</v>
      </c>
      <c r="V1244" t="str">
        <f>VLOOKUP($R1244,'Mapa Oficinas'!$A$7:$C$46,2,FALSE)</f>
        <v>CABA</v>
      </c>
      <c r="W1244" t="str">
        <f>VLOOKUP($R1244,'Mapa Oficinas'!$A$7:$C$46,3,FALSE)</f>
        <v>Caballito</v>
      </c>
    </row>
    <row r="1245" spans="1:23" x14ac:dyDescent="0.2">
      <c r="A1245" s="1">
        <v>46076</v>
      </c>
      <c r="B1245" s="20">
        <f t="shared" si="38"/>
        <v>2026</v>
      </c>
      <c r="C1245" s="20">
        <f t="shared" si="39"/>
        <v>2</v>
      </c>
      <c r="D1245" t="s">
        <v>6809</v>
      </c>
      <c r="E1245" s="49">
        <v>1</v>
      </c>
      <c r="F1245" t="s">
        <v>668</v>
      </c>
      <c r="G1245" t="s">
        <v>21</v>
      </c>
      <c r="H1245" t="s">
        <v>37</v>
      </c>
      <c r="I1245" s="13">
        <v>108000</v>
      </c>
      <c r="J1245" s="13">
        <v>104000</v>
      </c>
      <c r="K1245" s="13">
        <f>IF(J1245&lt;'Mapa Oficinas'!$I$21,0,IF(J1245&gt;'Mapa Oficinas'!$I$20,0,1))</f>
        <v>1</v>
      </c>
      <c r="L1245" t="s">
        <v>23</v>
      </c>
      <c r="M1245" t="s">
        <v>23</v>
      </c>
      <c r="N1245" t="s">
        <v>6810</v>
      </c>
      <c r="O1245" t="s">
        <v>50</v>
      </c>
      <c r="P1245" t="s">
        <v>45</v>
      </c>
      <c r="Q1245">
        <v>2</v>
      </c>
      <c r="R1245" t="s">
        <v>135</v>
      </c>
      <c r="S1245" t="s">
        <v>200</v>
      </c>
      <c r="T1245" t="str">
        <f>VLOOKUP(S1245,'Mapa Oficinas'!$H$7:$I$16,2,FALSE)</f>
        <v>Otra Red Captación</v>
      </c>
      <c r="U1245" t="s">
        <v>29</v>
      </c>
      <c r="V1245" t="str">
        <f>VLOOKUP($R1245,'Mapa Oficinas'!$A$7:$C$46,2,FALSE)</f>
        <v>CABA</v>
      </c>
      <c r="W1245" t="str">
        <f>VLOOKUP($R1245,'Mapa Oficinas'!$A$7:$C$46,3,FALSE)</f>
        <v>Recoleta</v>
      </c>
    </row>
    <row r="1246" spans="1:23" x14ac:dyDescent="0.2">
      <c r="A1246" s="1">
        <v>45776</v>
      </c>
      <c r="B1246" s="20">
        <f t="shared" si="38"/>
        <v>2025</v>
      </c>
      <c r="C1246" s="20">
        <f t="shared" si="39"/>
        <v>4</v>
      </c>
      <c r="D1246" t="s">
        <v>1683</v>
      </c>
      <c r="E1246" s="49">
        <v>1</v>
      </c>
      <c r="F1246" t="s">
        <v>1684</v>
      </c>
      <c r="G1246" t="s">
        <v>21</v>
      </c>
      <c r="H1246" t="s">
        <v>119</v>
      </c>
      <c r="I1246" s="13">
        <v>123310</v>
      </c>
      <c r="J1246" s="13">
        <v>104000</v>
      </c>
      <c r="K1246" s="13">
        <f>IF(J1246&lt;'Mapa Oficinas'!$I$21,0,IF(J1246&gt;'Mapa Oficinas'!$I$20,0,1))</f>
        <v>1</v>
      </c>
      <c r="L1246" t="s">
        <v>23</v>
      </c>
      <c r="M1246" t="s">
        <v>23</v>
      </c>
      <c r="N1246" t="s">
        <v>87</v>
      </c>
      <c r="O1246" t="s">
        <v>83</v>
      </c>
      <c r="P1246" t="s">
        <v>45</v>
      </c>
      <c r="Q1246">
        <v>2</v>
      </c>
      <c r="R1246" t="s">
        <v>84</v>
      </c>
      <c r="S1246" t="s">
        <v>28</v>
      </c>
      <c r="T1246" t="str">
        <f>VLOOKUP(S1246,'Mapa Oficinas'!$H$7:$I$16,2,FALSE)</f>
        <v>CB</v>
      </c>
      <c r="U1246" t="s">
        <v>29</v>
      </c>
      <c r="V1246" t="str">
        <f>VLOOKUP($R1246,'Mapa Oficinas'!$A$7:$C$46,2,FALSE)</f>
        <v>Interior - Neuquén</v>
      </c>
      <c r="W1246" t="str">
        <f>VLOOKUP($R1246,'Mapa Oficinas'!$A$7:$C$46,3,FALSE)</f>
        <v>Villa La Angostura</v>
      </c>
    </row>
    <row r="1247" spans="1:23" x14ac:dyDescent="0.2">
      <c r="A1247" s="1">
        <v>45989</v>
      </c>
      <c r="B1247" s="20">
        <f t="shared" si="38"/>
        <v>2025</v>
      </c>
      <c r="C1247" s="20">
        <f t="shared" si="39"/>
        <v>11</v>
      </c>
      <c r="D1247" t="s">
        <v>5418</v>
      </c>
      <c r="E1247" s="49">
        <v>1</v>
      </c>
      <c r="F1247" t="s">
        <v>5419</v>
      </c>
      <c r="G1247" t="s">
        <v>21</v>
      </c>
      <c r="H1247" t="s">
        <v>37</v>
      </c>
      <c r="I1247" s="13">
        <v>108000</v>
      </c>
      <c r="J1247" s="13">
        <v>104000</v>
      </c>
      <c r="K1247" s="13">
        <f>IF(J1247&lt;'Mapa Oficinas'!$I$21,0,IF(J1247&gt;'Mapa Oficinas'!$I$20,0,1))</f>
        <v>1</v>
      </c>
      <c r="L1247" t="s">
        <v>23</v>
      </c>
      <c r="M1247" t="s">
        <v>23</v>
      </c>
      <c r="N1247" t="s">
        <v>5420</v>
      </c>
      <c r="O1247" t="s">
        <v>976</v>
      </c>
      <c r="P1247" t="s">
        <v>61</v>
      </c>
      <c r="Q1247">
        <v>2</v>
      </c>
      <c r="R1247" t="s">
        <v>67</v>
      </c>
      <c r="S1247" t="s">
        <v>28</v>
      </c>
      <c r="T1247" t="str">
        <f>VLOOKUP(S1247,'Mapa Oficinas'!$H$7:$I$16,2,FALSE)</f>
        <v>CB</v>
      </c>
      <c r="U1247" t="s">
        <v>29</v>
      </c>
      <c r="V1247" t="str">
        <f>VLOOKUP($R1247,'Mapa Oficinas'!$A$7:$C$46,2,FALSE)</f>
        <v>CABA</v>
      </c>
      <c r="W1247" t="str">
        <f>VLOOKUP($R1247,'Mapa Oficinas'!$A$7:$C$46,3,FALSE)</f>
        <v>Barrio Parque</v>
      </c>
    </row>
    <row r="1248" spans="1:23" x14ac:dyDescent="0.2">
      <c r="A1248" s="1">
        <v>46108</v>
      </c>
      <c r="B1248" s="20">
        <f t="shared" si="38"/>
        <v>2026</v>
      </c>
      <c r="C1248" s="20">
        <f t="shared" si="39"/>
        <v>3</v>
      </c>
      <c r="D1248" t="s">
        <v>7477</v>
      </c>
      <c r="E1248" s="49">
        <v>1</v>
      </c>
      <c r="F1248" t="s">
        <v>7478</v>
      </c>
      <c r="G1248" t="s">
        <v>21</v>
      </c>
      <c r="H1248" t="s">
        <v>22</v>
      </c>
      <c r="I1248" s="13">
        <v>107000</v>
      </c>
      <c r="J1248" s="13">
        <v>104000</v>
      </c>
      <c r="K1248" s="13">
        <f>IF(J1248&lt;'Mapa Oficinas'!$I$21,0,IF(J1248&gt;'Mapa Oficinas'!$I$20,0,1))</f>
        <v>1</v>
      </c>
      <c r="L1248" t="s">
        <v>23</v>
      </c>
      <c r="M1248" t="s">
        <v>23</v>
      </c>
      <c r="N1248" t="s">
        <v>7479</v>
      </c>
      <c r="O1248" t="s">
        <v>1737</v>
      </c>
      <c r="P1248" t="s">
        <v>61</v>
      </c>
      <c r="Q1248">
        <v>2</v>
      </c>
      <c r="R1248" t="s">
        <v>170</v>
      </c>
      <c r="S1248" t="s">
        <v>28</v>
      </c>
      <c r="T1248" t="str">
        <f>VLOOKUP(S1248,'Mapa Oficinas'!$H$7:$I$16,2,FALSE)</f>
        <v>CB</v>
      </c>
      <c r="U1248" t="s">
        <v>29</v>
      </c>
      <c r="V1248" t="str">
        <f>VLOOKUP($R1248,'Mapa Oficinas'!$A$7:$C$46,2,FALSE)</f>
        <v>CABA</v>
      </c>
      <c r="W1248" t="str">
        <f>VLOOKUP($R1248,'Mapa Oficinas'!$A$7:$C$46,3,FALSE)</f>
        <v>Belgrano</v>
      </c>
    </row>
    <row r="1249" spans="1:23" x14ac:dyDescent="0.2">
      <c r="A1249" s="1">
        <v>45841</v>
      </c>
      <c r="B1249" s="20">
        <f t="shared" si="38"/>
        <v>2025</v>
      </c>
      <c r="C1249" s="20">
        <f t="shared" si="39"/>
        <v>7</v>
      </c>
      <c r="D1249" t="s">
        <v>2853</v>
      </c>
      <c r="E1249" s="49">
        <v>1</v>
      </c>
      <c r="F1249" t="s">
        <v>2854</v>
      </c>
      <c r="G1249" t="s">
        <v>21</v>
      </c>
      <c r="H1249" t="s">
        <v>22</v>
      </c>
      <c r="I1249" s="13">
        <v>110000</v>
      </c>
      <c r="J1249" s="13">
        <v>104280</v>
      </c>
      <c r="K1249" s="13">
        <f>IF(J1249&lt;'Mapa Oficinas'!$I$21,0,IF(J1249&gt;'Mapa Oficinas'!$I$20,0,1))</f>
        <v>1</v>
      </c>
      <c r="L1249" t="s">
        <v>23</v>
      </c>
      <c r="M1249" t="s">
        <v>23</v>
      </c>
      <c r="N1249" t="s">
        <v>2855</v>
      </c>
      <c r="O1249" t="s">
        <v>914</v>
      </c>
      <c r="P1249" t="s">
        <v>45</v>
      </c>
      <c r="Q1249">
        <v>2</v>
      </c>
      <c r="R1249" t="s">
        <v>62</v>
      </c>
      <c r="S1249" t="s">
        <v>28</v>
      </c>
      <c r="T1249" t="str">
        <f>VLOOKUP(S1249,'Mapa Oficinas'!$H$7:$I$16,2,FALSE)</f>
        <v>CB</v>
      </c>
      <c r="U1249" t="s">
        <v>29</v>
      </c>
      <c r="V1249" t="str">
        <f>VLOOKUP($R1249,'Mapa Oficinas'!$A$7:$C$46,2,FALSE)</f>
        <v>CABA</v>
      </c>
      <c r="W1249" t="str">
        <f>VLOOKUP($R1249,'Mapa Oficinas'!$A$7:$C$46,3,FALSE)</f>
        <v>Villa Urquiza</v>
      </c>
    </row>
    <row r="1250" spans="1:23" x14ac:dyDescent="0.2">
      <c r="A1250" s="1">
        <v>46028</v>
      </c>
      <c r="B1250" s="20">
        <f t="shared" si="38"/>
        <v>2026</v>
      </c>
      <c r="C1250" s="20">
        <f t="shared" si="39"/>
        <v>1</v>
      </c>
      <c r="D1250" t="s">
        <v>5201</v>
      </c>
      <c r="E1250" s="49">
        <v>1</v>
      </c>
      <c r="F1250" t="s">
        <v>5202</v>
      </c>
      <c r="G1250" t="s">
        <v>21</v>
      </c>
      <c r="H1250" t="s">
        <v>37</v>
      </c>
      <c r="I1250" s="13">
        <v>106000</v>
      </c>
      <c r="J1250" s="13">
        <v>104500</v>
      </c>
      <c r="K1250" s="13">
        <f>IF(J1250&lt;'Mapa Oficinas'!$I$21,0,IF(J1250&gt;'Mapa Oficinas'!$I$20,0,1))</f>
        <v>1</v>
      </c>
      <c r="L1250" t="s">
        <v>23</v>
      </c>
      <c r="M1250" t="s">
        <v>23</v>
      </c>
      <c r="N1250" t="s">
        <v>5203</v>
      </c>
      <c r="O1250" t="s">
        <v>178</v>
      </c>
      <c r="P1250" t="s">
        <v>45</v>
      </c>
      <c r="Q1250">
        <v>2</v>
      </c>
      <c r="R1250" t="s">
        <v>1605</v>
      </c>
      <c r="S1250" t="s">
        <v>200</v>
      </c>
      <c r="T1250" t="str">
        <f>VLOOKUP(S1250,'Mapa Oficinas'!$H$7:$I$16,2,FALSE)</f>
        <v>Otra Red Captación</v>
      </c>
      <c r="U1250" t="s">
        <v>29</v>
      </c>
      <c r="V1250" t="str">
        <f>VLOOKUP($R1250,'Mapa Oficinas'!$A$7:$C$46,2,FALSE)</f>
        <v>CABA</v>
      </c>
      <c r="W1250" t="str">
        <f>VLOOKUP($R1250,'Mapa Oficinas'!$A$7:$C$46,3,FALSE)</f>
        <v>Núñez</v>
      </c>
    </row>
    <row r="1251" spans="1:23" x14ac:dyDescent="0.2">
      <c r="A1251" s="1">
        <v>45890</v>
      </c>
      <c r="B1251" s="20">
        <f t="shared" si="38"/>
        <v>2025</v>
      </c>
      <c r="C1251" s="20">
        <f t="shared" si="39"/>
        <v>8</v>
      </c>
      <c r="D1251" t="s">
        <v>3697</v>
      </c>
      <c r="E1251" s="49">
        <v>1</v>
      </c>
      <c r="F1251" t="s">
        <v>3698</v>
      </c>
      <c r="G1251" t="s">
        <v>21</v>
      </c>
      <c r="H1251" t="s">
        <v>37</v>
      </c>
      <c r="I1251" s="13">
        <v>112900</v>
      </c>
      <c r="J1251" s="13">
        <v>104500</v>
      </c>
      <c r="K1251" s="13">
        <f>IF(J1251&lt;'Mapa Oficinas'!$I$21,0,IF(J1251&gt;'Mapa Oficinas'!$I$20,0,1))</f>
        <v>1</v>
      </c>
      <c r="L1251" t="s">
        <v>23</v>
      </c>
      <c r="M1251" t="s">
        <v>23</v>
      </c>
      <c r="N1251" t="s">
        <v>3699</v>
      </c>
      <c r="O1251" t="s">
        <v>2084</v>
      </c>
      <c r="P1251" t="s">
        <v>61</v>
      </c>
      <c r="Q1251">
        <v>2</v>
      </c>
      <c r="R1251" t="s">
        <v>56</v>
      </c>
      <c r="S1251" t="s">
        <v>28</v>
      </c>
      <c r="T1251" t="str">
        <f>VLOOKUP(S1251,'Mapa Oficinas'!$H$7:$I$16,2,FALSE)</f>
        <v>CB</v>
      </c>
      <c r="U1251" t="s">
        <v>29</v>
      </c>
      <c r="V1251" t="str">
        <f>VLOOKUP($R1251,'Mapa Oficinas'!$A$7:$C$46,2,FALSE)</f>
        <v>Zona Norte (GBA)</v>
      </c>
      <c r="W1251" t="str">
        <f>VLOOKUP($R1251,'Mapa Oficinas'!$A$7:$C$46,3,FALSE)</f>
        <v>Vicente López</v>
      </c>
    </row>
    <row r="1252" spans="1:23" x14ac:dyDescent="0.2">
      <c r="A1252" s="1">
        <v>45786</v>
      </c>
      <c r="B1252" s="20">
        <f t="shared" si="38"/>
        <v>2025</v>
      </c>
      <c r="C1252" s="20">
        <f t="shared" si="39"/>
        <v>5</v>
      </c>
      <c r="D1252" t="s">
        <v>1844</v>
      </c>
      <c r="E1252" s="49">
        <v>0</v>
      </c>
      <c r="F1252" t="s">
        <v>550</v>
      </c>
      <c r="G1252" t="s">
        <v>21</v>
      </c>
      <c r="H1252" t="s">
        <v>100</v>
      </c>
      <c r="I1252" s="13">
        <v>104544</v>
      </c>
      <c r="J1252" s="13">
        <v>104714</v>
      </c>
      <c r="K1252" s="13">
        <f>IF(J1252&lt;'Mapa Oficinas'!$I$21,0,IF(J1252&gt;'Mapa Oficinas'!$I$20,0,1))</f>
        <v>1</v>
      </c>
      <c r="L1252" t="s">
        <v>23</v>
      </c>
      <c r="M1252" t="s">
        <v>23</v>
      </c>
      <c r="N1252" t="s">
        <v>288</v>
      </c>
      <c r="O1252" t="s">
        <v>209</v>
      </c>
      <c r="P1252" t="s">
        <v>45</v>
      </c>
      <c r="Q1252">
        <v>2</v>
      </c>
      <c r="R1252" t="s">
        <v>121</v>
      </c>
      <c r="S1252" t="s">
        <v>79</v>
      </c>
      <c r="T1252" t="str">
        <f>VLOOKUP(S1252,'Mapa Oficinas'!$H$7:$I$16,2,FALSE)</f>
        <v>CB</v>
      </c>
      <c r="U1252" t="s">
        <v>29</v>
      </c>
      <c r="V1252" t="str">
        <f>VLOOKUP($R1252,'Mapa Oficinas'!$A$7:$C$46,2,FALSE)</f>
        <v>Interior - Río Negro</v>
      </c>
      <c r="W1252" t="str">
        <f>VLOOKUP($R1252,'Mapa Oficinas'!$A$7:$C$46,3,FALSE)</f>
        <v>Bariloche</v>
      </c>
    </row>
    <row r="1253" spans="1:23" x14ac:dyDescent="0.2">
      <c r="A1253" s="1">
        <v>45798</v>
      </c>
      <c r="B1253" s="20">
        <f t="shared" si="38"/>
        <v>2025</v>
      </c>
      <c r="C1253" s="20">
        <f t="shared" si="39"/>
        <v>5</v>
      </c>
      <c r="D1253" t="s">
        <v>549</v>
      </c>
      <c r="E1253" s="49">
        <v>0</v>
      </c>
      <c r="F1253" t="s">
        <v>550</v>
      </c>
      <c r="G1253" t="s">
        <v>21</v>
      </c>
      <c r="H1253" t="s">
        <v>100</v>
      </c>
      <c r="I1253" s="13">
        <v>92800</v>
      </c>
      <c r="J1253" s="13">
        <v>104763</v>
      </c>
      <c r="K1253" s="13">
        <f>IF(J1253&lt;'Mapa Oficinas'!$I$21,0,IF(J1253&gt;'Mapa Oficinas'!$I$20,0,1))</f>
        <v>1</v>
      </c>
      <c r="L1253" t="s">
        <v>23</v>
      </c>
      <c r="M1253" t="s">
        <v>23</v>
      </c>
      <c r="N1253" t="s">
        <v>288</v>
      </c>
      <c r="O1253" t="s">
        <v>209</v>
      </c>
      <c r="P1253" t="s">
        <v>45</v>
      </c>
      <c r="Q1253">
        <v>2</v>
      </c>
      <c r="R1253" t="s">
        <v>121</v>
      </c>
      <c r="S1253" t="s">
        <v>79</v>
      </c>
      <c r="T1253" t="str">
        <f>VLOOKUP(S1253,'Mapa Oficinas'!$H$7:$I$16,2,FALSE)</f>
        <v>CB</v>
      </c>
      <c r="U1253" t="s">
        <v>29</v>
      </c>
      <c r="V1253" t="str">
        <f>VLOOKUP($R1253,'Mapa Oficinas'!$A$7:$C$46,2,FALSE)</f>
        <v>Interior - Río Negro</v>
      </c>
      <c r="W1253" t="str">
        <f>VLOOKUP($R1253,'Mapa Oficinas'!$A$7:$C$46,3,FALSE)</f>
        <v>Bariloche</v>
      </c>
    </row>
    <row r="1254" spans="1:23" x14ac:dyDescent="0.2">
      <c r="A1254" s="1">
        <v>45827</v>
      </c>
      <c r="B1254" s="20">
        <f t="shared" si="38"/>
        <v>2025</v>
      </c>
      <c r="C1254" s="20">
        <f t="shared" si="39"/>
        <v>6</v>
      </c>
      <c r="D1254" t="s">
        <v>2569</v>
      </c>
      <c r="E1254" s="49">
        <v>1</v>
      </c>
      <c r="F1254" t="s">
        <v>2570</v>
      </c>
      <c r="G1254" t="s">
        <v>21</v>
      </c>
      <c r="H1254" t="s">
        <v>100</v>
      </c>
      <c r="I1254" s="13">
        <v>105000</v>
      </c>
      <c r="J1254" s="13">
        <v>105000</v>
      </c>
      <c r="K1254" s="13">
        <f>IF(J1254&lt;'Mapa Oficinas'!$I$21,0,IF(J1254&gt;'Mapa Oficinas'!$I$20,0,1))</f>
        <v>1</v>
      </c>
      <c r="L1254" t="s">
        <v>23</v>
      </c>
      <c r="M1254" t="s">
        <v>23</v>
      </c>
      <c r="O1254" t="s">
        <v>120</v>
      </c>
      <c r="P1254" t="s">
        <v>45</v>
      </c>
      <c r="Q1254">
        <v>1</v>
      </c>
      <c r="R1254" t="s">
        <v>121</v>
      </c>
      <c r="S1254" t="s">
        <v>122</v>
      </c>
      <c r="T1254" t="str">
        <f>VLOOKUP(S1254,'Mapa Oficinas'!$H$7:$I$16,2,FALSE)</f>
        <v>Otra Red Búsqueda</v>
      </c>
      <c r="U1254" t="s">
        <v>29</v>
      </c>
      <c r="V1254" t="str">
        <f>VLOOKUP($R1254,'Mapa Oficinas'!$A$7:$C$46,2,FALSE)</f>
        <v>Interior - Río Negro</v>
      </c>
      <c r="W1254" t="str">
        <f>VLOOKUP($R1254,'Mapa Oficinas'!$A$7:$C$46,3,FALSE)</f>
        <v>Bariloche</v>
      </c>
    </row>
    <row r="1255" spans="1:23" x14ac:dyDescent="0.2">
      <c r="A1255" s="1">
        <v>45874</v>
      </c>
      <c r="B1255" s="20">
        <f t="shared" si="38"/>
        <v>2025</v>
      </c>
      <c r="C1255" s="20">
        <f t="shared" si="39"/>
        <v>8</v>
      </c>
      <c r="D1255">
        <v>5082025</v>
      </c>
      <c r="E1255" s="49">
        <v>1</v>
      </c>
      <c r="F1255" t="s">
        <v>3427</v>
      </c>
      <c r="G1255" t="s">
        <v>21</v>
      </c>
      <c r="H1255" t="s">
        <v>100</v>
      </c>
      <c r="I1255" s="13">
        <v>105000</v>
      </c>
      <c r="J1255" s="13">
        <v>105000</v>
      </c>
      <c r="K1255" s="13">
        <f>IF(J1255&lt;'Mapa Oficinas'!$I$21,0,IF(J1255&gt;'Mapa Oficinas'!$I$20,0,1))</f>
        <v>1</v>
      </c>
      <c r="L1255" t="s">
        <v>23</v>
      </c>
      <c r="M1255" t="s">
        <v>23</v>
      </c>
      <c r="O1255" t="s">
        <v>120</v>
      </c>
      <c r="P1255" t="s">
        <v>45</v>
      </c>
      <c r="Q1255">
        <v>1</v>
      </c>
      <c r="R1255" t="s">
        <v>121</v>
      </c>
      <c r="S1255" t="s">
        <v>122</v>
      </c>
      <c r="T1255" t="str">
        <f>VLOOKUP(S1255,'Mapa Oficinas'!$H$7:$I$16,2,FALSE)</f>
        <v>Otra Red Búsqueda</v>
      </c>
      <c r="U1255" t="s">
        <v>29</v>
      </c>
      <c r="V1255" t="str">
        <f>VLOOKUP($R1255,'Mapa Oficinas'!$A$7:$C$46,2,FALSE)</f>
        <v>Interior - Río Negro</v>
      </c>
      <c r="W1255" t="str">
        <f>VLOOKUP($R1255,'Mapa Oficinas'!$A$7:$C$46,3,FALSE)</f>
        <v>Bariloche</v>
      </c>
    </row>
    <row r="1256" spans="1:23" x14ac:dyDescent="0.2">
      <c r="A1256" s="1">
        <v>46106</v>
      </c>
      <c r="B1256" s="20">
        <f t="shared" si="38"/>
        <v>2026</v>
      </c>
      <c r="C1256" s="20">
        <f t="shared" si="39"/>
        <v>3</v>
      </c>
      <c r="D1256" t="s">
        <v>7410</v>
      </c>
      <c r="E1256" s="49">
        <v>1</v>
      </c>
      <c r="F1256" t="s">
        <v>7411</v>
      </c>
      <c r="G1256" t="s">
        <v>21</v>
      </c>
      <c r="H1256" t="s">
        <v>37</v>
      </c>
      <c r="I1256" s="13">
        <v>110000</v>
      </c>
      <c r="J1256" s="13">
        <v>105000</v>
      </c>
      <c r="K1256" s="13">
        <f>IF(J1256&lt;'Mapa Oficinas'!$I$21,0,IF(J1256&gt;'Mapa Oficinas'!$I$20,0,1))</f>
        <v>1</v>
      </c>
      <c r="L1256" t="s">
        <v>23</v>
      </c>
      <c r="M1256" t="s">
        <v>23</v>
      </c>
      <c r="N1256" t="s">
        <v>7412</v>
      </c>
      <c r="O1256" t="s">
        <v>1417</v>
      </c>
      <c r="P1256" t="s">
        <v>34</v>
      </c>
      <c r="Q1256">
        <v>1</v>
      </c>
      <c r="R1256" t="s">
        <v>167</v>
      </c>
      <c r="S1256" t="s">
        <v>122</v>
      </c>
      <c r="T1256" t="str">
        <f>VLOOKUP(S1256,'Mapa Oficinas'!$H$7:$I$16,2,FALSE)</f>
        <v>Otra Red Búsqueda</v>
      </c>
      <c r="U1256" t="s">
        <v>29</v>
      </c>
      <c r="V1256" t="str">
        <f>VLOOKUP($R1256,'Mapa Oficinas'!$A$7:$C$46,2,FALSE)</f>
        <v>Interior - Santa Fe</v>
      </c>
      <c r="W1256" t="str">
        <f>VLOOKUP($R1256,'Mapa Oficinas'!$A$7:$C$46,3,FALSE)</f>
        <v>Capital Santa Fe</v>
      </c>
    </row>
    <row r="1257" spans="1:23" x14ac:dyDescent="0.2">
      <c r="A1257" s="1">
        <v>45667</v>
      </c>
      <c r="B1257" s="20">
        <f t="shared" si="38"/>
        <v>2025</v>
      </c>
      <c r="C1257" s="20">
        <f t="shared" si="39"/>
        <v>1</v>
      </c>
      <c r="D1257" t="s">
        <v>163</v>
      </c>
      <c r="E1257" s="49">
        <v>1</v>
      </c>
      <c r="F1257" t="s">
        <v>164</v>
      </c>
      <c r="G1257" t="s">
        <v>21</v>
      </c>
      <c r="H1257" t="s">
        <v>37</v>
      </c>
      <c r="I1257" s="13">
        <v>115000</v>
      </c>
      <c r="J1257" s="13">
        <v>105000</v>
      </c>
      <c r="K1257" s="13">
        <f>IF(J1257&lt;'Mapa Oficinas'!$I$21,0,IF(J1257&gt;'Mapa Oficinas'!$I$20,0,1))</f>
        <v>1</v>
      </c>
      <c r="L1257" t="s">
        <v>23</v>
      </c>
      <c r="M1257" t="s">
        <v>23</v>
      </c>
      <c r="N1257" t="s">
        <v>165</v>
      </c>
      <c r="O1257" t="s">
        <v>166</v>
      </c>
      <c r="P1257" t="s">
        <v>34</v>
      </c>
      <c r="Q1257">
        <v>1</v>
      </c>
      <c r="R1257" t="s">
        <v>167</v>
      </c>
      <c r="S1257" t="s">
        <v>152</v>
      </c>
      <c r="T1257" t="str">
        <f>VLOOKUP(S1257,'Mapa Oficinas'!$H$7:$I$16,2,FALSE)</f>
        <v>Otra Red Captación</v>
      </c>
      <c r="U1257" t="s">
        <v>29</v>
      </c>
      <c r="V1257" t="str">
        <f>VLOOKUP($R1257,'Mapa Oficinas'!$A$7:$C$46,2,FALSE)</f>
        <v>Interior - Santa Fe</v>
      </c>
      <c r="W1257" t="str">
        <f>VLOOKUP($R1257,'Mapa Oficinas'!$A$7:$C$46,3,FALSE)</f>
        <v>Capital Santa Fe</v>
      </c>
    </row>
    <row r="1258" spans="1:23" x14ac:dyDescent="0.2">
      <c r="A1258" s="1">
        <v>45826</v>
      </c>
      <c r="B1258" s="20">
        <f t="shared" si="38"/>
        <v>2025</v>
      </c>
      <c r="C1258" s="20">
        <f t="shared" si="39"/>
        <v>6</v>
      </c>
      <c r="D1258" t="s">
        <v>2545</v>
      </c>
      <c r="E1258" s="49">
        <v>1</v>
      </c>
      <c r="F1258" t="s">
        <v>2546</v>
      </c>
      <c r="G1258" t="s">
        <v>21</v>
      </c>
      <c r="H1258" t="s">
        <v>70</v>
      </c>
      <c r="I1258" s="13">
        <v>105000</v>
      </c>
      <c r="J1258" s="13">
        <v>105000</v>
      </c>
      <c r="K1258" s="13">
        <f>IF(J1258&lt;'Mapa Oficinas'!$I$21,0,IF(J1258&gt;'Mapa Oficinas'!$I$20,0,1))</f>
        <v>1</v>
      </c>
      <c r="L1258" t="s">
        <v>23</v>
      </c>
      <c r="M1258" t="s">
        <v>23</v>
      </c>
      <c r="N1258" t="s">
        <v>2547</v>
      </c>
      <c r="O1258" t="s">
        <v>282</v>
      </c>
      <c r="P1258" t="s">
        <v>45</v>
      </c>
      <c r="Q1258">
        <v>1</v>
      </c>
      <c r="R1258" t="s">
        <v>73</v>
      </c>
      <c r="S1258" t="s">
        <v>152</v>
      </c>
      <c r="T1258" t="str">
        <f>VLOOKUP(S1258,'Mapa Oficinas'!$H$7:$I$16,2,FALSE)</f>
        <v>Otra Red Captación</v>
      </c>
      <c r="U1258" t="s">
        <v>29</v>
      </c>
      <c r="V1258" t="str">
        <f>VLOOKUP($R1258,'Mapa Oficinas'!$A$7:$C$46,2,FALSE)</f>
        <v>Interior - Salta</v>
      </c>
      <c r="W1258" t="str">
        <f>VLOOKUP($R1258,'Mapa Oficinas'!$A$7:$C$46,3,FALSE)</f>
        <v>San Lorenzo Chico</v>
      </c>
    </row>
    <row r="1259" spans="1:23" x14ac:dyDescent="0.2">
      <c r="A1259" s="1">
        <v>45947</v>
      </c>
      <c r="B1259" s="20">
        <f t="shared" si="38"/>
        <v>2025</v>
      </c>
      <c r="C1259" s="20">
        <f t="shared" si="39"/>
        <v>10</v>
      </c>
      <c r="D1259" t="s">
        <v>4764</v>
      </c>
      <c r="E1259" s="49">
        <v>1</v>
      </c>
      <c r="F1259" t="s">
        <v>4765</v>
      </c>
      <c r="G1259" t="s">
        <v>21</v>
      </c>
      <c r="H1259" t="s">
        <v>37</v>
      </c>
      <c r="I1259" s="13">
        <v>113000</v>
      </c>
      <c r="J1259" s="13">
        <v>105000</v>
      </c>
      <c r="K1259" s="13">
        <f>IF(J1259&lt;'Mapa Oficinas'!$I$21,0,IF(J1259&gt;'Mapa Oficinas'!$I$20,0,1))</f>
        <v>1</v>
      </c>
      <c r="L1259" t="s">
        <v>23</v>
      </c>
      <c r="M1259" t="s">
        <v>23</v>
      </c>
      <c r="N1259" t="s">
        <v>4765</v>
      </c>
      <c r="O1259" t="s">
        <v>102</v>
      </c>
      <c r="P1259" t="s">
        <v>61</v>
      </c>
      <c r="Q1259">
        <v>1</v>
      </c>
      <c r="R1259" t="s">
        <v>103</v>
      </c>
      <c r="S1259" t="s">
        <v>152</v>
      </c>
      <c r="T1259" t="str">
        <f>VLOOKUP(S1259,'Mapa Oficinas'!$H$7:$I$16,2,FALSE)</f>
        <v>Otra Red Captación</v>
      </c>
      <c r="U1259" t="s">
        <v>29</v>
      </c>
      <c r="V1259" t="str">
        <f>VLOOKUP($R1259,'Mapa Oficinas'!$A$7:$C$46,2,FALSE)</f>
        <v>Zona Sur (GBA)</v>
      </c>
      <c r="W1259" t="str">
        <f>VLOOKUP($R1259,'Mapa Oficinas'!$A$7:$C$46,3,FALSE)</f>
        <v>La Plata</v>
      </c>
    </row>
    <row r="1260" spans="1:23" x14ac:dyDescent="0.2">
      <c r="A1260" s="1">
        <v>45669</v>
      </c>
      <c r="B1260" s="20">
        <f t="shared" si="38"/>
        <v>2025</v>
      </c>
      <c r="C1260" s="20">
        <f t="shared" si="39"/>
        <v>1</v>
      </c>
      <c r="D1260" t="s">
        <v>187</v>
      </c>
      <c r="E1260" s="49">
        <v>1</v>
      </c>
      <c r="F1260" t="s">
        <v>188</v>
      </c>
      <c r="G1260" t="s">
        <v>21</v>
      </c>
      <c r="H1260" t="s">
        <v>37</v>
      </c>
      <c r="I1260" s="13">
        <v>105000</v>
      </c>
      <c r="J1260" s="13">
        <v>105000</v>
      </c>
      <c r="K1260" s="13">
        <f>IF(J1260&lt;'Mapa Oficinas'!$I$21,0,IF(J1260&gt;'Mapa Oficinas'!$I$20,0,1))</f>
        <v>1</v>
      </c>
      <c r="L1260" t="s">
        <v>23</v>
      </c>
      <c r="M1260" t="s">
        <v>23</v>
      </c>
      <c r="N1260" t="s">
        <v>189</v>
      </c>
      <c r="O1260" t="s">
        <v>190</v>
      </c>
      <c r="P1260" t="s">
        <v>45</v>
      </c>
      <c r="Q1260">
        <v>2</v>
      </c>
      <c r="R1260" t="s">
        <v>110</v>
      </c>
      <c r="S1260" t="s">
        <v>79</v>
      </c>
      <c r="T1260" t="str">
        <f>VLOOKUP(S1260,'Mapa Oficinas'!$H$7:$I$16,2,FALSE)</f>
        <v>CB</v>
      </c>
      <c r="U1260" t="s">
        <v>29</v>
      </c>
      <c r="V1260" t="str">
        <f>VLOOKUP($R1260,'Mapa Oficinas'!$A$7:$C$46,2,FALSE)</f>
        <v>Zona Norte (GBA)</v>
      </c>
      <c r="W1260" t="str">
        <f>VLOOKUP($R1260,'Mapa Oficinas'!$A$7:$C$46,3,FALSE)</f>
        <v>Nordelta</v>
      </c>
    </row>
    <row r="1261" spans="1:23" x14ac:dyDescent="0.2">
      <c r="A1261" s="1">
        <v>45953</v>
      </c>
      <c r="B1261" s="20">
        <f t="shared" si="38"/>
        <v>2025</v>
      </c>
      <c r="C1261" s="20">
        <f t="shared" si="39"/>
        <v>10</v>
      </c>
      <c r="E1261" s="49">
        <v>1</v>
      </c>
      <c r="F1261" t="s">
        <v>4872</v>
      </c>
      <c r="G1261" t="s">
        <v>21</v>
      </c>
      <c r="H1261" t="s">
        <v>81</v>
      </c>
      <c r="I1261" s="13">
        <v>105000</v>
      </c>
      <c r="J1261" s="13">
        <v>105000</v>
      </c>
      <c r="K1261" s="13">
        <f>IF(J1261&lt;'Mapa Oficinas'!$I$21,0,IF(J1261&gt;'Mapa Oficinas'!$I$20,0,1))</f>
        <v>1</v>
      </c>
      <c r="L1261" t="s">
        <v>23</v>
      </c>
      <c r="M1261" t="s">
        <v>23</v>
      </c>
      <c r="N1261" t="s">
        <v>4873</v>
      </c>
      <c r="O1261" t="s">
        <v>1020</v>
      </c>
      <c r="P1261" t="s">
        <v>45</v>
      </c>
      <c r="Q1261">
        <v>2</v>
      </c>
      <c r="R1261" t="s">
        <v>84</v>
      </c>
      <c r="S1261" t="s">
        <v>79</v>
      </c>
      <c r="T1261" t="str">
        <f>VLOOKUP(S1261,'Mapa Oficinas'!$H$7:$I$16,2,FALSE)</f>
        <v>CB</v>
      </c>
      <c r="U1261" t="s">
        <v>29</v>
      </c>
      <c r="V1261" t="str">
        <f>VLOOKUP($R1261,'Mapa Oficinas'!$A$7:$C$46,2,FALSE)</f>
        <v>Interior - Neuquén</v>
      </c>
      <c r="W1261" t="str">
        <f>VLOOKUP($R1261,'Mapa Oficinas'!$A$7:$C$46,3,FALSE)</f>
        <v>Villa La Angostura</v>
      </c>
    </row>
    <row r="1262" spans="1:23" x14ac:dyDescent="0.2">
      <c r="A1262" s="1">
        <v>46065</v>
      </c>
      <c r="B1262" s="20">
        <f t="shared" si="38"/>
        <v>2026</v>
      </c>
      <c r="C1262" s="20">
        <f t="shared" si="39"/>
        <v>2</v>
      </c>
      <c r="D1262" t="s">
        <v>6671</v>
      </c>
      <c r="E1262" s="49">
        <v>1</v>
      </c>
      <c r="F1262" t="s">
        <v>6672</v>
      </c>
      <c r="G1262" t="s">
        <v>21</v>
      </c>
      <c r="H1262" t="s">
        <v>37</v>
      </c>
      <c r="I1262" s="13">
        <v>105000</v>
      </c>
      <c r="J1262" s="13">
        <v>105000</v>
      </c>
      <c r="K1262" s="13">
        <f>IF(J1262&lt;'Mapa Oficinas'!$I$21,0,IF(J1262&gt;'Mapa Oficinas'!$I$20,0,1))</f>
        <v>1</v>
      </c>
      <c r="L1262" t="s">
        <v>23</v>
      </c>
      <c r="M1262" t="s">
        <v>23</v>
      </c>
      <c r="N1262" t="s">
        <v>6673</v>
      </c>
      <c r="O1262" t="s">
        <v>436</v>
      </c>
      <c r="P1262" t="s">
        <v>45</v>
      </c>
      <c r="Q1262">
        <v>2</v>
      </c>
      <c r="R1262" t="s">
        <v>183</v>
      </c>
      <c r="S1262" t="s">
        <v>79</v>
      </c>
      <c r="T1262" t="str">
        <f>VLOOKUP(S1262,'Mapa Oficinas'!$H$7:$I$16,2,FALSE)</f>
        <v>CB</v>
      </c>
      <c r="U1262" t="s">
        <v>29</v>
      </c>
      <c r="V1262" t="str">
        <f>VLOOKUP($R1262,'Mapa Oficinas'!$A$7:$C$46,2,FALSE)</f>
        <v>Interior - Neuquén</v>
      </c>
      <c r="W1262" t="str">
        <f>VLOOKUP($R1262,'Mapa Oficinas'!$A$7:$C$46,3,FALSE)</f>
        <v>Capital Neuquén</v>
      </c>
    </row>
    <row r="1263" spans="1:23" x14ac:dyDescent="0.2">
      <c r="A1263" s="1">
        <v>45786</v>
      </c>
      <c r="B1263" s="20">
        <f t="shared" si="38"/>
        <v>2025</v>
      </c>
      <c r="C1263" s="20">
        <f t="shared" si="39"/>
        <v>5</v>
      </c>
      <c r="D1263">
        <v>10359</v>
      </c>
      <c r="E1263" s="49">
        <v>1</v>
      </c>
      <c r="F1263" t="s">
        <v>1845</v>
      </c>
      <c r="G1263" t="s">
        <v>21</v>
      </c>
      <c r="H1263" t="s">
        <v>37</v>
      </c>
      <c r="I1263" s="13">
        <v>0</v>
      </c>
      <c r="J1263" s="13">
        <v>105000</v>
      </c>
      <c r="K1263" s="13">
        <f>IF(J1263&lt;'Mapa Oficinas'!$I$21,0,IF(J1263&gt;'Mapa Oficinas'!$I$20,0,1))</f>
        <v>1</v>
      </c>
      <c r="L1263" t="s">
        <v>23</v>
      </c>
      <c r="M1263" t="s">
        <v>23</v>
      </c>
      <c r="O1263" t="s">
        <v>190</v>
      </c>
      <c r="P1263" t="s">
        <v>45</v>
      </c>
      <c r="Q1263">
        <v>1</v>
      </c>
      <c r="R1263" t="s">
        <v>67</v>
      </c>
      <c r="S1263" t="s">
        <v>47</v>
      </c>
      <c r="T1263" t="str">
        <f>VLOOKUP(S1263,'Mapa Oficinas'!$H$7:$I$16,2,FALSE)</f>
        <v>Otra Red Búsqueda</v>
      </c>
      <c r="U1263" t="s">
        <v>29</v>
      </c>
      <c r="V1263" t="str">
        <f>VLOOKUP($R1263,'Mapa Oficinas'!$A$7:$C$46,2,FALSE)</f>
        <v>CABA</v>
      </c>
      <c r="W1263" t="str">
        <f>VLOOKUP($R1263,'Mapa Oficinas'!$A$7:$C$46,3,FALSE)</f>
        <v>Barrio Parque</v>
      </c>
    </row>
    <row r="1264" spans="1:23" x14ac:dyDescent="0.2">
      <c r="A1264" s="1">
        <v>45924</v>
      </c>
      <c r="B1264" s="20">
        <f t="shared" si="38"/>
        <v>2025</v>
      </c>
      <c r="C1264" s="20">
        <f t="shared" si="39"/>
        <v>9</v>
      </c>
      <c r="E1264" s="49">
        <v>1</v>
      </c>
      <c r="F1264" t="s">
        <v>4315</v>
      </c>
      <c r="G1264" t="s">
        <v>21</v>
      </c>
      <c r="H1264" t="s">
        <v>37</v>
      </c>
      <c r="I1264" s="13">
        <v>105000</v>
      </c>
      <c r="J1264" s="13">
        <v>105000</v>
      </c>
      <c r="K1264" s="13">
        <f>IF(J1264&lt;'Mapa Oficinas'!$I$21,0,IF(J1264&gt;'Mapa Oficinas'!$I$20,0,1))</f>
        <v>1</v>
      </c>
      <c r="L1264" t="s">
        <v>23</v>
      </c>
      <c r="M1264" t="s">
        <v>23</v>
      </c>
      <c r="N1264" t="s">
        <v>4316</v>
      </c>
      <c r="O1264" t="s">
        <v>2785</v>
      </c>
      <c r="P1264" t="s">
        <v>45</v>
      </c>
      <c r="Q1264">
        <v>1</v>
      </c>
      <c r="R1264" t="s">
        <v>135</v>
      </c>
      <c r="S1264" t="s">
        <v>47</v>
      </c>
      <c r="T1264" t="str">
        <f>VLOOKUP(S1264,'Mapa Oficinas'!$H$7:$I$16,2,FALSE)</f>
        <v>Otra Red Búsqueda</v>
      </c>
      <c r="U1264" t="s">
        <v>29</v>
      </c>
      <c r="V1264" t="str">
        <f>VLOOKUP($R1264,'Mapa Oficinas'!$A$7:$C$46,2,FALSE)</f>
        <v>CABA</v>
      </c>
      <c r="W1264" t="str">
        <f>VLOOKUP($R1264,'Mapa Oficinas'!$A$7:$C$46,3,FALSE)</f>
        <v>Recoleta</v>
      </c>
    </row>
    <row r="1265" spans="1:23" x14ac:dyDescent="0.2">
      <c r="A1265" s="1">
        <v>46000</v>
      </c>
      <c r="B1265" s="20">
        <f t="shared" si="38"/>
        <v>2025</v>
      </c>
      <c r="C1265" s="20">
        <f t="shared" si="39"/>
        <v>12</v>
      </c>
      <c r="E1265" s="49">
        <v>1</v>
      </c>
      <c r="F1265" t="s">
        <v>5680</v>
      </c>
      <c r="G1265" t="s">
        <v>21</v>
      </c>
      <c r="H1265" t="s">
        <v>37</v>
      </c>
      <c r="I1265" s="13">
        <v>115000</v>
      </c>
      <c r="J1265" s="13">
        <v>105000</v>
      </c>
      <c r="K1265" s="13">
        <f>IF(J1265&lt;'Mapa Oficinas'!$I$21,0,IF(J1265&gt;'Mapa Oficinas'!$I$20,0,1))</f>
        <v>1</v>
      </c>
      <c r="L1265" t="s">
        <v>23</v>
      </c>
      <c r="M1265" t="s">
        <v>23</v>
      </c>
      <c r="N1265" t="s">
        <v>5681</v>
      </c>
      <c r="O1265" t="s">
        <v>837</v>
      </c>
      <c r="P1265" t="s">
        <v>45</v>
      </c>
      <c r="Q1265">
        <v>1</v>
      </c>
      <c r="R1265" t="s">
        <v>4688</v>
      </c>
      <c r="S1265" t="s">
        <v>47</v>
      </c>
      <c r="T1265" t="str">
        <f>VLOOKUP(S1265,'Mapa Oficinas'!$H$7:$I$16,2,FALSE)</f>
        <v>Otra Red Búsqueda</v>
      </c>
      <c r="U1265" t="s">
        <v>29</v>
      </c>
      <c r="V1265" t="str">
        <f>VLOOKUP($R1265,'Mapa Oficinas'!$A$7:$C$46,2,FALSE)</f>
        <v>Zona Norte (GBA)</v>
      </c>
      <c r="W1265" t="str">
        <f>VLOOKUP($R1265,'Mapa Oficinas'!$A$7:$C$46,3,FALSE)</f>
        <v>San Isidro</v>
      </c>
    </row>
    <row r="1266" spans="1:23" x14ac:dyDescent="0.2">
      <c r="A1266" s="1">
        <v>46001</v>
      </c>
      <c r="B1266" s="20">
        <f t="shared" si="38"/>
        <v>2025</v>
      </c>
      <c r="C1266" s="20">
        <f t="shared" si="39"/>
        <v>12</v>
      </c>
      <c r="D1266" t="s">
        <v>5706</v>
      </c>
      <c r="E1266" s="49">
        <v>1</v>
      </c>
      <c r="F1266" t="s">
        <v>5706</v>
      </c>
      <c r="G1266" t="s">
        <v>21</v>
      </c>
      <c r="H1266" t="s">
        <v>22</v>
      </c>
      <c r="I1266" s="13">
        <v>43200</v>
      </c>
      <c r="J1266" s="13">
        <v>105000</v>
      </c>
      <c r="K1266" s="13">
        <f>IF(J1266&lt;'Mapa Oficinas'!$I$21,0,IF(J1266&gt;'Mapa Oficinas'!$I$20,0,1))</f>
        <v>1</v>
      </c>
      <c r="L1266" t="s">
        <v>23</v>
      </c>
      <c r="M1266" t="s">
        <v>23</v>
      </c>
      <c r="N1266" t="s">
        <v>5707</v>
      </c>
      <c r="O1266" t="s">
        <v>408</v>
      </c>
      <c r="P1266" t="s">
        <v>26</v>
      </c>
      <c r="Q1266">
        <v>1</v>
      </c>
      <c r="R1266" t="s">
        <v>110</v>
      </c>
      <c r="S1266" t="s">
        <v>47</v>
      </c>
      <c r="T1266" t="str">
        <f>VLOOKUP(S1266,'Mapa Oficinas'!$H$7:$I$16,2,FALSE)</f>
        <v>Otra Red Búsqueda</v>
      </c>
      <c r="U1266" t="s">
        <v>29</v>
      </c>
      <c r="V1266" t="str">
        <f>VLOOKUP($R1266,'Mapa Oficinas'!$A$7:$C$46,2,FALSE)</f>
        <v>Zona Norte (GBA)</v>
      </c>
      <c r="W1266" t="str">
        <f>VLOOKUP($R1266,'Mapa Oficinas'!$A$7:$C$46,3,FALSE)</f>
        <v>Nordelta</v>
      </c>
    </row>
    <row r="1267" spans="1:23" x14ac:dyDescent="0.2">
      <c r="A1267" s="1">
        <v>46076</v>
      </c>
      <c r="B1267" s="20">
        <f t="shared" si="38"/>
        <v>2026</v>
      </c>
      <c r="C1267" s="20">
        <f t="shared" si="39"/>
        <v>2</v>
      </c>
      <c r="D1267" t="s">
        <v>6813</v>
      </c>
      <c r="E1267" s="49">
        <v>1</v>
      </c>
      <c r="F1267" t="s">
        <v>6814</v>
      </c>
      <c r="G1267" t="s">
        <v>21</v>
      </c>
      <c r="H1267" t="s">
        <v>37</v>
      </c>
      <c r="I1267" s="13">
        <v>105000</v>
      </c>
      <c r="J1267" s="13">
        <v>105000</v>
      </c>
      <c r="K1267" s="13">
        <f>IF(J1267&lt;'Mapa Oficinas'!$I$21,0,IF(J1267&gt;'Mapa Oficinas'!$I$20,0,1))</f>
        <v>1</v>
      </c>
      <c r="L1267" t="s">
        <v>23</v>
      </c>
      <c r="M1267" t="s">
        <v>23</v>
      </c>
      <c r="N1267" t="s">
        <v>6814</v>
      </c>
      <c r="O1267" t="s">
        <v>66</v>
      </c>
      <c r="P1267" t="s">
        <v>45</v>
      </c>
      <c r="Q1267">
        <v>1</v>
      </c>
      <c r="R1267" t="s">
        <v>46</v>
      </c>
      <c r="S1267" t="s">
        <v>47</v>
      </c>
      <c r="T1267" t="str">
        <f>VLOOKUP(S1267,'Mapa Oficinas'!$H$7:$I$16,2,FALSE)</f>
        <v>Otra Red Búsqueda</v>
      </c>
      <c r="U1267" t="s">
        <v>29</v>
      </c>
      <c r="V1267" t="str">
        <f>VLOOKUP($R1267,'Mapa Oficinas'!$A$7:$C$46,2,FALSE)</f>
        <v>CABA</v>
      </c>
      <c r="W1267" t="str">
        <f>VLOOKUP($R1267,'Mapa Oficinas'!$A$7:$C$46,3,FALSE)</f>
        <v>Palermo</v>
      </c>
    </row>
    <row r="1268" spans="1:23" x14ac:dyDescent="0.2">
      <c r="A1268" s="1">
        <v>46083</v>
      </c>
      <c r="B1268" s="20">
        <f t="shared" si="38"/>
        <v>2026</v>
      </c>
      <c r="C1268" s="20">
        <f t="shared" si="39"/>
        <v>3</v>
      </c>
      <c r="D1268">
        <v>51</v>
      </c>
      <c r="E1268" s="49">
        <v>1</v>
      </c>
      <c r="F1268" t="s">
        <v>6941</v>
      </c>
      <c r="G1268" t="s">
        <v>21</v>
      </c>
      <c r="H1268" t="s">
        <v>37</v>
      </c>
      <c r="I1268" s="13">
        <v>105000</v>
      </c>
      <c r="J1268" s="13">
        <v>105000</v>
      </c>
      <c r="K1268" s="13">
        <f>IF(J1268&lt;'Mapa Oficinas'!$I$21,0,IF(J1268&gt;'Mapa Oficinas'!$I$20,0,1))</f>
        <v>1</v>
      </c>
      <c r="L1268" t="s">
        <v>23</v>
      </c>
      <c r="M1268" t="s">
        <v>23</v>
      </c>
      <c r="N1268" t="s">
        <v>6942</v>
      </c>
      <c r="O1268" t="s">
        <v>552</v>
      </c>
      <c r="P1268" t="s">
        <v>45</v>
      </c>
      <c r="Q1268">
        <v>1</v>
      </c>
      <c r="R1268" t="s">
        <v>1024</v>
      </c>
      <c r="S1268" t="s">
        <v>47</v>
      </c>
      <c r="T1268" t="str">
        <f>VLOOKUP(S1268,'Mapa Oficinas'!$H$7:$I$16,2,FALSE)</f>
        <v>Otra Red Búsqueda</v>
      </c>
      <c r="U1268" t="s">
        <v>29</v>
      </c>
      <c r="V1268" t="str">
        <f>VLOOKUP($R1268,'Mapa Oficinas'!$A$7:$C$46,2,FALSE)</f>
        <v>CABA</v>
      </c>
      <c r="W1268" t="str">
        <f>VLOOKUP($R1268,'Mapa Oficinas'!$A$7:$C$46,3,FALSE)</f>
        <v>Puerto Madero</v>
      </c>
    </row>
    <row r="1269" spans="1:23" x14ac:dyDescent="0.2">
      <c r="A1269" s="1">
        <v>45769</v>
      </c>
      <c r="B1269" s="20">
        <f t="shared" si="38"/>
        <v>2025</v>
      </c>
      <c r="C1269" s="20">
        <f t="shared" si="39"/>
        <v>4</v>
      </c>
      <c r="D1269" t="s">
        <v>1532</v>
      </c>
      <c r="E1269" s="49">
        <v>1</v>
      </c>
      <c r="F1269" t="s">
        <v>1533</v>
      </c>
      <c r="G1269" t="s">
        <v>21</v>
      </c>
      <c r="H1269" t="s">
        <v>37</v>
      </c>
      <c r="I1269" s="13">
        <v>110000</v>
      </c>
      <c r="J1269" s="13">
        <v>105000</v>
      </c>
      <c r="K1269" s="13">
        <f>IF(J1269&lt;'Mapa Oficinas'!$I$21,0,IF(J1269&gt;'Mapa Oficinas'!$I$20,0,1))</f>
        <v>1</v>
      </c>
      <c r="L1269" t="s">
        <v>23</v>
      </c>
      <c r="M1269" t="s">
        <v>23</v>
      </c>
      <c r="N1269" t="s">
        <v>1534</v>
      </c>
      <c r="O1269" t="s">
        <v>390</v>
      </c>
      <c r="P1269" t="s">
        <v>45</v>
      </c>
      <c r="Q1269">
        <v>2</v>
      </c>
      <c r="R1269" t="s">
        <v>40</v>
      </c>
      <c r="S1269" t="s">
        <v>200</v>
      </c>
      <c r="T1269" t="str">
        <f>VLOOKUP(S1269,'Mapa Oficinas'!$H$7:$I$16,2,FALSE)</f>
        <v>Otra Red Captación</v>
      </c>
      <c r="U1269" t="s">
        <v>29</v>
      </c>
      <c r="V1269" t="str">
        <f>VLOOKUP($R1269,'Mapa Oficinas'!$A$7:$C$46,2,FALSE)</f>
        <v>CABA</v>
      </c>
      <c r="W1269" t="str">
        <f>VLOOKUP($R1269,'Mapa Oficinas'!$A$7:$C$46,3,FALSE)</f>
        <v>Núñez</v>
      </c>
    </row>
    <row r="1270" spans="1:23" x14ac:dyDescent="0.2">
      <c r="A1270" s="1">
        <v>45800</v>
      </c>
      <c r="B1270" s="20">
        <f t="shared" si="38"/>
        <v>2025</v>
      </c>
      <c r="C1270" s="20">
        <f t="shared" si="39"/>
        <v>5</v>
      </c>
      <c r="D1270" t="s">
        <v>2119</v>
      </c>
      <c r="E1270" s="49">
        <v>1</v>
      </c>
      <c r="F1270" t="s">
        <v>2120</v>
      </c>
      <c r="G1270" t="s">
        <v>21</v>
      </c>
      <c r="H1270" t="s">
        <v>81</v>
      </c>
      <c r="I1270" s="13">
        <v>110000</v>
      </c>
      <c r="J1270" s="13">
        <v>105000</v>
      </c>
      <c r="K1270" s="13">
        <f>IF(J1270&lt;'Mapa Oficinas'!$I$21,0,IF(J1270&gt;'Mapa Oficinas'!$I$20,0,1))</f>
        <v>1</v>
      </c>
      <c r="L1270" t="s">
        <v>23</v>
      </c>
      <c r="M1270" t="s">
        <v>23</v>
      </c>
      <c r="N1270" t="s">
        <v>235</v>
      </c>
      <c r="O1270" t="s">
        <v>236</v>
      </c>
      <c r="P1270" t="s">
        <v>45</v>
      </c>
      <c r="Q1270">
        <v>2</v>
      </c>
      <c r="R1270" t="s">
        <v>67</v>
      </c>
      <c r="S1270" t="s">
        <v>200</v>
      </c>
      <c r="T1270" t="str">
        <f>VLOOKUP(S1270,'Mapa Oficinas'!$H$7:$I$16,2,FALSE)</f>
        <v>Otra Red Captación</v>
      </c>
      <c r="U1270" t="s">
        <v>29</v>
      </c>
      <c r="V1270" t="str">
        <f>VLOOKUP($R1270,'Mapa Oficinas'!$A$7:$C$46,2,FALSE)</f>
        <v>CABA</v>
      </c>
      <c r="W1270" t="str">
        <f>VLOOKUP($R1270,'Mapa Oficinas'!$A$7:$C$46,3,FALSE)</f>
        <v>Barrio Parque</v>
      </c>
    </row>
    <row r="1271" spans="1:23" x14ac:dyDescent="0.2">
      <c r="A1271" s="1">
        <v>45832</v>
      </c>
      <c r="B1271" s="20">
        <f t="shared" si="38"/>
        <v>2025</v>
      </c>
      <c r="C1271" s="20">
        <f t="shared" si="39"/>
        <v>6</v>
      </c>
      <c r="D1271" t="s">
        <v>2605</v>
      </c>
      <c r="E1271" s="49">
        <v>1</v>
      </c>
      <c r="F1271" t="s">
        <v>2606</v>
      </c>
      <c r="G1271" t="s">
        <v>21</v>
      </c>
      <c r="H1271" t="s">
        <v>37</v>
      </c>
      <c r="I1271" s="13">
        <v>105000</v>
      </c>
      <c r="J1271" s="13">
        <v>105000</v>
      </c>
      <c r="K1271" s="13">
        <f>IF(J1271&lt;'Mapa Oficinas'!$I$21,0,IF(J1271&gt;'Mapa Oficinas'!$I$20,0,1))</f>
        <v>1</v>
      </c>
      <c r="L1271" t="s">
        <v>23</v>
      </c>
      <c r="M1271" t="s">
        <v>23</v>
      </c>
      <c r="N1271" t="s">
        <v>2607</v>
      </c>
      <c r="O1271" t="s">
        <v>2608</v>
      </c>
      <c r="P1271" t="s">
        <v>34</v>
      </c>
      <c r="Q1271">
        <v>2</v>
      </c>
      <c r="R1271" t="s">
        <v>103</v>
      </c>
      <c r="S1271" t="s">
        <v>200</v>
      </c>
      <c r="T1271" t="str">
        <f>VLOOKUP(S1271,'Mapa Oficinas'!$H$7:$I$16,2,FALSE)</f>
        <v>Otra Red Captación</v>
      </c>
      <c r="U1271" t="s">
        <v>29</v>
      </c>
      <c r="V1271" t="str">
        <f>VLOOKUP($R1271,'Mapa Oficinas'!$A$7:$C$46,2,FALSE)</f>
        <v>Zona Sur (GBA)</v>
      </c>
      <c r="W1271" t="str">
        <f>VLOOKUP($R1271,'Mapa Oficinas'!$A$7:$C$46,3,FALSE)</f>
        <v>La Plata</v>
      </c>
    </row>
    <row r="1272" spans="1:23" x14ac:dyDescent="0.2">
      <c r="A1272" s="1">
        <v>45926</v>
      </c>
      <c r="B1272" s="20">
        <f t="shared" si="38"/>
        <v>2025</v>
      </c>
      <c r="C1272" s="20">
        <f t="shared" si="39"/>
        <v>9</v>
      </c>
      <c r="D1272" t="s">
        <v>4381</v>
      </c>
      <c r="E1272" s="49">
        <v>1</v>
      </c>
      <c r="F1272" t="s">
        <v>4382</v>
      </c>
      <c r="G1272" t="s">
        <v>21</v>
      </c>
      <c r="H1272" t="s">
        <v>37</v>
      </c>
      <c r="I1272" s="13">
        <v>110000</v>
      </c>
      <c r="J1272" s="13">
        <v>105000</v>
      </c>
      <c r="K1272" s="13">
        <f>IF(J1272&lt;'Mapa Oficinas'!$I$21,0,IF(J1272&gt;'Mapa Oficinas'!$I$20,0,1))</f>
        <v>1</v>
      </c>
      <c r="L1272" t="s">
        <v>23</v>
      </c>
      <c r="M1272" t="s">
        <v>23</v>
      </c>
      <c r="N1272" t="s">
        <v>4383</v>
      </c>
      <c r="O1272" t="s">
        <v>178</v>
      </c>
      <c r="P1272" t="s">
        <v>45</v>
      </c>
      <c r="Q1272">
        <v>2</v>
      </c>
      <c r="R1272" t="s">
        <v>67</v>
      </c>
      <c r="S1272" t="s">
        <v>200</v>
      </c>
      <c r="T1272" t="str">
        <f>VLOOKUP(S1272,'Mapa Oficinas'!$H$7:$I$16,2,FALSE)</f>
        <v>Otra Red Captación</v>
      </c>
      <c r="U1272" t="s">
        <v>29</v>
      </c>
      <c r="V1272" t="str">
        <f>VLOOKUP($R1272,'Mapa Oficinas'!$A$7:$C$46,2,FALSE)</f>
        <v>CABA</v>
      </c>
      <c r="W1272" t="str">
        <f>VLOOKUP($R1272,'Mapa Oficinas'!$A$7:$C$46,3,FALSE)</f>
        <v>Barrio Parque</v>
      </c>
    </row>
    <row r="1273" spans="1:23" x14ac:dyDescent="0.2">
      <c r="A1273" s="1">
        <v>46076</v>
      </c>
      <c r="B1273" s="20">
        <f t="shared" si="38"/>
        <v>2026</v>
      </c>
      <c r="C1273" s="20">
        <f t="shared" si="39"/>
        <v>2</v>
      </c>
      <c r="D1273" t="s">
        <v>6811</v>
      </c>
      <c r="E1273" s="49">
        <v>1</v>
      </c>
      <c r="F1273" t="s">
        <v>6812</v>
      </c>
      <c r="G1273" t="s">
        <v>21</v>
      </c>
      <c r="H1273" t="s">
        <v>37</v>
      </c>
      <c r="I1273" s="13">
        <v>110000</v>
      </c>
      <c r="J1273" s="13">
        <v>105000</v>
      </c>
      <c r="K1273" s="13">
        <f>IF(J1273&lt;'Mapa Oficinas'!$I$21,0,IF(J1273&gt;'Mapa Oficinas'!$I$20,0,1))</f>
        <v>1</v>
      </c>
      <c r="L1273" t="s">
        <v>23</v>
      </c>
      <c r="M1273" t="s">
        <v>23</v>
      </c>
      <c r="N1273" t="s">
        <v>2428</v>
      </c>
      <c r="O1273" t="s">
        <v>2194</v>
      </c>
      <c r="P1273" t="s">
        <v>45</v>
      </c>
      <c r="Q1273">
        <v>2</v>
      </c>
      <c r="R1273" t="s">
        <v>67</v>
      </c>
      <c r="S1273" t="s">
        <v>200</v>
      </c>
      <c r="T1273" t="str">
        <f>VLOOKUP(S1273,'Mapa Oficinas'!$H$7:$I$16,2,FALSE)</f>
        <v>Otra Red Captación</v>
      </c>
      <c r="U1273" t="s">
        <v>29</v>
      </c>
      <c r="V1273" t="str">
        <f>VLOOKUP($R1273,'Mapa Oficinas'!$A$7:$C$46,2,FALSE)</f>
        <v>CABA</v>
      </c>
      <c r="W1273" t="str">
        <f>VLOOKUP($R1273,'Mapa Oficinas'!$A$7:$C$46,3,FALSE)</f>
        <v>Barrio Parque</v>
      </c>
    </row>
    <row r="1274" spans="1:23" x14ac:dyDescent="0.2">
      <c r="A1274" s="1">
        <v>45903</v>
      </c>
      <c r="B1274" s="20">
        <f t="shared" si="38"/>
        <v>2025</v>
      </c>
      <c r="C1274" s="20">
        <f t="shared" si="39"/>
        <v>9</v>
      </c>
      <c r="D1274">
        <v>10509</v>
      </c>
      <c r="E1274" s="49">
        <v>3</v>
      </c>
      <c r="F1274" t="s">
        <v>3964</v>
      </c>
      <c r="G1274" t="s">
        <v>21</v>
      </c>
      <c r="H1274" t="s">
        <v>37</v>
      </c>
      <c r="I1274" s="13">
        <v>0</v>
      </c>
      <c r="J1274" s="13">
        <v>105000</v>
      </c>
      <c r="K1274" s="13">
        <f>IF(J1274&lt;'Mapa Oficinas'!$I$21,0,IF(J1274&gt;'Mapa Oficinas'!$I$20,0,1))</f>
        <v>1</v>
      </c>
      <c r="L1274" t="s">
        <v>23</v>
      </c>
      <c r="M1274" t="s">
        <v>23</v>
      </c>
      <c r="O1274" t="s">
        <v>114</v>
      </c>
      <c r="P1274" t="s">
        <v>45</v>
      </c>
      <c r="Q1274">
        <v>2</v>
      </c>
      <c r="R1274" t="s">
        <v>67</v>
      </c>
      <c r="S1274" t="s">
        <v>241</v>
      </c>
      <c r="T1274" t="str">
        <f>VLOOKUP(S1274,'Mapa Oficinas'!$H$7:$I$16,2,FALSE)</f>
        <v>CB</v>
      </c>
      <c r="U1274" t="s">
        <v>29</v>
      </c>
      <c r="V1274" t="str">
        <f>VLOOKUP($R1274,'Mapa Oficinas'!$A$7:$C$46,2,FALSE)</f>
        <v>CABA</v>
      </c>
      <c r="W1274" t="str">
        <f>VLOOKUP($R1274,'Mapa Oficinas'!$A$7:$C$46,3,FALSE)</f>
        <v>Barrio Parque</v>
      </c>
    </row>
    <row r="1275" spans="1:23" x14ac:dyDescent="0.2">
      <c r="A1275" s="1">
        <v>45673</v>
      </c>
      <c r="B1275" s="20">
        <f t="shared" si="38"/>
        <v>2025</v>
      </c>
      <c r="C1275" s="20">
        <f t="shared" si="39"/>
        <v>1</v>
      </c>
      <c r="D1275" t="s">
        <v>258</v>
      </c>
      <c r="E1275" s="49">
        <v>1</v>
      </c>
      <c r="F1275" t="s">
        <v>259</v>
      </c>
      <c r="G1275" t="s">
        <v>21</v>
      </c>
      <c r="H1275" t="s">
        <v>90</v>
      </c>
      <c r="I1275" s="13">
        <v>114999</v>
      </c>
      <c r="J1275" s="13">
        <v>105000</v>
      </c>
      <c r="K1275" s="13">
        <f>IF(J1275&lt;'Mapa Oficinas'!$I$21,0,IF(J1275&gt;'Mapa Oficinas'!$I$20,0,1))</f>
        <v>1</v>
      </c>
      <c r="L1275" t="s">
        <v>23</v>
      </c>
      <c r="M1275" t="s">
        <v>23</v>
      </c>
      <c r="N1275" t="s">
        <v>260</v>
      </c>
      <c r="O1275" t="s">
        <v>261</v>
      </c>
      <c r="P1275" t="s">
        <v>45</v>
      </c>
      <c r="Q1275">
        <v>2</v>
      </c>
      <c r="R1275" t="s">
        <v>62</v>
      </c>
      <c r="S1275" t="s">
        <v>28</v>
      </c>
      <c r="T1275" t="str">
        <f>VLOOKUP(S1275,'Mapa Oficinas'!$H$7:$I$16,2,FALSE)</f>
        <v>CB</v>
      </c>
      <c r="U1275" t="s">
        <v>29</v>
      </c>
      <c r="V1275" t="str">
        <f>VLOOKUP($R1275,'Mapa Oficinas'!$A$7:$C$46,2,FALSE)</f>
        <v>CABA</v>
      </c>
      <c r="W1275" t="str">
        <f>VLOOKUP($R1275,'Mapa Oficinas'!$A$7:$C$46,3,FALSE)</f>
        <v>Villa Urquiza</v>
      </c>
    </row>
    <row r="1276" spans="1:23" x14ac:dyDescent="0.2">
      <c r="A1276" s="1">
        <v>45797</v>
      </c>
      <c r="B1276" s="20">
        <f t="shared" si="38"/>
        <v>2025</v>
      </c>
      <c r="C1276" s="20">
        <f t="shared" si="39"/>
        <v>5</v>
      </c>
      <c r="D1276" t="s">
        <v>2035</v>
      </c>
      <c r="E1276" s="49">
        <v>1</v>
      </c>
      <c r="F1276" t="s">
        <v>2036</v>
      </c>
      <c r="G1276" t="s">
        <v>21</v>
      </c>
      <c r="H1276" t="s">
        <v>90</v>
      </c>
      <c r="I1276" s="13">
        <v>119900</v>
      </c>
      <c r="J1276" s="13">
        <v>105000</v>
      </c>
      <c r="K1276" s="13">
        <f>IF(J1276&lt;'Mapa Oficinas'!$I$21,0,IF(J1276&gt;'Mapa Oficinas'!$I$20,0,1))</f>
        <v>1</v>
      </c>
      <c r="L1276" t="s">
        <v>23</v>
      </c>
      <c r="M1276" t="s">
        <v>23</v>
      </c>
      <c r="N1276" t="s">
        <v>2037</v>
      </c>
      <c r="O1276" t="s">
        <v>408</v>
      </c>
      <c r="P1276" t="s">
        <v>45</v>
      </c>
      <c r="Q1276">
        <v>2</v>
      </c>
      <c r="R1276" t="s">
        <v>62</v>
      </c>
      <c r="S1276" t="s">
        <v>28</v>
      </c>
      <c r="T1276" t="str">
        <f>VLOOKUP(S1276,'Mapa Oficinas'!$H$7:$I$16,2,FALSE)</f>
        <v>CB</v>
      </c>
      <c r="U1276" t="s">
        <v>29</v>
      </c>
      <c r="V1276" t="str">
        <f>VLOOKUP($R1276,'Mapa Oficinas'!$A$7:$C$46,2,FALSE)</f>
        <v>CABA</v>
      </c>
      <c r="W1276" t="str">
        <f>VLOOKUP($R1276,'Mapa Oficinas'!$A$7:$C$46,3,FALSE)</f>
        <v>Villa Urquiza</v>
      </c>
    </row>
    <row r="1277" spans="1:23" x14ac:dyDescent="0.2">
      <c r="A1277" s="1">
        <v>45811</v>
      </c>
      <c r="B1277" s="20">
        <f t="shared" si="38"/>
        <v>2025</v>
      </c>
      <c r="C1277" s="20">
        <f t="shared" si="39"/>
        <v>6</v>
      </c>
      <c r="D1277" t="s">
        <v>749</v>
      </c>
      <c r="E1277" s="49">
        <v>1</v>
      </c>
      <c r="F1277" t="s">
        <v>750</v>
      </c>
      <c r="G1277" t="s">
        <v>21</v>
      </c>
      <c r="H1277" t="s">
        <v>22</v>
      </c>
      <c r="I1277" s="13">
        <v>108000</v>
      </c>
      <c r="J1277" s="13">
        <v>105000</v>
      </c>
      <c r="K1277" s="13">
        <f>IF(J1277&lt;'Mapa Oficinas'!$I$21,0,IF(J1277&gt;'Mapa Oficinas'!$I$20,0,1))</f>
        <v>1</v>
      </c>
      <c r="L1277" t="s">
        <v>23</v>
      </c>
      <c r="M1277" t="s">
        <v>23</v>
      </c>
      <c r="N1277" t="s">
        <v>751</v>
      </c>
      <c r="O1277" t="s">
        <v>738</v>
      </c>
      <c r="P1277" t="s">
        <v>45</v>
      </c>
      <c r="Q1277">
        <v>2</v>
      </c>
      <c r="R1277" t="s">
        <v>670</v>
      </c>
      <c r="S1277" t="s">
        <v>28</v>
      </c>
      <c r="T1277" t="str">
        <f>VLOOKUP(S1277,'Mapa Oficinas'!$H$7:$I$16,2,FALSE)</f>
        <v>CB</v>
      </c>
      <c r="U1277" t="s">
        <v>29</v>
      </c>
      <c r="V1277" t="str">
        <f>VLOOKUP($R1277,'Mapa Oficinas'!$A$7:$C$46,2,FALSE)</f>
        <v>CABA</v>
      </c>
      <c r="W1277" t="str">
        <f>VLOOKUP($R1277,'Mapa Oficinas'!$A$7:$C$46,3,FALSE)</f>
        <v>Recoleta</v>
      </c>
    </row>
    <row r="1278" spans="1:23" x14ac:dyDescent="0.2">
      <c r="A1278" s="1">
        <v>45820</v>
      </c>
      <c r="B1278" s="20">
        <f t="shared" si="38"/>
        <v>2025</v>
      </c>
      <c r="C1278" s="20">
        <f t="shared" si="39"/>
        <v>6</v>
      </c>
      <c r="D1278" t="s">
        <v>2474</v>
      </c>
      <c r="E1278" s="49">
        <v>1</v>
      </c>
      <c r="F1278" t="s">
        <v>2475</v>
      </c>
      <c r="G1278" t="s">
        <v>21</v>
      </c>
      <c r="H1278" t="s">
        <v>37</v>
      </c>
      <c r="I1278" s="13">
        <v>105000</v>
      </c>
      <c r="J1278" s="13">
        <v>105000</v>
      </c>
      <c r="K1278" s="13">
        <f>IF(J1278&lt;'Mapa Oficinas'!$I$21,0,IF(J1278&gt;'Mapa Oficinas'!$I$20,0,1))</f>
        <v>1</v>
      </c>
      <c r="L1278" t="s">
        <v>23</v>
      </c>
      <c r="M1278" t="s">
        <v>23</v>
      </c>
      <c r="N1278" t="s">
        <v>2476</v>
      </c>
      <c r="O1278" t="s">
        <v>965</v>
      </c>
      <c r="P1278" t="s">
        <v>61</v>
      </c>
      <c r="Q1278">
        <v>2</v>
      </c>
      <c r="R1278" t="s">
        <v>372</v>
      </c>
      <c r="S1278" t="s">
        <v>28</v>
      </c>
      <c r="T1278" t="str">
        <f>VLOOKUP(S1278,'Mapa Oficinas'!$H$7:$I$16,2,FALSE)</f>
        <v>CB</v>
      </c>
      <c r="U1278" t="s">
        <v>29</v>
      </c>
      <c r="V1278" t="str">
        <f>VLOOKUP($R1278,'Mapa Oficinas'!$A$7:$C$46,2,FALSE)</f>
        <v>CABA</v>
      </c>
      <c r="W1278" t="str">
        <f>VLOOKUP($R1278,'Mapa Oficinas'!$A$7:$C$46,3,FALSE)</f>
        <v>Caballito</v>
      </c>
    </row>
    <row r="1279" spans="1:23" x14ac:dyDescent="0.2">
      <c r="A1279" s="1">
        <v>45854</v>
      </c>
      <c r="B1279" s="20">
        <f t="shared" si="38"/>
        <v>2025</v>
      </c>
      <c r="C1279" s="20">
        <f t="shared" si="39"/>
        <v>7</v>
      </c>
      <c r="D1279" t="s">
        <v>3072</v>
      </c>
      <c r="E1279" s="49">
        <v>1</v>
      </c>
      <c r="F1279" t="s">
        <v>3073</v>
      </c>
      <c r="G1279" t="s">
        <v>21</v>
      </c>
      <c r="H1279" t="s">
        <v>37</v>
      </c>
      <c r="I1279" s="13">
        <v>119000</v>
      </c>
      <c r="J1279" s="13">
        <v>105000</v>
      </c>
      <c r="K1279" s="13">
        <f>IF(J1279&lt;'Mapa Oficinas'!$I$21,0,IF(J1279&gt;'Mapa Oficinas'!$I$20,0,1))</f>
        <v>1</v>
      </c>
      <c r="L1279" t="s">
        <v>23</v>
      </c>
      <c r="M1279" t="s">
        <v>23</v>
      </c>
      <c r="N1279" t="s">
        <v>3074</v>
      </c>
      <c r="O1279" t="s">
        <v>265</v>
      </c>
      <c r="P1279" t="s">
        <v>45</v>
      </c>
      <c r="Q1279">
        <v>2</v>
      </c>
      <c r="R1279" t="s">
        <v>46</v>
      </c>
      <c r="S1279" t="s">
        <v>28</v>
      </c>
      <c r="T1279" t="str">
        <f>VLOOKUP(S1279,'Mapa Oficinas'!$H$7:$I$16,2,FALSE)</f>
        <v>CB</v>
      </c>
      <c r="U1279" t="s">
        <v>29</v>
      </c>
      <c r="V1279" t="str">
        <f>VLOOKUP($R1279,'Mapa Oficinas'!$A$7:$C$46,2,FALSE)</f>
        <v>CABA</v>
      </c>
      <c r="W1279" t="str">
        <f>VLOOKUP($R1279,'Mapa Oficinas'!$A$7:$C$46,3,FALSE)</f>
        <v>Palermo</v>
      </c>
    </row>
    <row r="1280" spans="1:23" x14ac:dyDescent="0.2">
      <c r="A1280" s="1">
        <v>45863</v>
      </c>
      <c r="B1280" s="20">
        <f t="shared" si="38"/>
        <v>2025</v>
      </c>
      <c r="C1280" s="20">
        <f t="shared" si="39"/>
        <v>7</v>
      </c>
      <c r="D1280" t="s">
        <v>3221</v>
      </c>
      <c r="E1280" s="49">
        <v>1</v>
      </c>
      <c r="F1280" t="s">
        <v>3222</v>
      </c>
      <c r="G1280" t="s">
        <v>21</v>
      </c>
      <c r="H1280" t="s">
        <v>37</v>
      </c>
      <c r="I1280" s="13">
        <v>105000</v>
      </c>
      <c r="J1280" s="13">
        <v>105000</v>
      </c>
      <c r="K1280" s="13">
        <f>IF(J1280&lt;'Mapa Oficinas'!$I$21,0,IF(J1280&gt;'Mapa Oficinas'!$I$20,0,1))</f>
        <v>1</v>
      </c>
      <c r="L1280" t="s">
        <v>23</v>
      </c>
      <c r="M1280" t="s">
        <v>23</v>
      </c>
      <c r="N1280" t="s">
        <v>3223</v>
      </c>
      <c r="O1280" t="s">
        <v>3224</v>
      </c>
      <c r="P1280" t="s">
        <v>14</v>
      </c>
      <c r="Q1280">
        <v>2</v>
      </c>
      <c r="R1280" t="s">
        <v>142</v>
      </c>
      <c r="S1280" t="s">
        <v>28</v>
      </c>
      <c r="T1280" t="str">
        <f>VLOOKUP(S1280,'Mapa Oficinas'!$H$7:$I$16,2,FALSE)</f>
        <v>CB</v>
      </c>
      <c r="U1280" t="s">
        <v>29</v>
      </c>
      <c r="V1280" t="str">
        <f>VLOOKUP($R1280,'Mapa Oficinas'!$A$7:$C$46,2,FALSE)</f>
        <v>CABA</v>
      </c>
      <c r="W1280" t="str">
        <f>VLOOKUP($R1280,'Mapa Oficinas'!$A$7:$C$46,3,FALSE)</f>
        <v>Palermo</v>
      </c>
    </row>
    <row r="1281" spans="1:23" x14ac:dyDescent="0.2">
      <c r="A1281" s="1">
        <v>45880</v>
      </c>
      <c r="B1281" s="20">
        <f t="shared" si="38"/>
        <v>2025</v>
      </c>
      <c r="C1281" s="20">
        <f t="shared" si="39"/>
        <v>8</v>
      </c>
      <c r="D1281" t="s">
        <v>3509</v>
      </c>
      <c r="E1281" s="49">
        <v>1</v>
      </c>
      <c r="F1281" t="s">
        <v>3509</v>
      </c>
      <c r="G1281" t="s">
        <v>21</v>
      </c>
      <c r="H1281" t="s">
        <v>22</v>
      </c>
      <c r="I1281" s="13">
        <v>210000</v>
      </c>
      <c r="J1281" s="13">
        <v>105000</v>
      </c>
      <c r="K1281" s="13">
        <f>IF(J1281&lt;'Mapa Oficinas'!$I$21,0,IF(J1281&gt;'Mapa Oficinas'!$I$20,0,1))</f>
        <v>1</v>
      </c>
      <c r="L1281" t="s">
        <v>23</v>
      </c>
      <c r="M1281" t="s">
        <v>23</v>
      </c>
      <c r="N1281" t="s">
        <v>3509</v>
      </c>
      <c r="O1281" t="s">
        <v>116</v>
      </c>
      <c r="P1281" t="s">
        <v>45</v>
      </c>
      <c r="Q1281">
        <v>2</v>
      </c>
      <c r="R1281" t="s">
        <v>62</v>
      </c>
      <c r="S1281" t="s">
        <v>28</v>
      </c>
      <c r="T1281" t="str">
        <f>VLOOKUP(S1281,'Mapa Oficinas'!$H$7:$I$16,2,FALSE)</f>
        <v>CB</v>
      </c>
      <c r="U1281" t="s">
        <v>29</v>
      </c>
      <c r="V1281" t="str">
        <f>VLOOKUP($R1281,'Mapa Oficinas'!$A$7:$C$46,2,FALSE)</f>
        <v>CABA</v>
      </c>
      <c r="W1281" t="str">
        <f>VLOOKUP($R1281,'Mapa Oficinas'!$A$7:$C$46,3,FALSE)</f>
        <v>Villa Urquiza</v>
      </c>
    </row>
    <row r="1282" spans="1:23" x14ac:dyDescent="0.2">
      <c r="A1282" s="1">
        <v>45888</v>
      </c>
      <c r="B1282" s="20">
        <f t="shared" ref="B1282:B1345" si="40">YEAR($A1282)</f>
        <v>2025</v>
      </c>
      <c r="C1282" s="20">
        <f t="shared" ref="C1282:C1345" si="41">MONTH($A1282)</f>
        <v>8</v>
      </c>
      <c r="D1282" t="s">
        <v>3632</v>
      </c>
      <c r="E1282" s="49">
        <v>1</v>
      </c>
      <c r="F1282" t="s">
        <v>3633</v>
      </c>
      <c r="G1282" t="s">
        <v>21</v>
      </c>
      <c r="H1282" t="s">
        <v>37</v>
      </c>
      <c r="I1282" s="13">
        <v>110000</v>
      </c>
      <c r="J1282" s="13">
        <v>105000</v>
      </c>
      <c r="K1282" s="13">
        <f>IF(J1282&lt;'Mapa Oficinas'!$I$21,0,IF(J1282&gt;'Mapa Oficinas'!$I$20,0,1))</f>
        <v>1</v>
      </c>
      <c r="L1282" t="s">
        <v>23</v>
      </c>
      <c r="M1282" t="s">
        <v>23</v>
      </c>
      <c r="N1282" t="s">
        <v>3634</v>
      </c>
      <c r="O1282" t="s">
        <v>66</v>
      </c>
      <c r="P1282" t="s">
        <v>45</v>
      </c>
      <c r="Q1282">
        <v>2</v>
      </c>
      <c r="R1282" t="s">
        <v>46</v>
      </c>
      <c r="S1282" t="s">
        <v>28</v>
      </c>
      <c r="T1282" t="str">
        <f>VLOOKUP(S1282,'Mapa Oficinas'!$H$7:$I$16,2,FALSE)</f>
        <v>CB</v>
      </c>
      <c r="U1282" t="s">
        <v>29</v>
      </c>
      <c r="V1282" t="str">
        <f>VLOOKUP($R1282,'Mapa Oficinas'!$A$7:$C$46,2,FALSE)</f>
        <v>CABA</v>
      </c>
      <c r="W1282" t="str">
        <f>VLOOKUP($R1282,'Mapa Oficinas'!$A$7:$C$46,3,FALSE)</f>
        <v>Palermo</v>
      </c>
    </row>
    <row r="1283" spans="1:23" x14ac:dyDescent="0.2">
      <c r="A1283" s="1">
        <v>45912</v>
      </c>
      <c r="B1283" s="20">
        <f t="shared" si="40"/>
        <v>2025</v>
      </c>
      <c r="C1283" s="20">
        <f t="shared" si="41"/>
        <v>9</v>
      </c>
      <c r="D1283" t="s">
        <v>4111</v>
      </c>
      <c r="E1283" s="49">
        <v>1</v>
      </c>
      <c r="F1283" t="s">
        <v>4112</v>
      </c>
      <c r="G1283" t="s">
        <v>21</v>
      </c>
      <c r="H1283" t="s">
        <v>37</v>
      </c>
      <c r="I1283" s="13">
        <v>105000</v>
      </c>
      <c r="J1283" s="13">
        <v>105000</v>
      </c>
      <c r="K1283" s="13">
        <f>IF(J1283&lt;'Mapa Oficinas'!$I$21,0,IF(J1283&gt;'Mapa Oficinas'!$I$20,0,1))</f>
        <v>1</v>
      </c>
      <c r="L1283" t="s">
        <v>23</v>
      </c>
      <c r="M1283" t="s">
        <v>23</v>
      </c>
      <c r="N1283" t="s">
        <v>4113</v>
      </c>
      <c r="O1283" t="s">
        <v>66</v>
      </c>
      <c r="P1283" t="s">
        <v>45</v>
      </c>
      <c r="Q1283">
        <v>2</v>
      </c>
      <c r="R1283" t="s">
        <v>670</v>
      </c>
      <c r="S1283" t="s">
        <v>28</v>
      </c>
      <c r="T1283" t="str">
        <f>VLOOKUP(S1283,'Mapa Oficinas'!$H$7:$I$16,2,FALSE)</f>
        <v>CB</v>
      </c>
      <c r="U1283" t="s">
        <v>29</v>
      </c>
      <c r="V1283" t="str">
        <f>VLOOKUP($R1283,'Mapa Oficinas'!$A$7:$C$46,2,FALSE)</f>
        <v>CABA</v>
      </c>
      <c r="W1283" t="str">
        <f>VLOOKUP($R1283,'Mapa Oficinas'!$A$7:$C$46,3,FALSE)</f>
        <v>Recoleta</v>
      </c>
    </row>
    <row r="1284" spans="1:23" x14ac:dyDescent="0.2">
      <c r="A1284" s="1">
        <v>45975</v>
      </c>
      <c r="B1284" s="20">
        <f t="shared" si="40"/>
        <v>2025</v>
      </c>
      <c r="C1284" s="20">
        <f t="shared" si="41"/>
        <v>11</v>
      </c>
      <c r="D1284" t="s">
        <v>5231</v>
      </c>
      <c r="E1284" s="49">
        <v>1</v>
      </c>
      <c r="F1284" t="s">
        <v>5232</v>
      </c>
      <c r="G1284" t="s">
        <v>21</v>
      </c>
      <c r="H1284" t="s">
        <v>37</v>
      </c>
      <c r="I1284" s="13">
        <v>110000</v>
      </c>
      <c r="J1284" s="13">
        <v>105000</v>
      </c>
      <c r="K1284" s="13">
        <f>IF(J1284&lt;'Mapa Oficinas'!$I$21,0,IF(J1284&gt;'Mapa Oficinas'!$I$20,0,1))</f>
        <v>1</v>
      </c>
      <c r="L1284" t="s">
        <v>23</v>
      </c>
      <c r="M1284" t="s">
        <v>23</v>
      </c>
      <c r="N1284" t="s">
        <v>5233</v>
      </c>
      <c r="O1284" t="s">
        <v>470</v>
      </c>
      <c r="P1284" t="s">
        <v>45</v>
      </c>
      <c r="Q1284">
        <v>2</v>
      </c>
      <c r="R1284" t="s">
        <v>523</v>
      </c>
      <c r="S1284" t="s">
        <v>28</v>
      </c>
      <c r="T1284" t="str">
        <f>VLOOKUP(S1284,'Mapa Oficinas'!$H$7:$I$16,2,FALSE)</f>
        <v>CB</v>
      </c>
      <c r="U1284" t="s">
        <v>29</v>
      </c>
      <c r="V1284" t="str">
        <f>VLOOKUP($R1284,'Mapa Oficinas'!$A$7:$C$46,2,FALSE)</f>
        <v>CABA</v>
      </c>
      <c r="W1284" t="str">
        <f>VLOOKUP($R1284,'Mapa Oficinas'!$A$7:$C$46,3,FALSE)</f>
        <v>Belgrano</v>
      </c>
    </row>
    <row r="1285" spans="1:23" x14ac:dyDescent="0.2">
      <c r="A1285" s="1">
        <v>45978</v>
      </c>
      <c r="B1285" s="20">
        <f t="shared" si="40"/>
        <v>2025</v>
      </c>
      <c r="C1285" s="20">
        <f t="shared" si="41"/>
        <v>11</v>
      </c>
      <c r="D1285" t="s">
        <v>5254</v>
      </c>
      <c r="E1285" s="49">
        <v>1</v>
      </c>
      <c r="F1285" t="s">
        <v>5255</v>
      </c>
      <c r="G1285" t="s">
        <v>21</v>
      </c>
      <c r="H1285" t="s">
        <v>37</v>
      </c>
      <c r="I1285" s="13">
        <v>115000</v>
      </c>
      <c r="J1285" s="13">
        <v>105000</v>
      </c>
      <c r="K1285" s="13">
        <f>IF(J1285&lt;'Mapa Oficinas'!$I$21,0,IF(J1285&gt;'Mapa Oficinas'!$I$20,0,1))</f>
        <v>1</v>
      </c>
      <c r="L1285" t="s">
        <v>23</v>
      </c>
      <c r="M1285" t="s">
        <v>23</v>
      </c>
      <c r="N1285" t="s">
        <v>5256</v>
      </c>
      <c r="O1285" t="s">
        <v>265</v>
      </c>
      <c r="P1285" t="s">
        <v>45</v>
      </c>
      <c r="Q1285">
        <v>2</v>
      </c>
      <c r="R1285" t="s">
        <v>46</v>
      </c>
      <c r="S1285" t="s">
        <v>28</v>
      </c>
      <c r="T1285" t="str">
        <f>VLOOKUP(S1285,'Mapa Oficinas'!$H$7:$I$16,2,FALSE)</f>
        <v>CB</v>
      </c>
      <c r="U1285" t="s">
        <v>29</v>
      </c>
      <c r="V1285" t="str">
        <f>VLOOKUP($R1285,'Mapa Oficinas'!$A$7:$C$46,2,FALSE)</f>
        <v>CABA</v>
      </c>
      <c r="W1285" t="str">
        <f>VLOOKUP($R1285,'Mapa Oficinas'!$A$7:$C$46,3,FALSE)</f>
        <v>Palermo</v>
      </c>
    </row>
    <row r="1286" spans="1:23" x14ac:dyDescent="0.2">
      <c r="A1286" s="1">
        <v>46069</v>
      </c>
      <c r="B1286" s="20">
        <f t="shared" si="40"/>
        <v>2026</v>
      </c>
      <c r="C1286" s="20">
        <f t="shared" si="41"/>
        <v>2</v>
      </c>
      <c r="D1286" t="s">
        <v>6727</v>
      </c>
      <c r="E1286" s="49">
        <v>1</v>
      </c>
      <c r="F1286" t="s">
        <v>6728</v>
      </c>
      <c r="G1286" t="s">
        <v>21</v>
      </c>
      <c r="H1286" t="s">
        <v>221</v>
      </c>
      <c r="I1286" s="13">
        <v>130000</v>
      </c>
      <c r="J1286" s="13">
        <v>105000</v>
      </c>
      <c r="K1286" s="13">
        <f>IF(J1286&lt;'Mapa Oficinas'!$I$21,0,IF(J1286&gt;'Mapa Oficinas'!$I$20,0,1))</f>
        <v>1</v>
      </c>
      <c r="L1286" t="s">
        <v>23</v>
      </c>
      <c r="M1286" t="s">
        <v>23</v>
      </c>
      <c r="N1286" t="s">
        <v>6729</v>
      </c>
      <c r="O1286" t="s">
        <v>1378</v>
      </c>
      <c r="P1286" t="s">
        <v>8587</v>
      </c>
      <c r="Q1286">
        <v>2</v>
      </c>
      <c r="R1286" t="s">
        <v>167</v>
      </c>
      <c r="S1286" t="s">
        <v>28</v>
      </c>
      <c r="T1286" t="str">
        <f>VLOOKUP(S1286,'Mapa Oficinas'!$H$7:$I$16,2,FALSE)</f>
        <v>CB</v>
      </c>
      <c r="U1286" t="s">
        <v>29</v>
      </c>
      <c r="V1286" t="str">
        <f>VLOOKUP($R1286,'Mapa Oficinas'!$A$7:$C$46,2,FALSE)</f>
        <v>Interior - Santa Fe</v>
      </c>
      <c r="W1286" t="str">
        <f>VLOOKUP($R1286,'Mapa Oficinas'!$A$7:$C$46,3,FALSE)</f>
        <v>Capital Santa Fe</v>
      </c>
    </row>
    <row r="1287" spans="1:23" x14ac:dyDescent="0.2">
      <c r="A1287" s="1">
        <v>46092</v>
      </c>
      <c r="B1287" s="20">
        <f t="shared" si="40"/>
        <v>2026</v>
      </c>
      <c r="C1287" s="20">
        <f t="shared" si="41"/>
        <v>3</v>
      </c>
      <c r="D1287" t="s">
        <v>7103</v>
      </c>
      <c r="E1287" s="49">
        <v>1</v>
      </c>
      <c r="F1287" t="s">
        <v>2780</v>
      </c>
      <c r="G1287" t="s">
        <v>21</v>
      </c>
      <c r="H1287" t="s">
        <v>22</v>
      </c>
      <c r="I1287" s="13">
        <v>105000</v>
      </c>
      <c r="J1287" s="13">
        <v>105000</v>
      </c>
      <c r="K1287" s="13">
        <f>IF(J1287&lt;'Mapa Oficinas'!$I$21,0,IF(J1287&gt;'Mapa Oficinas'!$I$20,0,1))</f>
        <v>1</v>
      </c>
      <c r="L1287" t="s">
        <v>23</v>
      </c>
      <c r="M1287" t="s">
        <v>23</v>
      </c>
      <c r="N1287" t="s">
        <v>7104</v>
      </c>
      <c r="O1287" t="s">
        <v>66</v>
      </c>
      <c r="P1287" t="s">
        <v>45</v>
      </c>
      <c r="Q1287">
        <v>2</v>
      </c>
      <c r="R1287" t="s">
        <v>110</v>
      </c>
      <c r="S1287" t="s">
        <v>28</v>
      </c>
      <c r="T1287" t="str">
        <f>VLOOKUP(S1287,'Mapa Oficinas'!$H$7:$I$16,2,FALSE)</f>
        <v>CB</v>
      </c>
      <c r="U1287" t="s">
        <v>29</v>
      </c>
      <c r="V1287" t="str">
        <f>VLOOKUP($R1287,'Mapa Oficinas'!$A$7:$C$46,2,FALSE)</f>
        <v>Zona Norte (GBA)</v>
      </c>
      <c r="W1287" t="str">
        <f>VLOOKUP($R1287,'Mapa Oficinas'!$A$7:$C$46,3,FALSE)</f>
        <v>Nordelta</v>
      </c>
    </row>
    <row r="1288" spans="1:23" x14ac:dyDescent="0.2">
      <c r="A1288" s="1">
        <v>46097</v>
      </c>
      <c r="B1288" s="20">
        <f t="shared" si="40"/>
        <v>2026</v>
      </c>
      <c r="C1288" s="20">
        <f t="shared" si="41"/>
        <v>3</v>
      </c>
      <c r="D1288" t="s">
        <v>7214</v>
      </c>
      <c r="E1288" s="49">
        <v>1</v>
      </c>
      <c r="F1288" t="s">
        <v>4493</v>
      </c>
      <c r="G1288" t="s">
        <v>21</v>
      </c>
      <c r="H1288" t="s">
        <v>863</v>
      </c>
      <c r="I1288" s="13">
        <v>115000</v>
      </c>
      <c r="J1288" s="13">
        <v>105000</v>
      </c>
      <c r="K1288" s="13">
        <f>IF(J1288&lt;'Mapa Oficinas'!$I$21,0,IF(J1288&gt;'Mapa Oficinas'!$I$20,0,1))</f>
        <v>1</v>
      </c>
      <c r="L1288" t="s">
        <v>23</v>
      </c>
      <c r="M1288" t="s">
        <v>23</v>
      </c>
      <c r="N1288" t="s">
        <v>7215</v>
      </c>
      <c r="O1288" t="s">
        <v>2852</v>
      </c>
      <c r="P1288" t="s">
        <v>34</v>
      </c>
      <c r="Q1288">
        <v>2</v>
      </c>
      <c r="R1288" t="s">
        <v>2003</v>
      </c>
      <c r="S1288" t="s">
        <v>28</v>
      </c>
      <c r="T1288" t="str">
        <f>VLOOKUP(S1288,'Mapa Oficinas'!$H$7:$I$16,2,FALSE)</f>
        <v>CB</v>
      </c>
      <c r="U1288" t="s">
        <v>29</v>
      </c>
      <c r="V1288" t="str">
        <f>VLOOKUP($R1288,'Mapa Oficinas'!$A$7:$C$46,2,FALSE)</f>
        <v>Interior - Mendoza</v>
      </c>
      <c r="W1288" t="str">
        <f>VLOOKUP($R1288,'Mapa Oficinas'!$A$7:$C$46,3,FALSE)</f>
        <v>San Rafael</v>
      </c>
    </row>
    <row r="1289" spans="1:23" x14ac:dyDescent="0.2">
      <c r="A1289" s="1">
        <v>46100</v>
      </c>
      <c r="B1289" s="20">
        <f t="shared" si="40"/>
        <v>2026</v>
      </c>
      <c r="C1289" s="20">
        <f t="shared" si="41"/>
        <v>3</v>
      </c>
      <c r="D1289" t="s">
        <v>7304</v>
      </c>
      <c r="E1289" s="49">
        <v>1</v>
      </c>
      <c r="F1289" t="s">
        <v>7305</v>
      </c>
      <c r="G1289" t="s">
        <v>21</v>
      </c>
      <c r="H1289" t="s">
        <v>37</v>
      </c>
      <c r="I1289" s="13">
        <v>110000</v>
      </c>
      <c r="J1289" s="13">
        <v>105000</v>
      </c>
      <c r="K1289" s="13">
        <f>IF(J1289&lt;'Mapa Oficinas'!$I$21,0,IF(J1289&gt;'Mapa Oficinas'!$I$20,0,1))</f>
        <v>1</v>
      </c>
      <c r="L1289" t="s">
        <v>23</v>
      </c>
      <c r="M1289" t="s">
        <v>23</v>
      </c>
      <c r="N1289" t="s">
        <v>7306</v>
      </c>
      <c r="O1289" t="s">
        <v>1354</v>
      </c>
      <c r="P1289" t="s">
        <v>45</v>
      </c>
      <c r="Q1289">
        <v>2</v>
      </c>
      <c r="R1289" t="s">
        <v>135</v>
      </c>
      <c r="S1289" t="s">
        <v>28</v>
      </c>
      <c r="T1289" t="str">
        <f>VLOOKUP(S1289,'Mapa Oficinas'!$H$7:$I$16,2,FALSE)</f>
        <v>CB</v>
      </c>
      <c r="U1289" t="s">
        <v>29</v>
      </c>
      <c r="V1289" t="str">
        <f>VLOOKUP($R1289,'Mapa Oficinas'!$A$7:$C$46,2,FALSE)</f>
        <v>CABA</v>
      </c>
      <c r="W1289" t="str">
        <f>VLOOKUP($R1289,'Mapa Oficinas'!$A$7:$C$46,3,FALSE)</f>
        <v>Recoleta</v>
      </c>
    </row>
    <row r="1290" spans="1:23" x14ac:dyDescent="0.2">
      <c r="A1290" s="1">
        <v>46112</v>
      </c>
      <c r="B1290" s="20">
        <f t="shared" si="40"/>
        <v>2026</v>
      </c>
      <c r="C1290" s="20">
        <f t="shared" si="41"/>
        <v>3</v>
      </c>
      <c r="D1290" t="s">
        <v>7568</v>
      </c>
      <c r="E1290" s="49">
        <v>1</v>
      </c>
      <c r="F1290" t="s">
        <v>7569</v>
      </c>
      <c r="G1290" t="s">
        <v>21</v>
      </c>
      <c r="H1290" t="s">
        <v>221</v>
      </c>
      <c r="I1290" s="13">
        <v>115000</v>
      </c>
      <c r="J1290" s="13">
        <v>105000</v>
      </c>
      <c r="K1290" s="13">
        <f>IF(J1290&lt;'Mapa Oficinas'!$I$21,0,IF(J1290&gt;'Mapa Oficinas'!$I$20,0,1))</f>
        <v>1</v>
      </c>
      <c r="L1290" t="s">
        <v>23</v>
      </c>
      <c r="M1290" t="s">
        <v>23</v>
      </c>
      <c r="N1290" t="s">
        <v>7570</v>
      </c>
      <c r="O1290" t="s">
        <v>7571</v>
      </c>
      <c r="P1290" t="s">
        <v>34</v>
      </c>
      <c r="Q1290">
        <v>2</v>
      </c>
      <c r="R1290" t="s">
        <v>167</v>
      </c>
      <c r="S1290" t="s">
        <v>28</v>
      </c>
      <c r="T1290" t="str">
        <f>VLOOKUP(S1290,'Mapa Oficinas'!$H$7:$I$16,2,FALSE)</f>
        <v>CB</v>
      </c>
      <c r="U1290" t="s">
        <v>29</v>
      </c>
      <c r="V1290" t="str">
        <f>VLOOKUP($R1290,'Mapa Oficinas'!$A$7:$C$46,2,FALSE)</f>
        <v>Interior - Santa Fe</v>
      </c>
      <c r="W1290" t="str">
        <f>VLOOKUP($R1290,'Mapa Oficinas'!$A$7:$C$46,3,FALSE)</f>
        <v>Capital Santa Fe</v>
      </c>
    </row>
    <row r="1291" spans="1:23" x14ac:dyDescent="0.2">
      <c r="A1291" s="1">
        <v>45930</v>
      </c>
      <c r="B1291" s="20">
        <f t="shared" si="40"/>
        <v>2025</v>
      </c>
      <c r="C1291" s="20">
        <f t="shared" si="41"/>
        <v>9</v>
      </c>
      <c r="D1291" t="s">
        <v>4423</v>
      </c>
      <c r="E1291" s="49">
        <v>1</v>
      </c>
      <c r="F1291" t="s">
        <v>4424</v>
      </c>
      <c r="G1291" t="s">
        <v>21</v>
      </c>
      <c r="H1291" t="s">
        <v>362</v>
      </c>
      <c r="I1291" s="13">
        <v>99000</v>
      </c>
      <c r="J1291" s="13">
        <v>106000</v>
      </c>
      <c r="K1291" s="13">
        <f>IF(J1291&lt;'Mapa Oficinas'!$I$21,0,IF(J1291&gt;'Mapa Oficinas'!$I$20,0,1))</f>
        <v>1</v>
      </c>
      <c r="L1291" t="s">
        <v>23</v>
      </c>
      <c r="M1291" t="s">
        <v>23</v>
      </c>
      <c r="N1291" t="s">
        <v>3550</v>
      </c>
      <c r="O1291" t="s">
        <v>209</v>
      </c>
      <c r="P1291" t="s">
        <v>45</v>
      </c>
      <c r="Q1291">
        <v>1</v>
      </c>
      <c r="R1291" t="s">
        <v>121</v>
      </c>
      <c r="S1291" t="s">
        <v>152</v>
      </c>
      <c r="T1291" t="str">
        <f>VLOOKUP(S1291,'Mapa Oficinas'!$H$7:$I$16,2,FALSE)</f>
        <v>Otra Red Captación</v>
      </c>
      <c r="U1291" t="s">
        <v>29</v>
      </c>
      <c r="V1291" t="str">
        <f>VLOOKUP($R1291,'Mapa Oficinas'!$A$7:$C$46,2,FALSE)</f>
        <v>Interior - Río Negro</v>
      </c>
      <c r="W1291" t="str">
        <f>VLOOKUP($R1291,'Mapa Oficinas'!$A$7:$C$46,3,FALSE)</f>
        <v>Bariloche</v>
      </c>
    </row>
    <row r="1292" spans="1:23" x14ac:dyDescent="0.2">
      <c r="A1292" s="1">
        <v>45744</v>
      </c>
      <c r="B1292" s="20">
        <f t="shared" si="40"/>
        <v>2025</v>
      </c>
      <c r="C1292" s="20">
        <f t="shared" si="41"/>
        <v>3</v>
      </c>
      <c r="D1292">
        <v>10246</v>
      </c>
      <c r="E1292" s="49">
        <v>3</v>
      </c>
      <c r="F1292" t="s">
        <v>1166</v>
      </c>
      <c r="G1292" t="s">
        <v>21</v>
      </c>
      <c r="H1292" t="s">
        <v>37</v>
      </c>
      <c r="I1292" s="13">
        <v>0</v>
      </c>
      <c r="J1292" s="13">
        <v>106000</v>
      </c>
      <c r="K1292" s="13">
        <f>IF(J1292&lt;'Mapa Oficinas'!$I$21,0,IF(J1292&gt;'Mapa Oficinas'!$I$20,0,1))</f>
        <v>1</v>
      </c>
      <c r="L1292" t="s">
        <v>23</v>
      </c>
      <c r="M1292" t="s">
        <v>23</v>
      </c>
      <c r="O1292" t="s">
        <v>141</v>
      </c>
      <c r="P1292" t="s">
        <v>45</v>
      </c>
      <c r="Q1292">
        <v>2</v>
      </c>
      <c r="R1292" t="s">
        <v>67</v>
      </c>
      <c r="S1292" t="s">
        <v>232</v>
      </c>
      <c r="T1292" t="str">
        <f>VLOOKUP(S1292,'Mapa Oficinas'!$H$7:$I$16,2,FALSE)</f>
        <v>CB</v>
      </c>
      <c r="U1292" t="s">
        <v>29</v>
      </c>
      <c r="V1292" t="str">
        <f>VLOOKUP($R1292,'Mapa Oficinas'!$A$7:$C$46,2,FALSE)</f>
        <v>CABA</v>
      </c>
      <c r="W1292" t="str">
        <f>VLOOKUP($R1292,'Mapa Oficinas'!$A$7:$C$46,3,FALSE)</f>
        <v>Barrio Parque</v>
      </c>
    </row>
    <row r="1293" spans="1:23" x14ac:dyDescent="0.2">
      <c r="A1293" s="1">
        <v>46036</v>
      </c>
      <c r="B1293" s="20">
        <f t="shared" si="40"/>
        <v>2026</v>
      </c>
      <c r="C1293" s="20">
        <f t="shared" si="41"/>
        <v>1</v>
      </c>
      <c r="D1293" t="s">
        <v>6227</v>
      </c>
      <c r="E1293" s="49">
        <v>3</v>
      </c>
      <c r="F1293" t="s">
        <v>6228</v>
      </c>
      <c r="G1293" t="s">
        <v>21</v>
      </c>
      <c r="H1293" t="s">
        <v>37</v>
      </c>
      <c r="I1293" s="13">
        <v>106000</v>
      </c>
      <c r="J1293" s="13">
        <v>106000</v>
      </c>
      <c r="K1293" s="13">
        <f>IF(J1293&lt;'Mapa Oficinas'!$I$21,0,IF(J1293&gt;'Mapa Oficinas'!$I$20,0,1))</f>
        <v>1</v>
      </c>
      <c r="L1293" t="s">
        <v>23</v>
      </c>
      <c r="M1293" t="s">
        <v>23</v>
      </c>
      <c r="N1293" t="s">
        <v>6227</v>
      </c>
      <c r="O1293" t="s">
        <v>92</v>
      </c>
      <c r="P1293" t="s">
        <v>45</v>
      </c>
      <c r="Q1293">
        <v>2</v>
      </c>
      <c r="R1293" t="s">
        <v>56</v>
      </c>
      <c r="S1293" t="s">
        <v>232</v>
      </c>
      <c r="T1293" t="str">
        <f>VLOOKUP(S1293,'Mapa Oficinas'!$H$7:$I$16,2,FALSE)</f>
        <v>CB</v>
      </c>
      <c r="U1293" t="s">
        <v>29</v>
      </c>
      <c r="V1293" t="str">
        <f>VLOOKUP($R1293,'Mapa Oficinas'!$A$7:$C$46,2,FALSE)</f>
        <v>Zona Norte (GBA)</v>
      </c>
      <c r="W1293" t="str">
        <f>VLOOKUP($R1293,'Mapa Oficinas'!$A$7:$C$46,3,FALSE)</f>
        <v>Vicente López</v>
      </c>
    </row>
    <row r="1294" spans="1:23" x14ac:dyDescent="0.2">
      <c r="A1294" s="1">
        <v>45786</v>
      </c>
      <c r="B1294" s="20">
        <f t="shared" si="40"/>
        <v>2025</v>
      </c>
      <c r="C1294" s="20">
        <f t="shared" si="41"/>
        <v>5</v>
      </c>
      <c r="D1294" t="s">
        <v>1846</v>
      </c>
      <c r="E1294" s="49">
        <v>1</v>
      </c>
      <c r="F1294" t="s">
        <v>1847</v>
      </c>
      <c r="G1294" t="s">
        <v>21</v>
      </c>
      <c r="H1294" t="s">
        <v>37</v>
      </c>
      <c r="I1294" s="13">
        <v>115000</v>
      </c>
      <c r="J1294" s="13">
        <v>106000</v>
      </c>
      <c r="K1294" s="13">
        <f>IF(J1294&lt;'Mapa Oficinas'!$I$21,0,IF(J1294&gt;'Mapa Oficinas'!$I$20,0,1))</f>
        <v>1</v>
      </c>
      <c r="L1294" t="s">
        <v>23</v>
      </c>
      <c r="M1294" t="s">
        <v>23</v>
      </c>
      <c r="N1294" t="s">
        <v>1848</v>
      </c>
      <c r="O1294" t="s">
        <v>914</v>
      </c>
      <c r="P1294" t="s">
        <v>61</v>
      </c>
      <c r="Q1294">
        <v>2</v>
      </c>
      <c r="R1294" t="s">
        <v>62</v>
      </c>
      <c r="S1294" t="s">
        <v>28</v>
      </c>
      <c r="T1294" t="str">
        <f>VLOOKUP(S1294,'Mapa Oficinas'!$H$7:$I$16,2,FALSE)</f>
        <v>CB</v>
      </c>
      <c r="U1294" t="s">
        <v>29</v>
      </c>
      <c r="V1294" t="str">
        <f>VLOOKUP($R1294,'Mapa Oficinas'!$A$7:$C$46,2,FALSE)</f>
        <v>CABA</v>
      </c>
      <c r="W1294" t="str">
        <f>VLOOKUP($R1294,'Mapa Oficinas'!$A$7:$C$46,3,FALSE)</f>
        <v>Villa Urquiza</v>
      </c>
    </row>
    <row r="1295" spans="1:23" x14ac:dyDescent="0.2">
      <c r="A1295" s="1">
        <v>45786</v>
      </c>
      <c r="B1295" s="20">
        <f t="shared" si="40"/>
        <v>2025</v>
      </c>
      <c r="C1295" s="20">
        <f t="shared" si="41"/>
        <v>5</v>
      </c>
      <c r="D1295" t="s">
        <v>1849</v>
      </c>
      <c r="E1295" s="49">
        <v>1</v>
      </c>
      <c r="F1295" t="s">
        <v>1850</v>
      </c>
      <c r="G1295" t="s">
        <v>21</v>
      </c>
      <c r="H1295" t="s">
        <v>37</v>
      </c>
      <c r="I1295" s="13">
        <v>109000</v>
      </c>
      <c r="J1295" s="13">
        <v>106000</v>
      </c>
      <c r="K1295" s="13">
        <f>IF(J1295&lt;'Mapa Oficinas'!$I$21,0,IF(J1295&gt;'Mapa Oficinas'!$I$20,0,1))</f>
        <v>1</v>
      </c>
      <c r="L1295" t="s">
        <v>23</v>
      </c>
      <c r="M1295" t="s">
        <v>23</v>
      </c>
      <c r="N1295" t="s">
        <v>1851</v>
      </c>
      <c r="O1295" t="s">
        <v>1060</v>
      </c>
      <c r="P1295" t="s">
        <v>45</v>
      </c>
      <c r="Q1295">
        <v>2</v>
      </c>
      <c r="R1295" t="s">
        <v>56</v>
      </c>
      <c r="S1295" t="s">
        <v>28</v>
      </c>
      <c r="T1295" t="str">
        <f>VLOOKUP(S1295,'Mapa Oficinas'!$H$7:$I$16,2,FALSE)</f>
        <v>CB</v>
      </c>
      <c r="U1295" t="s">
        <v>29</v>
      </c>
      <c r="V1295" t="str">
        <f>VLOOKUP($R1295,'Mapa Oficinas'!$A$7:$C$46,2,FALSE)</f>
        <v>Zona Norte (GBA)</v>
      </c>
      <c r="W1295" t="str">
        <f>VLOOKUP($R1295,'Mapa Oficinas'!$A$7:$C$46,3,FALSE)</f>
        <v>Vicente López</v>
      </c>
    </row>
    <row r="1296" spans="1:23" x14ac:dyDescent="0.2">
      <c r="A1296" s="1">
        <v>46100</v>
      </c>
      <c r="B1296" s="20">
        <f t="shared" si="40"/>
        <v>2026</v>
      </c>
      <c r="C1296" s="20">
        <f t="shared" si="41"/>
        <v>3</v>
      </c>
      <c r="D1296" t="s">
        <v>7307</v>
      </c>
      <c r="E1296" s="49">
        <v>1</v>
      </c>
      <c r="F1296" t="s">
        <v>7308</v>
      </c>
      <c r="G1296" t="s">
        <v>21</v>
      </c>
      <c r="H1296" t="s">
        <v>37</v>
      </c>
      <c r="I1296" s="13">
        <v>112000</v>
      </c>
      <c r="J1296" s="13">
        <v>106000</v>
      </c>
      <c r="K1296" s="13">
        <f>IF(J1296&lt;'Mapa Oficinas'!$I$21,0,IF(J1296&gt;'Mapa Oficinas'!$I$20,0,1))</f>
        <v>1</v>
      </c>
      <c r="L1296" t="s">
        <v>23</v>
      </c>
      <c r="M1296" t="s">
        <v>23</v>
      </c>
      <c r="N1296" t="s">
        <v>7309</v>
      </c>
      <c r="O1296" t="s">
        <v>380</v>
      </c>
      <c r="P1296" t="s">
        <v>45</v>
      </c>
      <c r="Q1296">
        <v>2</v>
      </c>
      <c r="R1296" t="s">
        <v>135</v>
      </c>
      <c r="S1296" t="s">
        <v>28</v>
      </c>
      <c r="T1296" t="str">
        <f>VLOOKUP(S1296,'Mapa Oficinas'!$H$7:$I$16,2,FALSE)</f>
        <v>CB</v>
      </c>
      <c r="U1296" t="s">
        <v>29</v>
      </c>
      <c r="V1296" t="str">
        <f>VLOOKUP($R1296,'Mapa Oficinas'!$A$7:$C$46,2,FALSE)</f>
        <v>CABA</v>
      </c>
      <c r="W1296" t="str">
        <f>VLOOKUP($R1296,'Mapa Oficinas'!$A$7:$C$46,3,FALSE)</f>
        <v>Recoleta</v>
      </c>
    </row>
    <row r="1297" spans="1:23" x14ac:dyDescent="0.2">
      <c r="A1297" s="1">
        <v>45991</v>
      </c>
      <c r="B1297" s="20">
        <f t="shared" si="40"/>
        <v>2025</v>
      </c>
      <c r="C1297" s="20">
        <f t="shared" si="41"/>
        <v>11</v>
      </c>
      <c r="D1297" t="s">
        <v>5446</v>
      </c>
      <c r="E1297" s="49">
        <v>1</v>
      </c>
      <c r="F1297" t="s">
        <v>5447</v>
      </c>
      <c r="G1297" t="s">
        <v>21</v>
      </c>
      <c r="H1297" t="s">
        <v>37</v>
      </c>
      <c r="I1297" s="13">
        <v>106730</v>
      </c>
      <c r="J1297" s="13">
        <v>106730</v>
      </c>
      <c r="K1297" s="13">
        <f>IF(J1297&lt;'Mapa Oficinas'!$I$21,0,IF(J1297&gt;'Mapa Oficinas'!$I$20,0,1))</f>
        <v>1</v>
      </c>
      <c r="L1297" t="s">
        <v>23</v>
      </c>
      <c r="M1297" t="s">
        <v>23</v>
      </c>
      <c r="N1297" t="s">
        <v>5448</v>
      </c>
      <c r="O1297" t="s">
        <v>5449</v>
      </c>
      <c r="P1297" t="s">
        <v>45</v>
      </c>
      <c r="Q1297">
        <v>1</v>
      </c>
      <c r="R1297" t="s">
        <v>110</v>
      </c>
      <c r="S1297" t="s">
        <v>47</v>
      </c>
      <c r="T1297" t="str">
        <f>VLOOKUP(S1297,'Mapa Oficinas'!$H$7:$I$16,2,FALSE)</f>
        <v>Otra Red Búsqueda</v>
      </c>
      <c r="U1297" t="s">
        <v>29</v>
      </c>
      <c r="V1297" t="str">
        <f>VLOOKUP($R1297,'Mapa Oficinas'!$A$7:$C$46,2,FALSE)</f>
        <v>Zona Norte (GBA)</v>
      </c>
      <c r="W1297" t="str">
        <f>VLOOKUP($R1297,'Mapa Oficinas'!$A$7:$C$46,3,FALSE)</f>
        <v>Nordelta</v>
      </c>
    </row>
    <row r="1298" spans="1:23" x14ac:dyDescent="0.2">
      <c r="A1298" s="1">
        <v>45989</v>
      </c>
      <c r="B1298" s="20">
        <f t="shared" si="40"/>
        <v>2025</v>
      </c>
      <c r="C1298" s="20">
        <f t="shared" si="41"/>
        <v>11</v>
      </c>
      <c r="D1298" t="s">
        <v>5421</v>
      </c>
      <c r="E1298" s="49">
        <v>3</v>
      </c>
      <c r="F1298" t="s">
        <v>5422</v>
      </c>
      <c r="G1298" t="s">
        <v>21</v>
      </c>
      <c r="H1298" t="s">
        <v>22</v>
      </c>
      <c r="I1298" s="13">
        <v>270000</v>
      </c>
      <c r="J1298" s="13">
        <v>106730</v>
      </c>
      <c r="K1298" s="13">
        <f>IF(J1298&lt;'Mapa Oficinas'!$I$21,0,IF(J1298&gt;'Mapa Oficinas'!$I$20,0,1))</f>
        <v>1</v>
      </c>
      <c r="L1298" t="s">
        <v>23</v>
      </c>
      <c r="M1298" t="s">
        <v>23</v>
      </c>
      <c r="N1298" t="s">
        <v>5423</v>
      </c>
      <c r="O1298" t="s">
        <v>5424</v>
      </c>
      <c r="P1298" t="s">
        <v>34</v>
      </c>
      <c r="Q1298">
        <v>2</v>
      </c>
      <c r="R1298" t="s">
        <v>62</v>
      </c>
      <c r="S1298" t="s">
        <v>232</v>
      </c>
      <c r="T1298" t="str">
        <f>VLOOKUP(S1298,'Mapa Oficinas'!$H$7:$I$16,2,FALSE)</f>
        <v>CB</v>
      </c>
      <c r="U1298" t="s">
        <v>29</v>
      </c>
      <c r="V1298" t="str">
        <f>VLOOKUP($R1298,'Mapa Oficinas'!$A$7:$C$46,2,FALSE)</f>
        <v>CABA</v>
      </c>
      <c r="W1298" t="str">
        <f>VLOOKUP($R1298,'Mapa Oficinas'!$A$7:$C$46,3,FALSE)</f>
        <v>Villa Urquiza</v>
      </c>
    </row>
    <row r="1299" spans="1:23" x14ac:dyDescent="0.2">
      <c r="A1299" s="1">
        <v>46009</v>
      </c>
      <c r="B1299" s="20">
        <f t="shared" si="40"/>
        <v>2025</v>
      </c>
      <c r="C1299" s="20">
        <f t="shared" si="41"/>
        <v>12</v>
      </c>
      <c r="D1299" t="s">
        <v>5870</v>
      </c>
      <c r="E1299" s="49">
        <v>1</v>
      </c>
      <c r="F1299" t="s">
        <v>5871</v>
      </c>
      <c r="G1299" t="s">
        <v>21</v>
      </c>
      <c r="H1299" t="s">
        <v>81</v>
      </c>
      <c r="I1299" s="13">
        <v>130000</v>
      </c>
      <c r="J1299" s="13">
        <v>107000</v>
      </c>
      <c r="K1299" s="13">
        <f>IF(J1299&lt;'Mapa Oficinas'!$I$21,0,IF(J1299&gt;'Mapa Oficinas'!$I$20,0,1))</f>
        <v>1</v>
      </c>
      <c r="L1299" t="s">
        <v>23</v>
      </c>
      <c r="M1299" t="s">
        <v>23</v>
      </c>
      <c r="N1299" t="s">
        <v>5872</v>
      </c>
      <c r="O1299" t="s">
        <v>223</v>
      </c>
      <c r="P1299" t="s">
        <v>55</v>
      </c>
      <c r="Q1299">
        <v>1</v>
      </c>
      <c r="R1299" t="s">
        <v>167</v>
      </c>
      <c r="S1299" t="s">
        <v>122</v>
      </c>
      <c r="T1299" t="str">
        <f>VLOOKUP(S1299,'Mapa Oficinas'!$H$7:$I$16,2,FALSE)</f>
        <v>Otra Red Búsqueda</v>
      </c>
      <c r="U1299" t="s">
        <v>29</v>
      </c>
      <c r="V1299" t="str">
        <f>VLOOKUP($R1299,'Mapa Oficinas'!$A$7:$C$46,2,FALSE)</f>
        <v>Interior - Santa Fe</v>
      </c>
      <c r="W1299" t="str">
        <f>VLOOKUP($R1299,'Mapa Oficinas'!$A$7:$C$46,3,FALSE)</f>
        <v>Capital Santa Fe</v>
      </c>
    </row>
    <row r="1300" spans="1:23" x14ac:dyDescent="0.2">
      <c r="A1300" s="1">
        <v>45730</v>
      </c>
      <c r="B1300" s="20">
        <f t="shared" si="40"/>
        <v>2025</v>
      </c>
      <c r="C1300" s="20">
        <f t="shared" si="41"/>
        <v>3</v>
      </c>
      <c r="D1300" t="s">
        <v>962</v>
      </c>
      <c r="E1300" s="49">
        <v>1</v>
      </c>
      <c r="F1300" t="s">
        <v>963</v>
      </c>
      <c r="G1300" t="s">
        <v>21</v>
      </c>
      <c r="H1300" t="s">
        <v>22</v>
      </c>
      <c r="I1300" s="13">
        <v>110000</v>
      </c>
      <c r="J1300" s="13">
        <v>107000</v>
      </c>
      <c r="K1300" s="13">
        <f>IF(J1300&lt;'Mapa Oficinas'!$I$21,0,IF(J1300&gt;'Mapa Oficinas'!$I$20,0,1))</f>
        <v>1</v>
      </c>
      <c r="L1300" t="s">
        <v>23</v>
      </c>
      <c r="M1300" t="s">
        <v>23</v>
      </c>
      <c r="N1300" t="s">
        <v>964</v>
      </c>
      <c r="O1300" t="s">
        <v>965</v>
      </c>
      <c r="P1300" t="s">
        <v>45</v>
      </c>
      <c r="Q1300">
        <v>2</v>
      </c>
      <c r="R1300" t="s">
        <v>62</v>
      </c>
      <c r="S1300" t="s">
        <v>79</v>
      </c>
      <c r="T1300" t="str">
        <f>VLOOKUP(S1300,'Mapa Oficinas'!$H$7:$I$16,2,FALSE)</f>
        <v>CB</v>
      </c>
      <c r="U1300" t="s">
        <v>29</v>
      </c>
      <c r="V1300" t="str">
        <f>VLOOKUP($R1300,'Mapa Oficinas'!$A$7:$C$46,2,FALSE)</f>
        <v>CABA</v>
      </c>
      <c r="W1300" t="str">
        <f>VLOOKUP($R1300,'Mapa Oficinas'!$A$7:$C$46,3,FALSE)</f>
        <v>Villa Urquiza</v>
      </c>
    </row>
    <row r="1301" spans="1:23" x14ac:dyDescent="0.2">
      <c r="A1301" s="1">
        <v>45987</v>
      </c>
      <c r="B1301" s="20">
        <f t="shared" si="40"/>
        <v>2025</v>
      </c>
      <c r="C1301" s="20">
        <f t="shared" si="41"/>
        <v>11</v>
      </c>
      <c r="D1301" t="s">
        <v>5384</v>
      </c>
      <c r="E1301" s="49">
        <v>1</v>
      </c>
      <c r="F1301" t="s">
        <v>5385</v>
      </c>
      <c r="G1301" t="s">
        <v>21</v>
      </c>
      <c r="H1301" t="s">
        <v>76</v>
      </c>
      <c r="I1301" s="13">
        <v>110000</v>
      </c>
      <c r="J1301" s="13">
        <v>107000</v>
      </c>
      <c r="K1301" s="13">
        <f>IF(J1301&lt;'Mapa Oficinas'!$I$21,0,IF(J1301&gt;'Mapa Oficinas'!$I$20,0,1))</f>
        <v>1</v>
      </c>
      <c r="L1301" t="s">
        <v>23</v>
      </c>
      <c r="M1301" t="s">
        <v>23</v>
      </c>
      <c r="N1301" t="s">
        <v>5386</v>
      </c>
      <c r="O1301" t="s">
        <v>650</v>
      </c>
      <c r="P1301" t="s">
        <v>26</v>
      </c>
      <c r="Q1301">
        <v>2</v>
      </c>
      <c r="R1301" t="s">
        <v>84</v>
      </c>
      <c r="S1301" t="s">
        <v>79</v>
      </c>
      <c r="T1301" t="str">
        <f>VLOOKUP(S1301,'Mapa Oficinas'!$H$7:$I$16,2,FALSE)</f>
        <v>CB</v>
      </c>
      <c r="U1301" t="s">
        <v>29</v>
      </c>
      <c r="V1301" t="str">
        <f>VLOOKUP($R1301,'Mapa Oficinas'!$A$7:$C$46,2,FALSE)</f>
        <v>Interior - Neuquén</v>
      </c>
      <c r="W1301" t="str">
        <f>VLOOKUP($R1301,'Mapa Oficinas'!$A$7:$C$46,3,FALSE)</f>
        <v>Villa La Angostura</v>
      </c>
    </row>
    <row r="1302" spans="1:23" x14ac:dyDescent="0.2">
      <c r="A1302" s="1">
        <v>45839</v>
      </c>
      <c r="B1302" s="20">
        <f t="shared" si="40"/>
        <v>2025</v>
      </c>
      <c r="C1302" s="20">
        <f t="shared" si="41"/>
        <v>7</v>
      </c>
      <c r="D1302" t="s">
        <v>2805</v>
      </c>
      <c r="E1302" s="49">
        <v>1</v>
      </c>
      <c r="F1302" t="s">
        <v>2806</v>
      </c>
      <c r="G1302" t="s">
        <v>21</v>
      </c>
      <c r="H1302" t="s">
        <v>37</v>
      </c>
      <c r="I1302" s="13">
        <v>119000</v>
      </c>
      <c r="J1302" s="13">
        <v>107000</v>
      </c>
      <c r="K1302" s="13">
        <f>IF(J1302&lt;'Mapa Oficinas'!$I$21,0,IF(J1302&gt;'Mapa Oficinas'!$I$20,0,1))</f>
        <v>1</v>
      </c>
      <c r="L1302" t="s">
        <v>23</v>
      </c>
      <c r="M1302" t="s">
        <v>23</v>
      </c>
      <c r="N1302" t="s">
        <v>2807</v>
      </c>
      <c r="O1302" t="s">
        <v>380</v>
      </c>
      <c r="P1302" t="s">
        <v>14</v>
      </c>
      <c r="Q1302">
        <v>2</v>
      </c>
      <c r="R1302" t="s">
        <v>1605</v>
      </c>
      <c r="S1302" t="s">
        <v>200</v>
      </c>
      <c r="T1302" t="str">
        <f>VLOOKUP(S1302,'Mapa Oficinas'!$H$7:$I$16,2,FALSE)</f>
        <v>Otra Red Captación</v>
      </c>
      <c r="U1302" t="s">
        <v>29</v>
      </c>
      <c r="V1302" t="str">
        <f>VLOOKUP($R1302,'Mapa Oficinas'!$A$7:$C$46,2,FALSE)</f>
        <v>CABA</v>
      </c>
      <c r="W1302" t="str">
        <f>VLOOKUP($R1302,'Mapa Oficinas'!$A$7:$C$46,3,FALSE)</f>
        <v>Núñez</v>
      </c>
    </row>
    <row r="1303" spans="1:23" x14ac:dyDescent="0.2">
      <c r="A1303" s="1">
        <v>45996</v>
      </c>
      <c r="B1303" s="20">
        <f t="shared" si="40"/>
        <v>2025</v>
      </c>
      <c r="C1303" s="20">
        <f t="shared" si="41"/>
        <v>12</v>
      </c>
      <c r="D1303" t="s">
        <v>5645</v>
      </c>
      <c r="E1303" s="49">
        <v>1</v>
      </c>
      <c r="F1303" t="s">
        <v>5646</v>
      </c>
      <c r="G1303" t="s">
        <v>21</v>
      </c>
      <c r="H1303" t="s">
        <v>37</v>
      </c>
      <c r="I1303" s="13">
        <v>110000</v>
      </c>
      <c r="J1303" s="13">
        <v>107000</v>
      </c>
      <c r="K1303" s="13">
        <f>IF(J1303&lt;'Mapa Oficinas'!$I$21,0,IF(J1303&gt;'Mapa Oficinas'!$I$20,0,1))</f>
        <v>1</v>
      </c>
      <c r="L1303" t="s">
        <v>23</v>
      </c>
      <c r="M1303" t="s">
        <v>23</v>
      </c>
      <c r="N1303" t="s">
        <v>5647</v>
      </c>
      <c r="O1303" t="s">
        <v>380</v>
      </c>
      <c r="P1303" t="s">
        <v>45</v>
      </c>
      <c r="Q1303">
        <v>2</v>
      </c>
      <c r="R1303" t="s">
        <v>67</v>
      </c>
      <c r="S1303" t="s">
        <v>200</v>
      </c>
      <c r="T1303" t="str">
        <f>VLOOKUP(S1303,'Mapa Oficinas'!$H$7:$I$16,2,FALSE)</f>
        <v>Otra Red Captación</v>
      </c>
      <c r="U1303" t="s">
        <v>29</v>
      </c>
      <c r="V1303" t="str">
        <f>VLOOKUP($R1303,'Mapa Oficinas'!$A$7:$C$46,2,FALSE)</f>
        <v>CABA</v>
      </c>
      <c r="W1303" t="str">
        <f>VLOOKUP($R1303,'Mapa Oficinas'!$A$7:$C$46,3,FALSE)</f>
        <v>Barrio Parque</v>
      </c>
    </row>
    <row r="1304" spans="1:23" x14ac:dyDescent="0.2">
      <c r="A1304" s="1">
        <v>46045</v>
      </c>
      <c r="B1304" s="20">
        <f t="shared" si="40"/>
        <v>2026</v>
      </c>
      <c r="C1304" s="20">
        <f t="shared" si="41"/>
        <v>1</v>
      </c>
      <c r="D1304" t="s">
        <v>6386</v>
      </c>
      <c r="E1304" s="49">
        <v>1</v>
      </c>
      <c r="F1304" t="s">
        <v>6387</v>
      </c>
      <c r="G1304" t="s">
        <v>21</v>
      </c>
      <c r="H1304" t="s">
        <v>37</v>
      </c>
      <c r="I1304" s="13">
        <v>115000</v>
      </c>
      <c r="J1304" s="13">
        <v>107000</v>
      </c>
      <c r="K1304" s="13">
        <f>IF(J1304&lt;'Mapa Oficinas'!$I$21,0,IF(J1304&gt;'Mapa Oficinas'!$I$20,0,1))</f>
        <v>1</v>
      </c>
      <c r="L1304" t="s">
        <v>23</v>
      </c>
      <c r="M1304" t="s">
        <v>23</v>
      </c>
      <c r="N1304" t="s">
        <v>6388</v>
      </c>
      <c r="O1304" t="s">
        <v>2084</v>
      </c>
      <c r="P1304" t="s">
        <v>61</v>
      </c>
      <c r="Q1304">
        <v>2</v>
      </c>
      <c r="R1304" t="s">
        <v>67</v>
      </c>
      <c r="S1304" t="s">
        <v>28</v>
      </c>
      <c r="T1304" t="str">
        <f>VLOOKUP(S1304,'Mapa Oficinas'!$H$7:$I$16,2,FALSE)</f>
        <v>CB</v>
      </c>
      <c r="U1304" t="s">
        <v>29</v>
      </c>
      <c r="V1304" t="str">
        <f>VLOOKUP($R1304,'Mapa Oficinas'!$A$7:$C$46,2,FALSE)</f>
        <v>CABA</v>
      </c>
      <c r="W1304" t="str">
        <f>VLOOKUP($R1304,'Mapa Oficinas'!$A$7:$C$46,3,FALSE)</f>
        <v>Barrio Parque</v>
      </c>
    </row>
    <row r="1305" spans="1:23" x14ac:dyDescent="0.2">
      <c r="A1305" s="1">
        <v>46049</v>
      </c>
      <c r="B1305" s="20">
        <f t="shared" si="40"/>
        <v>2026</v>
      </c>
      <c r="C1305" s="20">
        <f t="shared" si="41"/>
        <v>1</v>
      </c>
      <c r="D1305" t="s">
        <v>6410</v>
      </c>
      <c r="E1305" s="49">
        <v>1</v>
      </c>
      <c r="F1305" t="s">
        <v>6411</v>
      </c>
      <c r="G1305" t="s">
        <v>21</v>
      </c>
      <c r="H1305" t="s">
        <v>119</v>
      </c>
      <c r="I1305" s="13">
        <v>106500</v>
      </c>
      <c r="J1305" s="13">
        <v>107200</v>
      </c>
      <c r="K1305" s="13">
        <f>IF(J1305&lt;'Mapa Oficinas'!$I$21,0,IF(J1305&gt;'Mapa Oficinas'!$I$20,0,1))</f>
        <v>1</v>
      </c>
      <c r="L1305" t="s">
        <v>23</v>
      </c>
      <c r="M1305" t="s">
        <v>23</v>
      </c>
      <c r="N1305" t="s">
        <v>6412</v>
      </c>
      <c r="O1305" t="s">
        <v>609</v>
      </c>
      <c r="P1305" t="s">
        <v>45</v>
      </c>
      <c r="Q1305">
        <v>2</v>
      </c>
      <c r="R1305" t="s">
        <v>121</v>
      </c>
      <c r="S1305" t="s">
        <v>28</v>
      </c>
      <c r="T1305" t="str">
        <f>VLOOKUP(S1305,'Mapa Oficinas'!$H$7:$I$16,2,FALSE)</f>
        <v>CB</v>
      </c>
      <c r="U1305" t="s">
        <v>29</v>
      </c>
      <c r="V1305" t="str">
        <f>VLOOKUP($R1305,'Mapa Oficinas'!$A$7:$C$46,2,FALSE)</f>
        <v>Interior - Río Negro</v>
      </c>
      <c r="W1305" t="str">
        <f>VLOOKUP($R1305,'Mapa Oficinas'!$A$7:$C$46,3,FALSE)</f>
        <v>Bariloche</v>
      </c>
    </row>
    <row r="1306" spans="1:23" x14ac:dyDescent="0.2">
      <c r="A1306" s="1">
        <v>45789</v>
      </c>
      <c r="B1306" s="20">
        <f t="shared" si="40"/>
        <v>2025</v>
      </c>
      <c r="C1306" s="20">
        <f t="shared" si="41"/>
        <v>5</v>
      </c>
      <c r="E1306" s="49">
        <v>1</v>
      </c>
      <c r="F1306" t="s">
        <v>1873</v>
      </c>
      <c r="G1306" t="s">
        <v>21</v>
      </c>
      <c r="H1306" t="s">
        <v>81</v>
      </c>
      <c r="I1306" s="13">
        <v>107480</v>
      </c>
      <c r="J1306" s="13">
        <v>107480</v>
      </c>
      <c r="K1306" s="13">
        <f>IF(J1306&lt;'Mapa Oficinas'!$I$21,0,IF(J1306&gt;'Mapa Oficinas'!$I$20,0,1))</f>
        <v>1</v>
      </c>
      <c r="L1306" t="s">
        <v>23</v>
      </c>
      <c r="M1306" t="s">
        <v>23</v>
      </c>
      <c r="N1306" t="s">
        <v>1874</v>
      </c>
      <c r="O1306" t="s">
        <v>83</v>
      </c>
      <c r="P1306" t="s">
        <v>55</v>
      </c>
      <c r="Q1306">
        <v>2</v>
      </c>
      <c r="R1306" t="s">
        <v>84</v>
      </c>
      <c r="S1306" t="s">
        <v>79</v>
      </c>
      <c r="T1306" t="str">
        <f>VLOOKUP(S1306,'Mapa Oficinas'!$H$7:$I$16,2,FALSE)</f>
        <v>CB</v>
      </c>
      <c r="U1306" t="s">
        <v>29</v>
      </c>
      <c r="V1306" t="str">
        <f>VLOOKUP($R1306,'Mapa Oficinas'!$A$7:$C$46,2,FALSE)</f>
        <v>Interior - Neuquén</v>
      </c>
      <c r="W1306" t="str">
        <f>VLOOKUP($R1306,'Mapa Oficinas'!$A$7:$C$46,3,FALSE)</f>
        <v>Villa La Angostura</v>
      </c>
    </row>
    <row r="1307" spans="1:23" x14ac:dyDescent="0.2">
      <c r="A1307" s="1">
        <v>45817</v>
      </c>
      <c r="B1307" s="20">
        <f t="shared" si="40"/>
        <v>2025</v>
      </c>
      <c r="C1307" s="20">
        <f t="shared" si="41"/>
        <v>6</v>
      </c>
      <c r="D1307" t="s">
        <v>2388</v>
      </c>
      <c r="E1307" s="49">
        <v>1</v>
      </c>
      <c r="F1307" t="s">
        <v>2389</v>
      </c>
      <c r="G1307" t="s">
        <v>21</v>
      </c>
      <c r="H1307" t="s">
        <v>37</v>
      </c>
      <c r="I1307" s="13">
        <v>112800</v>
      </c>
      <c r="J1307" s="13">
        <v>108000</v>
      </c>
      <c r="K1307" s="13">
        <f>IF(J1307&lt;'Mapa Oficinas'!$I$21,0,IF(J1307&gt;'Mapa Oficinas'!$I$20,0,1))</f>
        <v>1</v>
      </c>
      <c r="L1307" t="s">
        <v>23</v>
      </c>
      <c r="M1307" t="s">
        <v>23</v>
      </c>
      <c r="N1307" t="s">
        <v>2390</v>
      </c>
      <c r="O1307" t="s">
        <v>408</v>
      </c>
      <c r="P1307" t="s">
        <v>45</v>
      </c>
      <c r="Q1307">
        <v>2</v>
      </c>
      <c r="R1307" t="s">
        <v>62</v>
      </c>
      <c r="S1307" t="s">
        <v>79</v>
      </c>
      <c r="T1307" t="str">
        <f>VLOOKUP(S1307,'Mapa Oficinas'!$H$7:$I$16,2,FALSE)</f>
        <v>CB</v>
      </c>
      <c r="U1307" t="s">
        <v>29</v>
      </c>
      <c r="V1307" t="str">
        <f>VLOOKUP($R1307,'Mapa Oficinas'!$A$7:$C$46,2,FALSE)</f>
        <v>CABA</v>
      </c>
      <c r="W1307" t="str">
        <f>VLOOKUP($R1307,'Mapa Oficinas'!$A$7:$C$46,3,FALSE)</f>
        <v>Villa Urquiza</v>
      </c>
    </row>
    <row r="1308" spans="1:23" x14ac:dyDescent="0.2">
      <c r="A1308" s="1">
        <v>45954</v>
      </c>
      <c r="B1308" s="20">
        <f t="shared" si="40"/>
        <v>2025</v>
      </c>
      <c r="C1308" s="20">
        <f t="shared" si="41"/>
        <v>10</v>
      </c>
      <c r="D1308" t="s">
        <v>4904</v>
      </c>
      <c r="E1308" s="49">
        <v>1</v>
      </c>
      <c r="F1308" t="s">
        <v>668</v>
      </c>
      <c r="G1308" t="s">
        <v>21</v>
      </c>
      <c r="H1308" t="s">
        <v>37</v>
      </c>
      <c r="I1308" s="13">
        <v>119000</v>
      </c>
      <c r="J1308" s="13">
        <v>108000</v>
      </c>
      <c r="K1308" s="13">
        <f>IF(J1308&lt;'Mapa Oficinas'!$I$21,0,IF(J1308&gt;'Mapa Oficinas'!$I$20,0,1))</f>
        <v>1</v>
      </c>
      <c r="L1308" t="s">
        <v>23</v>
      </c>
      <c r="M1308" t="s">
        <v>23</v>
      </c>
      <c r="N1308" t="s">
        <v>4905</v>
      </c>
      <c r="O1308" t="s">
        <v>50</v>
      </c>
      <c r="P1308" t="s">
        <v>45</v>
      </c>
      <c r="Q1308">
        <v>2</v>
      </c>
      <c r="R1308" t="s">
        <v>135</v>
      </c>
      <c r="S1308" t="s">
        <v>79</v>
      </c>
      <c r="T1308" t="str">
        <f>VLOOKUP(S1308,'Mapa Oficinas'!$H$7:$I$16,2,FALSE)</f>
        <v>CB</v>
      </c>
      <c r="U1308" t="s">
        <v>29</v>
      </c>
      <c r="V1308" t="str">
        <f>VLOOKUP($R1308,'Mapa Oficinas'!$A$7:$C$46,2,FALSE)</f>
        <v>CABA</v>
      </c>
      <c r="W1308" t="str">
        <f>VLOOKUP($R1308,'Mapa Oficinas'!$A$7:$C$46,3,FALSE)</f>
        <v>Recoleta</v>
      </c>
    </row>
    <row r="1309" spans="1:23" x14ac:dyDescent="0.2">
      <c r="A1309" s="1">
        <v>45953</v>
      </c>
      <c r="B1309" s="20">
        <f t="shared" si="40"/>
        <v>2025</v>
      </c>
      <c r="C1309" s="20">
        <f t="shared" si="41"/>
        <v>10</v>
      </c>
      <c r="E1309" s="49">
        <v>1</v>
      </c>
      <c r="F1309" t="s">
        <v>4874</v>
      </c>
      <c r="G1309" t="s">
        <v>21</v>
      </c>
      <c r="H1309" t="s">
        <v>37</v>
      </c>
      <c r="I1309" s="13">
        <v>108000</v>
      </c>
      <c r="J1309" s="13">
        <v>108000</v>
      </c>
      <c r="K1309" s="13">
        <f>IF(J1309&lt;'Mapa Oficinas'!$I$21,0,IF(J1309&gt;'Mapa Oficinas'!$I$20,0,1))</f>
        <v>1</v>
      </c>
      <c r="L1309" t="s">
        <v>23</v>
      </c>
      <c r="M1309" t="s">
        <v>23</v>
      </c>
      <c r="N1309" t="s">
        <v>4875</v>
      </c>
      <c r="O1309" t="s">
        <v>50</v>
      </c>
      <c r="P1309" t="s">
        <v>45</v>
      </c>
      <c r="Q1309">
        <v>1</v>
      </c>
      <c r="R1309" t="s">
        <v>135</v>
      </c>
      <c r="S1309" t="s">
        <v>47</v>
      </c>
      <c r="T1309" t="str">
        <f>VLOOKUP(S1309,'Mapa Oficinas'!$H$7:$I$16,2,FALSE)</f>
        <v>Otra Red Búsqueda</v>
      </c>
      <c r="U1309" t="s">
        <v>29</v>
      </c>
      <c r="V1309" t="str">
        <f>VLOOKUP($R1309,'Mapa Oficinas'!$A$7:$C$46,2,FALSE)</f>
        <v>CABA</v>
      </c>
      <c r="W1309" t="str">
        <f>VLOOKUP($R1309,'Mapa Oficinas'!$A$7:$C$46,3,FALSE)</f>
        <v>Recoleta</v>
      </c>
    </row>
    <row r="1310" spans="1:23" x14ac:dyDescent="0.2">
      <c r="A1310" s="1">
        <v>45821</v>
      </c>
      <c r="B1310" s="20">
        <f t="shared" si="40"/>
        <v>2025</v>
      </c>
      <c r="C1310" s="20">
        <f t="shared" si="41"/>
        <v>6</v>
      </c>
      <c r="D1310" t="s">
        <v>639</v>
      </c>
      <c r="E1310" s="49">
        <v>1</v>
      </c>
      <c r="F1310" t="s">
        <v>640</v>
      </c>
      <c r="G1310" t="s">
        <v>21</v>
      </c>
      <c r="H1310" t="s">
        <v>37</v>
      </c>
      <c r="I1310" s="13">
        <v>115000</v>
      </c>
      <c r="J1310" s="13">
        <v>108000</v>
      </c>
      <c r="K1310" s="13">
        <f>IF(J1310&lt;'Mapa Oficinas'!$I$21,0,IF(J1310&gt;'Mapa Oficinas'!$I$20,0,1))</f>
        <v>1</v>
      </c>
      <c r="L1310" t="s">
        <v>23</v>
      </c>
      <c r="M1310" t="s">
        <v>23</v>
      </c>
      <c r="N1310" t="s">
        <v>641</v>
      </c>
      <c r="O1310" t="s">
        <v>642</v>
      </c>
      <c r="P1310" t="s">
        <v>45</v>
      </c>
      <c r="Q1310">
        <v>2</v>
      </c>
      <c r="R1310" t="s">
        <v>110</v>
      </c>
      <c r="S1310" t="s">
        <v>200</v>
      </c>
      <c r="T1310" t="str">
        <f>VLOOKUP(S1310,'Mapa Oficinas'!$H$7:$I$16,2,FALSE)</f>
        <v>Otra Red Captación</v>
      </c>
      <c r="U1310" t="s">
        <v>29</v>
      </c>
      <c r="V1310" t="str">
        <f>VLOOKUP($R1310,'Mapa Oficinas'!$A$7:$C$46,2,FALSE)</f>
        <v>Zona Norte (GBA)</v>
      </c>
      <c r="W1310" t="str">
        <f>VLOOKUP($R1310,'Mapa Oficinas'!$A$7:$C$46,3,FALSE)</f>
        <v>Nordelta</v>
      </c>
    </row>
    <row r="1311" spans="1:23" x14ac:dyDescent="0.2">
      <c r="A1311" s="1">
        <v>45834</v>
      </c>
      <c r="B1311" s="20">
        <f t="shared" si="40"/>
        <v>2025</v>
      </c>
      <c r="C1311" s="20">
        <f t="shared" si="41"/>
        <v>6</v>
      </c>
      <c r="D1311" t="s">
        <v>639</v>
      </c>
      <c r="E1311" s="49">
        <v>1</v>
      </c>
      <c r="F1311" t="s">
        <v>640</v>
      </c>
      <c r="G1311" t="s">
        <v>21</v>
      </c>
      <c r="H1311" t="s">
        <v>37</v>
      </c>
      <c r="I1311" s="13">
        <v>115000</v>
      </c>
      <c r="J1311" s="13">
        <v>108000</v>
      </c>
      <c r="K1311" s="13">
        <f>IF(J1311&lt;'Mapa Oficinas'!$I$21,0,IF(J1311&gt;'Mapa Oficinas'!$I$20,0,1))</f>
        <v>1</v>
      </c>
      <c r="L1311" t="s">
        <v>23</v>
      </c>
      <c r="M1311" t="s">
        <v>23</v>
      </c>
      <c r="N1311" t="s">
        <v>641</v>
      </c>
      <c r="O1311" t="s">
        <v>642</v>
      </c>
      <c r="P1311" t="s">
        <v>45</v>
      </c>
      <c r="Q1311">
        <v>2</v>
      </c>
      <c r="R1311" t="s">
        <v>110</v>
      </c>
      <c r="S1311" t="s">
        <v>200</v>
      </c>
      <c r="T1311" t="str">
        <f>VLOOKUP(S1311,'Mapa Oficinas'!$H$7:$I$16,2,FALSE)</f>
        <v>Otra Red Captación</v>
      </c>
      <c r="U1311" t="s">
        <v>29</v>
      </c>
      <c r="V1311" t="str">
        <f>VLOOKUP($R1311,'Mapa Oficinas'!$A$7:$C$46,2,FALSE)</f>
        <v>Zona Norte (GBA)</v>
      </c>
      <c r="W1311" t="str">
        <f>VLOOKUP($R1311,'Mapa Oficinas'!$A$7:$C$46,3,FALSE)</f>
        <v>Nordelta</v>
      </c>
    </row>
    <row r="1312" spans="1:23" x14ac:dyDescent="0.2">
      <c r="A1312" s="1">
        <v>45898</v>
      </c>
      <c r="B1312" s="20">
        <f t="shared" si="40"/>
        <v>2025</v>
      </c>
      <c r="C1312" s="20">
        <f t="shared" si="41"/>
        <v>8</v>
      </c>
      <c r="D1312" t="s">
        <v>3877</v>
      </c>
      <c r="E1312" s="49">
        <v>1</v>
      </c>
      <c r="F1312" t="s">
        <v>3878</v>
      </c>
      <c r="G1312" t="s">
        <v>21</v>
      </c>
      <c r="H1312" t="s">
        <v>37</v>
      </c>
      <c r="I1312" s="13">
        <v>112000</v>
      </c>
      <c r="J1312" s="13">
        <v>108000</v>
      </c>
      <c r="K1312" s="13">
        <f>IF(J1312&lt;'Mapa Oficinas'!$I$21,0,IF(J1312&gt;'Mapa Oficinas'!$I$20,0,1))</f>
        <v>1</v>
      </c>
      <c r="L1312" t="s">
        <v>23</v>
      </c>
      <c r="M1312" t="s">
        <v>23</v>
      </c>
      <c r="N1312" t="s">
        <v>3879</v>
      </c>
      <c r="O1312" t="s">
        <v>534</v>
      </c>
      <c r="P1312" t="s">
        <v>45</v>
      </c>
      <c r="Q1312">
        <v>2</v>
      </c>
      <c r="R1312" t="s">
        <v>170</v>
      </c>
      <c r="S1312" t="s">
        <v>200</v>
      </c>
      <c r="T1312" t="str">
        <f>VLOOKUP(S1312,'Mapa Oficinas'!$H$7:$I$16,2,FALSE)</f>
        <v>Otra Red Captación</v>
      </c>
      <c r="U1312" t="s">
        <v>29</v>
      </c>
      <c r="V1312" t="str">
        <f>VLOOKUP($R1312,'Mapa Oficinas'!$A$7:$C$46,2,FALSE)</f>
        <v>CABA</v>
      </c>
      <c r="W1312" t="str">
        <f>VLOOKUP($R1312,'Mapa Oficinas'!$A$7:$C$46,3,FALSE)</f>
        <v>Belgrano</v>
      </c>
    </row>
    <row r="1313" spans="1:23" x14ac:dyDescent="0.2">
      <c r="A1313" s="1">
        <v>45944</v>
      </c>
      <c r="B1313" s="20">
        <f t="shared" si="40"/>
        <v>2025</v>
      </c>
      <c r="C1313" s="20">
        <f t="shared" si="41"/>
        <v>10</v>
      </c>
      <c r="D1313" t="s">
        <v>4655</v>
      </c>
      <c r="E1313" s="49">
        <v>1</v>
      </c>
      <c r="F1313" t="s">
        <v>4656</v>
      </c>
      <c r="G1313" t="s">
        <v>21</v>
      </c>
      <c r="H1313" t="s">
        <v>37</v>
      </c>
      <c r="I1313" s="13">
        <v>126000</v>
      </c>
      <c r="J1313" s="13">
        <v>108000</v>
      </c>
      <c r="K1313" s="13">
        <f>IF(J1313&lt;'Mapa Oficinas'!$I$21,0,IF(J1313&gt;'Mapa Oficinas'!$I$20,0,1))</f>
        <v>1</v>
      </c>
      <c r="L1313" t="s">
        <v>23</v>
      </c>
      <c r="M1313" t="s">
        <v>23</v>
      </c>
      <c r="N1313" t="s">
        <v>4657</v>
      </c>
      <c r="O1313" t="s">
        <v>141</v>
      </c>
      <c r="P1313" t="s">
        <v>45</v>
      </c>
      <c r="Q1313">
        <v>2</v>
      </c>
      <c r="R1313" t="s">
        <v>1024</v>
      </c>
      <c r="S1313" t="s">
        <v>200</v>
      </c>
      <c r="T1313" t="str">
        <f>VLOOKUP(S1313,'Mapa Oficinas'!$H$7:$I$16,2,FALSE)</f>
        <v>Otra Red Captación</v>
      </c>
      <c r="U1313" t="s">
        <v>29</v>
      </c>
      <c r="V1313" t="str">
        <f>VLOOKUP($R1313,'Mapa Oficinas'!$A$7:$C$46,2,FALSE)</f>
        <v>CABA</v>
      </c>
      <c r="W1313" t="str">
        <f>VLOOKUP($R1313,'Mapa Oficinas'!$A$7:$C$46,3,FALSE)</f>
        <v>Puerto Madero</v>
      </c>
    </row>
    <row r="1314" spans="1:23" x14ac:dyDescent="0.2">
      <c r="A1314" s="1">
        <v>46071</v>
      </c>
      <c r="B1314" s="20">
        <f t="shared" si="40"/>
        <v>2026</v>
      </c>
      <c r="C1314" s="20">
        <f t="shared" si="41"/>
        <v>2</v>
      </c>
      <c r="D1314" t="s">
        <v>6740</v>
      </c>
      <c r="E1314" s="49">
        <v>1</v>
      </c>
      <c r="F1314" t="s">
        <v>6741</v>
      </c>
      <c r="G1314" t="s">
        <v>21</v>
      </c>
      <c r="H1314" t="s">
        <v>22</v>
      </c>
      <c r="I1314" s="13">
        <v>115000</v>
      </c>
      <c r="J1314" s="13">
        <v>108000</v>
      </c>
      <c r="K1314" s="13">
        <f>IF(J1314&lt;'Mapa Oficinas'!$I$21,0,IF(J1314&gt;'Mapa Oficinas'!$I$20,0,1))</f>
        <v>1</v>
      </c>
      <c r="L1314" t="s">
        <v>23</v>
      </c>
      <c r="M1314" t="s">
        <v>23</v>
      </c>
      <c r="N1314" t="s">
        <v>6742</v>
      </c>
      <c r="O1314" t="s">
        <v>1448</v>
      </c>
      <c r="P1314" t="s">
        <v>61</v>
      </c>
      <c r="Q1314">
        <v>2</v>
      </c>
      <c r="R1314" t="s">
        <v>5456</v>
      </c>
      <c r="S1314" t="s">
        <v>200</v>
      </c>
      <c r="T1314" t="str">
        <f>VLOOKUP(S1314,'Mapa Oficinas'!$H$7:$I$16,2,FALSE)</f>
        <v>Otra Red Captación</v>
      </c>
      <c r="U1314" t="s">
        <v>29</v>
      </c>
      <c r="V1314" t="str">
        <f>VLOOKUP($R1314,'Mapa Oficinas'!$A$7:$C$46,2,FALSE)</f>
        <v>CABA</v>
      </c>
      <c r="W1314" t="str">
        <f>VLOOKUP($R1314,'Mapa Oficinas'!$A$7:$C$46,3,FALSE)</f>
        <v>Núñez</v>
      </c>
    </row>
    <row r="1315" spans="1:23" x14ac:dyDescent="0.2">
      <c r="A1315" s="1">
        <v>45699</v>
      </c>
      <c r="B1315" s="20">
        <f t="shared" si="40"/>
        <v>2025</v>
      </c>
      <c r="C1315" s="20">
        <f t="shared" si="41"/>
        <v>2</v>
      </c>
      <c r="D1315" t="s">
        <v>551</v>
      </c>
      <c r="E1315" s="49">
        <v>1</v>
      </c>
      <c r="F1315" t="s">
        <v>551</v>
      </c>
      <c r="G1315" t="s">
        <v>21</v>
      </c>
      <c r="H1315" t="s">
        <v>37</v>
      </c>
      <c r="I1315" s="13">
        <v>108000</v>
      </c>
      <c r="J1315" s="13">
        <v>108000</v>
      </c>
      <c r="K1315" s="13">
        <f>IF(J1315&lt;'Mapa Oficinas'!$I$21,0,IF(J1315&gt;'Mapa Oficinas'!$I$20,0,1))</f>
        <v>1</v>
      </c>
      <c r="L1315" t="s">
        <v>23</v>
      </c>
      <c r="M1315" t="s">
        <v>23</v>
      </c>
      <c r="O1315" t="s">
        <v>552</v>
      </c>
      <c r="P1315" t="s">
        <v>45</v>
      </c>
      <c r="Q1315">
        <v>2</v>
      </c>
      <c r="R1315" t="s">
        <v>321</v>
      </c>
      <c r="S1315" t="s">
        <v>28</v>
      </c>
      <c r="T1315" t="str">
        <f>VLOOKUP(S1315,'Mapa Oficinas'!$H$7:$I$16,2,FALSE)</f>
        <v>CB</v>
      </c>
      <c r="U1315" t="s">
        <v>29</v>
      </c>
      <c r="V1315" t="str">
        <f>VLOOKUP($R1315,'Mapa Oficinas'!$A$7:$C$46,2,FALSE)</f>
        <v>CABA</v>
      </c>
      <c r="W1315" t="str">
        <f>VLOOKUP($R1315,'Mapa Oficinas'!$A$7:$C$46,3,FALSE)</f>
        <v>Palermo</v>
      </c>
    </row>
    <row r="1316" spans="1:23" x14ac:dyDescent="0.2">
      <c r="A1316" s="1">
        <v>45728</v>
      </c>
      <c r="B1316" s="20">
        <f t="shared" si="40"/>
        <v>2025</v>
      </c>
      <c r="C1316" s="20">
        <f t="shared" si="41"/>
        <v>3</v>
      </c>
      <c r="D1316" t="s">
        <v>749</v>
      </c>
      <c r="E1316" s="49">
        <v>1</v>
      </c>
      <c r="F1316" t="s">
        <v>750</v>
      </c>
      <c r="G1316" t="s">
        <v>21</v>
      </c>
      <c r="H1316" t="s">
        <v>37</v>
      </c>
      <c r="I1316" s="13">
        <v>108000</v>
      </c>
      <c r="J1316" s="13">
        <v>108000</v>
      </c>
      <c r="K1316" s="13">
        <f>IF(J1316&lt;'Mapa Oficinas'!$I$21,0,IF(J1316&gt;'Mapa Oficinas'!$I$20,0,1))</f>
        <v>1</v>
      </c>
      <c r="L1316" t="s">
        <v>23</v>
      </c>
      <c r="M1316" t="s">
        <v>23</v>
      </c>
      <c r="N1316" t="s">
        <v>751</v>
      </c>
      <c r="O1316" t="s">
        <v>738</v>
      </c>
      <c r="P1316" t="s">
        <v>45</v>
      </c>
      <c r="Q1316">
        <v>2</v>
      </c>
      <c r="R1316" t="s">
        <v>670</v>
      </c>
      <c r="S1316" t="s">
        <v>28</v>
      </c>
      <c r="T1316" t="str">
        <f>VLOOKUP(S1316,'Mapa Oficinas'!$H$7:$I$16,2,FALSE)</f>
        <v>CB</v>
      </c>
      <c r="U1316" t="s">
        <v>29</v>
      </c>
      <c r="V1316" t="str">
        <f>VLOOKUP($R1316,'Mapa Oficinas'!$A$7:$C$46,2,FALSE)</f>
        <v>CABA</v>
      </c>
      <c r="W1316" t="str">
        <f>VLOOKUP($R1316,'Mapa Oficinas'!$A$7:$C$46,3,FALSE)</f>
        <v>Recoleta</v>
      </c>
    </row>
    <row r="1317" spans="1:23" x14ac:dyDescent="0.2">
      <c r="A1317" s="1">
        <v>46014</v>
      </c>
      <c r="B1317" s="20">
        <f t="shared" si="40"/>
        <v>2025</v>
      </c>
      <c r="C1317" s="20">
        <f t="shared" si="41"/>
        <v>12</v>
      </c>
      <c r="D1317" t="s">
        <v>5978</v>
      </c>
      <c r="E1317" s="49">
        <v>1</v>
      </c>
      <c r="F1317" t="s">
        <v>5979</v>
      </c>
      <c r="G1317" t="s">
        <v>21</v>
      </c>
      <c r="H1317" t="s">
        <v>37</v>
      </c>
      <c r="I1317" s="13">
        <v>115000</v>
      </c>
      <c r="J1317" s="13">
        <v>108000</v>
      </c>
      <c r="K1317" s="13">
        <f>IF(J1317&lt;'Mapa Oficinas'!$I$21,0,IF(J1317&gt;'Mapa Oficinas'!$I$20,0,1))</f>
        <v>1</v>
      </c>
      <c r="L1317" t="s">
        <v>23</v>
      </c>
      <c r="M1317" t="s">
        <v>23</v>
      </c>
      <c r="N1317" t="s">
        <v>5980</v>
      </c>
      <c r="O1317" t="s">
        <v>470</v>
      </c>
      <c r="P1317" t="s">
        <v>45</v>
      </c>
      <c r="Q1317">
        <v>2</v>
      </c>
      <c r="R1317" t="s">
        <v>67</v>
      </c>
      <c r="S1317" t="s">
        <v>28</v>
      </c>
      <c r="T1317" t="str">
        <f>VLOOKUP(S1317,'Mapa Oficinas'!$H$7:$I$16,2,FALSE)</f>
        <v>CB</v>
      </c>
      <c r="U1317" t="s">
        <v>29</v>
      </c>
      <c r="V1317" t="str">
        <f>VLOOKUP($R1317,'Mapa Oficinas'!$A$7:$C$46,2,FALSE)</f>
        <v>CABA</v>
      </c>
      <c r="W1317" t="str">
        <f>VLOOKUP($R1317,'Mapa Oficinas'!$A$7:$C$46,3,FALSE)</f>
        <v>Barrio Parque</v>
      </c>
    </row>
    <row r="1318" spans="1:23" x14ac:dyDescent="0.2">
      <c r="A1318" s="1">
        <v>46076</v>
      </c>
      <c r="B1318" s="20">
        <f t="shared" si="40"/>
        <v>2026</v>
      </c>
      <c r="C1318" s="20">
        <f t="shared" si="41"/>
        <v>2</v>
      </c>
      <c r="D1318" t="s">
        <v>6815</v>
      </c>
      <c r="E1318" s="49">
        <v>1</v>
      </c>
      <c r="F1318" t="s">
        <v>6816</v>
      </c>
      <c r="G1318" t="s">
        <v>21</v>
      </c>
      <c r="H1318" t="s">
        <v>37</v>
      </c>
      <c r="I1318" s="13">
        <v>113000</v>
      </c>
      <c r="J1318" s="13">
        <v>108000</v>
      </c>
      <c r="K1318" s="13">
        <f>IF(J1318&lt;'Mapa Oficinas'!$I$21,0,IF(J1318&gt;'Mapa Oficinas'!$I$20,0,1))</f>
        <v>1</v>
      </c>
      <c r="L1318" t="s">
        <v>23</v>
      </c>
      <c r="M1318" t="s">
        <v>23</v>
      </c>
      <c r="N1318" t="s">
        <v>6817</v>
      </c>
      <c r="O1318" t="s">
        <v>804</v>
      </c>
      <c r="P1318" t="s">
        <v>45</v>
      </c>
      <c r="Q1318">
        <v>2</v>
      </c>
      <c r="R1318" t="s">
        <v>67</v>
      </c>
      <c r="S1318" t="s">
        <v>28</v>
      </c>
      <c r="T1318" t="str">
        <f>VLOOKUP(S1318,'Mapa Oficinas'!$H$7:$I$16,2,FALSE)</f>
        <v>CB</v>
      </c>
      <c r="U1318" t="s">
        <v>29</v>
      </c>
      <c r="V1318" t="str">
        <f>VLOOKUP($R1318,'Mapa Oficinas'!$A$7:$C$46,2,FALSE)</f>
        <v>CABA</v>
      </c>
      <c r="W1318" t="str">
        <f>VLOOKUP($R1318,'Mapa Oficinas'!$A$7:$C$46,3,FALSE)</f>
        <v>Barrio Parque</v>
      </c>
    </row>
    <row r="1319" spans="1:23" x14ac:dyDescent="0.2">
      <c r="A1319" s="1">
        <v>45853</v>
      </c>
      <c r="B1319" s="20">
        <f t="shared" si="40"/>
        <v>2025</v>
      </c>
      <c r="C1319" s="20">
        <f t="shared" si="41"/>
        <v>7</v>
      </c>
      <c r="D1319" t="s">
        <v>3047</v>
      </c>
      <c r="E1319" s="49">
        <v>1</v>
      </c>
      <c r="F1319" t="s">
        <v>3048</v>
      </c>
      <c r="G1319" t="s">
        <v>21</v>
      </c>
      <c r="H1319" t="s">
        <v>37</v>
      </c>
      <c r="I1319" s="13">
        <v>112000</v>
      </c>
      <c r="J1319" s="13">
        <v>108500</v>
      </c>
      <c r="K1319" s="13">
        <f>IF(J1319&lt;'Mapa Oficinas'!$I$21,0,IF(J1319&gt;'Mapa Oficinas'!$I$20,0,1))</f>
        <v>1</v>
      </c>
      <c r="L1319" t="s">
        <v>23</v>
      </c>
      <c r="M1319" t="s">
        <v>23</v>
      </c>
      <c r="N1319" t="s">
        <v>3049</v>
      </c>
      <c r="O1319" t="s">
        <v>190</v>
      </c>
      <c r="P1319" t="s">
        <v>45</v>
      </c>
      <c r="Q1319">
        <v>2</v>
      </c>
      <c r="R1319" t="s">
        <v>135</v>
      </c>
      <c r="S1319" t="s">
        <v>28</v>
      </c>
      <c r="T1319" t="str">
        <f>VLOOKUP(S1319,'Mapa Oficinas'!$H$7:$I$16,2,FALSE)</f>
        <v>CB</v>
      </c>
      <c r="U1319" t="s">
        <v>29</v>
      </c>
      <c r="V1319" t="str">
        <f>VLOOKUP($R1319,'Mapa Oficinas'!$A$7:$C$46,2,FALSE)</f>
        <v>CABA</v>
      </c>
      <c r="W1319" t="str">
        <f>VLOOKUP($R1319,'Mapa Oficinas'!$A$7:$C$46,3,FALSE)</f>
        <v>Recoleta</v>
      </c>
    </row>
    <row r="1320" spans="1:23" x14ac:dyDescent="0.2">
      <c r="A1320" s="1">
        <v>46008</v>
      </c>
      <c r="B1320" s="20">
        <f t="shared" si="40"/>
        <v>2025</v>
      </c>
      <c r="C1320" s="20">
        <f t="shared" si="41"/>
        <v>12</v>
      </c>
      <c r="D1320" t="s">
        <v>5842</v>
      </c>
      <c r="E1320" s="49">
        <v>1</v>
      </c>
      <c r="F1320" t="s">
        <v>5843</v>
      </c>
      <c r="G1320" t="s">
        <v>21</v>
      </c>
      <c r="H1320" t="s">
        <v>100</v>
      </c>
      <c r="I1320" s="13">
        <v>109000</v>
      </c>
      <c r="J1320" s="13">
        <v>109000</v>
      </c>
      <c r="K1320" s="13">
        <f>IF(J1320&lt;'Mapa Oficinas'!$I$21,0,IF(J1320&gt;'Mapa Oficinas'!$I$20,0,1))</f>
        <v>1</v>
      </c>
      <c r="L1320" t="s">
        <v>23</v>
      </c>
      <c r="M1320" t="s">
        <v>23</v>
      </c>
      <c r="N1320" t="s">
        <v>285</v>
      </c>
      <c r="O1320" t="s">
        <v>209</v>
      </c>
      <c r="P1320" t="s">
        <v>55</v>
      </c>
      <c r="Q1320">
        <v>1</v>
      </c>
      <c r="R1320" t="s">
        <v>121</v>
      </c>
      <c r="S1320" t="s">
        <v>152</v>
      </c>
      <c r="T1320" t="str">
        <f>VLOOKUP(S1320,'Mapa Oficinas'!$H$7:$I$16,2,FALSE)</f>
        <v>Otra Red Captación</v>
      </c>
      <c r="U1320" t="s">
        <v>29</v>
      </c>
      <c r="V1320" t="str">
        <f>VLOOKUP($R1320,'Mapa Oficinas'!$A$7:$C$46,2,FALSE)</f>
        <v>Interior - Río Negro</v>
      </c>
      <c r="W1320" t="str">
        <f>VLOOKUP($R1320,'Mapa Oficinas'!$A$7:$C$46,3,FALSE)</f>
        <v>Bariloche</v>
      </c>
    </row>
    <row r="1321" spans="1:23" x14ac:dyDescent="0.2">
      <c r="A1321" s="1">
        <v>45701</v>
      </c>
      <c r="B1321" s="20">
        <f t="shared" si="40"/>
        <v>2025</v>
      </c>
      <c r="C1321" s="20">
        <f t="shared" si="41"/>
        <v>2</v>
      </c>
      <c r="D1321" t="s">
        <v>578</v>
      </c>
      <c r="E1321" s="49">
        <v>1</v>
      </c>
      <c r="F1321" t="s">
        <v>579</v>
      </c>
      <c r="G1321" t="s">
        <v>21</v>
      </c>
      <c r="H1321" t="s">
        <v>100</v>
      </c>
      <c r="I1321" s="13">
        <v>129500</v>
      </c>
      <c r="J1321" s="13">
        <v>109000</v>
      </c>
      <c r="K1321" s="13">
        <f>IF(J1321&lt;'Mapa Oficinas'!$I$21,0,IF(J1321&gt;'Mapa Oficinas'!$I$20,0,1))</f>
        <v>1</v>
      </c>
      <c r="L1321" t="s">
        <v>23</v>
      </c>
      <c r="M1321" t="s">
        <v>23</v>
      </c>
      <c r="N1321" t="s">
        <v>580</v>
      </c>
      <c r="O1321" t="s">
        <v>581</v>
      </c>
      <c r="P1321" t="s">
        <v>34</v>
      </c>
      <c r="Q1321">
        <v>2</v>
      </c>
      <c r="R1321" t="s">
        <v>151</v>
      </c>
      <c r="S1321" t="s">
        <v>28</v>
      </c>
      <c r="T1321" t="str">
        <f>VLOOKUP(S1321,'Mapa Oficinas'!$H$7:$I$16,2,FALSE)</f>
        <v>CB</v>
      </c>
      <c r="U1321" t="s">
        <v>29</v>
      </c>
      <c r="V1321" t="str">
        <f>VLOOKUP($R1321,'Mapa Oficinas'!$A$7:$C$46,2,FALSE)</f>
        <v>Interior - Mendoza</v>
      </c>
      <c r="W1321" t="str">
        <f>VLOOKUP($R1321,'Mapa Oficinas'!$A$7:$C$46,3,FALSE)</f>
        <v>Capital Mendoza</v>
      </c>
    </row>
    <row r="1322" spans="1:23" x14ac:dyDescent="0.2">
      <c r="A1322" s="1">
        <v>45973</v>
      </c>
      <c r="B1322" s="20">
        <f t="shared" si="40"/>
        <v>2025</v>
      </c>
      <c r="C1322" s="20">
        <f t="shared" si="41"/>
        <v>11</v>
      </c>
      <c r="D1322" t="s">
        <v>5167</v>
      </c>
      <c r="E1322" s="49">
        <v>1</v>
      </c>
      <c r="F1322" t="s">
        <v>5168</v>
      </c>
      <c r="G1322" t="s">
        <v>21</v>
      </c>
      <c r="H1322" t="s">
        <v>22</v>
      </c>
      <c r="I1322" s="13">
        <v>115000</v>
      </c>
      <c r="J1322" s="13">
        <v>109000</v>
      </c>
      <c r="K1322" s="13">
        <f>IF(J1322&lt;'Mapa Oficinas'!$I$21,0,IF(J1322&gt;'Mapa Oficinas'!$I$20,0,1))</f>
        <v>1</v>
      </c>
      <c r="L1322" t="s">
        <v>23</v>
      </c>
      <c r="M1322" t="s">
        <v>23</v>
      </c>
      <c r="N1322" t="s">
        <v>5169</v>
      </c>
      <c r="O1322" t="s">
        <v>976</v>
      </c>
      <c r="P1322" t="s">
        <v>45</v>
      </c>
      <c r="Q1322">
        <v>2</v>
      </c>
      <c r="R1322" t="s">
        <v>110</v>
      </c>
      <c r="S1322" t="s">
        <v>28</v>
      </c>
      <c r="T1322" t="str">
        <f>VLOOKUP(S1322,'Mapa Oficinas'!$H$7:$I$16,2,FALSE)</f>
        <v>CB</v>
      </c>
      <c r="U1322" t="s">
        <v>29</v>
      </c>
      <c r="V1322" t="str">
        <f>VLOOKUP($R1322,'Mapa Oficinas'!$A$7:$C$46,2,FALSE)</f>
        <v>Zona Norte (GBA)</v>
      </c>
      <c r="W1322" t="str">
        <f>VLOOKUP($R1322,'Mapa Oficinas'!$A$7:$C$46,3,FALSE)</f>
        <v>Nordelta</v>
      </c>
    </row>
    <row r="1323" spans="1:23" x14ac:dyDescent="0.2">
      <c r="A1323" s="1">
        <v>45803</v>
      </c>
      <c r="B1323" s="20">
        <f t="shared" si="40"/>
        <v>2025</v>
      </c>
      <c r="C1323" s="20">
        <f t="shared" si="41"/>
        <v>5</v>
      </c>
      <c r="D1323" t="s">
        <v>2134</v>
      </c>
      <c r="E1323" s="49">
        <v>1</v>
      </c>
      <c r="F1323" t="s">
        <v>2135</v>
      </c>
      <c r="G1323" t="s">
        <v>21</v>
      </c>
      <c r="H1323" t="s">
        <v>37</v>
      </c>
      <c r="I1323" s="13">
        <v>109900</v>
      </c>
      <c r="J1323" s="13">
        <v>109900</v>
      </c>
      <c r="K1323" s="13">
        <f>IF(J1323&lt;'Mapa Oficinas'!$I$21,0,IF(J1323&gt;'Mapa Oficinas'!$I$20,0,1))</f>
        <v>1</v>
      </c>
      <c r="L1323" t="s">
        <v>23</v>
      </c>
      <c r="M1323" t="s">
        <v>23</v>
      </c>
      <c r="N1323" t="s">
        <v>2136</v>
      </c>
      <c r="O1323" t="s">
        <v>976</v>
      </c>
      <c r="P1323" t="s">
        <v>45</v>
      </c>
      <c r="Q1323">
        <v>2</v>
      </c>
      <c r="R1323" t="s">
        <v>67</v>
      </c>
      <c r="S1323" t="s">
        <v>28</v>
      </c>
      <c r="T1323" t="str">
        <f>VLOOKUP(S1323,'Mapa Oficinas'!$H$7:$I$16,2,FALSE)</f>
        <v>CB</v>
      </c>
      <c r="U1323" t="s">
        <v>29</v>
      </c>
      <c r="V1323" t="str">
        <f>VLOOKUP($R1323,'Mapa Oficinas'!$A$7:$C$46,2,FALSE)</f>
        <v>CABA</v>
      </c>
      <c r="W1323" t="str">
        <f>VLOOKUP($R1323,'Mapa Oficinas'!$A$7:$C$46,3,FALSE)</f>
        <v>Barrio Parque</v>
      </c>
    </row>
    <row r="1324" spans="1:23" x14ac:dyDescent="0.2">
      <c r="A1324" s="1">
        <v>45902</v>
      </c>
      <c r="B1324" s="20">
        <f t="shared" si="40"/>
        <v>2025</v>
      </c>
      <c r="C1324" s="20">
        <f t="shared" si="41"/>
        <v>9</v>
      </c>
      <c r="D1324">
        <v>2092025</v>
      </c>
      <c r="E1324" s="49">
        <v>1</v>
      </c>
      <c r="F1324" t="s">
        <v>3953</v>
      </c>
      <c r="G1324" t="s">
        <v>21</v>
      </c>
      <c r="H1324" t="s">
        <v>100</v>
      </c>
      <c r="I1324" s="13">
        <v>110000</v>
      </c>
      <c r="J1324" s="13">
        <v>110000</v>
      </c>
      <c r="K1324" s="13">
        <f>IF(J1324&lt;'Mapa Oficinas'!$I$21,0,IF(J1324&gt;'Mapa Oficinas'!$I$20,0,1))</f>
        <v>1</v>
      </c>
      <c r="L1324" t="s">
        <v>23</v>
      </c>
      <c r="M1324" t="s">
        <v>23</v>
      </c>
      <c r="O1324" t="s">
        <v>120</v>
      </c>
      <c r="P1324" t="s">
        <v>45</v>
      </c>
      <c r="Q1324">
        <v>1</v>
      </c>
      <c r="R1324" t="s">
        <v>121</v>
      </c>
      <c r="S1324" t="s">
        <v>122</v>
      </c>
      <c r="T1324" t="str">
        <f>VLOOKUP(S1324,'Mapa Oficinas'!$H$7:$I$16,2,FALSE)</f>
        <v>Otra Red Búsqueda</v>
      </c>
      <c r="U1324" t="s">
        <v>29</v>
      </c>
      <c r="V1324" t="str">
        <f>VLOOKUP($R1324,'Mapa Oficinas'!$A$7:$C$46,2,FALSE)</f>
        <v>Interior - Río Negro</v>
      </c>
      <c r="W1324" t="str">
        <f>VLOOKUP($R1324,'Mapa Oficinas'!$A$7:$C$46,3,FALSE)</f>
        <v>Bariloche</v>
      </c>
    </row>
    <row r="1325" spans="1:23" x14ac:dyDescent="0.2">
      <c r="A1325" s="1">
        <v>45923</v>
      </c>
      <c r="B1325" s="20">
        <f t="shared" si="40"/>
        <v>2025</v>
      </c>
      <c r="C1325" s="20">
        <f t="shared" si="41"/>
        <v>9</v>
      </c>
      <c r="D1325" t="s">
        <v>4291</v>
      </c>
      <c r="E1325" s="49">
        <v>1</v>
      </c>
      <c r="F1325" t="s">
        <v>4292</v>
      </c>
      <c r="G1325" t="s">
        <v>21</v>
      </c>
      <c r="H1325" t="s">
        <v>37</v>
      </c>
      <c r="I1325" s="13">
        <v>110000</v>
      </c>
      <c r="J1325" s="13">
        <v>110000</v>
      </c>
      <c r="K1325" s="13">
        <f>IF(J1325&lt;'Mapa Oficinas'!$I$21,0,IF(J1325&gt;'Mapa Oficinas'!$I$20,0,1))</f>
        <v>1</v>
      </c>
      <c r="L1325" t="s">
        <v>23</v>
      </c>
      <c r="M1325" t="s">
        <v>23</v>
      </c>
      <c r="N1325" t="s">
        <v>4293</v>
      </c>
      <c r="O1325" t="s">
        <v>1196</v>
      </c>
      <c r="P1325" t="s">
        <v>45</v>
      </c>
      <c r="Q1325">
        <v>1</v>
      </c>
      <c r="R1325" t="s">
        <v>823</v>
      </c>
      <c r="S1325" t="s">
        <v>122</v>
      </c>
      <c r="T1325" t="str">
        <f>VLOOKUP(S1325,'Mapa Oficinas'!$H$7:$I$16,2,FALSE)</f>
        <v>Otra Red Búsqueda</v>
      </c>
      <c r="U1325" t="s">
        <v>29</v>
      </c>
      <c r="V1325" t="str">
        <f>VLOOKUP($R1325,'Mapa Oficinas'!$A$7:$C$46,2,FALSE)</f>
        <v>Zona Norte (GBA)</v>
      </c>
      <c r="W1325" t="str">
        <f>VLOOKUP($R1325,'Mapa Oficinas'!$A$7:$C$46,3,FALSE)</f>
        <v>Pilar</v>
      </c>
    </row>
    <row r="1326" spans="1:23" x14ac:dyDescent="0.2">
      <c r="A1326" s="1">
        <v>45930</v>
      </c>
      <c r="B1326" s="20">
        <f t="shared" si="40"/>
        <v>2025</v>
      </c>
      <c r="C1326" s="20">
        <f t="shared" si="41"/>
        <v>9</v>
      </c>
      <c r="D1326" t="s">
        <v>4425</v>
      </c>
      <c r="E1326" s="49">
        <v>1</v>
      </c>
      <c r="F1326" t="s">
        <v>4426</v>
      </c>
      <c r="G1326" t="s">
        <v>21</v>
      </c>
      <c r="H1326" t="s">
        <v>100</v>
      </c>
      <c r="I1326" s="13">
        <v>117000</v>
      </c>
      <c r="J1326" s="13">
        <v>110000</v>
      </c>
      <c r="K1326" s="13">
        <f>IF(J1326&lt;'Mapa Oficinas'!$I$21,0,IF(J1326&gt;'Mapa Oficinas'!$I$20,0,1))</f>
        <v>1</v>
      </c>
      <c r="L1326" t="s">
        <v>23</v>
      </c>
      <c r="M1326" t="s">
        <v>23</v>
      </c>
      <c r="N1326" t="s">
        <v>1399</v>
      </c>
      <c r="O1326" t="s">
        <v>1277</v>
      </c>
      <c r="P1326" t="s">
        <v>61</v>
      </c>
      <c r="Q1326">
        <v>1</v>
      </c>
      <c r="R1326" t="s">
        <v>121</v>
      </c>
      <c r="S1326" t="s">
        <v>122</v>
      </c>
      <c r="T1326" t="str">
        <f>VLOOKUP(S1326,'Mapa Oficinas'!$H$7:$I$16,2,FALSE)</f>
        <v>Otra Red Búsqueda</v>
      </c>
      <c r="U1326" t="s">
        <v>29</v>
      </c>
      <c r="V1326" t="str">
        <f>VLOOKUP($R1326,'Mapa Oficinas'!$A$7:$C$46,2,FALSE)</f>
        <v>Interior - Río Negro</v>
      </c>
      <c r="W1326" t="str">
        <f>VLOOKUP($R1326,'Mapa Oficinas'!$A$7:$C$46,3,FALSE)</f>
        <v>Bariloche</v>
      </c>
    </row>
    <row r="1327" spans="1:23" x14ac:dyDescent="0.2">
      <c r="A1327" s="1">
        <v>45965</v>
      </c>
      <c r="B1327" s="20">
        <f t="shared" si="40"/>
        <v>2025</v>
      </c>
      <c r="C1327" s="20">
        <f t="shared" si="41"/>
        <v>11</v>
      </c>
      <c r="D1327">
        <v>4112025</v>
      </c>
      <c r="E1327" s="49">
        <v>1</v>
      </c>
      <c r="F1327" t="s">
        <v>5048</v>
      </c>
      <c r="G1327" t="s">
        <v>21</v>
      </c>
      <c r="H1327" t="s">
        <v>100</v>
      </c>
      <c r="I1327" s="13">
        <v>110000</v>
      </c>
      <c r="J1327" s="13">
        <v>110000</v>
      </c>
      <c r="K1327" s="13">
        <f>IF(J1327&lt;'Mapa Oficinas'!$I$21,0,IF(J1327&gt;'Mapa Oficinas'!$I$20,0,1))</f>
        <v>1</v>
      </c>
      <c r="L1327" t="s">
        <v>23</v>
      </c>
      <c r="M1327" t="s">
        <v>23</v>
      </c>
      <c r="N1327" t="s">
        <v>5048</v>
      </c>
      <c r="O1327" t="s">
        <v>120</v>
      </c>
      <c r="P1327" t="s">
        <v>45</v>
      </c>
      <c r="Q1327">
        <v>1</v>
      </c>
      <c r="R1327" t="s">
        <v>121</v>
      </c>
      <c r="S1327" t="s">
        <v>122</v>
      </c>
      <c r="T1327" t="str">
        <f>VLOOKUP(S1327,'Mapa Oficinas'!$H$7:$I$16,2,FALSE)</f>
        <v>Otra Red Búsqueda</v>
      </c>
      <c r="U1327" t="s">
        <v>29</v>
      </c>
      <c r="V1327" t="str">
        <f>VLOOKUP($R1327,'Mapa Oficinas'!$A$7:$C$46,2,FALSE)</f>
        <v>Interior - Río Negro</v>
      </c>
      <c r="W1327" t="str">
        <f>VLOOKUP($R1327,'Mapa Oficinas'!$A$7:$C$46,3,FALSE)</f>
        <v>Bariloche</v>
      </c>
    </row>
    <row r="1328" spans="1:23" x14ac:dyDescent="0.2">
      <c r="A1328" s="1">
        <v>45817</v>
      </c>
      <c r="B1328" s="20">
        <f t="shared" si="40"/>
        <v>2025</v>
      </c>
      <c r="C1328" s="20">
        <f t="shared" si="41"/>
        <v>6</v>
      </c>
      <c r="D1328" t="s">
        <v>2391</v>
      </c>
      <c r="E1328" s="49">
        <v>1</v>
      </c>
      <c r="F1328" t="s">
        <v>2392</v>
      </c>
      <c r="G1328" t="s">
        <v>21</v>
      </c>
      <c r="H1328" t="s">
        <v>37</v>
      </c>
      <c r="I1328" s="13">
        <v>120000</v>
      </c>
      <c r="J1328" s="13">
        <v>110000</v>
      </c>
      <c r="K1328" s="13">
        <f>IF(J1328&lt;'Mapa Oficinas'!$I$21,0,IF(J1328&gt;'Mapa Oficinas'!$I$20,0,1))</f>
        <v>1</v>
      </c>
      <c r="L1328" t="s">
        <v>23</v>
      </c>
      <c r="M1328" t="s">
        <v>23</v>
      </c>
      <c r="N1328" t="s">
        <v>2393</v>
      </c>
      <c r="O1328" t="s">
        <v>2394</v>
      </c>
      <c r="P1328" t="s">
        <v>61</v>
      </c>
      <c r="Q1328">
        <v>2</v>
      </c>
      <c r="R1328" t="s">
        <v>62</v>
      </c>
      <c r="S1328" t="s">
        <v>79</v>
      </c>
      <c r="T1328" t="str">
        <f>VLOOKUP(S1328,'Mapa Oficinas'!$H$7:$I$16,2,FALSE)</f>
        <v>CB</v>
      </c>
      <c r="U1328" t="s">
        <v>29</v>
      </c>
      <c r="V1328" t="str">
        <f>VLOOKUP($R1328,'Mapa Oficinas'!$A$7:$C$46,2,FALSE)</f>
        <v>CABA</v>
      </c>
      <c r="W1328" t="str">
        <f>VLOOKUP($R1328,'Mapa Oficinas'!$A$7:$C$46,3,FALSE)</f>
        <v>Villa Urquiza</v>
      </c>
    </row>
    <row r="1329" spans="1:23" x14ac:dyDescent="0.2">
      <c r="A1329" s="1">
        <v>45866</v>
      </c>
      <c r="B1329" s="20">
        <f t="shared" si="40"/>
        <v>2025</v>
      </c>
      <c r="C1329" s="20">
        <f t="shared" si="41"/>
        <v>7</v>
      </c>
      <c r="E1329" s="49">
        <v>1</v>
      </c>
      <c r="F1329" t="s">
        <v>3259</v>
      </c>
      <c r="G1329" t="s">
        <v>21</v>
      </c>
      <c r="H1329" t="s">
        <v>221</v>
      </c>
      <c r="I1329" s="13">
        <v>110000</v>
      </c>
      <c r="J1329" s="13">
        <v>110000</v>
      </c>
      <c r="K1329" s="13">
        <f>IF(J1329&lt;'Mapa Oficinas'!$I$21,0,IF(J1329&gt;'Mapa Oficinas'!$I$20,0,1))</f>
        <v>1</v>
      </c>
      <c r="L1329" t="s">
        <v>23</v>
      </c>
      <c r="M1329" t="s">
        <v>23</v>
      </c>
      <c r="N1329" t="s">
        <v>3260</v>
      </c>
      <c r="O1329" t="s">
        <v>83</v>
      </c>
      <c r="P1329" t="s">
        <v>45</v>
      </c>
      <c r="Q1329">
        <v>2</v>
      </c>
      <c r="R1329" t="s">
        <v>84</v>
      </c>
      <c r="S1329" t="s">
        <v>79</v>
      </c>
      <c r="T1329" t="str">
        <f>VLOOKUP(S1329,'Mapa Oficinas'!$H$7:$I$16,2,FALSE)</f>
        <v>CB</v>
      </c>
      <c r="U1329" t="s">
        <v>29</v>
      </c>
      <c r="V1329" t="str">
        <f>VLOOKUP($R1329,'Mapa Oficinas'!$A$7:$C$46,2,FALSE)</f>
        <v>Interior - Neuquén</v>
      </c>
      <c r="W1329" t="str">
        <f>VLOOKUP($R1329,'Mapa Oficinas'!$A$7:$C$46,3,FALSE)</f>
        <v>Villa La Angostura</v>
      </c>
    </row>
    <row r="1330" spans="1:23" x14ac:dyDescent="0.2">
      <c r="A1330" s="1">
        <v>46038</v>
      </c>
      <c r="B1330" s="20">
        <f t="shared" si="40"/>
        <v>2026</v>
      </c>
      <c r="C1330" s="20">
        <f t="shared" si="41"/>
        <v>1</v>
      </c>
      <c r="D1330" t="s">
        <v>6288</v>
      </c>
      <c r="E1330" s="49">
        <v>1</v>
      </c>
      <c r="F1330" t="s">
        <v>6289</v>
      </c>
      <c r="G1330" t="s">
        <v>21</v>
      </c>
      <c r="H1330" t="s">
        <v>37</v>
      </c>
      <c r="I1330" s="13">
        <v>115000</v>
      </c>
      <c r="J1330" s="13">
        <v>110000</v>
      </c>
      <c r="K1330" s="13">
        <f>IF(J1330&lt;'Mapa Oficinas'!$I$21,0,IF(J1330&gt;'Mapa Oficinas'!$I$20,0,1))</f>
        <v>1</v>
      </c>
      <c r="L1330" t="s">
        <v>23</v>
      </c>
      <c r="M1330" t="s">
        <v>23</v>
      </c>
      <c r="N1330" t="s">
        <v>6290</v>
      </c>
      <c r="O1330" t="s">
        <v>1511</v>
      </c>
      <c r="P1330" t="s">
        <v>34</v>
      </c>
      <c r="Q1330">
        <v>2</v>
      </c>
      <c r="R1330" t="s">
        <v>110</v>
      </c>
      <c r="S1330" t="s">
        <v>79</v>
      </c>
      <c r="T1330" t="str">
        <f>VLOOKUP(S1330,'Mapa Oficinas'!$H$7:$I$16,2,FALSE)</f>
        <v>CB</v>
      </c>
      <c r="U1330" t="s">
        <v>29</v>
      </c>
      <c r="V1330" t="str">
        <f>VLOOKUP($R1330,'Mapa Oficinas'!$A$7:$C$46,2,FALSE)</f>
        <v>Zona Norte (GBA)</v>
      </c>
      <c r="W1330" t="str">
        <f>VLOOKUP($R1330,'Mapa Oficinas'!$A$7:$C$46,3,FALSE)</f>
        <v>Nordelta</v>
      </c>
    </row>
    <row r="1331" spans="1:23" x14ac:dyDescent="0.2">
      <c r="A1331" s="1">
        <v>46095</v>
      </c>
      <c r="B1331" s="20">
        <f t="shared" si="40"/>
        <v>2026</v>
      </c>
      <c r="C1331" s="20">
        <f t="shared" si="41"/>
        <v>3</v>
      </c>
      <c r="D1331" t="s">
        <v>7186</v>
      </c>
      <c r="E1331" s="49">
        <v>1</v>
      </c>
      <c r="F1331" t="s">
        <v>7187</v>
      </c>
      <c r="G1331" t="s">
        <v>21</v>
      </c>
      <c r="H1331" t="s">
        <v>76</v>
      </c>
      <c r="I1331" s="13">
        <v>110000</v>
      </c>
      <c r="J1331" s="13">
        <v>110000</v>
      </c>
      <c r="K1331" s="13">
        <f>IF(J1331&lt;'Mapa Oficinas'!$I$21,0,IF(J1331&gt;'Mapa Oficinas'!$I$20,0,1))</f>
        <v>1</v>
      </c>
      <c r="L1331" t="s">
        <v>23</v>
      </c>
      <c r="M1331" t="s">
        <v>23</v>
      </c>
      <c r="N1331" t="s">
        <v>7188</v>
      </c>
      <c r="O1331" t="s">
        <v>7183</v>
      </c>
      <c r="P1331" t="s">
        <v>34</v>
      </c>
      <c r="Q1331">
        <v>2</v>
      </c>
      <c r="R1331" t="s">
        <v>482</v>
      </c>
      <c r="S1331" t="s">
        <v>79</v>
      </c>
      <c r="T1331" t="str">
        <f>VLOOKUP(S1331,'Mapa Oficinas'!$H$7:$I$16,2,FALSE)</f>
        <v>CB</v>
      </c>
      <c r="U1331" t="s">
        <v>29</v>
      </c>
      <c r="V1331" t="str">
        <f>VLOOKUP($R1331,'Mapa Oficinas'!$A$7:$C$46,2,FALSE)</f>
        <v>Interior - Jujuy</v>
      </c>
      <c r="W1331" t="str">
        <f>VLOOKUP($R1331,'Mapa Oficinas'!$A$7:$C$46,3,FALSE)</f>
        <v>Capital Jujuy</v>
      </c>
    </row>
    <row r="1332" spans="1:23" x14ac:dyDescent="0.2">
      <c r="A1332" s="1">
        <v>45666</v>
      </c>
      <c r="B1332" s="20">
        <f t="shared" si="40"/>
        <v>2025</v>
      </c>
      <c r="C1332" s="20">
        <f t="shared" si="41"/>
        <v>1</v>
      </c>
      <c r="D1332" t="s">
        <v>138</v>
      </c>
      <c r="E1332" s="49">
        <v>1</v>
      </c>
      <c r="F1332" t="s">
        <v>139</v>
      </c>
      <c r="G1332" t="s">
        <v>21</v>
      </c>
      <c r="H1332" t="s">
        <v>37</v>
      </c>
      <c r="I1332" s="13">
        <v>110000</v>
      </c>
      <c r="J1332" s="13">
        <v>110000</v>
      </c>
      <c r="K1332" s="13">
        <f>IF(J1332&lt;'Mapa Oficinas'!$I$21,0,IF(J1332&gt;'Mapa Oficinas'!$I$20,0,1))</f>
        <v>1</v>
      </c>
      <c r="L1332" t="s">
        <v>23</v>
      </c>
      <c r="M1332" t="s">
        <v>23</v>
      </c>
      <c r="N1332" t="s">
        <v>140</v>
      </c>
      <c r="O1332" t="s">
        <v>141</v>
      </c>
      <c r="P1332" t="s">
        <v>45</v>
      </c>
      <c r="Q1332">
        <v>1</v>
      </c>
      <c r="R1332" t="s">
        <v>142</v>
      </c>
      <c r="S1332" t="s">
        <v>47</v>
      </c>
      <c r="T1332" t="str">
        <f>VLOOKUP(S1332,'Mapa Oficinas'!$H$7:$I$16,2,FALSE)</f>
        <v>Otra Red Búsqueda</v>
      </c>
      <c r="U1332" t="s">
        <v>29</v>
      </c>
      <c r="V1332" t="str">
        <f>VLOOKUP($R1332,'Mapa Oficinas'!$A$7:$C$46,2,FALSE)</f>
        <v>CABA</v>
      </c>
      <c r="W1332" t="str">
        <f>VLOOKUP($R1332,'Mapa Oficinas'!$A$7:$C$46,3,FALSE)</f>
        <v>Palermo</v>
      </c>
    </row>
    <row r="1333" spans="1:23" x14ac:dyDescent="0.2">
      <c r="A1333" s="1">
        <v>45918</v>
      </c>
      <c r="B1333" s="20">
        <f t="shared" si="40"/>
        <v>2025</v>
      </c>
      <c r="C1333" s="20">
        <f t="shared" si="41"/>
        <v>9</v>
      </c>
      <c r="D1333" t="s">
        <v>168</v>
      </c>
      <c r="E1333" s="49">
        <v>1</v>
      </c>
      <c r="F1333" t="s">
        <v>168</v>
      </c>
      <c r="G1333" t="s">
        <v>21</v>
      </c>
      <c r="H1333" t="s">
        <v>37</v>
      </c>
      <c r="I1333" s="13">
        <v>110000</v>
      </c>
      <c r="J1333" s="13">
        <v>110000</v>
      </c>
      <c r="K1333" s="13">
        <f>IF(J1333&lt;'Mapa Oficinas'!$I$21,0,IF(J1333&gt;'Mapa Oficinas'!$I$20,0,1))</f>
        <v>1</v>
      </c>
      <c r="L1333" t="s">
        <v>23</v>
      </c>
      <c r="M1333" t="s">
        <v>23</v>
      </c>
      <c r="N1333" t="s">
        <v>4221</v>
      </c>
      <c r="O1333" t="s">
        <v>390</v>
      </c>
      <c r="P1333" t="s">
        <v>45</v>
      </c>
      <c r="Q1333">
        <v>1</v>
      </c>
      <c r="R1333" t="s">
        <v>170</v>
      </c>
      <c r="S1333" t="s">
        <v>47</v>
      </c>
      <c r="T1333" t="str">
        <f>VLOOKUP(S1333,'Mapa Oficinas'!$H$7:$I$16,2,FALSE)</f>
        <v>Otra Red Búsqueda</v>
      </c>
      <c r="U1333" t="s">
        <v>29</v>
      </c>
      <c r="V1333" t="str">
        <f>VLOOKUP($R1333,'Mapa Oficinas'!$A$7:$C$46,2,FALSE)</f>
        <v>CABA</v>
      </c>
      <c r="W1333" t="str">
        <f>VLOOKUP($R1333,'Mapa Oficinas'!$A$7:$C$46,3,FALSE)</f>
        <v>Belgrano</v>
      </c>
    </row>
    <row r="1334" spans="1:23" x14ac:dyDescent="0.2">
      <c r="A1334" s="1">
        <v>45769</v>
      </c>
      <c r="B1334" s="20">
        <f t="shared" si="40"/>
        <v>2025</v>
      </c>
      <c r="C1334" s="20">
        <f t="shared" si="41"/>
        <v>4</v>
      </c>
      <c r="D1334" t="s">
        <v>1535</v>
      </c>
      <c r="E1334" s="49">
        <v>1</v>
      </c>
      <c r="F1334" t="s">
        <v>1536</v>
      </c>
      <c r="G1334" t="s">
        <v>21</v>
      </c>
      <c r="H1334" t="s">
        <v>37</v>
      </c>
      <c r="I1334" s="13">
        <v>115000</v>
      </c>
      <c r="J1334" s="13">
        <v>110000</v>
      </c>
      <c r="K1334" s="13">
        <f>IF(J1334&lt;'Mapa Oficinas'!$I$21,0,IF(J1334&gt;'Mapa Oficinas'!$I$20,0,1))</f>
        <v>1</v>
      </c>
      <c r="L1334" t="s">
        <v>23</v>
      </c>
      <c r="M1334" t="s">
        <v>23</v>
      </c>
      <c r="N1334" t="s">
        <v>1537</v>
      </c>
      <c r="O1334" t="s">
        <v>92</v>
      </c>
      <c r="P1334" t="s">
        <v>45</v>
      </c>
      <c r="Q1334">
        <v>2</v>
      </c>
      <c r="R1334" t="s">
        <v>40</v>
      </c>
      <c r="S1334" t="s">
        <v>200</v>
      </c>
      <c r="T1334" t="str">
        <f>VLOOKUP(S1334,'Mapa Oficinas'!$H$7:$I$16,2,FALSE)</f>
        <v>Otra Red Captación</v>
      </c>
      <c r="U1334" t="s">
        <v>29</v>
      </c>
      <c r="V1334" t="str">
        <f>VLOOKUP($R1334,'Mapa Oficinas'!$A$7:$C$46,2,FALSE)</f>
        <v>CABA</v>
      </c>
      <c r="W1334" t="str">
        <f>VLOOKUP($R1334,'Mapa Oficinas'!$A$7:$C$46,3,FALSE)</f>
        <v>Núñez</v>
      </c>
    </row>
    <row r="1335" spans="1:23" x14ac:dyDescent="0.2">
      <c r="A1335" s="1">
        <v>45819</v>
      </c>
      <c r="B1335" s="20">
        <f t="shared" si="40"/>
        <v>2025</v>
      </c>
      <c r="C1335" s="20">
        <f t="shared" si="41"/>
        <v>6</v>
      </c>
      <c r="D1335" t="s">
        <v>2426</v>
      </c>
      <c r="E1335" s="49">
        <v>1</v>
      </c>
      <c r="F1335" t="s">
        <v>2427</v>
      </c>
      <c r="G1335" t="s">
        <v>21</v>
      </c>
      <c r="H1335" t="s">
        <v>37</v>
      </c>
      <c r="I1335" s="13">
        <v>120000</v>
      </c>
      <c r="J1335" s="13">
        <v>110000</v>
      </c>
      <c r="K1335" s="13">
        <f>IF(J1335&lt;'Mapa Oficinas'!$I$21,0,IF(J1335&gt;'Mapa Oficinas'!$I$20,0,1))</f>
        <v>1</v>
      </c>
      <c r="L1335" t="s">
        <v>23</v>
      </c>
      <c r="M1335" t="s">
        <v>23</v>
      </c>
      <c r="N1335" t="s">
        <v>2428</v>
      </c>
      <c r="O1335" t="s">
        <v>50</v>
      </c>
      <c r="P1335" t="s">
        <v>45</v>
      </c>
      <c r="Q1335">
        <v>2</v>
      </c>
      <c r="R1335" t="s">
        <v>67</v>
      </c>
      <c r="S1335" t="s">
        <v>200</v>
      </c>
      <c r="T1335" t="str">
        <f>VLOOKUP(S1335,'Mapa Oficinas'!$H$7:$I$16,2,FALSE)</f>
        <v>Otra Red Captación</v>
      </c>
      <c r="U1335" t="s">
        <v>29</v>
      </c>
      <c r="V1335" t="str">
        <f>VLOOKUP($R1335,'Mapa Oficinas'!$A$7:$C$46,2,FALSE)</f>
        <v>CABA</v>
      </c>
      <c r="W1335" t="str">
        <f>VLOOKUP($R1335,'Mapa Oficinas'!$A$7:$C$46,3,FALSE)</f>
        <v>Barrio Parque</v>
      </c>
    </row>
    <row r="1336" spans="1:23" x14ac:dyDescent="0.2">
      <c r="A1336" s="1">
        <v>45980</v>
      </c>
      <c r="B1336" s="20">
        <f t="shared" si="40"/>
        <v>2025</v>
      </c>
      <c r="C1336" s="20">
        <f t="shared" si="41"/>
        <v>11</v>
      </c>
      <c r="D1336" t="s">
        <v>5311</v>
      </c>
      <c r="E1336" s="49">
        <v>1</v>
      </c>
      <c r="F1336" t="s">
        <v>5312</v>
      </c>
      <c r="G1336" t="s">
        <v>21</v>
      </c>
      <c r="H1336" t="s">
        <v>22</v>
      </c>
      <c r="I1336" s="13">
        <v>119000</v>
      </c>
      <c r="J1336" s="13">
        <v>110000</v>
      </c>
      <c r="K1336" s="13">
        <f>IF(J1336&lt;'Mapa Oficinas'!$I$21,0,IF(J1336&gt;'Mapa Oficinas'!$I$20,0,1))</f>
        <v>1</v>
      </c>
      <c r="L1336" t="s">
        <v>23</v>
      </c>
      <c r="M1336" t="s">
        <v>23</v>
      </c>
      <c r="N1336" t="s">
        <v>5313</v>
      </c>
      <c r="O1336" t="s">
        <v>965</v>
      </c>
      <c r="P1336" t="s">
        <v>45</v>
      </c>
      <c r="Q1336">
        <v>2</v>
      </c>
      <c r="R1336" t="s">
        <v>372</v>
      </c>
      <c r="S1336" t="s">
        <v>200</v>
      </c>
      <c r="T1336" t="str">
        <f>VLOOKUP(S1336,'Mapa Oficinas'!$H$7:$I$16,2,FALSE)</f>
        <v>Otra Red Captación</v>
      </c>
      <c r="U1336" t="s">
        <v>29</v>
      </c>
      <c r="V1336" t="str">
        <f>VLOOKUP($R1336,'Mapa Oficinas'!$A$7:$C$46,2,FALSE)</f>
        <v>CABA</v>
      </c>
      <c r="W1336" t="str">
        <f>VLOOKUP($R1336,'Mapa Oficinas'!$A$7:$C$46,3,FALSE)</f>
        <v>Caballito</v>
      </c>
    </row>
    <row r="1337" spans="1:23" x14ac:dyDescent="0.2">
      <c r="A1337" s="1">
        <v>46011</v>
      </c>
      <c r="B1337" s="20">
        <f t="shared" si="40"/>
        <v>2025</v>
      </c>
      <c r="C1337" s="20">
        <f t="shared" si="41"/>
        <v>12</v>
      </c>
      <c r="E1337" s="49">
        <v>1</v>
      </c>
      <c r="F1337" t="s">
        <v>5914</v>
      </c>
      <c r="G1337" t="s">
        <v>21</v>
      </c>
      <c r="H1337" t="s">
        <v>37</v>
      </c>
      <c r="I1337" s="13">
        <v>110000</v>
      </c>
      <c r="J1337" s="13">
        <v>110000</v>
      </c>
      <c r="K1337" s="13">
        <f>IF(J1337&lt;'Mapa Oficinas'!$I$21,0,IF(J1337&gt;'Mapa Oficinas'!$I$20,0,1))</f>
        <v>1</v>
      </c>
      <c r="L1337" t="s">
        <v>23</v>
      </c>
      <c r="M1337" t="s">
        <v>23</v>
      </c>
      <c r="N1337" t="s">
        <v>5923</v>
      </c>
      <c r="O1337" t="s">
        <v>66</v>
      </c>
      <c r="P1337" t="s">
        <v>45</v>
      </c>
      <c r="Q1337">
        <v>2</v>
      </c>
      <c r="R1337" t="s">
        <v>46</v>
      </c>
      <c r="S1337" t="s">
        <v>200</v>
      </c>
      <c r="T1337" t="str">
        <f>VLOOKUP(S1337,'Mapa Oficinas'!$H$7:$I$16,2,FALSE)</f>
        <v>Otra Red Captación</v>
      </c>
      <c r="U1337" t="s">
        <v>29</v>
      </c>
      <c r="V1337" t="str">
        <f>VLOOKUP($R1337,'Mapa Oficinas'!$A$7:$C$46,2,FALSE)</f>
        <v>CABA</v>
      </c>
      <c r="W1337" t="str">
        <f>VLOOKUP($R1337,'Mapa Oficinas'!$A$7:$C$46,3,FALSE)</f>
        <v>Palermo</v>
      </c>
    </row>
    <row r="1338" spans="1:23" x14ac:dyDescent="0.2">
      <c r="A1338" s="1">
        <v>46013</v>
      </c>
      <c r="B1338" s="20">
        <f t="shared" si="40"/>
        <v>2025</v>
      </c>
      <c r="C1338" s="20">
        <f t="shared" si="41"/>
        <v>12</v>
      </c>
      <c r="D1338" t="s">
        <v>5941</v>
      </c>
      <c r="E1338" s="49">
        <v>1</v>
      </c>
      <c r="F1338" t="s">
        <v>5942</v>
      </c>
      <c r="G1338" t="s">
        <v>21</v>
      </c>
      <c r="H1338" t="s">
        <v>37</v>
      </c>
      <c r="I1338" s="13">
        <v>119000</v>
      </c>
      <c r="J1338" s="13">
        <v>110000</v>
      </c>
      <c r="K1338" s="13">
        <f>IF(J1338&lt;'Mapa Oficinas'!$I$21,0,IF(J1338&gt;'Mapa Oficinas'!$I$20,0,1))</f>
        <v>1</v>
      </c>
      <c r="L1338" t="s">
        <v>23</v>
      </c>
      <c r="M1338" t="s">
        <v>23</v>
      </c>
      <c r="N1338" t="s">
        <v>5943</v>
      </c>
      <c r="O1338" t="s">
        <v>265</v>
      </c>
      <c r="P1338" t="s">
        <v>45</v>
      </c>
      <c r="Q1338">
        <v>2</v>
      </c>
      <c r="R1338" t="s">
        <v>46</v>
      </c>
      <c r="S1338" t="s">
        <v>200</v>
      </c>
      <c r="T1338" t="str">
        <f>VLOOKUP(S1338,'Mapa Oficinas'!$H$7:$I$16,2,FALSE)</f>
        <v>Otra Red Captación</v>
      </c>
      <c r="U1338" t="s">
        <v>29</v>
      </c>
      <c r="V1338" t="str">
        <f>VLOOKUP($R1338,'Mapa Oficinas'!$A$7:$C$46,2,FALSE)</f>
        <v>CABA</v>
      </c>
      <c r="W1338" t="str">
        <f>VLOOKUP($R1338,'Mapa Oficinas'!$A$7:$C$46,3,FALSE)</f>
        <v>Palermo</v>
      </c>
    </row>
    <row r="1339" spans="1:23" x14ac:dyDescent="0.2">
      <c r="A1339" s="1">
        <v>45660</v>
      </c>
      <c r="B1339" s="20">
        <f t="shared" si="40"/>
        <v>2025</v>
      </c>
      <c r="C1339" s="20">
        <f t="shared" si="41"/>
        <v>1</v>
      </c>
      <c r="D1339" t="s">
        <v>57</v>
      </c>
      <c r="E1339" s="49">
        <v>1</v>
      </c>
      <c r="F1339" t="s">
        <v>58</v>
      </c>
      <c r="G1339" t="s">
        <v>21</v>
      </c>
      <c r="H1339" t="s">
        <v>37</v>
      </c>
      <c r="I1339" s="13">
        <v>120000</v>
      </c>
      <c r="J1339" s="13">
        <v>110000</v>
      </c>
      <c r="K1339" s="13">
        <f>IF(J1339&lt;'Mapa Oficinas'!$I$21,0,IF(J1339&gt;'Mapa Oficinas'!$I$20,0,1))</f>
        <v>1</v>
      </c>
      <c r="L1339" t="s">
        <v>23</v>
      </c>
      <c r="M1339" t="s">
        <v>23</v>
      </c>
      <c r="N1339" t="s">
        <v>59</v>
      </c>
      <c r="O1339" t="s">
        <v>60</v>
      </c>
      <c r="P1339" t="s">
        <v>61</v>
      </c>
      <c r="Q1339">
        <v>2</v>
      </c>
      <c r="R1339" t="s">
        <v>62</v>
      </c>
      <c r="S1339" t="s">
        <v>28</v>
      </c>
      <c r="T1339" t="str">
        <f>VLOOKUP(S1339,'Mapa Oficinas'!$H$7:$I$16,2,FALSE)</f>
        <v>CB</v>
      </c>
      <c r="U1339" t="s">
        <v>29</v>
      </c>
      <c r="V1339" t="str">
        <f>VLOOKUP($R1339,'Mapa Oficinas'!$A$7:$C$46,2,FALSE)</f>
        <v>CABA</v>
      </c>
      <c r="W1339" t="str">
        <f>VLOOKUP($R1339,'Mapa Oficinas'!$A$7:$C$46,3,FALSE)</f>
        <v>Villa Urquiza</v>
      </c>
    </row>
    <row r="1340" spans="1:23" x14ac:dyDescent="0.2">
      <c r="A1340" s="1">
        <v>45721</v>
      </c>
      <c r="B1340" s="20">
        <f t="shared" si="40"/>
        <v>2025</v>
      </c>
      <c r="C1340" s="20">
        <f t="shared" si="41"/>
        <v>3</v>
      </c>
      <c r="D1340" t="s">
        <v>840</v>
      </c>
      <c r="E1340" s="49">
        <v>1</v>
      </c>
      <c r="F1340" t="s">
        <v>841</v>
      </c>
      <c r="G1340" t="s">
        <v>21</v>
      </c>
      <c r="H1340" t="s">
        <v>37</v>
      </c>
      <c r="I1340" s="13">
        <v>115540</v>
      </c>
      <c r="J1340" s="13">
        <v>110000</v>
      </c>
      <c r="K1340" s="13">
        <f>IF(J1340&lt;'Mapa Oficinas'!$I$21,0,IF(J1340&gt;'Mapa Oficinas'!$I$20,0,1))</f>
        <v>1</v>
      </c>
      <c r="L1340" t="s">
        <v>23</v>
      </c>
      <c r="M1340" t="s">
        <v>23</v>
      </c>
      <c r="N1340" t="s">
        <v>842</v>
      </c>
      <c r="O1340" t="s">
        <v>66</v>
      </c>
      <c r="P1340" t="s">
        <v>45</v>
      </c>
      <c r="Q1340">
        <v>2</v>
      </c>
      <c r="R1340" t="s">
        <v>523</v>
      </c>
      <c r="S1340" t="s">
        <v>28</v>
      </c>
      <c r="T1340" t="str">
        <f>VLOOKUP(S1340,'Mapa Oficinas'!$H$7:$I$16,2,FALSE)</f>
        <v>CB</v>
      </c>
      <c r="U1340" t="s">
        <v>29</v>
      </c>
      <c r="V1340" t="str">
        <f>VLOOKUP($R1340,'Mapa Oficinas'!$A$7:$C$46,2,FALSE)</f>
        <v>CABA</v>
      </c>
      <c r="W1340" t="str">
        <f>VLOOKUP($R1340,'Mapa Oficinas'!$A$7:$C$46,3,FALSE)</f>
        <v>Belgrano</v>
      </c>
    </row>
    <row r="1341" spans="1:23" x14ac:dyDescent="0.2">
      <c r="A1341" s="1">
        <v>45728</v>
      </c>
      <c r="B1341" s="20">
        <f t="shared" si="40"/>
        <v>2025</v>
      </c>
      <c r="C1341" s="20">
        <f t="shared" si="41"/>
        <v>3</v>
      </c>
      <c r="D1341" t="s">
        <v>917</v>
      </c>
      <c r="E1341" s="49">
        <v>1</v>
      </c>
      <c r="F1341" t="s">
        <v>918</v>
      </c>
      <c r="G1341" t="s">
        <v>21</v>
      </c>
      <c r="H1341" t="s">
        <v>37</v>
      </c>
      <c r="I1341" s="13">
        <v>115000</v>
      </c>
      <c r="J1341" s="13">
        <v>110000</v>
      </c>
      <c r="K1341" s="13">
        <f>IF(J1341&lt;'Mapa Oficinas'!$I$21,0,IF(J1341&gt;'Mapa Oficinas'!$I$20,0,1))</f>
        <v>1</v>
      </c>
      <c r="L1341" t="s">
        <v>23</v>
      </c>
      <c r="M1341" t="s">
        <v>23</v>
      </c>
      <c r="N1341" t="s">
        <v>919</v>
      </c>
      <c r="O1341" t="s">
        <v>92</v>
      </c>
      <c r="P1341" t="s">
        <v>45</v>
      </c>
      <c r="Q1341">
        <v>2</v>
      </c>
      <c r="R1341" t="s">
        <v>110</v>
      </c>
      <c r="S1341" t="s">
        <v>28</v>
      </c>
      <c r="T1341" t="str">
        <f>VLOOKUP(S1341,'Mapa Oficinas'!$H$7:$I$16,2,FALSE)</f>
        <v>CB</v>
      </c>
      <c r="U1341" t="s">
        <v>29</v>
      </c>
      <c r="V1341" t="str">
        <f>VLOOKUP($R1341,'Mapa Oficinas'!$A$7:$C$46,2,FALSE)</f>
        <v>Zona Norte (GBA)</v>
      </c>
      <c r="W1341" t="str">
        <f>VLOOKUP($R1341,'Mapa Oficinas'!$A$7:$C$46,3,FALSE)</f>
        <v>Nordelta</v>
      </c>
    </row>
    <row r="1342" spans="1:23" x14ac:dyDescent="0.2">
      <c r="A1342" s="1">
        <v>45747</v>
      </c>
      <c r="B1342" s="20">
        <f t="shared" si="40"/>
        <v>2025</v>
      </c>
      <c r="C1342" s="20">
        <f t="shared" si="41"/>
        <v>3</v>
      </c>
      <c r="D1342" t="s">
        <v>1203</v>
      </c>
      <c r="E1342" s="49">
        <v>1</v>
      </c>
      <c r="F1342" t="s">
        <v>1204</v>
      </c>
      <c r="G1342" t="s">
        <v>21</v>
      </c>
      <c r="H1342" t="s">
        <v>37</v>
      </c>
      <c r="I1342" s="13">
        <v>110000</v>
      </c>
      <c r="J1342" s="13">
        <v>110000</v>
      </c>
      <c r="K1342" s="13">
        <f>IF(J1342&lt;'Mapa Oficinas'!$I$21,0,IF(J1342&gt;'Mapa Oficinas'!$I$20,0,1))</f>
        <v>1</v>
      </c>
      <c r="L1342" t="s">
        <v>23</v>
      </c>
      <c r="M1342" t="s">
        <v>23</v>
      </c>
      <c r="N1342" t="s">
        <v>1205</v>
      </c>
      <c r="O1342" t="s">
        <v>1206</v>
      </c>
      <c r="P1342" t="s">
        <v>34</v>
      </c>
      <c r="Q1342">
        <v>2</v>
      </c>
      <c r="R1342" t="s">
        <v>183</v>
      </c>
      <c r="S1342" t="s">
        <v>28</v>
      </c>
      <c r="T1342" t="str">
        <f>VLOOKUP(S1342,'Mapa Oficinas'!$H$7:$I$16,2,FALSE)</f>
        <v>CB</v>
      </c>
      <c r="U1342" t="s">
        <v>29</v>
      </c>
      <c r="V1342" t="str">
        <f>VLOOKUP($R1342,'Mapa Oficinas'!$A$7:$C$46,2,FALSE)</f>
        <v>Interior - Neuquén</v>
      </c>
      <c r="W1342" t="str">
        <f>VLOOKUP($R1342,'Mapa Oficinas'!$A$7:$C$46,3,FALSE)</f>
        <v>Capital Neuquén</v>
      </c>
    </row>
    <row r="1343" spans="1:23" x14ac:dyDescent="0.2">
      <c r="A1343" s="1">
        <v>45771</v>
      </c>
      <c r="B1343" s="20">
        <f t="shared" si="40"/>
        <v>2025</v>
      </c>
      <c r="C1343" s="20">
        <f t="shared" si="41"/>
        <v>4</v>
      </c>
      <c r="D1343" t="s">
        <v>1602</v>
      </c>
      <c r="E1343" s="49">
        <v>1</v>
      </c>
      <c r="F1343" t="s">
        <v>1603</v>
      </c>
      <c r="G1343" t="s">
        <v>21</v>
      </c>
      <c r="H1343" t="s">
        <v>37</v>
      </c>
      <c r="I1343" s="13">
        <v>115000</v>
      </c>
      <c r="J1343" s="13">
        <v>110000</v>
      </c>
      <c r="K1343" s="13">
        <f>IF(J1343&lt;'Mapa Oficinas'!$I$21,0,IF(J1343&gt;'Mapa Oficinas'!$I$20,0,1))</f>
        <v>1</v>
      </c>
      <c r="L1343" t="s">
        <v>23</v>
      </c>
      <c r="M1343" t="s">
        <v>23</v>
      </c>
      <c r="N1343" t="s">
        <v>1604</v>
      </c>
      <c r="O1343" t="s">
        <v>713</v>
      </c>
      <c r="P1343" t="s">
        <v>45</v>
      </c>
      <c r="Q1343">
        <v>2</v>
      </c>
      <c r="R1343" t="s">
        <v>1605</v>
      </c>
      <c r="S1343" t="s">
        <v>28</v>
      </c>
      <c r="T1343" t="str">
        <f>VLOOKUP(S1343,'Mapa Oficinas'!$H$7:$I$16,2,FALSE)</f>
        <v>CB</v>
      </c>
      <c r="U1343" t="s">
        <v>29</v>
      </c>
      <c r="V1343" t="str">
        <f>VLOOKUP($R1343,'Mapa Oficinas'!$A$7:$C$46,2,FALSE)</f>
        <v>CABA</v>
      </c>
      <c r="W1343" t="str">
        <f>VLOOKUP($R1343,'Mapa Oficinas'!$A$7:$C$46,3,FALSE)</f>
        <v>Núñez</v>
      </c>
    </row>
    <row r="1344" spans="1:23" x14ac:dyDescent="0.2">
      <c r="A1344" s="1">
        <v>45796</v>
      </c>
      <c r="B1344" s="20">
        <f t="shared" si="40"/>
        <v>2025</v>
      </c>
      <c r="C1344" s="20">
        <f t="shared" si="41"/>
        <v>5</v>
      </c>
      <c r="D1344" t="s">
        <v>2017</v>
      </c>
      <c r="E1344" s="49">
        <v>1</v>
      </c>
      <c r="F1344" t="s">
        <v>2018</v>
      </c>
      <c r="G1344" t="s">
        <v>21</v>
      </c>
      <c r="H1344" t="s">
        <v>2019</v>
      </c>
      <c r="I1344" s="13">
        <v>115000</v>
      </c>
      <c r="J1344" s="13">
        <v>110000</v>
      </c>
      <c r="K1344" s="13">
        <f>IF(J1344&lt;'Mapa Oficinas'!$I$21,0,IF(J1344&gt;'Mapa Oficinas'!$I$20,0,1))</f>
        <v>1</v>
      </c>
      <c r="L1344" t="s">
        <v>23</v>
      </c>
      <c r="M1344" t="s">
        <v>23</v>
      </c>
      <c r="N1344" t="s">
        <v>2020</v>
      </c>
      <c r="O1344" t="s">
        <v>380</v>
      </c>
      <c r="P1344" t="s">
        <v>45</v>
      </c>
      <c r="Q1344">
        <v>2</v>
      </c>
      <c r="R1344" t="s">
        <v>523</v>
      </c>
      <c r="S1344" t="s">
        <v>28</v>
      </c>
      <c r="T1344" t="str">
        <f>VLOOKUP(S1344,'Mapa Oficinas'!$H$7:$I$16,2,FALSE)</f>
        <v>CB</v>
      </c>
      <c r="U1344" t="s">
        <v>29</v>
      </c>
      <c r="V1344" t="str">
        <f>VLOOKUP($R1344,'Mapa Oficinas'!$A$7:$C$46,2,FALSE)</f>
        <v>CABA</v>
      </c>
      <c r="W1344" t="str">
        <f>VLOOKUP($R1344,'Mapa Oficinas'!$A$7:$C$46,3,FALSE)</f>
        <v>Belgrano</v>
      </c>
    </row>
    <row r="1345" spans="1:23" x14ac:dyDescent="0.2">
      <c r="A1345" s="1">
        <v>45798</v>
      </c>
      <c r="B1345" s="20">
        <f t="shared" si="40"/>
        <v>2025</v>
      </c>
      <c r="C1345" s="20">
        <f t="shared" si="41"/>
        <v>5</v>
      </c>
      <c r="D1345" t="s">
        <v>2066</v>
      </c>
      <c r="E1345" s="49">
        <v>1</v>
      </c>
      <c r="F1345" t="s">
        <v>1642</v>
      </c>
      <c r="G1345" t="s">
        <v>21</v>
      </c>
      <c r="H1345" t="s">
        <v>37</v>
      </c>
      <c r="I1345" s="13">
        <v>112000</v>
      </c>
      <c r="J1345" s="13">
        <v>110000</v>
      </c>
      <c r="K1345" s="13">
        <f>IF(J1345&lt;'Mapa Oficinas'!$I$21,0,IF(J1345&gt;'Mapa Oficinas'!$I$20,0,1))</f>
        <v>1</v>
      </c>
      <c r="L1345" t="s">
        <v>23</v>
      </c>
      <c r="M1345" t="s">
        <v>23</v>
      </c>
      <c r="N1345" t="s">
        <v>2067</v>
      </c>
      <c r="O1345" t="s">
        <v>141</v>
      </c>
      <c r="P1345" t="s">
        <v>45</v>
      </c>
      <c r="Q1345">
        <v>2</v>
      </c>
      <c r="R1345" t="s">
        <v>170</v>
      </c>
      <c r="S1345" t="s">
        <v>28</v>
      </c>
      <c r="T1345" t="str">
        <f>VLOOKUP(S1345,'Mapa Oficinas'!$H$7:$I$16,2,FALSE)</f>
        <v>CB</v>
      </c>
      <c r="U1345" t="s">
        <v>29</v>
      </c>
      <c r="V1345" t="str">
        <f>VLOOKUP($R1345,'Mapa Oficinas'!$A$7:$C$46,2,FALSE)</f>
        <v>CABA</v>
      </c>
      <c r="W1345" t="str">
        <f>VLOOKUP($R1345,'Mapa Oficinas'!$A$7:$C$46,3,FALSE)</f>
        <v>Belgrano</v>
      </c>
    </row>
    <row r="1346" spans="1:23" x14ac:dyDescent="0.2">
      <c r="A1346" s="1">
        <v>45863</v>
      </c>
      <c r="B1346" s="20">
        <f t="shared" ref="B1346:B1409" si="42">YEAR($A1346)</f>
        <v>2025</v>
      </c>
      <c r="C1346" s="20">
        <f t="shared" ref="C1346:C1409" si="43">MONTH($A1346)</f>
        <v>7</v>
      </c>
      <c r="D1346" t="s">
        <v>3225</v>
      </c>
      <c r="E1346" s="49">
        <v>1</v>
      </c>
      <c r="F1346" t="s">
        <v>3226</v>
      </c>
      <c r="G1346" t="s">
        <v>21</v>
      </c>
      <c r="H1346" t="s">
        <v>70</v>
      </c>
      <c r="I1346" s="13">
        <v>120000</v>
      </c>
      <c r="J1346" s="13">
        <v>110000</v>
      </c>
      <c r="K1346" s="13">
        <f>IF(J1346&lt;'Mapa Oficinas'!$I$21,0,IF(J1346&gt;'Mapa Oficinas'!$I$20,0,1))</f>
        <v>1</v>
      </c>
      <c r="L1346" t="s">
        <v>23</v>
      </c>
      <c r="M1346" t="s">
        <v>23</v>
      </c>
      <c r="N1346" t="s">
        <v>3227</v>
      </c>
      <c r="O1346" t="s">
        <v>72</v>
      </c>
      <c r="P1346" t="s">
        <v>34</v>
      </c>
      <c r="Q1346">
        <v>2</v>
      </c>
      <c r="R1346" t="s">
        <v>73</v>
      </c>
      <c r="S1346" t="s">
        <v>28</v>
      </c>
      <c r="T1346" t="str">
        <f>VLOOKUP(S1346,'Mapa Oficinas'!$H$7:$I$16,2,FALSE)</f>
        <v>CB</v>
      </c>
      <c r="U1346" t="s">
        <v>29</v>
      </c>
      <c r="V1346" t="str">
        <f>VLOOKUP($R1346,'Mapa Oficinas'!$A$7:$C$46,2,FALSE)</f>
        <v>Interior - Salta</v>
      </c>
      <c r="W1346" t="str">
        <f>VLOOKUP($R1346,'Mapa Oficinas'!$A$7:$C$46,3,FALSE)</f>
        <v>San Lorenzo Chico</v>
      </c>
    </row>
    <row r="1347" spans="1:23" x14ac:dyDescent="0.2">
      <c r="A1347" s="1">
        <v>45867</v>
      </c>
      <c r="B1347" s="20">
        <f t="shared" si="42"/>
        <v>2025</v>
      </c>
      <c r="C1347" s="20">
        <f t="shared" si="43"/>
        <v>7</v>
      </c>
      <c r="D1347" t="s">
        <v>3276</v>
      </c>
      <c r="E1347" s="49">
        <v>1</v>
      </c>
      <c r="F1347" t="s">
        <v>3277</v>
      </c>
      <c r="G1347" t="s">
        <v>21</v>
      </c>
      <c r="H1347" t="s">
        <v>100</v>
      </c>
      <c r="I1347" s="13">
        <v>120000</v>
      </c>
      <c r="J1347" s="13">
        <v>110000</v>
      </c>
      <c r="K1347" s="13">
        <f>IF(J1347&lt;'Mapa Oficinas'!$I$21,0,IF(J1347&gt;'Mapa Oficinas'!$I$20,0,1))</f>
        <v>1</v>
      </c>
      <c r="L1347" t="s">
        <v>23</v>
      </c>
      <c r="M1347" t="s">
        <v>23</v>
      </c>
      <c r="N1347" t="s">
        <v>1478</v>
      </c>
      <c r="O1347" t="s">
        <v>1479</v>
      </c>
      <c r="P1347" t="s">
        <v>26</v>
      </c>
      <c r="Q1347">
        <v>2</v>
      </c>
      <c r="R1347" t="s">
        <v>121</v>
      </c>
      <c r="S1347" t="s">
        <v>28</v>
      </c>
      <c r="T1347" t="str">
        <f>VLOOKUP(S1347,'Mapa Oficinas'!$H$7:$I$16,2,FALSE)</f>
        <v>CB</v>
      </c>
      <c r="U1347" t="s">
        <v>29</v>
      </c>
      <c r="V1347" t="str">
        <f>VLOOKUP($R1347,'Mapa Oficinas'!$A$7:$C$46,2,FALSE)</f>
        <v>Interior - Río Negro</v>
      </c>
      <c r="W1347" t="str">
        <f>VLOOKUP($R1347,'Mapa Oficinas'!$A$7:$C$46,3,FALSE)</f>
        <v>Bariloche</v>
      </c>
    </row>
    <row r="1348" spans="1:23" x14ac:dyDescent="0.2">
      <c r="A1348" s="1">
        <v>45888</v>
      </c>
      <c r="B1348" s="20">
        <f t="shared" si="42"/>
        <v>2025</v>
      </c>
      <c r="C1348" s="20">
        <f t="shared" si="43"/>
        <v>8</v>
      </c>
      <c r="D1348" t="s">
        <v>3635</v>
      </c>
      <c r="E1348" s="49">
        <v>1</v>
      </c>
      <c r="F1348" t="s">
        <v>3636</v>
      </c>
      <c r="G1348" t="s">
        <v>21</v>
      </c>
      <c r="H1348" t="s">
        <v>221</v>
      </c>
      <c r="I1348" s="13">
        <v>130000</v>
      </c>
      <c r="J1348" s="13">
        <v>110000</v>
      </c>
      <c r="K1348" s="13">
        <f>IF(J1348&lt;'Mapa Oficinas'!$I$21,0,IF(J1348&gt;'Mapa Oficinas'!$I$20,0,1))</f>
        <v>1</v>
      </c>
      <c r="L1348" t="s">
        <v>23</v>
      </c>
      <c r="M1348" t="s">
        <v>23</v>
      </c>
      <c r="N1348" t="s">
        <v>3637</v>
      </c>
      <c r="O1348" t="s">
        <v>3638</v>
      </c>
      <c r="P1348" t="s">
        <v>34</v>
      </c>
      <c r="Q1348">
        <v>2</v>
      </c>
      <c r="R1348" t="s">
        <v>167</v>
      </c>
      <c r="S1348" t="s">
        <v>28</v>
      </c>
      <c r="T1348" t="str">
        <f>VLOOKUP(S1348,'Mapa Oficinas'!$H$7:$I$16,2,FALSE)</f>
        <v>CB</v>
      </c>
      <c r="U1348" t="s">
        <v>29</v>
      </c>
      <c r="V1348" t="str">
        <f>VLOOKUP($R1348,'Mapa Oficinas'!$A$7:$C$46,2,FALSE)</f>
        <v>Interior - Santa Fe</v>
      </c>
      <c r="W1348" t="str">
        <f>VLOOKUP($R1348,'Mapa Oficinas'!$A$7:$C$46,3,FALSE)</f>
        <v>Capital Santa Fe</v>
      </c>
    </row>
    <row r="1349" spans="1:23" x14ac:dyDescent="0.2">
      <c r="A1349" s="1">
        <v>45888</v>
      </c>
      <c r="B1349" s="20">
        <f t="shared" si="42"/>
        <v>2025</v>
      </c>
      <c r="C1349" s="20">
        <f t="shared" si="43"/>
        <v>8</v>
      </c>
      <c r="D1349" t="s">
        <v>3639</v>
      </c>
      <c r="E1349" s="49">
        <v>1</v>
      </c>
      <c r="F1349" t="s">
        <v>3640</v>
      </c>
      <c r="G1349" t="s">
        <v>21</v>
      </c>
      <c r="H1349" t="s">
        <v>37</v>
      </c>
      <c r="I1349" s="13">
        <v>115000</v>
      </c>
      <c r="J1349" s="13">
        <v>110000</v>
      </c>
      <c r="K1349" s="13">
        <f>IF(J1349&lt;'Mapa Oficinas'!$I$21,0,IF(J1349&gt;'Mapa Oficinas'!$I$20,0,1))</f>
        <v>1</v>
      </c>
      <c r="L1349" t="s">
        <v>23</v>
      </c>
      <c r="M1349" t="s">
        <v>23</v>
      </c>
      <c r="N1349" t="s">
        <v>3641</v>
      </c>
      <c r="O1349" t="s">
        <v>92</v>
      </c>
      <c r="P1349" t="s">
        <v>61</v>
      </c>
      <c r="Q1349">
        <v>2</v>
      </c>
      <c r="R1349" t="s">
        <v>110</v>
      </c>
      <c r="S1349" t="s">
        <v>28</v>
      </c>
      <c r="T1349" t="str">
        <f>VLOOKUP(S1349,'Mapa Oficinas'!$H$7:$I$16,2,FALSE)</f>
        <v>CB</v>
      </c>
      <c r="U1349" t="s">
        <v>29</v>
      </c>
      <c r="V1349" t="str">
        <f>VLOOKUP($R1349,'Mapa Oficinas'!$A$7:$C$46,2,FALSE)</f>
        <v>Zona Norte (GBA)</v>
      </c>
      <c r="W1349" t="str">
        <f>VLOOKUP($R1349,'Mapa Oficinas'!$A$7:$C$46,3,FALSE)</f>
        <v>Nordelta</v>
      </c>
    </row>
    <row r="1350" spans="1:23" x14ac:dyDescent="0.2">
      <c r="A1350" s="1">
        <v>45889</v>
      </c>
      <c r="B1350" s="20">
        <f t="shared" si="42"/>
        <v>2025</v>
      </c>
      <c r="C1350" s="20">
        <f t="shared" si="43"/>
        <v>8</v>
      </c>
      <c r="D1350" t="s">
        <v>3668</v>
      </c>
      <c r="E1350" s="49">
        <v>1</v>
      </c>
      <c r="F1350" t="s">
        <v>3669</v>
      </c>
      <c r="G1350" t="s">
        <v>21</v>
      </c>
      <c r="H1350" t="s">
        <v>37</v>
      </c>
      <c r="I1350" s="13">
        <v>119900</v>
      </c>
      <c r="J1350" s="13">
        <v>110000</v>
      </c>
      <c r="K1350" s="13">
        <f>IF(J1350&lt;'Mapa Oficinas'!$I$21,0,IF(J1350&gt;'Mapa Oficinas'!$I$20,0,1))</f>
        <v>1</v>
      </c>
      <c r="L1350" t="s">
        <v>23</v>
      </c>
      <c r="M1350" t="s">
        <v>23</v>
      </c>
      <c r="N1350" t="s">
        <v>3670</v>
      </c>
      <c r="O1350" t="s">
        <v>50</v>
      </c>
      <c r="P1350" t="s">
        <v>45</v>
      </c>
      <c r="Q1350">
        <v>2</v>
      </c>
      <c r="R1350" t="s">
        <v>67</v>
      </c>
      <c r="S1350" t="s">
        <v>28</v>
      </c>
      <c r="T1350" t="str">
        <f>VLOOKUP(S1350,'Mapa Oficinas'!$H$7:$I$16,2,FALSE)</f>
        <v>CB</v>
      </c>
      <c r="U1350" t="s">
        <v>29</v>
      </c>
      <c r="V1350" t="str">
        <f>VLOOKUP($R1350,'Mapa Oficinas'!$A$7:$C$46,2,FALSE)</f>
        <v>CABA</v>
      </c>
      <c r="W1350" t="str">
        <f>VLOOKUP($R1350,'Mapa Oficinas'!$A$7:$C$46,3,FALSE)</f>
        <v>Barrio Parque</v>
      </c>
    </row>
    <row r="1351" spans="1:23" x14ac:dyDescent="0.2">
      <c r="A1351" s="1">
        <v>45894</v>
      </c>
      <c r="B1351" s="20">
        <f t="shared" si="42"/>
        <v>2025</v>
      </c>
      <c r="C1351" s="20">
        <f t="shared" si="43"/>
        <v>8</v>
      </c>
      <c r="D1351" t="s">
        <v>3745</v>
      </c>
      <c r="E1351" s="49">
        <v>1</v>
      </c>
      <c r="F1351" t="s">
        <v>3746</v>
      </c>
      <c r="G1351" t="s">
        <v>21</v>
      </c>
      <c r="H1351" t="s">
        <v>22</v>
      </c>
      <c r="I1351" s="13">
        <v>119900</v>
      </c>
      <c r="J1351" s="13">
        <v>110000</v>
      </c>
      <c r="K1351" s="13">
        <f>IF(J1351&lt;'Mapa Oficinas'!$I$21,0,IF(J1351&gt;'Mapa Oficinas'!$I$20,0,1))</f>
        <v>1</v>
      </c>
      <c r="L1351" t="s">
        <v>23</v>
      </c>
      <c r="M1351" t="s">
        <v>23</v>
      </c>
      <c r="N1351" t="s">
        <v>3747</v>
      </c>
      <c r="O1351" t="s">
        <v>50</v>
      </c>
      <c r="P1351" t="s">
        <v>45</v>
      </c>
      <c r="Q1351">
        <v>2</v>
      </c>
      <c r="R1351" t="s">
        <v>110</v>
      </c>
      <c r="S1351" t="s">
        <v>28</v>
      </c>
      <c r="T1351" t="str">
        <f>VLOOKUP(S1351,'Mapa Oficinas'!$H$7:$I$16,2,FALSE)</f>
        <v>CB</v>
      </c>
      <c r="U1351" t="s">
        <v>29</v>
      </c>
      <c r="V1351" t="str">
        <f>VLOOKUP($R1351,'Mapa Oficinas'!$A$7:$C$46,2,FALSE)</f>
        <v>Zona Norte (GBA)</v>
      </c>
      <c r="W1351" t="str">
        <f>VLOOKUP($R1351,'Mapa Oficinas'!$A$7:$C$46,3,FALSE)</f>
        <v>Nordelta</v>
      </c>
    </row>
    <row r="1352" spans="1:23" x14ac:dyDescent="0.2">
      <c r="A1352" s="1">
        <v>45905</v>
      </c>
      <c r="B1352" s="20">
        <f t="shared" si="42"/>
        <v>2025</v>
      </c>
      <c r="C1352" s="20">
        <f t="shared" si="43"/>
        <v>9</v>
      </c>
      <c r="D1352" t="s">
        <v>4009</v>
      </c>
      <c r="E1352" s="49">
        <v>1</v>
      </c>
      <c r="F1352" t="s">
        <v>4010</v>
      </c>
      <c r="G1352" t="s">
        <v>21</v>
      </c>
      <c r="H1352" t="s">
        <v>37</v>
      </c>
      <c r="I1352" s="13">
        <v>115000</v>
      </c>
      <c r="J1352" s="13">
        <v>110000</v>
      </c>
      <c r="K1352" s="13">
        <f>IF(J1352&lt;'Mapa Oficinas'!$I$21,0,IF(J1352&gt;'Mapa Oficinas'!$I$20,0,1))</f>
        <v>1</v>
      </c>
      <c r="L1352" t="s">
        <v>23</v>
      </c>
      <c r="M1352" t="s">
        <v>23</v>
      </c>
      <c r="N1352" t="s">
        <v>4011</v>
      </c>
      <c r="O1352" t="s">
        <v>50</v>
      </c>
      <c r="P1352" t="s">
        <v>45</v>
      </c>
      <c r="Q1352">
        <v>2</v>
      </c>
      <c r="R1352" t="s">
        <v>170</v>
      </c>
      <c r="S1352" t="s">
        <v>28</v>
      </c>
      <c r="T1352" t="str">
        <f>VLOOKUP(S1352,'Mapa Oficinas'!$H$7:$I$16,2,FALSE)</f>
        <v>CB</v>
      </c>
      <c r="U1352" t="s">
        <v>29</v>
      </c>
      <c r="V1352" t="str">
        <f>VLOOKUP($R1352,'Mapa Oficinas'!$A$7:$C$46,2,FALSE)</f>
        <v>CABA</v>
      </c>
      <c r="W1352" t="str">
        <f>VLOOKUP($R1352,'Mapa Oficinas'!$A$7:$C$46,3,FALSE)</f>
        <v>Belgrano</v>
      </c>
    </row>
    <row r="1353" spans="1:23" x14ac:dyDescent="0.2">
      <c r="A1353" s="1">
        <v>45915</v>
      </c>
      <c r="B1353" s="20">
        <f t="shared" si="42"/>
        <v>2025</v>
      </c>
      <c r="C1353" s="20">
        <f t="shared" si="43"/>
        <v>9</v>
      </c>
      <c r="D1353" t="s">
        <v>4154</v>
      </c>
      <c r="E1353" s="49">
        <v>1</v>
      </c>
      <c r="F1353" t="s">
        <v>4155</v>
      </c>
      <c r="G1353" t="s">
        <v>21</v>
      </c>
      <c r="H1353" t="s">
        <v>37</v>
      </c>
      <c r="I1353" s="13">
        <v>110000</v>
      </c>
      <c r="J1353" s="13">
        <v>110000</v>
      </c>
      <c r="K1353" s="13">
        <f>IF(J1353&lt;'Mapa Oficinas'!$I$21,0,IF(J1353&gt;'Mapa Oficinas'!$I$20,0,1))</f>
        <v>1</v>
      </c>
      <c r="L1353" t="s">
        <v>23</v>
      </c>
      <c r="M1353" t="s">
        <v>23</v>
      </c>
      <c r="N1353" t="s">
        <v>4156</v>
      </c>
      <c r="O1353" t="s">
        <v>4157</v>
      </c>
      <c r="P1353" t="s">
        <v>34</v>
      </c>
      <c r="Q1353">
        <v>2</v>
      </c>
      <c r="R1353" t="s">
        <v>151</v>
      </c>
      <c r="S1353" t="s">
        <v>28</v>
      </c>
      <c r="T1353" t="str">
        <f>VLOOKUP(S1353,'Mapa Oficinas'!$H$7:$I$16,2,FALSE)</f>
        <v>CB</v>
      </c>
      <c r="U1353" t="s">
        <v>29</v>
      </c>
      <c r="V1353" t="str">
        <f>VLOOKUP($R1353,'Mapa Oficinas'!$A$7:$C$46,2,FALSE)</f>
        <v>Interior - Mendoza</v>
      </c>
      <c r="W1353" t="str">
        <f>VLOOKUP($R1353,'Mapa Oficinas'!$A$7:$C$46,3,FALSE)</f>
        <v>Capital Mendoza</v>
      </c>
    </row>
    <row r="1354" spans="1:23" x14ac:dyDescent="0.2">
      <c r="A1354" s="1">
        <v>45945</v>
      </c>
      <c r="B1354" s="20">
        <f t="shared" si="42"/>
        <v>2025</v>
      </c>
      <c r="C1354" s="20">
        <f t="shared" si="43"/>
        <v>10</v>
      </c>
      <c r="D1354" t="s">
        <v>4710</v>
      </c>
      <c r="E1354" s="49">
        <v>1</v>
      </c>
      <c r="F1354" t="s">
        <v>4711</v>
      </c>
      <c r="G1354" t="s">
        <v>21</v>
      </c>
      <c r="H1354" t="s">
        <v>37</v>
      </c>
      <c r="I1354" s="13">
        <v>119000</v>
      </c>
      <c r="J1354" s="13">
        <v>110000</v>
      </c>
      <c r="K1354" s="13">
        <f>IF(J1354&lt;'Mapa Oficinas'!$I$21,0,IF(J1354&gt;'Mapa Oficinas'!$I$20,0,1))</f>
        <v>1</v>
      </c>
      <c r="L1354" t="s">
        <v>23</v>
      </c>
      <c r="M1354" t="s">
        <v>23</v>
      </c>
      <c r="N1354" t="s">
        <v>4712</v>
      </c>
      <c r="O1354" t="s">
        <v>2013</v>
      </c>
      <c r="P1354" t="s">
        <v>45</v>
      </c>
      <c r="Q1354">
        <v>2</v>
      </c>
      <c r="R1354" t="s">
        <v>135</v>
      </c>
      <c r="S1354" t="s">
        <v>28</v>
      </c>
      <c r="T1354" t="str">
        <f>VLOOKUP(S1354,'Mapa Oficinas'!$H$7:$I$16,2,FALSE)</f>
        <v>CB</v>
      </c>
      <c r="U1354" t="s">
        <v>29</v>
      </c>
      <c r="V1354" t="str">
        <f>VLOOKUP($R1354,'Mapa Oficinas'!$A$7:$C$46,2,FALSE)</f>
        <v>CABA</v>
      </c>
      <c r="W1354" t="str">
        <f>VLOOKUP($R1354,'Mapa Oficinas'!$A$7:$C$46,3,FALSE)</f>
        <v>Recoleta</v>
      </c>
    </row>
    <row r="1355" spans="1:23" x14ac:dyDescent="0.2">
      <c r="A1355" s="1">
        <v>45969</v>
      </c>
      <c r="B1355" s="20">
        <f t="shared" si="42"/>
        <v>2025</v>
      </c>
      <c r="C1355" s="20">
        <f t="shared" si="43"/>
        <v>11</v>
      </c>
      <c r="D1355" t="s">
        <v>5098</v>
      </c>
      <c r="E1355" s="49">
        <v>1</v>
      </c>
      <c r="F1355" t="s">
        <v>5099</v>
      </c>
      <c r="G1355" t="s">
        <v>21</v>
      </c>
      <c r="H1355" t="s">
        <v>37</v>
      </c>
      <c r="I1355" s="13">
        <v>119900</v>
      </c>
      <c r="J1355" s="13">
        <v>110000</v>
      </c>
      <c r="K1355" s="13">
        <f>IF(J1355&lt;'Mapa Oficinas'!$I$21,0,IF(J1355&gt;'Mapa Oficinas'!$I$20,0,1))</f>
        <v>1</v>
      </c>
      <c r="L1355" t="s">
        <v>23</v>
      </c>
      <c r="M1355" t="s">
        <v>23</v>
      </c>
      <c r="N1355" t="s">
        <v>5100</v>
      </c>
      <c r="O1355" t="s">
        <v>771</v>
      </c>
      <c r="P1355" t="s">
        <v>34</v>
      </c>
      <c r="Q1355">
        <v>2</v>
      </c>
      <c r="R1355" t="s">
        <v>372</v>
      </c>
      <c r="S1355" t="s">
        <v>28</v>
      </c>
      <c r="T1355" t="str">
        <f>VLOOKUP(S1355,'Mapa Oficinas'!$H$7:$I$16,2,FALSE)</f>
        <v>CB</v>
      </c>
      <c r="U1355" t="s">
        <v>29</v>
      </c>
      <c r="V1355" t="str">
        <f>VLOOKUP($R1355,'Mapa Oficinas'!$A$7:$C$46,2,FALSE)</f>
        <v>CABA</v>
      </c>
      <c r="W1355" t="str">
        <f>VLOOKUP($R1355,'Mapa Oficinas'!$A$7:$C$46,3,FALSE)</f>
        <v>Caballito</v>
      </c>
    </row>
    <row r="1356" spans="1:23" x14ac:dyDescent="0.2">
      <c r="A1356" s="1">
        <v>45979</v>
      </c>
      <c r="B1356" s="20">
        <f t="shared" si="42"/>
        <v>2025</v>
      </c>
      <c r="C1356" s="20">
        <f t="shared" si="43"/>
        <v>11</v>
      </c>
      <c r="D1356" t="s">
        <v>5278</v>
      </c>
      <c r="E1356" s="49">
        <v>1</v>
      </c>
      <c r="F1356" t="s">
        <v>5279</v>
      </c>
      <c r="G1356" t="s">
        <v>21</v>
      </c>
      <c r="H1356" t="s">
        <v>22</v>
      </c>
      <c r="I1356" s="13">
        <v>130000</v>
      </c>
      <c r="J1356" s="13">
        <v>110000</v>
      </c>
      <c r="K1356" s="13">
        <f>IF(J1356&lt;'Mapa Oficinas'!$I$21,0,IF(J1356&gt;'Mapa Oficinas'!$I$20,0,1))</f>
        <v>1</v>
      </c>
      <c r="L1356" t="s">
        <v>23</v>
      </c>
      <c r="M1356" t="s">
        <v>23</v>
      </c>
      <c r="N1356" t="s">
        <v>5280</v>
      </c>
      <c r="O1356" t="s">
        <v>5281</v>
      </c>
      <c r="P1356" t="s">
        <v>45</v>
      </c>
      <c r="Q1356">
        <v>2</v>
      </c>
      <c r="R1356" t="s">
        <v>110</v>
      </c>
      <c r="S1356" t="s">
        <v>28</v>
      </c>
      <c r="T1356" t="str">
        <f>VLOOKUP(S1356,'Mapa Oficinas'!$H$7:$I$16,2,FALSE)</f>
        <v>CB</v>
      </c>
      <c r="U1356" t="s">
        <v>29</v>
      </c>
      <c r="V1356" t="str">
        <f>VLOOKUP($R1356,'Mapa Oficinas'!$A$7:$C$46,2,FALSE)</f>
        <v>Zona Norte (GBA)</v>
      </c>
      <c r="W1356" t="str">
        <f>VLOOKUP($R1356,'Mapa Oficinas'!$A$7:$C$46,3,FALSE)</f>
        <v>Nordelta</v>
      </c>
    </row>
    <row r="1357" spans="1:23" x14ac:dyDescent="0.2">
      <c r="A1357" s="1">
        <v>45979</v>
      </c>
      <c r="B1357" s="20">
        <f t="shared" si="42"/>
        <v>2025</v>
      </c>
      <c r="C1357" s="20">
        <f t="shared" si="43"/>
        <v>11</v>
      </c>
      <c r="D1357" t="s">
        <v>5282</v>
      </c>
      <c r="E1357" s="49">
        <v>1</v>
      </c>
      <c r="F1357" t="s">
        <v>5283</v>
      </c>
      <c r="G1357" t="s">
        <v>21</v>
      </c>
      <c r="H1357" t="s">
        <v>37</v>
      </c>
      <c r="I1357" s="13">
        <v>125000</v>
      </c>
      <c r="J1357" s="13">
        <v>110000</v>
      </c>
      <c r="K1357" s="13">
        <f>IF(J1357&lt;'Mapa Oficinas'!$I$21,0,IF(J1357&gt;'Mapa Oficinas'!$I$20,0,1))</f>
        <v>1</v>
      </c>
      <c r="L1357" t="s">
        <v>23</v>
      </c>
      <c r="M1357" t="s">
        <v>23</v>
      </c>
      <c r="N1357" t="s">
        <v>5284</v>
      </c>
      <c r="O1357" t="s">
        <v>1869</v>
      </c>
      <c r="P1357" t="s">
        <v>61</v>
      </c>
      <c r="Q1357">
        <v>2</v>
      </c>
      <c r="R1357" t="s">
        <v>4688</v>
      </c>
      <c r="S1357" t="s">
        <v>28</v>
      </c>
      <c r="T1357" t="str">
        <f>VLOOKUP(S1357,'Mapa Oficinas'!$H$7:$I$16,2,FALSE)</f>
        <v>CB</v>
      </c>
      <c r="U1357" t="s">
        <v>29</v>
      </c>
      <c r="V1357" t="str">
        <f>VLOOKUP($R1357,'Mapa Oficinas'!$A$7:$C$46,2,FALSE)</f>
        <v>Zona Norte (GBA)</v>
      </c>
      <c r="W1357" t="str">
        <f>VLOOKUP($R1357,'Mapa Oficinas'!$A$7:$C$46,3,FALSE)</f>
        <v>San Isidro</v>
      </c>
    </row>
    <row r="1358" spans="1:23" x14ac:dyDescent="0.2">
      <c r="A1358" s="1">
        <v>45992</v>
      </c>
      <c r="B1358" s="20">
        <f t="shared" si="42"/>
        <v>2025</v>
      </c>
      <c r="C1358" s="20">
        <f t="shared" si="43"/>
        <v>12</v>
      </c>
      <c r="D1358" t="s">
        <v>5556</v>
      </c>
      <c r="E1358" s="49">
        <v>1</v>
      </c>
      <c r="F1358" t="s">
        <v>5557</v>
      </c>
      <c r="G1358" t="s">
        <v>21</v>
      </c>
      <c r="H1358" t="s">
        <v>37</v>
      </c>
      <c r="I1358" s="13">
        <v>120000</v>
      </c>
      <c r="J1358" s="13">
        <v>110000</v>
      </c>
      <c r="K1358" s="13">
        <f>IF(J1358&lt;'Mapa Oficinas'!$I$21,0,IF(J1358&gt;'Mapa Oficinas'!$I$20,0,1))</f>
        <v>1</v>
      </c>
      <c r="L1358" t="s">
        <v>23</v>
      </c>
      <c r="M1358" t="s">
        <v>23</v>
      </c>
      <c r="N1358" t="s">
        <v>5558</v>
      </c>
      <c r="O1358" t="s">
        <v>3340</v>
      </c>
      <c r="P1358" t="s">
        <v>34</v>
      </c>
      <c r="Q1358">
        <v>2</v>
      </c>
      <c r="R1358" t="s">
        <v>151</v>
      </c>
      <c r="S1358" t="s">
        <v>28</v>
      </c>
      <c r="T1358" t="str">
        <f>VLOOKUP(S1358,'Mapa Oficinas'!$H$7:$I$16,2,FALSE)</f>
        <v>CB</v>
      </c>
      <c r="U1358" t="s">
        <v>29</v>
      </c>
      <c r="V1358" t="str">
        <f>VLOOKUP($R1358,'Mapa Oficinas'!$A$7:$C$46,2,FALSE)</f>
        <v>Interior - Mendoza</v>
      </c>
      <c r="W1358" t="str">
        <f>VLOOKUP($R1358,'Mapa Oficinas'!$A$7:$C$46,3,FALSE)</f>
        <v>Capital Mendoza</v>
      </c>
    </row>
    <row r="1359" spans="1:23" x14ac:dyDescent="0.2">
      <c r="A1359" s="1">
        <v>46009</v>
      </c>
      <c r="B1359" s="20">
        <f t="shared" si="42"/>
        <v>2025</v>
      </c>
      <c r="C1359" s="20">
        <f t="shared" si="43"/>
        <v>12</v>
      </c>
      <c r="D1359" t="s">
        <v>5873</v>
      </c>
      <c r="E1359" s="49">
        <v>1</v>
      </c>
      <c r="F1359" t="s">
        <v>5874</v>
      </c>
      <c r="G1359" t="s">
        <v>21</v>
      </c>
      <c r="H1359" t="s">
        <v>37</v>
      </c>
      <c r="I1359" s="13">
        <v>110000</v>
      </c>
      <c r="J1359" s="13">
        <v>110000</v>
      </c>
      <c r="K1359" s="13">
        <f>IF(J1359&lt;'Mapa Oficinas'!$I$21,0,IF(J1359&gt;'Mapa Oficinas'!$I$20,0,1))</f>
        <v>1</v>
      </c>
      <c r="L1359" t="s">
        <v>23</v>
      </c>
      <c r="M1359" t="s">
        <v>23</v>
      </c>
      <c r="N1359" t="s">
        <v>5875</v>
      </c>
      <c r="O1359" t="s">
        <v>1206</v>
      </c>
      <c r="P1359" t="s">
        <v>34</v>
      </c>
      <c r="Q1359">
        <v>2</v>
      </c>
      <c r="R1359" t="s">
        <v>183</v>
      </c>
      <c r="S1359" t="s">
        <v>28</v>
      </c>
      <c r="T1359" t="str">
        <f>VLOOKUP(S1359,'Mapa Oficinas'!$H$7:$I$16,2,FALSE)</f>
        <v>CB</v>
      </c>
      <c r="U1359" t="s">
        <v>29</v>
      </c>
      <c r="V1359" t="str">
        <f>VLOOKUP($R1359,'Mapa Oficinas'!$A$7:$C$46,2,FALSE)</f>
        <v>Interior - Neuquén</v>
      </c>
      <c r="W1359" t="str">
        <f>VLOOKUP($R1359,'Mapa Oficinas'!$A$7:$C$46,3,FALSE)</f>
        <v>Capital Neuquén</v>
      </c>
    </row>
    <row r="1360" spans="1:23" x14ac:dyDescent="0.2">
      <c r="A1360" s="1">
        <v>46034</v>
      </c>
      <c r="B1360" s="20">
        <f t="shared" si="42"/>
        <v>2026</v>
      </c>
      <c r="C1360" s="20">
        <f t="shared" si="43"/>
        <v>1</v>
      </c>
      <c r="D1360" t="s">
        <v>6176</v>
      </c>
      <c r="E1360" s="49">
        <v>1</v>
      </c>
      <c r="F1360" t="s">
        <v>6177</v>
      </c>
      <c r="G1360" t="s">
        <v>21</v>
      </c>
      <c r="H1360" t="s">
        <v>37</v>
      </c>
      <c r="I1360" s="13">
        <v>115000</v>
      </c>
      <c r="J1360" s="13">
        <v>110000</v>
      </c>
      <c r="K1360" s="13">
        <f>IF(J1360&lt;'Mapa Oficinas'!$I$21,0,IF(J1360&gt;'Mapa Oficinas'!$I$20,0,1))</f>
        <v>1</v>
      </c>
      <c r="L1360" t="s">
        <v>23</v>
      </c>
      <c r="M1360" t="s">
        <v>23</v>
      </c>
      <c r="N1360" t="s">
        <v>6178</v>
      </c>
      <c r="O1360" t="s">
        <v>4092</v>
      </c>
      <c r="P1360" t="s">
        <v>61</v>
      </c>
      <c r="Q1360">
        <v>2</v>
      </c>
      <c r="R1360" t="s">
        <v>670</v>
      </c>
      <c r="S1360" t="s">
        <v>28</v>
      </c>
      <c r="T1360" t="str">
        <f>VLOOKUP(S1360,'Mapa Oficinas'!$H$7:$I$16,2,FALSE)</f>
        <v>CB</v>
      </c>
      <c r="U1360" t="s">
        <v>29</v>
      </c>
      <c r="V1360" t="str">
        <f>VLOOKUP($R1360,'Mapa Oficinas'!$A$7:$C$46,2,FALSE)</f>
        <v>CABA</v>
      </c>
      <c r="W1360" t="str">
        <f>VLOOKUP($R1360,'Mapa Oficinas'!$A$7:$C$46,3,FALSE)</f>
        <v>Recoleta</v>
      </c>
    </row>
    <row r="1361" spans="1:23" x14ac:dyDescent="0.2">
      <c r="A1361" s="1">
        <v>46057</v>
      </c>
      <c r="B1361" s="20">
        <f t="shared" si="42"/>
        <v>2026</v>
      </c>
      <c r="C1361" s="20">
        <f t="shared" si="43"/>
        <v>2</v>
      </c>
      <c r="D1361" t="s">
        <v>5207</v>
      </c>
      <c r="E1361" s="49">
        <v>1</v>
      </c>
      <c r="F1361" t="s">
        <v>5208</v>
      </c>
      <c r="G1361" t="s">
        <v>21</v>
      </c>
      <c r="H1361" t="s">
        <v>37</v>
      </c>
      <c r="I1361" s="13">
        <v>130000</v>
      </c>
      <c r="J1361" s="13">
        <v>110000</v>
      </c>
      <c r="K1361" s="13">
        <f>IF(J1361&lt;'Mapa Oficinas'!$I$21,0,IF(J1361&gt;'Mapa Oficinas'!$I$20,0,1))</f>
        <v>1</v>
      </c>
      <c r="L1361" t="s">
        <v>23</v>
      </c>
      <c r="M1361" t="s">
        <v>23</v>
      </c>
      <c r="N1361" t="s">
        <v>5209</v>
      </c>
      <c r="O1361" t="s">
        <v>1196</v>
      </c>
      <c r="P1361" t="s">
        <v>45</v>
      </c>
      <c r="Q1361">
        <v>2</v>
      </c>
      <c r="R1361" t="s">
        <v>1605</v>
      </c>
      <c r="S1361" t="s">
        <v>28</v>
      </c>
      <c r="T1361" t="str">
        <f>VLOOKUP(S1361,'Mapa Oficinas'!$H$7:$I$16,2,FALSE)</f>
        <v>CB</v>
      </c>
      <c r="U1361" t="s">
        <v>29</v>
      </c>
      <c r="V1361" t="str">
        <f>VLOOKUP($R1361,'Mapa Oficinas'!$A$7:$C$46,2,FALSE)</f>
        <v>CABA</v>
      </c>
      <c r="W1361" t="str">
        <f>VLOOKUP($R1361,'Mapa Oficinas'!$A$7:$C$46,3,FALSE)</f>
        <v>Núñez</v>
      </c>
    </row>
    <row r="1362" spans="1:23" x14ac:dyDescent="0.2">
      <c r="A1362" s="1">
        <v>46091</v>
      </c>
      <c r="B1362" s="20">
        <f t="shared" si="42"/>
        <v>2026</v>
      </c>
      <c r="C1362" s="20">
        <f t="shared" si="43"/>
        <v>3</v>
      </c>
      <c r="D1362" t="s">
        <v>7067</v>
      </c>
      <c r="E1362" s="49">
        <v>1</v>
      </c>
      <c r="F1362" t="s">
        <v>7068</v>
      </c>
      <c r="G1362" t="s">
        <v>21</v>
      </c>
      <c r="H1362" t="s">
        <v>37</v>
      </c>
      <c r="I1362" s="13">
        <v>120000</v>
      </c>
      <c r="J1362" s="13">
        <v>110000</v>
      </c>
      <c r="K1362" s="13">
        <f>IF(J1362&lt;'Mapa Oficinas'!$I$21,0,IF(J1362&gt;'Mapa Oficinas'!$I$20,0,1))</f>
        <v>1</v>
      </c>
      <c r="L1362" t="s">
        <v>23</v>
      </c>
      <c r="M1362" t="s">
        <v>23</v>
      </c>
      <c r="N1362" t="s">
        <v>7069</v>
      </c>
      <c r="O1362" t="s">
        <v>6182</v>
      </c>
      <c r="P1362" t="s">
        <v>45</v>
      </c>
      <c r="Q1362">
        <v>2</v>
      </c>
      <c r="R1362" t="s">
        <v>523</v>
      </c>
      <c r="S1362" t="s">
        <v>28</v>
      </c>
      <c r="T1362" t="str">
        <f>VLOOKUP(S1362,'Mapa Oficinas'!$H$7:$I$16,2,FALSE)</f>
        <v>CB</v>
      </c>
      <c r="U1362" t="s">
        <v>29</v>
      </c>
      <c r="V1362" t="str">
        <f>VLOOKUP($R1362,'Mapa Oficinas'!$A$7:$C$46,2,FALSE)</f>
        <v>CABA</v>
      </c>
      <c r="W1362" t="str">
        <f>VLOOKUP($R1362,'Mapa Oficinas'!$A$7:$C$46,3,FALSE)</f>
        <v>Belgrano</v>
      </c>
    </row>
    <row r="1363" spans="1:23" x14ac:dyDescent="0.2">
      <c r="A1363" s="1">
        <v>46095</v>
      </c>
      <c r="B1363" s="20">
        <f t="shared" si="42"/>
        <v>2026</v>
      </c>
      <c r="C1363" s="20">
        <f t="shared" si="43"/>
        <v>3</v>
      </c>
      <c r="D1363" t="s">
        <v>7189</v>
      </c>
      <c r="E1363" s="49">
        <v>1</v>
      </c>
      <c r="F1363" t="s">
        <v>7187</v>
      </c>
      <c r="G1363" t="s">
        <v>21</v>
      </c>
      <c r="H1363" t="s">
        <v>76</v>
      </c>
      <c r="I1363" s="13">
        <v>110000</v>
      </c>
      <c r="J1363" s="13">
        <v>110000</v>
      </c>
      <c r="K1363" s="13">
        <f>IF(J1363&lt;'Mapa Oficinas'!$I$21,0,IF(J1363&gt;'Mapa Oficinas'!$I$20,0,1))</f>
        <v>1</v>
      </c>
      <c r="L1363" t="s">
        <v>23</v>
      </c>
      <c r="M1363" t="s">
        <v>23</v>
      </c>
      <c r="N1363" t="s">
        <v>7188</v>
      </c>
      <c r="O1363" t="s">
        <v>7183</v>
      </c>
      <c r="P1363" t="s">
        <v>34</v>
      </c>
      <c r="Q1363">
        <v>2</v>
      </c>
      <c r="R1363" t="s">
        <v>482</v>
      </c>
      <c r="S1363" t="s">
        <v>28</v>
      </c>
      <c r="T1363" t="str">
        <f>VLOOKUP(S1363,'Mapa Oficinas'!$H$7:$I$16,2,FALSE)</f>
        <v>CB</v>
      </c>
      <c r="U1363" t="s">
        <v>29</v>
      </c>
      <c r="V1363" t="str">
        <f>VLOOKUP($R1363,'Mapa Oficinas'!$A$7:$C$46,2,FALSE)</f>
        <v>Interior - Jujuy</v>
      </c>
      <c r="W1363" t="str">
        <f>VLOOKUP($R1363,'Mapa Oficinas'!$A$7:$C$46,3,FALSE)</f>
        <v>Capital Jujuy</v>
      </c>
    </row>
    <row r="1364" spans="1:23" x14ac:dyDescent="0.2">
      <c r="A1364" s="1">
        <v>46099</v>
      </c>
      <c r="B1364" s="20">
        <f t="shared" si="42"/>
        <v>2026</v>
      </c>
      <c r="C1364" s="20">
        <f t="shared" si="43"/>
        <v>3</v>
      </c>
      <c r="D1364" t="s">
        <v>7267</v>
      </c>
      <c r="E1364" s="49">
        <v>1</v>
      </c>
      <c r="F1364" t="s">
        <v>7268</v>
      </c>
      <c r="G1364" t="s">
        <v>21</v>
      </c>
      <c r="H1364" t="s">
        <v>81</v>
      </c>
      <c r="I1364" s="13">
        <v>110000</v>
      </c>
      <c r="J1364" s="13">
        <v>110000</v>
      </c>
      <c r="K1364" s="13">
        <f>IF(J1364&lt;'Mapa Oficinas'!$I$21,0,IF(J1364&gt;'Mapa Oficinas'!$I$20,0,1))</f>
        <v>1</v>
      </c>
      <c r="L1364" t="s">
        <v>23</v>
      </c>
      <c r="M1364" t="s">
        <v>23</v>
      </c>
      <c r="N1364" t="s">
        <v>7269</v>
      </c>
      <c r="O1364" t="s">
        <v>440</v>
      </c>
      <c r="P1364" t="s">
        <v>45</v>
      </c>
      <c r="Q1364">
        <v>2</v>
      </c>
      <c r="R1364" t="s">
        <v>1024</v>
      </c>
      <c r="S1364" t="s">
        <v>28</v>
      </c>
      <c r="T1364" t="str">
        <f>VLOOKUP(S1364,'Mapa Oficinas'!$H$7:$I$16,2,FALSE)</f>
        <v>CB</v>
      </c>
      <c r="U1364" t="s">
        <v>29</v>
      </c>
      <c r="V1364" t="str">
        <f>VLOOKUP($R1364,'Mapa Oficinas'!$A$7:$C$46,2,FALSE)</f>
        <v>CABA</v>
      </c>
      <c r="W1364" t="str">
        <f>VLOOKUP($R1364,'Mapa Oficinas'!$A$7:$C$46,3,FALSE)</f>
        <v>Puerto Madero</v>
      </c>
    </row>
    <row r="1365" spans="1:23" x14ac:dyDescent="0.2">
      <c r="A1365" s="1">
        <v>46101</v>
      </c>
      <c r="B1365" s="20">
        <f t="shared" si="42"/>
        <v>2026</v>
      </c>
      <c r="C1365" s="20">
        <f t="shared" si="43"/>
        <v>3</v>
      </c>
      <c r="D1365" t="s">
        <v>7354</v>
      </c>
      <c r="E1365" s="49">
        <v>1</v>
      </c>
      <c r="F1365" t="s">
        <v>7355</v>
      </c>
      <c r="G1365" t="s">
        <v>21</v>
      </c>
      <c r="H1365" t="s">
        <v>37</v>
      </c>
      <c r="I1365" s="13">
        <v>110000</v>
      </c>
      <c r="J1365" s="13">
        <v>110000</v>
      </c>
      <c r="K1365" s="13">
        <f>IF(J1365&lt;'Mapa Oficinas'!$I$21,0,IF(J1365&gt;'Mapa Oficinas'!$I$20,0,1))</f>
        <v>1</v>
      </c>
      <c r="L1365" t="s">
        <v>23</v>
      </c>
      <c r="M1365" t="s">
        <v>23</v>
      </c>
      <c r="N1365" t="s">
        <v>7356</v>
      </c>
      <c r="O1365" t="s">
        <v>684</v>
      </c>
      <c r="P1365" t="s">
        <v>45</v>
      </c>
      <c r="Q1365">
        <v>2</v>
      </c>
      <c r="R1365" t="s">
        <v>56</v>
      </c>
      <c r="S1365" t="s">
        <v>28</v>
      </c>
      <c r="T1365" t="str">
        <f>VLOOKUP(S1365,'Mapa Oficinas'!$H$7:$I$16,2,FALSE)</f>
        <v>CB</v>
      </c>
      <c r="U1365" t="s">
        <v>29</v>
      </c>
      <c r="V1365" t="str">
        <f>VLOOKUP($R1365,'Mapa Oficinas'!$A$7:$C$46,2,FALSE)</f>
        <v>Zona Norte (GBA)</v>
      </c>
      <c r="W1365" t="str">
        <f>VLOOKUP($R1365,'Mapa Oficinas'!$A$7:$C$46,3,FALSE)</f>
        <v>Vicente López</v>
      </c>
    </row>
    <row r="1366" spans="1:23" x14ac:dyDescent="0.2">
      <c r="A1366" s="1">
        <v>46080</v>
      </c>
      <c r="B1366" s="20">
        <f t="shared" si="42"/>
        <v>2026</v>
      </c>
      <c r="C1366" s="20">
        <f t="shared" si="43"/>
        <v>2</v>
      </c>
      <c r="D1366" t="s">
        <v>6895</v>
      </c>
      <c r="E1366" s="49">
        <v>1</v>
      </c>
      <c r="F1366" t="s">
        <v>6896</v>
      </c>
      <c r="G1366" t="s">
        <v>21</v>
      </c>
      <c r="H1366" t="s">
        <v>37</v>
      </c>
      <c r="I1366" s="13">
        <v>115000</v>
      </c>
      <c r="J1366" s="13">
        <v>111000</v>
      </c>
      <c r="K1366" s="13">
        <f>IF(J1366&lt;'Mapa Oficinas'!$I$21,0,IF(J1366&gt;'Mapa Oficinas'!$I$20,0,1))</f>
        <v>1</v>
      </c>
      <c r="L1366" t="s">
        <v>23</v>
      </c>
      <c r="M1366" t="s">
        <v>23</v>
      </c>
      <c r="N1366" t="s">
        <v>6897</v>
      </c>
      <c r="O1366" t="s">
        <v>66</v>
      </c>
      <c r="P1366" t="s">
        <v>45</v>
      </c>
      <c r="Q1366">
        <v>2</v>
      </c>
      <c r="R1366" t="s">
        <v>67</v>
      </c>
      <c r="S1366" t="s">
        <v>200</v>
      </c>
      <c r="T1366" t="str">
        <f>VLOOKUP(S1366,'Mapa Oficinas'!$H$7:$I$16,2,FALSE)</f>
        <v>Otra Red Captación</v>
      </c>
      <c r="U1366" t="s">
        <v>29</v>
      </c>
      <c r="V1366" t="str">
        <f>VLOOKUP($R1366,'Mapa Oficinas'!$A$7:$C$46,2,FALSE)</f>
        <v>CABA</v>
      </c>
      <c r="W1366" t="str">
        <f>VLOOKUP($R1366,'Mapa Oficinas'!$A$7:$C$46,3,FALSE)</f>
        <v>Barrio Parque</v>
      </c>
    </row>
    <row r="1367" spans="1:23" x14ac:dyDescent="0.2">
      <c r="A1367" s="1">
        <v>45838</v>
      </c>
      <c r="B1367" s="20">
        <f t="shared" si="42"/>
        <v>2025</v>
      </c>
      <c r="C1367" s="20">
        <f t="shared" si="43"/>
        <v>6</v>
      </c>
      <c r="D1367">
        <v>10408</v>
      </c>
      <c r="E1367" s="49">
        <v>1</v>
      </c>
      <c r="F1367" t="s">
        <v>2778</v>
      </c>
      <c r="G1367" t="s">
        <v>21</v>
      </c>
      <c r="H1367" t="s">
        <v>37</v>
      </c>
      <c r="I1367" s="13">
        <v>0</v>
      </c>
      <c r="J1367" s="13">
        <v>111500</v>
      </c>
      <c r="K1367" s="13">
        <f>IF(J1367&lt;'Mapa Oficinas'!$I$21,0,IF(J1367&gt;'Mapa Oficinas'!$I$20,0,1))</f>
        <v>1</v>
      </c>
      <c r="L1367" t="s">
        <v>23</v>
      </c>
      <c r="M1367" t="s">
        <v>23</v>
      </c>
      <c r="O1367" t="s">
        <v>190</v>
      </c>
      <c r="P1367" t="s">
        <v>45</v>
      </c>
      <c r="Q1367">
        <v>2</v>
      </c>
      <c r="R1367" t="s">
        <v>67</v>
      </c>
      <c r="S1367" t="s">
        <v>28</v>
      </c>
      <c r="T1367" t="str">
        <f>VLOOKUP(S1367,'Mapa Oficinas'!$H$7:$I$16,2,FALSE)</f>
        <v>CB</v>
      </c>
      <c r="U1367" t="s">
        <v>29</v>
      </c>
      <c r="V1367" t="str">
        <f>VLOOKUP($R1367,'Mapa Oficinas'!$A$7:$C$46,2,FALSE)</f>
        <v>CABA</v>
      </c>
      <c r="W1367" t="str">
        <f>VLOOKUP($R1367,'Mapa Oficinas'!$A$7:$C$46,3,FALSE)</f>
        <v>Barrio Parque</v>
      </c>
    </row>
    <row r="1368" spans="1:23" x14ac:dyDescent="0.2">
      <c r="A1368" s="1">
        <v>45842</v>
      </c>
      <c r="B1368" s="20">
        <f t="shared" si="42"/>
        <v>2025</v>
      </c>
      <c r="C1368" s="20">
        <f t="shared" si="43"/>
        <v>7</v>
      </c>
      <c r="D1368" t="s">
        <v>2880</v>
      </c>
      <c r="E1368" s="49">
        <v>1</v>
      </c>
      <c r="F1368" t="s">
        <v>2881</v>
      </c>
      <c r="G1368" t="s">
        <v>21</v>
      </c>
      <c r="H1368" t="s">
        <v>37</v>
      </c>
      <c r="I1368" s="13">
        <v>120000</v>
      </c>
      <c r="J1368" s="13">
        <v>111500</v>
      </c>
      <c r="K1368" s="13">
        <f>IF(J1368&lt;'Mapa Oficinas'!$I$21,0,IF(J1368&gt;'Mapa Oficinas'!$I$20,0,1))</f>
        <v>1</v>
      </c>
      <c r="L1368" t="s">
        <v>23</v>
      </c>
      <c r="M1368" t="s">
        <v>23</v>
      </c>
      <c r="N1368" t="s">
        <v>2882</v>
      </c>
      <c r="O1368" t="s">
        <v>2222</v>
      </c>
      <c r="P1368" t="s">
        <v>45</v>
      </c>
      <c r="Q1368">
        <v>2</v>
      </c>
      <c r="R1368" t="s">
        <v>67</v>
      </c>
      <c r="S1368" t="s">
        <v>28</v>
      </c>
      <c r="T1368" t="str">
        <f>VLOOKUP(S1368,'Mapa Oficinas'!$H$7:$I$16,2,FALSE)</f>
        <v>CB</v>
      </c>
      <c r="U1368" t="s">
        <v>29</v>
      </c>
      <c r="V1368" t="str">
        <f>VLOOKUP($R1368,'Mapa Oficinas'!$A$7:$C$46,2,FALSE)</f>
        <v>CABA</v>
      </c>
      <c r="W1368" t="str">
        <f>VLOOKUP($R1368,'Mapa Oficinas'!$A$7:$C$46,3,FALSE)</f>
        <v>Barrio Parque</v>
      </c>
    </row>
    <row r="1369" spans="1:23" x14ac:dyDescent="0.2">
      <c r="A1369" s="1">
        <v>46107</v>
      </c>
      <c r="B1369" s="20">
        <f t="shared" si="42"/>
        <v>2026</v>
      </c>
      <c r="C1369" s="20">
        <f t="shared" si="43"/>
        <v>3</v>
      </c>
      <c r="D1369" t="s">
        <v>7434</v>
      </c>
      <c r="E1369" s="49">
        <v>1</v>
      </c>
      <c r="F1369" t="s">
        <v>7435</v>
      </c>
      <c r="G1369" t="s">
        <v>21</v>
      </c>
      <c r="H1369" t="s">
        <v>100</v>
      </c>
      <c r="I1369" s="13">
        <v>117000</v>
      </c>
      <c r="J1369" s="13">
        <v>111500</v>
      </c>
      <c r="K1369" s="13">
        <f>IF(J1369&lt;'Mapa Oficinas'!$I$21,0,IF(J1369&gt;'Mapa Oficinas'!$I$20,0,1))</f>
        <v>1</v>
      </c>
      <c r="L1369" t="s">
        <v>23</v>
      </c>
      <c r="M1369" t="s">
        <v>23</v>
      </c>
      <c r="N1369" t="s">
        <v>1399</v>
      </c>
      <c r="O1369" t="s">
        <v>1277</v>
      </c>
      <c r="P1369" t="s">
        <v>61</v>
      </c>
      <c r="Q1369">
        <v>2</v>
      </c>
      <c r="R1369" t="s">
        <v>121</v>
      </c>
      <c r="S1369" t="s">
        <v>28</v>
      </c>
      <c r="T1369" t="str">
        <f>VLOOKUP(S1369,'Mapa Oficinas'!$H$7:$I$16,2,FALSE)</f>
        <v>CB</v>
      </c>
      <c r="U1369" t="s">
        <v>29</v>
      </c>
      <c r="V1369" t="str">
        <f>VLOOKUP($R1369,'Mapa Oficinas'!$A$7:$C$46,2,FALSE)</f>
        <v>Interior - Río Negro</v>
      </c>
      <c r="W1369" t="str">
        <f>VLOOKUP($R1369,'Mapa Oficinas'!$A$7:$C$46,3,FALSE)</f>
        <v>Bariloche</v>
      </c>
    </row>
    <row r="1370" spans="1:23" x14ac:dyDescent="0.2">
      <c r="A1370" s="1">
        <v>45902</v>
      </c>
      <c r="B1370" s="20">
        <f t="shared" si="42"/>
        <v>2025</v>
      </c>
      <c r="C1370" s="20">
        <f t="shared" si="43"/>
        <v>9</v>
      </c>
      <c r="E1370" s="49">
        <v>1</v>
      </c>
      <c r="F1370" t="s">
        <v>3954</v>
      </c>
      <c r="G1370" t="s">
        <v>21</v>
      </c>
      <c r="H1370" t="s">
        <v>76</v>
      </c>
      <c r="I1370" s="13">
        <v>112000</v>
      </c>
      <c r="J1370" s="13">
        <v>112000</v>
      </c>
      <c r="K1370" s="13">
        <f>IF(J1370&lt;'Mapa Oficinas'!$I$21,0,IF(J1370&gt;'Mapa Oficinas'!$I$20,0,1))</f>
        <v>1</v>
      </c>
      <c r="L1370" t="s">
        <v>23</v>
      </c>
      <c r="M1370" t="s">
        <v>23</v>
      </c>
      <c r="N1370" t="s">
        <v>3955</v>
      </c>
      <c r="O1370" t="s">
        <v>325</v>
      </c>
      <c r="P1370" t="s">
        <v>45</v>
      </c>
      <c r="Q1370">
        <v>1</v>
      </c>
      <c r="R1370" t="s">
        <v>130</v>
      </c>
      <c r="S1370" t="s">
        <v>122</v>
      </c>
      <c r="T1370" t="str">
        <f>VLOOKUP(S1370,'Mapa Oficinas'!$H$7:$I$16,2,FALSE)</f>
        <v>Otra Red Búsqueda</v>
      </c>
      <c r="U1370" t="s">
        <v>29</v>
      </c>
      <c r="V1370" t="str">
        <f>VLOOKUP($R1370,'Mapa Oficinas'!$A$7:$C$46,2,FALSE)</f>
        <v>Interior - Neuquén</v>
      </c>
      <c r="W1370" t="str">
        <f>VLOOKUP($R1370,'Mapa Oficinas'!$A$7:$C$46,3,FALSE)</f>
        <v>San Martín de los Andes</v>
      </c>
    </row>
    <row r="1371" spans="1:23" x14ac:dyDescent="0.2">
      <c r="A1371" s="1">
        <v>45705</v>
      </c>
      <c r="B1371" s="20">
        <f t="shared" si="42"/>
        <v>2025</v>
      </c>
      <c r="C1371" s="20">
        <f t="shared" si="43"/>
        <v>2</v>
      </c>
      <c r="D1371" t="s">
        <v>639</v>
      </c>
      <c r="E1371" s="49">
        <v>1</v>
      </c>
      <c r="F1371" t="s">
        <v>640</v>
      </c>
      <c r="G1371" t="s">
        <v>21</v>
      </c>
      <c r="H1371" t="s">
        <v>37</v>
      </c>
      <c r="I1371" s="13">
        <v>115000</v>
      </c>
      <c r="J1371" s="13">
        <v>112000</v>
      </c>
      <c r="K1371" s="13">
        <f>IF(J1371&lt;'Mapa Oficinas'!$I$21,0,IF(J1371&gt;'Mapa Oficinas'!$I$20,0,1))</f>
        <v>1</v>
      </c>
      <c r="L1371" t="s">
        <v>23</v>
      </c>
      <c r="M1371" t="s">
        <v>23</v>
      </c>
      <c r="N1371" t="s">
        <v>641</v>
      </c>
      <c r="O1371" t="s">
        <v>642</v>
      </c>
      <c r="P1371" t="s">
        <v>45</v>
      </c>
      <c r="Q1371">
        <v>2</v>
      </c>
      <c r="R1371" t="s">
        <v>110</v>
      </c>
      <c r="S1371" t="s">
        <v>79</v>
      </c>
      <c r="T1371" t="str">
        <f>VLOOKUP(S1371,'Mapa Oficinas'!$H$7:$I$16,2,FALSE)</f>
        <v>CB</v>
      </c>
      <c r="U1371" t="s">
        <v>29</v>
      </c>
      <c r="V1371" t="str">
        <f>VLOOKUP($R1371,'Mapa Oficinas'!$A$7:$C$46,2,FALSE)</f>
        <v>Zona Norte (GBA)</v>
      </c>
      <c r="W1371" t="str">
        <f>VLOOKUP($R1371,'Mapa Oficinas'!$A$7:$C$46,3,FALSE)</f>
        <v>Nordelta</v>
      </c>
    </row>
    <row r="1372" spans="1:23" x14ac:dyDescent="0.2">
      <c r="A1372" s="1">
        <v>45939</v>
      </c>
      <c r="B1372" s="20">
        <f t="shared" si="42"/>
        <v>2025</v>
      </c>
      <c r="C1372" s="20">
        <f t="shared" si="43"/>
        <v>10</v>
      </c>
      <c r="D1372" t="s">
        <v>4621</v>
      </c>
      <c r="E1372" s="49">
        <v>1</v>
      </c>
      <c r="F1372" t="s">
        <v>4622</v>
      </c>
      <c r="G1372" t="s">
        <v>21</v>
      </c>
      <c r="H1372" t="s">
        <v>37</v>
      </c>
      <c r="I1372" s="13">
        <v>112000</v>
      </c>
      <c r="J1372" s="13">
        <v>112000</v>
      </c>
      <c r="K1372" s="13">
        <f>IF(J1372&lt;'Mapa Oficinas'!$I$21,0,IF(J1372&gt;'Mapa Oficinas'!$I$20,0,1))</f>
        <v>1</v>
      </c>
      <c r="L1372" t="s">
        <v>23</v>
      </c>
      <c r="M1372" t="s">
        <v>23</v>
      </c>
      <c r="N1372" t="s">
        <v>4622</v>
      </c>
      <c r="O1372" t="s">
        <v>2676</v>
      </c>
      <c r="P1372" t="s">
        <v>34</v>
      </c>
      <c r="Q1372">
        <v>2</v>
      </c>
      <c r="R1372" t="s">
        <v>110</v>
      </c>
      <c r="S1372" t="s">
        <v>79</v>
      </c>
      <c r="T1372" t="str">
        <f>VLOOKUP(S1372,'Mapa Oficinas'!$H$7:$I$16,2,FALSE)</f>
        <v>CB</v>
      </c>
      <c r="U1372" t="s">
        <v>29</v>
      </c>
      <c r="V1372" t="str">
        <f>VLOOKUP($R1372,'Mapa Oficinas'!$A$7:$C$46,2,FALSE)</f>
        <v>Zona Norte (GBA)</v>
      </c>
      <c r="W1372" t="str">
        <f>VLOOKUP($R1372,'Mapa Oficinas'!$A$7:$C$46,3,FALSE)</f>
        <v>Nordelta</v>
      </c>
    </row>
    <row r="1373" spans="1:23" x14ac:dyDescent="0.2">
      <c r="A1373" s="1">
        <v>45695</v>
      </c>
      <c r="B1373" s="20">
        <f t="shared" si="42"/>
        <v>2025</v>
      </c>
      <c r="C1373" s="20">
        <f t="shared" si="43"/>
        <v>2</v>
      </c>
      <c r="D1373" t="s">
        <v>513</v>
      </c>
      <c r="E1373" s="49">
        <v>1</v>
      </c>
      <c r="F1373" t="s">
        <v>514</v>
      </c>
      <c r="G1373" t="s">
        <v>21</v>
      </c>
      <c r="H1373" t="s">
        <v>37</v>
      </c>
      <c r="I1373" s="13">
        <v>100000</v>
      </c>
      <c r="J1373" s="13">
        <v>112000</v>
      </c>
      <c r="K1373" s="13">
        <f>IF(J1373&lt;'Mapa Oficinas'!$I$21,0,IF(J1373&gt;'Mapa Oficinas'!$I$20,0,1))</f>
        <v>1</v>
      </c>
      <c r="L1373" t="s">
        <v>23</v>
      </c>
      <c r="M1373" t="s">
        <v>23</v>
      </c>
      <c r="N1373" t="s">
        <v>515</v>
      </c>
      <c r="O1373" t="s">
        <v>516</v>
      </c>
      <c r="P1373" t="s">
        <v>34</v>
      </c>
      <c r="Q1373">
        <v>2</v>
      </c>
      <c r="R1373" t="s">
        <v>517</v>
      </c>
      <c r="S1373" t="s">
        <v>28</v>
      </c>
      <c r="T1373" t="str">
        <f>VLOOKUP(S1373,'Mapa Oficinas'!$H$7:$I$16,2,FALSE)</f>
        <v>CB</v>
      </c>
      <c r="U1373" t="s">
        <v>29</v>
      </c>
      <c r="V1373" t="str">
        <f>VLOOKUP($R1373,'Mapa Oficinas'!$A$7:$C$46,2,FALSE)</f>
        <v>Zona Sur (GBA)</v>
      </c>
      <c r="W1373" t="str">
        <f>VLOOKUP($R1373,'Mapa Oficinas'!$A$7:$C$46,3,FALSE)</f>
        <v>Canning</v>
      </c>
    </row>
    <row r="1374" spans="1:23" x14ac:dyDescent="0.2">
      <c r="A1374" s="1">
        <v>45771</v>
      </c>
      <c r="B1374" s="20">
        <f t="shared" si="42"/>
        <v>2025</v>
      </c>
      <c r="C1374" s="20">
        <f t="shared" si="43"/>
        <v>4</v>
      </c>
      <c r="D1374" t="s">
        <v>1606</v>
      </c>
      <c r="E1374" s="49">
        <v>1</v>
      </c>
      <c r="F1374" t="s">
        <v>1607</v>
      </c>
      <c r="G1374" t="s">
        <v>21</v>
      </c>
      <c r="H1374" t="s">
        <v>37</v>
      </c>
      <c r="I1374" s="13">
        <v>116800</v>
      </c>
      <c r="J1374" s="13">
        <v>112000</v>
      </c>
      <c r="K1374" s="13">
        <f>IF(J1374&lt;'Mapa Oficinas'!$I$21,0,IF(J1374&gt;'Mapa Oficinas'!$I$20,0,1))</f>
        <v>1</v>
      </c>
      <c r="L1374" t="s">
        <v>23</v>
      </c>
      <c r="M1374" t="s">
        <v>23</v>
      </c>
      <c r="N1374" t="s">
        <v>1608</v>
      </c>
      <c r="O1374" t="s">
        <v>1609</v>
      </c>
      <c r="P1374" t="s">
        <v>34</v>
      </c>
      <c r="Q1374">
        <v>2</v>
      </c>
      <c r="R1374" t="s">
        <v>495</v>
      </c>
      <c r="S1374" t="s">
        <v>28</v>
      </c>
      <c r="T1374" t="str">
        <f>VLOOKUP(S1374,'Mapa Oficinas'!$H$7:$I$16,2,FALSE)</f>
        <v>CB</v>
      </c>
      <c r="U1374" t="s">
        <v>29</v>
      </c>
      <c r="V1374" t="str">
        <f>VLOOKUP($R1374,'Mapa Oficinas'!$A$7:$C$46,2,FALSE)</f>
        <v>Zona Norte (GBA)</v>
      </c>
      <c r="W1374" t="str">
        <f>VLOOKUP($R1374,'Mapa Oficinas'!$A$7:$C$46,3,FALSE)</f>
        <v>Escobar</v>
      </c>
    </row>
    <row r="1375" spans="1:23" x14ac:dyDescent="0.2">
      <c r="A1375" s="1">
        <v>45882</v>
      </c>
      <c r="B1375" s="20">
        <f t="shared" si="42"/>
        <v>2025</v>
      </c>
      <c r="C1375" s="20">
        <f t="shared" si="43"/>
        <v>8</v>
      </c>
      <c r="D1375" t="s">
        <v>3572</v>
      </c>
      <c r="E1375" s="49">
        <v>1</v>
      </c>
      <c r="F1375" t="s">
        <v>3573</v>
      </c>
      <c r="G1375" t="s">
        <v>21</v>
      </c>
      <c r="H1375" t="s">
        <v>37</v>
      </c>
      <c r="I1375" s="13">
        <v>112000</v>
      </c>
      <c r="J1375" s="13">
        <v>112000</v>
      </c>
      <c r="K1375" s="13">
        <f>IF(J1375&lt;'Mapa Oficinas'!$I$21,0,IF(J1375&gt;'Mapa Oficinas'!$I$20,0,1))</f>
        <v>1</v>
      </c>
      <c r="L1375" t="s">
        <v>23</v>
      </c>
      <c r="M1375" t="s">
        <v>23</v>
      </c>
      <c r="N1375" t="s">
        <v>3574</v>
      </c>
      <c r="O1375" t="s">
        <v>141</v>
      </c>
      <c r="P1375" t="s">
        <v>45</v>
      </c>
      <c r="Q1375">
        <v>2</v>
      </c>
      <c r="R1375" t="s">
        <v>67</v>
      </c>
      <c r="S1375" t="s">
        <v>28</v>
      </c>
      <c r="T1375" t="str">
        <f>VLOOKUP(S1375,'Mapa Oficinas'!$H$7:$I$16,2,FALSE)</f>
        <v>CB</v>
      </c>
      <c r="U1375" t="s">
        <v>29</v>
      </c>
      <c r="V1375" t="str">
        <f>VLOOKUP($R1375,'Mapa Oficinas'!$A$7:$C$46,2,FALSE)</f>
        <v>CABA</v>
      </c>
      <c r="W1375" t="str">
        <f>VLOOKUP($R1375,'Mapa Oficinas'!$A$7:$C$46,3,FALSE)</f>
        <v>Barrio Parque</v>
      </c>
    </row>
    <row r="1376" spans="1:23" x14ac:dyDescent="0.2">
      <c r="A1376" s="1">
        <v>45955</v>
      </c>
      <c r="B1376" s="20">
        <f t="shared" si="42"/>
        <v>2025</v>
      </c>
      <c r="C1376" s="20">
        <f t="shared" si="43"/>
        <v>10</v>
      </c>
      <c r="D1376" t="s">
        <v>4931</v>
      </c>
      <c r="E1376" s="49">
        <v>1</v>
      </c>
      <c r="F1376" t="s">
        <v>4932</v>
      </c>
      <c r="G1376" t="s">
        <v>21</v>
      </c>
      <c r="H1376" t="s">
        <v>37</v>
      </c>
      <c r="I1376" s="13">
        <v>119000</v>
      </c>
      <c r="J1376" s="13">
        <v>112000</v>
      </c>
      <c r="K1376" s="13">
        <f>IF(J1376&lt;'Mapa Oficinas'!$I$21,0,IF(J1376&gt;'Mapa Oficinas'!$I$20,0,1))</f>
        <v>1</v>
      </c>
      <c r="L1376" t="s">
        <v>23</v>
      </c>
      <c r="M1376" t="s">
        <v>23</v>
      </c>
      <c r="N1376" t="s">
        <v>4933</v>
      </c>
      <c r="O1376" t="s">
        <v>910</v>
      </c>
      <c r="P1376" t="s">
        <v>34</v>
      </c>
      <c r="Q1376">
        <v>2</v>
      </c>
      <c r="R1376" t="s">
        <v>40</v>
      </c>
      <c r="S1376" t="s">
        <v>28</v>
      </c>
      <c r="T1376" t="str">
        <f>VLOOKUP(S1376,'Mapa Oficinas'!$H$7:$I$16,2,FALSE)</f>
        <v>CB</v>
      </c>
      <c r="U1376" t="s">
        <v>29</v>
      </c>
      <c r="V1376" t="str">
        <f>VLOOKUP($R1376,'Mapa Oficinas'!$A$7:$C$46,2,FALSE)</f>
        <v>CABA</v>
      </c>
      <c r="W1376" t="str">
        <f>VLOOKUP($R1376,'Mapa Oficinas'!$A$7:$C$46,3,FALSE)</f>
        <v>Núñez</v>
      </c>
    </row>
    <row r="1377" spans="1:23" x14ac:dyDescent="0.2">
      <c r="A1377" s="1">
        <v>46106</v>
      </c>
      <c r="B1377" s="20">
        <f t="shared" si="42"/>
        <v>2026</v>
      </c>
      <c r="C1377" s="20">
        <f t="shared" si="43"/>
        <v>3</v>
      </c>
      <c r="D1377" t="s">
        <v>7413</v>
      </c>
      <c r="E1377" s="49">
        <v>1</v>
      </c>
      <c r="F1377" t="s">
        <v>7414</v>
      </c>
      <c r="G1377" t="s">
        <v>21</v>
      </c>
      <c r="H1377" t="s">
        <v>37</v>
      </c>
      <c r="I1377" s="13">
        <v>114900</v>
      </c>
      <c r="J1377" s="13">
        <v>112500</v>
      </c>
      <c r="K1377" s="13">
        <f>IF(J1377&lt;'Mapa Oficinas'!$I$21,0,IF(J1377&gt;'Mapa Oficinas'!$I$20,0,1))</f>
        <v>1</v>
      </c>
      <c r="L1377" t="s">
        <v>23</v>
      </c>
      <c r="M1377" t="s">
        <v>23</v>
      </c>
      <c r="N1377" t="s">
        <v>7415</v>
      </c>
      <c r="O1377" t="s">
        <v>299</v>
      </c>
      <c r="P1377" t="s">
        <v>45</v>
      </c>
      <c r="Q1377">
        <v>2</v>
      </c>
      <c r="R1377" t="s">
        <v>46</v>
      </c>
      <c r="S1377" t="s">
        <v>200</v>
      </c>
      <c r="T1377" t="str">
        <f>VLOOKUP(S1377,'Mapa Oficinas'!$H$7:$I$16,2,FALSE)</f>
        <v>Otra Red Captación</v>
      </c>
      <c r="U1377" t="s">
        <v>29</v>
      </c>
      <c r="V1377" t="str">
        <f>VLOOKUP($R1377,'Mapa Oficinas'!$A$7:$C$46,2,FALSE)</f>
        <v>CABA</v>
      </c>
      <c r="W1377" t="str">
        <f>VLOOKUP($R1377,'Mapa Oficinas'!$A$7:$C$46,3,FALSE)</f>
        <v>Palermo</v>
      </c>
    </row>
    <row r="1378" spans="1:23" x14ac:dyDescent="0.2">
      <c r="A1378" s="1">
        <v>45862</v>
      </c>
      <c r="B1378" s="20">
        <f t="shared" si="42"/>
        <v>2025</v>
      </c>
      <c r="C1378" s="20">
        <f t="shared" si="43"/>
        <v>7</v>
      </c>
      <c r="D1378" t="s">
        <v>3207</v>
      </c>
      <c r="E1378" s="49">
        <v>3</v>
      </c>
      <c r="F1378" t="s">
        <v>3208</v>
      </c>
      <c r="G1378" t="s">
        <v>21</v>
      </c>
      <c r="H1378" t="s">
        <v>76</v>
      </c>
      <c r="I1378" s="13">
        <v>128000</v>
      </c>
      <c r="J1378" s="13">
        <v>112500</v>
      </c>
      <c r="K1378" s="13">
        <f>IF(J1378&lt;'Mapa Oficinas'!$I$21,0,IF(J1378&gt;'Mapa Oficinas'!$I$20,0,1))</f>
        <v>1</v>
      </c>
      <c r="L1378" t="s">
        <v>23</v>
      </c>
      <c r="M1378" t="s">
        <v>23</v>
      </c>
      <c r="N1378" t="s">
        <v>3208</v>
      </c>
      <c r="O1378" t="s">
        <v>256</v>
      </c>
      <c r="P1378" t="s">
        <v>45</v>
      </c>
      <c r="Q1378">
        <v>2</v>
      </c>
      <c r="R1378" t="s">
        <v>257</v>
      </c>
      <c r="S1378" t="s">
        <v>241</v>
      </c>
      <c r="T1378" t="str">
        <f>VLOOKUP(S1378,'Mapa Oficinas'!$H$7:$I$16,2,FALSE)</f>
        <v>CB</v>
      </c>
      <c r="U1378" t="s">
        <v>29</v>
      </c>
      <c r="V1378" t="str">
        <f>VLOOKUP($R1378,'Mapa Oficinas'!$A$7:$C$46,2,FALSE)</f>
        <v>Zona Norte (GBA)</v>
      </c>
      <c r="W1378" t="str">
        <f>VLOOKUP($R1378,'Mapa Oficinas'!$A$7:$C$46,3,FALSE)</f>
        <v>Pilar</v>
      </c>
    </row>
    <row r="1379" spans="1:23" x14ac:dyDescent="0.2">
      <c r="A1379" s="1">
        <v>45899</v>
      </c>
      <c r="B1379" s="20">
        <f t="shared" si="42"/>
        <v>2025</v>
      </c>
      <c r="C1379" s="20">
        <f t="shared" si="43"/>
        <v>8</v>
      </c>
      <c r="D1379" t="s">
        <v>3926</v>
      </c>
      <c r="E1379" s="49">
        <v>1</v>
      </c>
      <c r="F1379" t="s">
        <v>3927</v>
      </c>
      <c r="G1379" t="s">
        <v>21</v>
      </c>
      <c r="H1379" t="s">
        <v>37</v>
      </c>
      <c r="I1379" s="13">
        <v>126900</v>
      </c>
      <c r="J1379" s="13">
        <v>112500</v>
      </c>
      <c r="K1379" s="13">
        <f>IF(J1379&lt;'Mapa Oficinas'!$I$21,0,IF(J1379&gt;'Mapa Oficinas'!$I$20,0,1))</f>
        <v>1</v>
      </c>
      <c r="L1379" t="s">
        <v>23</v>
      </c>
      <c r="M1379" t="s">
        <v>23</v>
      </c>
      <c r="N1379" t="s">
        <v>3928</v>
      </c>
      <c r="O1379" t="s">
        <v>1386</v>
      </c>
      <c r="P1379" t="s">
        <v>34</v>
      </c>
      <c r="Q1379">
        <v>2</v>
      </c>
      <c r="R1379" t="s">
        <v>62</v>
      </c>
      <c r="S1379" t="s">
        <v>28</v>
      </c>
      <c r="T1379" t="str">
        <f>VLOOKUP(S1379,'Mapa Oficinas'!$H$7:$I$16,2,FALSE)</f>
        <v>CB</v>
      </c>
      <c r="U1379" t="s">
        <v>29</v>
      </c>
      <c r="V1379" t="str">
        <f>VLOOKUP($R1379,'Mapa Oficinas'!$A$7:$C$46,2,FALSE)</f>
        <v>CABA</v>
      </c>
      <c r="W1379" t="str">
        <f>VLOOKUP($R1379,'Mapa Oficinas'!$A$7:$C$46,3,FALSE)</f>
        <v>Villa Urquiza</v>
      </c>
    </row>
    <row r="1380" spans="1:23" x14ac:dyDescent="0.2">
      <c r="A1380" s="1">
        <v>46000</v>
      </c>
      <c r="B1380" s="20">
        <f t="shared" si="42"/>
        <v>2025</v>
      </c>
      <c r="C1380" s="20">
        <f t="shared" si="43"/>
        <v>12</v>
      </c>
      <c r="D1380" t="s">
        <v>5682</v>
      </c>
      <c r="E1380" s="49">
        <v>1</v>
      </c>
      <c r="F1380" t="s">
        <v>5683</v>
      </c>
      <c r="G1380" t="s">
        <v>21</v>
      </c>
      <c r="H1380" t="s">
        <v>37</v>
      </c>
      <c r="I1380" s="13">
        <v>119000</v>
      </c>
      <c r="J1380" s="13">
        <v>112500</v>
      </c>
      <c r="K1380" s="13">
        <f>IF(J1380&lt;'Mapa Oficinas'!$I$21,0,IF(J1380&gt;'Mapa Oficinas'!$I$20,0,1))</f>
        <v>1</v>
      </c>
      <c r="L1380" t="s">
        <v>23</v>
      </c>
      <c r="M1380" t="s">
        <v>23</v>
      </c>
      <c r="N1380" t="s">
        <v>5684</v>
      </c>
      <c r="O1380" t="s">
        <v>745</v>
      </c>
      <c r="P1380" t="s">
        <v>45</v>
      </c>
      <c r="Q1380">
        <v>2</v>
      </c>
      <c r="R1380" t="s">
        <v>429</v>
      </c>
      <c r="S1380" t="s">
        <v>28</v>
      </c>
      <c r="T1380" t="str">
        <f>VLOOKUP(S1380,'Mapa Oficinas'!$H$7:$I$16,2,FALSE)</f>
        <v>CB</v>
      </c>
      <c r="U1380" t="s">
        <v>29</v>
      </c>
      <c r="V1380" t="str">
        <f>VLOOKUP($R1380,'Mapa Oficinas'!$A$7:$C$46,2,FALSE)</f>
        <v>Zona Oeste (GBA)</v>
      </c>
      <c r="W1380" t="str">
        <f>VLOOKUP($R1380,'Mapa Oficinas'!$A$7:$C$46,3,FALSE)</f>
        <v>Parque Leloir</v>
      </c>
    </row>
    <row r="1381" spans="1:23" x14ac:dyDescent="0.2">
      <c r="A1381" s="1">
        <v>46037</v>
      </c>
      <c r="B1381" s="20">
        <f t="shared" si="42"/>
        <v>2026</v>
      </c>
      <c r="C1381" s="20">
        <f t="shared" si="43"/>
        <v>1</v>
      </c>
      <c r="D1381" t="s">
        <v>6250</v>
      </c>
      <c r="E1381" s="49">
        <v>1</v>
      </c>
      <c r="F1381" t="s">
        <v>6250</v>
      </c>
      <c r="G1381" t="s">
        <v>21</v>
      </c>
      <c r="H1381" t="s">
        <v>37</v>
      </c>
      <c r="I1381" s="13">
        <v>113000</v>
      </c>
      <c r="J1381" s="13">
        <v>113000</v>
      </c>
      <c r="K1381" s="13">
        <f>IF(J1381&lt;'Mapa Oficinas'!$I$21,0,IF(J1381&gt;'Mapa Oficinas'!$I$20,0,1))</f>
        <v>1</v>
      </c>
      <c r="L1381" t="s">
        <v>23</v>
      </c>
      <c r="M1381" t="s">
        <v>23</v>
      </c>
      <c r="N1381" t="s">
        <v>6250</v>
      </c>
      <c r="O1381" t="s">
        <v>162</v>
      </c>
      <c r="P1381" t="s">
        <v>45</v>
      </c>
      <c r="Q1381">
        <v>1</v>
      </c>
      <c r="R1381" t="s">
        <v>56</v>
      </c>
      <c r="S1381" t="s">
        <v>152</v>
      </c>
      <c r="T1381" t="str">
        <f>VLOOKUP(S1381,'Mapa Oficinas'!$H$7:$I$16,2,FALSE)</f>
        <v>Otra Red Captación</v>
      </c>
      <c r="U1381" t="s">
        <v>29</v>
      </c>
      <c r="V1381" t="str">
        <f>VLOOKUP($R1381,'Mapa Oficinas'!$A$7:$C$46,2,FALSE)</f>
        <v>Zona Norte (GBA)</v>
      </c>
      <c r="W1381" t="str">
        <f>VLOOKUP($R1381,'Mapa Oficinas'!$A$7:$C$46,3,FALSE)</f>
        <v>Vicente López</v>
      </c>
    </row>
    <row r="1382" spans="1:23" x14ac:dyDescent="0.2">
      <c r="A1382" s="1">
        <v>46087</v>
      </c>
      <c r="B1382" s="20">
        <f t="shared" si="42"/>
        <v>2026</v>
      </c>
      <c r="C1382" s="20">
        <f t="shared" si="43"/>
        <v>3</v>
      </c>
      <c r="D1382" t="s">
        <v>6999</v>
      </c>
      <c r="E1382" s="49">
        <v>1</v>
      </c>
      <c r="F1382" t="s">
        <v>7000</v>
      </c>
      <c r="G1382" t="s">
        <v>21</v>
      </c>
      <c r="H1382" t="s">
        <v>37</v>
      </c>
      <c r="I1382" s="13">
        <v>115000</v>
      </c>
      <c r="J1382" s="13">
        <v>113000</v>
      </c>
      <c r="K1382" s="13">
        <f>IF(J1382&lt;'Mapa Oficinas'!$I$21,0,IF(J1382&gt;'Mapa Oficinas'!$I$20,0,1))</f>
        <v>1</v>
      </c>
      <c r="L1382" t="s">
        <v>23</v>
      </c>
      <c r="M1382" t="s">
        <v>23</v>
      </c>
      <c r="N1382" t="s">
        <v>5209</v>
      </c>
      <c r="O1382" t="s">
        <v>1196</v>
      </c>
      <c r="P1382" t="s">
        <v>45</v>
      </c>
      <c r="Q1382">
        <v>2</v>
      </c>
      <c r="R1382" t="s">
        <v>1605</v>
      </c>
      <c r="S1382" t="s">
        <v>200</v>
      </c>
      <c r="T1382" t="str">
        <f>VLOOKUP(S1382,'Mapa Oficinas'!$H$7:$I$16,2,FALSE)</f>
        <v>Otra Red Captación</v>
      </c>
      <c r="U1382" t="s">
        <v>29</v>
      </c>
      <c r="V1382" t="str">
        <f>VLOOKUP($R1382,'Mapa Oficinas'!$A$7:$C$46,2,FALSE)</f>
        <v>CABA</v>
      </c>
      <c r="W1382" t="str">
        <f>VLOOKUP($R1382,'Mapa Oficinas'!$A$7:$C$46,3,FALSE)</f>
        <v>Núñez</v>
      </c>
    </row>
    <row r="1383" spans="1:23" x14ac:dyDescent="0.2">
      <c r="A1383" s="1">
        <v>45897</v>
      </c>
      <c r="B1383" s="20">
        <f t="shared" si="42"/>
        <v>2025</v>
      </c>
      <c r="C1383" s="20">
        <f t="shared" si="43"/>
        <v>8</v>
      </c>
      <c r="D1383" t="s">
        <v>3828</v>
      </c>
      <c r="E1383" s="49">
        <v>1</v>
      </c>
      <c r="F1383" t="s">
        <v>3829</v>
      </c>
      <c r="G1383" t="s">
        <v>21</v>
      </c>
      <c r="H1383" t="s">
        <v>22</v>
      </c>
      <c r="I1383" s="13">
        <v>125000</v>
      </c>
      <c r="J1383" s="13">
        <v>113000</v>
      </c>
      <c r="K1383" s="13">
        <f>IF(J1383&lt;'Mapa Oficinas'!$I$21,0,IF(J1383&gt;'Mapa Oficinas'!$I$20,0,1))</f>
        <v>1</v>
      </c>
      <c r="L1383" t="s">
        <v>23</v>
      </c>
      <c r="M1383" t="s">
        <v>23</v>
      </c>
      <c r="N1383" t="s">
        <v>3830</v>
      </c>
      <c r="O1383" t="s">
        <v>3811</v>
      </c>
      <c r="P1383" t="s">
        <v>34</v>
      </c>
      <c r="Q1383">
        <v>2</v>
      </c>
      <c r="R1383" t="s">
        <v>170</v>
      </c>
      <c r="S1383" t="s">
        <v>28</v>
      </c>
      <c r="T1383" t="str">
        <f>VLOOKUP(S1383,'Mapa Oficinas'!$H$7:$I$16,2,FALSE)</f>
        <v>CB</v>
      </c>
      <c r="U1383" t="s">
        <v>29</v>
      </c>
      <c r="V1383" t="str">
        <f>VLOOKUP($R1383,'Mapa Oficinas'!$A$7:$C$46,2,FALSE)</f>
        <v>CABA</v>
      </c>
      <c r="W1383" t="str">
        <f>VLOOKUP($R1383,'Mapa Oficinas'!$A$7:$C$46,3,FALSE)</f>
        <v>Belgrano</v>
      </c>
    </row>
    <row r="1384" spans="1:23" x14ac:dyDescent="0.2">
      <c r="A1384" s="1">
        <v>46049</v>
      </c>
      <c r="B1384" s="20">
        <f t="shared" si="42"/>
        <v>2026</v>
      </c>
      <c r="C1384" s="20">
        <f t="shared" si="43"/>
        <v>1</v>
      </c>
      <c r="D1384" t="s">
        <v>6413</v>
      </c>
      <c r="E1384" s="49">
        <v>1</v>
      </c>
      <c r="F1384" t="s">
        <v>6414</v>
      </c>
      <c r="G1384" t="s">
        <v>21</v>
      </c>
      <c r="H1384" t="s">
        <v>81</v>
      </c>
      <c r="I1384" s="13">
        <v>130000</v>
      </c>
      <c r="J1384" s="13">
        <v>114000</v>
      </c>
      <c r="K1384" s="13">
        <f>IF(J1384&lt;'Mapa Oficinas'!$I$21,0,IF(J1384&gt;'Mapa Oficinas'!$I$20,0,1))</f>
        <v>1</v>
      </c>
      <c r="L1384" t="s">
        <v>23</v>
      </c>
      <c r="M1384" t="s">
        <v>23</v>
      </c>
      <c r="N1384" t="s">
        <v>6415</v>
      </c>
      <c r="O1384" t="s">
        <v>6416</v>
      </c>
      <c r="P1384" t="s">
        <v>45</v>
      </c>
      <c r="Q1384">
        <v>1</v>
      </c>
      <c r="R1384" t="s">
        <v>167</v>
      </c>
      <c r="S1384" t="s">
        <v>152</v>
      </c>
      <c r="T1384" t="str">
        <f>VLOOKUP(S1384,'Mapa Oficinas'!$H$7:$I$16,2,FALSE)</f>
        <v>Otra Red Captación</v>
      </c>
      <c r="U1384" t="s">
        <v>29</v>
      </c>
      <c r="V1384" t="str">
        <f>VLOOKUP($R1384,'Mapa Oficinas'!$A$7:$C$46,2,FALSE)</f>
        <v>Interior - Santa Fe</v>
      </c>
      <c r="W1384" t="str">
        <f>VLOOKUP($R1384,'Mapa Oficinas'!$A$7:$C$46,3,FALSE)</f>
        <v>Capital Santa Fe</v>
      </c>
    </row>
    <row r="1385" spans="1:23" x14ac:dyDescent="0.2">
      <c r="A1385" s="1">
        <v>45908</v>
      </c>
      <c r="B1385" s="20">
        <f t="shared" si="42"/>
        <v>2025</v>
      </c>
      <c r="C1385" s="20">
        <f t="shared" si="43"/>
        <v>9</v>
      </c>
      <c r="D1385" t="s">
        <v>4025</v>
      </c>
      <c r="E1385" s="49">
        <v>1</v>
      </c>
      <c r="F1385" t="s">
        <v>4026</v>
      </c>
      <c r="G1385" t="s">
        <v>21</v>
      </c>
      <c r="H1385" t="s">
        <v>100</v>
      </c>
      <c r="I1385" s="13">
        <v>123000</v>
      </c>
      <c r="J1385" s="13">
        <v>114000</v>
      </c>
      <c r="K1385" s="13">
        <f>IF(J1385&lt;'Mapa Oficinas'!$I$21,0,IF(J1385&gt;'Mapa Oficinas'!$I$20,0,1))</f>
        <v>1</v>
      </c>
      <c r="L1385" t="s">
        <v>23</v>
      </c>
      <c r="M1385" t="s">
        <v>23</v>
      </c>
      <c r="N1385" t="s">
        <v>285</v>
      </c>
      <c r="O1385" t="s">
        <v>120</v>
      </c>
      <c r="P1385" t="s">
        <v>34</v>
      </c>
      <c r="Q1385">
        <v>2</v>
      </c>
      <c r="R1385" t="s">
        <v>121</v>
      </c>
      <c r="S1385" t="s">
        <v>79</v>
      </c>
      <c r="T1385" t="str">
        <f>VLOOKUP(S1385,'Mapa Oficinas'!$H$7:$I$16,2,FALSE)</f>
        <v>CB</v>
      </c>
      <c r="U1385" t="s">
        <v>29</v>
      </c>
      <c r="V1385" t="str">
        <f>VLOOKUP($R1385,'Mapa Oficinas'!$A$7:$C$46,2,FALSE)</f>
        <v>Interior - Río Negro</v>
      </c>
      <c r="W1385" t="str">
        <f>VLOOKUP($R1385,'Mapa Oficinas'!$A$7:$C$46,3,FALSE)</f>
        <v>Bariloche</v>
      </c>
    </row>
    <row r="1386" spans="1:23" x14ac:dyDescent="0.2">
      <c r="A1386" s="1">
        <v>45663</v>
      </c>
      <c r="B1386" s="20">
        <f t="shared" si="42"/>
        <v>2025</v>
      </c>
      <c r="C1386" s="20">
        <f t="shared" si="43"/>
        <v>1</v>
      </c>
      <c r="D1386" t="s">
        <v>98</v>
      </c>
      <c r="E1386" s="49">
        <v>1</v>
      </c>
      <c r="F1386" t="s">
        <v>99</v>
      </c>
      <c r="G1386" t="s">
        <v>21</v>
      </c>
      <c r="H1386" t="s">
        <v>100</v>
      </c>
      <c r="I1386" s="13">
        <v>114000</v>
      </c>
      <c r="J1386" s="13">
        <v>114000</v>
      </c>
      <c r="K1386" s="13">
        <f>IF(J1386&lt;'Mapa Oficinas'!$I$21,0,IF(J1386&gt;'Mapa Oficinas'!$I$20,0,1))</f>
        <v>1</v>
      </c>
      <c r="L1386" t="s">
        <v>23</v>
      </c>
      <c r="M1386" t="s">
        <v>23</v>
      </c>
      <c r="N1386" t="s">
        <v>101</v>
      </c>
      <c r="O1386" t="s">
        <v>102</v>
      </c>
      <c r="P1386" t="s">
        <v>61</v>
      </c>
      <c r="Q1386">
        <v>1</v>
      </c>
      <c r="R1386" t="s">
        <v>103</v>
      </c>
      <c r="S1386" t="s">
        <v>47</v>
      </c>
      <c r="T1386" t="str">
        <f>VLOOKUP(S1386,'Mapa Oficinas'!$H$7:$I$16,2,FALSE)</f>
        <v>Otra Red Búsqueda</v>
      </c>
      <c r="U1386" t="s">
        <v>29</v>
      </c>
      <c r="V1386" t="str">
        <f>VLOOKUP($R1386,'Mapa Oficinas'!$A$7:$C$46,2,FALSE)</f>
        <v>Zona Sur (GBA)</v>
      </c>
      <c r="W1386" t="str">
        <f>VLOOKUP($R1386,'Mapa Oficinas'!$A$7:$C$46,3,FALSE)</f>
        <v>La Plata</v>
      </c>
    </row>
    <row r="1387" spans="1:23" x14ac:dyDescent="0.2">
      <c r="A1387" s="1">
        <v>46111</v>
      </c>
      <c r="B1387" s="20">
        <f t="shared" si="42"/>
        <v>2026</v>
      </c>
      <c r="C1387" s="20">
        <f t="shared" si="43"/>
        <v>3</v>
      </c>
      <c r="D1387" t="s">
        <v>7530</v>
      </c>
      <c r="E1387" s="49">
        <v>1</v>
      </c>
      <c r="F1387" t="s">
        <v>7531</v>
      </c>
      <c r="G1387" t="s">
        <v>21</v>
      </c>
      <c r="H1387" t="s">
        <v>37</v>
      </c>
      <c r="I1387" s="13">
        <v>129000</v>
      </c>
      <c r="J1387" s="13">
        <v>114000</v>
      </c>
      <c r="K1387" s="13">
        <f>IF(J1387&lt;'Mapa Oficinas'!$I$21,0,IF(J1387&gt;'Mapa Oficinas'!$I$20,0,1))</f>
        <v>1</v>
      </c>
      <c r="L1387" t="s">
        <v>23</v>
      </c>
      <c r="M1387" t="s">
        <v>23</v>
      </c>
      <c r="N1387" t="s">
        <v>7532</v>
      </c>
      <c r="O1387" t="s">
        <v>519</v>
      </c>
      <c r="P1387" t="s">
        <v>45</v>
      </c>
      <c r="Q1387">
        <v>2</v>
      </c>
      <c r="R1387" t="s">
        <v>46</v>
      </c>
      <c r="S1387" t="s">
        <v>28</v>
      </c>
      <c r="T1387" t="str">
        <f>VLOOKUP(S1387,'Mapa Oficinas'!$H$7:$I$16,2,FALSE)</f>
        <v>CB</v>
      </c>
      <c r="U1387" t="s">
        <v>29</v>
      </c>
      <c r="V1387" t="str">
        <f>VLOOKUP($R1387,'Mapa Oficinas'!$A$7:$C$46,2,FALSE)</f>
        <v>CABA</v>
      </c>
      <c r="W1387" t="str">
        <f>VLOOKUP($R1387,'Mapa Oficinas'!$A$7:$C$46,3,FALSE)</f>
        <v>Palermo</v>
      </c>
    </row>
    <row r="1388" spans="1:23" x14ac:dyDescent="0.2">
      <c r="A1388" s="1">
        <v>45992</v>
      </c>
      <c r="B1388" s="20">
        <f t="shared" si="42"/>
        <v>2025</v>
      </c>
      <c r="C1388" s="20">
        <f t="shared" si="43"/>
        <v>12</v>
      </c>
      <c r="D1388" t="s">
        <v>5559</v>
      </c>
      <c r="E1388" s="49">
        <v>1</v>
      </c>
      <c r="F1388" t="s">
        <v>5560</v>
      </c>
      <c r="G1388" t="s">
        <v>21</v>
      </c>
      <c r="H1388" t="s">
        <v>81</v>
      </c>
      <c r="I1388" s="13">
        <v>0</v>
      </c>
      <c r="J1388" s="13">
        <v>115000</v>
      </c>
      <c r="K1388" s="13">
        <f>IF(J1388&lt;'Mapa Oficinas'!$I$21,0,IF(J1388&gt;'Mapa Oficinas'!$I$20,0,1))</f>
        <v>1</v>
      </c>
      <c r="L1388" t="s">
        <v>23</v>
      </c>
      <c r="M1388" t="s">
        <v>23</v>
      </c>
      <c r="O1388" t="s">
        <v>1321</v>
      </c>
      <c r="P1388" t="s">
        <v>26</v>
      </c>
      <c r="Q1388">
        <v>1</v>
      </c>
      <c r="R1388" t="s">
        <v>151</v>
      </c>
      <c r="S1388" t="s">
        <v>122</v>
      </c>
      <c r="T1388" t="str">
        <f>VLOOKUP(S1388,'Mapa Oficinas'!$H$7:$I$16,2,FALSE)</f>
        <v>Otra Red Búsqueda</v>
      </c>
      <c r="U1388" t="s">
        <v>29</v>
      </c>
      <c r="V1388" t="str">
        <f>VLOOKUP($R1388,'Mapa Oficinas'!$A$7:$C$46,2,FALSE)</f>
        <v>Interior - Mendoza</v>
      </c>
      <c r="W1388" t="str">
        <f>VLOOKUP($R1388,'Mapa Oficinas'!$A$7:$C$46,3,FALSE)</f>
        <v>Capital Mendoza</v>
      </c>
    </row>
    <row r="1389" spans="1:23" x14ac:dyDescent="0.2">
      <c r="A1389" s="1">
        <v>45849</v>
      </c>
      <c r="B1389" s="20">
        <f t="shared" si="42"/>
        <v>2025</v>
      </c>
      <c r="C1389" s="20">
        <f t="shared" si="43"/>
        <v>7</v>
      </c>
      <c r="D1389" t="s">
        <v>2979</v>
      </c>
      <c r="E1389" s="49">
        <v>1</v>
      </c>
      <c r="F1389" t="s">
        <v>2980</v>
      </c>
      <c r="G1389" t="s">
        <v>21</v>
      </c>
      <c r="H1389" t="s">
        <v>37</v>
      </c>
      <c r="I1389" s="13">
        <v>118000</v>
      </c>
      <c r="J1389" s="13">
        <v>115000</v>
      </c>
      <c r="K1389" s="13">
        <f>IF(J1389&lt;'Mapa Oficinas'!$I$21,0,IF(J1389&gt;'Mapa Oficinas'!$I$20,0,1))</f>
        <v>1</v>
      </c>
      <c r="L1389" t="s">
        <v>23</v>
      </c>
      <c r="M1389" t="s">
        <v>23</v>
      </c>
      <c r="N1389" t="s">
        <v>2981</v>
      </c>
      <c r="O1389" t="s">
        <v>50</v>
      </c>
      <c r="P1389" t="s">
        <v>45</v>
      </c>
      <c r="Q1389">
        <v>1</v>
      </c>
      <c r="R1389" t="s">
        <v>372</v>
      </c>
      <c r="S1389" t="s">
        <v>152</v>
      </c>
      <c r="T1389" t="str">
        <f>VLOOKUP(S1389,'Mapa Oficinas'!$H$7:$I$16,2,FALSE)</f>
        <v>Otra Red Captación</v>
      </c>
      <c r="U1389" t="s">
        <v>29</v>
      </c>
      <c r="V1389" t="str">
        <f>VLOOKUP($R1389,'Mapa Oficinas'!$A$7:$C$46,2,FALSE)</f>
        <v>CABA</v>
      </c>
      <c r="W1389" t="str">
        <f>VLOOKUP($R1389,'Mapa Oficinas'!$A$7:$C$46,3,FALSE)</f>
        <v>Caballito</v>
      </c>
    </row>
    <row r="1390" spans="1:23" x14ac:dyDescent="0.2">
      <c r="A1390" s="1">
        <v>45974</v>
      </c>
      <c r="B1390" s="20">
        <f t="shared" si="42"/>
        <v>2025</v>
      </c>
      <c r="C1390" s="20">
        <f t="shared" si="43"/>
        <v>11</v>
      </c>
      <c r="D1390" t="s">
        <v>5204</v>
      </c>
      <c r="E1390" s="49">
        <v>1</v>
      </c>
      <c r="F1390" t="s">
        <v>5205</v>
      </c>
      <c r="G1390" t="s">
        <v>21</v>
      </c>
      <c r="H1390" t="s">
        <v>230</v>
      </c>
      <c r="I1390" s="13">
        <v>115000</v>
      </c>
      <c r="J1390" s="13">
        <v>115000</v>
      </c>
      <c r="K1390" s="13">
        <f>IF(J1390&lt;'Mapa Oficinas'!$I$21,0,IF(J1390&gt;'Mapa Oficinas'!$I$20,0,1))</f>
        <v>1</v>
      </c>
      <c r="L1390" t="s">
        <v>23</v>
      </c>
      <c r="M1390" t="s">
        <v>23</v>
      </c>
      <c r="N1390" t="s">
        <v>5206</v>
      </c>
      <c r="O1390" t="s">
        <v>72</v>
      </c>
      <c r="P1390" t="s">
        <v>45</v>
      </c>
      <c r="Q1390">
        <v>1</v>
      </c>
      <c r="R1390" t="s">
        <v>73</v>
      </c>
      <c r="S1390" t="s">
        <v>152</v>
      </c>
      <c r="T1390" t="str">
        <f>VLOOKUP(S1390,'Mapa Oficinas'!$H$7:$I$16,2,FALSE)</f>
        <v>Otra Red Captación</v>
      </c>
      <c r="U1390" t="s">
        <v>29</v>
      </c>
      <c r="V1390" t="str">
        <f>VLOOKUP($R1390,'Mapa Oficinas'!$A$7:$C$46,2,FALSE)</f>
        <v>Interior - Salta</v>
      </c>
      <c r="W1390" t="str">
        <f>VLOOKUP($R1390,'Mapa Oficinas'!$A$7:$C$46,3,FALSE)</f>
        <v>San Lorenzo Chico</v>
      </c>
    </row>
    <row r="1391" spans="1:23" x14ac:dyDescent="0.2">
      <c r="A1391" s="1">
        <v>45673</v>
      </c>
      <c r="B1391" s="20">
        <f t="shared" si="42"/>
        <v>2025</v>
      </c>
      <c r="C1391" s="20">
        <f t="shared" si="43"/>
        <v>1</v>
      </c>
      <c r="D1391" t="s">
        <v>262</v>
      </c>
      <c r="E1391" s="49">
        <v>1</v>
      </c>
      <c r="F1391" t="s">
        <v>263</v>
      </c>
      <c r="G1391" t="s">
        <v>21</v>
      </c>
      <c r="H1391" t="s">
        <v>37</v>
      </c>
      <c r="I1391" s="13">
        <v>115000</v>
      </c>
      <c r="J1391" s="13">
        <v>115000</v>
      </c>
      <c r="K1391" s="13">
        <f>IF(J1391&lt;'Mapa Oficinas'!$I$21,0,IF(J1391&gt;'Mapa Oficinas'!$I$20,0,1))</f>
        <v>1</v>
      </c>
      <c r="L1391" t="s">
        <v>23</v>
      </c>
      <c r="M1391" t="s">
        <v>23</v>
      </c>
      <c r="N1391" t="s">
        <v>264</v>
      </c>
      <c r="O1391" t="s">
        <v>265</v>
      </c>
      <c r="P1391" t="s">
        <v>45</v>
      </c>
      <c r="Q1391">
        <v>2</v>
      </c>
      <c r="R1391" t="s">
        <v>46</v>
      </c>
      <c r="S1391" t="s">
        <v>79</v>
      </c>
      <c r="T1391" t="str">
        <f>VLOOKUP(S1391,'Mapa Oficinas'!$H$7:$I$16,2,FALSE)</f>
        <v>CB</v>
      </c>
      <c r="U1391" t="s">
        <v>29</v>
      </c>
      <c r="V1391" t="str">
        <f>VLOOKUP($R1391,'Mapa Oficinas'!$A$7:$C$46,2,FALSE)</f>
        <v>CABA</v>
      </c>
      <c r="W1391" t="str">
        <f>VLOOKUP($R1391,'Mapa Oficinas'!$A$7:$C$46,3,FALSE)</f>
        <v>Palermo</v>
      </c>
    </row>
    <row r="1392" spans="1:23" x14ac:dyDescent="0.2">
      <c r="A1392" s="1">
        <v>45841</v>
      </c>
      <c r="B1392" s="20">
        <f t="shared" si="42"/>
        <v>2025</v>
      </c>
      <c r="C1392" s="20">
        <f t="shared" si="43"/>
        <v>7</v>
      </c>
      <c r="D1392" t="s">
        <v>2856</v>
      </c>
      <c r="E1392" s="49">
        <v>1</v>
      </c>
      <c r="F1392" t="s">
        <v>2857</v>
      </c>
      <c r="G1392" t="s">
        <v>21</v>
      </c>
      <c r="H1392" t="s">
        <v>37</v>
      </c>
      <c r="I1392" s="13">
        <v>120000</v>
      </c>
      <c r="J1392" s="13">
        <v>115000</v>
      </c>
      <c r="K1392" s="13">
        <f>IF(J1392&lt;'Mapa Oficinas'!$I$21,0,IF(J1392&gt;'Mapa Oficinas'!$I$20,0,1))</f>
        <v>1</v>
      </c>
      <c r="L1392" t="s">
        <v>23</v>
      </c>
      <c r="M1392" t="s">
        <v>23</v>
      </c>
      <c r="N1392" t="s">
        <v>2858</v>
      </c>
      <c r="O1392" t="s">
        <v>92</v>
      </c>
      <c r="P1392" t="s">
        <v>45</v>
      </c>
      <c r="Q1392">
        <v>2</v>
      </c>
      <c r="R1392" t="s">
        <v>670</v>
      </c>
      <c r="S1392" t="s">
        <v>79</v>
      </c>
      <c r="T1392" t="str">
        <f>VLOOKUP(S1392,'Mapa Oficinas'!$H$7:$I$16,2,FALSE)</f>
        <v>CB</v>
      </c>
      <c r="U1392" t="s">
        <v>29</v>
      </c>
      <c r="V1392" t="str">
        <f>VLOOKUP($R1392,'Mapa Oficinas'!$A$7:$C$46,2,FALSE)</f>
        <v>CABA</v>
      </c>
      <c r="W1392" t="str">
        <f>VLOOKUP($R1392,'Mapa Oficinas'!$A$7:$C$46,3,FALSE)</f>
        <v>Recoleta</v>
      </c>
    </row>
    <row r="1393" spans="1:23" x14ac:dyDescent="0.2">
      <c r="A1393" s="1">
        <v>45848</v>
      </c>
      <c r="B1393" s="20">
        <f t="shared" si="42"/>
        <v>2025</v>
      </c>
      <c r="C1393" s="20">
        <f t="shared" si="43"/>
        <v>7</v>
      </c>
      <c r="D1393" t="s">
        <v>2957</v>
      </c>
      <c r="E1393" s="49">
        <v>1</v>
      </c>
      <c r="F1393" t="s">
        <v>2958</v>
      </c>
      <c r="G1393" t="s">
        <v>21</v>
      </c>
      <c r="H1393" t="s">
        <v>70</v>
      </c>
      <c r="I1393" s="13">
        <v>115000</v>
      </c>
      <c r="J1393" s="13">
        <v>115000</v>
      </c>
      <c r="K1393" s="13">
        <f>IF(J1393&lt;'Mapa Oficinas'!$I$21,0,IF(J1393&gt;'Mapa Oficinas'!$I$20,0,1))</f>
        <v>1</v>
      </c>
      <c r="L1393" t="s">
        <v>23</v>
      </c>
      <c r="M1393" t="s">
        <v>23</v>
      </c>
      <c r="N1393" t="s">
        <v>2959</v>
      </c>
      <c r="O1393" t="s">
        <v>1116</v>
      </c>
      <c r="P1393" t="s">
        <v>34</v>
      </c>
      <c r="Q1393">
        <v>2</v>
      </c>
      <c r="R1393" t="s">
        <v>73</v>
      </c>
      <c r="S1393" t="s">
        <v>79</v>
      </c>
      <c r="T1393" t="str">
        <f>VLOOKUP(S1393,'Mapa Oficinas'!$H$7:$I$16,2,FALSE)</f>
        <v>CB</v>
      </c>
      <c r="U1393" t="s">
        <v>29</v>
      </c>
      <c r="V1393" t="str">
        <f>VLOOKUP($R1393,'Mapa Oficinas'!$A$7:$C$46,2,FALSE)</f>
        <v>Interior - Salta</v>
      </c>
      <c r="W1393" t="str">
        <f>VLOOKUP($R1393,'Mapa Oficinas'!$A$7:$C$46,3,FALSE)</f>
        <v>San Lorenzo Chico</v>
      </c>
    </row>
    <row r="1394" spans="1:23" x14ac:dyDescent="0.2">
      <c r="A1394" s="1">
        <v>45882</v>
      </c>
      <c r="B1394" s="20">
        <f t="shared" si="42"/>
        <v>2025</v>
      </c>
      <c r="C1394" s="20">
        <f t="shared" si="43"/>
        <v>8</v>
      </c>
      <c r="D1394" t="s">
        <v>1508</v>
      </c>
      <c r="E1394" s="49">
        <v>1</v>
      </c>
      <c r="F1394" t="s">
        <v>1509</v>
      </c>
      <c r="G1394" t="s">
        <v>21</v>
      </c>
      <c r="H1394" t="s">
        <v>37</v>
      </c>
      <c r="I1394" s="13">
        <v>122000</v>
      </c>
      <c r="J1394" s="13">
        <v>115000</v>
      </c>
      <c r="K1394" s="13">
        <f>IF(J1394&lt;'Mapa Oficinas'!$I$21,0,IF(J1394&gt;'Mapa Oficinas'!$I$20,0,1))</f>
        <v>1</v>
      </c>
      <c r="L1394" t="s">
        <v>23</v>
      </c>
      <c r="M1394" t="s">
        <v>23</v>
      </c>
      <c r="N1394" t="s">
        <v>1510</v>
      </c>
      <c r="O1394" t="s">
        <v>1511</v>
      </c>
      <c r="P1394" t="s">
        <v>34</v>
      </c>
      <c r="Q1394">
        <v>2</v>
      </c>
      <c r="R1394" t="s">
        <v>110</v>
      </c>
      <c r="S1394" t="s">
        <v>79</v>
      </c>
      <c r="T1394" t="str">
        <f>VLOOKUP(S1394,'Mapa Oficinas'!$H$7:$I$16,2,FALSE)</f>
        <v>CB</v>
      </c>
      <c r="U1394" t="s">
        <v>29</v>
      </c>
      <c r="V1394" t="str">
        <f>VLOOKUP($R1394,'Mapa Oficinas'!$A$7:$C$46,2,FALSE)</f>
        <v>Zona Norte (GBA)</v>
      </c>
      <c r="W1394" t="str">
        <f>VLOOKUP($R1394,'Mapa Oficinas'!$A$7:$C$46,3,FALSE)</f>
        <v>Nordelta</v>
      </c>
    </row>
    <row r="1395" spans="1:23" x14ac:dyDescent="0.2">
      <c r="A1395" s="1">
        <v>45966</v>
      </c>
      <c r="B1395" s="20">
        <f t="shared" si="42"/>
        <v>2025</v>
      </c>
      <c r="C1395" s="20">
        <f t="shared" si="43"/>
        <v>11</v>
      </c>
      <c r="D1395">
        <v>10592</v>
      </c>
      <c r="E1395" s="49">
        <v>1</v>
      </c>
      <c r="F1395" t="s">
        <v>5060</v>
      </c>
      <c r="G1395" t="s">
        <v>21</v>
      </c>
      <c r="H1395" t="s">
        <v>37</v>
      </c>
      <c r="I1395" s="13">
        <v>115000</v>
      </c>
      <c r="J1395" s="13">
        <v>115000</v>
      </c>
      <c r="K1395" s="13">
        <f>IF(J1395&lt;'Mapa Oficinas'!$I$21,0,IF(J1395&gt;'Mapa Oficinas'!$I$20,0,1))</f>
        <v>1</v>
      </c>
      <c r="L1395" t="s">
        <v>23</v>
      </c>
      <c r="M1395" t="s">
        <v>23</v>
      </c>
      <c r="N1395" t="s">
        <v>5060</v>
      </c>
      <c r="O1395" t="s">
        <v>992</v>
      </c>
      <c r="P1395" t="s">
        <v>45</v>
      </c>
      <c r="Q1395">
        <v>1</v>
      </c>
      <c r="R1395" t="s">
        <v>67</v>
      </c>
      <c r="S1395" t="s">
        <v>47</v>
      </c>
      <c r="T1395" t="str">
        <f>VLOOKUP(S1395,'Mapa Oficinas'!$H$7:$I$16,2,FALSE)</f>
        <v>Otra Red Búsqueda</v>
      </c>
      <c r="U1395" t="s">
        <v>29</v>
      </c>
      <c r="V1395" t="str">
        <f>VLOOKUP($R1395,'Mapa Oficinas'!$A$7:$C$46,2,FALSE)</f>
        <v>CABA</v>
      </c>
      <c r="W1395" t="str">
        <f>VLOOKUP($R1395,'Mapa Oficinas'!$A$7:$C$46,3,FALSE)</f>
        <v>Barrio Parque</v>
      </c>
    </row>
    <row r="1396" spans="1:23" x14ac:dyDescent="0.2">
      <c r="A1396" s="1">
        <v>46003</v>
      </c>
      <c r="B1396" s="20">
        <f t="shared" si="42"/>
        <v>2025</v>
      </c>
      <c r="C1396" s="20">
        <f t="shared" si="43"/>
        <v>12</v>
      </c>
      <c r="D1396">
        <v>10638</v>
      </c>
      <c r="E1396" s="49">
        <v>1</v>
      </c>
      <c r="F1396" t="s">
        <v>5750</v>
      </c>
      <c r="G1396" t="s">
        <v>21</v>
      </c>
      <c r="H1396" t="s">
        <v>37</v>
      </c>
      <c r="I1396" s="13">
        <v>115000</v>
      </c>
      <c r="J1396" s="13">
        <v>115000</v>
      </c>
      <c r="K1396" s="13">
        <f>IF(J1396&lt;'Mapa Oficinas'!$I$21,0,IF(J1396&gt;'Mapa Oficinas'!$I$20,0,1))</f>
        <v>1</v>
      </c>
      <c r="L1396" t="s">
        <v>23</v>
      </c>
      <c r="M1396" t="s">
        <v>23</v>
      </c>
      <c r="N1396" t="s">
        <v>5750</v>
      </c>
      <c r="O1396" t="s">
        <v>66</v>
      </c>
      <c r="P1396" t="s">
        <v>45</v>
      </c>
      <c r="Q1396">
        <v>1</v>
      </c>
      <c r="R1396" t="s">
        <v>67</v>
      </c>
      <c r="S1396" t="s">
        <v>47</v>
      </c>
      <c r="T1396" t="str">
        <f>VLOOKUP(S1396,'Mapa Oficinas'!$H$7:$I$16,2,FALSE)</f>
        <v>Otra Red Búsqueda</v>
      </c>
      <c r="U1396" t="s">
        <v>29</v>
      </c>
      <c r="V1396" t="str">
        <f>VLOOKUP($R1396,'Mapa Oficinas'!$A$7:$C$46,2,FALSE)</f>
        <v>CABA</v>
      </c>
      <c r="W1396" t="str">
        <f>VLOOKUP($R1396,'Mapa Oficinas'!$A$7:$C$46,3,FALSE)</f>
        <v>Barrio Parque</v>
      </c>
    </row>
    <row r="1397" spans="1:23" x14ac:dyDescent="0.2">
      <c r="A1397" s="1">
        <v>45754</v>
      </c>
      <c r="B1397" s="20">
        <f t="shared" si="42"/>
        <v>2025</v>
      </c>
      <c r="C1397" s="20">
        <f t="shared" si="43"/>
        <v>4</v>
      </c>
      <c r="D1397" t="s">
        <v>1313</v>
      </c>
      <c r="E1397" s="49">
        <v>1</v>
      </c>
      <c r="F1397" t="s">
        <v>1314</v>
      </c>
      <c r="G1397" t="s">
        <v>21</v>
      </c>
      <c r="H1397" t="s">
        <v>37</v>
      </c>
      <c r="I1397" s="13">
        <v>130000</v>
      </c>
      <c r="J1397" s="13">
        <v>115000</v>
      </c>
      <c r="K1397" s="13">
        <f>IF(J1397&lt;'Mapa Oficinas'!$I$21,0,IF(J1397&gt;'Mapa Oficinas'!$I$20,0,1))</f>
        <v>1</v>
      </c>
      <c r="L1397" t="s">
        <v>23</v>
      </c>
      <c r="M1397" t="s">
        <v>23</v>
      </c>
      <c r="N1397" t="s">
        <v>1315</v>
      </c>
      <c r="O1397" t="s">
        <v>1316</v>
      </c>
      <c r="P1397" t="s">
        <v>34</v>
      </c>
      <c r="Q1397">
        <v>2</v>
      </c>
      <c r="R1397" t="s">
        <v>40</v>
      </c>
      <c r="S1397" t="s">
        <v>200</v>
      </c>
      <c r="T1397" t="str">
        <f>VLOOKUP(S1397,'Mapa Oficinas'!$H$7:$I$16,2,FALSE)</f>
        <v>Otra Red Captación</v>
      </c>
      <c r="U1397" t="s">
        <v>29</v>
      </c>
      <c r="V1397" t="str">
        <f>VLOOKUP($R1397,'Mapa Oficinas'!$A$7:$C$46,2,FALSE)</f>
        <v>CABA</v>
      </c>
      <c r="W1397" t="str">
        <f>VLOOKUP($R1397,'Mapa Oficinas'!$A$7:$C$46,3,FALSE)</f>
        <v>Núñez</v>
      </c>
    </row>
    <row r="1398" spans="1:23" x14ac:dyDescent="0.2">
      <c r="A1398" s="1">
        <v>46080</v>
      </c>
      <c r="B1398" s="20">
        <f t="shared" si="42"/>
        <v>2026</v>
      </c>
      <c r="C1398" s="20">
        <f t="shared" si="43"/>
        <v>2</v>
      </c>
      <c r="D1398" t="s">
        <v>6898</v>
      </c>
      <c r="E1398" s="49">
        <v>1</v>
      </c>
      <c r="F1398" t="s">
        <v>6899</v>
      </c>
      <c r="G1398" t="s">
        <v>21</v>
      </c>
      <c r="H1398" t="s">
        <v>37</v>
      </c>
      <c r="I1398" s="13">
        <v>116000</v>
      </c>
      <c r="J1398" s="13">
        <v>115000</v>
      </c>
      <c r="K1398" s="13">
        <f>IF(J1398&lt;'Mapa Oficinas'!$I$21,0,IF(J1398&gt;'Mapa Oficinas'!$I$20,0,1))</f>
        <v>1</v>
      </c>
      <c r="L1398" t="s">
        <v>23</v>
      </c>
      <c r="M1398" t="s">
        <v>23</v>
      </c>
      <c r="N1398" t="s">
        <v>6900</v>
      </c>
      <c r="O1398" t="s">
        <v>50</v>
      </c>
      <c r="P1398" t="s">
        <v>45</v>
      </c>
      <c r="Q1398">
        <v>2</v>
      </c>
      <c r="R1398" t="s">
        <v>4688</v>
      </c>
      <c r="S1398" t="s">
        <v>200</v>
      </c>
      <c r="T1398" t="str">
        <f>VLOOKUP(S1398,'Mapa Oficinas'!$H$7:$I$16,2,FALSE)</f>
        <v>Otra Red Captación</v>
      </c>
      <c r="U1398" t="s">
        <v>29</v>
      </c>
      <c r="V1398" t="str">
        <f>VLOOKUP($R1398,'Mapa Oficinas'!$A$7:$C$46,2,FALSE)</f>
        <v>Zona Norte (GBA)</v>
      </c>
      <c r="W1398" t="str">
        <f>VLOOKUP($R1398,'Mapa Oficinas'!$A$7:$C$46,3,FALSE)</f>
        <v>San Isidro</v>
      </c>
    </row>
    <row r="1399" spans="1:23" x14ac:dyDescent="0.2">
      <c r="A1399" s="1">
        <v>46101</v>
      </c>
      <c r="B1399" s="20">
        <f t="shared" si="42"/>
        <v>2026</v>
      </c>
      <c r="C1399" s="20">
        <f t="shared" si="43"/>
        <v>3</v>
      </c>
      <c r="D1399" t="s">
        <v>7357</v>
      </c>
      <c r="E1399" s="49">
        <v>3</v>
      </c>
      <c r="F1399" t="s">
        <v>7358</v>
      </c>
      <c r="G1399" t="s">
        <v>21</v>
      </c>
      <c r="H1399" t="s">
        <v>76</v>
      </c>
      <c r="I1399" s="13">
        <v>165000</v>
      </c>
      <c r="J1399" s="13">
        <v>115000</v>
      </c>
      <c r="K1399" s="13">
        <f>IF(J1399&lt;'Mapa Oficinas'!$I$21,0,IF(J1399&gt;'Mapa Oficinas'!$I$20,0,1))</f>
        <v>1</v>
      </c>
      <c r="L1399" t="s">
        <v>23</v>
      </c>
      <c r="M1399" t="s">
        <v>23</v>
      </c>
      <c r="N1399" t="s">
        <v>7359</v>
      </c>
      <c r="O1399" t="s">
        <v>7360</v>
      </c>
      <c r="P1399" t="s">
        <v>45</v>
      </c>
      <c r="Q1399">
        <v>2</v>
      </c>
      <c r="R1399" t="s">
        <v>257</v>
      </c>
      <c r="S1399" t="s">
        <v>241</v>
      </c>
      <c r="T1399" t="str">
        <f>VLOOKUP(S1399,'Mapa Oficinas'!$H$7:$I$16,2,FALSE)</f>
        <v>CB</v>
      </c>
      <c r="U1399" t="s">
        <v>29</v>
      </c>
      <c r="V1399" t="str">
        <f>VLOOKUP($R1399,'Mapa Oficinas'!$A$7:$C$46,2,FALSE)</f>
        <v>Zona Norte (GBA)</v>
      </c>
      <c r="W1399" t="str">
        <f>VLOOKUP($R1399,'Mapa Oficinas'!$A$7:$C$46,3,FALSE)</f>
        <v>Pilar</v>
      </c>
    </row>
    <row r="1400" spans="1:23" x14ac:dyDescent="0.2">
      <c r="A1400" s="1">
        <v>45659</v>
      </c>
      <c r="B1400" s="20">
        <f t="shared" si="42"/>
        <v>2025</v>
      </c>
      <c r="C1400" s="20">
        <f t="shared" si="43"/>
        <v>1</v>
      </c>
      <c r="D1400" t="s">
        <v>35</v>
      </c>
      <c r="E1400" s="49">
        <v>1</v>
      </c>
      <c r="F1400" t="s">
        <v>36</v>
      </c>
      <c r="G1400" t="s">
        <v>21</v>
      </c>
      <c r="H1400" t="s">
        <v>37</v>
      </c>
      <c r="I1400" s="13">
        <v>125000</v>
      </c>
      <c r="J1400" s="13">
        <v>115000</v>
      </c>
      <c r="K1400" s="13">
        <f>IF(J1400&lt;'Mapa Oficinas'!$I$21,0,IF(J1400&gt;'Mapa Oficinas'!$I$20,0,1))</f>
        <v>1</v>
      </c>
      <c r="L1400" t="s">
        <v>23</v>
      </c>
      <c r="M1400" t="s">
        <v>23</v>
      </c>
      <c r="N1400" t="s">
        <v>38</v>
      </c>
      <c r="O1400" t="s">
        <v>39</v>
      </c>
      <c r="P1400" t="s">
        <v>34</v>
      </c>
      <c r="Q1400">
        <v>2</v>
      </c>
      <c r="R1400" t="s">
        <v>40</v>
      </c>
      <c r="S1400" t="s">
        <v>28</v>
      </c>
      <c r="T1400" t="str">
        <f>VLOOKUP(S1400,'Mapa Oficinas'!$H$7:$I$16,2,FALSE)</f>
        <v>CB</v>
      </c>
      <c r="U1400" t="s">
        <v>29</v>
      </c>
      <c r="V1400" t="str">
        <f>VLOOKUP($R1400,'Mapa Oficinas'!$A$7:$C$46,2,FALSE)</f>
        <v>CABA</v>
      </c>
      <c r="W1400" t="str">
        <f>VLOOKUP($R1400,'Mapa Oficinas'!$A$7:$C$46,3,FALSE)</f>
        <v>Núñez</v>
      </c>
    </row>
    <row r="1401" spans="1:23" x14ac:dyDescent="0.2">
      <c r="A1401" s="1">
        <v>45660</v>
      </c>
      <c r="B1401" s="20">
        <f t="shared" si="42"/>
        <v>2025</v>
      </c>
      <c r="C1401" s="20">
        <f t="shared" si="43"/>
        <v>1</v>
      </c>
      <c r="D1401" t="s">
        <v>63</v>
      </c>
      <c r="E1401" s="49">
        <v>1</v>
      </c>
      <c r="F1401" t="s">
        <v>64</v>
      </c>
      <c r="G1401" t="s">
        <v>21</v>
      </c>
      <c r="H1401" t="s">
        <v>37</v>
      </c>
      <c r="I1401" s="13">
        <v>139000</v>
      </c>
      <c r="J1401" s="13">
        <v>115000</v>
      </c>
      <c r="K1401" s="13">
        <f>IF(J1401&lt;'Mapa Oficinas'!$I$21,0,IF(J1401&gt;'Mapa Oficinas'!$I$20,0,1))</f>
        <v>1</v>
      </c>
      <c r="L1401" t="s">
        <v>23</v>
      </c>
      <c r="M1401" t="s">
        <v>23</v>
      </c>
      <c r="N1401" t="s">
        <v>65</v>
      </c>
      <c r="O1401" t="s">
        <v>66</v>
      </c>
      <c r="P1401" t="s">
        <v>45</v>
      </c>
      <c r="Q1401">
        <v>2</v>
      </c>
      <c r="R1401" t="s">
        <v>67</v>
      </c>
      <c r="S1401" t="s">
        <v>28</v>
      </c>
      <c r="T1401" t="str">
        <f>VLOOKUP(S1401,'Mapa Oficinas'!$H$7:$I$16,2,FALSE)</f>
        <v>CB</v>
      </c>
      <c r="U1401" t="s">
        <v>29</v>
      </c>
      <c r="V1401" t="str">
        <f>VLOOKUP($R1401,'Mapa Oficinas'!$A$7:$C$46,2,FALSE)</f>
        <v>CABA</v>
      </c>
      <c r="W1401" t="str">
        <f>VLOOKUP($R1401,'Mapa Oficinas'!$A$7:$C$46,3,FALSE)</f>
        <v>Barrio Parque</v>
      </c>
    </row>
    <row r="1402" spans="1:23" x14ac:dyDescent="0.2">
      <c r="A1402" s="1">
        <v>45758</v>
      </c>
      <c r="B1402" s="20">
        <f t="shared" si="42"/>
        <v>2025</v>
      </c>
      <c r="C1402" s="20">
        <f t="shared" si="43"/>
        <v>4</v>
      </c>
      <c r="D1402" t="s">
        <v>1382</v>
      </c>
      <c r="E1402" s="49">
        <v>1</v>
      </c>
      <c r="F1402" t="s">
        <v>1382</v>
      </c>
      <c r="G1402" t="s">
        <v>21</v>
      </c>
      <c r="H1402" t="s">
        <v>90</v>
      </c>
      <c r="I1402" s="13">
        <v>115000</v>
      </c>
      <c r="J1402" s="13">
        <v>115000</v>
      </c>
      <c r="K1402" s="13">
        <f>IF(J1402&lt;'Mapa Oficinas'!$I$21,0,IF(J1402&gt;'Mapa Oficinas'!$I$20,0,1))</f>
        <v>1</v>
      </c>
      <c r="L1402" t="s">
        <v>23</v>
      </c>
      <c r="M1402" t="s">
        <v>23</v>
      </c>
      <c r="N1402" t="s">
        <v>1382</v>
      </c>
      <c r="O1402" t="s">
        <v>116</v>
      </c>
      <c r="P1402" t="s">
        <v>26</v>
      </c>
      <c r="Q1402">
        <v>2</v>
      </c>
      <c r="R1402" t="s">
        <v>62</v>
      </c>
      <c r="S1402" t="s">
        <v>28</v>
      </c>
      <c r="T1402" t="str">
        <f>VLOOKUP(S1402,'Mapa Oficinas'!$H$7:$I$16,2,FALSE)</f>
        <v>CB</v>
      </c>
      <c r="U1402" t="s">
        <v>29</v>
      </c>
      <c r="V1402" t="str">
        <f>VLOOKUP($R1402,'Mapa Oficinas'!$A$7:$C$46,2,FALSE)</f>
        <v>CABA</v>
      </c>
      <c r="W1402" t="str">
        <f>VLOOKUP($R1402,'Mapa Oficinas'!$A$7:$C$46,3,FALSE)</f>
        <v>Villa Urquiza</v>
      </c>
    </row>
    <row r="1403" spans="1:23" x14ac:dyDescent="0.2">
      <c r="A1403" s="1">
        <v>45821</v>
      </c>
      <c r="B1403" s="20">
        <f t="shared" si="42"/>
        <v>2025</v>
      </c>
      <c r="C1403" s="20">
        <f t="shared" si="43"/>
        <v>6</v>
      </c>
      <c r="D1403" t="s">
        <v>2490</v>
      </c>
      <c r="E1403" s="49">
        <v>1</v>
      </c>
      <c r="F1403" t="s">
        <v>2491</v>
      </c>
      <c r="G1403" t="s">
        <v>21</v>
      </c>
      <c r="H1403" t="s">
        <v>81</v>
      </c>
      <c r="I1403" s="13">
        <v>129000</v>
      </c>
      <c r="J1403" s="13">
        <v>115000</v>
      </c>
      <c r="K1403" s="13">
        <f>IF(J1403&lt;'Mapa Oficinas'!$I$21,0,IF(J1403&gt;'Mapa Oficinas'!$I$20,0,1))</f>
        <v>1</v>
      </c>
      <c r="L1403" t="s">
        <v>23</v>
      </c>
      <c r="M1403" t="s">
        <v>23</v>
      </c>
      <c r="N1403" t="s">
        <v>2492</v>
      </c>
      <c r="O1403" t="s">
        <v>2231</v>
      </c>
      <c r="P1403" t="s">
        <v>34</v>
      </c>
      <c r="Q1403">
        <v>2</v>
      </c>
      <c r="R1403" t="s">
        <v>103</v>
      </c>
      <c r="S1403" t="s">
        <v>28</v>
      </c>
      <c r="T1403" t="str">
        <f>VLOOKUP(S1403,'Mapa Oficinas'!$H$7:$I$16,2,FALSE)</f>
        <v>CB</v>
      </c>
      <c r="U1403" t="s">
        <v>29</v>
      </c>
      <c r="V1403" t="str">
        <f>VLOOKUP($R1403,'Mapa Oficinas'!$A$7:$C$46,2,FALSE)</f>
        <v>Zona Sur (GBA)</v>
      </c>
      <c r="W1403" t="str">
        <f>VLOOKUP($R1403,'Mapa Oficinas'!$A$7:$C$46,3,FALSE)</f>
        <v>La Plata</v>
      </c>
    </row>
    <row r="1404" spans="1:23" x14ac:dyDescent="0.2">
      <c r="A1404" s="1">
        <v>45835</v>
      </c>
      <c r="B1404" s="20">
        <f t="shared" si="42"/>
        <v>2025</v>
      </c>
      <c r="C1404" s="20">
        <f t="shared" si="43"/>
        <v>6</v>
      </c>
      <c r="D1404" t="s">
        <v>2703</v>
      </c>
      <c r="E1404" s="49">
        <v>1</v>
      </c>
      <c r="F1404" t="s">
        <v>2704</v>
      </c>
      <c r="G1404" t="s">
        <v>21</v>
      </c>
      <c r="H1404" t="s">
        <v>22</v>
      </c>
      <c r="I1404" s="13">
        <v>140000</v>
      </c>
      <c r="J1404" s="13">
        <v>115000</v>
      </c>
      <c r="K1404" s="13">
        <f>IF(J1404&lt;'Mapa Oficinas'!$I$21,0,IF(J1404&gt;'Mapa Oficinas'!$I$20,0,1))</f>
        <v>1</v>
      </c>
      <c r="L1404" t="s">
        <v>23</v>
      </c>
      <c r="M1404" t="s">
        <v>23</v>
      </c>
      <c r="N1404" t="s">
        <v>2705</v>
      </c>
      <c r="O1404" t="s">
        <v>2706</v>
      </c>
      <c r="P1404" t="s">
        <v>34</v>
      </c>
      <c r="Q1404">
        <v>2</v>
      </c>
      <c r="R1404" t="s">
        <v>84</v>
      </c>
      <c r="S1404" t="s">
        <v>28</v>
      </c>
      <c r="T1404" t="str">
        <f>VLOOKUP(S1404,'Mapa Oficinas'!$H$7:$I$16,2,FALSE)</f>
        <v>CB</v>
      </c>
      <c r="U1404" t="s">
        <v>29</v>
      </c>
      <c r="V1404" t="str">
        <f>VLOOKUP($R1404,'Mapa Oficinas'!$A$7:$C$46,2,FALSE)</f>
        <v>Interior - Neuquén</v>
      </c>
      <c r="W1404" t="str">
        <f>VLOOKUP($R1404,'Mapa Oficinas'!$A$7:$C$46,3,FALSE)</f>
        <v>Villa La Angostura</v>
      </c>
    </row>
    <row r="1405" spans="1:23" x14ac:dyDescent="0.2">
      <c r="A1405" s="1">
        <v>45856</v>
      </c>
      <c r="B1405" s="20">
        <f t="shared" si="42"/>
        <v>2025</v>
      </c>
      <c r="C1405" s="20">
        <f t="shared" si="43"/>
        <v>7</v>
      </c>
      <c r="D1405" t="s">
        <v>3122</v>
      </c>
      <c r="E1405" s="49">
        <v>1</v>
      </c>
      <c r="F1405" t="s">
        <v>3123</v>
      </c>
      <c r="G1405" t="s">
        <v>21</v>
      </c>
      <c r="H1405" t="s">
        <v>37</v>
      </c>
      <c r="I1405" s="13">
        <v>109000</v>
      </c>
      <c r="J1405" s="13">
        <v>115000</v>
      </c>
      <c r="K1405" s="13">
        <f>IF(J1405&lt;'Mapa Oficinas'!$I$21,0,IF(J1405&gt;'Mapa Oficinas'!$I$20,0,1))</f>
        <v>1</v>
      </c>
      <c r="L1405" t="s">
        <v>23</v>
      </c>
      <c r="M1405" t="s">
        <v>23</v>
      </c>
      <c r="N1405" t="s">
        <v>3124</v>
      </c>
      <c r="O1405" t="s">
        <v>1774</v>
      </c>
      <c r="P1405" t="s">
        <v>45</v>
      </c>
      <c r="Q1405">
        <v>2</v>
      </c>
      <c r="R1405" t="s">
        <v>135</v>
      </c>
      <c r="S1405" t="s">
        <v>28</v>
      </c>
      <c r="T1405" t="str">
        <f>VLOOKUP(S1405,'Mapa Oficinas'!$H$7:$I$16,2,FALSE)</f>
        <v>CB</v>
      </c>
      <c r="U1405" t="s">
        <v>29</v>
      </c>
      <c r="V1405" t="str">
        <f>VLOOKUP($R1405,'Mapa Oficinas'!$A$7:$C$46,2,FALSE)</f>
        <v>CABA</v>
      </c>
      <c r="W1405" t="str">
        <f>VLOOKUP($R1405,'Mapa Oficinas'!$A$7:$C$46,3,FALSE)</f>
        <v>Recoleta</v>
      </c>
    </row>
    <row r="1406" spans="1:23" x14ac:dyDescent="0.2">
      <c r="A1406" s="1">
        <v>45877</v>
      </c>
      <c r="B1406" s="20">
        <f t="shared" si="42"/>
        <v>2025</v>
      </c>
      <c r="C1406" s="20">
        <f t="shared" si="43"/>
        <v>8</v>
      </c>
      <c r="D1406" t="s">
        <v>3481</v>
      </c>
      <c r="E1406" s="49">
        <v>1</v>
      </c>
      <c r="F1406" t="s">
        <v>3482</v>
      </c>
      <c r="G1406" t="s">
        <v>21</v>
      </c>
      <c r="H1406" t="s">
        <v>37</v>
      </c>
      <c r="I1406" s="13">
        <v>125000</v>
      </c>
      <c r="J1406" s="13">
        <v>115000</v>
      </c>
      <c r="K1406" s="13">
        <f>IF(J1406&lt;'Mapa Oficinas'!$I$21,0,IF(J1406&gt;'Mapa Oficinas'!$I$20,0,1))</f>
        <v>1</v>
      </c>
      <c r="L1406" t="s">
        <v>23</v>
      </c>
      <c r="M1406" t="s">
        <v>23</v>
      </c>
      <c r="N1406" t="s">
        <v>3483</v>
      </c>
      <c r="O1406" t="s">
        <v>141</v>
      </c>
      <c r="P1406" t="s">
        <v>45</v>
      </c>
      <c r="Q1406">
        <v>2</v>
      </c>
      <c r="R1406" t="s">
        <v>46</v>
      </c>
      <c r="S1406" t="s">
        <v>28</v>
      </c>
      <c r="T1406" t="str">
        <f>VLOOKUP(S1406,'Mapa Oficinas'!$H$7:$I$16,2,FALSE)</f>
        <v>CB</v>
      </c>
      <c r="U1406" t="s">
        <v>29</v>
      </c>
      <c r="V1406" t="str">
        <f>VLOOKUP($R1406,'Mapa Oficinas'!$A$7:$C$46,2,FALSE)</f>
        <v>CABA</v>
      </c>
      <c r="W1406" t="str">
        <f>VLOOKUP($R1406,'Mapa Oficinas'!$A$7:$C$46,3,FALSE)</f>
        <v>Palermo</v>
      </c>
    </row>
    <row r="1407" spans="1:23" x14ac:dyDescent="0.2">
      <c r="A1407" s="1">
        <v>45897</v>
      </c>
      <c r="B1407" s="20">
        <f t="shared" si="42"/>
        <v>2025</v>
      </c>
      <c r="C1407" s="20">
        <f t="shared" si="43"/>
        <v>8</v>
      </c>
      <c r="E1407" s="49">
        <v>1</v>
      </c>
      <c r="F1407" t="s">
        <v>3831</v>
      </c>
      <c r="G1407" t="s">
        <v>21</v>
      </c>
      <c r="H1407" t="s">
        <v>81</v>
      </c>
      <c r="I1407" s="13">
        <v>115000</v>
      </c>
      <c r="J1407" s="13">
        <v>115000</v>
      </c>
      <c r="K1407" s="13">
        <f>IF(J1407&lt;'Mapa Oficinas'!$I$21,0,IF(J1407&gt;'Mapa Oficinas'!$I$20,0,1))</f>
        <v>1</v>
      </c>
      <c r="L1407" t="s">
        <v>23</v>
      </c>
      <c r="M1407" t="s">
        <v>23</v>
      </c>
      <c r="N1407" t="s">
        <v>3832</v>
      </c>
      <c r="O1407" t="s">
        <v>408</v>
      </c>
      <c r="P1407" t="s">
        <v>45</v>
      </c>
      <c r="Q1407">
        <v>2</v>
      </c>
      <c r="R1407" t="s">
        <v>170</v>
      </c>
      <c r="S1407" t="s">
        <v>28</v>
      </c>
      <c r="T1407" t="str">
        <f>VLOOKUP(S1407,'Mapa Oficinas'!$H$7:$I$16,2,FALSE)</f>
        <v>CB</v>
      </c>
      <c r="U1407" t="s">
        <v>29</v>
      </c>
      <c r="V1407" t="str">
        <f>VLOOKUP($R1407,'Mapa Oficinas'!$A$7:$C$46,2,FALSE)</f>
        <v>CABA</v>
      </c>
      <c r="W1407" t="str">
        <f>VLOOKUP($R1407,'Mapa Oficinas'!$A$7:$C$46,3,FALSE)</f>
        <v>Belgrano</v>
      </c>
    </row>
    <row r="1408" spans="1:23" x14ac:dyDescent="0.2">
      <c r="A1408" s="1">
        <v>45898</v>
      </c>
      <c r="B1408" s="20">
        <f t="shared" si="42"/>
        <v>2025</v>
      </c>
      <c r="C1408" s="20">
        <f t="shared" si="43"/>
        <v>8</v>
      </c>
      <c r="D1408" t="s">
        <v>3880</v>
      </c>
      <c r="E1408" s="49">
        <v>1</v>
      </c>
      <c r="F1408" t="s">
        <v>3881</v>
      </c>
      <c r="G1408" t="s">
        <v>21</v>
      </c>
      <c r="H1408" t="s">
        <v>37</v>
      </c>
      <c r="I1408" s="13">
        <v>126000</v>
      </c>
      <c r="J1408" s="13">
        <v>115000</v>
      </c>
      <c r="K1408" s="13">
        <f>IF(J1408&lt;'Mapa Oficinas'!$I$21,0,IF(J1408&gt;'Mapa Oficinas'!$I$20,0,1))</f>
        <v>1</v>
      </c>
      <c r="L1408" t="s">
        <v>23</v>
      </c>
      <c r="M1408" t="s">
        <v>23</v>
      </c>
      <c r="N1408" t="s">
        <v>3882</v>
      </c>
      <c r="O1408" t="s">
        <v>380</v>
      </c>
      <c r="P1408" t="s">
        <v>45</v>
      </c>
      <c r="Q1408">
        <v>2</v>
      </c>
      <c r="R1408" t="s">
        <v>67</v>
      </c>
      <c r="S1408" t="s">
        <v>28</v>
      </c>
      <c r="T1408" t="str">
        <f>VLOOKUP(S1408,'Mapa Oficinas'!$H$7:$I$16,2,FALSE)</f>
        <v>CB</v>
      </c>
      <c r="U1408" t="s">
        <v>29</v>
      </c>
      <c r="V1408" t="str">
        <f>VLOOKUP($R1408,'Mapa Oficinas'!$A$7:$C$46,2,FALSE)</f>
        <v>CABA</v>
      </c>
      <c r="W1408" t="str">
        <f>VLOOKUP($R1408,'Mapa Oficinas'!$A$7:$C$46,3,FALSE)</f>
        <v>Barrio Parque</v>
      </c>
    </row>
    <row r="1409" spans="1:23" x14ac:dyDescent="0.2">
      <c r="A1409" s="1">
        <v>45901</v>
      </c>
      <c r="B1409" s="20">
        <f t="shared" si="42"/>
        <v>2025</v>
      </c>
      <c r="C1409" s="20">
        <f t="shared" si="43"/>
        <v>9</v>
      </c>
      <c r="D1409" t="s">
        <v>3944</v>
      </c>
      <c r="E1409" s="49">
        <v>1</v>
      </c>
      <c r="F1409" t="s">
        <v>3945</v>
      </c>
      <c r="G1409" t="s">
        <v>21</v>
      </c>
      <c r="H1409" t="s">
        <v>37</v>
      </c>
      <c r="I1409" s="13">
        <v>134900</v>
      </c>
      <c r="J1409" s="13">
        <v>115000</v>
      </c>
      <c r="K1409" s="13">
        <f>IF(J1409&lt;'Mapa Oficinas'!$I$21,0,IF(J1409&gt;'Mapa Oficinas'!$I$20,0,1))</f>
        <v>1</v>
      </c>
      <c r="L1409" t="s">
        <v>23</v>
      </c>
      <c r="M1409" t="s">
        <v>23</v>
      </c>
      <c r="N1409" t="s">
        <v>3946</v>
      </c>
      <c r="O1409" t="s">
        <v>767</v>
      </c>
      <c r="P1409" t="s">
        <v>34</v>
      </c>
      <c r="Q1409">
        <v>2</v>
      </c>
      <c r="R1409" t="s">
        <v>429</v>
      </c>
      <c r="S1409" t="s">
        <v>28</v>
      </c>
      <c r="T1409" t="str">
        <f>VLOOKUP(S1409,'Mapa Oficinas'!$H$7:$I$16,2,FALSE)</f>
        <v>CB</v>
      </c>
      <c r="U1409" t="s">
        <v>29</v>
      </c>
      <c r="V1409" t="str">
        <f>VLOOKUP($R1409,'Mapa Oficinas'!$A$7:$C$46,2,FALSE)</f>
        <v>Zona Oeste (GBA)</v>
      </c>
      <c r="W1409" t="str">
        <f>VLOOKUP($R1409,'Mapa Oficinas'!$A$7:$C$46,3,FALSE)</f>
        <v>Parque Leloir</v>
      </c>
    </row>
    <row r="1410" spans="1:23" x14ac:dyDescent="0.2">
      <c r="A1410" s="1">
        <v>45944</v>
      </c>
      <c r="B1410" s="20">
        <f t="shared" ref="B1410:B1473" si="44">YEAR($A1410)</f>
        <v>2025</v>
      </c>
      <c r="C1410" s="20">
        <f t="shared" ref="C1410:C1473" si="45">MONTH($A1410)</f>
        <v>10</v>
      </c>
      <c r="D1410" t="s">
        <v>4658</v>
      </c>
      <c r="E1410" s="49">
        <v>1</v>
      </c>
      <c r="F1410" t="s">
        <v>4659</v>
      </c>
      <c r="G1410" t="s">
        <v>21</v>
      </c>
      <c r="H1410" t="s">
        <v>81</v>
      </c>
      <c r="I1410" s="13">
        <v>120000</v>
      </c>
      <c r="J1410" s="13">
        <v>115000</v>
      </c>
      <c r="K1410" s="13">
        <f>IF(J1410&lt;'Mapa Oficinas'!$I$21,0,IF(J1410&gt;'Mapa Oficinas'!$I$20,0,1))</f>
        <v>1</v>
      </c>
      <c r="L1410" t="s">
        <v>23</v>
      </c>
      <c r="M1410" t="s">
        <v>23</v>
      </c>
      <c r="N1410" t="s">
        <v>4660</v>
      </c>
      <c r="O1410" t="s">
        <v>223</v>
      </c>
      <c r="P1410" t="s">
        <v>1625</v>
      </c>
      <c r="Q1410">
        <v>2</v>
      </c>
      <c r="R1410" t="s">
        <v>167</v>
      </c>
      <c r="S1410" t="s">
        <v>28</v>
      </c>
      <c r="T1410" t="str">
        <f>VLOOKUP(S1410,'Mapa Oficinas'!$H$7:$I$16,2,FALSE)</f>
        <v>CB</v>
      </c>
      <c r="U1410" t="s">
        <v>29</v>
      </c>
      <c r="V1410" t="str">
        <f>VLOOKUP($R1410,'Mapa Oficinas'!$A$7:$C$46,2,FALSE)</f>
        <v>Interior - Santa Fe</v>
      </c>
      <c r="W1410" t="str">
        <f>VLOOKUP($R1410,'Mapa Oficinas'!$A$7:$C$46,3,FALSE)</f>
        <v>Capital Santa Fe</v>
      </c>
    </row>
    <row r="1411" spans="1:23" x14ac:dyDescent="0.2">
      <c r="A1411" s="1">
        <v>45959</v>
      </c>
      <c r="B1411" s="20">
        <f t="shared" si="44"/>
        <v>2025</v>
      </c>
      <c r="C1411" s="20">
        <f t="shared" si="45"/>
        <v>10</v>
      </c>
      <c r="D1411" t="s">
        <v>4983</v>
      </c>
      <c r="E1411" s="49">
        <v>1</v>
      </c>
      <c r="F1411" t="s">
        <v>4984</v>
      </c>
      <c r="G1411" t="s">
        <v>21</v>
      </c>
      <c r="H1411" t="s">
        <v>37</v>
      </c>
      <c r="I1411" s="13">
        <v>133000</v>
      </c>
      <c r="J1411" s="13">
        <v>115000</v>
      </c>
      <c r="K1411" s="13">
        <f>IF(J1411&lt;'Mapa Oficinas'!$I$21,0,IF(J1411&gt;'Mapa Oficinas'!$I$20,0,1))</f>
        <v>1</v>
      </c>
      <c r="L1411" t="s">
        <v>23</v>
      </c>
      <c r="M1411" t="s">
        <v>23</v>
      </c>
      <c r="N1411" t="s">
        <v>4985</v>
      </c>
      <c r="O1411" t="s">
        <v>265</v>
      </c>
      <c r="P1411" t="s">
        <v>45</v>
      </c>
      <c r="Q1411">
        <v>2</v>
      </c>
      <c r="R1411" t="s">
        <v>67</v>
      </c>
      <c r="S1411" t="s">
        <v>28</v>
      </c>
      <c r="T1411" t="str">
        <f>VLOOKUP(S1411,'Mapa Oficinas'!$H$7:$I$16,2,FALSE)</f>
        <v>CB</v>
      </c>
      <c r="U1411" t="s">
        <v>29</v>
      </c>
      <c r="V1411" t="str">
        <f>VLOOKUP($R1411,'Mapa Oficinas'!$A$7:$C$46,2,FALSE)</f>
        <v>CABA</v>
      </c>
      <c r="W1411" t="str">
        <f>VLOOKUP($R1411,'Mapa Oficinas'!$A$7:$C$46,3,FALSE)</f>
        <v>Barrio Parque</v>
      </c>
    </row>
    <row r="1412" spans="1:23" x14ac:dyDescent="0.2">
      <c r="A1412" s="1">
        <v>46014</v>
      </c>
      <c r="B1412" s="20">
        <f t="shared" si="44"/>
        <v>2025</v>
      </c>
      <c r="C1412" s="20">
        <f t="shared" si="45"/>
        <v>12</v>
      </c>
      <c r="D1412" t="s">
        <v>5981</v>
      </c>
      <c r="E1412" s="49">
        <v>1</v>
      </c>
      <c r="F1412" t="s">
        <v>5982</v>
      </c>
      <c r="G1412" t="s">
        <v>21</v>
      </c>
      <c r="H1412" t="s">
        <v>37</v>
      </c>
      <c r="I1412" s="13">
        <v>120000</v>
      </c>
      <c r="J1412" s="13">
        <v>115000</v>
      </c>
      <c r="K1412" s="13">
        <f>IF(J1412&lt;'Mapa Oficinas'!$I$21,0,IF(J1412&gt;'Mapa Oficinas'!$I$20,0,1))</f>
        <v>1</v>
      </c>
      <c r="L1412" t="s">
        <v>23</v>
      </c>
      <c r="M1412" t="s">
        <v>23</v>
      </c>
      <c r="N1412" t="s">
        <v>5983</v>
      </c>
      <c r="O1412" t="s">
        <v>190</v>
      </c>
      <c r="P1412" t="s">
        <v>45</v>
      </c>
      <c r="Q1412">
        <v>2</v>
      </c>
      <c r="R1412" t="s">
        <v>110</v>
      </c>
      <c r="S1412" t="s">
        <v>28</v>
      </c>
      <c r="T1412" t="str">
        <f>VLOOKUP(S1412,'Mapa Oficinas'!$H$7:$I$16,2,FALSE)</f>
        <v>CB</v>
      </c>
      <c r="U1412" t="s">
        <v>29</v>
      </c>
      <c r="V1412" t="str">
        <f>VLOOKUP($R1412,'Mapa Oficinas'!$A$7:$C$46,2,FALSE)</f>
        <v>Zona Norte (GBA)</v>
      </c>
      <c r="W1412" t="str">
        <f>VLOOKUP($R1412,'Mapa Oficinas'!$A$7:$C$46,3,FALSE)</f>
        <v>Nordelta</v>
      </c>
    </row>
    <row r="1413" spans="1:23" x14ac:dyDescent="0.2">
      <c r="A1413" s="1">
        <v>46020</v>
      </c>
      <c r="B1413" s="20">
        <f t="shared" si="44"/>
        <v>2025</v>
      </c>
      <c r="C1413" s="20">
        <f t="shared" si="45"/>
        <v>12</v>
      </c>
      <c r="D1413" t="s">
        <v>6060</v>
      </c>
      <c r="E1413" s="49">
        <v>1</v>
      </c>
      <c r="F1413" t="s">
        <v>6061</v>
      </c>
      <c r="G1413" t="s">
        <v>21</v>
      </c>
      <c r="H1413" t="s">
        <v>37</v>
      </c>
      <c r="I1413" s="13">
        <v>120000</v>
      </c>
      <c r="J1413" s="13">
        <v>115000</v>
      </c>
      <c r="K1413" s="13">
        <f>IF(J1413&lt;'Mapa Oficinas'!$I$21,0,IF(J1413&gt;'Mapa Oficinas'!$I$20,0,1))</f>
        <v>1</v>
      </c>
      <c r="L1413" t="s">
        <v>23</v>
      </c>
      <c r="M1413" t="s">
        <v>23</v>
      </c>
      <c r="N1413" t="s">
        <v>6062</v>
      </c>
      <c r="O1413" t="s">
        <v>190</v>
      </c>
      <c r="P1413" t="s">
        <v>45</v>
      </c>
      <c r="Q1413">
        <v>2</v>
      </c>
      <c r="R1413" t="s">
        <v>56</v>
      </c>
      <c r="S1413" t="s">
        <v>28</v>
      </c>
      <c r="T1413" t="str">
        <f>VLOOKUP(S1413,'Mapa Oficinas'!$H$7:$I$16,2,FALSE)</f>
        <v>CB</v>
      </c>
      <c r="U1413" t="s">
        <v>29</v>
      </c>
      <c r="V1413" t="str">
        <f>VLOOKUP($R1413,'Mapa Oficinas'!$A$7:$C$46,2,FALSE)</f>
        <v>Zona Norte (GBA)</v>
      </c>
      <c r="W1413" t="str">
        <f>VLOOKUP($R1413,'Mapa Oficinas'!$A$7:$C$46,3,FALSE)</f>
        <v>Vicente López</v>
      </c>
    </row>
    <row r="1414" spans="1:23" x14ac:dyDescent="0.2">
      <c r="A1414" s="1">
        <v>45877</v>
      </c>
      <c r="B1414" s="20">
        <f t="shared" si="44"/>
        <v>2025</v>
      </c>
      <c r="C1414" s="20">
        <f t="shared" si="45"/>
        <v>8</v>
      </c>
      <c r="D1414" t="s">
        <v>3484</v>
      </c>
      <c r="E1414" s="49">
        <v>1</v>
      </c>
      <c r="F1414" t="s">
        <v>3485</v>
      </c>
      <c r="G1414" t="s">
        <v>21</v>
      </c>
      <c r="H1414" t="s">
        <v>37</v>
      </c>
      <c r="I1414" s="13">
        <v>127000</v>
      </c>
      <c r="J1414" s="13">
        <v>116000</v>
      </c>
      <c r="K1414" s="13">
        <f>IF(J1414&lt;'Mapa Oficinas'!$I$21,0,IF(J1414&gt;'Mapa Oficinas'!$I$20,0,1))</f>
        <v>1</v>
      </c>
      <c r="L1414" t="s">
        <v>23</v>
      </c>
      <c r="M1414" t="s">
        <v>23</v>
      </c>
      <c r="N1414" t="s">
        <v>3486</v>
      </c>
      <c r="O1414" t="s">
        <v>39</v>
      </c>
      <c r="P1414" t="s">
        <v>34</v>
      </c>
      <c r="Q1414">
        <v>2</v>
      </c>
      <c r="R1414" t="s">
        <v>40</v>
      </c>
      <c r="S1414" t="s">
        <v>28</v>
      </c>
      <c r="T1414" t="str">
        <f>VLOOKUP(S1414,'Mapa Oficinas'!$H$7:$I$16,2,FALSE)</f>
        <v>CB</v>
      </c>
      <c r="U1414" t="s">
        <v>29</v>
      </c>
      <c r="V1414" t="str">
        <f>VLOOKUP($R1414,'Mapa Oficinas'!$A$7:$C$46,2,FALSE)</f>
        <v>CABA</v>
      </c>
      <c r="W1414" t="str">
        <f>VLOOKUP($R1414,'Mapa Oficinas'!$A$7:$C$46,3,FALSE)</f>
        <v>Núñez</v>
      </c>
    </row>
    <row r="1415" spans="1:23" x14ac:dyDescent="0.2">
      <c r="A1415" s="1">
        <v>45923</v>
      </c>
      <c r="B1415" s="20">
        <f t="shared" si="44"/>
        <v>2025</v>
      </c>
      <c r="C1415" s="20">
        <f t="shared" si="45"/>
        <v>9</v>
      </c>
      <c r="D1415" t="s">
        <v>4294</v>
      </c>
      <c r="E1415" s="49">
        <v>1</v>
      </c>
      <c r="F1415" t="s">
        <v>4295</v>
      </c>
      <c r="G1415" t="s">
        <v>21</v>
      </c>
      <c r="H1415" t="s">
        <v>37</v>
      </c>
      <c r="I1415" s="13">
        <v>123000</v>
      </c>
      <c r="J1415" s="13">
        <v>116000</v>
      </c>
      <c r="K1415" s="13">
        <f>IF(J1415&lt;'Mapa Oficinas'!$I$21,0,IF(J1415&gt;'Mapa Oficinas'!$I$20,0,1))</f>
        <v>1</v>
      </c>
      <c r="L1415" t="s">
        <v>23</v>
      </c>
      <c r="M1415" t="s">
        <v>23</v>
      </c>
      <c r="N1415" t="s">
        <v>4296</v>
      </c>
      <c r="O1415" t="s">
        <v>178</v>
      </c>
      <c r="P1415" t="s">
        <v>45</v>
      </c>
      <c r="Q1415">
        <v>2</v>
      </c>
      <c r="R1415" t="s">
        <v>56</v>
      </c>
      <c r="S1415" t="s">
        <v>28</v>
      </c>
      <c r="T1415" t="str">
        <f>VLOOKUP(S1415,'Mapa Oficinas'!$H$7:$I$16,2,FALSE)</f>
        <v>CB</v>
      </c>
      <c r="U1415" t="s">
        <v>29</v>
      </c>
      <c r="V1415" t="str">
        <f>VLOOKUP($R1415,'Mapa Oficinas'!$A$7:$C$46,2,FALSE)</f>
        <v>Zona Norte (GBA)</v>
      </c>
      <c r="W1415" t="str">
        <f>VLOOKUP($R1415,'Mapa Oficinas'!$A$7:$C$46,3,FALSE)</f>
        <v>Vicente López</v>
      </c>
    </row>
    <row r="1416" spans="1:23" x14ac:dyDescent="0.2">
      <c r="A1416" s="1">
        <v>45924</v>
      </c>
      <c r="B1416" s="20">
        <f t="shared" si="44"/>
        <v>2025</v>
      </c>
      <c r="C1416" s="20">
        <f t="shared" si="45"/>
        <v>9</v>
      </c>
      <c r="D1416" t="s">
        <v>4317</v>
      </c>
      <c r="E1416" s="49">
        <v>1</v>
      </c>
      <c r="F1416" t="s">
        <v>4318</v>
      </c>
      <c r="G1416" t="s">
        <v>21</v>
      </c>
      <c r="H1416" t="s">
        <v>37</v>
      </c>
      <c r="I1416" s="13">
        <v>120000</v>
      </c>
      <c r="J1416" s="13">
        <v>116000</v>
      </c>
      <c r="K1416" s="13">
        <f>IF(J1416&lt;'Mapa Oficinas'!$I$21,0,IF(J1416&gt;'Mapa Oficinas'!$I$20,0,1))</f>
        <v>1</v>
      </c>
      <c r="L1416" t="s">
        <v>23</v>
      </c>
      <c r="M1416" t="s">
        <v>23</v>
      </c>
      <c r="N1416" t="s">
        <v>4319</v>
      </c>
      <c r="O1416" t="s">
        <v>2785</v>
      </c>
      <c r="P1416" t="s">
        <v>34</v>
      </c>
      <c r="Q1416">
        <v>2</v>
      </c>
      <c r="R1416" t="s">
        <v>135</v>
      </c>
      <c r="S1416" t="s">
        <v>28</v>
      </c>
      <c r="T1416" t="str">
        <f>VLOOKUP(S1416,'Mapa Oficinas'!$H$7:$I$16,2,FALSE)</f>
        <v>CB</v>
      </c>
      <c r="U1416" t="s">
        <v>29</v>
      </c>
      <c r="V1416" t="str">
        <f>VLOOKUP($R1416,'Mapa Oficinas'!$A$7:$C$46,2,FALSE)</f>
        <v>CABA</v>
      </c>
      <c r="W1416" t="str">
        <f>VLOOKUP($R1416,'Mapa Oficinas'!$A$7:$C$46,3,FALSE)</f>
        <v>Recoleta</v>
      </c>
    </row>
    <row r="1417" spans="1:23" x14ac:dyDescent="0.2">
      <c r="A1417" s="1">
        <v>45938</v>
      </c>
      <c r="B1417" s="20">
        <f t="shared" si="44"/>
        <v>2025</v>
      </c>
      <c r="C1417" s="20">
        <f t="shared" si="45"/>
        <v>10</v>
      </c>
      <c r="D1417" t="s">
        <v>4583</v>
      </c>
      <c r="E1417" s="49">
        <v>1</v>
      </c>
      <c r="F1417" t="s">
        <v>4584</v>
      </c>
      <c r="G1417" t="s">
        <v>21</v>
      </c>
      <c r="H1417" t="s">
        <v>22</v>
      </c>
      <c r="I1417" s="13">
        <v>135000</v>
      </c>
      <c r="J1417" s="13">
        <v>116370</v>
      </c>
      <c r="K1417" s="13">
        <f>IF(J1417&lt;'Mapa Oficinas'!$I$21,0,IF(J1417&gt;'Mapa Oficinas'!$I$20,0,1))</f>
        <v>1</v>
      </c>
      <c r="L1417" t="s">
        <v>23</v>
      </c>
      <c r="M1417" t="s">
        <v>23</v>
      </c>
      <c r="N1417" t="s">
        <v>4585</v>
      </c>
      <c r="O1417" t="s">
        <v>390</v>
      </c>
      <c r="P1417" t="s">
        <v>61</v>
      </c>
      <c r="Q1417">
        <v>2</v>
      </c>
      <c r="R1417" t="s">
        <v>62</v>
      </c>
      <c r="S1417" t="s">
        <v>79</v>
      </c>
      <c r="T1417" t="str">
        <f>VLOOKUP(S1417,'Mapa Oficinas'!$H$7:$I$16,2,FALSE)</f>
        <v>CB</v>
      </c>
      <c r="U1417" t="s">
        <v>29</v>
      </c>
      <c r="V1417" t="str">
        <f>VLOOKUP($R1417,'Mapa Oficinas'!$A$7:$C$46,2,FALSE)</f>
        <v>CABA</v>
      </c>
      <c r="W1417" t="str">
        <f>VLOOKUP($R1417,'Mapa Oficinas'!$A$7:$C$46,3,FALSE)</f>
        <v>Villa Urquiza</v>
      </c>
    </row>
    <row r="1418" spans="1:23" x14ac:dyDescent="0.2">
      <c r="A1418" s="1">
        <v>45798</v>
      </c>
      <c r="B1418" s="20">
        <f t="shared" si="44"/>
        <v>2025</v>
      </c>
      <c r="C1418" s="20">
        <f t="shared" si="45"/>
        <v>5</v>
      </c>
      <c r="D1418" t="s">
        <v>2068</v>
      </c>
      <c r="E1418" s="49">
        <v>1</v>
      </c>
      <c r="F1418" t="s">
        <v>2069</v>
      </c>
      <c r="G1418" t="s">
        <v>21</v>
      </c>
      <c r="H1418" t="s">
        <v>37</v>
      </c>
      <c r="I1418" s="13">
        <v>125000</v>
      </c>
      <c r="J1418" s="13">
        <v>116500</v>
      </c>
      <c r="K1418" s="13">
        <f>IF(J1418&lt;'Mapa Oficinas'!$I$21,0,IF(J1418&gt;'Mapa Oficinas'!$I$20,0,1))</f>
        <v>1</v>
      </c>
      <c r="L1418" t="s">
        <v>23</v>
      </c>
      <c r="M1418" t="s">
        <v>23</v>
      </c>
      <c r="N1418" t="s">
        <v>2070</v>
      </c>
      <c r="O1418" t="s">
        <v>190</v>
      </c>
      <c r="P1418" t="s">
        <v>61</v>
      </c>
      <c r="Q1418">
        <v>2</v>
      </c>
      <c r="R1418" t="s">
        <v>46</v>
      </c>
      <c r="S1418" t="s">
        <v>200</v>
      </c>
      <c r="T1418" t="str">
        <f>VLOOKUP(S1418,'Mapa Oficinas'!$H$7:$I$16,2,FALSE)</f>
        <v>Otra Red Captación</v>
      </c>
      <c r="U1418" t="s">
        <v>29</v>
      </c>
      <c r="V1418" t="str">
        <f>VLOOKUP($R1418,'Mapa Oficinas'!$A$7:$C$46,2,FALSE)</f>
        <v>CABA</v>
      </c>
      <c r="W1418" t="str">
        <f>VLOOKUP($R1418,'Mapa Oficinas'!$A$7:$C$46,3,FALSE)</f>
        <v>Palermo</v>
      </c>
    </row>
    <row r="1419" spans="1:23" x14ac:dyDescent="0.2">
      <c r="A1419" s="1">
        <v>45991</v>
      </c>
      <c r="B1419" s="20">
        <f t="shared" si="44"/>
        <v>2025</v>
      </c>
      <c r="C1419" s="20">
        <f t="shared" si="45"/>
        <v>11</v>
      </c>
      <c r="D1419" t="s">
        <v>5450</v>
      </c>
      <c r="E1419" s="49">
        <v>1</v>
      </c>
      <c r="F1419" t="s">
        <v>5451</v>
      </c>
      <c r="G1419" t="s">
        <v>21</v>
      </c>
      <c r="H1419" t="s">
        <v>37</v>
      </c>
      <c r="I1419" s="13">
        <v>105700</v>
      </c>
      <c r="J1419" s="13">
        <v>116800</v>
      </c>
      <c r="K1419" s="13">
        <f>IF(J1419&lt;'Mapa Oficinas'!$I$21,0,IF(J1419&gt;'Mapa Oficinas'!$I$20,0,1))</f>
        <v>1</v>
      </c>
      <c r="L1419" t="s">
        <v>23</v>
      </c>
      <c r="M1419" t="s">
        <v>23</v>
      </c>
      <c r="N1419" t="s">
        <v>5452</v>
      </c>
      <c r="O1419" t="s">
        <v>4092</v>
      </c>
      <c r="P1419" t="s">
        <v>45</v>
      </c>
      <c r="Q1419">
        <v>2</v>
      </c>
      <c r="R1419" t="s">
        <v>110</v>
      </c>
      <c r="S1419" t="s">
        <v>79</v>
      </c>
      <c r="T1419" t="str">
        <f>VLOOKUP(S1419,'Mapa Oficinas'!$H$7:$I$16,2,FALSE)</f>
        <v>CB</v>
      </c>
      <c r="U1419" t="s">
        <v>29</v>
      </c>
      <c r="V1419" t="str">
        <f>VLOOKUP($R1419,'Mapa Oficinas'!$A$7:$C$46,2,FALSE)</f>
        <v>Zona Norte (GBA)</v>
      </c>
      <c r="W1419" t="str">
        <f>VLOOKUP($R1419,'Mapa Oficinas'!$A$7:$C$46,3,FALSE)</f>
        <v>Nordelta</v>
      </c>
    </row>
    <row r="1420" spans="1:23" x14ac:dyDescent="0.2">
      <c r="A1420" s="1">
        <v>45768</v>
      </c>
      <c r="B1420" s="20">
        <f t="shared" si="44"/>
        <v>2025</v>
      </c>
      <c r="C1420" s="20">
        <f t="shared" si="45"/>
        <v>4</v>
      </c>
      <c r="D1420" t="s">
        <v>1508</v>
      </c>
      <c r="E1420" s="49">
        <v>1</v>
      </c>
      <c r="F1420" t="s">
        <v>1509</v>
      </c>
      <c r="G1420" t="s">
        <v>21</v>
      </c>
      <c r="H1420" t="s">
        <v>37</v>
      </c>
      <c r="I1420" s="13">
        <v>122000</v>
      </c>
      <c r="J1420" s="13">
        <v>117000</v>
      </c>
      <c r="K1420" s="13">
        <f>IF(J1420&lt;'Mapa Oficinas'!$I$21,0,IF(J1420&gt;'Mapa Oficinas'!$I$20,0,1))</f>
        <v>1</v>
      </c>
      <c r="L1420" t="s">
        <v>23</v>
      </c>
      <c r="M1420" t="s">
        <v>23</v>
      </c>
      <c r="N1420" t="s">
        <v>1510</v>
      </c>
      <c r="O1420" t="s">
        <v>1511</v>
      </c>
      <c r="P1420" t="s">
        <v>34</v>
      </c>
      <c r="Q1420">
        <v>2</v>
      </c>
      <c r="R1420" t="s">
        <v>110</v>
      </c>
      <c r="S1420" t="s">
        <v>79</v>
      </c>
      <c r="T1420" t="str">
        <f>VLOOKUP(S1420,'Mapa Oficinas'!$H$7:$I$16,2,FALSE)</f>
        <v>CB</v>
      </c>
      <c r="U1420" t="s">
        <v>29</v>
      </c>
      <c r="V1420" t="str">
        <f>VLOOKUP($R1420,'Mapa Oficinas'!$A$7:$C$46,2,FALSE)</f>
        <v>Zona Norte (GBA)</v>
      </c>
      <c r="W1420" t="str">
        <f>VLOOKUP($R1420,'Mapa Oficinas'!$A$7:$C$46,3,FALSE)</f>
        <v>Nordelta</v>
      </c>
    </row>
    <row r="1421" spans="1:23" x14ac:dyDescent="0.2">
      <c r="A1421" s="1">
        <v>45919</v>
      </c>
      <c r="B1421" s="20">
        <f t="shared" si="44"/>
        <v>2025</v>
      </c>
      <c r="C1421" s="20">
        <f t="shared" si="45"/>
        <v>9</v>
      </c>
      <c r="D1421" t="s">
        <v>4249</v>
      </c>
      <c r="E1421" s="49">
        <v>1</v>
      </c>
      <c r="F1421" t="s">
        <v>4250</v>
      </c>
      <c r="G1421" t="s">
        <v>21</v>
      </c>
      <c r="H1421" t="s">
        <v>76</v>
      </c>
      <c r="I1421" s="13">
        <v>122000</v>
      </c>
      <c r="J1421" s="13">
        <v>117000</v>
      </c>
      <c r="K1421" s="13">
        <f>IF(J1421&lt;'Mapa Oficinas'!$I$21,0,IF(J1421&gt;'Mapa Oficinas'!$I$20,0,1))</f>
        <v>1</v>
      </c>
      <c r="L1421" t="s">
        <v>23</v>
      </c>
      <c r="M1421" t="s">
        <v>23</v>
      </c>
      <c r="N1421" t="s">
        <v>4251</v>
      </c>
      <c r="O1421" t="s">
        <v>2706</v>
      </c>
      <c r="P1421" t="s">
        <v>34</v>
      </c>
      <c r="Q1421">
        <v>2</v>
      </c>
      <c r="R1421" t="s">
        <v>84</v>
      </c>
      <c r="S1421" t="s">
        <v>79</v>
      </c>
      <c r="T1421" t="str">
        <f>VLOOKUP(S1421,'Mapa Oficinas'!$H$7:$I$16,2,FALSE)</f>
        <v>CB</v>
      </c>
      <c r="U1421" t="s">
        <v>29</v>
      </c>
      <c r="V1421" t="str">
        <f>VLOOKUP($R1421,'Mapa Oficinas'!$A$7:$C$46,2,FALSE)</f>
        <v>Interior - Neuquén</v>
      </c>
      <c r="W1421" t="str">
        <f>VLOOKUP($R1421,'Mapa Oficinas'!$A$7:$C$46,3,FALSE)</f>
        <v>Villa La Angostura</v>
      </c>
    </row>
    <row r="1422" spans="1:23" x14ac:dyDescent="0.2">
      <c r="A1422" s="1">
        <v>45945</v>
      </c>
      <c r="B1422" s="20">
        <f t="shared" si="44"/>
        <v>2025</v>
      </c>
      <c r="C1422" s="20">
        <f t="shared" si="45"/>
        <v>10</v>
      </c>
      <c r="E1422" s="49">
        <v>1</v>
      </c>
      <c r="F1422" t="s">
        <v>4713</v>
      </c>
      <c r="G1422" t="s">
        <v>21</v>
      </c>
      <c r="H1422" t="s">
        <v>37</v>
      </c>
      <c r="I1422" s="13">
        <v>117000</v>
      </c>
      <c r="J1422" s="13">
        <v>117000</v>
      </c>
      <c r="K1422" s="13">
        <f>IF(J1422&lt;'Mapa Oficinas'!$I$21,0,IF(J1422&gt;'Mapa Oficinas'!$I$20,0,1))</f>
        <v>1</v>
      </c>
      <c r="L1422" t="s">
        <v>23</v>
      </c>
      <c r="M1422" t="s">
        <v>23</v>
      </c>
      <c r="N1422" t="s">
        <v>4714</v>
      </c>
      <c r="O1422" t="s">
        <v>50</v>
      </c>
      <c r="P1422" t="s">
        <v>45</v>
      </c>
      <c r="Q1422">
        <v>1</v>
      </c>
      <c r="R1422" t="s">
        <v>135</v>
      </c>
      <c r="S1422" t="s">
        <v>47</v>
      </c>
      <c r="T1422" t="str">
        <f>VLOOKUP(S1422,'Mapa Oficinas'!$H$7:$I$16,2,FALSE)</f>
        <v>Otra Red Búsqueda</v>
      </c>
      <c r="U1422" t="s">
        <v>29</v>
      </c>
      <c r="V1422" t="str">
        <f>VLOOKUP($R1422,'Mapa Oficinas'!$A$7:$C$46,2,FALSE)</f>
        <v>CABA</v>
      </c>
      <c r="W1422" t="str">
        <f>VLOOKUP($R1422,'Mapa Oficinas'!$A$7:$C$46,3,FALSE)</f>
        <v>Recoleta</v>
      </c>
    </row>
    <row r="1423" spans="1:23" x14ac:dyDescent="0.2">
      <c r="A1423" s="1">
        <v>45716</v>
      </c>
      <c r="B1423" s="20">
        <f t="shared" si="44"/>
        <v>2025</v>
      </c>
      <c r="C1423" s="20">
        <f t="shared" si="45"/>
        <v>2</v>
      </c>
      <c r="D1423" t="s">
        <v>805</v>
      </c>
      <c r="E1423" s="49">
        <v>1</v>
      </c>
      <c r="F1423" t="s">
        <v>806</v>
      </c>
      <c r="G1423" t="s">
        <v>21</v>
      </c>
      <c r="H1423" t="s">
        <v>37</v>
      </c>
      <c r="I1423" s="13">
        <v>123000</v>
      </c>
      <c r="J1423" s="13">
        <v>117000</v>
      </c>
      <c r="K1423" s="13">
        <f>IF(J1423&lt;'Mapa Oficinas'!$I$21,0,IF(J1423&gt;'Mapa Oficinas'!$I$20,0,1))</f>
        <v>1</v>
      </c>
      <c r="L1423" t="s">
        <v>23</v>
      </c>
      <c r="M1423" t="s">
        <v>23</v>
      </c>
      <c r="N1423" t="s">
        <v>807</v>
      </c>
      <c r="O1423" t="s">
        <v>141</v>
      </c>
      <c r="P1423" t="s">
        <v>45</v>
      </c>
      <c r="Q1423">
        <v>2</v>
      </c>
      <c r="R1423" t="s">
        <v>62</v>
      </c>
      <c r="S1423" t="s">
        <v>28</v>
      </c>
      <c r="T1423" t="str">
        <f>VLOOKUP(S1423,'Mapa Oficinas'!$H$7:$I$16,2,FALSE)</f>
        <v>CB</v>
      </c>
      <c r="U1423" t="s">
        <v>29</v>
      </c>
      <c r="V1423" t="str">
        <f>VLOOKUP($R1423,'Mapa Oficinas'!$A$7:$C$46,2,FALSE)</f>
        <v>CABA</v>
      </c>
      <c r="W1423" t="str">
        <f>VLOOKUP($R1423,'Mapa Oficinas'!$A$7:$C$46,3,FALSE)</f>
        <v>Villa Urquiza</v>
      </c>
    </row>
    <row r="1424" spans="1:23" x14ac:dyDescent="0.2">
      <c r="A1424" s="1">
        <v>45832</v>
      </c>
      <c r="B1424" s="20">
        <f t="shared" si="44"/>
        <v>2025</v>
      </c>
      <c r="C1424" s="20">
        <f t="shared" si="45"/>
        <v>6</v>
      </c>
      <c r="D1424">
        <v>10422</v>
      </c>
      <c r="E1424" s="49">
        <v>1</v>
      </c>
      <c r="F1424" t="s">
        <v>2609</v>
      </c>
      <c r="G1424" t="s">
        <v>21</v>
      </c>
      <c r="H1424" t="s">
        <v>37</v>
      </c>
      <c r="I1424" s="13">
        <v>0</v>
      </c>
      <c r="J1424" s="13">
        <v>117000</v>
      </c>
      <c r="K1424" s="13">
        <f>IF(J1424&lt;'Mapa Oficinas'!$I$21,0,IF(J1424&gt;'Mapa Oficinas'!$I$20,0,1))</f>
        <v>1</v>
      </c>
      <c r="L1424" t="s">
        <v>23</v>
      </c>
      <c r="M1424" t="s">
        <v>23</v>
      </c>
      <c r="O1424" t="s">
        <v>696</v>
      </c>
      <c r="P1424" t="s">
        <v>45</v>
      </c>
      <c r="Q1424">
        <v>2</v>
      </c>
      <c r="R1424" t="s">
        <v>67</v>
      </c>
      <c r="S1424" t="s">
        <v>28</v>
      </c>
      <c r="T1424" t="str">
        <f>VLOOKUP(S1424,'Mapa Oficinas'!$H$7:$I$16,2,FALSE)</f>
        <v>CB</v>
      </c>
      <c r="U1424" t="s">
        <v>29</v>
      </c>
      <c r="V1424" t="str">
        <f>VLOOKUP($R1424,'Mapa Oficinas'!$A$7:$C$46,2,FALSE)</f>
        <v>CABA</v>
      </c>
      <c r="W1424" t="str">
        <f>VLOOKUP($R1424,'Mapa Oficinas'!$A$7:$C$46,3,FALSE)</f>
        <v>Barrio Parque</v>
      </c>
    </row>
    <row r="1425" spans="1:23" x14ac:dyDescent="0.2">
      <c r="A1425" s="1">
        <v>45971</v>
      </c>
      <c r="B1425" s="20">
        <f t="shared" si="44"/>
        <v>2025</v>
      </c>
      <c r="C1425" s="20">
        <f t="shared" si="45"/>
        <v>11</v>
      </c>
      <c r="D1425" t="s">
        <v>5106</v>
      </c>
      <c r="E1425" s="49">
        <v>1</v>
      </c>
      <c r="F1425" t="s">
        <v>5107</v>
      </c>
      <c r="G1425" t="s">
        <v>21</v>
      </c>
      <c r="H1425" t="s">
        <v>37</v>
      </c>
      <c r="I1425" s="13">
        <v>120000</v>
      </c>
      <c r="J1425" s="13">
        <v>117000</v>
      </c>
      <c r="K1425" s="13">
        <f>IF(J1425&lt;'Mapa Oficinas'!$I$21,0,IF(J1425&gt;'Mapa Oficinas'!$I$20,0,1))</f>
        <v>1</v>
      </c>
      <c r="L1425" t="s">
        <v>23</v>
      </c>
      <c r="M1425" t="s">
        <v>23</v>
      </c>
      <c r="N1425" t="s">
        <v>5108</v>
      </c>
      <c r="O1425" t="s">
        <v>440</v>
      </c>
      <c r="P1425" t="s">
        <v>45</v>
      </c>
      <c r="Q1425">
        <v>2</v>
      </c>
      <c r="R1425" t="s">
        <v>135</v>
      </c>
      <c r="S1425" t="s">
        <v>28</v>
      </c>
      <c r="T1425" t="str">
        <f>VLOOKUP(S1425,'Mapa Oficinas'!$H$7:$I$16,2,FALSE)</f>
        <v>CB</v>
      </c>
      <c r="U1425" t="s">
        <v>29</v>
      </c>
      <c r="V1425" t="str">
        <f>VLOOKUP($R1425,'Mapa Oficinas'!$A$7:$C$46,2,FALSE)</f>
        <v>CABA</v>
      </c>
      <c r="W1425" t="str">
        <f>VLOOKUP($R1425,'Mapa Oficinas'!$A$7:$C$46,3,FALSE)</f>
        <v>Recoleta</v>
      </c>
    </row>
    <row r="1426" spans="1:23" x14ac:dyDescent="0.2">
      <c r="A1426" s="1">
        <v>45733</v>
      </c>
      <c r="B1426" s="20">
        <f t="shared" si="44"/>
        <v>2025</v>
      </c>
      <c r="C1426" s="20">
        <f t="shared" si="45"/>
        <v>3</v>
      </c>
      <c r="D1426" t="s">
        <v>983</v>
      </c>
      <c r="E1426" s="49">
        <v>1</v>
      </c>
      <c r="F1426" t="s">
        <v>984</v>
      </c>
      <c r="G1426" t="s">
        <v>21</v>
      </c>
      <c r="H1426" t="s">
        <v>37</v>
      </c>
      <c r="I1426" s="13">
        <v>167250</v>
      </c>
      <c r="J1426" s="13">
        <v>117500</v>
      </c>
      <c r="K1426" s="13">
        <f>IF(J1426&lt;'Mapa Oficinas'!$I$21,0,IF(J1426&gt;'Mapa Oficinas'!$I$20,0,1))</f>
        <v>1</v>
      </c>
      <c r="L1426" t="s">
        <v>23</v>
      </c>
      <c r="M1426" t="s">
        <v>23</v>
      </c>
      <c r="N1426" t="s">
        <v>985</v>
      </c>
      <c r="O1426" t="s">
        <v>986</v>
      </c>
      <c r="P1426" t="s">
        <v>45</v>
      </c>
      <c r="Q1426">
        <v>2</v>
      </c>
      <c r="R1426" t="s">
        <v>110</v>
      </c>
      <c r="S1426" t="s">
        <v>79</v>
      </c>
      <c r="T1426" t="str">
        <f>VLOOKUP(S1426,'Mapa Oficinas'!$H$7:$I$16,2,FALSE)</f>
        <v>CB</v>
      </c>
      <c r="U1426" t="s">
        <v>29</v>
      </c>
      <c r="V1426" t="str">
        <f>VLOOKUP($R1426,'Mapa Oficinas'!$A$7:$C$46,2,FALSE)</f>
        <v>Zona Norte (GBA)</v>
      </c>
      <c r="W1426" t="str">
        <f>VLOOKUP($R1426,'Mapa Oficinas'!$A$7:$C$46,3,FALSE)</f>
        <v>Nordelta</v>
      </c>
    </row>
    <row r="1427" spans="1:23" x14ac:dyDescent="0.2">
      <c r="A1427" s="1">
        <v>46057</v>
      </c>
      <c r="B1427" s="20">
        <f t="shared" si="44"/>
        <v>2026</v>
      </c>
      <c r="C1427" s="20">
        <f t="shared" si="45"/>
        <v>2</v>
      </c>
      <c r="D1427" t="s">
        <v>6520</v>
      </c>
      <c r="E1427" s="49">
        <v>1</v>
      </c>
      <c r="F1427" t="s">
        <v>6520</v>
      </c>
      <c r="G1427" t="s">
        <v>21</v>
      </c>
      <c r="H1427" t="s">
        <v>22</v>
      </c>
      <c r="I1427" s="13">
        <v>235000</v>
      </c>
      <c r="J1427" s="13">
        <v>117500</v>
      </c>
      <c r="K1427" s="13">
        <f>IF(J1427&lt;'Mapa Oficinas'!$I$21,0,IF(J1427&gt;'Mapa Oficinas'!$I$20,0,1))</f>
        <v>1</v>
      </c>
      <c r="L1427" t="s">
        <v>23</v>
      </c>
      <c r="M1427" t="s">
        <v>23</v>
      </c>
      <c r="N1427" t="s">
        <v>6520</v>
      </c>
      <c r="O1427" t="s">
        <v>116</v>
      </c>
      <c r="P1427" t="s">
        <v>45</v>
      </c>
      <c r="Q1427">
        <v>2</v>
      </c>
      <c r="R1427" t="s">
        <v>62</v>
      </c>
      <c r="S1427" t="s">
        <v>28</v>
      </c>
      <c r="T1427" t="str">
        <f>VLOOKUP(S1427,'Mapa Oficinas'!$H$7:$I$16,2,FALSE)</f>
        <v>CB</v>
      </c>
      <c r="U1427" t="s">
        <v>29</v>
      </c>
      <c r="V1427" t="str">
        <f>VLOOKUP($R1427,'Mapa Oficinas'!$A$7:$C$46,2,FALSE)</f>
        <v>CABA</v>
      </c>
      <c r="W1427" t="str">
        <f>VLOOKUP($R1427,'Mapa Oficinas'!$A$7:$C$46,3,FALSE)</f>
        <v>Villa Urquiza</v>
      </c>
    </row>
    <row r="1428" spans="1:23" x14ac:dyDescent="0.2">
      <c r="A1428" s="1">
        <v>46084</v>
      </c>
      <c r="B1428" s="20">
        <f t="shared" si="44"/>
        <v>2026</v>
      </c>
      <c r="C1428" s="20">
        <f t="shared" si="45"/>
        <v>3</v>
      </c>
      <c r="D1428" t="s">
        <v>6954</v>
      </c>
      <c r="E1428" s="49">
        <v>1</v>
      </c>
      <c r="F1428" t="s">
        <v>6955</v>
      </c>
      <c r="G1428" t="s">
        <v>21</v>
      </c>
      <c r="H1428" t="s">
        <v>37</v>
      </c>
      <c r="I1428" s="13">
        <v>118000</v>
      </c>
      <c r="J1428" s="13">
        <v>118000</v>
      </c>
      <c r="K1428" s="13">
        <f>IF(J1428&lt;'Mapa Oficinas'!$I$21,0,IF(J1428&gt;'Mapa Oficinas'!$I$20,0,1))</f>
        <v>1</v>
      </c>
      <c r="L1428" t="s">
        <v>23</v>
      </c>
      <c r="M1428" t="s">
        <v>23</v>
      </c>
      <c r="N1428" t="s">
        <v>6956</v>
      </c>
      <c r="O1428" t="s">
        <v>4514</v>
      </c>
      <c r="P1428" t="s">
        <v>34</v>
      </c>
      <c r="Q1428">
        <v>2</v>
      </c>
      <c r="R1428" t="s">
        <v>167</v>
      </c>
      <c r="S1428" t="s">
        <v>79</v>
      </c>
      <c r="T1428" t="str">
        <f>VLOOKUP(S1428,'Mapa Oficinas'!$H$7:$I$16,2,FALSE)</f>
        <v>CB</v>
      </c>
      <c r="U1428" t="s">
        <v>29</v>
      </c>
      <c r="V1428" t="str">
        <f>VLOOKUP($R1428,'Mapa Oficinas'!$A$7:$C$46,2,FALSE)</f>
        <v>Interior - Santa Fe</v>
      </c>
      <c r="W1428" t="str">
        <f>VLOOKUP($R1428,'Mapa Oficinas'!$A$7:$C$46,3,FALSE)</f>
        <v>Capital Santa Fe</v>
      </c>
    </row>
    <row r="1429" spans="1:23" x14ac:dyDescent="0.2">
      <c r="A1429" s="1">
        <v>45693</v>
      </c>
      <c r="B1429" s="20">
        <f t="shared" si="44"/>
        <v>2025</v>
      </c>
      <c r="C1429" s="20">
        <f t="shared" si="45"/>
        <v>2</v>
      </c>
      <c r="D1429" t="s">
        <v>496</v>
      </c>
      <c r="E1429" s="49">
        <v>1</v>
      </c>
      <c r="F1429" t="s">
        <v>497</v>
      </c>
      <c r="G1429" t="s">
        <v>21</v>
      </c>
      <c r="H1429" t="s">
        <v>37</v>
      </c>
      <c r="I1429" s="13">
        <v>120000</v>
      </c>
      <c r="J1429" s="13">
        <v>118000</v>
      </c>
      <c r="K1429" s="13">
        <f>IF(J1429&lt;'Mapa Oficinas'!$I$21,0,IF(J1429&gt;'Mapa Oficinas'!$I$20,0,1))</f>
        <v>1</v>
      </c>
      <c r="L1429" t="s">
        <v>23</v>
      </c>
      <c r="M1429" t="s">
        <v>23</v>
      </c>
      <c r="N1429" t="s">
        <v>498</v>
      </c>
      <c r="O1429" t="s">
        <v>470</v>
      </c>
      <c r="P1429" t="s">
        <v>45</v>
      </c>
      <c r="Q1429">
        <v>2</v>
      </c>
      <c r="R1429" t="s">
        <v>46</v>
      </c>
      <c r="S1429" t="s">
        <v>200</v>
      </c>
      <c r="T1429" t="str">
        <f>VLOOKUP(S1429,'Mapa Oficinas'!$H$7:$I$16,2,FALSE)</f>
        <v>Otra Red Captación</v>
      </c>
      <c r="U1429" t="s">
        <v>29</v>
      </c>
      <c r="V1429" t="str">
        <f>VLOOKUP($R1429,'Mapa Oficinas'!$A$7:$C$46,2,FALSE)</f>
        <v>CABA</v>
      </c>
      <c r="W1429" t="str">
        <f>VLOOKUP($R1429,'Mapa Oficinas'!$A$7:$C$46,3,FALSE)</f>
        <v>Palermo</v>
      </c>
    </row>
    <row r="1430" spans="1:23" x14ac:dyDescent="0.2">
      <c r="A1430" s="1">
        <v>45992</v>
      </c>
      <c r="B1430" s="20">
        <f t="shared" si="44"/>
        <v>2025</v>
      </c>
      <c r="C1430" s="20">
        <f t="shared" si="45"/>
        <v>12</v>
      </c>
      <c r="D1430" t="s">
        <v>749</v>
      </c>
      <c r="E1430" s="49">
        <v>1</v>
      </c>
      <c r="F1430" t="s">
        <v>750</v>
      </c>
      <c r="G1430" t="s">
        <v>21</v>
      </c>
      <c r="H1430" t="s">
        <v>37</v>
      </c>
      <c r="I1430" s="13">
        <v>110000</v>
      </c>
      <c r="J1430" s="13">
        <v>118000</v>
      </c>
      <c r="K1430" s="13">
        <f>IF(J1430&lt;'Mapa Oficinas'!$I$21,0,IF(J1430&gt;'Mapa Oficinas'!$I$20,0,1))</f>
        <v>1</v>
      </c>
      <c r="L1430" t="s">
        <v>23</v>
      </c>
      <c r="M1430" t="s">
        <v>23</v>
      </c>
      <c r="N1430" t="s">
        <v>751</v>
      </c>
      <c r="O1430" t="s">
        <v>738</v>
      </c>
      <c r="P1430" t="s">
        <v>45</v>
      </c>
      <c r="Q1430">
        <v>2</v>
      </c>
      <c r="R1430" t="s">
        <v>670</v>
      </c>
      <c r="S1430" t="s">
        <v>200</v>
      </c>
      <c r="T1430" t="str">
        <f>VLOOKUP(S1430,'Mapa Oficinas'!$H$7:$I$16,2,FALSE)</f>
        <v>Otra Red Captación</v>
      </c>
      <c r="U1430" t="s">
        <v>29</v>
      </c>
      <c r="V1430" t="str">
        <f>VLOOKUP($R1430,'Mapa Oficinas'!$A$7:$C$46,2,FALSE)</f>
        <v>CABA</v>
      </c>
      <c r="W1430" t="str">
        <f>VLOOKUP($R1430,'Mapa Oficinas'!$A$7:$C$46,3,FALSE)</f>
        <v>Recoleta</v>
      </c>
    </row>
    <row r="1431" spans="1:23" x14ac:dyDescent="0.2">
      <c r="A1431" s="1">
        <v>45712</v>
      </c>
      <c r="B1431" s="20">
        <f t="shared" si="44"/>
        <v>2025</v>
      </c>
      <c r="C1431" s="20">
        <f t="shared" si="45"/>
        <v>2</v>
      </c>
      <c r="D1431" t="s">
        <v>735</v>
      </c>
      <c r="E1431" s="49">
        <v>1</v>
      </c>
      <c r="F1431" t="s">
        <v>736</v>
      </c>
      <c r="G1431" t="s">
        <v>21</v>
      </c>
      <c r="H1431" t="s">
        <v>37</v>
      </c>
      <c r="I1431" s="13">
        <v>120000</v>
      </c>
      <c r="J1431" s="13">
        <v>118000</v>
      </c>
      <c r="K1431" s="13">
        <f>IF(J1431&lt;'Mapa Oficinas'!$I$21,0,IF(J1431&gt;'Mapa Oficinas'!$I$20,0,1))</f>
        <v>1</v>
      </c>
      <c r="L1431" t="s">
        <v>23</v>
      </c>
      <c r="M1431" t="s">
        <v>23</v>
      </c>
      <c r="N1431" t="s">
        <v>737</v>
      </c>
      <c r="O1431" t="s">
        <v>738</v>
      </c>
      <c r="P1431" t="s">
        <v>34</v>
      </c>
      <c r="Q1431">
        <v>2</v>
      </c>
      <c r="R1431" t="s">
        <v>46</v>
      </c>
      <c r="S1431" t="s">
        <v>28</v>
      </c>
      <c r="T1431" t="str">
        <f>VLOOKUP(S1431,'Mapa Oficinas'!$H$7:$I$16,2,FALSE)</f>
        <v>CB</v>
      </c>
      <c r="U1431" t="s">
        <v>29</v>
      </c>
      <c r="V1431" t="str">
        <f>VLOOKUP($R1431,'Mapa Oficinas'!$A$7:$C$46,2,FALSE)</f>
        <v>CABA</v>
      </c>
      <c r="W1431" t="str">
        <f>VLOOKUP($R1431,'Mapa Oficinas'!$A$7:$C$46,3,FALSE)</f>
        <v>Palermo</v>
      </c>
    </row>
    <row r="1432" spans="1:23" x14ac:dyDescent="0.2">
      <c r="A1432" s="1">
        <v>45944</v>
      </c>
      <c r="B1432" s="20">
        <f t="shared" si="44"/>
        <v>2025</v>
      </c>
      <c r="C1432" s="20">
        <f t="shared" si="45"/>
        <v>10</v>
      </c>
      <c r="D1432" t="s">
        <v>4661</v>
      </c>
      <c r="E1432" s="49">
        <v>1</v>
      </c>
      <c r="F1432" t="s">
        <v>4662</v>
      </c>
      <c r="G1432" t="s">
        <v>21</v>
      </c>
      <c r="H1432" t="s">
        <v>37</v>
      </c>
      <c r="I1432" s="13">
        <v>130000</v>
      </c>
      <c r="J1432" s="13">
        <v>118000</v>
      </c>
      <c r="K1432" s="13">
        <f>IF(J1432&lt;'Mapa Oficinas'!$I$21,0,IF(J1432&gt;'Mapa Oficinas'!$I$20,0,1))</f>
        <v>1</v>
      </c>
      <c r="L1432" t="s">
        <v>23</v>
      </c>
      <c r="M1432" t="s">
        <v>23</v>
      </c>
      <c r="N1432" t="s">
        <v>4663</v>
      </c>
      <c r="O1432" t="s">
        <v>50</v>
      </c>
      <c r="P1432" t="s">
        <v>55</v>
      </c>
      <c r="Q1432">
        <v>2</v>
      </c>
      <c r="R1432" t="s">
        <v>135</v>
      </c>
      <c r="S1432" t="s">
        <v>28</v>
      </c>
      <c r="T1432" t="str">
        <f>VLOOKUP(S1432,'Mapa Oficinas'!$H$7:$I$16,2,FALSE)</f>
        <v>CB</v>
      </c>
      <c r="U1432" t="s">
        <v>29</v>
      </c>
      <c r="V1432" t="str">
        <f>VLOOKUP($R1432,'Mapa Oficinas'!$A$7:$C$46,2,FALSE)</f>
        <v>CABA</v>
      </c>
      <c r="W1432" t="str">
        <f>VLOOKUP($R1432,'Mapa Oficinas'!$A$7:$C$46,3,FALSE)</f>
        <v>Recoleta</v>
      </c>
    </row>
    <row r="1433" spans="1:23" x14ac:dyDescent="0.2">
      <c r="A1433" s="1">
        <v>45961</v>
      </c>
      <c r="B1433" s="20">
        <f t="shared" si="44"/>
        <v>2025</v>
      </c>
      <c r="C1433" s="20">
        <f t="shared" si="45"/>
        <v>10</v>
      </c>
      <c r="D1433" t="s">
        <v>5028</v>
      </c>
      <c r="E1433" s="49">
        <v>1</v>
      </c>
      <c r="F1433" t="s">
        <v>5029</v>
      </c>
      <c r="G1433" t="s">
        <v>21</v>
      </c>
      <c r="H1433" t="s">
        <v>70</v>
      </c>
      <c r="I1433" s="13">
        <v>118000</v>
      </c>
      <c r="J1433" s="13">
        <v>118000</v>
      </c>
      <c r="K1433" s="13">
        <f>IF(J1433&lt;'Mapa Oficinas'!$I$21,0,IF(J1433&gt;'Mapa Oficinas'!$I$20,0,1))</f>
        <v>1</v>
      </c>
      <c r="L1433" t="s">
        <v>23</v>
      </c>
      <c r="M1433" t="s">
        <v>1927</v>
      </c>
      <c r="N1433" t="s">
        <v>5030</v>
      </c>
      <c r="O1433" t="s">
        <v>5031</v>
      </c>
      <c r="P1433" t="s">
        <v>34</v>
      </c>
      <c r="Q1433">
        <v>2</v>
      </c>
      <c r="R1433" t="s">
        <v>73</v>
      </c>
      <c r="S1433" t="s">
        <v>28</v>
      </c>
      <c r="T1433" t="str">
        <f>VLOOKUP(S1433,'Mapa Oficinas'!$H$7:$I$16,2,FALSE)</f>
        <v>CB</v>
      </c>
      <c r="U1433" t="s">
        <v>29</v>
      </c>
      <c r="V1433" t="str">
        <f>VLOOKUP($R1433,'Mapa Oficinas'!$A$7:$C$46,2,FALSE)</f>
        <v>Interior - Salta</v>
      </c>
      <c r="W1433" t="str">
        <f>VLOOKUP($R1433,'Mapa Oficinas'!$A$7:$C$46,3,FALSE)</f>
        <v>San Lorenzo Chico</v>
      </c>
    </row>
    <row r="1434" spans="1:23" x14ac:dyDescent="0.2">
      <c r="A1434" s="1">
        <v>46062</v>
      </c>
      <c r="B1434" s="20">
        <f t="shared" si="44"/>
        <v>2026</v>
      </c>
      <c r="C1434" s="20">
        <f t="shared" si="45"/>
        <v>2</v>
      </c>
      <c r="D1434" t="s">
        <v>6600</v>
      </c>
      <c r="E1434" s="49">
        <v>1</v>
      </c>
      <c r="F1434" t="s">
        <v>6601</v>
      </c>
      <c r="G1434" t="s">
        <v>21</v>
      </c>
      <c r="H1434" t="s">
        <v>37</v>
      </c>
      <c r="I1434" s="13">
        <v>125000</v>
      </c>
      <c r="J1434" s="13">
        <v>118000</v>
      </c>
      <c r="K1434" s="13">
        <f>IF(J1434&lt;'Mapa Oficinas'!$I$21,0,IF(J1434&gt;'Mapa Oficinas'!$I$20,0,1))</f>
        <v>1</v>
      </c>
      <c r="L1434" t="s">
        <v>23</v>
      </c>
      <c r="M1434" t="s">
        <v>23</v>
      </c>
      <c r="N1434" t="s">
        <v>6602</v>
      </c>
      <c r="O1434" t="s">
        <v>92</v>
      </c>
      <c r="P1434" t="s">
        <v>61</v>
      </c>
      <c r="Q1434">
        <v>2</v>
      </c>
      <c r="R1434" t="s">
        <v>56</v>
      </c>
      <c r="S1434" t="s">
        <v>28</v>
      </c>
      <c r="T1434" t="str">
        <f>VLOOKUP(S1434,'Mapa Oficinas'!$H$7:$I$16,2,FALSE)</f>
        <v>CB</v>
      </c>
      <c r="U1434" t="s">
        <v>29</v>
      </c>
      <c r="V1434" t="str">
        <f>VLOOKUP($R1434,'Mapa Oficinas'!$A$7:$C$46,2,FALSE)</f>
        <v>Zona Norte (GBA)</v>
      </c>
      <c r="W1434" t="str">
        <f>VLOOKUP($R1434,'Mapa Oficinas'!$A$7:$C$46,3,FALSE)</f>
        <v>Vicente López</v>
      </c>
    </row>
    <row r="1435" spans="1:23" x14ac:dyDescent="0.2">
      <c r="A1435" s="1">
        <v>45666</v>
      </c>
      <c r="B1435" s="20">
        <f t="shared" si="44"/>
        <v>2025</v>
      </c>
      <c r="C1435" s="20">
        <f t="shared" si="45"/>
        <v>1</v>
      </c>
      <c r="E1435" s="49">
        <v>1</v>
      </c>
      <c r="F1435" t="s">
        <v>143</v>
      </c>
      <c r="G1435" t="s">
        <v>21</v>
      </c>
      <c r="H1435" t="s">
        <v>100</v>
      </c>
      <c r="I1435" s="13">
        <v>118402</v>
      </c>
      <c r="J1435" s="13">
        <v>118402</v>
      </c>
      <c r="K1435" s="13">
        <f>IF(J1435&lt;'Mapa Oficinas'!$I$21,0,IF(J1435&gt;'Mapa Oficinas'!$I$20,0,1))</f>
        <v>1</v>
      </c>
      <c r="L1435" t="s">
        <v>23</v>
      </c>
      <c r="M1435" t="s">
        <v>23</v>
      </c>
      <c r="N1435" t="s">
        <v>82</v>
      </c>
      <c r="O1435" t="s">
        <v>83</v>
      </c>
      <c r="P1435" t="s">
        <v>45</v>
      </c>
      <c r="Q1435">
        <v>2</v>
      </c>
      <c r="R1435" t="s">
        <v>84</v>
      </c>
      <c r="S1435" t="s">
        <v>79</v>
      </c>
      <c r="T1435" t="str">
        <f>VLOOKUP(S1435,'Mapa Oficinas'!$H$7:$I$16,2,FALSE)</f>
        <v>CB</v>
      </c>
      <c r="U1435" t="s">
        <v>29</v>
      </c>
      <c r="V1435" t="str">
        <f>VLOOKUP($R1435,'Mapa Oficinas'!$A$7:$C$46,2,FALSE)</f>
        <v>Interior - Neuquén</v>
      </c>
      <c r="W1435" t="str">
        <f>VLOOKUP($R1435,'Mapa Oficinas'!$A$7:$C$46,3,FALSE)</f>
        <v>Villa La Angostura</v>
      </c>
    </row>
    <row r="1436" spans="1:23" x14ac:dyDescent="0.2">
      <c r="A1436" s="1">
        <v>45925</v>
      </c>
      <c r="B1436" s="20">
        <f t="shared" si="44"/>
        <v>2025</v>
      </c>
      <c r="C1436" s="20">
        <f t="shared" si="45"/>
        <v>9</v>
      </c>
      <c r="D1436" t="s">
        <v>4351</v>
      </c>
      <c r="E1436" s="49">
        <v>1</v>
      </c>
      <c r="F1436" t="s">
        <v>4352</v>
      </c>
      <c r="G1436" t="s">
        <v>21</v>
      </c>
      <c r="H1436" t="s">
        <v>37</v>
      </c>
      <c r="I1436" s="13">
        <v>121500</v>
      </c>
      <c r="J1436" s="13">
        <v>118500</v>
      </c>
      <c r="K1436" s="13">
        <f>IF(J1436&lt;'Mapa Oficinas'!$I$21,0,IF(J1436&gt;'Mapa Oficinas'!$I$20,0,1))</f>
        <v>1</v>
      </c>
      <c r="L1436" t="s">
        <v>23</v>
      </c>
      <c r="M1436" t="s">
        <v>23</v>
      </c>
      <c r="N1436" t="s">
        <v>4353</v>
      </c>
      <c r="O1436" t="s">
        <v>92</v>
      </c>
      <c r="P1436" t="s">
        <v>45</v>
      </c>
      <c r="Q1436">
        <v>2</v>
      </c>
      <c r="R1436" t="s">
        <v>429</v>
      </c>
      <c r="S1436" t="s">
        <v>28</v>
      </c>
      <c r="T1436" t="str">
        <f>VLOOKUP(S1436,'Mapa Oficinas'!$H$7:$I$16,2,FALSE)</f>
        <v>CB</v>
      </c>
      <c r="U1436" t="s">
        <v>29</v>
      </c>
      <c r="V1436" t="str">
        <f>VLOOKUP($R1436,'Mapa Oficinas'!$A$7:$C$46,2,FALSE)</f>
        <v>Zona Oeste (GBA)</v>
      </c>
      <c r="W1436" t="str">
        <f>VLOOKUP($R1436,'Mapa Oficinas'!$A$7:$C$46,3,FALSE)</f>
        <v>Parque Leloir</v>
      </c>
    </row>
    <row r="1437" spans="1:23" x14ac:dyDescent="0.2">
      <c r="A1437" s="1">
        <v>46037</v>
      </c>
      <c r="B1437" s="20">
        <f t="shared" si="44"/>
        <v>2026</v>
      </c>
      <c r="C1437" s="20">
        <f t="shared" si="45"/>
        <v>1</v>
      </c>
      <c r="D1437" t="s">
        <v>6251</v>
      </c>
      <c r="E1437" s="49">
        <v>1</v>
      </c>
      <c r="F1437" t="s">
        <v>6252</v>
      </c>
      <c r="G1437" t="s">
        <v>21</v>
      </c>
      <c r="H1437" t="s">
        <v>37</v>
      </c>
      <c r="I1437" s="13">
        <v>170000</v>
      </c>
      <c r="J1437" s="13">
        <v>118500</v>
      </c>
      <c r="K1437" s="13">
        <f>IF(J1437&lt;'Mapa Oficinas'!$I$21,0,IF(J1437&gt;'Mapa Oficinas'!$I$20,0,1))</f>
        <v>1</v>
      </c>
      <c r="L1437" t="s">
        <v>23</v>
      </c>
      <c r="M1437" t="s">
        <v>23</v>
      </c>
      <c r="N1437" t="s">
        <v>6253</v>
      </c>
      <c r="O1437" t="s">
        <v>2104</v>
      </c>
      <c r="P1437" t="s">
        <v>45</v>
      </c>
      <c r="Q1437">
        <v>2</v>
      </c>
      <c r="R1437" t="s">
        <v>110</v>
      </c>
      <c r="S1437" t="s">
        <v>28</v>
      </c>
      <c r="T1437" t="str">
        <f>VLOOKUP(S1437,'Mapa Oficinas'!$H$7:$I$16,2,FALSE)</f>
        <v>CB</v>
      </c>
      <c r="U1437" t="s">
        <v>29</v>
      </c>
      <c r="V1437" t="str">
        <f>VLOOKUP($R1437,'Mapa Oficinas'!$A$7:$C$46,2,FALSE)</f>
        <v>Zona Norte (GBA)</v>
      </c>
      <c r="W1437" t="str">
        <f>VLOOKUP($R1437,'Mapa Oficinas'!$A$7:$C$46,3,FALSE)</f>
        <v>Nordelta</v>
      </c>
    </row>
    <row r="1438" spans="1:23" x14ac:dyDescent="0.2">
      <c r="A1438" s="1">
        <v>45979</v>
      </c>
      <c r="B1438" s="20">
        <f t="shared" si="44"/>
        <v>2025</v>
      </c>
      <c r="C1438" s="20">
        <f t="shared" si="45"/>
        <v>11</v>
      </c>
      <c r="D1438" t="s">
        <v>5285</v>
      </c>
      <c r="E1438" s="49">
        <v>1</v>
      </c>
      <c r="F1438" t="s">
        <v>5286</v>
      </c>
      <c r="G1438" t="s">
        <v>21</v>
      </c>
      <c r="H1438" t="s">
        <v>37</v>
      </c>
      <c r="I1438" s="13">
        <v>119000</v>
      </c>
      <c r="J1438" s="13">
        <v>119000</v>
      </c>
      <c r="K1438" s="13">
        <f>IF(J1438&lt;'Mapa Oficinas'!$I$21,0,IF(J1438&gt;'Mapa Oficinas'!$I$20,0,1))</f>
        <v>1</v>
      </c>
      <c r="L1438" t="s">
        <v>23</v>
      </c>
      <c r="M1438" t="s">
        <v>23</v>
      </c>
      <c r="N1438" t="s">
        <v>5287</v>
      </c>
      <c r="O1438" t="s">
        <v>976</v>
      </c>
      <c r="P1438" t="s">
        <v>45</v>
      </c>
      <c r="Q1438">
        <v>1</v>
      </c>
      <c r="R1438" t="s">
        <v>46</v>
      </c>
      <c r="S1438" t="s">
        <v>47</v>
      </c>
      <c r="T1438" t="str">
        <f>VLOOKUP(S1438,'Mapa Oficinas'!$H$7:$I$16,2,FALSE)</f>
        <v>Otra Red Búsqueda</v>
      </c>
      <c r="U1438" t="s">
        <v>29</v>
      </c>
      <c r="V1438" t="str">
        <f>VLOOKUP($R1438,'Mapa Oficinas'!$A$7:$C$46,2,FALSE)</f>
        <v>CABA</v>
      </c>
      <c r="W1438" t="str">
        <f>VLOOKUP($R1438,'Mapa Oficinas'!$A$7:$C$46,3,FALSE)</f>
        <v>Palermo</v>
      </c>
    </row>
    <row r="1439" spans="1:23" x14ac:dyDescent="0.2">
      <c r="A1439" s="1">
        <v>45980</v>
      </c>
      <c r="B1439" s="20">
        <f t="shared" si="44"/>
        <v>2025</v>
      </c>
      <c r="C1439" s="20">
        <f t="shared" si="45"/>
        <v>11</v>
      </c>
      <c r="D1439" t="s">
        <v>5314</v>
      </c>
      <c r="E1439" s="49">
        <v>1</v>
      </c>
      <c r="F1439" t="s">
        <v>5315</v>
      </c>
      <c r="G1439" t="s">
        <v>21</v>
      </c>
      <c r="H1439" t="s">
        <v>37</v>
      </c>
      <c r="I1439" s="13">
        <v>119000</v>
      </c>
      <c r="J1439" s="13">
        <v>119000</v>
      </c>
      <c r="K1439" s="13">
        <f>IF(J1439&lt;'Mapa Oficinas'!$I$21,0,IF(J1439&gt;'Mapa Oficinas'!$I$20,0,1))</f>
        <v>1</v>
      </c>
      <c r="L1439" t="s">
        <v>23</v>
      </c>
      <c r="M1439" t="s">
        <v>23</v>
      </c>
      <c r="N1439" t="s">
        <v>5316</v>
      </c>
      <c r="O1439" t="s">
        <v>92</v>
      </c>
      <c r="P1439" t="s">
        <v>45</v>
      </c>
      <c r="Q1439">
        <v>1</v>
      </c>
      <c r="R1439" t="s">
        <v>670</v>
      </c>
      <c r="S1439" t="s">
        <v>47</v>
      </c>
      <c r="T1439" t="str">
        <f>VLOOKUP(S1439,'Mapa Oficinas'!$H$7:$I$16,2,FALSE)</f>
        <v>Otra Red Búsqueda</v>
      </c>
      <c r="U1439" t="s">
        <v>29</v>
      </c>
      <c r="V1439" t="str">
        <f>VLOOKUP($R1439,'Mapa Oficinas'!$A$7:$C$46,2,FALSE)</f>
        <v>CABA</v>
      </c>
      <c r="W1439" t="str">
        <f>VLOOKUP($R1439,'Mapa Oficinas'!$A$7:$C$46,3,FALSE)</f>
        <v>Recoleta</v>
      </c>
    </row>
    <row r="1440" spans="1:23" x14ac:dyDescent="0.2">
      <c r="A1440" s="1">
        <v>46000</v>
      </c>
      <c r="B1440" s="20">
        <f t="shared" si="44"/>
        <v>2025</v>
      </c>
      <c r="C1440" s="20">
        <f t="shared" si="45"/>
        <v>12</v>
      </c>
      <c r="D1440" t="s">
        <v>5685</v>
      </c>
      <c r="E1440" s="49">
        <v>1</v>
      </c>
      <c r="F1440" t="s">
        <v>5686</v>
      </c>
      <c r="G1440" t="s">
        <v>21</v>
      </c>
      <c r="H1440" t="s">
        <v>37</v>
      </c>
      <c r="I1440" s="13">
        <v>140000</v>
      </c>
      <c r="J1440" s="13">
        <v>119000</v>
      </c>
      <c r="K1440" s="13">
        <f>IF(J1440&lt;'Mapa Oficinas'!$I$21,0,IF(J1440&gt;'Mapa Oficinas'!$I$20,0,1))</f>
        <v>1</v>
      </c>
      <c r="L1440" t="s">
        <v>23</v>
      </c>
      <c r="M1440" t="s">
        <v>23</v>
      </c>
      <c r="N1440" t="s">
        <v>5687</v>
      </c>
      <c r="O1440" t="s">
        <v>1164</v>
      </c>
      <c r="P1440" t="s">
        <v>45</v>
      </c>
      <c r="Q1440">
        <v>1</v>
      </c>
      <c r="R1440" t="s">
        <v>110</v>
      </c>
      <c r="S1440" t="s">
        <v>47</v>
      </c>
      <c r="T1440" t="str">
        <f>VLOOKUP(S1440,'Mapa Oficinas'!$H$7:$I$16,2,FALSE)</f>
        <v>Otra Red Búsqueda</v>
      </c>
      <c r="U1440" t="s">
        <v>29</v>
      </c>
      <c r="V1440" t="str">
        <f>VLOOKUP($R1440,'Mapa Oficinas'!$A$7:$C$46,2,FALSE)</f>
        <v>Zona Norte (GBA)</v>
      </c>
      <c r="W1440" t="str">
        <f>VLOOKUP($R1440,'Mapa Oficinas'!$A$7:$C$46,3,FALSE)</f>
        <v>Nordelta</v>
      </c>
    </row>
    <row r="1441" spans="1:23" x14ac:dyDescent="0.2">
      <c r="A1441" s="1">
        <v>45758</v>
      </c>
      <c r="B1441" s="20">
        <f t="shared" si="44"/>
        <v>2025</v>
      </c>
      <c r="C1441" s="20">
        <f t="shared" si="45"/>
        <v>4</v>
      </c>
      <c r="D1441" t="s">
        <v>1383</v>
      </c>
      <c r="E1441" s="49">
        <v>1</v>
      </c>
      <c r="F1441" t="s">
        <v>1384</v>
      </c>
      <c r="G1441" t="s">
        <v>21</v>
      </c>
      <c r="H1441" t="s">
        <v>90</v>
      </c>
      <c r="I1441" s="13">
        <v>119900</v>
      </c>
      <c r="J1441" s="13">
        <v>119000</v>
      </c>
      <c r="K1441" s="13">
        <f>IF(J1441&lt;'Mapa Oficinas'!$I$21,0,IF(J1441&gt;'Mapa Oficinas'!$I$20,0,1))</f>
        <v>1</v>
      </c>
      <c r="L1441" t="s">
        <v>23</v>
      </c>
      <c r="M1441" t="s">
        <v>23</v>
      </c>
      <c r="N1441" t="s">
        <v>1385</v>
      </c>
      <c r="O1441" t="s">
        <v>1386</v>
      </c>
      <c r="P1441" t="s">
        <v>34</v>
      </c>
      <c r="Q1441">
        <v>2</v>
      </c>
      <c r="R1441" t="s">
        <v>62</v>
      </c>
      <c r="S1441" t="s">
        <v>28</v>
      </c>
      <c r="T1441" t="str">
        <f>VLOOKUP(S1441,'Mapa Oficinas'!$H$7:$I$16,2,FALSE)</f>
        <v>CB</v>
      </c>
      <c r="U1441" t="s">
        <v>29</v>
      </c>
      <c r="V1441" t="str">
        <f>VLOOKUP($R1441,'Mapa Oficinas'!$A$7:$C$46,2,FALSE)</f>
        <v>CABA</v>
      </c>
      <c r="W1441" t="str">
        <f>VLOOKUP($R1441,'Mapa Oficinas'!$A$7:$C$46,3,FALSE)</f>
        <v>Villa Urquiza</v>
      </c>
    </row>
    <row r="1442" spans="1:23" x14ac:dyDescent="0.2">
      <c r="A1442" s="1">
        <v>45800</v>
      </c>
      <c r="B1442" s="20">
        <f t="shared" si="44"/>
        <v>2025</v>
      </c>
      <c r="C1442" s="20">
        <f t="shared" si="45"/>
        <v>5</v>
      </c>
      <c r="D1442" t="s">
        <v>2121</v>
      </c>
      <c r="E1442" s="49">
        <v>1</v>
      </c>
      <c r="F1442" t="s">
        <v>2122</v>
      </c>
      <c r="G1442" t="s">
        <v>21</v>
      </c>
      <c r="H1442" t="s">
        <v>37</v>
      </c>
      <c r="I1442" s="13">
        <v>125000</v>
      </c>
      <c r="J1442" s="13">
        <v>119000</v>
      </c>
      <c r="K1442" s="13">
        <f>IF(J1442&lt;'Mapa Oficinas'!$I$21,0,IF(J1442&gt;'Mapa Oficinas'!$I$20,0,1))</f>
        <v>1</v>
      </c>
      <c r="L1442" t="s">
        <v>23</v>
      </c>
      <c r="M1442" t="s">
        <v>23</v>
      </c>
      <c r="N1442" t="s">
        <v>2123</v>
      </c>
      <c r="O1442" t="s">
        <v>2124</v>
      </c>
      <c r="P1442" t="s">
        <v>26</v>
      </c>
      <c r="Q1442">
        <v>2</v>
      </c>
      <c r="R1442" t="s">
        <v>183</v>
      </c>
      <c r="S1442" t="s">
        <v>28</v>
      </c>
      <c r="T1442" t="str">
        <f>VLOOKUP(S1442,'Mapa Oficinas'!$H$7:$I$16,2,FALSE)</f>
        <v>CB</v>
      </c>
      <c r="U1442" t="s">
        <v>29</v>
      </c>
      <c r="V1442" t="str">
        <f>VLOOKUP($R1442,'Mapa Oficinas'!$A$7:$C$46,2,FALSE)</f>
        <v>Interior - Neuquén</v>
      </c>
      <c r="W1442" t="str">
        <f>VLOOKUP($R1442,'Mapa Oficinas'!$A$7:$C$46,3,FALSE)</f>
        <v>Capital Neuquén</v>
      </c>
    </row>
    <row r="1443" spans="1:23" x14ac:dyDescent="0.2">
      <c r="A1443" s="1">
        <v>45842</v>
      </c>
      <c r="B1443" s="20">
        <f t="shared" si="44"/>
        <v>2025</v>
      </c>
      <c r="C1443" s="20">
        <f t="shared" si="45"/>
        <v>7</v>
      </c>
      <c r="D1443" t="s">
        <v>2883</v>
      </c>
      <c r="E1443" s="49">
        <v>1</v>
      </c>
      <c r="F1443" t="s">
        <v>2884</v>
      </c>
      <c r="G1443" t="s">
        <v>21</v>
      </c>
      <c r="H1443" t="s">
        <v>37</v>
      </c>
      <c r="I1443" s="13">
        <v>120000</v>
      </c>
      <c r="J1443" s="13">
        <v>119000</v>
      </c>
      <c r="K1443" s="13">
        <f>IF(J1443&lt;'Mapa Oficinas'!$I$21,0,IF(J1443&gt;'Mapa Oficinas'!$I$20,0,1))</f>
        <v>1</v>
      </c>
      <c r="L1443" t="s">
        <v>23</v>
      </c>
      <c r="M1443" t="s">
        <v>23</v>
      </c>
      <c r="N1443" t="s">
        <v>2885</v>
      </c>
      <c r="O1443" t="s">
        <v>1196</v>
      </c>
      <c r="P1443" t="s">
        <v>45</v>
      </c>
      <c r="Q1443">
        <v>2</v>
      </c>
      <c r="R1443" t="s">
        <v>56</v>
      </c>
      <c r="S1443" t="s">
        <v>28</v>
      </c>
      <c r="T1443" t="str">
        <f>VLOOKUP(S1443,'Mapa Oficinas'!$H$7:$I$16,2,FALSE)</f>
        <v>CB</v>
      </c>
      <c r="U1443" t="s">
        <v>29</v>
      </c>
      <c r="V1443" t="str">
        <f>VLOOKUP($R1443,'Mapa Oficinas'!$A$7:$C$46,2,FALSE)</f>
        <v>Zona Norte (GBA)</v>
      </c>
      <c r="W1443" t="str">
        <f>VLOOKUP($R1443,'Mapa Oficinas'!$A$7:$C$46,3,FALSE)</f>
        <v>Vicente López</v>
      </c>
    </row>
    <row r="1444" spans="1:23" x14ac:dyDescent="0.2">
      <c r="A1444" s="1">
        <v>45849</v>
      </c>
      <c r="B1444" s="20">
        <f t="shared" si="44"/>
        <v>2025</v>
      </c>
      <c r="C1444" s="20">
        <f t="shared" si="45"/>
        <v>7</v>
      </c>
      <c r="D1444" t="s">
        <v>2982</v>
      </c>
      <c r="E1444" s="49">
        <v>1</v>
      </c>
      <c r="F1444" t="s">
        <v>2983</v>
      </c>
      <c r="G1444" t="s">
        <v>21</v>
      </c>
      <c r="H1444" t="s">
        <v>37</v>
      </c>
      <c r="I1444" s="13">
        <v>119000</v>
      </c>
      <c r="J1444" s="13">
        <v>119000</v>
      </c>
      <c r="K1444" s="13">
        <f>IF(J1444&lt;'Mapa Oficinas'!$I$21,0,IF(J1444&gt;'Mapa Oficinas'!$I$20,0,1))</f>
        <v>1</v>
      </c>
      <c r="L1444" t="s">
        <v>23</v>
      </c>
      <c r="M1444" t="s">
        <v>23</v>
      </c>
      <c r="N1444" t="s">
        <v>2984</v>
      </c>
      <c r="O1444" t="s">
        <v>2985</v>
      </c>
      <c r="P1444" t="s">
        <v>34</v>
      </c>
      <c r="Q1444">
        <v>2</v>
      </c>
      <c r="R1444" t="s">
        <v>151</v>
      </c>
      <c r="S1444" t="s">
        <v>28</v>
      </c>
      <c r="T1444" t="str">
        <f>VLOOKUP(S1444,'Mapa Oficinas'!$H$7:$I$16,2,FALSE)</f>
        <v>CB</v>
      </c>
      <c r="U1444" t="s">
        <v>29</v>
      </c>
      <c r="V1444" t="str">
        <f>VLOOKUP($R1444,'Mapa Oficinas'!$A$7:$C$46,2,FALSE)</f>
        <v>Interior - Mendoza</v>
      </c>
      <c r="W1444" t="str">
        <f>VLOOKUP($R1444,'Mapa Oficinas'!$A$7:$C$46,3,FALSE)</f>
        <v>Capital Mendoza</v>
      </c>
    </row>
    <row r="1445" spans="1:23" x14ac:dyDescent="0.2">
      <c r="A1445" s="1">
        <v>45927</v>
      </c>
      <c r="B1445" s="20">
        <f t="shared" si="44"/>
        <v>2025</v>
      </c>
      <c r="C1445" s="20">
        <f t="shared" si="45"/>
        <v>9</v>
      </c>
      <c r="E1445" s="49">
        <v>1</v>
      </c>
      <c r="F1445" t="s">
        <v>4389</v>
      </c>
      <c r="G1445" t="s">
        <v>21</v>
      </c>
      <c r="H1445" t="s">
        <v>97</v>
      </c>
      <c r="I1445" s="13">
        <v>120000</v>
      </c>
      <c r="J1445" s="13">
        <v>120000</v>
      </c>
      <c r="K1445" s="13">
        <f>IF(J1445&lt;'Mapa Oficinas'!$I$21,0,IF(J1445&gt;'Mapa Oficinas'!$I$20,0,1))</f>
        <v>1</v>
      </c>
      <c r="L1445" t="s">
        <v>23</v>
      </c>
      <c r="M1445" t="s">
        <v>23</v>
      </c>
      <c r="N1445" t="s">
        <v>4390</v>
      </c>
      <c r="O1445" t="s">
        <v>325</v>
      </c>
      <c r="P1445" t="s">
        <v>45</v>
      </c>
      <c r="Q1445">
        <v>1</v>
      </c>
      <c r="R1445" t="s">
        <v>130</v>
      </c>
      <c r="S1445" t="s">
        <v>122</v>
      </c>
      <c r="T1445" t="str">
        <f>VLOOKUP(S1445,'Mapa Oficinas'!$H$7:$I$16,2,FALSE)</f>
        <v>Otra Red Búsqueda</v>
      </c>
      <c r="U1445" t="s">
        <v>29</v>
      </c>
      <c r="V1445" t="str">
        <f>VLOOKUP($R1445,'Mapa Oficinas'!$A$7:$C$46,2,FALSE)</f>
        <v>Interior - Neuquén</v>
      </c>
      <c r="W1445" t="str">
        <f>VLOOKUP($R1445,'Mapa Oficinas'!$A$7:$C$46,3,FALSE)</f>
        <v>San Martín de los Andes</v>
      </c>
    </row>
    <row r="1446" spans="1:23" x14ac:dyDescent="0.2">
      <c r="A1446" s="1">
        <v>45954</v>
      </c>
      <c r="B1446" s="20">
        <f t="shared" si="44"/>
        <v>2025</v>
      </c>
      <c r="C1446" s="20">
        <f t="shared" si="45"/>
        <v>10</v>
      </c>
      <c r="E1446" s="49">
        <v>1</v>
      </c>
      <c r="F1446" t="s">
        <v>4906</v>
      </c>
      <c r="G1446" t="s">
        <v>21</v>
      </c>
      <c r="H1446" t="s">
        <v>37</v>
      </c>
      <c r="I1446" s="13">
        <v>120000</v>
      </c>
      <c r="J1446" s="13">
        <v>120000</v>
      </c>
      <c r="K1446" s="13">
        <f>IF(J1446&lt;'Mapa Oficinas'!$I$21,0,IF(J1446&gt;'Mapa Oficinas'!$I$20,0,1))</f>
        <v>1</v>
      </c>
      <c r="L1446" t="s">
        <v>23</v>
      </c>
      <c r="M1446" t="s">
        <v>23</v>
      </c>
      <c r="N1446" t="s">
        <v>4907</v>
      </c>
      <c r="O1446" t="s">
        <v>1507</v>
      </c>
      <c r="P1446" t="s">
        <v>26</v>
      </c>
      <c r="Q1446">
        <v>1</v>
      </c>
      <c r="R1446" t="s">
        <v>84</v>
      </c>
      <c r="S1446" t="s">
        <v>122</v>
      </c>
      <c r="T1446" t="str">
        <f>VLOOKUP(S1446,'Mapa Oficinas'!$H$7:$I$16,2,FALSE)</f>
        <v>Otra Red Búsqueda</v>
      </c>
      <c r="U1446" t="s">
        <v>29</v>
      </c>
      <c r="V1446" t="str">
        <f>VLOOKUP($R1446,'Mapa Oficinas'!$A$7:$C$46,2,FALSE)</f>
        <v>Interior - Neuquén</v>
      </c>
      <c r="W1446" t="str">
        <f>VLOOKUP($R1446,'Mapa Oficinas'!$A$7:$C$46,3,FALSE)</f>
        <v>Villa La Angostura</v>
      </c>
    </row>
    <row r="1447" spans="1:23" x14ac:dyDescent="0.2">
      <c r="A1447" s="1">
        <v>45665</v>
      </c>
      <c r="B1447" s="20">
        <f t="shared" si="44"/>
        <v>2025</v>
      </c>
      <c r="C1447" s="20">
        <f t="shared" si="45"/>
        <v>1</v>
      </c>
      <c r="D1447" t="s">
        <v>123</v>
      </c>
      <c r="E1447" s="49">
        <v>1</v>
      </c>
      <c r="F1447" t="s">
        <v>124</v>
      </c>
      <c r="G1447" t="s">
        <v>21</v>
      </c>
      <c r="H1447" t="s">
        <v>37</v>
      </c>
      <c r="I1447" s="13">
        <v>125000</v>
      </c>
      <c r="J1447" s="13">
        <v>120000</v>
      </c>
      <c r="K1447" s="13">
        <f>IF(J1447&lt;'Mapa Oficinas'!$I$21,0,IF(J1447&gt;'Mapa Oficinas'!$I$20,0,1))</f>
        <v>1</v>
      </c>
      <c r="L1447" t="s">
        <v>23</v>
      </c>
      <c r="M1447" t="s">
        <v>23</v>
      </c>
      <c r="N1447" t="s">
        <v>125</v>
      </c>
      <c r="O1447" t="s">
        <v>92</v>
      </c>
      <c r="P1447" t="s">
        <v>45</v>
      </c>
      <c r="Q1447">
        <v>2</v>
      </c>
      <c r="R1447" t="s">
        <v>62</v>
      </c>
      <c r="S1447" t="s">
        <v>79</v>
      </c>
      <c r="T1447" t="str">
        <f>VLOOKUP(S1447,'Mapa Oficinas'!$H$7:$I$16,2,FALSE)</f>
        <v>CB</v>
      </c>
      <c r="U1447" t="s">
        <v>29</v>
      </c>
      <c r="V1447" t="str">
        <f>VLOOKUP($R1447,'Mapa Oficinas'!$A$7:$C$46,2,FALSE)</f>
        <v>CABA</v>
      </c>
      <c r="W1447" t="str">
        <f>VLOOKUP($R1447,'Mapa Oficinas'!$A$7:$C$46,3,FALSE)</f>
        <v>Villa Urquiza</v>
      </c>
    </row>
    <row r="1448" spans="1:23" x14ac:dyDescent="0.2">
      <c r="A1448" s="1">
        <v>45709</v>
      </c>
      <c r="B1448" s="20">
        <f t="shared" si="44"/>
        <v>2025</v>
      </c>
      <c r="C1448" s="20">
        <f t="shared" si="45"/>
        <v>2</v>
      </c>
      <c r="D1448" t="s">
        <v>714</v>
      </c>
      <c r="E1448" s="49">
        <v>1</v>
      </c>
      <c r="F1448" t="s">
        <v>715</v>
      </c>
      <c r="G1448" t="s">
        <v>21</v>
      </c>
      <c r="H1448" t="s">
        <v>70</v>
      </c>
      <c r="I1448" s="13">
        <v>140000</v>
      </c>
      <c r="J1448" s="13">
        <v>120000</v>
      </c>
      <c r="K1448" s="13">
        <f>IF(J1448&lt;'Mapa Oficinas'!$I$21,0,IF(J1448&gt;'Mapa Oficinas'!$I$20,0,1))</f>
        <v>1</v>
      </c>
      <c r="L1448" t="s">
        <v>23</v>
      </c>
      <c r="M1448" t="s">
        <v>23</v>
      </c>
      <c r="N1448" t="s">
        <v>716</v>
      </c>
      <c r="O1448" t="s">
        <v>717</v>
      </c>
      <c r="P1448" t="s">
        <v>34</v>
      </c>
      <c r="Q1448">
        <v>2</v>
      </c>
      <c r="R1448" t="s">
        <v>73</v>
      </c>
      <c r="S1448" t="s">
        <v>79</v>
      </c>
      <c r="T1448" t="str">
        <f>VLOOKUP(S1448,'Mapa Oficinas'!$H$7:$I$16,2,FALSE)</f>
        <v>CB</v>
      </c>
      <c r="U1448" t="s">
        <v>29</v>
      </c>
      <c r="V1448" t="str">
        <f>VLOOKUP($R1448,'Mapa Oficinas'!$A$7:$C$46,2,FALSE)</f>
        <v>Interior - Salta</v>
      </c>
      <c r="W1448" t="str">
        <f>VLOOKUP($R1448,'Mapa Oficinas'!$A$7:$C$46,3,FALSE)</f>
        <v>San Lorenzo Chico</v>
      </c>
    </row>
    <row r="1449" spans="1:23" x14ac:dyDescent="0.2">
      <c r="A1449" s="1">
        <v>45717</v>
      </c>
      <c r="B1449" s="20">
        <f t="shared" si="44"/>
        <v>2025</v>
      </c>
      <c r="C1449" s="20">
        <f t="shared" si="45"/>
        <v>3</v>
      </c>
      <c r="D1449" t="s">
        <v>828</v>
      </c>
      <c r="E1449" s="49">
        <v>1</v>
      </c>
      <c r="F1449" t="s">
        <v>829</v>
      </c>
      <c r="G1449" t="s">
        <v>21</v>
      </c>
      <c r="H1449" t="s">
        <v>37</v>
      </c>
      <c r="I1449" s="13">
        <v>119000</v>
      </c>
      <c r="J1449" s="13">
        <v>120000</v>
      </c>
      <c r="K1449" s="13">
        <f>IF(J1449&lt;'Mapa Oficinas'!$I$21,0,IF(J1449&gt;'Mapa Oficinas'!$I$20,0,1))</f>
        <v>1</v>
      </c>
      <c r="L1449" t="s">
        <v>23</v>
      </c>
      <c r="M1449" t="s">
        <v>23</v>
      </c>
      <c r="N1449" t="s">
        <v>830</v>
      </c>
      <c r="O1449" t="s">
        <v>642</v>
      </c>
      <c r="P1449" t="s">
        <v>45</v>
      </c>
      <c r="Q1449">
        <v>2</v>
      </c>
      <c r="R1449" t="s">
        <v>110</v>
      </c>
      <c r="S1449" t="s">
        <v>79</v>
      </c>
      <c r="T1449" t="str">
        <f>VLOOKUP(S1449,'Mapa Oficinas'!$H$7:$I$16,2,FALSE)</f>
        <v>CB</v>
      </c>
      <c r="U1449" t="s">
        <v>29</v>
      </c>
      <c r="V1449" t="str">
        <f>VLOOKUP($R1449,'Mapa Oficinas'!$A$7:$C$46,2,FALSE)</f>
        <v>Zona Norte (GBA)</v>
      </c>
      <c r="W1449" t="str">
        <f>VLOOKUP($R1449,'Mapa Oficinas'!$A$7:$C$46,3,FALSE)</f>
        <v>Nordelta</v>
      </c>
    </row>
    <row r="1450" spans="1:23" x14ac:dyDescent="0.2">
      <c r="A1450" s="1">
        <v>45747</v>
      </c>
      <c r="B1450" s="20">
        <f t="shared" si="44"/>
        <v>2025</v>
      </c>
      <c r="C1450" s="20">
        <f t="shared" si="45"/>
        <v>3</v>
      </c>
      <c r="D1450" t="s">
        <v>1207</v>
      </c>
      <c r="E1450" s="49">
        <v>1</v>
      </c>
      <c r="F1450" t="s">
        <v>1208</v>
      </c>
      <c r="G1450" t="s">
        <v>21</v>
      </c>
      <c r="H1450" t="s">
        <v>37</v>
      </c>
      <c r="I1450" s="13">
        <v>150000</v>
      </c>
      <c r="J1450" s="13">
        <v>120000</v>
      </c>
      <c r="K1450" s="13">
        <f>IF(J1450&lt;'Mapa Oficinas'!$I$21,0,IF(J1450&gt;'Mapa Oficinas'!$I$20,0,1))</f>
        <v>1</v>
      </c>
      <c r="L1450" t="s">
        <v>23</v>
      </c>
      <c r="M1450" t="s">
        <v>23</v>
      </c>
      <c r="N1450" t="s">
        <v>1209</v>
      </c>
      <c r="O1450" t="s">
        <v>1194</v>
      </c>
      <c r="P1450" t="s">
        <v>45</v>
      </c>
      <c r="Q1450">
        <v>2</v>
      </c>
      <c r="R1450" t="s">
        <v>183</v>
      </c>
      <c r="S1450" t="s">
        <v>79</v>
      </c>
      <c r="T1450" t="str">
        <f>VLOOKUP(S1450,'Mapa Oficinas'!$H$7:$I$16,2,FALSE)</f>
        <v>CB</v>
      </c>
      <c r="U1450" t="s">
        <v>29</v>
      </c>
      <c r="V1450" t="str">
        <f>VLOOKUP($R1450,'Mapa Oficinas'!$A$7:$C$46,2,FALSE)</f>
        <v>Interior - Neuquén</v>
      </c>
      <c r="W1450" t="str">
        <f>VLOOKUP($R1450,'Mapa Oficinas'!$A$7:$C$46,3,FALSE)</f>
        <v>Capital Neuquén</v>
      </c>
    </row>
    <row r="1451" spans="1:23" x14ac:dyDescent="0.2">
      <c r="A1451" s="1">
        <v>45754</v>
      </c>
      <c r="B1451" s="20">
        <f t="shared" si="44"/>
        <v>2025</v>
      </c>
      <c r="C1451" s="20">
        <f t="shared" si="45"/>
        <v>4</v>
      </c>
      <c r="D1451" t="s">
        <v>1317</v>
      </c>
      <c r="E1451" s="49">
        <v>1</v>
      </c>
      <c r="F1451" t="s">
        <v>1318</v>
      </c>
      <c r="G1451" t="s">
        <v>21</v>
      </c>
      <c r="H1451" t="s">
        <v>100</v>
      </c>
      <c r="I1451" s="13">
        <v>130000</v>
      </c>
      <c r="J1451" s="13">
        <v>120000</v>
      </c>
      <c r="K1451" s="13">
        <f>IF(J1451&lt;'Mapa Oficinas'!$I$21,0,IF(J1451&gt;'Mapa Oficinas'!$I$20,0,1))</f>
        <v>1</v>
      </c>
      <c r="L1451" t="s">
        <v>23</v>
      </c>
      <c r="M1451" t="s">
        <v>23</v>
      </c>
      <c r="N1451" t="s">
        <v>1319</v>
      </c>
      <c r="O1451" t="s">
        <v>1239</v>
      </c>
      <c r="P1451" t="s">
        <v>34</v>
      </c>
      <c r="Q1451">
        <v>2</v>
      </c>
      <c r="R1451" t="s">
        <v>130</v>
      </c>
      <c r="S1451" t="s">
        <v>79</v>
      </c>
      <c r="T1451" t="str">
        <f>VLOOKUP(S1451,'Mapa Oficinas'!$H$7:$I$16,2,FALSE)</f>
        <v>CB</v>
      </c>
      <c r="U1451" t="s">
        <v>29</v>
      </c>
      <c r="V1451" t="str">
        <f>VLOOKUP($R1451,'Mapa Oficinas'!$A$7:$C$46,2,FALSE)</f>
        <v>Interior - Neuquén</v>
      </c>
      <c r="W1451" t="str">
        <f>VLOOKUP($R1451,'Mapa Oficinas'!$A$7:$C$46,3,FALSE)</f>
        <v>San Martín de los Andes</v>
      </c>
    </row>
    <row r="1452" spans="1:23" x14ac:dyDescent="0.2">
      <c r="A1452" s="1">
        <v>45776</v>
      </c>
      <c r="B1452" s="20">
        <f t="shared" si="44"/>
        <v>2025</v>
      </c>
      <c r="C1452" s="20">
        <f t="shared" si="45"/>
        <v>4</v>
      </c>
      <c r="D1452" t="s">
        <v>1685</v>
      </c>
      <c r="E1452" s="49">
        <v>1</v>
      </c>
      <c r="F1452" t="s">
        <v>1686</v>
      </c>
      <c r="G1452" t="s">
        <v>21</v>
      </c>
      <c r="H1452" t="s">
        <v>100</v>
      </c>
      <c r="I1452" s="13">
        <v>120000</v>
      </c>
      <c r="J1452" s="13">
        <v>120000</v>
      </c>
      <c r="K1452" s="13">
        <f>IF(J1452&lt;'Mapa Oficinas'!$I$21,0,IF(J1452&gt;'Mapa Oficinas'!$I$20,0,1))</f>
        <v>1</v>
      </c>
      <c r="L1452" t="s">
        <v>23</v>
      </c>
      <c r="M1452" t="s">
        <v>23</v>
      </c>
      <c r="N1452" t="s">
        <v>1687</v>
      </c>
      <c r="O1452" t="s">
        <v>1688</v>
      </c>
      <c r="P1452" t="s">
        <v>45</v>
      </c>
      <c r="Q1452">
        <v>2</v>
      </c>
      <c r="R1452" t="s">
        <v>121</v>
      </c>
      <c r="S1452" t="s">
        <v>79</v>
      </c>
      <c r="T1452" t="str">
        <f>VLOOKUP(S1452,'Mapa Oficinas'!$H$7:$I$16,2,FALSE)</f>
        <v>CB</v>
      </c>
      <c r="U1452" t="s">
        <v>29</v>
      </c>
      <c r="V1452" t="str">
        <f>VLOOKUP($R1452,'Mapa Oficinas'!$A$7:$C$46,2,FALSE)</f>
        <v>Interior - Río Negro</v>
      </c>
      <c r="W1452" t="str">
        <f>VLOOKUP($R1452,'Mapa Oficinas'!$A$7:$C$46,3,FALSE)</f>
        <v>Bariloche</v>
      </c>
    </row>
    <row r="1453" spans="1:23" x14ac:dyDescent="0.2">
      <c r="A1453" s="1">
        <v>45832</v>
      </c>
      <c r="B1453" s="20">
        <f t="shared" si="44"/>
        <v>2025</v>
      </c>
      <c r="C1453" s="20">
        <f t="shared" si="45"/>
        <v>6</v>
      </c>
      <c r="E1453" s="49">
        <v>1</v>
      </c>
      <c r="F1453" t="s">
        <v>2613</v>
      </c>
      <c r="G1453" t="s">
        <v>21</v>
      </c>
      <c r="H1453" t="s">
        <v>22</v>
      </c>
      <c r="I1453" s="13">
        <v>120000</v>
      </c>
      <c r="J1453" s="13">
        <v>120000</v>
      </c>
      <c r="K1453" s="13">
        <f>IF(J1453&lt;'Mapa Oficinas'!$I$21,0,IF(J1453&gt;'Mapa Oficinas'!$I$20,0,1))</f>
        <v>1</v>
      </c>
      <c r="L1453" t="s">
        <v>23</v>
      </c>
      <c r="M1453" t="s">
        <v>23</v>
      </c>
      <c r="N1453" t="s">
        <v>2614</v>
      </c>
      <c r="O1453" t="s">
        <v>83</v>
      </c>
      <c r="P1453" t="s">
        <v>45</v>
      </c>
      <c r="Q1453">
        <v>2</v>
      </c>
      <c r="R1453" t="s">
        <v>84</v>
      </c>
      <c r="S1453" t="s">
        <v>79</v>
      </c>
      <c r="T1453" t="str">
        <f>VLOOKUP(S1453,'Mapa Oficinas'!$H$7:$I$16,2,FALSE)</f>
        <v>CB</v>
      </c>
      <c r="U1453" t="s">
        <v>29</v>
      </c>
      <c r="V1453" t="str">
        <f>VLOOKUP($R1453,'Mapa Oficinas'!$A$7:$C$46,2,FALSE)</f>
        <v>Interior - Neuquén</v>
      </c>
      <c r="W1453" t="str">
        <f>VLOOKUP($R1453,'Mapa Oficinas'!$A$7:$C$46,3,FALSE)</f>
        <v>Villa La Angostura</v>
      </c>
    </row>
    <row r="1454" spans="1:23" x14ac:dyDescent="0.2">
      <c r="A1454" s="1">
        <v>45915</v>
      </c>
      <c r="B1454" s="20">
        <f t="shared" si="44"/>
        <v>2025</v>
      </c>
      <c r="C1454" s="20">
        <f t="shared" si="45"/>
        <v>9</v>
      </c>
      <c r="D1454" t="s">
        <v>4158</v>
      </c>
      <c r="E1454" s="49">
        <v>1</v>
      </c>
      <c r="F1454" t="s">
        <v>4159</v>
      </c>
      <c r="G1454" t="s">
        <v>21</v>
      </c>
      <c r="H1454" t="s">
        <v>37</v>
      </c>
      <c r="I1454" s="13">
        <v>120000</v>
      </c>
      <c r="J1454" s="13">
        <v>120000</v>
      </c>
      <c r="K1454" s="13">
        <f>IF(J1454&lt;'Mapa Oficinas'!$I$21,0,IF(J1454&gt;'Mapa Oficinas'!$I$20,0,1))</f>
        <v>1</v>
      </c>
      <c r="L1454" t="s">
        <v>23</v>
      </c>
      <c r="M1454" t="s">
        <v>23</v>
      </c>
      <c r="N1454" t="s">
        <v>4160</v>
      </c>
      <c r="O1454" t="s">
        <v>50</v>
      </c>
      <c r="P1454" t="s">
        <v>45</v>
      </c>
      <c r="Q1454">
        <v>2</v>
      </c>
      <c r="R1454" t="s">
        <v>110</v>
      </c>
      <c r="S1454" t="s">
        <v>79</v>
      </c>
      <c r="T1454" t="str">
        <f>VLOOKUP(S1454,'Mapa Oficinas'!$H$7:$I$16,2,FALSE)</f>
        <v>CB</v>
      </c>
      <c r="U1454" t="s">
        <v>29</v>
      </c>
      <c r="V1454" t="str">
        <f>VLOOKUP($R1454,'Mapa Oficinas'!$A$7:$C$46,2,FALSE)</f>
        <v>Zona Norte (GBA)</v>
      </c>
      <c r="W1454" t="str">
        <f>VLOOKUP($R1454,'Mapa Oficinas'!$A$7:$C$46,3,FALSE)</f>
        <v>Nordelta</v>
      </c>
    </row>
    <row r="1455" spans="1:23" x14ac:dyDescent="0.2">
      <c r="A1455" s="1">
        <v>46044</v>
      </c>
      <c r="B1455" s="20">
        <f t="shared" si="44"/>
        <v>2026</v>
      </c>
      <c r="C1455" s="20">
        <f t="shared" si="45"/>
        <v>1</v>
      </c>
      <c r="D1455" t="s">
        <v>6369</v>
      </c>
      <c r="E1455" s="49">
        <v>1</v>
      </c>
      <c r="F1455" t="s">
        <v>6370</v>
      </c>
      <c r="G1455" t="s">
        <v>21</v>
      </c>
      <c r="H1455" t="s">
        <v>37</v>
      </c>
      <c r="I1455" s="13">
        <v>129999</v>
      </c>
      <c r="J1455" s="13">
        <v>120000</v>
      </c>
      <c r="K1455" s="13">
        <f>IF(J1455&lt;'Mapa Oficinas'!$I$21,0,IF(J1455&gt;'Mapa Oficinas'!$I$20,0,1))</f>
        <v>1</v>
      </c>
      <c r="L1455" t="s">
        <v>23</v>
      </c>
      <c r="M1455" t="s">
        <v>23</v>
      </c>
      <c r="N1455" t="s">
        <v>6371</v>
      </c>
      <c r="O1455" t="s">
        <v>190</v>
      </c>
      <c r="P1455" t="s">
        <v>45</v>
      </c>
      <c r="Q1455">
        <v>2</v>
      </c>
      <c r="R1455" t="s">
        <v>56</v>
      </c>
      <c r="S1455" t="s">
        <v>79</v>
      </c>
      <c r="T1455" t="str">
        <f>VLOOKUP(S1455,'Mapa Oficinas'!$H$7:$I$16,2,FALSE)</f>
        <v>CB</v>
      </c>
      <c r="U1455" t="s">
        <v>29</v>
      </c>
      <c r="V1455" t="str">
        <f>VLOOKUP($R1455,'Mapa Oficinas'!$A$7:$C$46,2,FALSE)</f>
        <v>Zona Norte (GBA)</v>
      </c>
      <c r="W1455" t="str">
        <f>VLOOKUP($R1455,'Mapa Oficinas'!$A$7:$C$46,3,FALSE)</f>
        <v>Vicente López</v>
      </c>
    </row>
    <row r="1456" spans="1:23" x14ac:dyDescent="0.2">
      <c r="A1456" s="1">
        <v>45797</v>
      </c>
      <c r="B1456" s="20">
        <f t="shared" si="44"/>
        <v>2025</v>
      </c>
      <c r="C1456" s="20">
        <f t="shared" si="45"/>
        <v>5</v>
      </c>
      <c r="D1456">
        <v>10397</v>
      </c>
      <c r="E1456" s="49">
        <v>1</v>
      </c>
      <c r="F1456" t="s">
        <v>2038</v>
      </c>
      <c r="G1456" t="s">
        <v>21</v>
      </c>
      <c r="H1456" t="s">
        <v>37</v>
      </c>
      <c r="I1456" s="13">
        <v>0</v>
      </c>
      <c r="J1456" s="13">
        <v>120000</v>
      </c>
      <c r="K1456" s="13">
        <f>IF(J1456&lt;'Mapa Oficinas'!$I$21,0,IF(J1456&gt;'Mapa Oficinas'!$I$20,0,1))</f>
        <v>1</v>
      </c>
      <c r="L1456" t="s">
        <v>23</v>
      </c>
      <c r="M1456" t="s">
        <v>23</v>
      </c>
      <c r="O1456" t="s">
        <v>141</v>
      </c>
      <c r="P1456" t="s">
        <v>45</v>
      </c>
      <c r="Q1456">
        <v>1</v>
      </c>
      <c r="R1456" t="s">
        <v>67</v>
      </c>
      <c r="S1456" t="s">
        <v>47</v>
      </c>
      <c r="T1456" t="str">
        <f>VLOOKUP(S1456,'Mapa Oficinas'!$H$7:$I$16,2,FALSE)</f>
        <v>Otra Red Búsqueda</v>
      </c>
      <c r="U1456" t="s">
        <v>29</v>
      </c>
      <c r="V1456" t="str">
        <f>VLOOKUP($R1456,'Mapa Oficinas'!$A$7:$C$46,2,FALSE)</f>
        <v>CABA</v>
      </c>
      <c r="W1456" t="str">
        <f>VLOOKUP($R1456,'Mapa Oficinas'!$A$7:$C$46,3,FALSE)</f>
        <v>Barrio Parque</v>
      </c>
    </row>
    <row r="1457" spans="1:23" x14ac:dyDescent="0.2">
      <c r="A1457" s="1">
        <v>45831</v>
      </c>
      <c r="B1457" s="20">
        <f t="shared" si="44"/>
        <v>2025</v>
      </c>
      <c r="C1457" s="20">
        <f t="shared" si="45"/>
        <v>6</v>
      </c>
      <c r="E1457" s="49">
        <v>1</v>
      </c>
      <c r="F1457" t="s">
        <v>2587</v>
      </c>
      <c r="G1457" t="s">
        <v>21</v>
      </c>
      <c r="H1457" t="s">
        <v>37</v>
      </c>
      <c r="I1457" s="13">
        <v>120000</v>
      </c>
      <c r="J1457" s="13">
        <v>120000</v>
      </c>
      <c r="K1457" s="13">
        <f>IF(J1457&lt;'Mapa Oficinas'!$I$21,0,IF(J1457&gt;'Mapa Oficinas'!$I$20,0,1))</f>
        <v>1</v>
      </c>
      <c r="L1457" t="s">
        <v>23</v>
      </c>
      <c r="M1457" t="s">
        <v>23</v>
      </c>
      <c r="N1457" t="s">
        <v>2588</v>
      </c>
      <c r="O1457" t="s">
        <v>797</v>
      </c>
      <c r="P1457" t="s">
        <v>45</v>
      </c>
      <c r="Q1457">
        <v>1</v>
      </c>
      <c r="R1457" t="s">
        <v>135</v>
      </c>
      <c r="S1457" t="s">
        <v>47</v>
      </c>
      <c r="T1457" t="str">
        <f>VLOOKUP(S1457,'Mapa Oficinas'!$H$7:$I$16,2,FALSE)</f>
        <v>Otra Red Búsqueda</v>
      </c>
      <c r="U1457" t="s">
        <v>29</v>
      </c>
      <c r="V1457" t="str">
        <f>VLOOKUP($R1457,'Mapa Oficinas'!$A$7:$C$46,2,FALSE)</f>
        <v>CABA</v>
      </c>
      <c r="W1457" t="str">
        <f>VLOOKUP($R1457,'Mapa Oficinas'!$A$7:$C$46,3,FALSE)</f>
        <v>Recoleta</v>
      </c>
    </row>
    <row r="1458" spans="1:23" x14ac:dyDescent="0.2">
      <c r="A1458" s="1">
        <v>45876</v>
      </c>
      <c r="B1458" s="20">
        <f t="shared" si="44"/>
        <v>2025</v>
      </c>
      <c r="C1458" s="20">
        <f t="shared" si="45"/>
        <v>8</v>
      </c>
      <c r="E1458" s="49">
        <v>1</v>
      </c>
      <c r="F1458" t="s">
        <v>3463</v>
      </c>
      <c r="G1458" t="s">
        <v>21</v>
      </c>
      <c r="H1458" t="s">
        <v>37</v>
      </c>
      <c r="I1458" s="13">
        <v>12000</v>
      </c>
      <c r="J1458" s="13">
        <v>120000</v>
      </c>
      <c r="K1458" s="13">
        <f>IF(J1458&lt;'Mapa Oficinas'!$I$21,0,IF(J1458&gt;'Mapa Oficinas'!$I$20,0,1))</f>
        <v>1</v>
      </c>
      <c r="L1458" t="s">
        <v>23</v>
      </c>
      <c r="M1458" t="s">
        <v>23</v>
      </c>
      <c r="N1458" t="s">
        <v>3464</v>
      </c>
      <c r="O1458" t="s">
        <v>1774</v>
      </c>
      <c r="P1458" t="s">
        <v>45</v>
      </c>
      <c r="Q1458">
        <v>1</v>
      </c>
      <c r="R1458" t="s">
        <v>135</v>
      </c>
      <c r="S1458" t="s">
        <v>47</v>
      </c>
      <c r="T1458" t="str">
        <f>VLOOKUP(S1458,'Mapa Oficinas'!$H$7:$I$16,2,FALSE)</f>
        <v>Otra Red Búsqueda</v>
      </c>
      <c r="U1458" t="s">
        <v>29</v>
      </c>
      <c r="V1458" t="str">
        <f>VLOOKUP($R1458,'Mapa Oficinas'!$A$7:$C$46,2,FALSE)</f>
        <v>CABA</v>
      </c>
      <c r="W1458" t="str">
        <f>VLOOKUP($R1458,'Mapa Oficinas'!$A$7:$C$46,3,FALSE)</f>
        <v>Recoleta</v>
      </c>
    </row>
    <row r="1459" spans="1:23" x14ac:dyDescent="0.2">
      <c r="A1459" s="1">
        <v>45887</v>
      </c>
      <c r="B1459" s="20">
        <f t="shared" si="44"/>
        <v>2025</v>
      </c>
      <c r="C1459" s="20">
        <f t="shared" si="45"/>
        <v>8</v>
      </c>
      <c r="D1459">
        <v>10495</v>
      </c>
      <c r="E1459" s="49">
        <v>1</v>
      </c>
      <c r="F1459" t="s">
        <v>3620</v>
      </c>
      <c r="G1459" t="s">
        <v>21</v>
      </c>
      <c r="H1459" t="s">
        <v>37</v>
      </c>
      <c r="I1459" s="13">
        <v>0</v>
      </c>
      <c r="J1459" s="13">
        <v>120000</v>
      </c>
      <c r="K1459" s="13">
        <f>IF(J1459&lt;'Mapa Oficinas'!$I$21,0,IF(J1459&gt;'Mapa Oficinas'!$I$20,0,1))</f>
        <v>1</v>
      </c>
      <c r="L1459" t="s">
        <v>23</v>
      </c>
      <c r="M1459" t="s">
        <v>23</v>
      </c>
      <c r="O1459" t="s">
        <v>634</v>
      </c>
      <c r="P1459" t="s">
        <v>45</v>
      </c>
      <c r="Q1459">
        <v>1</v>
      </c>
      <c r="R1459" t="s">
        <v>67</v>
      </c>
      <c r="S1459" t="s">
        <v>47</v>
      </c>
      <c r="T1459" t="str">
        <f>VLOOKUP(S1459,'Mapa Oficinas'!$H$7:$I$16,2,FALSE)</f>
        <v>Otra Red Búsqueda</v>
      </c>
      <c r="U1459" t="s">
        <v>29</v>
      </c>
      <c r="V1459" t="str">
        <f>VLOOKUP($R1459,'Mapa Oficinas'!$A$7:$C$46,2,FALSE)</f>
        <v>CABA</v>
      </c>
      <c r="W1459" t="str">
        <f>VLOOKUP($R1459,'Mapa Oficinas'!$A$7:$C$46,3,FALSE)</f>
        <v>Barrio Parque</v>
      </c>
    </row>
    <row r="1460" spans="1:23" x14ac:dyDescent="0.2">
      <c r="A1460" s="1">
        <v>45897</v>
      </c>
      <c r="B1460" s="20">
        <f t="shared" si="44"/>
        <v>2025</v>
      </c>
      <c r="C1460" s="20">
        <f t="shared" si="45"/>
        <v>8</v>
      </c>
      <c r="D1460" t="s">
        <v>3836</v>
      </c>
      <c r="E1460" s="49">
        <v>1</v>
      </c>
      <c r="F1460" t="s">
        <v>3836</v>
      </c>
      <c r="G1460" t="s">
        <v>21</v>
      </c>
      <c r="H1460" t="s">
        <v>37</v>
      </c>
      <c r="I1460" s="13">
        <v>120000</v>
      </c>
      <c r="J1460" s="13">
        <v>120000</v>
      </c>
      <c r="K1460" s="13">
        <f>IF(J1460&lt;'Mapa Oficinas'!$I$21,0,IF(J1460&gt;'Mapa Oficinas'!$I$20,0,1))</f>
        <v>1</v>
      </c>
      <c r="L1460" t="s">
        <v>23</v>
      </c>
      <c r="M1460" t="s">
        <v>23</v>
      </c>
      <c r="N1460" t="s">
        <v>3836</v>
      </c>
      <c r="O1460" t="s">
        <v>2865</v>
      </c>
      <c r="P1460" t="s">
        <v>45</v>
      </c>
      <c r="Q1460">
        <v>1</v>
      </c>
      <c r="R1460" t="s">
        <v>46</v>
      </c>
      <c r="S1460" t="s">
        <v>47</v>
      </c>
      <c r="T1460" t="str">
        <f>VLOOKUP(S1460,'Mapa Oficinas'!$H$7:$I$16,2,FALSE)</f>
        <v>Otra Red Búsqueda</v>
      </c>
      <c r="U1460" t="s">
        <v>29</v>
      </c>
      <c r="V1460" t="str">
        <f>VLOOKUP($R1460,'Mapa Oficinas'!$A$7:$C$46,2,FALSE)</f>
        <v>CABA</v>
      </c>
      <c r="W1460" t="str">
        <f>VLOOKUP($R1460,'Mapa Oficinas'!$A$7:$C$46,3,FALSE)</f>
        <v>Palermo</v>
      </c>
    </row>
    <row r="1461" spans="1:23" x14ac:dyDescent="0.2">
      <c r="A1461" s="1">
        <v>45744</v>
      </c>
      <c r="B1461" s="20">
        <f t="shared" si="44"/>
        <v>2025</v>
      </c>
      <c r="C1461" s="20">
        <f t="shared" si="45"/>
        <v>3</v>
      </c>
      <c r="D1461" t="s">
        <v>1167</v>
      </c>
      <c r="E1461" s="49">
        <v>1</v>
      </c>
      <c r="F1461" t="s">
        <v>1168</v>
      </c>
      <c r="G1461" t="s">
        <v>21</v>
      </c>
      <c r="H1461" t="s">
        <v>37</v>
      </c>
      <c r="I1461" s="13">
        <v>130000</v>
      </c>
      <c r="J1461" s="13">
        <v>120000</v>
      </c>
      <c r="K1461" s="13">
        <f>IF(J1461&lt;'Mapa Oficinas'!$I$21,0,IF(J1461&gt;'Mapa Oficinas'!$I$20,0,1))</f>
        <v>1</v>
      </c>
      <c r="L1461" t="s">
        <v>23</v>
      </c>
      <c r="M1461" t="s">
        <v>23</v>
      </c>
      <c r="N1461" t="s">
        <v>1169</v>
      </c>
      <c r="O1461" t="s">
        <v>642</v>
      </c>
      <c r="P1461" t="s">
        <v>45</v>
      </c>
      <c r="Q1461">
        <v>2</v>
      </c>
      <c r="R1461" t="s">
        <v>110</v>
      </c>
      <c r="S1461" t="s">
        <v>200</v>
      </c>
      <c r="T1461" t="str">
        <f>VLOOKUP(S1461,'Mapa Oficinas'!$H$7:$I$16,2,FALSE)</f>
        <v>Otra Red Captación</v>
      </c>
      <c r="U1461" t="s">
        <v>29</v>
      </c>
      <c r="V1461" t="str">
        <f>VLOOKUP($R1461,'Mapa Oficinas'!$A$7:$C$46,2,FALSE)</f>
        <v>Zona Norte (GBA)</v>
      </c>
      <c r="W1461" t="str">
        <f>VLOOKUP($R1461,'Mapa Oficinas'!$A$7:$C$46,3,FALSE)</f>
        <v>Nordelta</v>
      </c>
    </row>
    <row r="1462" spans="1:23" x14ac:dyDescent="0.2">
      <c r="A1462" s="1">
        <v>45826</v>
      </c>
      <c r="B1462" s="20">
        <f t="shared" si="44"/>
        <v>2025</v>
      </c>
      <c r="C1462" s="20">
        <f t="shared" si="45"/>
        <v>6</v>
      </c>
      <c r="D1462" t="s">
        <v>2548</v>
      </c>
      <c r="E1462" s="49">
        <v>1</v>
      </c>
      <c r="F1462" t="s">
        <v>2549</v>
      </c>
      <c r="G1462" t="s">
        <v>21</v>
      </c>
      <c r="H1462" t="s">
        <v>37</v>
      </c>
      <c r="I1462" s="13">
        <v>45000</v>
      </c>
      <c r="J1462" s="13">
        <v>120000</v>
      </c>
      <c r="K1462" s="13">
        <f>IF(J1462&lt;'Mapa Oficinas'!$I$21,0,IF(J1462&gt;'Mapa Oficinas'!$I$20,0,1))</f>
        <v>1</v>
      </c>
      <c r="L1462" t="s">
        <v>23</v>
      </c>
      <c r="M1462" t="s">
        <v>1927</v>
      </c>
      <c r="N1462" t="s">
        <v>2550</v>
      </c>
      <c r="O1462" t="s">
        <v>2194</v>
      </c>
      <c r="P1462" t="s">
        <v>14</v>
      </c>
      <c r="Q1462">
        <v>2</v>
      </c>
      <c r="R1462" t="s">
        <v>110</v>
      </c>
      <c r="S1462" t="s">
        <v>200</v>
      </c>
      <c r="T1462" t="str">
        <f>VLOOKUP(S1462,'Mapa Oficinas'!$H$7:$I$16,2,FALSE)</f>
        <v>Otra Red Captación</v>
      </c>
      <c r="U1462" t="s">
        <v>29</v>
      </c>
      <c r="V1462" t="str">
        <f>VLOOKUP($R1462,'Mapa Oficinas'!$A$7:$C$46,2,FALSE)</f>
        <v>Zona Norte (GBA)</v>
      </c>
      <c r="W1462" t="str">
        <f>VLOOKUP($R1462,'Mapa Oficinas'!$A$7:$C$46,3,FALSE)</f>
        <v>Nordelta</v>
      </c>
    </row>
    <row r="1463" spans="1:23" x14ac:dyDescent="0.2">
      <c r="A1463" s="1">
        <v>45943</v>
      </c>
      <c r="B1463" s="20">
        <f t="shared" si="44"/>
        <v>2025</v>
      </c>
      <c r="C1463" s="20">
        <f t="shared" si="45"/>
        <v>10</v>
      </c>
      <c r="D1463" t="s">
        <v>4637</v>
      </c>
      <c r="E1463" s="49">
        <v>1</v>
      </c>
      <c r="F1463" t="s">
        <v>4638</v>
      </c>
      <c r="G1463" t="s">
        <v>21</v>
      </c>
      <c r="H1463" t="s">
        <v>76</v>
      </c>
      <c r="I1463" s="13">
        <v>128000</v>
      </c>
      <c r="J1463" s="13">
        <v>120000</v>
      </c>
      <c r="K1463" s="13">
        <f>IF(J1463&lt;'Mapa Oficinas'!$I$21,0,IF(J1463&gt;'Mapa Oficinas'!$I$20,0,1))</f>
        <v>1</v>
      </c>
      <c r="L1463" t="s">
        <v>23</v>
      </c>
      <c r="M1463" t="s">
        <v>23</v>
      </c>
      <c r="N1463" t="s">
        <v>4639</v>
      </c>
      <c r="O1463" t="s">
        <v>4640</v>
      </c>
      <c r="P1463" t="s">
        <v>61</v>
      </c>
      <c r="Q1463">
        <v>2</v>
      </c>
      <c r="R1463" t="s">
        <v>823</v>
      </c>
      <c r="S1463" t="s">
        <v>200</v>
      </c>
      <c r="T1463" t="str">
        <f>VLOOKUP(S1463,'Mapa Oficinas'!$H$7:$I$16,2,FALSE)</f>
        <v>Otra Red Captación</v>
      </c>
      <c r="U1463" t="s">
        <v>29</v>
      </c>
      <c r="V1463" t="str">
        <f>VLOOKUP($R1463,'Mapa Oficinas'!$A$7:$C$46,2,FALSE)</f>
        <v>Zona Norte (GBA)</v>
      </c>
      <c r="W1463" t="str">
        <f>VLOOKUP($R1463,'Mapa Oficinas'!$A$7:$C$46,3,FALSE)</f>
        <v>Pilar</v>
      </c>
    </row>
    <row r="1464" spans="1:23" x14ac:dyDescent="0.2">
      <c r="A1464" s="1">
        <v>45947</v>
      </c>
      <c r="B1464" s="20">
        <f t="shared" si="44"/>
        <v>2025</v>
      </c>
      <c r="C1464" s="20">
        <f t="shared" si="45"/>
        <v>10</v>
      </c>
      <c r="D1464" t="s">
        <v>4766</v>
      </c>
      <c r="E1464" s="49">
        <v>1</v>
      </c>
      <c r="F1464" t="s">
        <v>4767</v>
      </c>
      <c r="G1464" t="s">
        <v>21</v>
      </c>
      <c r="H1464" t="s">
        <v>37</v>
      </c>
      <c r="I1464" s="13">
        <v>130000</v>
      </c>
      <c r="J1464" s="13">
        <v>120000</v>
      </c>
      <c r="K1464" s="13">
        <f>IF(J1464&lt;'Mapa Oficinas'!$I$21,0,IF(J1464&gt;'Mapa Oficinas'!$I$20,0,1))</f>
        <v>1</v>
      </c>
      <c r="L1464" t="s">
        <v>23</v>
      </c>
      <c r="M1464" t="s">
        <v>23</v>
      </c>
      <c r="N1464" t="s">
        <v>4768</v>
      </c>
      <c r="O1464" t="s">
        <v>2194</v>
      </c>
      <c r="P1464" t="s">
        <v>45</v>
      </c>
      <c r="Q1464">
        <v>2</v>
      </c>
      <c r="R1464" t="s">
        <v>67</v>
      </c>
      <c r="S1464" t="s">
        <v>200</v>
      </c>
      <c r="T1464" t="str">
        <f>VLOOKUP(S1464,'Mapa Oficinas'!$H$7:$I$16,2,FALSE)</f>
        <v>Otra Red Captación</v>
      </c>
      <c r="U1464" t="s">
        <v>29</v>
      </c>
      <c r="V1464" t="str">
        <f>VLOOKUP($R1464,'Mapa Oficinas'!$A$7:$C$46,2,FALSE)</f>
        <v>CABA</v>
      </c>
      <c r="W1464" t="str">
        <f>VLOOKUP($R1464,'Mapa Oficinas'!$A$7:$C$46,3,FALSE)</f>
        <v>Barrio Parque</v>
      </c>
    </row>
    <row r="1465" spans="1:23" x14ac:dyDescent="0.2">
      <c r="A1465" s="1">
        <v>46015</v>
      </c>
      <c r="B1465" s="20">
        <f t="shared" si="44"/>
        <v>2025</v>
      </c>
      <c r="C1465" s="20">
        <f t="shared" si="45"/>
        <v>12</v>
      </c>
      <c r="D1465" t="s">
        <v>6002</v>
      </c>
      <c r="E1465" s="49">
        <v>1</v>
      </c>
      <c r="F1465" t="s">
        <v>6003</v>
      </c>
      <c r="G1465" t="s">
        <v>21</v>
      </c>
      <c r="H1465" t="s">
        <v>37</v>
      </c>
      <c r="I1465" s="13">
        <v>129000</v>
      </c>
      <c r="J1465" s="13">
        <v>120000</v>
      </c>
      <c r="K1465" s="13">
        <f>IF(J1465&lt;'Mapa Oficinas'!$I$21,0,IF(J1465&gt;'Mapa Oficinas'!$I$20,0,1))</f>
        <v>1</v>
      </c>
      <c r="L1465" t="s">
        <v>23</v>
      </c>
      <c r="M1465" t="s">
        <v>23</v>
      </c>
      <c r="N1465" t="s">
        <v>6004</v>
      </c>
      <c r="O1465" t="s">
        <v>634</v>
      </c>
      <c r="P1465" t="s">
        <v>45</v>
      </c>
      <c r="Q1465">
        <v>2</v>
      </c>
      <c r="R1465" t="s">
        <v>46</v>
      </c>
      <c r="S1465" t="s">
        <v>200</v>
      </c>
      <c r="T1465" t="str">
        <f>VLOOKUP(S1465,'Mapa Oficinas'!$H$7:$I$16,2,FALSE)</f>
        <v>Otra Red Captación</v>
      </c>
      <c r="U1465" t="s">
        <v>29</v>
      </c>
      <c r="V1465" t="str">
        <f>VLOOKUP($R1465,'Mapa Oficinas'!$A$7:$C$46,2,FALSE)</f>
        <v>CABA</v>
      </c>
      <c r="W1465" t="str">
        <f>VLOOKUP($R1465,'Mapa Oficinas'!$A$7:$C$46,3,FALSE)</f>
        <v>Palermo</v>
      </c>
    </row>
    <row r="1466" spans="1:23" x14ac:dyDescent="0.2">
      <c r="A1466" s="1">
        <v>46065</v>
      </c>
      <c r="B1466" s="20">
        <f t="shared" si="44"/>
        <v>2026</v>
      </c>
      <c r="C1466" s="20">
        <f t="shared" si="45"/>
        <v>2</v>
      </c>
      <c r="D1466" t="s">
        <v>6674</v>
      </c>
      <c r="E1466" s="49">
        <v>1</v>
      </c>
      <c r="F1466" t="s">
        <v>6675</v>
      </c>
      <c r="G1466" t="s">
        <v>21</v>
      </c>
      <c r="H1466" t="s">
        <v>37</v>
      </c>
      <c r="I1466" s="13">
        <v>125000</v>
      </c>
      <c r="J1466" s="13">
        <v>120000</v>
      </c>
      <c r="K1466" s="13">
        <f>IF(J1466&lt;'Mapa Oficinas'!$I$21,0,IF(J1466&gt;'Mapa Oficinas'!$I$20,0,1))</f>
        <v>1</v>
      </c>
      <c r="L1466" t="s">
        <v>23</v>
      </c>
      <c r="M1466" t="s">
        <v>23</v>
      </c>
      <c r="N1466" t="s">
        <v>6676</v>
      </c>
      <c r="O1466" t="s">
        <v>141</v>
      </c>
      <c r="P1466" t="s">
        <v>45</v>
      </c>
      <c r="Q1466">
        <v>2</v>
      </c>
      <c r="R1466" t="s">
        <v>670</v>
      </c>
      <c r="S1466" t="s">
        <v>200</v>
      </c>
      <c r="T1466" t="str">
        <f>VLOOKUP(S1466,'Mapa Oficinas'!$H$7:$I$16,2,FALSE)</f>
        <v>Otra Red Captación</v>
      </c>
      <c r="U1466" t="s">
        <v>29</v>
      </c>
      <c r="V1466" t="str">
        <f>VLOOKUP($R1466,'Mapa Oficinas'!$A$7:$C$46,2,FALSE)</f>
        <v>CABA</v>
      </c>
      <c r="W1466" t="str">
        <f>VLOOKUP($R1466,'Mapa Oficinas'!$A$7:$C$46,3,FALSE)</f>
        <v>Recoleta</v>
      </c>
    </row>
    <row r="1467" spans="1:23" x14ac:dyDescent="0.2">
      <c r="A1467" s="1">
        <v>45772</v>
      </c>
      <c r="B1467" s="20">
        <f t="shared" si="44"/>
        <v>2025</v>
      </c>
      <c r="C1467" s="20">
        <f t="shared" si="45"/>
        <v>4</v>
      </c>
      <c r="D1467" t="s">
        <v>1630</v>
      </c>
      <c r="E1467" s="49">
        <v>3</v>
      </c>
      <c r="F1467" t="s">
        <v>1631</v>
      </c>
      <c r="G1467" t="s">
        <v>21</v>
      </c>
      <c r="H1467" t="s">
        <v>76</v>
      </c>
      <c r="I1467" s="13">
        <v>110000</v>
      </c>
      <c r="J1467" s="13">
        <v>120000</v>
      </c>
      <c r="K1467" s="13">
        <f>IF(J1467&lt;'Mapa Oficinas'!$I$21,0,IF(J1467&gt;'Mapa Oficinas'!$I$20,0,1))</f>
        <v>1</v>
      </c>
      <c r="L1467" t="s">
        <v>23</v>
      </c>
      <c r="M1467" t="s">
        <v>23</v>
      </c>
      <c r="N1467" t="s">
        <v>1632</v>
      </c>
      <c r="O1467" t="s">
        <v>92</v>
      </c>
      <c r="P1467" t="s">
        <v>45</v>
      </c>
      <c r="Q1467">
        <v>2</v>
      </c>
      <c r="R1467" t="s">
        <v>257</v>
      </c>
      <c r="S1467" t="s">
        <v>232</v>
      </c>
      <c r="T1467" t="str">
        <f>VLOOKUP(S1467,'Mapa Oficinas'!$H$7:$I$16,2,FALSE)</f>
        <v>CB</v>
      </c>
      <c r="U1467" t="s">
        <v>29</v>
      </c>
      <c r="V1467" t="str">
        <f>VLOOKUP($R1467,'Mapa Oficinas'!$A$7:$C$46,2,FALSE)</f>
        <v>Zona Norte (GBA)</v>
      </c>
      <c r="W1467" t="str">
        <f>VLOOKUP($R1467,'Mapa Oficinas'!$A$7:$C$46,3,FALSE)</f>
        <v>Pilar</v>
      </c>
    </row>
    <row r="1468" spans="1:23" x14ac:dyDescent="0.2">
      <c r="A1468" s="1">
        <v>45791</v>
      </c>
      <c r="B1468" s="20">
        <f t="shared" si="44"/>
        <v>2025</v>
      </c>
      <c r="C1468" s="20">
        <f t="shared" si="45"/>
        <v>5</v>
      </c>
      <c r="D1468" t="s">
        <v>1930</v>
      </c>
      <c r="E1468" s="49">
        <v>3</v>
      </c>
      <c r="F1468" t="s">
        <v>1931</v>
      </c>
      <c r="G1468" t="s">
        <v>21</v>
      </c>
      <c r="H1468" t="s">
        <v>76</v>
      </c>
      <c r="I1468" s="13">
        <v>120000</v>
      </c>
      <c r="J1468" s="13">
        <v>120000</v>
      </c>
      <c r="K1468" s="13">
        <f>IF(J1468&lt;'Mapa Oficinas'!$I$21,0,IF(J1468&gt;'Mapa Oficinas'!$I$20,0,1))</f>
        <v>1</v>
      </c>
      <c r="L1468" t="s">
        <v>23</v>
      </c>
      <c r="M1468" t="s">
        <v>23</v>
      </c>
      <c r="N1468" t="s">
        <v>1932</v>
      </c>
      <c r="O1468" t="s">
        <v>1239</v>
      </c>
      <c r="P1468" t="s">
        <v>26</v>
      </c>
      <c r="Q1468">
        <v>2</v>
      </c>
      <c r="R1468" t="s">
        <v>130</v>
      </c>
      <c r="S1468" t="s">
        <v>241</v>
      </c>
      <c r="T1468" t="str">
        <f>VLOOKUP(S1468,'Mapa Oficinas'!$H$7:$I$16,2,FALSE)</f>
        <v>CB</v>
      </c>
      <c r="U1468" t="s">
        <v>29</v>
      </c>
      <c r="V1468" t="str">
        <f>VLOOKUP($R1468,'Mapa Oficinas'!$A$7:$C$46,2,FALSE)</f>
        <v>Interior - Neuquén</v>
      </c>
      <c r="W1468" t="str">
        <f>VLOOKUP($R1468,'Mapa Oficinas'!$A$7:$C$46,3,FALSE)</f>
        <v>San Martín de los Andes</v>
      </c>
    </row>
    <row r="1469" spans="1:23" x14ac:dyDescent="0.2">
      <c r="A1469" s="1">
        <v>45897</v>
      </c>
      <c r="B1469" s="20">
        <f t="shared" si="44"/>
        <v>2025</v>
      </c>
      <c r="C1469" s="20">
        <f t="shared" si="45"/>
        <v>8</v>
      </c>
      <c r="D1469" t="s">
        <v>3833</v>
      </c>
      <c r="E1469" s="49">
        <v>3</v>
      </c>
      <c r="F1469" t="s">
        <v>3834</v>
      </c>
      <c r="G1469" t="s">
        <v>21</v>
      </c>
      <c r="H1469" t="s">
        <v>37</v>
      </c>
      <c r="I1469" s="13">
        <v>130000</v>
      </c>
      <c r="J1469" s="13">
        <v>120000</v>
      </c>
      <c r="K1469" s="13">
        <f>IF(J1469&lt;'Mapa Oficinas'!$I$21,0,IF(J1469&gt;'Mapa Oficinas'!$I$20,0,1))</f>
        <v>1</v>
      </c>
      <c r="L1469" t="s">
        <v>23</v>
      </c>
      <c r="M1469" t="s">
        <v>23</v>
      </c>
      <c r="N1469" t="s">
        <v>3835</v>
      </c>
      <c r="O1469" t="s">
        <v>2865</v>
      </c>
      <c r="P1469" t="s">
        <v>45</v>
      </c>
      <c r="Q1469">
        <v>2</v>
      </c>
      <c r="R1469" t="s">
        <v>67</v>
      </c>
      <c r="S1469" t="s">
        <v>241</v>
      </c>
      <c r="T1469" t="str">
        <f>VLOOKUP(S1469,'Mapa Oficinas'!$H$7:$I$16,2,FALSE)</f>
        <v>CB</v>
      </c>
      <c r="U1469" t="s">
        <v>29</v>
      </c>
      <c r="V1469" t="str">
        <f>VLOOKUP($R1469,'Mapa Oficinas'!$A$7:$C$46,2,FALSE)</f>
        <v>CABA</v>
      </c>
      <c r="W1469" t="str">
        <f>VLOOKUP($R1469,'Mapa Oficinas'!$A$7:$C$46,3,FALSE)</f>
        <v>Barrio Parque</v>
      </c>
    </row>
    <row r="1470" spans="1:23" x14ac:dyDescent="0.2">
      <c r="A1470" s="1">
        <v>45702</v>
      </c>
      <c r="B1470" s="20">
        <f t="shared" si="44"/>
        <v>2025</v>
      </c>
      <c r="C1470" s="20">
        <f t="shared" si="45"/>
        <v>2</v>
      </c>
      <c r="D1470" t="s">
        <v>600</v>
      </c>
      <c r="E1470" s="49">
        <v>1</v>
      </c>
      <c r="F1470" t="s">
        <v>601</v>
      </c>
      <c r="G1470" t="s">
        <v>21</v>
      </c>
      <c r="H1470" t="s">
        <v>37</v>
      </c>
      <c r="I1470" s="13">
        <v>125000</v>
      </c>
      <c r="J1470" s="13">
        <v>120000</v>
      </c>
      <c r="K1470" s="13">
        <f>IF(J1470&lt;'Mapa Oficinas'!$I$21,0,IF(J1470&gt;'Mapa Oficinas'!$I$20,0,1))</f>
        <v>1</v>
      </c>
      <c r="L1470" t="s">
        <v>23</v>
      </c>
      <c r="M1470" t="s">
        <v>23</v>
      </c>
      <c r="N1470" t="s">
        <v>602</v>
      </c>
      <c r="O1470" t="s">
        <v>440</v>
      </c>
      <c r="P1470" t="s">
        <v>45</v>
      </c>
      <c r="Q1470">
        <v>2</v>
      </c>
      <c r="R1470" t="s">
        <v>135</v>
      </c>
      <c r="S1470" t="s">
        <v>28</v>
      </c>
      <c r="T1470" t="str">
        <f>VLOOKUP(S1470,'Mapa Oficinas'!$H$7:$I$16,2,FALSE)</f>
        <v>CB</v>
      </c>
      <c r="U1470" t="s">
        <v>29</v>
      </c>
      <c r="V1470" t="str">
        <f>VLOOKUP($R1470,'Mapa Oficinas'!$A$7:$C$46,2,FALSE)</f>
        <v>CABA</v>
      </c>
      <c r="W1470" t="str">
        <f>VLOOKUP($R1470,'Mapa Oficinas'!$A$7:$C$46,3,FALSE)</f>
        <v>Recoleta</v>
      </c>
    </row>
    <row r="1471" spans="1:23" x14ac:dyDescent="0.2">
      <c r="A1471" s="1">
        <v>45758</v>
      </c>
      <c r="B1471" s="20">
        <f t="shared" si="44"/>
        <v>2025</v>
      </c>
      <c r="C1471" s="20">
        <f t="shared" si="45"/>
        <v>4</v>
      </c>
      <c r="D1471" t="s">
        <v>1387</v>
      </c>
      <c r="E1471" s="49">
        <v>1</v>
      </c>
      <c r="F1471" t="s">
        <v>1388</v>
      </c>
      <c r="G1471" t="s">
        <v>21</v>
      </c>
      <c r="H1471" t="s">
        <v>37</v>
      </c>
      <c r="I1471" s="13">
        <v>115000</v>
      </c>
      <c r="J1471" s="13">
        <v>120000</v>
      </c>
      <c r="K1471" s="13">
        <f>IF(J1471&lt;'Mapa Oficinas'!$I$21,0,IF(J1471&gt;'Mapa Oficinas'!$I$20,0,1))</f>
        <v>1</v>
      </c>
      <c r="L1471" t="s">
        <v>23</v>
      </c>
      <c r="M1471" t="s">
        <v>23</v>
      </c>
      <c r="N1471" t="s">
        <v>1389</v>
      </c>
      <c r="O1471" t="s">
        <v>92</v>
      </c>
      <c r="P1471" t="s">
        <v>45</v>
      </c>
      <c r="Q1471">
        <v>2</v>
      </c>
      <c r="R1471" t="s">
        <v>62</v>
      </c>
      <c r="S1471" t="s">
        <v>28</v>
      </c>
      <c r="T1471" t="str">
        <f>VLOOKUP(S1471,'Mapa Oficinas'!$H$7:$I$16,2,FALSE)</f>
        <v>CB</v>
      </c>
      <c r="U1471" t="s">
        <v>29</v>
      </c>
      <c r="V1471" t="str">
        <f>VLOOKUP($R1471,'Mapa Oficinas'!$A$7:$C$46,2,FALSE)</f>
        <v>CABA</v>
      </c>
      <c r="W1471" t="str">
        <f>VLOOKUP($R1471,'Mapa Oficinas'!$A$7:$C$46,3,FALSE)</f>
        <v>Villa Urquiza</v>
      </c>
    </row>
    <row r="1472" spans="1:23" x14ac:dyDescent="0.2">
      <c r="A1472" s="1">
        <v>45770</v>
      </c>
      <c r="B1472" s="20">
        <f t="shared" si="44"/>
        <v>2025</v>
      </c>
      <c r="C1472" s="20">
        <f t="shared" si="45"/>
        <v>4</v>
      </c>
      <c r="D1472" t="s">
        <v>1577</v>
      </c>
      <c r="E1472" s="49">
        <v>1</v>
      </c>
      <c r="F1472" t="s">
        <v>1578</v>
      </c>
      <c r="G1472" t="s">
        <v>21</v>
      </c>
      <c r="H1472" t="s">
        <v>90</v>
      </c>
      <c r="I1472" s="13">
        <v>124000</v>
      </c>
      <c r="J1472" s="13">
        <v>120000</v>
      </c>
      <c r="K1472" s="13">
        <f>IF(J1472&lt;'Mapa Oficinas'!$I$21,0,IF(J1472&gt;'Mapa Oficinas'!$I$20,0,1))</f>
        <v>1</v>
      </c>
      <c r="L1472" t="s">
        <v>23</v>
      </c>
      <c r="M1472" t="s">
        <v>23</v>
      </c>
      <c r="N1472" t="s">
        <v>1579</v>
      </c>
      <c r="O1472" t="s">
        <v>914</v>
      </c>
      <c r="P1472" t="s">
        <v>61</v>
      </c>
      <c r="Q1472">
        <v>2</v>
      </c>
      <c r="R1472" t="s">
        <v>62</v>
      </c>
      <c r="S1472" t="s">
        <v>28</v>
      </c>
      <c r="T1472" t="str">
        <f>VLOOKUP(S1472,'Mapa Oficinas'!$H$7:$I$16,2,FALSE)</f>
        <v>CB</v>
      </c>
      <c r="U1472" t="s">
        <v>29</v>
      </c>
      <c r="V1472" t="str">
        <f>VLOOKUP($R1472,'Mapa Oficinas'!$A$7:$C$46,2,FALSE)</f>
        <v>CABA</v>
      </c>
      <c r="W1472" t="str">
        <f>VLOOKUP($R1472,'Mapa Oficinas'!$A$7:$C$46,3,FALSE)</f>
        <v>Villa Urquiza</v>
      </c>
    </row>
    <row r="1473" spans="1:23" x14ac:dyDescent="0.2">
      <c r="A1473" s="1">
        <v>45776</v>
      </c>
      <c r="B1473" s="20">
        <f t="shared" si="44"/>
        <v>2025</v>
      </c>
      <c r="C1473" s="20">
        <f t="shared" si="45"/>
        <v>4</v>
      </c>
      <c r="D1473" t="s">
        <v>1689</v>
      </c>
      <c r="E1473" s="49">
        <v>1</v>
      </c>
      <c r="F1473" t="s">
        <v>1690</v>
      </c>
      <c r="G1473" t="s">
        <v>21</v>
      </c>
      <c r="H1473" t="s">
        <v>22</v>
      </c>
      <c r="I1473" s="13">
        <v>286000</v>
      </c>
      <c r="J1473" s="13">
        <v>120000</v>
      </c>
      <c r="K1473" s="13">
        <f>IF(J1473&lt;'Mapa Oficinas'!$I$21,0,IF(J1473&gt;'Mapa Oficinas'!$I$20,0,1))</f>
        <v>1</v>
      </c>
      <c r="L1473" t="s">
        <v>23</v>
      </c>
      <c r="M1473" t="s">
        <v>23</v>
      </c>
      <c r="N1473" t="s">
        <v>1691</v>
      </c>
      <c r="O1473" t="s">
        <v>92</v>
      </c>
      <c r="P1473" t="s">
        <v>45</v>
      </c>
      <c r="Q1473">
        <v>2</v>
      </c>
      <c r="R1473" t="s">
        <v>62</v>
      </c>
      <c r="S1473" t="s">
        <v>28</v>
      </c>
      <c r="T1473" t="str">
        <f>VLOOKUP(S1473,'Mapa Oficinas'!$H$7:$I$16,2,FALSE)</f>
        <v>CB</v>
      </c>
      <c r="U1473" t="s">
        <v>29</v>
      </c>
      <c r="V1473" t="str">
        <f>VLOOKUP($R1473,'Mapa Oficinas'!$A$7:$C$46,2,FALSE)</f>
        <v>CABA</v>
      </c>
      <c r="W1473" t="str">
        <f>VLOOKUP($R1473,'Mapa Oficinas'!$A$7:$C$46,3,FALSE)</f>
        <v>Villa Urquiza</v>
      </c>
    </row>
    <row r="1474" spans="1:23" x14ac:dyDescent="0.2">
      <c r="A1474" s="1">
        <v>45792</v>
      </c>
      <c r="B1474" s="20">
        <f t="shared" ref="B1474:B1537" si="46">YEAR($A1474)</f>
        <v>2025</v>
      </c>
      <c r="C1474" s="20">
        <f t="shared" ref="C1474:C1537" si="47">MONTH($A1474)</f>
        <v>5</v>
      </c>
      <c r="D1474" t="s">
        <v>1962</v>
      </c>
      <c r="E1474" s="49">
        <v>1</v>
      </c>
      <c r="F1474" t="s">
        <v>1963</v>
      </c>
      <c r="G1474" t="s">
        <v>21</v>
      </c>
      <c r="H1474" t="s">
        <v>37</v>
      </c>
      <c r="I1474" s="13">
        <v>124500</v>
      </c>
      <c r="J1474" s="13">
        <v>120000</v>
      </c>
      <c r="K1474" s="13">
        <f>IF(J1474&lt;'Mapa Oficinas'!$I$21,0,IF(J1474&gt;'Mapa Oficinas'!$I$20,0,1))</f>
        <v>1</v>
      </c>
      <c r="L1474" t="s">
        <v>23</v>
      </c>
      <c r="M1474" t="s">
        <v>23</v>
      </c>
      <c r="N1474" t="s">
        <v>1964</v>
      </c>
      <c r="O1474" t="s">
        <v>66</v>
      </c>
      <c r="P1474" t="s">
        <v>45</v>
      </c>
      <c r="Q1474">
        <v>2</v>
      </c>
      <c r="R1474" t="s">
        <v>62</v>
      </c>
      <c r="S1474" t="s">
        <v>28</v>
      </c>
      <c r="T1474" t="str">
        <f>VLOOKUP(S1474,'Mapa Oficinas'!$H$7:$I$16,2,FALSE)</f>
        <v>CB</v>
      </c>
      <c r="U1474" t="s">
        <v>29</v>
      </c>
      <c r="V1474" t="str">
        <f>VLOOKUP($R1474,'Mapa Oficinas'!$A$7:$C$46,2,FALSE)</f>
        <v>CABA</v>
      </c>
      <c r="W1474" t="str">
        <f>VLOOKUP($R1474,'Mapa Oficinas'!$A$7:$C$46,3,FALSE)</f>
        <v>Villa Urquiza</v>
      </c>
    </row>
    <row r="1475" spans="1:23" x14ac:dyDescent="0.2">
      <c r="A1475" s="1">
        <v>45831</v>
      </c>
      <c r="B1475" s="20">
        <f t="shared" si="46"/>
        <v>2025</v>
      </c>
      <c r="C1475" s="20">
        <f t="shared" si="47"/>
        <v>6</v>
      </c>
      <c r="D1475" t="s">
        <v>2584</v>
      </c>
      <c r="E1475" s="49">
        <v>1</v>
      </c>
      <c r="F1475" t="s">
        <v>2585</v>
      </c>
      <c r="G1475" t="s">
        <v>21</v>
      </c>
      <c r="H1475" t="s">
        <v>90</v>
      </c>
      <c r="I1475" s="13">
        <v>130000</v>
      </c>
      <c r="J1475" s="13">
        <v>120000</v>
      </c>
      <c r="K1475" s="13">
        <f>IF(J1475&lt;'Mapa Oficinas'!$I$21,0,IF(J1475&gt;'Mapa Oficinas'!$I$20,0,1))</f>
        <v>1</v>
      </c>
      <c r="L1475" t="s">
        <v>23</v>
      </c>
      <c r="M1475" t="s">
        <v>23</v>
      </c>
      <c r="N1475" t="s">
        <v>2586</v>
      </c>
      <c r="O1475" t="s">
        <v>2104</v>
      </c>
      <c r="P1475" t="s">
        <v>45</v>
      </c>
      <c r="Q1475">
        <v>2</v>
      </c>
      <c r="R1475" t="s">
        <v>62</v>
      </c>
      <c r="S1475" t="s">
        <v>28</v>
      </c>
      <c r="T1475" t="str">
        <f>VLOOKUP(S1475,'Mapa Oficinas'!$H$7:$I$16,2,FALSE)</f>
        <v>CB</v>
      </c>
      <c r="U1475" t="s">
        <v>29</v>
      </c>
      <c r="V1475" t="str">
        <f>VLOOKUP($R1475,'Mapa Oficinas'!$A$7:$C$46,2,FALSE)</f>
        <v>CABA</v>
      </c>
      <c r="W1475" t="str">
        <f>VLOOKUP($R1475,'Mapa Oficinas'!$A$7:$C$46,3,FALSE)</f>
        <v>Villa Urquiza</v>
      </c>
    </row>
    <row r="1476" spans="1:23" x14ac:dyDescent="0.2">
      <c r="A1476" s="1">
        <v>45832</v>
      </c>
      <c r="B1476" s="20">
        <f t="shared" si="46"/>
        <v>2025</v>
      </c>
      <c r="C1476" s="20">
        <f t="shared" si="47"/>
        <v>6</v>
      </c>
      <c r="D1476" t="s">
        <v>2610</v>
      </c>
      <c r="E1476" s="49">
        <v>1</v>
      </c>
      <c r="F1476" t="s">
        <v>2611</v>
      </c>
      <c r="G1476" t="s">
        <v>21</v>
      </c>
      <c r="H1476" t="s">
        <v>37</v>
      </c>
      <c r="I1476" s="13">
        <v>129999</v>
      </c>
      <c r="J1476" s="13">
        <v>120000</v>
      </c>
      <c r="K1476" s="13">
        <f>IF(J1476&lt;'Mapa Oficinas'!$I$21,0,IF(J1476&gt;'Mapa Oficinas'!$I$20,0,1))</f>
        <v>1</v>
      </c>
      <c r="L1476" t="s">
        <v>23</v>
      </c>
      <c r="M1476" t="s">
        <v>23</v>
      </c>
      <c r="N1476" t="s">
        <v>2612</v>
      </c>
      <c r="O1476" t="s">
        <v>66</v>
      </c>
      <c r="P1476" t="s">
        <v>45</v>
      </c>
      <c r="Q1476">
        <v>2</v>
      </c>
      <c r="R1476" t="s">
        <v>56</v>
      </c>
      <c r="S1476" t="s">
        <v>28</v>
      </c>
      <c r="T1476" t="str">
        <f>VLOOKUP(S1476,'Mapa Oficinas'!$H$7:$I$16,2,FALSE)</f>
        <v>CB</v>
      </c>
      <c r="U1476" t="s">
        <v>29</v>
      </c>
      <c r="V1476" t="str">
        <f>VLOOKUP($R1476,'Mapa Oficinas'!$A$7:$C$46,2,FALSE)</f>
        <v>Zona Norte (GBA)</v>
      </c>
      <c r="W1476" t="str">
        <f>VLOOKUP($R1476,'Mapa Oficinas'!$A$7:$C$46,3,FALSE)</f>
        <v>Vicente López</v>
      </c>
    </row>
    <row r="1477" spans="1:23" x14ac:dyDescent="0.2">
      <c r="A1477" s="1">
        <v>45841</v>
      </c>
      <c r="B1477" s="20">
        <f t="shared" si="46"/>
        <v>2025</v>
      </c>
      <c r="C1477" s="20">
        <f t="shared" si="47"/>
        <v>7</v>
      </c>
      <c r="D1477" t="s">
        <v>2859</v>
      </c>
      <c r="E1477" s="49">
        <v>1</v>
      </c>
      <c r="F1477" t="s">
        <v>2860</v>
      </c>
      <c r="G1477" t="s">
        <v>21</v>
      </c>
      <c r="H1477" t="s">
        <v>37</v>
      </c>
      <c r="I1477" s="13">
        <v>125000</v>
      </c>
      <c r="J1477" s="13">
        <v>120000</v>
      </c>
      <c r="K1477" s="13">
        <f>IF(J1477&lt;'Mapa Oficinas'!$I$21,0,IF(J1477&gt;'Mapa Oficinas'!$I$20,0,1))</f>
        <v>1</v>
      </c>
      <c r="L1477" t="s">
        <v>23</v>
      </c>
      <c r="M1477" t="s">
        <v>23</v>
      </c>
      <c r="N1477" t="s">
        <v>2861</v>
      </c>
      <c r="O1477" t="s">
        <v>92</v>
      </c>
      <c r="P1477" t="s">
        <v>45</v>
      </c>
      <c r="Q1477">
        <v>2</v>
      </c>
      <c r="R1477" t="s">
        <v>135</v>
      </c>
      <c r="S1477" t="s">
        <v>28</v>
      </c>
      <c r="T1477" t="str">
        <f>VLOOKUP(S1477,'Mapa Oficinas'!$H$7:$I$16,2,FALSE)</f>
        <v>CB</v>
      </c>
      <c r="U1477" t="s">
        <v>29</v>
      </c>
      <c r="V1477" t="str">
        <f>VLOOKUP($R1477,'Mapa Oficinas'!$A$7:$C$46,2,FALSE)</f>
        <v>CABA</v>
      </c>
      <c r="W1477" t="str">
        <f>VLOOKUP($R1477,'Mapa Oficinas'!$A$7:$C$46,3,FALSE)</f>
        <v>Recoleta</v>
      </c>
    </row>
    <row r="1478" spans="1:23" x14ac:dyDescent="0.2">
      <c r="A1478" s="1">
        <v>45847</v>
      </c>
      <c r="B1478" s="20">
        <f t="shared" si="46"/>
        <v>2025</v>
      </c>
      <c r="C1478" s="20">
        <f t="shared" si="47"/>
        <v>7</v>
      </c>
      <c r="D1478" t="s">
        <v>2945</v>
      </c>
      <c r="E1478" s="49">
        <v>1</v>
      </c>
      <c r="F1478" t="s">
        <v>2946</v>
      </c>
      <c r="G1478" t="s">
        <v>21</v>
      </c>
      <c r="H1478" t="s">
        <v>37</v>
      </c>
      <c r="I1478" s="13">
        <v>138000</v>
      </c>
      <c r="J1478" s="13">
        <v>120000</v>
      </c>
      <c r="K1478" s="13">
        <f>IF(J1478&lt;'Mapa Oficinas'!$I$21,0,IF(J1478&gt;'Mapa Oficinas'!$I$20,0,1))</f>
        <v>1</v>
      </c>
      <c r="L1478" t="s">
        <v>23</v>
      </c>
      <c r="M1478" t="s">
        <v>23</v>
      </c>
      <c r="N1478" t="s">
        <v>2947</v>
      </c>
      <c r="O1478" t="s">
        <v>25</v>
      </c>
      <c r="P1478" t="s">
        <v>34</v>
      </c>
      <c r="Q1478">
        <v>2</v>
      </c>
      <c r="R1478" t="s">
        <v>110</v>
      </c>
      <c r="S1478" t="s">
        <v>28</v>
      </c>
      <c r="T1478" t="str">
        <f>VLOOKUP(S1478,'Mapa Oficinas'!$H$7:$I$16,2,FALSE)</f>
        <v>CB</v>
      </c>
      <c r="U1478" t="s">
        <v>29</v>
      </c>
      <c r="V1478" t="str">
        <f>VLOOKUP($R1478,'Mapa Oficinas'!$A$7:$C$46,2,FALSE)</f>
        <v>Zona Norte (GBA)</v>
      </c>
      <c r="W1478" t="str">
        <f>VLOOKUP($R1478,'Mapa Oficinas'!$A$7:$C$46,3,FALSE)</f>
        <v>Nordelta</v>
      </c>
    </row>
    <row r="1479" spans="1:23" x14ac:dyDescent="0.2">
      <c r="A1479" s="1">
        <v>45869</v>
      </c>
      <c r="B1479" s="20">
        <f t="shared" si="46"/>
        <v>2025</v>
      </c>
      <c r="C1479" s="20">
        <f t="shared" si="47"/>
        <v>7</v>
      </c>
      <c r="D1479" t="s">
        <v>3348</v>
      </c>
      <c r="E1479" s="49">
        <v>1</v>
      </c>
      <c r="F1479" t="s">
        <v>3349</v>
      </c>
      <c r="G1479" t="s">
        <v>21</v>
      </c>
      <c r="H1479" t="s">
        <v>70</v>
      </c>
      <c r="I1479" s="13">
        <v>120000</v>
      </c>
      <c r="J1479" s="13">
        <v>120000</v>
      </c>
      <c r="K1479" s="13">
        <f>IF(J1479&lt;'Mapa Oficinas'!$I$21,0,IF(J1479&gt;'Mapa Oficinas'!$I$20,0,1))</f>
        <v>1</v>
      </c>
      <c r="L1479" t="s">
        <v>23</v>
      </c>
      <c r="M1479" t="s">
        <v>23</v>
      </c>
      <c r="N1479" t="s">
        <v>3350</v>
      </c>
      <c r="O1479" t="s">
        <v>3351</v>
      </c>
      <c r="P1479" t="s">
        <v>34</v>
      </c>
      <c r="Q1479">
        <v>2</v>
      </c>
      <c r="R1479" t="s">
        <v>73</v>
      </c>
      <c r="S1479" t="s">
        <v>28</v>
      </c>
      <c r="T1479" t="str">
        <f>VLOOKUP(S1479,'Mapa Oficinas'!$H$7:$I$16,2,FALSE)</f>
        <v>CB</v>
      </c>
      <c r="U1479" t="s">
        <v>29</v>
      </c>
      <c r="V1479" t="str">
        <f>VLOOKUP($R1479,'Mapa Oficinas'!$A$7:$C$46,2,FALSE)</f>
        <v>Interior - Salta</v>
      </c>
      <c r="W1479" t="str">
        <f>VLOOKUP($R1479,'Mapa Oficinas'!$A$7:$C$46,3,FALSE)</f>
        <v>San Lorenzo Chico</v>
      </c>
    </row>
    <row r="1480" spans="1:23" x14ac:dyDescent="0.2">
      <c r="A1480" s="1">
        <v>45881</v>
      </c>
      <c r="B1480" s="20">
        <f t="shared" si="46"/>
        <v>2025</v>
      </c>
      <c r="C1480" s="20">
        <f t="shared" si="47"/>
        <v>8</v>
      </c>
      <c r="D1480" t="s">
        <v>3542</v>
      </c>
      <c r="E1480" s="49">
        <v>1</v>
      </c>
      <c r="F1480" t="s">
        <v>3543</v>
      </c>
      <c r="G1480" t="s">
        <v>21</v>
      </c>
      <c r="H1480" t="s">
        <v>37</v>
      </c>
      <c r="I1480" s="13">
        <v>139900</v>
      </c>
      <c r="J1480" s="13">
        <v>120000</v>
      </c>
      <c r="K1480" s="13">
        <f>IF(J1480&lt;'Mapa Oficinas'!$I$21,0,IF(J1480&gt;'Mapa Oficinas'!$I$20,0,1))</f>
        <v>1</v>
      </c>
      <c r="L1480" t="s">
        <v>23</v>
      </c>
      <c r="M1480" t="s">
        <v>23</v>
      </c>
      <c r="N1480" t="s">
        <v>3544</v>
      </c>
      <c r="O1480" t="s">
        <v>440</v>
      </c>
      <c r="P1480" t="s">
        <v>45</v>
      </c>
      <c r="Q1480">
        <v>2</v>
      </c>
      <c r="R1480" t="s">
        <v>40</v>
      </c>
      <c r="S1480" t="s">
        <v>28</v>
      </c>
      <c r="T1480" t="str">
        <f>VLOOKUP(S1480,'Mapa Oficinas'!$H$7:$I$16,2,FALSE)</f>
        <v>CB</v>
      </c>
      <c r="U1480" t="s">
        <v>29</v>
      </c>
      <c r="V1480" t="str">
        <f>VLOOKUP($R1480,'Mapa Oficinas'!$A$7:$C$46,2,FALSE)</f>
        <v>CABA</v>
      </c>
      <c r="W1480" t="str">
        <f>VLOOKUP($R1480,'Mapa Oficinas'!$A$7:$C$46,3,FALSE)</f>
        <v>Núñez</v>
      </c>
    </row>
    <row r="1481" spans="1:23" x14ac:dyDescent="0.2">
      <c r="A1481" s="1">
        <v>45898</v>
      </c>
      <c r="B1481" s="20">
        <f t="shared" si="46"/>
        <v>2025</v>
      </c>
      <c r="C1481" s="20">
        <f t="shared" si="47"/>
        <v>8</v>
      </c>
      <c r="D1481" t="s">
        <v>3883</v>
      </c>
      <c r="E1481" s="49">
        <v>1</v>
      </c>
      <c r="F1481" t="s">
        <v>3883</v>
      </c>
      <c r="G1481" t="s">
        <v>21</v>
      </c>
      <c r="H1481" t="s">
        <v>37</v>
      </c>
      <c r="I1481" s="13">
        <v>120000</v>
      </c>
      <c r="J1481" s="13">
        <v>120000</v>
      </c>
      <c r="K1481" s="13">
        <f>IF(J1481&lt;'Mapa Oficinas'!$I$21,0,IF(J1481&gt;'Mapa Oficinas'!$I$20,0,1))</f>
        <v>1</v>
      </c>
      <c r="L1481" t="s">
        <v>23</v>
      </c>
      <c r="M1481" t="s">
        <v>23</v>
      </c>
      <c r="O1481" t="s">
        <v>2473</v>
      </c>
      <c r="P1481" t="s">
        <v>61</v>
      </c>
      <c r="Q1481">
        <v>2</v>
      </c>
      <c r="R1481" t="s">
        <v>183</v>
      </c>
      <c r="S1481" t="s">
        <v>28</v>
      </c>
      <c r="T1481" t="str">
        <f>VLOOKUP(S1481,'Mapa Oficinas'!$H$7:$I$16,2,FALSE)</f>
        <v>CB</v>
      </c>
      <c r="U1481" t="s">
        <v>29</v>
      </c>
      <c r="V1481" t="str">
        <f>VLOOKUP($R1481,'Mapa Oficinas'!$A$7:$C$46,2,FALSE)</f>
        <v>Interior - Neuquén</v>
      </c>
      <c r="W1481" t="str">
        <f>VLOOKUP($R1481,'Mapa Oficinas'!$A$7:$C$46,3,FALSE)</f>
        <v>Capital Neuquén</v>
      </c>
    </row>
    <row r="1482" spans="1:23" x14ac:dyDescent="0.2">
      <c r="A1482" s="1">
        <v>46014</v>
      </c>
      <c r="B1482" s="20">
        <f t="shared" si="46"/>
        <v>2025</v>
      </c>
      <c r="C1482" s="20">
        <f t="shared" si="47"/>
        <v>12</v>
      </c>
      <c r="D1482" t="s">
        <v>5984</v>
      </c>
      <c r="E1482" s="49">
        <v>1</v>
      </c>
      <c r="F1482" t="s">
        <v>5985</v>
      </c>
      <c r="G1482" t="s">
        <v>21</v>
      </c>
      <c r="H1482" t="s">
        <v>37</v>
      </c>
      <c r="I1482" s="13">
        <v>129000</v>
      </c>
      <c r="J1482" s="13">
        <v>120000</v>
      </c>
      <c r="K1482" s="13">
        <f>IF(J1482&lt;'Mapa Oficinas'!$I$21,0,IF(J1482&gt;'Mapa Oficinas'!$I$20,0,1))</f>
        <v>1</v>
      </c>
      <c r="L1482" t="s">
        <v>23</v>
      </c>
      <c r="M1482" t="s">
        <v>23</v>
      </c>
      <c r="N1482" t="s">
        <v>5986</v>
      </c>
      <c r="O1482" t="s">
        <v>976</v>
      </c>
      <c r="P1482" t="s">
        <v>45</v>
      </c>
      <c r="Q1482">
        <v>2</v>
      </c>
      <c r="R1482" t="s">
        <v>67</v>
      </c>
      <c r="S1482" t="s">
        <v>28</v>
      </c>
      <c r="T1482" t="str">
        <f>VLOOKUP(S1482,'Mapa Oficinas'!$H$7:$I$16,2,FALSE)</f>
        <v>CB</v>
      </c>
      <c r="U1482" t="s">
        <v>29</v>
      </c>
      <c r="V1482" t="str">
        <f>VLOOKUP($R1482,'Mapa Oficinas'!$A$7:$C$46,2,FALSE)</f>
        <v>CABA</v>
      </c>
      <c r="W1482" t="str">
        <f>VLOOKUP($R1482,'Mapa Oficinas'!$A$7:$C$46,3,FALSE)</f>
        <v>Barrio Parque</v>
      </c>
    </row>
    <row r="1483" spans="1:23" x14ac:dyDescent="0.2">
      <c r="A1483" s="1">
        <v>46036</v>
      </c>
      <c r="B1483" s="20">
        <f t="shared" si="46"/>
        <v>2026</v>
      </c>
      <c r="C1483" s="20">
        <f t="shared" si="47"/>
        <v>1</v>
      </c>
      <c r="D1483" t="s">
        <v>6229</v>
      </c>
      <c r="E1483" s="49">
        <v>1</v>
      </c>
      <c r="F1483" t="s">
        <v>6230</v>
      </c>
      <c r="G1483" t="s">
        <v>21</v>
      </c>
      <c r="H1483" t="s">
        <v>863</v>
      </c>
      <c r="I1483" s="13">
        <v>170000</v>
      </c>
      <c r="J1483" s="13">
        <v>120000</v>
      </c>
      <c r="K1483" s="13">
        <f>IF(J1483&lt;'Mapa Oficinas'!$I$21,0,IF(J1483&gt;'Mapa Oficinas'!$I$20,0,1))</f>
        <v>1</v>
      </c>
      <c r="L1483" t="s">
        <v>23</v>
      </c>
      <c r="M1483" t="s">
        <v>23</v>
      </c>
      <c r="N1483" t="s">
        <v>6231</v>
      </c>
      <c r="O1483" t="s">
        <v>4107</v>
      </c>
      <c r="P1483" t="s">
        <v>26</v>
      </c>
      <c r="Q1483">
        <v>2</v>
      </c>
      <c r="R1483" t="s">
        <v>2003</v>
      </c>
      <c r="S1483" t="s">
        <v>28</v>
      </c>
      <c r="T1483" t="str">
        <f>VLOOKUP(S1483,'Mapa Oficinas'!$H$7:$I$16,2,FALSE)</f>
        <v>CB</v>
      </c>
      <c r="U1483" t="s">
        <v>29</v>
      </c>
      <c r="V1483" t="str">
        <f>VLOOKUP($R1483,'Mapa Oficinas'!$A$7:$C$46,2,FALSE)</f>
        <v>Interior - Mendoza</v>
      </c>
      <c r="W1483" t="str">
        <f>VLOOKUP($R1483,'Mapa Oficinas'!$A$7:$C$46,3,FALSE)</f>
        <v>San Rafael</v>
      </c>
    </row>
    <row r="1484" spans="1:23" x14ac:dyDescent="0.2">
      <c r="A1484" s="1">
        <v>46055</v>
      </c>
      <c r="B1484" s="20">
        <f t="shared" si="46"/>
        <v>2026</v>
      </c>
      <c r="C1484" s="20">
        <f t="shared" si="47"/>
        <v>2</v>
      </c>
      <c r="D1484" t="s">
        <v>6499</v>
      </c>
      <c r="E1484" s="49">
        <v>1</v>
      </c>
      <c r="F1484" t="s">
        <v>6500</v>
      </c>
      <c r="G1484" t="s">
        <v>21</v>
      </c>
      <c r="H1484" t="s">
        <v>70</v>
      </c>
      <c r="I1484" s="13">
        <v>120000</v>
      </c>
      <c r="J1484" s="13">
        <v>120000</v>
      </c>
      <c r="K1484" s="13">
        <f>IF(J1484&lt;'Mapa Oficinas'!$I$21,0,IF(J1484&gt;'Mapa Oficinas'!$I$20,0,1))</f>
        <v>1</v>
      </c>
      <c r="L1484" t="s">
        <v>23</v>
      </c>
      <c r="M1484" t="s">
        <v>23</v>
      </c>
      <c r="N1484" t="s">
        <v>6501</v>
      </c>
      <c r="O1484" t="s">
        <v>3596</v>
      </c>
      <c r="P1484" t="s">
        <v>34</v>
      </c>
      <c r="Q1484">
        <v>2</v>
      </c>
      <c r="R1484" t="s">
        <v>73</v>
      </c>
      <c r="S1484" t="s">
        <v>28</v>
      </c>
      <c r="T1484" t="str">
        <f>VLOOKUP(S1484,'Mapa Oficinas'!$H$7:$I$16,2,FALSE)</f>
        <v>CB</v>
      </c>
      <c r="U1484" t="s">
        <v>29</v>
      </c>
      <c r="V1484" t="str">
        <f>VLOOKUP($R1484,'Mapa Oficinas'!$A$7:$C$46,2,FALSE)</f>
        <v>Interior - Salta</v>
      </c>
      <c r="W1484" t="str">
        <f>VLOOKUP($R1484,'Mapa Oficinas'!$A$7:$C$46,3,FALSE)</f>
        <v>San Lorenzo Chico</v>
      </c>
    </row>
    <row r="1485" spans="1:23" x14ac:dyDescent="0.2">
      <c r="A1485" s="1">
        <v>46093</v>
      </c>
      <c r="B1485" s="20">
        <f t="shared" si="46"/>
        <v>2026</v>
      </c>
      <c r="C1485" s="20">
        <f t="shared" si="47"/>
        <v>3</v>
      </c>
      <c r="D1485" t="s">
        <v>7141</v>
      </c>
      <c r="E1485" s="49">
        <v>1</v>
      </c>
      <c r="F1485" t="s">
        <v>7142</v>
      </c>
      <c r="G1485" t="s">
        <v>21</v>
      </c>
      <c r="H1485" t="s">
        <v>90</v>
      </c>
      <c r="I1485" s="13">
        <v>132000</v>
      </c>
      <c r="J1485" s="13">
        <v>120000</v>
      </c>
      <c r="K1485" s="13">
        <f>IF(J1485&lt;'Mapa Oficinas'!$I$21,0,IF(J1485&gt;'Mapa Oficinas'!$I$20,0,1))</f>
        <v>1</v>
      </c>
      <c r="L1485" t="s">
        <v>23</v>
      </c>
      <c r="M1485" t="s">
        <v>23</v>
      </c>
      <c r="N1485" t="s">
        <v>7143</v>
      </c>
      <c r="O1485" t="s">
        <v>440</v>
      </c>
      <c r="P1485" t="s">
        <v>45</v>
      </c>
      <c r="Q1485">
        <v>2</v>
      </c>
      <c r="R1485" t="s">
        <v>62</v>
      </c>
      <c r="S1485" t="s">
        <v>28</v>
      </c>
      <c r="T1485" t="str">
        <f>VLOOKUP(S1485,'Mapa Oficinas'!$H$7:$I$16,2,FALSE)</f>
        <v>CB</v>
      </c>
      <c r="U1485" t="s">
        <v>29</v>
      </c>
      <c r="V1485" t="str">
        <f>VLOOKUP($R1485,'Mapa Oficinas'!$A$7:$C$46,2,FALSE)</f>
        <v>CABA</v>
      </c>
      <c r="W1485" t="str">
        <f>VLOOKUP($R1485,'Mapa Oficinas'!$A$7:$C$46,3,FALSE)</f>
        <v>Villa Urquiza</v>
      </c>
    </row>
    <row r="1486" spans="1:23" x14ac:dyDescent="0.2">
      <c r="A1486" s="1">
        <v>46112</v>
      </c>
      <c r="B1486" s="20">
        <f t="shared" si="46"/>
        <v>2026</v>
      </c>
      <c r="C1486" s="20">
        <f t="shared" si="47"/>
        <v>3</v>
      </c>
      <c r="D1486" t="s">
        <v>7572</v>
      </c>
      <c r="E1486" s="49">
        <v>1</v>
      </c>
      <c r="F1486" t="s">
        <v>7573</v>
      </c>
      <c r="G1486" t="s">
        <v>21</v>
      </c>
      <c r="H1486" t="s">
        <v>90</v>
      </c>
      <c r="I1486" s="13">
        <v>128000</v>
      </c>
      <c r="J1486" s="13">
        <v>121000</v>
      </c>
      <c r="K1486" s="13">
        <f>IF(J1486&lt;'Mapa Oficinas'!$I$21,0,IF(J1486&gt;'Mapa Oficinas'!$I$20,0,1))</f>
        <v>1</v>
      </c>
      <c r="L1486" t="s">
        <v>23</v>
      </c>
      <c r="M1486" t="s">
        <v>23</v>
      </c>
      <c r="N1486" t="s">
        <v>7574</v>
      </c>
      <c r="O1486" t="s">
        <v>7575</v>
      </c>
      <c r="P1486" t="s">
        <v>45</v>
      </c>
      <c r="Q1486">
        <v>2</v>
      </c>
      <c r="R1486" t="s">
        <v>62</v>
      </c>
      <c r="S1486" t="s">
        <v>28</v>
      </c>
      <c r="T1486" t="str">
        <f>VLOOKUP(S1486,'Mapa Oficinas'!$H$7:$I$16,2,FALSE)</f>
        <v>CB</v>
      </c>
      <c r="U1486" t="s">
        <v>29</v>
      </c>
      <c r="V1486" t="str">
        <f>VLOOKUP($R1486,'Mapa Oficinas'!$A$7:$C$46,2,FALSE)</f>
        <v>CABA</v>
      </c>
      <c r="W1486" t="str">
        <f>VLOOKUP($R1486,'Mapa Oficinas'!$A$7:$C$46,3,FALSE)</f>
        <v>Villa Urquiza</v>
      </c>
    </row>
    <row r="1487" spans="1:23" x14ac:dyDescent="0.2">
      <c r="A1487" s="1">
        <v>45701</v>
      </c>
      <c r="B1487" s="20">
        <f t="shared" si="46"/>
        <v>2025</v>
      </c>
      <c r="C1487" s="20">
        <f t="shared" si="47"/>
        <v>2</v>
      </c>
      <c r="D1487" t="s">
        <v>582</v>
      </c>
      <c r="E1487" s="49">
        <v>1</v>
      </c>
      <c r="F1487" t="s">
        <v>583</v>
      </c>
      <c r="G1487" t="s">
        <v>21</v>
      </c>
      <c r="H1487" t="s">
        <v>100</v>
      </c>
      <c r="I1487" s="13">
        <v>122000</v>
      </c>
      <c r="J1487" s="13">
        <v>122000</v>
      </c>
      <c r="K1487" s="13">
        <f>IF(J1487&lt;'Mapa Oficinas'!$I$21,0,IF(J1487&gt;'Mapa Oficinas'!$I$20,0,1))</f>
        <v>1</v>
      </c>
      <c r="L1487" t="s">
        <v>23</v>
      </c>
      <c r="M1487" t="s">
        <v>23</v>
      </c>
      <c r="O1487" t="s">
        <v>120</v>
      </c>
      <c r="P1487" t="s">
        <v>61</v>
      </c>
      <c r="Q1487">
        <v>1</v>
      </c>
      <c r="R1487" t="s">
        <v>121</v>
      </c>
      <c r="S1487" t="s">
        <v>122</v>
      </c>
      <c r="T1487" t="str">
        <f>VLOOKUP(S1487,'Mapa Oficinas'!$H$7:$I$16,2,FALSE)</f>
        <v>Otra Red Búsqueda</v>
      </c>
      <c r="U1487" t="s">
        <v>29</v>
      </c>
      <c r="V1487" t="str">
        <f>VLOOKUP($R1487,'Mapa Oficinas'!$A$7:$C$46,2,FALSE)</f>
        <v>Interior - Río Negro</v>
      </c>
      <c r="W1487" t="str">
        <f>VLOOKUP($R1487,'Mapa Oficinas'!$A$7:$C$46,3,FALSE)</f>
        <v>Bariloche</v>
      </c>
    </row>
    <row r="1488" spans="1:23" x14ac:dyDescent="0.2">
      <c r="A1488" s="1">
        <v>45943</v>
      </c>
      <c r="B1488" s="20">
        <f t="shared" si="46"/>
        <v>2025</v>
      </c>
      <c r="C1488" s="20">
        <f t="shared" si="47"/>
        <v>10</v>
      </c>
      <c r="D1488" t="s">
        <v>4641</v>
      </c>
      <c r="E1488" s="49">
        <v>1</v>
      </c>
      <c r="F1488" t="s">
        <v>4641</v>
      </c>
      <c r="G1488" t="s">
        <v>21</v>
      </c>
      <c r="H1488" t="s">
        <v>37</v>
      </c>
      <c r="I1488" s="13">
        <v>122000</v>
      </c>
      <c r="J1488" s="13">
        <v>122000</v>
      </c>
      <c r="K1488" s="13">
        <f>IF(J1488&lt;'Mapa Oficinas'!$I$21,0,IF(J1488&gt;'Mapa Oficinas'!$I$20,0,1))</f>
        <v>1</v>
      </c>
      <c r="L1488" t="s">
        <v>23</v>
      </c>
      <c r="M1488" t="s">
        <v>23</v>
      </c>
      <c r="N1488" t="s">
        <v>4641</v>
      </c>
      <c r="O1488" t="s">
        <v>162</v>
      </c>
      <c r="P1488" t="s">
        <v>61</v>
      </c>
      <c r="Q1488">
        <v>1</v>
      </c>
      <c r="R1488" t="s">
        <v>56</v>
      </c>
      <c r="S1488" t="s">
        <v>122</v>
      </c>
      <c r="T1488" t="str">
        <f>VLOOKUP(S1488,'Mapa Oficinas'!$H$7:$I$16,2,FALSE)</f>
        <v>Otra Red Búsqueda</v>
      </c>
      <c r="U1488" t="s">
        <v>29</v>
      </c>
      <c r="V1488" t="str">
        <f>VLOOKUP($R1488,'Mapa Oficinas'!$A$7:$C$46,2,FALSE)</f>
        <v>Zona Norte (GBA)</v>
      </c>
      <c r="W1488" t="str">
        <f>VLOOKUP($R1488,'Mapa Oficinas'!$A$7:$C$46,3,FALSE)</f>
        <v>Vicente López</v>
      </c>
    </row>
    <row r="1489" spans="1:23" x14ac:dyDescent="0.2">
      <c r="A1489" s="1">
        <v>45945</v>
      </c>
      <c r="B1489" s="20">
        <f t="shared" si="46"/>
        <v>2025</v>
      </c>
      <c r="C1489" s="20">
        <f t="shared" si="47"/>
        <v>10</v>
      </c>
      <c r="D1489" t="s">
        <v>4715</v>
      </c>
      <c r="E1489" s="49">
        <v>1</v>
      </c>
      <c r="F1489" t="s">
        <v>4716</v>
      </c>
      <c r="G1489" t="s">
        <v>21</v>
      </c>
      <c r="H1489" t="s">
        <v>37</v>
      </c>
      <c r="I1489" s="13">
        <v>198000</v>
      </c>
      <c r="J1489" s="13">
        <v>122000</v>
      </c>
      <c r="K1489" s="13">
        <f>IF(J1489&lt;'Mapa Oficinas'!$I$21,0,IF(J1489&gt;'Mapa Oficinas'!$I$20,0,1))</f>
        <v>1</v>
      </c>
      <c r="L1489" t="s">
        <v>23</v>
      </c>
      <c r="M1489" t="s">
        <v>23</v>
      </c>
      <c r="N1489" t="s">
        <v>4717</v>
      </c>
      <c r="O1489" t="s">
        <v>4718</v>
      </c>
      <c r="P1489" t="s">
        <v>45</v>
      </c>
      <c r="Q1489">
        <v>2</v>
      </c>
      <c r="R1489" t="s">
        <v>110</v>
      </c>
      <c r="S1489" t="s">
        <v>79</v>
      </c>
      <c r="T1489" t="str">
        <f>VLOOKUP(S1489,'Mapa Oficinas'!$H$7:$I$16,2,FALSE)</f>
        <v>CB</v>
      </c>
      <c r="U1489" t="s">
        <v>29</v>
      </c>
      <c r="V1489" t="str">
        <f>VLOOKUP($R1489,'Mapa Oficinas'!$A$7:$C$46,2,FALSE)</f>
        <v>Zona Norte (GBA)</v>
      </c>
      <c r="W1489" t="str">
        <f>VLOOKUP($R1489,'Mapa Oficinas'!$A$7:$C$46,3,FALSE)</f>
        <v>Nordelta</v>
      </c>
    </row>
    <row r="1490" spans="1:23" x14ac:dyDescent="0.2">
      <c r="A1490" s="1">
        <v>45979</v>
      </c>
      <c r="B1490" s="20">
        <f t="shared" si="46"/>
        <v>2025</v>
      </c>
      <c r="C1490" s="20">
        <f t="shared" si="47"/>
        <v>11</v>
      </c>
      <c r="D1490" t="s">
        <v>1508</v>
      </c>
      <c r="E1490" s="49">
        <v>1</v>
      </c>
      <c r="F1490" t="s">
        <v>1509</v>
      </c>
      <c r="G1490" t="s">
        <v>21</v>
      </c>
      <c r="H1490" t="s">
        <v>37</v>
      </c>
      <c r="I1490" s="13">
        <v>122000</v>
      </c>
      <c r="J1490" s="13">
        <v>122000</v>
      </c>
      <c r="K1490" s="13">
        <f>IF(J1490&lt;'Mapa Oficinas'!$I$21,0,IF(J1490&gt;'Mapa Oficinas'!$I$20,0,1))</f>
        <v>1</v>
      </c>
      <c r="L1490" t="s">
        <v>23</v>
      </c>
      <c r="M1490" t="s">
        <v>23</v>
      </c>
      <c r="N1490" t="s">
        <v>1510</v>
      </c>
      <c r="O1490" t="s">
        <v>1511</v>
      </c>
      <c r="P1490" t="s">
        <v>34</v>
      </c>
      <c r="Q1490">
        <v>2</v>
      </c>
      <c r="R1490" t="s">
        <v>110</v>
      </c>
      <c r="S1490" t="s">
        <v>79</v>
      </c>
      <c r="T1490" t="str">
        <f>VLOOKUP(S1490,'Mapa Oficinas'!$H$7:$I$16,2,FALSE)</f>
        <v>CB</v>
      </c>
      <c r="U1490" t="s">
        <v>29</v>
      </c>
      <c r="V1490" t="str">
        <f>VLOOKUP($R1490,'Mapa Oficinas'!$A$7:$C$46,2,FALSE)</f>
        <v>Zona Norte (GBA)</v>
      </c>
      <c r="W1490" t="str">
        <f>VLOOKUP($R1490,'Mapa Oficinas'!$A$7:$C$46,3,FALSE)</f>
        <v>Nordelta</v>
      </c>
    </row>
    <row r="1491" spans="1:23" x14ac:dyDescent="0.2">
      <c r="A1491" s="1">
        <v>45989</v>
      </c>
      <c r="B1491" s="20">
        <f t="shared" si="46"/>
        <v>2025</v>
      </c>
      <c r="C1491" s="20">
        <f t="shared" si="47"/>
        <v>11</v>
      </c>
      <c r="D1491" t="s">
        <v>5425</v>
      </c>
      <c r="E1491" s="49">
        <v>1</v>
      </c>
      <c r="F1491" t="s">
        <v>5426</v>
      </c>
      <c r="G1491" t="s">
        <v>21</v>
      </c>
      <c r="H1491" t="s">
        <v>37</v>
      </c>
      <c r="I1491" s="13">
        <v>130000</v>
      </c>
      <c r="J1491" s="13">
        <v>122000</v>
      </c>
      <c r="K1491" s="13">
        <f>IF(J1491&lt;'Mapa Oficinas'!$I$21,0,IF(J1491&gt;'Mapa Oficinas'!$I$20,0,1))</f>
        <v>1</v>
      </c>
      <c r="L1491" t="s">
        <v>23</v>
      </c>
      <c r="M1491" t="s">
        <v>23</v>
      </c>
      <c r="N1491" t="s">
        <v>4910</v>
      </c>
      <c r="O1491" t="s">
        <v>92</v>
      </c>
      <c r="P1491" t="s">
        <v>45</v>
      </c>
      <c r="Q1491">
        <v>2</v>
      </c>
      <c r="R1491" t="s">
        <v>670</v>
      </c>
      <c r="S1491" t="s">
        <v>200</v>
      </c>
      <c r="T1491" t="str">
        <f>VLOOKUP(S1491,'Mapa Oficinas'!$H$7:$I$16,2,FALSE)</f>
        <v>Otra Red Captación</v>
      </c>
      <c r="U1491" t="s">
        <v>29</v>
      </c>
      <c r="V1491" t="str">
        <f>VLOOKUP($R1491,'Mapa Oficinas'!$A$7:$C$46,2,FALSE)</f>
        <v>CABA</v>
      </c>
      <c r="W1491" t="str">
        <f>VLOOKUP($R1491,'Mapa Oficinas'!$A$7:$C$46,3,FALSE)</f>
        <v>Recoleta</v>
      </c>
    </row>
    <row r="1492" spans="1:23" x14ac:dyDescent="0.2">
      <c r="A1492" s="1">
        <v>45761</v>
      </c>
      <c r="B1492" s="20">
        <f t="shared" si="46"/>
        <v>2025</v>
      </c>
      <c r="C1492" s="20">
        <f t="shared" si="47"/>
        <v>4</v>
      </c>
      <c r="D1492" t="s">
        <v>1418</v>
      </c>
      <c r="E1492" s="49">
        <v>1</v>
      </c>
      <c r="F1492" t="s">
        <v>1419</v>
      </c>
      <c r="G1492" t="s">
        <v>21</v>
      </c>
      <c r="H1492" t="s">
        <v>37</v>
      </c>
      <c r="I1492" s="13">
        <v>125000</v>
      </c>
      <c r="J1492" s="13">
        <v>122000</v>
      </c>
      <c r="K1492" s="13">
        <f>IF(J1492&lt;'Mapa Oficinas'!$I$21,0,IF(J1492&gt;'Mapa Oficinas'!$I$20,0,1))</f>
        <v>1</v>
      </c>
      <c r="L1492" t="s">
        <v>23</v>
      </c>
      <c r="M1492" t="s">
        <v>23</v>
      </c>
      <c r="N1492" t="s">
        <v>1420</v>
      </c>
      <c r="O1492" t="s">
        <v>1421</v>
      </c>
      <c r="P1492" t="s">
        <v>45</v>
      </c>
      <c r="Q1492">
        <v>2</v>
      </c>
      <c r="R1492" t="s">
        <v>183</v>
      </c>
      <c r="S1492" t="s">
        <v>28</v>
      </c>
      <c r="T1492" t="str">
        <f>VLOOKUP(S1492,'Mapa Oficinas'!$H$7:$I$16,2,FALSE)</f>
        <v>CB</v>
      </c>
      <c r="U1492" t="s">
        <v>29</v>
      </c>
      <c r="V1492" t="str">
        <f>VLOOKUP($R1492,'Mapa Oficinas'!$A$7:$C$46,2,FALSE)</f>
        <v>Interior - Neuquén</v>
      </c>
      <c r="W1492" t="str">
        <f>VLOOKUP($R1492,'Mapa Oficinas'!$A$7:$C$46,3,FALSE)</f>
        <v>Capital Neuquén</v>
      </c>
    </row>
    <row r="1493" spans="1:23" x14ac:dyDescent="0.2">
      <c r="A1493" s="1">
        <v>45874</v>
      </c>
      <c r="B1493" s="20">
        <f t="shared" si="46"/>
        <v>2025</v>
      </c>
      <c r="C1493" s="20">
        <f t="shared" si="47"/>
        <v>8</v>
      </c>
      <c r="D1493" t="s">
        <v>3428</v>
      </c>
      <c r="E1493" s="49">
        <v>1</v>
      </c>
      <c r="F1493" t="s">
        <v>3429</v>
      </c>
      <c r="G1493" t="s">
        <v>21</v>
      </c>
      <c r="H1493" t="s">
        <v>37</v>
      </c>
      <c r="I1493" s="13">
        <v>128000</v>
      </c>
      <c r="J1493" s="13">
        <v>122000</v>
      </c>
      <c r="K1493" s="13">
        <f>IF(J1493&lt;'Mapa Oficinas'!$I$21,0,IF(J1493&gt;'Mapa Oficinas'!$I$20,0,1))</f>
        <v>1</v>
      </c>
      <c r="L1493" t="s">
        <v>23</v>
      </c>
      <c r="M1493" t="s">
        <v>23</v>
      </c>
      <c r="N1493" t="s">
        <v>3430</v>
      </c>
      <c r="O1493" t="s">
        <v>914</v>
      </c>
      <c r="P1493" t="s">
        <v>45</v>
      </c>
      <c r="Q1493">
        <v>2</v>
      </c>
      <c r="R1493" t="s">
        <v>62</v>
      </c>
      <c r="S1493" t="s">
        <v>28</v>
      </c>
      <c r="T1493" t="str">
        <f>VLOOKUP(S1493,'Mapa Oficinas'!$H$7:$I$16,2,FALSE)</f>
        <v>CB</v>
      </c>
      <c r="U1493" t="s">
        <v>29</v>
      </c>
      <c r="V1493" t="str">
        <f>VLOOKUP($R1493,'Mapa Oficinas'!$A$7:$C$46,2,FALSE)</f>
        <v>CABA</v>
      </c>
      <c r="W1493" t="str">
        <f>VLOOKUP($R1493,'Mapa Oficinas'!$A$7:$C$46,3,FALSE)</f>
        <v>Villa Urquiza</v>
      </c>
    </row>
    <row r="1494" spans="1:23" x14ac:dyDescent="0.2">
      <c r="A1494" s="1">
        <v>45895</v>
      </c>
      <c r="B1494" s="20">
        <f t="shared" si="46"/>
        <v>2025</v>
      </c>
      <c r="C1494" s="20">
        <f t="shared" si="47"/>
        <v>8</v>
      </c>
      <c r="D1494" t="s">
        <v>3777</v>
      </c>
      <c r="E1494" s="49">
        <v>1</v>
      </c>
      <c r="F1494" t="s">
        <v>3778</v>
      </c>
      <c r="G1494" t="s">
        <v>21</v>
      </c>
      <c r="H1494" t="s">
        <v>81</v>
      </c>
      <c r="I1494" s="13">
        <v>130000</v>
      </c>
      <c r="J1494" s="13">
        <v>122000</v>
      </c>
      <c r="K1494" s="13">
        <f>IF(J1494&lt;'Mapa Oficinas'!$I$21,0,IF(J1494&gt;'Mapa Oficinas'!$I$20,0,1))</f>
        <v>1</v>
      </c>
      <c r="L1494" t="s">
        <v>23</v>
      </c>
      <c r="M1494" t="s">
        <v>23</v>
      </c>
      <c r="N1494" t="s">
        <v>3779</v>
      </c>
      <c r="O1494" t="s">
        <v>256</v>
      </c>
      <c r="P1494" t="s">
        <v>45</v>
      </c>
      <c r="Q1494">
        <v>2</v>
      </c>
      <c r="R1494" t="s">
        <v>257</v>
      </c>
      <c r="S1494" t="s">
        <v>28</v>
      </c>
      <c r="T1494" t="str">
        <f>VLOOKUP(S1494,'Mapa Oficinas'!$H$7:$I$16,2,FALSE)</f>
        <v>CB</v>
      </c>
      <c r="U1494" t="s">
        <v>29</v>
      </c>
      <c r="V1494" t="str">
        <f>VLOOKUP($R1494,'Mapa Oficinas'!$A$7:$C$46,2,FALSE)</f>
        <v>Zona Norte (GBA)</v>
      </c>
      <c r="W1494" t="str">
        <f>VLOOKUP($R1494,'Mapa Oficinas'!$A$7:$C$46,3,FALSE)</f>
        <v>Pilar</v>
      </c>
    </row>
    <row r="1495" spans="1:23" x14ac:dyDescent="0.2">
      <c r="A1495" s="1">
        <v>45904</v>
      </c>
      <c r="B1495" s="20">
        <f t="shared" si="46"/>
        <v>2025</v>
      </c>
      <c r="C1495" s="20">
        <f t="shared" si="47"/>
        <v>9</v>
      </c>
      <c r="D1495" t="s">
        <v>3986</v>
      </c>
      <c r="E1495" s="49">
        <v>1</v>
      </c>
      <c r="F1495" t="s">
        <v>3987</v>
      </c>
      <c r="G1495" t="s">
        <v>21</v>
      </c>
      <c r="H1495" t="s">
        <v>37</v>
      </c>
      <c r="I1495" s="13">
        <v>129999</v>
      </c>
      <c r="J1495" s="13">
        <v>122000</v>
      </c>
      <c r="K1495" s="13">
        <f>IF(J1495&lt;'Mapa Oficinas'!$I$21,0,IF(J1495&gt;'Mapa Oficinas'!$I$20,0,1))</f>
        <v>1</v>
      </c>
      <c r="L1495" t="s">
        <v>23</v>
      </c>
      <c r="M1495" t="s">
        <v>23</v>
      </c>
      <c r="N1495" t="s">
        <v>3988</v>
      </c>
      <c r="O1495" t="s">
        <v>83</v>
      </c>
      <c r="P1495" t="s">
        <v>45</v>
      </c>
      <c r="Q1495">
        <v>2</v>
      </c>
      <c r="R1495" t="s">
        <v>84</v>
      </c>
      <c r="S1495" t="s">
        <v>28</v>
      </c>
      <c r="T1495" t="str">
        <f>VLOOKUP(S1495,'Mapa Oficinas'!$H$7:$I$16,2,FALSE)</f>
        <v>CB</v>
      </c>
      <c r="U1495" t="s">
        <v>29</v>
      </c>
      <c r="V1495" t="str">
        <f>VLOOKUP($R1495,'Mapa Oficinas'!$A$7:$C$46,2,FALSE)</f>
        <v>Interior - Neuquén</v>
      </c>
      <c r="W1495" t="str">
        <f>VLOOKUP($R1495,'Mapa Oficinas'!$A$7:$C$46,3,FALSE)</f>
        <v>Villa La Angostura</v>
      </c>
    </row>
    <row r="1496" spans="1:23" x14ac:dyDescent="0.2">
      <c r="A1496" s="1">
        <v>45952</v>
      </c>
      <c r="B1496" s="20">
        <f t="shared" si="46"/>
        <v>2025</v>
      </c>
      <c r="C1496" s="20">
        <f t="shared" si="47"/>
        <v>10</v>
      </c>
      <c r="D1496">
        <v>31</v>
      </c>
      <c r="E1496" s="49">
        <v>1</v>
      </c>
      <c r="F1496" t="s">
        <v>4848</v>
      </c>
      <c r="G1496" t="s">
        <v>21</v>
      </c>
      <c r="H1496" t="s">
        <v>37</v>
      </c>
      <c r="I1496" s="13">
        <v>115000</v>
      </c>
      <c r="J1496" s="13">
        <v>122500</v>
      </c>
      <c r="K1496" s="13">
        <f>IF(J1496&lt;'Mapa Oficinas'!$I$21,0,IF(J1496&gt;'Mapa Oficinas'!$I$20,0,1))</f>
        <v>1</v>
      </c>
      <c r="L1496" t="s">
        <v>23</v>
      </c>
      <c r="M1496" t="s">
        <v>23</v>
      </c>
      <c r="N1496" t="s">
        <v>4849</v>
      </c>
      <c r="O1496" t="s">
        <v>552</v>
      </c>
      <c r="P1496" t="s">
        <v>45</v>
      </c>
      <c r="Q1496">
        <v>1</v>
      </c>
      <c r="R1496" t="s">
        <v>1024</v>
      </c>
      <c r="S1496" t="s">
        <v>47</v>
      </c>
      <c r="T1496" t="str">
        <f>VLOOKUP(S1496,'Mapa Oficinas'!$H$7:$I$16,2,FALSE)</f>
        <v>Otra Red Búsqueda</v>
      </c>
      <c r="U1496" t="s">
        <v>29</v>
      </c>
      <c r="V1496" t="str">
        <f>VLOOKUP($R1496,'Mapa Oficinas'!$A$7:$C$46,2,FALSE)</f>
        <v>CABA</v>
      </c>
      <c r="W1496" t="str">
        <f>VLOOKUP($R1496,'Mapa Oficinas'!$A$7:$C$46,3,FALSE)</f>
        <v>Puerto Madero</v>
      </c>
    </row>
    <row r="1497" spans="1:23" x14ac:dyDescent="0.2">
      <c r="A1497" s="1">
        <v>45994</v>
      </c>
      <c r="B1497" s="20">
        <f t="shared" si="46"/>
        <v>2025</v>
      </c>
      <c r="C1497" s="20">
        <f t="shared" si="47"/>
        <v>12</v>
      </c>
      <c r="D1497" t="s">
        <v>5604</v>
      </c>
      <c r="E1497" s="49">
        <v>1</v>
      </c>
      <c r="F1497" t="s">
        <v>5605</v>
      </c>
      <c r="G1497" t="s">
        <v>21</v>
      </c>
      <c r="H1497" t="s">
        <v>37</v>
      </c>
      <c r="I1497" s="13">
        <v>125000</v>
      </c>
      <c r="J1497" s="13">
        <v>122500</v>
      </c>
      <c r="K1497" s="13">
        <f>IF(J1497&lt;'Mapa Oficinas'!$I$21,0,IF(J1497&gt;'Mapa Oficinas'!$I$20,0,1))</f>
        <v>1</v>
      </c>
      <c r="L1497" t="s">
        <v>23</v>
      </c>
      <c r="M1497" t="s">
        <v>23</v>
      </c>
      <c r="N1497" t="s">
        <v>5606</v>
      </c>
      <c r="O1497" t="s">
        <v>1224</v>
      </c>
      <c r="P1497" t="s">
        <v>45</v>
      </c>
      <c r="Q1497">
        <v>2</v>
      </c>
      <c r="R1497" t="s">
        <v>4688</v>
      </c>
      <c r="S1497" t="s">
        <v>28</v>
      </c>
      <c r="T1497" t="str">
        <f>VLOOKUP(S1497,'Mapa Oficinas'!$H$7:$I$16,2,FALSE)</f>
        <v>CB</v>
      </c>
      <c r="U1497" t="s">
        <v>29</v>
      </c>
      <c r="V1497" t="str">
        <f>VLOOKUP($R1497,'Mapa Oficinas'!$A$7:$C$46,2,FALSE)</f>
        <v>Zona Norte (GBA)</v>
      </c>
      <c r="W1497" t="str">
        <f>VLOOKUP($R1497,'Mapa Oficinas'!$A$7:$C$46,3,FALSE)</f>
        <v>San Isidro</v>
      </c>
    </row>
    <row r="1498" spans="1:23" x14ac:dyDescent="0.2">
      <c r="A1498" s="1">
        <v>45978</v>
      </c>
      <c r="B1498" s="20">
        <f t="shared" si="46"/>
        <v>2025</v>
      </c>
      <c r="C1498" s="20">
        <f t="shared" si="47"/>
        <v>11</v>
      </c>
      <c r="D1498" t="s">
        <v>5257</v>
      </c>
      <c r="E1498" s="49">
        <v>1</v>
      </c>
      <c r="F1498" t="s">
        <v>5257</v>
      </c>
      <c r="G1498" t="s">
        <v>21</v>
      </c>
      <c r="H1498" t="s">
        <v>37</v>
      </c>
      <c r="I1498" s="13">
        <v>123000</v>
      </c>
      <c r="J1498" s="13">
        <v>123000</v>
      </c>
      <c r="K1498" s="13">
        <f>IF(J1498&lt;'Mapa Oficinas'!$I$21,0,IF(J1498&gt;'Mapa Oficinas'!$I$20,0,1))</f>
        <v>1</v>
      </c>
      <c r="L1498" t="s">
        <v>23</v>
      </c>
      <c r="M1498" t="s">
        <v>23</v>
      </c>
      <c r="N1498" t="s">
        <v>5257</v>
      </c>
      <c r="O1498" t="s">
        <v>178</v>
      </c>
      <c r="P1498" t="s">
        <v>45</v>
      </c>
      <c r="Q1498">
        <v>1</v>
      </c>
      <c r="R1498" t="s">
        <v>56</v>
      </c>
      <c r="S1498" t="s">
        <v>122</v>
      </c>
      <c r="T1498" t="str">
        <f>VLOOKUP(S1498,'Mapa Oficinas'!$H$7:$I$16,2,FALSE)</f>
        <v>Otra Red Búsqueda</v>
      </c>
      <c r="U1498" t="s">
        <v>29</v>
      </c>
      <c r="V1498" t="str">
        <f>VLOOKUP($R1498,'Mapa Oficinas'!$A$7:$C$46,2,FALSE)</f>
        <v>Zona Norte (GBA)</v>
      </c>
      <c r="W1498" t="str">
        <f>VLOOKUP($R1498,'Mapa Oficinas'!$A$7:$C$46,3,FALSE)</f>
        <v>Vicente López</v>
      </c>
    </row>
    <row r="1499" spans="1:23" x14ac:dyDescent="0.2">
      <c r="A1499" s="1">
        <v>45880</v>
      </c>
      <c r="B1499" s="20">
        <f t="shared" si="46"/>
        <v>2025</v>
      </c>
      <c r="C1499" s="20">
        <f t="shared" si="47"/>
        <v>8</v>
      </c>
      <c r="D1499" t="s">
        <v>3510</v>
      </c>
      <c r="E1499" s="49">
        <v>1</v>
      </c>
      <c r="F1499" t="s">
        <v>3511</v>
      </c>
      <c r="G1499" t="s">
        <v>21</v>
      </c>
      <c r="H1499" t="s">
        <v>37</v>
      </c>
      <c r="I1499" s="13">
        <v>160000</v>
      </c>
      <c r="J1499" s="13">
        <v>123000</v>
      </c>
      <c r="K1499" s="13">
        <f>IF(J1499&lt;'Mapa Oficinas'!$I$21,0,IF(J1499&gt;'Mapa Oficinas'!$I$20,0,1))</f>
        <v>1</v>
      </c>
      <c r="L1499" t="s">
        <v>23</v>
      </c>
      <c r="M1499" t="s">
        <v>23</v>
      </c>
      <c r="N1499" t="s">
        <v>3512</v>
      </c>
      <c r="O1499" t="s">
        <v>3513</v>
      </c>
      <c r="P1499" t="s">
        <v>34</v>
      </c>
      <c r="Q1499">
        <v>1</v>
      </c>
      <c r="R1499" t="s">
        <v>103</v>
      </c>
      <c r="S1499" t="s">
        <v>47</v>
      </c>
      <c r="T1499" t="str">
        <f>VLOOKUP(S1499,'Mapa Oficinas'!$H$7:$I$16,2,FALSE)</f>
        <v>Otra Red Búsqueda</v>
      </c>
      <c r="U1499" t="s">
        <v>29</v>
      </c>
      <c r="V1499" t="str">
        <f>VLOOKUP($R1499,'Mapa Oficinas'!$A$7:$C$46,2,FALSE)</f>
        <v>Zona Sur (GBA)</v>
      </c>
      <c r="W1499" t="str">
        <f>VLOOKUP($R1499,'Mapa Oficinas'!$A$7:$C$46,3,FALSE)</f>
        <v>La Plata</v>
      </c>
    </row>
    <row r="1500" spans="1:23" x14ac:dyDescent="0.2">
      <c r="A1500" s="1">
        <v>45930</v>
      </c>
      <c r="B1500" s="20">
        <f t="shared" si="46"/>
        <v>2025</v>
      </c>
      <c r="C1500" s="20">
        <f t="shared" si="47"/>
        <v>9</v>
      </c>
      <c r="D1500" t="s">
        <v>4427</v>
      </c>
      <c r="E1500" s="49">
        <v>1</v>
      </c>
      <c r="F1500" t="s">
        <v>4428</v>
      </c>
      <c r="G1500" t="s">
        <v>21</v>
      </c>
      <c r="H1500" t="s">
        <v>37</v>
      </c>
      <c r="I1500" s="13">
        <v>88000</v>
      </c>
      <c r="J1500" s="13">
        <v>123000</v>
      </c>
      <c r="K1500" s="13">
        <f>IF(J1500&lt;'Mapa Oficinas'!$I$21,0,IF(J1500&gt;'Mapa Oficinas'!$I$20,0,1))</f>
        <v>1</v>
      </c>
      <c r="L1500" t="s">
        <v>23</v>
      </c>
      <c r="M1500" t="s">
        <v>23</v>
      </c>
      <c r="N1500" t="s">
        <v>4429</v>
      </c>
      <c r="O1500" t="s">
        <v>981</v>
      </c>
      <c r="P1500" t="s">
        <v>45</v>
      </c>
      <c r="Q1500">
        <v>1</v>
      </c>
      <c r="R1500" t="s">
        <v>110</v>
      </c>
      <c r="S1500" t="s">
        <v>47</v>
      </c>
      <c r="T1500" t="str">
        <f>VLOOKUP(S1500,'Mapa Oficinas'!$H$7:$I$16,2,FALSE)</f>
        <v>Otra Red Búsqueda</v>
      </c>
      <c r="U1500" t="s">
        <v>29</v>
      </c>
      <c r="V1500" t="str">
        <f>VLOOKUP($R1500,'Mapa Oficinas'!$A$7:$C$46,2,FALSE)</f>
        <v>Zona Norte (GBA)</v>
      </c>
      <c r="W1500" t="str">
        <f>VLOOKUP($R1500,'Mapa Oficinas'!$A$7:$C$46,3,FALSE)</f>
        <v>Nordelta</v>
      </c>
    </row>
    <row r="1501" spans="1:23" x14ac:dyDescent="0.2">
      <c r="A1501" s="1">
        <v>46064</v>
      </c>
      <c r="B1501" s="20">
        <f t="shared" si="46"/>
        <v>2026</v>
      </c>
      <c r="C1501" s="20">
        <f t="shared" si="47"/>
        <v>2</v>
      </c>
      <c r="D1501" t="s">
        <v>6654</v>
      </c>
      <c r="E1501" s="49">
        <v>1</v>
      </c>
      <c r="F1501" t="s">
        <v>6655</v>
      </c>
      <c r="G1501" t="s">
        <v>21</v>
      </c>
      <c r="H1501" t="s">
        <v>37</v>
      </c>
      <c r="I1501" s="13">
        <v>129500</v>
      </c>
      <c r="J1501" s="13">
        <v>123000</v>
      </c>
      <c r="K1501" s="13">
        <f>IF(J1501&lt;'Mapa Oficinas'!$I$21,0,IF(J1501&gt;'Mapa Oficinas'!$I$20,0,1))</f>
        <v>1</v>
      </c>
      <c r="L1501" t="s">
        <v>23</v>
      </c>
      <c r="M1501" t="s">
        <v>23</v>
      </c>
      <c r="N1501" t="s">
        <v>6656</v>
      </c>
      <c r="O1501" t="s">
        <v>1196</v>
      </c>
      <c r="P1501" t="s">
        <v>45</v>
      </c>
      <c r="Q1501">
        <v>2</v>
      </c>
      <c r="R1501" t="s">
        <v>4688</v>
      </c>
      <c r="S1501" t="s">
        <v>200</v>
      </c>
      <c r="T1501" t="str">
        <f>VLOOKUP(S1501,'Mapa Oficinas'!$H$7:$I$16,2,FALSE)</f>
        <v>Otra Red Captación</v>
      </c>
      <c r="U1501" t="s">
        <v>29</v>
      </c>
      <c r="V1501" t="str">
        <f>VLOOKUP($R1501,'Mapa Oficinas'!$A$7:$C$46,2,FALSE)</f>
        <v>Zona Norte (GBA)</v>
      </c>
      <c r="W1501" t="str">
        <f>VLOOKUP($R1501,'Mapa Oficinas'!$A$7:$C$46,3,FALSE)</f>
        <v>San Isidro</v>
      </c>
    </row>
    <row r="1502" spans="1:23" x14ac:dyDescent="0.2">
      <c r="A1502" s="1">
        <v>45791</v>
      </c>
      <c r="B1502" s="20">
        <f t="shared" si="46"/>
        <v>2025</v>
      </c>
      <c r="C1502" s="20">
        <f t="shared" si="47"/>
        <v>5</v>
      </c>
      <c r="D1502" t="s">
        <v>1933</v>
      </c>
      <c r="E1502" s="49">
        <v>1</v>
      </c>
      <c r="F1502" t="s">
        <v>1934</v>
      </c>
      <c r="G1502" t="s">
        <v>21</v>
      </c>
      <c r="H1502" t="s">
        <v>37</v>
      </c>
      <c r="I1502" s="13">
        <v>129000</v>
      </c>
      <c r="J1502" s="13">
        <v>123000</v>
      </c>
      <c r="K1502" s="13">
        <f>IF(J1502&lt;'Mapa Oficinas'!$I$21,0,IF(J1502&gt;'Mapa Oficinas'!$I$20,0,1))</f>
        <v>1</v>
      </c>
      <c r="L1502" t="s">
        <v>23</v>
      </c>
      <c r="M1502" t="s">
        <v>23</v>
      </c>
      <c r="N1502" t="s">
        <v>1935</v>
      </c>
      <c r="O1502" t="s">
        <v>390</v>
      </c>
      <c r="P1502" t="s">
        <v>45</v>
      </c>
      <c r="Q1502">
        <v>2</v>
      </c>
      <c r="R1502" t="s">
        <v>67</v>
      </c>
      <c r="S1502" t="s">
        <v>28</v>
      </c>
      <c r="T1502" t="str">
        <f>VLOOKUP(S1502,'Mapa Oficinas'!$H$7:$I$16,2,FALSE)</f>
        <v>CB</v>
      </c>
      <c r="U1502" t="s">
        <v>29</v>
      </c>
      <c r="V1502" t="str">
        <f>VLOOKUP($R1502,'Mapa Oficinas'!$A$7:$C$46,2,FALSE)</f>
        <v>CABA</v>
      </c>
      <c r="W1502" t="str">
        <f>VLOOKUP($R1502,'Mapa Oficinas'!$A$7:$C$46,3,FALSE)</f>
        <v>Barrio Parque</v>
      </c>
    </row>
    <row r="1503" spans="1:23" x14ac:dyDescent="0.2">
      <c r="A1503" s="1">
        <v>45807</v>
      </c>
      <c r="B1503" s="20">
        <f t="shared" si="46"/>
        <v>2025</v>
      </c>
      <c r="C1503" s="20">
        <f t="shared" si="47"/>
        <v>5</v>
      </c>
      <c r="D1503" t="s">
        <v>57</v>
      </c>
      <c r="E1503" s="49">
        <v>1</v>
      </c>
      <c r="F1503" t="s">
        <v>58</v>
      </c>
      <c r="G1503" t="s">
        <v>21</v>
      </c>
      <c r="H1503" t="s">
        <v>22</v>
      </c>
      <c r="I1503" s="13">
        <v>135000</v>
      </c>
      <c r="J1503" s="13">
        <v>123000</v>
      </c>
      <c r="K1503" s="13">
        <f>IF(J1503&lt;'Mapa Oficinas'!$I$21,0,IF(J1503&gt;'Mapa Oficinas'!$I$20,0,1))</f>
        <v>1</v>
      </c>
      <c r="L1503" t="s">
        <v>23</v>
      </c>
      <c r="M1503" t="s">
        <v>23</v>
      </c>
      <c r="N1503" t="s">
        <v>59</v>
      </c>
      <c r="O1503" t="s">
        <v>60</v>
      </c>
      <c r="P1503" t="s">
        <v>61</v>
      </c>
      <c r="Q1503">
        <v>2</v>
      </c>
      <c r="R1503" t="s">
        <v>62</v>
      </c>
      <c r="S1503" t="s">
        <v>28</v>
      </c>
      <c r="T1503" t="str">
        <f>VLOOKUP(S1503,'Mapa Oficinas'!$H$7:$I$16,2,FALSE)</f>
        <v>CB</v>
      </c>
      <c r="U1503" t="s">
        <v>29</v>
      </c>
      <c r="V1503" t="str">
        <f>VLOOKUP($R1503,'Mapa Oficinas'!$A$7:$C$46,2,FALSE)</f>
        <v>CABA</v>
      </c>
      <c r="W1503" t="str">
        <f>VLOOKUP($R1503,'Mapa Oficinas'!$A$7:$C$46,3,FALSE)</f>
        <v>Villa Urquiza</v>
      </c>
    </row>
    <row r="1504" spans="1:23" x14ac:dyDescent="0.2">
      <c r="A1504" s="1">
        <v>45917</v>
      </c>
      <c r="B1504" s="20">
        <f t="shared" si="46"/>
        <v>2025</v>
      </c>
      <c r="C1504" s="20">
        <f t="shared" si="47"/>
        <v>9</v>
      </c>
      <c r="D1504" t="s">
        <v>4202</v>
      </c>
      <c r="E1504" s="49">
        <v>1</v>
      </c>
      <c r="F1504" t="s">
        <v>4203</v>
      </c>
      <c r="G1504" t="s">
        <v>21</v>
      </c>
      <c r="H1504" t="s">
        <v>37</v>
      </c>
      <c r="I1504" s="13">
        <v>127000</v>
      </c>
      <c r="J1504" s="13">
        <v>123000</v>
      </c>
      <c r="K1504" s="13">
        <f>IF(J1504&lt;'Mapa Oficinas'!$I$21,0,IF(J1504&gt;'Mapa Oficinas'!$I$20,0,1))</f>
        <v>1</v>
      </c>
      <c r="L1504" t="s">
        <v>23</v>
      </c>
      <c r="M1504" t="s">
        <v>23</v>
      </c>
      <c r="N1504" t="s">
        <v>4204</v>
      </c>
      <c r="O1504" t="s">
        <v>66</v>
      </c>
      <c r="P1504" t="s">
        <v>45</v>
      </c>
      <c r="Q1504">
        <v>2</v>
      </c>
      <c r="R1504" t="s">
        <v>321</v>
      </c>
      <c r="S1504" t="s">
        <v>28</v>
      </c>
      <c r="T1504" t="str">
        <f>VLOOKUP(S1504,'Mapa Oficinas'!$H$7:$I$16,2,FALSE)</f>
        <v>CB</v>
      </c>
      <c r="U1504" t="s">
        <v>29</v>
      </c>
      <c r="V1504" t="str">
        <f>VLOOKUP($R1504,'Mapa Oficinas'!$A$7:$C$46,2,FALSE)</f>
        <v>CABA</v>
      </c>
      <c r="W1504" t="str">
        <f>VLOOKUP($R1504,'Mapa Oficinas'!$A$7:$C$46,3,FALSE)</f>
        <v>Palermo</v>
      </c>
    </row>
    <row r="1505" spans="1:23" x14ac:dyDescent="0.2">
      <c r="A1505" s="1">
        <v>46083</v>
      </c>
      <c r="B1505" s="20">
        <f t="shared" si="46"/>
        <v>2026</v>
      </c>
      <c r="C1505" s="20">
        <f t="shared" si="47"/>
        <v>3</v>
      </c>
      <c r="D1505" t="s">
        <v>6943</v>
      </c>
      <c r="E1505" s="49">
        <v>1</v>
      </c>
      <c r="F1505" t="s">
        <v>6944</v>
      </c>
      <c r="G1505" t="s">
        <v>21</v>
      </c>
      <c r="H1505" t="s">
        <v>37</v>
      </c>
      <c r="I1505" s="13">
        <v>125000</v>
      </c>
      <c r="J1505" s="13">
        <v>123000</v>
      </c>
      <c r="K1505" s="13">
        <f>IF(J1505&lt;'Mapa Oficinas'!$I$21,0,IF(J1505&gt;'Mapa Oficinas'!$I$20,0,1))</f>
        <v>1</v>
      </c>
      <c r="L1505" t="s">
        <v>23</v>
      </c>
      <c r="M1505" t="s">
        <v>23</v>
      </c>
      <c r="N1505" t="s">
        <v>6945</v>
      </c>
      <c r="O1505" t="s">
        <v>92</v>
      </c>
      <c r="P1505" t="s">
        <v>45</v>
      </c>
      <c r="Q1505">
        <v>2</v>
      </c>
      <c r="R1505" t="s">
        <v>257</v>
      </c>
      <c r="S1505" t="s">
        <v>28</v>
      </c>
      <c r="T1505" t="str">
        <f>VLOOKUP(S1505,'Mapa Oficinas'!$H$7:$I$16,2,FALSE)</f>
        <v>CB</v>
      </c>
      <c r="U1505" t="s">
        <v>29</v>
      </c>
      <c r="V1505" t="str">
        <f>VLOOKUP($R1505,'Mapa Oficinas'!$A$7:$C$46,2,FALSE)</f>
        <v>Zona Norte (GBA)</v>
      </c>
      <c r="W1505" t="str">
        <f>VLOOKUP($R1505,'Mapa Oficinas'!$A$7:$C$46,3,FALSE)</f>
        <v>Pilar</v>
      </c>
    </row>
    <row r="1506" spans="1:23" x14ac:dyDescent="0.2">
      <c r="A1506" s="1">
        <v>45898</v>
      </c>
      <c r="B1506" s="20">
        <f t="shared" si="46"/>
        <v>2025</v>
      </c>
      <c r="C1506" s="20">
        <f t="shared" si="47"/>
        <v>8</v>
      </c>
      <c r="D1506" t="s">
        <v>3884</v>
      </c>
      <c r="E1506" s="49">
        <v>1</v>
      </c>
      <c r="F1506" t="s">
        <v>3884</v>
      </c>
      <c r="G1506" t="s">
        <v>21</v>
      </c>
      <c r="H1506" t="s">
        <v>37</v>
      </c>
      <c r="I1506" s="13">
        <v>124000</v>
      </c>
      <c r="J1506" s="13">
        <v>124000</v>
      </c>
      <c r="K1506" s="13">
        <f>IF(J1506&lt;'Mapa Oficinas'!$I$21,0,IF(J1506&gt;'Mapa Oficinas'!$I$20,0,1))</f>
        <v>1</v>
      </c>
      <c r="L1506" t="s">
        <v>23</v>
      </c>
      <c r="M1506" t="s">
        <v>23</v>
      </c>
      <c r="N1506" t="s">
        <v>3884</v>
      </c>
      <c r="O1506" t="s">
        <v>380</v>
      </c>
      <c r="P1506" t="s">
        <v>45</v>
      </c>
      <c r="Q1506">
        <v>1</v>
      </c>
      <c r="R1506" t="s">
        <v>46</v>
      </c>
      <c r="S1506" t="s">
        <v>47</v>
      </c>
      <c r="T1506" t="str">
        <f>VLOOKUP(S1506,'Mapa Oficinas'!$H$7:$I$16,2,FALSE)</f>
        <v>Otra Red Búsqueda</v>
      </c>
      <c r="U1506" t="s">
        <v>29</v>
      </c>
      <c r="V1506" t="str">
        <f>VLOOKUP($R1506,'Mapa Oficinas'!$A$7:$C$46,2,FALSE)</f>
        <v>CABA</v>
      </c>
      <c r="W1506" t="str">
        <f>VLOOKUP($R1506,'Mapa Oficinas'!$A$7:$C$46,3,FALSE)</f>
        <v>Palermo</v>
      </c>
    </row>
    <row r="1507" spans="1:23" x14ac:dyDescent="0.2">
      <c r="A1507" s="1">
        <v>46072</v>
      </c>
      <c r="B1507" s="20">
        <f t="shared" si="46"/>
        <v>2026</v>
      </c>
      <c r="C1507" s="20">
        <f t="shared" si="47"/>
        <v>2</v>
      </c>
      <c r="D1507" t="s">
        <v>6757</v>
      </c>
      <c r="E1507" s="49">
        <v>1</v>
      </c>
      <c r="F1507" t="s">
        <v>6758</v>
      </c>
      <c r="G1507" t="s">
        <v>21</v>
      </c>
      <c r="H1507" t="s">
        <v>37</v>
      </c>
      <c r="I1507" s="13">
        <v>124000</v>
      </c>
      <c r="J1507" s="13">
        <v>124000</v>
      </c>
      <c r="K1507" s="13">
        <f>IF(J1507&lt;'Mapa Oficinas'!$I$21,0,IF(J1507&gt;'Mapa Oficinas'!$I$20,0,1))</f>
        <v>1</v>
      </c>
      <c r="L1507" t="s">
        <v>23</v>
      </c>
      <c r="M1507" t="s">
        <v>23</v>
      </c>
      <c r="N1507" t="s">
        <v>6759</v>
      </c>
      <c r="O1507" t="s">
        <v>66</v>
      </c>
      <c r="P1507" t="s">
        <v>45</v>
      </c>
      <c r="Q1507">
        <v>2</v>
      </c>
      <c r="R1507" t="s">
        <v>67</v>
      </c>
      <c r="S1507" t="s">
        <v>200</v>
      </c>
      <c r="T1507" t="str">
        <f>VLOOKUP(S1507,'Mapa Oficinas'!$H$7:$I$16,2,FALSE)</f>
        <v>Otra Red Captación</v>
      </c>
      <c r="U1507" t="s">
        <v>29</v>
      </c>
      <c r="V1507" t="str">
        <f>VLOOKUP($R1507,'Mapa Oficinas'!$A$7:$C$46,2,FALSE)</f>
        <v>CABA</v>
      </c>
      <c r="W1507" t="str">
        <f>VLOOKUP($R1507,'Mapa Oficinas'!$A$7:$C$46,3,FALSE)</f>
        <v>Barrio Parque</v>
      </c>
    </row>
    <row r="1508" spans="1:23" x14ac:dyDescent="0.2">
      <c r="A1508" s="1">
        <v>45835</v>
      </c>
      <c r="B1508" s="20">
        <f t="shared" si="46"/>
        <v>2025</v>
      </c>
      <c r="C1508" s="20">
        <f t="shared" si="47"/>
        <v>6</v>
      </c>
      <c r="D1508" t="s">
        <v>2707</v>
      </c>
      <c r="E1508" s="49">
        <v>1</v>
      </c>
      <c r="F1508" t="s">
        <v>2708</v>
      </c>
      <c r="G1508" t="s">
        <v>21</v>
      </c>
      <c r="H1508" t="s">
        <v>37</v>
      </c>
      <c r="I1508" s="13">
        <v>124000</v>
      </c>
      <c r="J1508" s="13">
        <v>124000</v>
      </c>
      <c r="K1508" s="13">
        <f>IF(J1508&lt;'Mapa Oficinas'!$I$21,0,IF(J1508&gt;'Mapa Oficinas'!$I$20,0,1))</f>
        <v>1</v>
      </c>
      <c r="L1508" t="s">
        <v>23</v>
      </c>
      <c r="M1508" t="s">
        <v>23</v>
      </c>
      <c r="N1508" t="s">
        <v>2709</v>
      </c>
      <c r="O1508" t="s">
        <v>236</v>
      </c>
      <c r="P1508" t="s">
        <v>45</v>
      </c>
      <c r="Q1508">
        <v>2</v>
      </c>
      <c r="R1508" t="s">
        <v>67</v>
      </c>
      <c r="S1508" t="s">
        <v>28</v>
      </c>
      <c r="T1508" t="str">
        <f>VLOOKUP(S1508,'Mapa Oficinas'!$H$7:$I$16,2,FALSE)</f>
        <v>CB</v>
      </c>
      <c r="U1508" t="s">
        <v>29</v>
      </c>
      <c r="V1508" t="str">
        <f>VLOOKUP($R1508,'Mapa Oficinas'!$A$7:$C$46,2,FALSE)</f>
        <v>CABA</v>
      </c>
      <c r="W1508" t="str">
        <f>VLOOKUP($R1508,'Mapa Oficinas'!$A$7:$C$46,3,FALSE)</f>
        <v>Barrio Parque</v>
      </c>
    </row>
    <row r="1509" spans="1:23" x14ac:dyDescent="0.2">
      <c r="A1509" s="1">
        <v>45869</v>
      </c>
      <c r="B1509" s="20">
        <f t="shared" si="46"/>
        <v>2025</v>
      </c>
      <c r="C1509" s="20">
        <f t="shared" si="47"/>
        <v>7</v>
      </c>
      <c r="D1509" t="s">
        <v>3352</v>
      </c>
      <c r="E1509" s="49">
        <v>1</v>
      </c>
      <c r="F1509" t="s">
        <v>3353</v>
      </c>
      <c r="G1509" t="s">
        <v>21</v>
      </c>
      <c r="H1509" t="s">
        <v>81</v>
      </c>
      <c r="I1509" s="13">
        <v>130000</v>
      </c>
      <c r="J1509" s="13">
        <v>124000</v>
      </c>
      <c r="K1509" s="13">
        <f>IF(J1509&lt;'Mapa Oficinas'!$I$21,0,IF(J1509&gt;'Mapa Oficinas'!$I$20,0,1))</f>
        <v>1</v>
      </c>
      <c r="L1509" t="s">
        <v>23</v>
      </c>
      <c r="M1509" t="s">
        <v>23</v>
      </c>
      <c r="N1509" t="s">
        <v>3354</v>
      </c>
      <c r="O1509" t="s">
        <v>2304</v>
      </c>
      <c r="P1509" t="s">
        <v>34</v>
      </c>
      <c r="Q1509">
        <v>2</v>
      </c>
      <c r="R1509" t="s">
        <v>482</v>
      </c>
      <c r="S1509" t="s">
        <v>28</v>
      </c>
      <c r="T1509" t="str">
        <f>VLOOKUP(S1509,'Mapa Oficinas'!$H$7:$I$16,2,FALSE)</f>
        <v>CB</v>
      </c>
      <c r="U1509" t="s">
        <v>29</v>
      </c>
      <c r="V1509" t="str">
        <f>VLOOKUP($R1509,'Mapa Oficinas'!$A$7:$C$46,2,FALSE)</f>
        <v>Interior - Jujuy</v>
      </c>
      <c r="W1509" t="str">
        <f>VLOOKUP($R1509,'Mapa Oficinas'!$A$7:$C$46,3,FALSE)</f>
        <v>Capital Jujuy</v>
      </c>
    </row>
    <row r="1510" spans="1:23" x14ac:dyDescent="0.2">
      <c r="A1510" s="1">
        <v>45915</v>
      </c>
      <c r="B1510" s="20">
        <f t="shared" si="46"/>
        <v>2025</v>
      </c>
      <c r="C1510" s="20">
        <f t="shared" si="47"/>
        <v>9</v>
      </c>
      <c r="D1510" t="s">
        <v>4161</v>
      </c>
      <c r="E1510" s="49">
        <v>1</v>
      </c>
      <c r="F1510" t="s">
        <v>4162</v>
      </c>
      <c r="G1510" t="s">
        <v>21</v>
      </c>
      <c r="H1510" t="s">
        <v>37</v>
      </c>
      <c r="I1510" s="13">
        <v>179000</v>
      </c>
      <c r="J1510" s="13">
        <v>124000</v>
      </c>
      <c r="K1510" s="13">
        <f>IF(J1510&lt;'Mapa Oficinas'!$I$21,0,IF(J1510&gt;'Mapa Oficinas'!$I$20,0,1))</f>
        <v>1</v>
      </c>
      <c r="L1510" t="s">
        <v>23</v>
      </c>
      <c r="M1510" t="s">
        <v>23</v>
      </c>
      <c r="N1510" t="s">
        <v>4163</v>
      </c>
      <c r="O1510" t="s">
        <v>162</v>
      </c>
      <c r="P1510" t="s">
        <v>45</v>
      </c>
      <c r="Q1510">
        <v>2</v>
      </c>
      <c r="R1510" t="s">
        <v>62</v>
      </c>
      <c r="S1510" t="s">
        <v>28</v>
      </c>
      <c r="T1510" t="str">
        <f>VLOOKUP(S1510,'Mapa Oficinas'!$H$7:$I$16,2,FALSE)</f>
        <v>CB</v>
      </c>
      <c r="U1510" t="s">
        <v>29</v>
      </c>
      <c r="V1510" t="str">
        <f>VLOOKUP($R1510,'Mapa Oficinas'!$A$7:$C$46,2,FALSE)</f>
        <v>CABA</v>
      </c>
      <c r="W1510" t="str">
        <f>VLOOKUP($R1510,'Mapa Oficinas'!$A$7:$C$46,3,FALSE)</f>
        <v>Villa Urquiza</v>
      </c>
    </row>
    <row r="1511" spans="1:23" x14ac:dyDescent="0.2">
      <c r="A1511" s="1">
        <v>45918</v>
      </c>
      <c r="B1511" s="20">
        <f t="shared" si="46"/>
        <v>2025</v>
      </c>
      <c r="C1511" s="20">
        <f t="shared" si="47"/>
        <v>9</v>
      </c>
      <c r="D1511" t="s">
        <v>4222</v>
      </c>
      <c r="E1511" s="49">
        <v>1</v>
      </c>
      <c r="F1511" t="s">
        <v>4223</v>
      </c>
      <c r="G1511" t="s">
        <v>21</v>
      </c>
      <c r="H1511" t="s">
        <v>37</v>
      </c>
      <c r="I1511" s="13">
        <v>130000</v>
      </c>
      <c r="J1511" s="13">
        <v>124000</v>
      </c>
      <c r="K1511" s="13">
        <f>IF(J1511&lt;'Mapa Oficinas'!$I$21,0,IF(J1511&gt;'Mapa Oficinas'!$I$20,0,1))</f>
        <v>1</v>
      </c>
      <c r="L1511" t="s">
        <v>23</v>
      </c>
      <c r="M1511" t="s">
        <v>23</v>
      </c>
      <c r="N1511" t="s">
        <v>4224</v>
      </c>
      <c r="O1511" t="s">
        <v>162</v>
      </c>
      <c r="P1511" t="s">
        <v>61</v>
      </c>
      <c r="Q1511">
        <v>2</v>
      </c>
      <c r="R1511" t="s">
        <v>56</v>
      </c>
      <c r="S1511" t="s">
        <v>28</v>
      </c>
      <c r="T1511" t="str">
        <f>VLOOKUP(S1511,'Mapa Oficinas'!$H$7:$I$16,2,FALSE)</f>
        <v>CB</v>
      </c>
      <c r="U1511" t="s">
        <v>29</v>
      </c>
      <c r="V1511" t="str">
        <f>VLOOKUP($R1511,'Mapa Oficinas'!$A$7:$C$46,2,FALSE)</f>
        <v>Zona Norte (GBA)</v>
      </c>
      <c r="W1511" t="str">
        <f>VLOOKUP($R1511,'Mapa Oficinas'!$A$7:$C$46,3,FALSE)</f>
        <v>Vicente López</v>
      </c>
    </row>
    <row r="1512" spans="1:23" x14ac:dyDescent="0.2">
      <c r="A1512" s="1">
        <v>45946</v>
      </c>
      <c r="B1512" s="20">
        <f t="shared" si="46"/>
        <v>2025</v>
      </c>
      <c r="C1512" s="20">
        <f t="shared" si="47"/>
        <v>10</v>
      </c>
      <c r="D1512" t="s">
        <v>4404</v>
      </c>
      <c r="E1512" s="49">
        <v>1</v>
      </c>
      <c r="F1512" t="s">
        <v>4404</v>
      </c>
      <c r="G1512" t="s">
        <v>21</v>
      </c>
      <c r="H1512" t="s">
        <v>90</v>
      </c>
      <c r="I1512" s="13">
        <v>45000</v>
      </c>
      <c r="J1512" s="13">
        <v>124000</v>
      </c>
      <c r="K1512" s="13">
        <f>IF(J1512&lt;'Mapa Oficinas'!$I$21,0,IF(J1512&gt;'Mapa Oficinas'!$I$20,0,1))</f>
        <v>1</v>
      </c>
      <c r="L1512" t="s">
        <v>23</v>
      </c>
      <c r="M1512" t="s">
        <v>23</v>
      </c>
      <c r="N1512" t="s">
        <v>4404</v>
      </c>
      <c r="O1512" t="s">
        <v>116</v>
      </c>
      <c r="P1512" t="s">
        <v>61</v>
      </c>
      <c r="Q1512">
        <v>2</v>
      </c>
      <c r="R1512" t="s">
        <v>62</v>
      </c>
      <c r="S1512" t="s">
        <v>28</v>
      </c>
      <c r="T1512" t="str">
        <f>VLOOKUP(S1512,'Mapa Oficinas'!$H$7:$I$16,2,FALSE)</f>
        <v>CB</v>
      </c>
      <c r="U1512" t="s">
        <v>29</v>
      </c>
      <c r="V1512" t="str">
        <f>VLOOKUP($R1512,'Mapa Oficinas'!$A$7:$C$46,2,FALSE)</f>
        <v>CABA</v>
      </c>
      <c r="W1512" t="str">
        <f>VLOOKUP($R1512,'Mapa Oficinas'!$A$7:$C$46,3,FALSE)</f>
        <v>Villa Urquiza</v>
      </c>
    </row>
    <row r="1513" spans="1:23" x14ac:dyDescent="0.2">
      <c r="A1513" s="1">
        <v>46008</v>
      </c>
      <c r="B1513" s="20">
        <f t="shared" si="46"/>
        <v>2025</v>
      </c>
      <c r="C1513" s="20">
        <f t="shared" si="47"/>
        <v>12</v>
      </c>
      <c r="D1513" t="s">
        <v>5844</v>
      </c>
      <c r="E1513" s="49">
        <v>1</v>
      </c>
      <c r="F1513" t="s">
        <v>5845</v>
      </c>
      <c r="G1513" t="s">
        <v>21</v>
      </c>
      <c r="H1513" t="s">
        <v>22</v>
      </c>
      <c r="I1513" s="13">
        <v>130000</v>
      </c>
      <c r="J1513" s="13">
        <v>124000</v>
      </c>
      <c r="K1513" s="13">
        <f>IF(J1513&lt;'Mapa Oficinas'!$I$21,0,IF(J1513&gt;'Mapa Oficinas'!$I$20,0,1))</f>
        <v>1</v>
      </c>
      <c r="L1513" t="s">
        <v>23</v>
      </c>
      <c r="M1513" t="s">
        <v>23</v>
      </c>
      <c r="N1513" t="s">
        <v>5846</v>
      </c>
      <c r="O1513" t="s">
        <v>178</v>
      </c>
      <c r="P1513" t="s">
        <v>61</v>
      </c>
      <c r="Q1513">
        <v>2</v>
      </c>
      <c r="R1513" t="s">
        <v>62</v>
      </c>
      <c r="S1513" t="s">
        <v>28</v>
      </c>
      <c r="T1513" t="str">
        <f>VLOOKUP(S1513,'Mapa Oficinas'!$H$7:$I$16,2,FALSE)</f>
        <v>CB</v>
      </c>
      <c r="U1513" t="s">
        <v>29</v>
      </c>
      <c r="V1513" t="str">
        <f>VLOOKUP($R1513,'Mapa Oficinas'!$A$7:$C$46,2,FALSE)</f>
        <v>CABA</v>
      </c>
      <c r="W1513" t="str">
        <f>VLOOKUP($R1513,'Mapa Oficinas'!$A$7:$C$46,3,FALSE)</f>
        <v>Villa Urquiza</v>
      </c>
    </row>
    <row r="1514" spans="1:23" x14ac:dyDescent="0.2">
      <c r="A1514" s="1">
        <v>46062</v>
      </c>
      <c r="B1514" s="20">
        <f t="shared" si="46"/>
        <v>2026</v>
      </c>
      <c r="C1514" s="20">
        <f t="shared" si="47"/>
        <v>2</v>
      </c>
      <c r="D1514" t="s">
        <v>6603</v>
      </c>
      <c r="E1514" s="49">
        <v>1</v>
      </c>
      <c r="F1514" t="s">
        <v>6604</v>
      </c>
      <c r="G1514" t="s">
        <v>21</v>
      </c>
      <c r="H1514" t="s">
        <v>37</v>
      </c>
      <c r="I1514" s="13">
        <v>135000</v>
      </c>
      <c r="J1514" s="13">
        <v>124000</v>
      </c>
      <c r="K1514" s="13">
        <f>IF(J1514&lt;'Mapa Oficinas'!$I$21,0,IF(J1514&gt;'Mapa Oficinas'!$I$20,0,1))</f>
        <v>1</v>
      </c>
      <c r="L1514" t="s">
        <v>23</v>
      </c>
      <c r="M1514" t="s">
        <v>23</v>
      </c>
      <c r="N1514" t="s">
        <v>6605</v>
      </c>
      <c r="O1514" t="s">
        <v>456</v>
      </c>
      <c r="P1514" t="s">
        <v>45</v>
      </c>
      <c r="Q1514">
        <v>2</v>
      </c>
      <c r="R1514" t="s">
        <v>135</v>
      </c>
      <c r="S1514" t="s">
        <v>28</v>
      </c>
      <c r="T1514" t="str">
        <f>VLOOKUP(S1514,'Mapa Oficinas'!$H$7:$I$16,2,FALSE)</f>
        <v>CB</v>
      </c>
      <c r="U1514" t="s">
        <v>29</v>
      </c>
      <c r="V1514" t="str">
        <f>VLOOKUP($R1514,'Mapa Oficinas'!$A$7:$C$46,2,FALSE)</f>
        <v>CABA</v>
      </c>
      <c r="W1514" t="str">
        <f>VLOOKUP($R1514,'Mapa Oficinas'!$A$7:$C$46,3,FALSE)</f>
        <v>Recoleta</v>
      </c>
    </row>
    <row r="1515" spans="1:23" x14ac:dyDescent="0.2">
      <c r="A1515" s="1">
        <v>45895</v>
      </c>
      <c r="B1515" s="20">
        <f t="shared" si="46"/>
        <v>2025</v>
      </c>
      <c r="C1515" s="20">
        <f t="shared" si="47"/>
        <v>8</v>
      </c>
      <c r="D1515" t="s">
        <v>3781</v>
      </c>
      <c r="E1515" s="49">
        <v>1</v>
      </c>
      <c r="F1515" t="s">
        <v>3782</v>
      </c>
      <c r="G1515" t="s">
        <v>21</v>
      </c>
      <c r="H1515" t="s">
        <v>37</v>
      </c>
      <c r="I1515" s="13">
        <v>129000</v>
      </c>
      <c r="J1515" s="13">
        <v>125000</v>
      </c>
      <c r="K1515" s="13">
        <f>IF(J1515&lt;'Mapa Oficinas'!$I$21,0,IF(J1515&gt;'Mapa Oficinas'!$I$20,0,1))</f>
        <v>1</v>
      </c>
      <c r="L1515" t="s">
        <v>23</v>
      </c>
      <c r="M1515" t="s">
        <v>23</v>
      </c>
      <c r="N1515" t="s">
        <v>3783</v>
      </c>
      <c r="O1515" t="s">
        <v>303</v>
      </c>
      <c r="P1515" t="s">
        <v>45</v>
      </c>
      <c r="Q1515">
        <v>1</v>
      </c>
      <c r="R1515" t="s">
        <v>183</v>
      </c>
      <c r="S1515" t="s">
        <v>152</v>
      </c>
      <c r="T1515" t="str">
        <f>VLOOKUP(S1515,'Mapa Oficinas'!$H$7:$I$16,2,FALSE)</f>
        <v>Otra Red Captación</v>
      </c>
      <c r="U1515" t="s">
        <v>29</v>
      </c>
      <c r="V1515" t="str">
        <f>VLOOKUP($R1515,'Mapa Oficinas'!$A$7:$C$46,2,FALSE)</f>
        <v>Interior - Neuquén</v>
      </c>
      <c r="W1515" t="str">
        <f>VLOOKUP($R1515,'Mapa Oficinas'!$A$7:$C$46,3,FALSE)</f>
        <v>Capital Neuquén</v>
      </c>
    </row>
    <row r="1516" spans="1:23" x14ac:dyDescent="0.2">
      <c r="A1516" s="1">
        <v>46013</v>
      </c>
      <c r="B1516" s="20">
        <f t="shared" si="46"/>
        <v>2025</v>
      </c>
      <c r="C1516" s="20">
        <f t="shared" si="47"/>
        <v>12</v>
      </c>
      <c r="D1516" t="s">
        <v>5944</v>
      </c>
      <c r="E1516" s="49">
        <v>1</v>
      </c>
      <c r="F1516" t="s">
        <v>5945</v>
      </c>
      <c r="G1516" t="s">
        <v>21</v>
      </c>
      <c r="H1516" t="s">
        <v>81</v>
      </c>
      <c r="I1516" s="13">
        <v>86000</v>
      </c>
      <c r="J1516" s="13">
        <v>125000</v>
      </c>
      <c r="K1516" s="13">
        <f>IF(J1516&lt;'Mapa Oficinas'!$I$21,0,IF(J1516&gt;'Mapa Oficinas'!$I$20,0,1))</f>
        <v>1</v>
      </c>
      <c r="L1516" t="s">
        <v>23</v>
      </c>
      <c r="M1516" t="s">
        <v>23</v>
      </c>
      <c r="N1516" t="s">
        <v>5946</v>
      </c>
      <c r="O1516" t="s">
        <v>5518</v>
      </c>
      <c r="P1516" t="s">
        <v>26</v>
      </c>
      <c r="Q1516">
        <v>1</v>
      </c>
      <c r="R1516" t="s">
        <v>151</v>
      </c>
      <c r="S1516" t="s">
        <v>152</v>
      </c>
      <c r="T1516" t="str">
        <f>VLOOKUP(S1516,'Mapa Oficinas'!$H$7:$I$16,2,FALSE)</f>
        <v>Otra Red Captación</v>
      </c>
      <c r="U1516" t="s">
        <v>29</v>
      </c>
      <c r="V1516" t="str">
        <f>VLOOKUP($R1516,'Mapa Oficinas'!$A$7:$C$46,2,FALSE)</f>
        <v>Interior - Mendoza</v>
      </c>
      <c r="W1516" t="str">
        <f>VLOOKUP($R1516,'Mapa Oficinas'!$A$7:$C$46,3,FALSE)</f>
        <v>Capital Mendoza</v>
      </c>
    </row>
    <row r="1517" spans="1:23" x14ac:dyDescent="0.2">
      <c r="A1517" s="1">
        <v>45673</v>
      </c>
      <c r="B1517" s="20">
        <f t="shared" si="46"/>
        <v>2025</v>
      </c>
      <c r="C1517" s="20">
        <f t="shared" si="47"/>
        <v>1</v>
      </c>
      <c r="D1517" t="s">
        <v>266</v>
      </c>
      <c r="E1517" s="49">
        <v>1</v>
      </c>
      <c r="F1517" t="s">
        <v>267</v>
      </c>
      <c r="G1517" t="s">
        <v>21</v>
      </c>
      <c r="H1517" t="s">
        <v>76</v>
      </c>
      <c r="I1517" s="13">
        <v>850</v>
      </c>
      <c r="J1517" s="13">
        <v>125000</v>
      </c>
      <c r="K1517" s="13">
        <f>IF(J1517&lt;'Mapa Oficinas'!$I$21,0,IF(J1517&gt;'Mapa Oficinas'!$I$20,0,1))</f>
        <v>1</v>
      </c>
      <c r="L1517" t="s">
        <v>23</v>
      </c>
      <c r="M1517" t="s">
        <v>23</v>
      </c>
      <c r="N1517" t="s">
        <v>267</v>
      </c>
      <c r="O1517" t="s">
        <v>256</v>
      </c>
      <c r="P1517" t="s">
        <v>45</v>
      </c>
      <c r="Q1517">
        <v>2</v>
      </c>
      <c r="R1517" t="s">
        <v>257</v>
      </c>
      <c r="S1517" t="s">
        <v>79</v>
      </c>
      <c r="T1517" t="str">
        <f>VLOOKUP(S1517,'Mapa Oficinas'!$H$7:$I$16,2,FALSE)</f>
        <v>CB</v>
      </c>
      <c r="U1517" t="s">
        <v>29</v>
      </c>
      <c r="V1517" t="str">
        <f>VLOOKUP($R1517,'Mapa Oficinas'!$A$7:$C$46,2,FALSE)</f>
        <v>Zona Norte (GBA)</v>
      </c>
      <c r="W1517" t="str">
        <f>VLOOKUP($R1517,'Mapa Oficinas'!$A$7:$C$46,3,FALSE)</f>
        <v>Pilar</v>
      </c>
    </row>
    <row r="1518" spans="1:23" x14ac:dyDescent="0.2">
      <c r="A1518" s="1">
        <v>45806</v>
      </c>
      <c r="B1518" s="20">
        <f t="shared" si="46"/>
        <v>2025</v>
      </c>
      <c r="C1518" s="20">
        <f t="shared" si="47"/>
        <v>5</v>
      </c>
      <c r="D1518" t="s">
        <v>2198</v>
      </c>
      <c r="E1518" s="49">
        <v>1</v>
      </c>
      <c r="F1518" t="s">
        <v>2199</v>
      </c>
      <c r="G1518" t="s">
        <v>21</v>
      </c>
      <c r="H1518" t="s">
        <v>37</v>
      </c>
      <c r="I1518" s="13">
        <v>125000</v>
      </c>
      <c r="J1518" s="13">
        <v>125000</v>
      </c>
      <c r="K1518" s="13">
        <f>IF(J1518&lt;'Mapa Oficinas'!$I$21,0,IF(J1518&gt;'Mapa Oficinas'!$I$20,0,1))</f>
        <v>1</v>
      </c>
      <c r="L1518" t="s">
        <v>23</v>
      </c>
      <c r="M1518" t="s">
        <v>23</v>
      </c>
      <c r="N1518" t="s">
        <v>2200</v>
      </c>
      <c r="O1518" t="s">
        <v>2201</v>
      </c>
      <c r="P1518" t="s">
        <v>45</v>
      </c>
      <c r="Q1518">
        <v>2</v>
      </c>
      <c r="R1518" t="s">
        <v>110</v>
      </c>
      <c r="S1518" t="s">
        <v>79</v>
      </c>
      <c r="T1518" t="str">
        <f>VLOOKUP(S1518,'Mapa Oficinas'!$H$7:$I$16,2,FALSE)</f>
        <v>CB</v>
      </c>
      <c r="U1518" t="s">
        <v>29</v>
      </c>
      <c r="V1518" t="str">
        <f>VLOOKUP($R1518,'Mapa Oficinas'!$A$7:$C$46,2,FALSE)</f>
        <v>Zona Norte (GBA)</v>
      </c>
      <c r="W1518" t="str">
        <f>VLOOKUP($R1518,'Mapa Oficinas'!$A$7:$C$46,3,FALSE)</f>
        <v>Nordelta</v>
      </c>
    </row>
    <row r="1519" spans="1:23" x14ac:dyDescent="0.2">
      <c r="A1519" s="1">
        <v>46006</v>
      </c>
      <c r="B1519" s="20">
        <f t="shared" si="46"/>
        <v>2025</v>
      </c>
      <c r="C1519" s="20">
        <f t="shared" si="47"/>
        <v>12</v>
      </c>
      <c r="D1519" t="s">
        <v>5784</v>
      </c>
      <c r="E1519" s="49">
        <v>1</v>
      </c>
      <c r="F1519" t="s">
        <v>5785</v>
      </c>
      <c r="G1519" t="s">
        <v>21</v>
      </c>
      <c r="H1519" t="s">
        <v>119</v>
      </c>
      <c r="I1519" s="13">
        <v>129516</v>
      </c>
      <c r="J1519" s="13">
        <v>125000</v>
      </c>
      <c r="K1519" s="13">
        <f>IF(J1519&lt;'Mapa Oficinas'!$I$21,0,IF(J1519&gt;'Mapa Oficinas'!$I$20,0,1))</f>
        <v>1</v>
      </c>
      <c r="L1519" t="s">
        <v>23</v>
      </c>
      <c r="M1519" t="s">
        <v>23</v>
      </c>
      <c r="N1519" t="s">
        <v>1682</v>
      </c>
      <c r="O1519" t="s">
        <v>120</v>
      </c>
      <c r="P1519" t="s">
        <v>45</v>
      </c>
      <c r="Q1519">
        <v>2</v>
      </c>
      <c r="R1519" t="s">
        <v>121</v>
      </c>
      <c r="S1519" t="s">
        <v>79</v>
      </c>
      <c r="T1519" t="str">
        <f>VLOOKUP(S1519,'Mapa Oficinas'!$H$7:$I$16,2,FALSE)</f>
        <v>CB</v>
      </c>
      <c r="U1519" t="s">
        <v>29</v>
      </c>
      <c r="V1519" t="str">
        <f>VLOOKUP($R1519,'Mapa Oficinas'!$A$7:$C$46,2,FALSE)</f>
        <v>Interior - Río Negro</v>
      </c>
      <c r="W1519" t="str">
        <f>VLOOKUP($R1519,'Mapa Oficinas'!$A$7:$C$46,3,FALSE)</f>
        <v>Bariloche</v>
      </c>
    </row>
    <row r="1520" spans="1:23" x14ac:dyDescent="0.2">
      <c r="A1520" s="1">
        <v>45754</v>
      </c>
      <c r="B1520" s="20">
        <f t="shared" si="46"/>
        <v>2025</v>
      </c>
      <c r="C1520" s="20">
        <f t="shared" si="47"/>
        <v>4</v>
      </c>
      <c r="D1520" t="s">
        <v>1320</v>
      </c>
      <c r="E1520" s="49">
        <v>1</v>
      </c>
      <c r="F1520" t="s">
        <v>1320</v>
      </c>
      <c r="G1520" t="s">
        <v>21</v>
      </c>
      <c r="H1520" t="s">
        <v>37</v>
      </c>
      <c r="I1520" s="13">
        <v>125000</v>
      </c>
      <c r="J1520" s="13">
        <v>125000</v>
      </c>
      <c r="K1520" s="13">
        <f>IF(J1520&lt;'Mapa Oficinas'!$I$21,0,IF(J1520&gt;'Mapa Oficinas'!$I$20,0,1))</f>
        <v>1</v>
      </c>
      <c r="L1520" t="s">
        <v>23</v>
      </c>
      <c r="M1520" t="s">
        <v>23</v>
      </c>
      <c r="O1520" t="s">
        <v>1321</v>
      </c>
      <c r="P1520" t="s">
        <v>45</v>
      </c>
      <c r="Q1520">
        <v>1</v>
      </c>
      <c r="R1520" t="s">
        <v>151</v>
      </c>
      <c r="S1520" t="s">
        <v>47</v>
      </c>
      <c r="T1520" t="str">
        <f>VLOOKUP(S1520,'Mapa Oficinas'!$H$7:$I$16,2,FALSE)</f>
        <v>Otra Red Búsqueda</v>
      </c>
      <c r="U1520" t="s">
        <v>29</v>
      </c>
      <c r="V1520" t="str">
        <f>VLOOKUP($R1520,'Mapa Oficinas'!$A$7:$C$46,2,FALSE)</f>
        <v>Interior - Mendoza</v>
      </c>
      <c r="W1520" t="str">
        <f>VLOOKUP($R1520,'Mapa Oficinas'!$A$7:$C$46,3,FALSE)</f>
        <v>Capital Mendoza</v>
      </c>
    </row>
    <row r="1521" spans="1:23" x14ac:dyDescent="0.2">
      <c r="A1521" s="1">
        <v>45819</v>
      </c>
      <c r="B1521" s="20">
        <f t="shared" si="46"/>
        <v>2025</v>
      </c>
      <c r="C1521" s="20">
        <f t="shared" si="47"/>
        <v>6</v>
      </c>
      <c r="E1521" s="49">
        <v>1</v>
      </c>
      <c r="F1521" t="s">
        <v>2429</v>
      </c>
      <c r="G1521" t="s">
        <v>21</v>
      </c>
      <c r="H1521" t="s">
        <v>37</v>
      </c>
      <c r="I1521" s="13">
        <v>125000</v>
      </c>
      <c r="J1521" s="13">
        <v>125000</v>
      </c>
      <c r="K1521" s="13">
        <f>IF(J1521&lt;'Mapa Oficinas'!$I$21,0,IF(J1521&gt;'Mapa Oficinas'!$I$20,0,1))</f>
        <v>1</v>
      </c>
      <c r="L1521" t="s">
        <v>23</v>
      </c>
      <c r="M1521" t="s">
        <v>23</v>
      </c>
      <c r="N1521" t="s">
        <v>2430</v>
      </c>
      <c r="O1521" t="s">
        <v>66</v>
      </c>
      <c r="P1521" t="s">
        <v>45</v>
      </c>
      <c r="Q1521">
        <v>1</v>
      </c>
      <c r="R1521" t="s">
        <v>135</v>
      </c>
      <c r="S1521" t="s">
        <v>47</v>
      </c>
      <c r="T1521" t="str">
        <f>VLOOKUP(S1521,'Mapa Oficinas'!$H$7:$I$16,2,FALSE)</f>
        <v>Otra Red Búsqueda</v>
      </c>
      <c r="U1521" t="s">
        <v>29</v>
      </c>
      <c r="V1521" t="str">
        <f>VLOOKUP($R1521,'Mapa Oficinas'!$A$7:$C$46,2,FALSE)</f>
        <v>CABA</v>
      </c>
      <c r="W1521" t="str">
        <f>VLOOKUP($R1521,'Mapa Oficinas'!$A$7:$C$46,3,FALSE)</f>
        <v>Recoleta</v>
      </c>
    </row>
    <row r="1522" spans="1:23" x14ac:dyDescent="0.2">
      <c r="A1522" s="1">
        <v>45895</v>
      </c>
      <c r="B1522" s="20">
        <f t="shared" si="46"/>
        <v>2025</v>
      </c>
      <c r="C1522" s="20">
        <f t="shared" si="47"/>
        <v>8</v>
      </c>
      <c r="D1522">
        <v>10453</v>
      </c>
      <c r="E1522" s="49">
        <v>1</v>
      </c>
      <c r="F1522" t="s">
        <v>3780</v>
      </c>
      <c r="G1522" t="s">
        <v>21</v>
      </c>
      <c r="H1522" t="s">
        <v>37</v>
      </c>
      <c r="I1522" s="13">
        <v>0</v>
      </c>
      <c r="J1522" s="13">
        <v>125000</v>
      </c>
      <c r="K1522" s="13">
        <f>IF(J1522&lt;'Mapa Oficinas'!$I$21,0,IF(J1522&gt;'Mapa Oficinas'!$I$20,0,1))</f>
        <v>1</v>
      </c>
      <c r="L1522" t="s">
        <v>23</v>
      </c>
      <c r="M1522" t="s">
        <v>23</v>
      </c>
      <c r="O1522" t="s">
        <v>236</v>
      </c>
      <c r="P1522" t="s">
        <v>45</v>
      </c>
      <c r="Q1522">
        <v>1</v>
      </c>
      <c r="R1522" t="s">
        <v>67</v>
      </c>
      <c r="S1522" t="s">
        <v>47</v>
      </c>
      <c r="T1522" t="str">
        <f>VLOOKUP(S1522,'Mapa Oficinas'!$H$7:$I$16,2,FALSE)</f>
        <v>Otra Red Búsqueda</v>
      </c>
      <c r="U1522" t="s">
        <v>29</v>
      </c>
      <c r="V1522" t="str">
        <f>VLOOKUP($R1522,'Mapa Oficinas'!$A$7:$C$46,2,FALSE)</f>
        <v>CABA</v>
      </c>
      <c r="W1522" t="str">
        <f>VLOOKUP($R1522,'Mapa Oficinas'!$A$7:$C$46,3,FALSE)</f>
        <v>Barrio Parque</v>
      </c>
    </row>
    <row r="1523" spans="1:23" x14ac:dyDescent="0.2">
      <c r="A1523" s="1">
        <v>46090</v>
      </c>
      <c r="B1523" s="20">
        <f t="shared" si="46"/>
        <v>2026</v>
      </c>
      <c r="C1523" s="20">
        <f t="shared" si="47"/>
        <v>3</v>
      </c>
      <c r="D1523">
        <v>10690</v>
      </c>
      <c r="E1523" s="49">
        <v>1</v>
      </c>
      <c r="F1523" t="s">
        <v>7040</v>
      </c>
      <c r="G1523" t="s">
        <v>21</v>
      </c>
      <c r="H1523" t="s">
        <v>37</v>
      </c>
      <c r="I1523" s="13">
        <v>125000</v>
      </c>
      <c r="J1523" s="13">
        <v>125000</v>
      </c>
      <c r="K1523" s="13">
        <f>IF(J1523&lt;'Mapa Oficinas'!$I$21,0,IF(J1523&gt;'Mapa Oficinas'!$I$20,0,1))</f>
        <v>1</v>
      </c>
      <c r="L1523" t="s">
        <v>23</v>
      </c>
      <c r="M1523" t="s">
        <v>23</v>
      </c>
      <c r="N1523" t="s">
        <v>7041</v>
      </c>
      <c r="O1523" t="s">
        <v>92</v>
      </c>
      <c r="P1523" t="s">
        <v>45</v>
      </c>
      <c r="Q1523">
        <v>1</v>
      </c>
      <c r="R1523" t="s">
        <v>67</v>
      </c>
      <c r="S1523" t="s">
        <v>47</v>
      </c>
      <c r="T1523" t="str">
        <f>VLOOKUP(S1523,'Mapa Oficinas'!$H$7:$I$16,2,FALSE)</f>
        <v>Otra Red Búsqueda</v>
      </c>
      <c r="U1523" t="s">
        <v>29</v>
      </c>
      <c r="V1523" t="str">
        <f>VLOOKUP($R1523,'Mapa Oficinas'!$A$7:$C$46,2,FALSE)</f>
        <v>CABA</v>
      </c>
      <c r="W1523" t="str">
        <f>VLOOKUP($R1523,'Mapa Oficinas'!$A$7:$C$46,3,FALSE)</f>
        <v>Barrio Parque</v>
      </c>
    </row>
    <row r="1524" spans="1:23" x14ac:dyDescent="0.2">
      <c r="A1524" s="1">
        <v>46016</v>
      </c>
      <c r="B1524" s="20">
        <f t="shared" si="46"/>
        <v>2025</v>
      </c>
      <c r="C1524" s="20">
        <f t="shared" si="47"/>
        <v>12</v>
      </c>
      <c r="D1524" t="s">
        <v>6019</v>
      </c>
      <c r="E1524" s="49">
        <v>1</v>
      </c>
      <c r="F1524" t="s">
        <v>6020</v>
      </c>
      <c r="G1524" t="s">
        <v>21</v>
      </c>
      <c r="H1524" t="s">
        <v>37</v>
      </c>
      <c r="I1524" s="13">
        <v>138000</v>
      </c>
      <c r="J1524" s="13">
        <v>125000</v>
      </c>
      <c r="K1524" s="13">
        <f>IF(J1524&lt;'Mapa Oficinas'!$I$21,0,IF(J1524&gt;'Mapa Oficinas'!$I$20,0,1))</f>
        <v>1</v>
      </c>
      <c r="L1524" t="s">
        <v>23</v>
      </c>
      <c r="M1524" t="s">
        <v>23</v>
      </c>
      <c r="N1524" t="s">
        <v>6021</v>
      </c>
      <c r="O1524" t="s">
        <v>178</v>
      </c>
      <c r="P1524" t="s">
        <v>45</v>
      </c>
      <c r="Q1524">
        <v>2</v>
      </c>
      <c r="R1524" t="s">
        <v>67</v>
      </c>
      <c r="S1524" t="s">
        <v>200</v>
      </c>
      <c r="T1524" t="str">
        <f>VLOOKUP(S1524,'Mapa Oficinas'!$H$7:$I$16,2,FALSE)</f>
        <v>Otra Red Captación</v>
      </c>
      <c r="U1524" t="s">
        <v>29</v>
      </c>
      <c r="V1524" t="str">
        <f>VLOOKUP($R1524,'Mapa Oficinas'!$A$7:$C$46,2,FALSE)</f>
        <v>CABA</v>
      </c>
      <c r="W1524" t="str">
        <f>VLOOKUP($R1524,'Mapa Oficinas'!$A$7:$C$46,3,FALSE)</f>
        <v>Barrio Parque</v>
      </c>
    </row>
    <row r="1525" spans="1:23" x14ac:dyDescent="0.2">
      <c r="A1525" s="1">
        <v>46076</v>
      </c>
      <c r="B1525" s="20">
        <f t="shared" si="46"/>
        <v>2026</v>
      </c>
      <c r="C1525" s="20">
        <f t="shared" si="47"/>
        <v>2</v>
      </c>
      <c r="D1525" t="s">
        <v>6818</v>
      </c>
      <c r="E1525" s="49">
        <v>1</v>
      </c>
      <c r="F1525" t="s">
        <v>6819</v>
      </c>
      <c r="G1525" t="s">
        <v>21</v>
      </c>
      <c r="H1525" t="s">
        <v>37</v>
      </c>
      <c r="I1525" s="13">
        <v>130000</v>
      </c>
      <c r="J1525" s="13">
        <v>125000</v>
      </c>
      <c r="K1525" s="13">
        <f>IF(J1525&lt;'Mapa Oficinas'!$I$21,0,IF(J1525&gt;'Mapa Oficinas'!$I$20,0,1))</f>
        <v>1</v>
      </c>
      <c r="L1525" t="s">
        <v>23</v>
      </c>
      <c r="M1525" t="s">
        <v>23</v>
      </c>
      <c r="N1525" t="s">
        <v>6820</v>
      </c>
      <c r="O1525" t="s">
        <v>190</v>
      </c>
      <c r="P1525" t="s">
        <v>45</v>
      </c>
      <c r="Q1525">
        <v>2</v>
      </c>
      <c r="R1525" t="s">
        <v>46</v>
      </c>
      <c r="S1525" t="s">
        <v>200</v>
      </c>
      <c r="T1525" t="str">
        <f>VLOOKUP(S1525,'Mapa Oficinas'!$H$7:$I$16,2,FALSE)</f>
        <v>Otra Red Captación</v>
      </c>
      <c r="U1525" t="s">
        <v>29</v>
      </c>
      <c r="V1525" t="str">
        <f>VLOOKUP($R1525,'Mapa Oficinas'!$A$7:$C$46,2,FALSE)</f>
        <v>CABA</v>
      </c>
      <c r="W1525" t="str">
        <f>VLOOKUP($R1525,'Mapa Oficinas'!$A$7:$C$46,3,FALSE)</f>
        <v>Palermo</v>
      </c>
    </row>
    <row r="1526" spans="1:23" x14ac:dyDescent="0.2">
      <c r="A1526" s="1">
        <v>46099</v>
      </c>
      <c r="B1526" s="20">
        <f t="shared" si="46"/>
        <v>2026</v>
      </c>
      <c r="C1526" s="20">
        <f t="shared" si="47"/>
        <v>3</v>
      </c>
      <c r="D1526" t="s">
        <v>7270</v>
      </c>
      <c r="E1526" s="49">
        <v>1</v>
      </c>
      <c r="F1526" t="s">
        <v>7271</v>
      </c>
      <c r="G1526" t="s">
        <v>21</v>
      </c>
      <c r="H1526" t="s">
        <v>37</v>
      </c>
      <c r="I1526" s="13">
        <v>125000</v>
      </c>
      <c r="J1526" s="13">
        <v>125000</v>
      </c>
      <c r="K1526" s="13">
        <f>IF(J1526&lt;'Mapa Oficinas'!$I$21,0,IF(J1526&gt;'Mapa Oficinas'!$I$20,0,1))</f>
        <v>1</v>
      </c>
      <c r="L1526" t="s">
        <v>23</v>
      </c>
      <c r="M1526" t="s">
        <v>23</v>
      </c>
      <c r="N1526" t="s">
        <v>7272</v>
      </c>
      <c r="O1526" t="s">
        <v>261</v>
      </c>
      <c r="P1526" t="s">
        <v>45</v>
      </c>
      <c r="Q1526">
        <v>2</v>
      </c>
      <c r="R1526" t="s">
        <v>40</v>
      </c>
      <c r="S1526" t="s">
        <v>200</v>
      </c>
      <c r="T1526" t="str">
        <f>VLOOKUP(S1526,'Mapa Oficinas'!$H$7:$I$16,2,FALSE)</f>
        <v>Otra Red Captación</v>
      </c>
      <c r="U1526" t="s">
        <v>29</v>
      </c>
      <c r="V1526" t="str">
        <f>VLOOKUP($R1526,'Mapa Oficinas'!$A$7:$C$46,2,FALSE)</f>
        <v>CABA</v>
      </c>
      <c r="W1526" t="str">
        <f>VLOOKUP($R1526,'Mapa Oficinas'!$A$7:$C$46,3,FALSE)</f>
        <v>Núñez</v>
      </c>
    </row>
    <row r="1527" spans="1:23" x14ac:dyDescent="0.2">
      <c r="A1527" s="1">
        <v>45714</v>
      </c>
      <c r="B1527" s="20">
        <f t="shared" si="46"/>
        <v>2025</v>
      </c>
      <c r="C1527" s="20">
        <f t="shared" si="47"/>
        <v>2</v>
      </c>
      <c r="D1527" t="s">
        <v>761</v>
      </c>
      <c r="E1527" s="49">
        <v>3</v>
      </c>
      <c r="F1527" t="s">
        <v>762</v>
      </c>
      <c r="G1527" t="s">
        <v>21</v>
      </c>
      <c r="H1527" t="s">
        <v>37</v>
      </c>
      <c r="I1527" s="13">
        <v>128500</v>
      </c>
      <c r="J1527" s="13">
        <v>125000</v>
      </c>
      <c r="K1527" s="13">
        <f>IF(J1527&lt;'Mapa Oficinas'!$I$21,0,IF(J1527&gt;'Mapa Oficinas'!$I$20,0,1))</f>
        <v>1</v>
      </c>
      <c r="L1527" t="s">
        <v>23</v>
      </c>
      <c r="M1527" t="s">
        <v>23</v>
      </c>
      <c r="N1527" t="s">
        <v>763</v>
      </c>
      <c r="O1527" t="s">
        <v>755</v>
      </c>
      <c r="P1527" t="s">
        <v>45</v>
      </c>
      <c r="Q1527">
        <v>2</v>
      </c>
      <c r="R1527" t="s">
        <v>257</v>
      </c>
      <c r="S1527" t="s">
        <v>241</v>
      </c>
      <c r="T1527" t="str">
        <f>VLOOKUP(S1527,'Mapa Oficinas'!$H$7:$I$16,2,FALSE)</f>
        <v>CB</v>
      </c>
      <c r="U1527" t="s">
        <v>29</v>
      </c>
      <c r="V1527" t="str">
        <f>VLOOKUP($R1527,'Mapa Oficinas'!$A$7:$C$46,2,FALSE)</f>
        <v>Zona Norte (GBA)</v>
      </c>
      <c r="W1527" t="str">
        <f>VLOOKUP($R1527,'Mapa Oficinas'!$A$7:$C$46,3,FALSE)</f>
        <v>Pilar</v>
      </c>
    </row>
    <row r="1528" spans="1:23" x14ac:dyDescent="0.2">
      <c r="A1528" s="1">
        <v>45783</v>
      </c>
      <c r="B1528" s="20">
        <f t="shared" si="46"/>
        <v>2025</v>
      </c>
      <c r="C1528" s="20">
        <f t="shared" si="47"/>
        <v>5</v>
      </c>
      <c r="D1528" t="s">
        <v>1782</v>
      </c>
      <c r="E1528" s="49">
        <v>3</v>
      </c>
      <c r="F1528" t="s">
        <v>1783</v>
      </c>
      <c r="G1528" t="s">
        <v>21</v>
      </c>
      <c r="H1528" t="s">
        <v>22</v>
      </c>
      <c r="I1528" s="13">
        <v>125000</v>
      </c>
      <c r="J1528" s="13">
        <v>125000</v>
      </c>
      <c r="K1528" s="13">
        <f>IF(J1528&lt;'Mapa Oficinas'!$I$21,0,IF(J1528&gt;'Mapa Oficinas'!$I$20,0,1))</f>
        <v>1</v>
      </c>
      <c r="L1528" t="s">
        <v>23</v>
      </c>
      <c r="M1528" t="s">
        <v>23</v>
      </c>
      <c r="N1528" t="s">
        <v>1784</v>
      </c>
      <c r="O1528" t="s">
        <v>1785</v>
      </c>
      <c r="P1528" t="s">
        <v>34</v>
      </c>
      <c r="Q1528">
        <v>2</v>
      </c>
      <c r="R1528" t="s">
        <v>257</v>
      </c>
      <c r="S1528" t="s">
        <v>241</v>
      </c>
      <c r="T1528" t="str">
        <f>VLOOKUP(S1528,'Mapa Oficinas'!$H$7:$I$16,2,FALSE)</f>
        <v>CB</v>
      </c>
      <c r="U1528" t="s">
        <v>29</v>
      </c>
      <c r="V1528" t="str">
        <f>VLOOKUP($R1528,'Mapa Oficinas'!$A$7:$C$46,2,FALSE)</f>
        <v>Zona Norte (GBA)</v>
      </c>
      <c r="W1528" t="str">
        <f>VLOOKUP($R1528,'Mapa Oficinas'!$A$7:$C$46,3,FALSE)</f>
        <v>Pilar</v>
      </c>
    </row>
    <row r="1529" spans="1:23" x14ac:dyDescent="0.2">
      <c r="A1529" s="1">
        <v>46087</v>
      </c>
      <c r="B1529" s="20">
        <f t="shared" si="46"/>
        <v>2026</v>
      </c>
      <c r="C1529" s="20">
        <f t="shared" si="47"/>
        <v>3</v>
      </c>
      <c r="E1529" s="49">
        <v>3</v>
      </c>
      <c r="F1529" t="s">
        <v>7001</v>
      </c>
      <c r="G1529" t="s">
        <v>21</v>
      </c>
      <c r="H1529" t="s">
        <v>76</v>
      </c>
      <c r="I1529" s="13">
        <v>0</v>
      </c>
      <c r="J1529" s="13">
        <v>125000</v>
      </c>
      <c r="K1529" s="13">
        <f>IF(J1529&lt;'Mapa Oficinas'!$I$21,0,IF(J1529&gt;'Mapa Oficinas'!$I$20,0,1))</f>
        <v>1</v>
      </c>
      <c r="L1529" t="s">
        <v>23</v>
      </c>
      <c r="M1529" t="s">
        <v>23</v>
      </c>
      <c r="N1529" t="s">
        <v>7002</v>
      </c>
      <c r="O1529" t="s">
        <v>6146</v>
      </c>
      <c r="P1529" t="s">
        <v>26</v>
      </c>
      <c r="Q1529">
        <v>2</v>
      </c>
      <c r="R1529" t="s">
        <v>257</v>
      </c>
      <c r="S1529" t="s">
        <v>241</v>
      </c>
      <c r="T1529" t="str">
        <f>VLOOKUP(S1529,'Mapa Oficinas'!$H$7:$I$16,2,FALSE)</f>
        <v>CB</v>
      </c>
      <c r="U1529" t="s">
        <v>29</v>
      </c>
      <c r="V1529" t="str">
        <f>VLOOKUP($R1529,'Mapa Oficinas'!$A$7:$C$46,2,FALSE)</f>
        <v>Zona Norte (GBA)</v>
      </c>
      <c r="W1529" t="str">
        <f>VLOOKUP($R1529,'Mapa Oficinas'!$A$7:$C$46,3,FALSE)</f>
        <v>Pilar</v>
      </c>
    </row>
    <row r="1530" spans="1:23" x14ac:dyDescent="0.2">
      <c r="A1530" s="1">
        <v>45730</v>
      </c>
      <c r="B1530" s="20">
        <f t="shared" si="46"/>
        <v>2025</v>
      </c>
      <c r="C1530" s="20">
        <f t="shared" si="47"/>
        <v>3</v>
      </c>
      <c r="D1530" t="s">
        <v>966</v>
      </c>
      <c r="E1530" s="49">
        <v>1</v>
      </c>
      <c r="F1530" t="s">
        <v>967</v>
      </c>
      <c r="G1530" t="s">
        <v>21</v>
      </c>
      <c r="H1530" t="s">
        <v>37</v>
      </c>
      <c r="I1530" s="13">
        <v>130000</v>
      </c>
      <c r="J1530" s="13">
        <v>125000</v>
      </c>
      <c r="K1530" s="13">
        <f>IF(J1530&lt;'Mapa Oficinas'!$I$21,0,IF(J1530&gt;'Mapa Oficinas'!$I$20,0,1))</f>
        <v>1</v>
      </c>
      <c r="L1530" t="s">
        <v>23</v>
      </c>
      <c r="M1530" t="s">
        <v>23</v>
      </c>
      <c r="N1530" t="s">
        <v>968</v>
      </c>
      <c r="O1530" t="s">
        <v>50</v>
      </c>
      <c r="P1530" t="s">
        <v>45</v>
      </c>
      <c r="Q1530">
        <v>2</v>
      </c>
      <c r="R1530" t="s">
        <v>67</v>
      </c>
      <c r="S1530" t="s">
        <v>28</v>
      </c>
      <c r="T1530" t="str">
        <f>VLOOKUP(S1530,'Mapa Oficinas'!$H$7:$I$16,2,FALSE)</f>
        <v>CB</v>
      </c>
      <c r="U1530" t="s">
        <v>29</v>
      </c>
      <c r="V1530" t="str">
        <f>VLOOKUP($R1530,'Mapa Oficinas'!$A$7:$C$46,2,FALSE)</f>
        <v>CABA</v>
      </c>
      <c r="W1530" t="str">
        <f>VLOOKUP($R1530,'Mapa Oficinas'!$A$7:$C$46,3,FALSE)</f>
        <v>Barrio Parque</v>
      </c>
    </row>
    <row r="1531" spans="1:23" x14ac:dyDescent="0.2">
      <c r="A1531" s="1">
        <v>45799</v>
      </c>
      <c r="B1531" s="20">
        <f t="shared" si="46"/>
        <v>2025</v>
      </c>
      <c r="C1531" s="20">
        <f t="shared" si="47"/>
        <v>5</v>
      </c>
      <c r="D1531">
        <v>10362</v>
      </c>
      <c r="E1531" s="49">
        <v>1</v>
      </c>
      <c r="F1531" t="s">
        <v>2098</v>
      </c>
      <c r="G1531" t="s">
        <v>21</v>
      </c>
      <c r="H1531" t="s">
        <v>37</v>
      </c>
      <c r="I1531" s="13">
        <v>0</v>
      </c>
      <c r="J1531" s="13">
        <v>125000</v>
      </c>
      <c r="K1531" s="13">
        <f>IF(J1531&lt;'Mapa Oficinas'!$I$21,0,IF(J1531&gt;'Mapa Oficinas'!$I$20,0,1))</f>
        <v>1</v>
      </c>
      <c r="L1531" t="s">
        <v>23</v>
      </c>
      <c r="M1531" t="s">
        <v>23</v>
      </c>
      <c r="O1531" t="s">
        <v>114</v>
      </c>
      <c r="P1531" t="s">
        <v>45</v>
      </c>
      <c r="Q1531">
        <v>2</v>
      </c>
      <c r="R1531" t="s">
        <v>67</v>
      </c>
      <c r="S1531" t="s">
        <v>28</v>
      </c>
      <c r="T1531" t="str">
        <f>VLOOKUP(S1531,'Mapa Oficinas'!$H$7:$I$16,2,FALSE)</f>
        <v>CB</v>
      </c>
      <c r="U1531" t="s">
        <v>29</v>
      </c>
      <c r="V1531" t="str">
        <f>VLOOKUP($R1531,'Mapa Oficinas'!$A$7:$C$46,2,FALSE)</f>
        <v>CABA</v>
      </c>
      <c r="W1531" t="str">
        <f>VLOOKUP($R1531,'Mapa Oficinas'!$A$7:$C$46,3,FALSE)</f>
        <v>Barrio Parque</v>
      </c>
    </row>
    <row r="1532" spans="1:23" x14ac:dyDescent="0.2">
      <c r="A1532" s="1">
        <v>45806</v>
      </c>
      <c r="B1532" s="20">
        <f t="shared" si="46"/>
        <v>2025</v>
      </c>
      <c r="C1532" s="20">
        <f t="shared" si="47"/>
        <v>5</v>
      </c>
      <c r="D1532" t="s">
        <v>2195</v>
      </c>
      <c r="E1532" s="49">
        <v>1</v>
      </c>
      <c r="F1532" t="s">
        <v>2196</v>
      </c>
      <c r="G1532" t="s">
        <v>21</v>
      </c>
      <c r="H1532" t="s">
        <v>37</v>
      </c>
      <c r="I1532" s="13">
        <v>140000</v>
      </c>
      <c r="J1532" s="13">
        <v>125000</v>
      </c>
      <c r="K1532" s="13">
        <f>IF(J1532&lt;'Mapa Oficinas'!$I$21,0,IF(J1532&gt;'Mapa Oficinas'!$I$20,0,1))</f>
        <v>1</v>
      </c>
      <c r="L1532" t="s">
        <v>23</v>
      </c>
      <c r="M1532" t="s">
        <v>23</v>
      </c>
      <c r="N1532" t="s">
        <v>2197</v>
      </c>
      <c r="O1532" t="s">
        <v>534</v>
      </c>
      <c r="P1532" t="s">
        <v>45</v>
      </c>
      <c r="Q1532">
        <v>2</v>
      </c>
      <c r="R1532" t="s">
        <v>67</v>
      </c>
      <c r="S1532" t="s">
        <v>28</v>
      </c>
      <c r="T1532" t="str">
        <f>VLOOKUP(S1532,'Mapa Oficinas'!$H$7:$I$16,2,FALSE)</f>
        <v>CB</v>
      </c>
      <c r="U1532" t="s">
        <v>29</v>
      </c>
      <c r="V1532" t="str">
        <f>VLOOKUP($R1532,'Mapa Oficinas'!$A$7:$C$46,2,FALSE)</f>
        <v>CABA</v>
      </c>
      <c r="W1532" t="str">
        <f>VLOOKUP($R1532,'Mapa Oficinas'!$A$7:$C$46,3,FALSE)</f>
        <v>Barrio Parque</v>
      </c>
    </row>
    <row r="1533" spans="1:23" x14ac:dyDescent="0.2">
      <c r="A1533" s="1">
        <v>45835</v>
      </c>
      <c r="B1533" s="20">
        <f t="shared" si="46"/>
        <v>2025</v>
      </c>
      <c r="C1533" s="20">
        <f t="shared" si="47"/>
        <v>6</v>
      </c>
      <c r="D1533" t="s">
        <v>2710</v>
      </c>
      <c r="E1533" s="49">
        <v>1</v>
      </c>
      <c r="F1533" t="s">
        <v>2711</v>
      </c>
      <c r="G1533" t="s">
        <v>21</v>
      </c>
      <c r="H1533" t="s">
        <v>90</v>
      </c>
      <c r="I1533" s="13">
        <v>129900</v>
      </c>
      <c r="J1533" s="13">
        <v>125000</v>
      </c>
      <c r="K1533" s="13">
        <f>IF(J1533&lt;'Mapa Oficinas'!$I$21,0,IF(J1533&gt;'Mapa Oficinas'!$I$20,0,1))</f>
        <v>1</v>
      </c>
      <c r="L1533" t="s">
        <v>23</v>
      </c>
      <c r="M1533" t="s">
        <v>23</v>
      </c>
      <c r="N1533" t="s">
        <v>2712</v>
      </c>
      <c r="O1533" t="s">
        <v>2713</v>
      </c>
      <c r="P1533" t="s">
        <v>45</v>
      </c>
      <c r="Q1533">
        <v>2</v>
      </c>
      <c r="R1533" t="s">
        <v>62</v>
      </c>
      <c r="S1533" t="s">
        <v>28</v>
      </c>
      <c r="T1533" t="str">
        <f>VLOOKUP(S1533,'Mapa Oficinas'!$H$7:$I$16,2,FALSE)</f>
        <v>CB</v>
      </c>
      <c r="U1533" t="s">
        <v>29</v>
      </c>
      <c r="V1533" t="str">
        <f>VLOOKUP($R1533,'Mapa Oficinas'!$A$7:$C$46,2,FALSE)</f>
        <v>CABA</v>
      </c>
      <c r="W1533" t="str">
        <f>VLOOKUP($R1533,'Mapa Oficinas'!$A$7:$C$46,3,FALSE)</f>
        <v>Villa Urquiza</v>
      </c>
    </row>
    <row r="1534" spans="1:23" x14ac:dyDescent="0.2">
      <c r="A1534" s="1">
        <v>45869</v>
      </c>
      <c r="B1534" s="20">
        <f t="shared" si="46"/>
        <v>2025</v>
      </c>
      <c r="C1534" s="20">
        <f t="shared" si="47"/>
        <v>7</v>
      </c>
      <c r="D1534" t="s">
        <v>3355</v>
      </c>
      <c r="E1534" s="49">
        <v>1</v>
      </c>
      <c r="F1534" t="s">
        <v>3356</v>
      </c>
      <c r="G1534" t="s">
        <v>21</v>
      </c>
      <c r="H1534" t="s">
        <v>90</v>
      </c>
      <c r="I1534" s="13">
        <v>155000</v>
      </c>
      <c r="J1534" s="13">
        <v>125000</v>
      </c>
      <c r="K1534" s="13">
        <f>IF(J1534&lt;'Mapa Oficinas'!$I$21,0,IF(J1534&gt;'Mapa Oficinas'!$I$20,0,1))</f>
        <v>1</v>
      </c>
      <c r="L1534" t="s">
        <v>23</v>
      </c>
      <c r="M1534" t="s">
        <v>23</v>
      </c>
      <c r="N1534" t="s">
        <v>3357</v>
      </c>
      <c r="O1534" t="s">
        <v>1196</v>
      </c>
      <c r="P1534" t="s">
        <v>55</v>
      </c>
      <c r="Q1534">
        <v>2</v>
      </c>
      <c r="R1534" t="s">
        <v>62</v>
      </c>
      <c r="S1534" t="s">
        <v>28</v>
      </c>
      <c r="T1534" t="str">
        <f>VLOOKUP(S1534,'Mapa Oficinas'!$H$7:$I$16,2,FALSE)</f>
        <v>CB</v>
      </c>
      <c r="U1534" t="s">
        <v>29</v>
      </c>
      <c r="V1534" t="str">
        <f>VLOOKUP($R1534,'Mapa Oficinas'!$A$7:$C$46,2,FALSE)</f>
        <v>CABA</v>
      </c>
      <c r="W1534" t="str">
        <f>VLOOKUP($R1534,'Mapa Oficinas'!$A$7:$C$46,3,FALSE)</f>
        <v>Villa Urquiza</v>
      </c>
    </row>
    <row r="1535" spans="1:23" x14ac:dyDescent="0.2">
      <c r="A1535" s="1">
        <v>45877</v>
      </c>
      <c r="B1535" s="20">
        <f t="shared" si="46"/>
        <v>2025</v>
      </c>
      <c r="C1535" s="20">
        <f t="shared" si="47"/>
        <v>8</v>
      </c>
      <c r="D1535" t="s">
        <v>3487</v>
      </c>
      <c r="E1535" s="49">
        <v>1</v>
      </c>
      <c r="F1535" t="s">
        <v>3488</v>
      </c>
      <c r="G1535" t="s">
        <v>21</v>
      </c>
      <c r="H1535" t="s">
        <v>37</v>
      </c>
      <c r="I1535" s="13">
        <v>129000</v>
      </c>
      <c r="J1535" s="13">
        <v>125000</v>
      </c>
      <c r="K1535" s="13">
        <f>IF(J1535&lt;'Mapa Oficinas'!$I$21,0,IF(J1535&gt;'Mapa Oficinas'!$I$20,0,1))</f>
        <v>1</v>
      </c>
      <c r="L1535" t="s">
        <v>23</v>
      </c>
      <c r="M1535" t="s">
        <v>23</v>
      </c>
      <c r="N1535" t="s">
        <v>3489</v>
      </c>
      <c r="O1535" t="s">
        <v>265</v>
      </c>
      <c r="P1535" t="s">
        <v>45</v>
      </c>
      <c r="Q1535">
        <v>2</v>
      </c>
      <c r="R1535" t="s">
        <v>46</v>
      </c>
      <c r="S1535" t="s">
        <v>28</v>
      </c>
      <c r="T1535" t="str">
        <f>VLOOKUP(S1535,'Mapa Oficinas'!$H$7:$I$16,2,FALSE)</f>
        <v>CB</v>
      </c>
      <c r="U1535" t="s">
        <v>29</v>
      </c>
      <c r="V1535" t="str">
        <f>VLOOKUP($R1535,'Mapa Oficinas'!$A$7:$C$46,2,FALSE)</f>
        <v>CABA</v>
      </c>
      <c r="W1535" t="str">
        <f>VLOOKUP($R1535,'Mapa Oficinas'!$A$7:$C$46,3,FALSE)</f>
        <v>Palermo</v>
      </c>
    </row>
    <row r="1536" spans="1:23" x14ac:dyDescent="0.2">
      <c r="A1536" s="1">
        <v>45896</v>
      </c>
      <c r="B1536" s="20">
        <f t="shared" si="46"/>
        <v>2025</v>
      </c>
      <c r="C1536" s="20">
        <f t="shared" si="47"/>
        <v>8</v>
      </c>
      <c r="D1536" t="s">
        <v>3802</v>
      </c>
      <c r="E1536" s="49">
        <v>1</v>
      </c>
      <c r="F1536" t="s">
        <v>3803</v>
      </c>
      <c r="G1536" t="s">
        <v>21</v>
      </c>
      <c r="H1536" t="s">
        <v>37</v>
      </c>
      <c r="I1536" s="13">
        <v>128000</v>
      </c>
      <c r="J1536" s="13">
        <v>125000</v>
      </c>
      <c r="K1536" s="13">
        <f>IF(J1536&lt;'Mapa Oficinas'!$I$21,0,IF(J1536&gt;'Mapa Oficinas'!$I$20,0,1))</f>
        <v>1</v>
      </c>
      <c r="L1536" t="s">
        <v>23</v>
      </c>
      <c r="M1536" t="s">
        <v>23</v>
      </c>
      <c r="N1536" t="s">
        <v>3804</v>
      </c>
      <c r="O1536" t="s">
        <v>66</v>
      </c>
      <c r="P1536" t="s">
        <v>45</v>
      </c>
      <c r="Q1536">
        <v>2</v>
      </c>
      <c r="R1536" t="s">
        <v>1024</v>
      </c>
      <c r="S1536" t="s">
        <v>28</v>
      </c>
      <c r="T1536" t="str">
        <f>VLOOKUP(S1536,'Mapa Oficinas'!$H$7:$I$16,2,FALSE)</f>
        <v>CB</v>
      </c>
      <c r="U1536" t="s">
        <v>29</v>
      </c>
      <c r="V1536" t="str">
        <f>VLOOKUP($R1536,'Mapa Oficinas'!$A$7:$C$46,2,FALSE)</f>
        <v>CABA</v>
      </c>
      <c r="W1536" t="str">
        <f>VLOOKUP($R1536,'Mapa Oficinas'!$A$7:$C$46,3,FALSE)</f>
        <v>Puerto Madero</v>
      </c>
    </row>
    <row r="1537" spans="1:23" x14ac:dyDescent="0.2">
      <c r="A1537" s="1">
        <v>45898</v>
      </c>
      <c r="B1537" s="20">
        <f t="shared" si="46"/>
        <v>2025</v>
      </c>
      <c r="C1537" s="20">
        <f t="shared" si="47"/>
        <v>8</v>
      </c>
      <c r="D1537" t="s">
        <v>3885</v>
      </c>
      <c r="E1537" s="49">
        <v>1</v>
      </c>
      <c r="F1537" t="s">
        <v>3886</v>
      </c>
      <c r="G1537" t="s">
        <v>21</v>
      </c>
      <c r="H1537" t="s">
        <v>37</v>
      </c>
      <c r="I1537" s="13">
        <v>130000</v>
      </c>
      <c r="J1537" s="13">
        <v>125000</v>
      </c>
      <c r="K1537" s="13">
        <f>IF(J1537&lt;'Mapa Oficinas'!$I$21,0,IF(J1537&gt;'Mapa Oficinas'!$I$20,0,1))</f>
        <v>1</v>
      </c>
      <c r="L1537" t="s">
        <v>23</v>
      </c>
      <c r="M1537" t="s">
        <v>23</v>
      </c>
      <c r="N1537" t="s">
        <v>3887</v>
      </c>
      <c r="O1537" t="s">
        <v>329</v>
      </c>
      <c r="P1537" t="s">
        <v>34</v>
      </c>
      <c r="Q1537">
        <v>2</v>
      </c>
      <c r="R1537" t="s">
        <v>183</v>
      </c>
      <c r="S1537" t="s">
        <v>28</v>
      </c>
      <c r="T1537" t="str">
        <f>VLOOKUP(S1537,'Mapa Oficinas'!$H$7:$I$16,2,FALSE)</f>
        <v>CB</v>
      </c>
      <c r="U1537" t="s">
        <v>29</v>
      </c>
      <c r="V1537" t="str">
        <f>VLOOKUP($R1537,'Mapa Oficinas'!$A$7:$C$46,2,FALSE)</f>
        <v>Interior - Neuquén</v>
      </c>
      <c r="W1537" t="str">
        <f>VLOOKUP($R1537,'Mapa Oficinas'!$A$7:$C$46,3,FALSE)</f>
        <v>Capital Neuquén</v>
      </c>
    </row>
    <row r="1538" spans="1:23" x14ac:dyDescent="0.2">
      <c r="A1538" s="1">
        <v>45960</v>
      </c>
      <c r="B1538" s="20">
        <f t="shared" ref="B1538:B1601" si="48">YEAR($A1538)</f>
        <v>2025</v>
      </c>
      <c r="C1538" s="20">
        <f t="shared" ref="C1538:C1601" si="49">MONTH($A1538)</f>
        <v>10</v>
      </c>
      <c r="D1538" t="s">
        <v>4999</v>
      </c>
      <c r="E1538" s="49">
        <v>1</v>
      </c>
      <c r="F1538" t="s">
        <v>5000</v>
      </c>
      <c r="G1538" t="s">
        <v>21</v>
      </c>
      <c r="H1538" t="s">
        <v>37</v>
      </c>
      <c r="I1538" s="13">
        <v>128000</v>
      </c>
      <c r="J1538" s="13">
        <v>125000</v>
      </c>
      <c r="K1538" s="13">
        <f>IF(J1538&lt;'Mapa Oficinas'!$I$21,0,IF(J1538&gt;'Mapa Oficinas'!$I$20,0,1))</f>
        <v>1</v>
      </c>
      <c r="L1538" t="s">
        <v>23</v>
      </c>
      <c r="M1538" t="s">
        <v>23</v>
      </c>
      <c r="N1538" t="s">
        <v>5001</v>
      </c>
      <c r="O1538" t="s">
        <v>178</v>
      </c>
      <c r="P1538" t="s">
        <v>61</v>
      </c>
      <c r="Q1538">
        <v>2</v>
      </c>
      <c r="R1538" t="s">
        <v>46</v>
      </c>
      <c r="S1538" t="s">
        <v>28</v>
      </c>
      <c r="T1538" t="str">
        <f>VLOOKUP(S1538,'Mapa Oficinas'!$H$7:$I$16,2,FALSE)</f>
        <v>CB</v>
      </c>
      <c r="U1538" t="s">
        <v>29</v>
      </c>
      <c r="V1538" t="str">
        <f>VLOOKUP($R1538,'Mapa Oficinas'!$A$7:$C$46,2,FALSE)</f>
        <v>CABA</v>
      </c>
      <c r="W1538" t="str">
        <f>VLOOKUP($R1538,'Mapa Oficinas'!$A$7:$C$46,3,FALSE)</f>
        <v>Palermo</v>
      </c>
    </row>
    <row r="1539" spans="1:23" x14ac:dyDescent="0.2">
      <c r="A1539" s="1">
        <v>45989</v>
      </c>
      <c r="B1539" s="20">
        <f t="shared" si="48"/>
        <v>2025</v>
      </c>
      <c r="C1539" s="20">
        <f t="shared" si="49"/>
        <v>11</v>
      </c>
      <c r="D1539" t="s">
        <v>5427</v>
      </c>
      <c r="E1539" s="49">
        <v>1</v>
      </c>
      <c r="F1539" t="s">
        <v>5428</v>
      </c>
      <c r="G1539" t="s">
        <v>21</v>
      </c>
      <c r="H1539" t="s">
        <v>37</v>
      </c>
      <c r="I1539" s="13">
        <v>139000</v>
      </c>
      <c r="J1539" s="13">
        <v>125000</v>
      </c>
      <c r="K1539" s="13">
        <f>IF(J1539&lt;'Mapa Oficinas'!$I$21,0,IF(J1539&gt;'Mapa Oficinas'!$I$20,0,1))</f>
        <v>1</v>
      </c>
      <c r="L1539" t="s">
        <v>23</v>
      </c>
      <c r="M1539" t="s">
        <v>23</v>
      </c>
      <c r="N1539" t="s">
        <v>5429</v>
      </c>
      <c r="O1539" t="s">
        <v>552</v>
      </c>
      <c r="P1539" t="s">
        <v>45</v>
      </c>
      <c r="Q1539">
        <v>2</v>
      </c>
      <c r="R1539" t="s">
        <v>46</v>
      </c>
      <c r="S1539" t="s">
        <v>28</v>
      </c>
      <c r="T1539" t="str">
        <f>VLOOKUP(S1539,'Mapa Oficinas'!$H$7:$I$16,2,FALSE)</f>
        <v>CB</v>
      </c>
      <c r="U1539" t="s">
        <v>29</v>
      </c>
      <c r="V1539" t="str">
        <f>VLOOKUP($R1539,'Mapa Oficinas'!$A$7:$C$46,2,FALSE)</f>
        <v>CABA</v>
      </c>
      <c r="W1539" t="str">
        <f>VLOOKUP($R1539,'Mapa Oficinas'!$A$7:$C$46,3,FALSE)</f>
        <v>Palermo</v>
      </c>
    </row>
    <row r="1540" spans="1:23" x14ac:dyDescent="0.2">
      <c r="A1540" s="1">
        <v>46015</v>
      </c>
      <c r="B1540" s="20">
        <f t="shared" si="48"/>
        <v>2025</v>
      </c>
      <c r="C1540" s="20">
        <f t="shared" si="49"/>
        <v>12</v>
      </c>
      <c r="D1540" t="s">
        <v>6005</v>
      </c>
      <c r="E1540" s="49">
        <v>1</v>
      </c>
      <c r="F1540" t="s">
        <v>6006</v>
      </c>
      <c r="G1540" t="s">
        <v>21</v>
      </c>
      <c r="H1540" t="s">
        <v>37</v>
      </c>
      <c r="I1540" s="13">
        <v>154000</v>
      </c>
      <c r="J1540" s="13">
        <v>125000</v>
      </c>
      <c r="K1540" s="13">
        <f>IF(J1540&lt;'Mapa Oficinas'!$I$21,0,IF(J1540&gt;'Mapa Oficinas'!$I$20,0,1))</f>
        <v>1</v>
      </c>
      <c r="L1540" t="s">
        <v>23</v>
      </c>
      <c r="M1540" t="s">
        <v>23</v>
      </c>
      <c r="N1540" t="s">
        <v>6007</v>
      </c>
      <c r="O1540" t="s">
        <v>6008</v>
      </c>
      <c r="P1540" t="s">
        <v>45</v>
      </c>
      <c r="Q1540">
        <v>2</v>
      </c>
      <c r="R1540" t="s">
        <v>110</v>
      </c>
      <c r="S1540" t="s">
        <v>28</v>
      </c>
      <c r="T1540" t="str">
        <f>VLOOKUP(S1540,'Mapa Oficinas'!$H$7:$I$16,2,FALSE)</f>
        <v>CB</v>
      </c>
      <c r="U1540" t="s">
        <v>29</v>
      </c>
      <c r="V1540" t="str">
        <f>VLOOKUP($R1540,'Mapa Oficinas'!$A$7:$C$46,2,FALSE)</f>
        <v>Zona Norte (GBA)</v>
      </c>
      <c r="W1540" t="str">
        <f>VLOOKUP($R1540,'Mapa Oficinas'!$A$7:$C$46,3,FALSE)</f>
        <v>Nordelta</v>
      </c>
    </row>
    <row r="1541" spans="1:23" x14ac:dyDescent="0.2">
      <c r="A1541" s="1">
        <v>46030</v>
      </c>
      <c r="B1541" s="20">
        <f t="shared" si="48"/>
        <v>2026</v>
      </c>
      <c r="C1541" s="20">
        <f t="shared" si="49"/>
        <v>1</v>
      </c>
      <c r="D1541" t="s">
        <v>6139</v>
      </c>
      <c r="E1541" s="49">
        <v>1</v>
      </c>
      <c r="F1541" t="s">
        <v>6140</v>
      </c>
      <c r="G1541" t="s">
        <v>21</v>
      </c>
      <c r="H1541" t="s">
        <v>22</v>
      </c>
      <c r="I1541" s="13">
        <v>130000</v>
      </c>
      <c r="J1541" s="13">
        <v>125000</v>
      </c>
      <c r="K1541" s="13">
        <f>IF(J1541&lt;'Mapa Oficinas'!$I$21,0,IF(J1541&gt;'Mapa Oficinas'!$I$20,0,1))</f>
        <v>1</v>
      </c>
      <c r="L1541" t="s">
        <v>23</v>
      </c>
      <c r="M1541" t="s">
        <v>23</v>
      </c>
      <c r="N1541" t="s">
        <v>6141</v>
      </c>
      <c r="O1541" t="s">
        <v>6142</v>
      </c>
      <c r="P1541" t="s">
        <v>34</v>
      </c>
      <c r="Q1541">
        <v>2</v>
      </c>
      <c r="R1541" t="s">
        <v>151</v>
      </c>
      <c r="S1541" t="s">
        <v>28</v>
      </c>
      <c r="T1541" t="str">
        <f>VLOOKUP(S1541,'Mapa Oficinas'!$H$7:$I$16,2,FALSE)</f>
        <v>CB</v>
      </c>
      <c r="U1541" t="s">
        <v>29</v>
      </c>
      <c r="V1541" t="str">
        <f>VLOOKUP($R1541,'Mapa Oficinas'!$A$7:$C$46,2,FALSE)</f>
        <v>Interior - Mendoza</v>
      </c>
      <c r="W1541" t="str">
        <f>VLOOKUP($R1541,'Mapa Oficinas'!$A$7:$C$46,3,FALSE)</f>
        <v>Capital Mendoza</v>
      </c>
    </row>
    <row r="1542" spans="1:23" x14ac:dyDescent="0.2">
      <c r="A1542" s="1">
        <v>46050</v>
      </c>
      <c r="B1542" s="20">
        <f t="shared" si="48"/>
        <v>2026</v>
      </c>
      <c r="C1542" s="20">
        <f t="shared" si="49"/>
        <v>1</v>
      </c>
      <c r="D1542" t="s">
        <v>6443</v>
      </c>
      <c r="E1542" s="49">
        <v>1</v>
      </c>
      <c r="F1542" t="s">
        <v>6444</v>
      </c>
      <c r="G1542" t="s">
        <v>21</v>
      </c>
      <c r="H1542" t="s">
        <v>37</v>
      </c>
      <c r="I1542" s="13">
        <v>145000</v>
      </c>
      <c r="J1542" s="13">
        <v>125000</v>
      </c>
      <c r="K1542" s="13">
        <f>IF(J1542&lt;'Mapa Oficinas'!$I$21,0,IF(J1542&gt;'Mapa Oficinas'!$I$20,0,1))</f>
        <v>1</v>
      </c>
      <c r="L1542" t="s">
        <v>23</v>
      </c>
      <c r="M1542" t="s">
        <v>23</v>
      </c>
      <c r="N1542" t="s">
        <v>6445</v>
      </c>
      <c r="O1542" t="s">
        <v>236</v>
      </c>
      <c r="P1542" t="s">
        <v>45</v>
      </c>
      <c r="Q1542">
        <v>2</v>
      </c>
      <c r="R1542" t="s">
        <v>135</v>
      </c>
      <c r="S1542" t="s">
        <v>28</v>
      </c>
      <c r="T1542" t="str">
        <f>VLOOKUP(S1542,'Mapa Oficinas'!$H$7:$I$16,2,FALSE)</f>
        <v>CB</v>
      </c>
      <c r="U1542" t="s">
        <v>29</v>
      </c>
      <c r="V1542" t="str">
        <f>VLOOKUP($R1542,'Mapa Oficinas'!$A$7:$C$46,2,FALSE)</f>
        <v>CABA</v>
      </c>
      <c r="W1542" t="str">
        <f>VLOOKUP($R1542,'Mapa Oficinas'!$A$7:$C$46,3,FALSE)</f>
        <v>Recoleta</v>
      </c>
    </row>
    <row r="1543" spans="1:23" x14ac:dyDescent="0.2">
      <c r="A1543" s="1">
        <v>46051</v>
      </c>
      <c r="B1543" s="20">
        <f t="shared" si="48"/>
        <v>2026</v>
      </c>
      <c r="C1543" s="20">
        <f t="shared" si="49"/>
        <v>1</v>
      </c>
      <c r="D1543" t="s">
        <v>6456</v>
      </c>
      <c r="E1543" s="49">
        <v>1</v>
      </c>
      <c r="F1543" t="s">
        <v>6457</v>
      </c>
      <c r="G1543" t="s">
        <v>21</v>
      </c>
      <c r="H1543" t="s">
        <v>37</v>
      </c>
      <c r="I1543" s="13">
        <v>125000</v>
      </c>
      <c r="J1543" s="13">
        <v>125000</v>
      </c>
      <c r="K1543" s="13">
        <f>IF(J1543&lt;'Mapa Oficinas'!$I$21,0,IF(J1543&gt;'Mapa Oficinas'!$I$20,0,1))</f>
        <v>1</v>
      </c>
      <c r="L1543" t="s">
        <v>23</v>
      </c>
      <c r="M1543" t="s">
        <v>23</v>
      </c>
      <c r="O1543" t="s">
        <v>6458</v>
      </c>
      <c r="P1543" t="s">
        <v>45</v>
      </c>
      <c r="Q1543">
        <v>2</v>
      </c>
      <c r="R1543" t="s">
        <v>46</v>
      </c>
      <c r="S1543" t="s">
        <v>28</v>
      </c>
      <c r="T1543" t="str">
        <f>VLOOKUP(S1543,'Mapa Oficinas'!$H$7:$I$16,2,FALSE)</f>
        <v>CB</v>
      </c>
      <c r="U1543" t="s">
        <v>29</v>
      </c>
      <c r="V1543" t="str">
        <f>VLOOKUP($R1543,'Mapa Oficinas'!$A$7:$C$46,2,FALSE)</f>
        <v>CABA</v>
      </c>
      <c r="W1543" t="str">
        <f>VLOOKUP($R1543,'Mapa Oficinas'!$A$7:$C$46,3,FALSE)</f>
        <v>Palermo</v>
      </c>
    </row>
    <row r="1544" spans="1:23" x14ac:dyDescent="0.2">
      <c r="A1544" s="1">
        <v>45813</v>
      </c>
      <c r="B1544" s="20">
        <f t="shared" si="48"/>
        <v>2025</v>
      </c>
      <c r="C1544" s="20">
        <f t="shared" si="49"/>
        <v>6</v>
      </c>
      <c r="D1544">
        <v>17</v>
      </c>
      <c r="E1544" s="49">
        <v>1</v>
      </c>
      <c r="F1544" t="s">
        <v>2341</v>
      </c>
      <c r="G1544" t="s">
        <v>21</v>
      </c>
      <c r="H1544" t="s">
        <v>81</v>
      </c>
      <c r="I1544" s="13">
        <v>126000</v>
      </c>
      <c r="J1544" s="13">
        <v>126000</v>
      </c>
      <c r="K1544" s="13">
        <f>IF(J1544&lt;'Mapa Oficinas'!$I$21,0,IF(J1544&gt;'Mapa Oficinas'!$I$20,0,1))</f>
        <v>1</v>
      </c>
      <c r="L1544" t="s">
        <v>23</v>
      </c>
      <c r="M1544" t="s">
        <v>23</v>
      </c>
      <c r="N1544" t="s">
        <v>2342</v>
      </c>
      <c r="O1544" t="s">
        <v>60</v>
      </c>
      <c r="P1544" t="s">
        <v>61</v>
      </c>
      <c r="Q1544">
        <v>1</v>
      </c>
      <c r="R1544" t="s">
        <v>1024</v>
      </c>
      <c r="S1544" t="s">
        <v>47</v>
      </c>
      <c r="T1544" t="str">
        <f>VLOOKUP(S1544,'Mapa Oficinas'!$H$7:$I$16,2,FALSE)</f>
        <v>Otra Red Búsqueda</v>
      </c>
      <c r="U1544" t="s">
        <v>29</v>
      </c>
      <c r="V1544" t="str">
        <f>VLOOKUP($R1544,'Mapa Oficinas'!$A$7:$C$46,2,FALSE)</f>
        <v>CABA</v>
      </c>
      <c r="W1544" t="str">
        <f>VLOOKUP($R1544,'Mapa Oficinas'!$A$7:$C$46,3,FALSE)</f>
        <v>Puerto Madero</v>
      </c>
    </row>
    <row r="1545" spans="1:23" x14ac:dyDescent="0.2">
      <c r="A1545" s="1">
        <v>45821</v>
      </c>
      <c r="B1545" s="20">
        <f t="shared" si="48"/>
        <v>2025</v>
      </c>
      <c r="C1545" s="20">
        <f t="shared" si="49"/>
        <v>6</v>
      </c>
      <c r="D1545" t="s">
        <v>2493</v>
      </c>
      <c r="E1545" s="49">
        <v>1</v>
      </c>
      <c r="F1545" t="s">
        <v>2494</v>
      </c>
      <c r="G1545" t="s">
        <v>21</v>
      </c>
      <c r="H1545" t="s">
        <v>37</v>
      </c>
      <c r="I1545" s="13">
        <v>128500</v>
      </c>
      <c r="J1545" s="13">
        <v>126000</v>
      </c>
      <c r="K1545" s="13">
        <f>IF(J1545&lt;'Mapa Oficinas'!$I$21,0,IF(J1545&gt;'Mapa Oficinas'!$I$20,0,1))</f>
        <v>1</v>
      </c>
      <c r="L1545" t="s">
        <v>23</v>
      </c>
      <c r="M1545" t="s">
        <v>23</v>
      </c>
      <c r="N1545" t="s">
        <v>2495</v>
      </c>
      <c r="O1545" t="s">
        <v>470</v>
      </c>
      <c r="P1545" t="s">
        <v>45</v>
      </c>
      <c r="Q1545">
        <v>2</v>
      </c>
      <c r="R1545" t="s">
        <v>110</v>
      </c>
      <c r="S1545" t="s">
        <v>200</v>
      </c>
      <c r="T1545" t="str">
        <f>VLOOKUP(S1545,'Mapa Oficinas'!$H$7:$I$16,2,FALSE)</f>
        <v>Otra Red Captación</v>
      </c>
      <c r="U1545" t="s">
        <v>29</v>
      </c>
      <c r="V1545" t="str">
        <f>VLOOKUP($R1545,'Mapa Oficinas'!$A$7:$C$46,2,FALSE)</f>
        <v>Zona Norte (GBA)</v>
      </c>
      <c r="W1545" t="str">
        <f>VLOOKUP($R1545,'Mapa Oficinas'!$A$7:$C$46,3,FALSE)</f>
        <v>Nordelta</v>
      </c>
    </row>
    <row r="1546" spans="1:23" x14ac:dyDescent="0.2">
      <c r="A1546" s="1">
        <v>45831</v>
      </c>
      <c r="B1546" s="20">
        <f t="shared" si="48"/>
        <v>2025</v>
      </c>
      <c r="C1546" s="20">
        <f t="shared" si="49"/>
        <v>6</v>
      </c>
      <c r="D1546" t="s">
        <v>2589</v>
      </c>
      <c r="E1546" s="49">
        <v>1</v>
      </c>
      <c r="F1546" t="s">
        <v>2590</v>
      </c>
      <c r="G1546" t="s">
        <v>21</v>
      </c>
      <c r="H1546" t="s">
        <v>37</v>
      </c>
      <c r="I1546" s="13">
        <v>130000</v>
      </c>
      <c r="J1546" s="13">
        <v>126000</v>
      </c>
      <c r="K1546" s="13">
        <f>IF(J1546&lt;'Mapa Oficinas'!$I$21,0,IF(J1546&gt;'Mapa Oficinas'!$I$20,0,1))</f>
        <v>1</v>
      </c>
      <c r="L1546" t="s">
        <v>23</v>
      </c>
      <c r="M1546" t="s">
        <v>23</v>
      </c>
      <c r="N1546" t="s">
        <v>2591</v>
      </c>
      <c r="O1546" t="s">
        <v>329</v>
      </c>
      <c r="P1546" t="s">
        <v>45</v>
      </c>
      <c r="Q1546">
        <v>2</v>
      </c>
      <c r="R1546" t="s">
        <v>183</v>
      </c>
      <c r="S1546" t="s">
        <v>200</v>
      </c>
      <c r="T1546" t="str">
        <f>VLOOKUP(S1546,'Mapa Oficinas'!$H$7:$I$16,2,FALSE)</f>
        <v>Otra Red Captación</v>
      </c>
      <c r="U1546" t="s">
        <v>29</v>
      </c>
      <c r="V1546" t="str">
        <f>VLOOKUP($R1546,'Mapa Oficinas'!$A$7:$C$46,2,FALSE)</f>
        <v>Interior - Neuquén</v>
      </c>
      <c r="W1546" t="str">
        <f>VLOOKUP($R1546,'Mapa Oficinas'!$A$7:$C$46,3,FALSE)</f>
        <v>Capital Neuquén</v>
      </c>
    </row>
    <row r="1547" spans="1:23" x14ac:dyDescent="0.2">
      <c r="A1547" s="1">
        <v>45702</v>
      </c>
      <c r="B1547" s="20">
        <f t="shared" si="48"/>
        <v>2025</v>
      </c>
      <c r="C1547" s="20">
        <f t="shared" si="49"/>
        <v>2</v>
      </c>
      <c r="D1547" t="s">
        <v>603</v>
      </c>
      <c r="E1547" s="49">
        <v>1</v>
      </c>
      <c r="F1547" t="s">
        <v>604</v>
      </c>
      <c r="G1547" t="s">
        <v>21</v>
      </c>
      <c r="H1547" t="s">
        <v>37</v>
      </c>
      <c r="I1547" s="13">
        <v>140000</v>
      </c>
      <c r="J1547" s="13">
        <v>126000</v>
      </c>
      <c r="K1547" s="13">
        <f>IF(J1547&lt;'Mapa Oficinas'!$I$21,0,IF(J1547&gt;'Mapa Oficinas'!$I$20,0,1))</f>
        <v>1</v>
      </c>
      <c r="L1547" t="s">
        <v>23</v>
      </c>
      <c r="M1547" t="s">
        <v>23</v>
      </c>
      <c r="N1547" t="s">
        <v>605</v>
      </c>
      <c r="O1547" t="s">
        <v>190</v>
      </c>
      <c r="P1547" t="s">
        <v>45</v>
      </c>
      <c r="Q1547">
        <v>2</v>
      </c>
      <c r="R1547" t="s">
        <v>67</v>
      </c>
      <c r="S1547" t="s">
        <v>28</v>
      </c>
      <c r="T1547" t="str">
        <f>VLOOKUP(S1547,'Mapa Oficinas'!$H$7:$I$16,2,FALSE)</f>
        <v>CB</v>
      </c>
      <c r="U1547" t="s">
        <v>29</v>
      </c>
      <c r="V1547" t="str">
        <f>VLOOKUP($R1547,'Mapa Oficinas'!$A$7:$C$46,2,FALSE)</f>
        <v>CABA</v>
      </c>
      <c r="W1547" t="str">
        <f>VLOOKUP($R1547,'Mapa Oficinas'!$A$7:$C$46,3,FALSE)</f>
        <v>Barrio Parque</v>
      </c>
    </row>
    <row r="1548" spans="1:23" x14ac:dyDescent="0.2">
      <c r="A1548" s="1">
        <v>45806</v>
      </c>
      <c r="B1548" s="20">
        <f t="shared" si="48"/>
        <v>2025</v>
      </c>
      <c r="C1548" s="20">
        <f t="shared" si="49"/>
        <v>5</v>
      </c>
      <c r="D1548" t="s">
        <v>2202</v>
      </c>
      <c r="E1548" s="49">
        <v>1</v>
      </c>
      <c r="F1548" t="s">
        <v>2203</v>
      </c>
      <c r="G1548" t="s">
        <v>21</v>
      </c>
      <c r="H1548" t="s">
        <v>362</v>
      </c>
      <c r="I1548" s="13">
        <v>126000</v>
      </c>
      <c r="J1548" s="13">
        <v>126000</v>
      </c>
      <c r="K1548" s="13">
        <f>IF(J1548&lt;'Mapa Oficinas'!$I$21,0,IF(J1548&gt;'Mapa Oficinas'!$I$20,0,1))</f>
        <v>1</v>
      </c>
      <c r="L1548" t="s">
        <v>23</v>
      </c>
      <c r="M1548" t="s">
        <v>23</v>
      </c>
      <c r="N1548" t="s">
        <v>2204</v>
      </c>
      <c r="O1548" t="s">
        <v>60</v>
      </c>
      <c r="P1548" t="s">
        <v>61</v>
      </c>
      <c r="Q1548">
        <v>2</v>
      </c>
      <c r="R1548" t="s">
        <v>1024</v>
      </c>
      <c r="S1548" t="s">
        <v>28</v>
      </c>
      <c r="T1548" t="str">
        <f>VLOOKUP(S1548,'Mapa Oficinas'!$H$7:$I$16,2,FALSE)</f>
        <v>CB</v>
      </c>
      <c r="U1548" t="s">
        <v>29</v>
      </c>
      <c r="V1548" t="str">
        <f>VLOOKUP($R1548,'Mapa Oficinas'!$A$7:$C$46,2,FALSE)</f>
        <v>CABA</v>
      </c>
      <c r="W1548" t="str">
        <f>VLOOKUP($R1548,'Mapa Oficinas'!$A$7:$C$46,3,FALSE)</f>
        <v>Puerto Madero</v>
      </c>
    </row>
    <row r="1549" spans="1:23" x14ac:dyDescent="0.2">
      <c r="A1549" s="1">
        <v>45834</v>
      </c>
      <c r="B1549" s="20">
        <f t="shared" si="48"/>
        <v>2025</v>
      </c>
      <c r="C1549" s="20">
        <f t="shared" si="49"/>
        <v>6</v>
      </c>
      <c r="D1549" t="s">
        <v>2662</v>
      </c>
      <c r="E1549" s="49">
        <v>1</v>
      </c>
      <c r="F1549" t="s">
        <v>2662</v>
      </c>
      <c r="G1549" t="s">
        <v>21</v>
      </c>
      <c r="H1549" t="s">
        <v>37</v>
      </c>
      <c r="I1549" s="13">
        <v>126000</v>
      </c>
      <c r="J1549" s="13">
        <v>126000</v>
      </c>
      <c r="K1549" s="13">
        <f>IF(J1549&lt;'Mapa Oficinas'!$I$21,0,IF(J1549&gt;'Mapa Oficinas'!$I$20,0,1))</f>
        <v>1</v>
      </c>
      <c r="L1549" t="s">
        <v>23</v>
      </c>
      <c r="M1549" t="s">
        <v>23</v>
      </c>
      <c r="N1549" t="s">
        <v>2662</v>
      </c>
      <c r="O1549" t="s">
        <v>116</v>
      </c>
      <c r="P1549" t="s">
        <v>45</v>
      </c>
      <c r="Q1549">
        <v>2</v>
      </c>
      <c r="R1549" t="s">
        <v>62</v>
      </c>
      <c r="S1549" t="s">
        <v>28</v>
      </c>
      <c r="T1549" t="str">
        <f>VLOOKUP(S1549,'Mapa Oficinas'!$H$7:$I$16,2,FALSE)</f>
        <v>CB</v>
      </c>
      <c r="U1549" t="s">
        <v>29</v>
      </c>
      <c r="V1549" t="str">
        <f>VLOOKUP($R1549,'Mapa Oficinas'!$A$7:$C$46,2,FALSE)</f>
        <v>CABA</v>
      </c>
      <c r="W1549" t="str">
        <f>VLOOKUP($R1549,'Mapa Oficinas'!$A$7:$C$46,3,FALSE)</f>
        <v>Villa Urquiza</v>
      </c>
    </row>
    <row r="1550" spans="1:23" x14ac:dyDescent="0.2">
      <c r="A1550" s="1">
        <v>45838</v>
      </c>
      <c r="B1550" s="20">
        <f t="shared" si="48"/>
        <v>2025</v>
      </c>
      <c r="C1550" s="20">
        <f t="shared" si="49"/>
        <v>6</v>
      </c>
      <c r="D1550" t="s">
        <v>2779</v>
      </c>
      <c r="E1550" s="49">
        <v>1</v>
      </c>
      <c r="F1550" t="s">
        <v>2780</v>
      </c>
      <c r="G1550" t="s">
        <v>21</v>
      </c>
      <c r="H1550" t="s">
        <v>76</v>
      </c>
      <c r="I1550" s="13">
        <v>128000</v>
      </c>
      <c r="J1550" s="13">
        <v>126000</v>
      </c>
      <c r="K1550" s="13">
        <f>IF(J1550&lt;'Mapa Oficinas'!$I$21,0,IF(J1550&gt;'Mapa Oficinas'!$I$20,0,1))</f>
        <v>1</v>
      </c>
      <c r="L1550" t="s">
        <v>23</v>
      </c>
      <c r="M1550" t="s">
        <v>23</v>
      </c>
      <c r="N1550" t="s">
        <v>2781</v>
      </c>
      <c r="O1550" t="s">
        <v>66</v>
      </c>
      <c r="P1550" t="s">
        <v>45</v>
      </c>
      <c r="Q1550">
        <v>2</v>
      </c>
      <c r="R1550" t="s">
        <v>1605</v>
      </c>
      <c r="S1550" t="s">
        <v>28</v>
      </c>
      <c r="T1550" t="str">
        <f>VLOOKUP(S1550,'Mapa Oficinas'!$H$7:$I$16,2,FALSE)</f>
        <v>CB</v>
      </c>
      <c r="U1550" t="s">
        <v>29</v>
      </c>
      <c r="V1550" t="str">
        <f>VLOOKUP($R1550,'Mapa Oficinas'!$A$7:$C$46,2,FALSE)</f>
        <v>CABA</v>
      </c>
      <c r="W1550" t="str">
        <f>VLOOKUP($R1550,'Mapa Oficinas'!$A$7:$C$46,3,FALSE)</f>
        <v>Núñez</v>
      </c>
    </row>
    <row r="1551" spans="1:23" x14ac:dyDescent="0.2">
      <c r="A1551" s="1">
        <v>45989</v>
      </c>
      <c r="B1551" s="20">
        <f t="shared" si="48"/>
        <v>2025</v>
      </c>
      <c r="C1551" s="20">
        <f t="shared" si="49"/>
        <v>11</v>
      </c>
      <c r="D1551" t="s">
        <v>5430</v>
      </c>
      <c r="E1551" s="49">
        <v>1</v>
      </c>
      <c r="F1551" t="s">
        <v>5431</v>
      </c>
      <c r="G1551" t="s">
        <v>21</v>
      </c>
      <c r="H1551" t="s">
        <v>37</v>
      </c>
      <c r="I1551" s="13">
        <v>149900</v>
      </c>
      <c r="J1551" s="13">
        <v>126000</v>
      </c>
      <c r="K1551" s="13">
        <f>IF(J1551&lt;'Mapa Oficinas'!$I$21,0,IF(J1551&gt;'Mapa Oficinas'!$I$20,0,1))</f>
        <v>1</v>
      </c>
      <c r="L1551" t="s">
        <v>23</v>
      </c>
      <c r="M1551" t="s">
        <v>23</v>
      </c>
      <c r="N1551" t="s">
        <v>5432</v>
      </c>
      <c r="O1551" t="s">
        <v>380</v>
      </c>
      <c r="P1551" t="s">
        <v>61</v>
      </c>
      <c r="Q1551">
        <v>2</v>
      </c>
      <c r="R1551" t="s">
        <v>170</v>
      </c>
      <c r="S1551" t="s">
        <v>28</v>
      </c>
      <c r="T1551" t="str">
        <f>VLOOKUP(S1551,'Mapa Oficinas'!$H$7:$I$16,2,FALSE)</f>
        <v>CB</v>
      </c>
      <c r="U1551" t="s">
        <v>29</v>
      </c>
      <c r="V1551" t="str">
        <f>VLOOKUP($R1551,'Mapa Oficinas'!$A$7:$C$46,2,FALSE)</f>
        <v>CABA</v>
      </c>
      <c r="W1551" t="str">
        <f>VLOOKUP($R1551,'Mapa Oficinas'!$A$7:$C$46,3,FALSE)</f>
        <v>Belgrano</v>
      </c>
    </row>
    <row r="1552" spans="1:23" x14ac:dyDescent="0.2">
      <c r="A1552" s="1">
        <v>46055</v>
      </c>
      <c r="B1552" s="20">
        <f t="shared" si="48"/>
        <v>2026</v>
      </c>
      <c r="C1552" s="20">
        <f t="shared" si="49"/>
        <v>2</v>
      </c>
      <c r="D1552" t="s">
        <v>6502</v>
      </c>
      <c r="E1552" s="49">
        <v>1</v>
      </c>
      <c r="F1552" t="s">
        <v>6503</v>
      </c>
      <c r="G1552" t="s">
        <v>21</v>
      </c>
      <c r="H1552" t="s">
        <v>37</v>
      </c>
      <c r="I1552" s="13">
        <v>128000</v>
      </c>
      <c r="J1552" s="13">
        <v>126000</v>
      </c>
      <c r="K1552" s="13">
        <f>IF(J1552&lt;'Mapa Oficinas'!$I$21,0,IF(J1552&gt;'Mapa Oficinas'!$I$20,0,1))</f>
        <v>1</v>
      </c>
      <c r="L1552" t="s">
        <v>23</v>
      </c>
      <c r="M1552" t="s">
        <v>23</v>
      </c>
      <c r="N1552" t="s">
        <v>6504</v>
      </c>
      <c r="O1552" t="s">
        <v>141</v>
      </c>
      <c r="P1552" t="s">
        <v>45</v>
      </c>
      <c r="Q1552">
        <v>2</v>
      </c>
      <c r="R1552" t="s">
        <v>1605</v>
      </c>
      <c r="S1552" t="s">
        <v>28</v>
      </c>
      <c r="T1552" t="str">
        <f>VLOOKUP(S1552,'Mapa Oficinas'!$H$7:$I$16,2,FALSE)</f>
        <v>CB</v>
      </c>
      <c r="U1552" t="s">
        <v>29</v>
      </c>
      <c r="V1552" t="str">
        <f>VLOOKUP($R1552,'Mapa Oficinas'!$A$7:$C$46,2,FALSE)</f>
        <v>CABA</v>
      </c>
      <c r="W1552" t="str">
        <f>VLOOKUP($R1552,'Mapa Oficinas'!$A$7:$C$46,3,FALSE)</f>
        <v>Núñez</v>
      </c>
    </row>
    <row r="1553" spans="1:23" x14ac:dyDescent="0.2">
      <c r="A1553" s="1">
        <v>46087</v>
      </c>
      <c r="B1553" s="20">
        <f t="shared" si="48"/>
        <v>2026</v>
      </c>
      <c r="C1553" s="20">
        <f t="shared" si="49"/>
        <v>3</v>
      </c>
      <c r="D1553" t="s">
        <v>7003</v>
      </c>
      <c r="E1553" s="49">
        <v>1</v>
      </c>
      <c r="F1553" t="s">
        <v>7004</v>
      </c>
      <c r="G1553" t="s">
        <v>21</v>
      </c>
      <c r="H1553" t="s">
        <v>221</v>
      </c>
      <c r="I1553" s="13">
        <v>125000</v>
      </c>
      <c r="J1553" s="13">
        <v>126000</v>
      </c>
      <c r="K1553" s="13">
        <f>IF(J1553&lt;'Mapa Oficinas'!$I$21,0,IF(J1553&gt;'Mapa Oficinas'!$I$20,0,1))</f>
        <v>1</v>
      </c>
      <c r="L1553" t="s">
        <v>23</v>
      </c>
      <c r="M1553" t="s">
        <v>1927</v>
      </c>
      <c r="N1553" t="s">
        <v>7005</v>
      </c>
      <c r="O1553" t="s">
        <v>3304</v>
      </c>
      <c r="P1553" t="s">
        <v>34</v>
      </c>
      <c r="Q1553">
        <v>2</v>
      </c>
      <c r="R1553" t="s">
        <v>73</v>
      </c>
      <c r="S1553" t="s">
        <v>28</v>
      </c>
      <c r="T1553" t="str">
        <f>VLOOKUP(S1553,'Mapa Oficinas'!$H$7:$I$16,2,FALSE)</f>
        <v>CB</v>
      </c>
      <c r="U1553" t="s">
        <v>29</v>
      </c>
      <c r="V1553" t="str">
        <f>VLOOKUP($R1553,'Mapa Oficinas'!$A$7:$C$46,2,FALSE)</f>
        <v>Interior - Salta</v>
      </c>
      <c r="W1553" t="str">
        <f>VLOOKUP($R1553,'Mapa Oficinas'!$A$7:$C$46,3,FALSE)</f>
        <v>San Lorenzo Chico</v>
      </c>
    </row>
    <row r="1554" spans="1:23" x14ac:dyDescent="0.2">
      <c r="A1554" s="1">
        <v>45974</v>
      </c>
      <c r="B1554" s="20">
        <f t="shared" si="48"/>
        <v>2025</v>
      </c>
      <c r="C1554" s="20">
        <f t="shared" si="49"/>
        <v>11</v>
      </c>
      <c r="D1554" t="s">
        <v>5207</v>
      </c>
      <c r="E1554" s="49">
        <v>1</v>
      </c>
      <c r="F1554" t="s">
        <v>5208</v>
      </c>
      <c r="G1554" t="s">
        <v>21</v>
      </c>
      <c r="H1554" t="s">
        <v>37</v>
      </c>
      <c r="I1554" s="13">
        <v>143000</v>
      </c>
      <c r="J1554" s="13">
        <v>127000</v>
      </c>
      <c r="K1554" s="13">
        <f>IF(J1554&lt;'Mapa Oficinas'!$I$21,0,IF(J1554&gt;'Mapa Oficinas'!$I$20,0,1))</f>
        <v>1</v>
      </c>
      <c r="L1554" t="s">
        <v>23</v>
      </c>
      <c r="M1554" t="s">
        <v>23</v>
      </c>
      <c r="N1554" t="s">
        <v>5209</v>
      </c>
      <c r="O1554" t="s">
        <v>1196</v>
      </c>
      <c r="P1554" t="s">
        <v>45</v>
      </c>
      <c r="Q1554">
        <v>2</v>
      </c>
      <c r="R1554" t="s">
        <v>1605</v>
      </c>
      <c r="S1554" t="s">
        <v>200</v>
      </c>
      <c r="T1554" t="str">
        <f>VLOOKUP(S1554,'Mapa Oficinas'!$H$7:$I$16,2,FALSE)</f>
        <v>Otra Red Captación</v>
      </c>
      <c r="U1554" t="s">
        <v>29</v>
      </c>
      <c r="V1554" t="str">
        <f>VLOOKUP($R1554,'Mapa Oficinas'!$A$7:$C$46,2,FALSE)</f>
        <v>CABA</v>
      </c>
      <c r="W1554" t="str">
        <f>VLOOKUP($R1554,'Mapa Oficinas'!$A$7:$C$46,3,FALSE)</f>
        <v>Núñez</v>
      </c>
    </row>
    <row r="1555" spans="1:23" x14ac:dyDescent="0.2">
      <c r="A1555" s="1">
        <v>46086</v>
      </c>
      <c r="B1555" s="20">
        <f t="shared" si="48"/>
        <v>2026</v>
      </c>
      <c r="C1555" s="20">
        <f t="shared" si="49"/>
        <v>3</v>
      </c>
      <c r="D1555" t="s">
        <v>6974</v>
      </c>
      <c r="E1555" s="49">
        <v>3</v>
      </c>
      <c r="F1555" t="s">
        <v>6975</v>
      </c>
      <c r="G1555" t="s">
        <v>21</v>
      </c>
      <c r="H1555" t="s">
        <v>76</v>
      </c>
      <c r="I1555" s="13">
        <v>130000</v>
      </c>
      <c r="J1555" s="13">
        <v>127000</v>
      </c>
      <c r="K1555" s="13">
        <f>IF(J1555&lt;'Mapa Oficinas'!$I$21,0,IF(J1555&gt;'Mapa Oficinas'!$I$20,0,1))</f>
        <v>1</v>
      </c>
      <c r="L1555" t="s">
        <v>23</v>
      </c>
      <c r="M1555" t="s">
        <v>23</v>
      </c>
      <c r="N1555" t="s">
        <v>6976</v>
      </c>
      <c r="O1555" t="s">
        <v>477</v>
      </c>
      <c r="P1555" t="s">
        <v>45</v>
      </c>
      <c r="Q1555">
        <v>2</v>
      </c>
      <c r="R1555" t="s">
        <v>5456</v>
      </c>
      <c r="S1555" t="s">
        <v>241</v>
      </c>
      <c r="T1555" t="str">
        <f>VLOOKUP(S1555,'Mapa Oficinas'!$H$7:$I$16,2,FALSE)</f>
        <v>CB</v>
      </c>
      <c r="U1555" t="s">
        <v>29</v>
      </c>
      <c r="V1555" t="str">
        <f>VLOOKUP($R1555,'Mapa Oficinas'!$A$7:$C$46,2,FALSE)</f>
        <v>CABA</v>
      </c>
      <c r="W1555" t="str">
        <f>VLOOKUP($R1555,'Mapa Oficinas'!$A$7:$C$46,3,FALSE)</f>
        <v>Núñez</v>
      </c>
    </row>
    <row r="1556" spans="1:23" x14ac:dyDescent="0.2">
      <c r="A1556" s="1">
        <v>45791</v>
      </c>
      <c r="B1556" s="20">
        <f t="shared" si="48"/>
        <v>2025</v>
      </c>
      <c r="C1556" s="20">
        <f t="shared" si="49"/>
        <v>5</v>
      </c>
      <c r="D1556" t="s">
        <v>1936</v>
      </c>
      <c r="E1556" s="49">
        <v>1</v>
      </c>
      <c r="F1556" t="s">
        <v>1937</v>
      </c>
      <c r="G1556" t="s">
        <v>21</v>
      </c>
      <c r="H1556" t="s">
        <v>37</v>
      </c>
      <c r="I1556" s="13">
        <v>169900</v>
      </c>
      <c r="J1556" s="13">
        <v>127000</v>
      </c>
      <c r="K1556" s="13">
        <f>IF(J1556&lt;'Mapa Oficinas'!$I$21,0,IF(J1556&gt;'Mapa Oficinas'!$I$20,0,1))</f>
        <v>1</v>
      </c>
      <c r="L1556" t="s">
        <v>23</v>
      </c>
      <c r="M1556" t="s">
        <v>23</v>
      </c>
      <c r="N1556" t="s">
        <v>1938</v>
      </c>
      <c r="O1556" t="s">
        <v>1939</v>
      </c>
      <c r="P1556" t="s">
        <v>34</v>
      </c>
      <c r="Q1556">
        <v>2</v>
      </c>
      <c r="R1556" t="s">
        <v>67</v>
      </c>
      <c r="S1556" t="s">
        <v>28</v>
      </c>
      <c r="T1556" t="str">
        <f>VLOOKUP(S1556,'Mapa Oficinas'!$H$7:$I$16,2,FALSE)</f>
        <v>CB</v>
      </c>
      <c r="U1556" t="s">
        <v>29</v>
      </c>
      <c r="V1556" t="str">
        <f>VLOOKUP($R1556,'Mapa Oficinas'!$A$7:$C$46,2,FALSE)</f>
        <v>CABA</v>
      </c>
      <c r="W1556" t="str">
        <f>VLOOKUP($R1556,'Mapa Oficinas'!$A$7:$C$46,3,FALSE)</f>
        <v>Barrio Parque</v>
      </c>
    </row>
    <row r="1557" spans="1:23" x14ac:dyDescent="0.2">
      <c r="A1557" s="1">
        <v>45824</v>
      </c>
      <c r="B1557" s="20">
        <f t="shared" si="48"/>
        <v>2025</v>
      </c>
      <c r="C1557" s="20">
        <f t="shared" si="49"/>
        <v>6</v>
      </c>
      <c r="D1557" t="s">
        <v>2524</v>
      </c>
      <c r="E1557" s="49">
        <v>1</v>
      </c>
      <c r="F1557" t="s">
        <v>2525</v>
      </c>
      <c r="G1557" t="s">
        <v>21</v>
      </c>
      <c r="H1557" t="s">
        <v>37</v>
      </c>
      <c r="I1557" s="13">
        <v>180000</v>
      </c>
      <c r="J1557" s="13">
        <v>127000</v>
      </c>
      <c r="K1557" s="13">
        <f>IF(J1557&lt;'Mapa Oficinas'!$I$21,0,IF(J1557&gt;'Mapa Oficinas'!$I$20,0,1))</f>
        <v>1</v>
      </c>
      <c r="L1557" t="s">
        <v>23</v>
      </c>
      <c r="M1557" t="s">
        <v>23</v>
      </c>
      <c r="N1557" t="s">
        <v>2526</v>
      </c>
      <c r="O1557" t="s">
        <v>25</v>
      </c>
      <c r="P1557" t="s">
        <v>45</v>
      </c>
      <c r="Q1557">
        <v>2</v>
      </c>
      <c r="R1557" t="s">
        <v>110</v>
      </c>
      <c r="S1557" t="s">
        <v>28</v>
      </c>
      <c r="T1557" t="str">
        <f>VLOOKUP(S1557,'Mapa Oficinas'!$H$7:$I$16,2,FALSE)</f>
        <v>CB</v>
      </c>
      <c r="U1557" t="s">
        <v>29</v>
      </c>
      <c r="V1557" t="str">
        <f>VLOOKUP($R1557,'Mapa Oficinas'!$A$7:$C$46,2,FALSE)</f>
        <v>Zona Norte (GBA)</v>
      </c>
      <c r="W1557" t="str">
        <f>VLOOKUP($R1557,'Mapa Oficinas'!$A$7:$C$46,3,FALSE)</f>
        <v>Nordelta</v>
      </c>
    </row>
    <row r="1558" spans="1:23" x14ac:dyDescent="0.2">
      <c r="A1558" s="1">
        <v>45890</v>
      </c>
      <c r="B1558" s="20">
        <f t="shared" si="48"/>
        <v>2025</v>
      </c>
      <c r="C1558" s="20">
        <f t="shared" si="49"/>
        <v>8</v>
      </c>
      <c r="D1558" t="s">
        <v>3700</v>
      </c>
      <c r="E1558" s="49">
        <v>1</v>
      </c>
      <c r="F1558" t="s">
        <v>3701</v>
      </c>
      <c r="G1558" t="s">
        <v>21</v>
      </c>
      <c r="H1558" t="s">
        <v>37</v>
      </c>
      <c r="I1558" s="13">
        <v>135000</v>
      </c>
      <c r="J1558" s="13">
        <v>127000</v>
      </c>
      <c r="K1558" s="13">
        <f>IF(J1558&lt;'Mapa Oficinas'!$I$21,0,IF(J1558&gt;'Mapa Oficinas'!$I$20,0,1))</f>
        <v>1</v>
      </c>
      <c r="L1558" t="s">
        <v>23</v>
      </c>
      <c r="M1558" t="s">
        <v>23</v>
      </c>
      <c r="N1558" t="s">
        <v>3702</v>
      </c>
      <c r="O1558" t="s">
        <v>66</v>
      </c>
      <c r="P1558" t="s">
        <v>45</v>
      </c>
      <c r="Q1558">
        <v>2</v>
      </c>
      <c r="R1558" t="s">
        <v>670</v>
      </c>
      <c r="S1558" t="s">
        <v>28</v>
      </c>
      <c r="T1558" t="str">
        <f>VLOOKUP(S1558,'Mapa Oficinas'!$H$7:$I$16,2,FALSE)</f>
        <v>CB</v>
      </c>
      <c r="U1558" t="s">
        <v>29</v>
      </c>
      <c r="V1558" t="str">
        <f>VLOOKUP($R1558,'Mapa Oficinas'!$A$7:$C$46,2,FALSE)</f>
        <v>CABA</v>
      </c>
      <c r="W1558" t="str">
        <f>VLOOKUP($R1558,'Mapa Oficinas'!$A$7:$C$46,3,FALSE)</f>
        <v>Recoleta</v>
      </c>
    </row>
    <row r="1559" spans="1:23" x14ac:dyDescent="0.2">
      <c r="A1559" s="1">
        <v>45912</v>
      </c>
      <c r="B1559" s="20">
        <f t="shared" si="48"/>
        <v>2025</v>
      </c>
      <c r="C1559" s="20">
        <f t="shared" si="49"/>
        <v>9</v>
      </c>
      <c r="D1559" t="s">
        <v>4114</v>
      </c>
      <c r="E1559" s="49">
        <v>1</v>
      </c>
      <c r="F1559" t="s">
        <v>4115</v>
      </c>
      <c r="G1559" t="s">
        <v>21</v>
      </c>
      <c r="H1559" t="s">
        <v>37</v>
      </c>
      <c r="I1559" s="13">
        <v>129900</v>
      </c>
      <c r="J1559" s="13">
        <v>127000</v>
      </c>
      <c r="K1559" s="13">
        <f>IF(J1559&lt;'Mapa Oficinas'!$I$21,0,IF(J1559&gt;'Mapa Oficinas'!$I$20,0,1))</f>
        <v>1</v>
      </c>
      <c r="L1559" t="s">
        <v>23</v>
      </c>
      <c r="M1559" t="s">
        <v>23</v>
      </c>
      <c r="N1559" t="s">
        <v>4116</v>
      </c>
      <c r="O1559" t="s">
        <v>390</v>
      </c>
      <c r="P1559" t="s">
        <v>45</v>
      </c>
      <c r="Q1559">
        <v>2</v>
      </c>
      <c r="R1559" t="s">
        <v>67</v>
      </c>
      <c r="S1559" t="s">
        <v>28</v>
      </c>
      <c r="T1559" t="str">
        <f>VLOOKUP(S1559,'Mapa Oficinas'!$H$7:$I$16,2,FALSE)</f>
        <v>CB</v>
      </c>
      <c r="U1559" t="s">
        <v>29</v>
      </c>
      <c r="V1559" t="str">
        <f>VLOOKUP($R1559,'Mapa Oficinas'!$A$7:$C$46,2,FALSE)</f>
        <v>CABA</v>
      </c>
      <c r="W1559" t="str">
        <f>VLOOKUP($R1559,'Mapa Oficinas'!$A$7:$C$46,3,FALSE)</f>
        <v>Barrio Parque</v>
      </c>
    </row>
    <row r="1560" spans="1:23" x14ac:dyDescent="0.2">
      <c r="A1560" s="1">
        <v>45888</v>
      </c>
      <c r="B1560" s="20">
        <f t="shared" si="48"/>
        <v>2025</v>
      </c>
      <c r="C1560" s="20">
        <f t="shared" si="49"/>
        <v>8</v>
      </c>
      <c r="D1560" t="s">
        <v>2935</v>
      </c>
      <c r="E1560" s="49">
        <v>1</v>
      </c>
      <c r="F1560" t="s">
        <v>2936</v>
      </c>
      <c r="G1560" t="s">
        <v>21</v>
      </c>
      <c r="H1560" t="s">
        <v>37</v>
      </c>
      <c r="I1560" s="13">
        <v>1200</v>
      </c>
      <c r="J1560" s="13">
        <v>127500</v>
      </c>
      <c r="K1560" s="13">
        <f>IF(J1560&lt;'Mapa Oficinas'!$I$21,0,IF(J1560&gt;'Mapa Oficinas'!$I$20,0,1))</f>
        <v>1</v>
      </c>
      <c r="L1560" t="s">
        <v>23</v>
      </c>
      <c r="M1560" t="s">
        <v>23</v>
      </c>
      <c r="N1560" t="s">
        <v>2937</v>
      </c>
      <c r="O1560" t="s">
        <v>1316</v>
      </c>
      <c r="P1560" t="s">
        <v>34</v>
      </c>
      <c r="Q1560">
        <v>1</v>
      </c>
      <c r="R1560" t="s">
        <v>110</v>
      </c>
      <c r="S1560" t="s">
        <v>47</v>
      </c>
      <c r="T1560" t="str">
        <f>VLOOKUP(S1560,'Mapa Oficinas'!$H$7:$I$16,2,FALSE)</f>
        <v>Otra Red Búsqueda</v>
      </c>
      <c r="U1560" t="s">
        <v>29</v>
      </c>
      <c r="V1560" t="str">
        <f>VLOOKUP($R1560,'Mapa Oficinas'!$A$7:$C$46,2,FALSE)</f>
        <v>Zona Norte (GBA)</v>
      </c>
      <c r="W1560" t="str">
        <f>VLOOKUP($R1560,'Mapa Oficinas'!$A$7:$C$46,3,FALSE)</f>
        <v>Nordelta</v>
      </c>
    </row>
    <row r="1561" spans="1:23" x14ac:dyDescent="0.2">
      <c r="A1561" s="1">
        <v>45810</v>
      </c>
      <c r="B1561" s="20">
        <f t="shared" si="48"/>
        <v>2025</v>
      </c>
      <c r="C1561" s="20">
        <f t="shared" si="49"/>
        <v>6</v>
      </c>
      <c r="D1561" t="s">
        <v>2268</v>
      </c>
      <c r="E1561" s="49">
        <v>1</v>
      </c>
      <c r="F1561" t="s">
        <v>2269</v>
      </c>
      <c r="G1561" t="s">
        <v>21</v>
      </c>
      <c r="H1561" t="s">
        <v>90</v>
      </c>
      <c r="I1561" s="13">
        <v>135000</v>
      </c>
      <c r="J1561" s="13">
        <v>127500</v>
      </c>
      <c r="K1561" s="13">
        <f>IF(J1561&lt;'Mapa Oficinas'!$I$21,0,IF(J1561&gt;'Mapa Oficinas'!$I$20,0,1))</f>
        <v>1</v>
      </c>
      <c r="L1561" t="s">
        <v>23</v>
      </c>
      <c r="M1561" t="s">
        <v>23</v>
      </c>
      <c r="N1561" t="s">
        <v>2270</v>
      </c>
      <c r="O1561" t="s">
        <v>1774</v>
      </c>
      <c r="P1561" t="s">
        <v>34</v>
      </c>
      <c r="Q1561">
        <v>2</v>
      </c>
      <c r="R1561" t="s">
        <v>670</v>
      </c>
      <c r="S1561" t="s">
        <v>200</v>
      </c>
      <c r="T1561" t="str">
        <f>VLOOKUP(S1561,'Mapa Oficinas'!$H$7:$I$16,2,FALSE)</f>
        <v>Otra Red Captación</v>
      </c>
      <c r="U1561" t="s">
        <v>29</v>
      </c>
      <c r="V1561" t="str">
        <f>VLOOKUP($R1561,'Mapa Oficinas'!$A$7:$C$46,2,FALSE)</f>
        <v>CABA</v>
      </c>
      <c r="W1561" t="str">
        <f>VLOOKUP($R1561,'Mapa Oficinas'!$A$7:$C$46,3,FALSE)</f>
        <v>Recoleta</v>
      </c>
    </row>
    <row r="1562" spans="1:23" x14ac:dyDescent="0.2">
      <c r="A1562" s="1">
        <v>45836</v>
      </c>
      <c r="B1562" s="20">
        <f t="shared" si="48"/>
        <v>2025</v>
      </c>
      <c r="C1562" s="20">
        <f t="shared" si="49"/>
        <v>6</v>
      </c>
      <c r="E1562" s="49">
        <v>1</v>
      </c>
      <c r="F1562" t="s">
        <v>2737</v>
      </c>
      <c r="G1562" t="s">
        <v>21</v>
      </c>
      <c r="H1562" t="s">
        <v>76</v>
      </c>
      <c r="I1562" s="13">
        <v>128000</v>
      </c>
      <c r="J1562" s="13">
        <v>128000</v>
      </c>
      <c r="K1562" s="13">
        <f>IF(J1562&lt;'Mapa Oficinas'!$I$21,0,IF(J1562&gt;'Mapa Oficinas'!$I$20,0,1))</f>
        <v>1</v>
      </c>
      <c r="L1562" t="s">
        <v>23</v>
      </c>
      <c r="M1562" t="s">
        <v>23</v>
      </c>
      <c r="N1562" t="s">
        <v>2738</v>
      </c>
      <c r="O1562" t="s">
        <v>2739</v>
      </c>
      <c r="P1562" t="s">
        <v>34</v>
      </c>
      <c r="Q1562">
        <v>1</v>
      </c>
      <c r="R1562" t="s">
        <v>84</v>
      </c>
      <c r="S1562" t="s">
        <v>122</v>
      </c>
      <c r="T1562" t="str">
        <f>VLOOKUP(S1562,'Mapa Oficinas'!$H$7:$I$16,2,FALSE)</f>
        <v>Otra Red Búsqueda</v>
      </c>
      <c r="U1562" t="s">
        <v>29</v>
      </c>
      <c r="V1562" t="str">
        <f>VLOOKUP($R1562,'Mapa Oficinas'!$A$7:$C$46,2,FALSE)</f>
        <v>Interior - Neuquén</v>
      </c>
      <c r="W1562" t="str">
        <f>VLOOKUP($R1562,'Mapa Oficinas'!$A$7:$C$46,3,FALSE)</f>
        <v>Villa La Angostura</v>
      </c>
    </row>
    <row r="1563" spans="1:23" x14ac:dyDescent="0.2">
      <c r="A1563" s="1">
        <v>45972</v>
      </c>
      <c r="B1563" s="20">
        <f t="shared" si="48"/>
        <v>2025</v>
      </c>
      <c r="C1563" s="20">
        <f t="shared" si="49"/>
        <v>11</v>
      </c>
      <c r="D1563">
        <v>42</v>
      </c>
      <c r="E1563" s="49">
        <v>1</v>
      </c>
      <c r="F1563" t="s">
        <v>5138</v>
      </c>
      <c r="G1563" t="s">
        <v>21</v>
      </c>
      <c r="H1563" t="s">
        <v>37</v>
      </c>
      <c r="I1563" s="13">
        <v>128000</v>
      </c>
      <c r="J1563" s="13">
        <v>128000</v>
      </c>
      <c r="K1563" s="13">
        <f>IF(J1563&lt;'Mapa Oficinas'!$I$21,0,IF(J1563&gt;'Mapa Oficinas'!$I$20,0,1))</f>
        <v>1</v>
      </c>
      <c r="L1563" t="s">
        <v>23</v>
      </c>
      <c r="M1563" t="s">
        <v>23</v>
      </c>
      <c r="N1563" t="s">
        <v>5138</v>
      </c>
      <c r="O1563" t="s">
        <v>50</v>
      </c>
      <c r="P1563" t="s">
        <v>45</v>
      </c>
      <c r="Q1563">
        <v>1</v>
      </c>
      <c r="R1563" t="s">
        <v>1024</v>
      </c>
      <c r="S1563" t="s">
        <v>47</v>
      </c>
      <c r="T1563" t="str">
        <f>VLOOKUP(S1563,'Mapa Oficinas'!$H$7:$I$16,2,FALSE)</f>
        <v>Otra Red Búsqueda</v>
      </c>
      <c r="U1563" t="s">
        <v>29</v>
      </c>
      <c r="V1563" t="str">
        <f>VLOOKUP($R1563,'Mapa Oficinas'!$A$7:$C$46,2,FALSE)</f>
        <v>CABA</v>
      </c>
      <c r="W1563" t="str">
        <f>VLOOKUP($R1563,'Mapa Oficinas'!$A$7:$C$46,3,FALSE)</f>
        <v>Puerto Madero</v>
      </c>
    </row>
    <row r="1564" spans="1:23" x14ac:dyDescent="0.2">
      <c r="A1564" s="1">
        <v>45981</v>
      </c>
      <c r="B1564" s="20">
        <f t="shared" si="48"/>
        <v>2025</v>
      </c>
      <c r="C1564" s="20">
        <f t="shared" si="49"/>
        <v>11</v>
      </c>
      <c r="D1564" t="s">
        <v>5336</v>
      </c>
      <c r="E1564" s="49">
        <v>1</v>
      </c>
      <c r="F1564" t="s">
        <v>5337</v>
      </c>
      <c r="G1564" t="s">
        <v>21</v>
      </c>
      <c r="H1564" t="s">
        <v>37</v>
      </c>
      <c r="I1564" s="13">
        <v>137000</v>
      </c>
      <c r="J1564" s="13">
        <v>128000</v>
      </c>
      <c r="K1564" s="13">
        <f>IF(J1564&lt;'Mapa Oficinas'!$I$21,0,IF(J1564&gt;'Mapa Oficinas'!$I$20,0,1))</f>
        <v>1</v>
      </c>
      <c r="L1564" t="s">
        <v>23</v>
      </c>
      <c r="M1564" t="s">
        <v>23</v>
      </c>
      <c r="N1564" t="s">
        <v>5338</v>
      </c>
      <c r="O1564" t="s">
        <v>745</v>
      </c>
      <c r="P1564" t="s">
        <v>34</v>
      </c>
      <c r="Q1564">
        <v>2</v>
      </c>
      <c r="R1564" t="s">
        <v>56</v>
      </c>
      <c r="S1564" t="s">
        <v>28</v>
      </c>
      <c r="T1564" t="str">
        <f>VLOOKUP(S1564,'Mapa Oficinas'!$H$7:$I$16,2,FALSE)</f>
        <v>CB</v>
      </c>
      <c r="U1564" t="s">
        <v>29</v>
      </c>
      <c r="V1564" t="str">
        <f>VLOOKUP($R1564,'Mapa Oficinas'!$A$7:$C$46,2,FALSE)</f>
        <v>Zona Norte (GBA)</v>
      </c>
      <c r="W1564" t="str">
        <f>VLOOKUP($R1564,'Mapa Oficinas'!$A$7:$C$46,3,FALSE)</f>
        <v>Vicente López</v>
      </c>
    </row>
    <row r="1565" spans="1:23" x14ac:dyDescent="0.2">
      <c r="A1565" s="1">
        <v>46037</v>
      </c>
      <c r="B1565" s="20">
        <f t="shared" si="48"/>
        <v>2026</v>
      </c>
      <c r="C1565" s="20">
        <f t="shared" si="49"/>
        <v>1</v>
      </c>
      <c r="D1565" t="s">
        <v>6254</v>
      </c>
      <c r="E1565" s="49">
        <v>1</v>
      </c>
      <c r="F1565" t="s">
        <v>6255</v>
      </c>
      <c r="G1565" t="s">
        <v>21</v>
      </c>
      <c r="H1565" t="s">
        <v>37</v>
      </c>
      <c r="I1565" s="13">
        <v>129500</v>
      </c>
      <c r="J1565" s="13">
        <v>128000</v>
      </c>
      <c r="K1565" s="13">
        <f>IF(J1565&lt;'Mapa Oficinas'!$I$21,0,IF(J1565&gt;'Mapa Oficinas'!$I$20,0,1))</f>
        <v>1</v>
      </c>
      <c r="L1565" t="s">
        <v>23</v>
      </c>
      <c r="M1565" t="s">
        <v>23</v>
      </c>
      <c r="N1565" t="s">
        <v>6256</v>
      </c>
      <c r="O1565" t="s">
        <v>1094</v>
      </c>
      <c r="P1565" t="s">
        <v>45</v>
      </c>
      <c r="Q1565">
        <v>2</v>
      </c>
      <c r="R1565" t="s">
        <v>67</v>
      </c>
      <c r="S1565" t="s">
        <v>28</v>
      </c>
      <c r="T1565" t="str">
        <f>VLOOKUP(S1565,'Mapa Oficinas'!$H$7:$I$16,2,FALSE)</f>
        <v>CB</v>
      </c>
      <c r="U1565" t="s">
        <v>29</v>
      </c>
      <c r="V1565" t="str">
        <f>VLOOKUP($R1565,'Mapa Oficinas'!$A$7:$C$46,2,FALSE)</f>
        <v>CABA</v>
      </c>
      <c r="W1565" t="str">
        <f>VLOOKUP($R1565,'Mapa Oficinas'!$A$7:$C$46,3,FALSE)</f>
        <v>Barrio Parque</v>
      </c>
    </row>
    <row r="1566" spans="1:23" x14ac:dyDescent="0.2">
      <c r="A1566" s="1">
        <v>45846</v>
      </c>
      <c r="B1566" s="20">
        <f t="shared" si="48"/>
        <v>2025</v>
      </c>
      <c r="C1566" s="20">
        <f t="shared" si="49"/>
        <v>7</v>
      </c>
      <c r="D1566" t="s">
        <v>2925</v>
      </c>
      <c r="E1566" s="49">
        <v>1</v>
      </c>
      <c r="F1566" t="s">
        <v>2926</v>
      </c>
      <c r="G1566" t="s">
        <v>21</v>
      </c>
      <c r="H1566" t="s">
        <v>37</v>
      </c>
      <c r="I1566" s="13">
        <v>135000</v>
      </c>
      <c r="J1566" s="13">
        <v>128500</v>
      </c>
      <c r="K1566" s="13">
        <f>IF(J1566&lt;'Mapa Oficinas'!$I$21,0,IF(J1566&gt;'Mapa Oficinas'!$I$20,0,1))</f>
        <v>1</v>
      </c>
      <c r="L1566" t="s">
        <v>23</v>
      </c>
      <c r="M1566" t="s">
        <v>23</v>
      </c>
      <c r="N1566" t="s">
        <v>2927</v>
      </c>
      <c r="O1566" t="s">
        <v>1196</v>
      </c>
      <c r="P1566" t="s">
        <v>45</v>
      </c>
      <c r="Q1566">
        <v>2</v>
      </c>
      <c r="R1566" t="s">
        <v>67</v>
      </c>
      <c r="S1566" t="s">
        <v>28</v>
      </c>
      <c r="T1566" t="str">
        <f>VLOOKUP(S1566,'Mapa Oficinas'!$H$7:$I$16,2,FALSE)</f>
        <v>CB</v>
      </c>
      <c r="U1566" t="s">
        <v>29</v>
      </c>
      <c r="V1566" t="str">
        <f>VLOOKUP($R1566,'Mapa Oficinas'!$A$7:$C$46,2,FALSE)</f>
        <v>CABA</v>
      </c>
      <c r="W1566" t="str">
        <f>VLOOKUP($R1566,'Mapa Oficinas'!$A$7:$C$46,3,FALSE)</f>
        <v>Barrio Parque</v>
      </c>
    </row>
    <row r="1567" spans="1:23" x14ac:dyDescent="0.2">
      <c r="A1567" s="1">
        <v>45905</v>
      </c>
      <c r="B1567" s="20">
        <f t="shared" si="48"/>
        <v>2025</v>
      </c>
      <c r="C1567" s="20">
        <f t="shared" si="49"/>
        <v>9</v>
      </c>
      <c r="D1567" t="s">
        <v>4012</v>
      </c>
      <c r="E1567" s="49">
        <v>1</v>
      </c>
      <c r="F1567" t="s">
        <v>4013</v>
      </c>
      <c r="G1567" t="s">
        <v>21</v>
      </c>
      <c r="H1567" t="s">
        <v>37</v>
      </c>
      <c r="I1567" s="13">
        <v>159000</v>
      </c>
      <c r="J1567" s="13">
        <v>128750</v>
      </c>
      <c r="K1567" s="13">
        <f>IF(J1567&lt;'Mapa Oficinas'!$I$21,0,IF(J1567&gt;'Mapa Oficinas'!$I$20,0,1))</f>
        <v>1</v>
      </c>
      <c r="L1567" t="s">
        <v>23</v>
      </c>
      <c r="M1567" t="s">
        <v>23</v>
      </c>
      <c r="N1567" t="s">
        <v>4014</v>
      </c>
      <c r="O1567" t="s">
        <v>190</v>
      </c>
      <c r="P1567" t="s">
        <v>45</v>
      </c>
      <c r="Q1567">
        <v>2</v>
      </c>
      <c r="R1567" t="s">
        <v>67</v>
      </c>
      <c r="S1567" t="s">
        <v>200</v>
      </c>
      <c r="T1567" t="str">
        <f>VLOOKUP(S1567,'Mapa Oficinas'!$H$7:$I$16,2,FALSE)</f>
        <v>Otra Red Captación</v>
      </c>
      <c r="U1567" t="s">
        <v>29</v>
      </c>
      <c r="V1567" t="str">
        <f>VLOOKUP($R1567,'Mapa Oficinas'!$A$7:$C$46,2,FALSE)</f>
        <v>CABA</v>
      </c>
      <c r="W1567" t="str">
        <f>VLOOKUP($R1567,'Mapa Oficinas'!$A$7:$C$46,3,FALSE)</f>
        <v>Barrio Parque</v>
      </c>
    </row>
    <row r="1568" spans="1:23" x14ac:dyDescent="0.2">
      <c r="A1568" s="1">
        <v>45755</v>
      </c>
      <c r="B1568" s="20">
        <f t="shared" si="48"/>
        <v>2025</v>
      </c>
      <c r="C1568" s="20">
        <f t="shared" si="49"/>
        <v>4</v>
      </c>
      <c r="E1568" s="49">
        <v>1</v>
      </c>
      <c r="F1568" t="s">
        <v>1336</v>
      </c>
      <c r="G1568" t="s">
        <v>21</v>
      </c>
      <c r="H1568" t="s">
        <v>81</v>
      </c>
      <c r="I1568" s="13">
        <v>129000</v>
      </c>
      <c r="J1568" s="13">
        <v>129000</v>
      </c>
      <c r="K1568" s="13">
        <f>IF(J1568&lt;'Mapa Oficinas'!$I$21,0,IF(J1568&gt;'Mapa Oficinas'!$I$20,0,1))</f>
        <v>1</v>
      </c>
      <c r="L1568" t="s">
        <v>23</v>
      </c>
      <c r="M1568" t="s">
        <v>23</v>
      </c>
      <c r="N1568" t="s">
        <v>1337</v>
      </c>
      <c r="O1568" t="s">
        <v>325</v>
      </c>
      <c r="P1568" t="s">
        <v>45</v>
      </c>
      <c r="Q1568">
        <v>1</v>
      </c>
      <c r="R1568" t="s">
        <v>130</v>
      </c>
      <c r="S1568" t="s">
        <v>122</v>
      </c>
      <c r="T1568" t="str">
        <f>VLOOKUP(S1568,'Mapa Oficinas'!$H$7:$I$16,2,FALSE)</f>
        <v>Otra Red Búsqueda</v>
      </c>
      <c r="U1568" t="s">
        <v>29</v>
      </c>
      <c r="V1568" t="str">
        <f>VLOOKUP($R1568,'Mapa Oficinas'!$A$7:$C$46,2,FALSE)</f>
        <v>Interior - Neuquén</v>
      </c>
      <c r="W1568" t="str">
        <f>VLOOKUP($R1568,'Mapa Oficinas'!$A$7:$C$46,3,FALSE)</f>
        <v>San Martín de los Andes</v>
      </c>
    </row>
    <row r="1569" spans="1:23" x14ac:dyDescent="0.2">
      <c r="A1569" s="1">
        <v>45968</v>
      </c>
      <c r="B1569" s="20">
        <f t="shared" si="48"/>
        <v>2025</v>
      </c>
      <c r="C1569" s="20">
        <f t="shared" si="49"/>
        <v>11</v>
      </c>
      <c r="D1569">
        <v>10475</v>
      </c>
      <c r="E1569" s="49">
        <v>1</v>
      </c>
      <c r="F1569" t="s">
        <v>5086</v>
      </c>
      <c r="G1569" t="s">
        <v>21</v>
      </c>
      <c r="H1569" t="s">
        <v>37</v>
      </c>
      <c r="I1569" s="13">
        <v>129000</v>
      </c>
      <c r="J1569" s="13">
        <v>129000</v>
      </c>
      <c r="K1569" s="13">
        <f>IF(J1569&lt;'Mapa Oficinas'!$I$21,0,IF(J1569&gt;'Mapa Oficinas'!$I$20,0,1))</f>
        <v>1</v>
      </c>
      <c r="L1569" t="s">
        <v>23</v>
      </c>
      <c r="M1569" t="s">
        <v>23</v>
      </c>
      <c r="N1569" t="s">
        <v>5086</v>
      </c>
      <c r="O1569" t="s">
        <v>190</v>
      </c>
      <c r="P1569" t="s">
        <v>45</v>
      </c>
      <c r="Q1569">
        <v>1</v>
      </c>
      <c r="R1569" t="s">
        <v>67</v>
      </c>
      <c r="S1569" t="s">
        <v>47</v>
      </c>
      <c r="T1569" t="str">
        <f>VLOOKUP(S1569,'Mapa Oficinas'!$H$7:$I$16,2,FALSE)</f>
        <v>Otra Red Búsqueda</v>
      </c>
      <c r="U1569" t="s">
        <v>29</v>
      </c>
      <c r="V1569" t="str">
        <f>VLOOKUP($R1569,'Mapa Oficinas'!$A$7:$C$46,2,FALSE)</f>
        <v>CABA</v>
      </c>
      <c r="W1569" t="str">
        <f>VLOOKUP($R1569,'Mapa Oficinas'!$A$7:$C$46,3,FALSE)</f>
        <v>Barrio Parque</v>
      </c>
    </row>
    <row r="1570" spans="1:23" x14ac:dyDescent="0.2">
      <c r="A1570" s="1">
        <v>45925</v>
      </c>
      <c r="B1570" s="20">
        <f t="shared" si="48"/>
        <v>2025</v>
      </c>
      <c r="C1570" s="20">
        <f t="shared" si="49"/>
        <v>9</v>
      </c>
      <c r="D1570" t="s">
        <v>4354</v>
      </c>
      <c r="E1570" s="49">
        <v>1</v>
      </c>
      <c r="F1570" t="s">
        <v>4355</v>
      </c>
      <c r="G1570" t="s">
        <v>21</v>
      </c>
      <c r="H1570" t="s">
        <v>37</v>
      </c>
      <c r="I1570" s="13">
        <v>130000</v>
      </c>
      <c r="J1570" s="13">
        <v>129000</v>
      </c>
      <c r="K1570" s="13">
        <f>IF(J1570&lt;'Mapa Oficinas'!$I$21,0,IF(J1570&gt;'Mapa Oficinas'!$I$20,0,1))</f>
        <v>1</v>
      </c>
      <c r="L1570" t="s">
        <v>23</v>
      </c>
      <c r="M1570" t="s">
        <v>23</v>
      </c>
      <c r="N1570" t="s">
        <v>4356</v>
      </c>
      <c r="O1570" t="s">
        <v>66</v>
      </c>
      <c r="P1570" t="s">
        <v>45</v>
      </c>
      <c r="Q1570">
        <v>2</v>
      </c>
      <c r="R1570" t="s">
        <v>67</v>
      </c>
      <c r="S1570" t="s">
        <v>1265</v>
      </c>
      <c r="T1570" t="str">
        <f>VLOOKUP(S1570,'Mapa Oficinas'!$H$7:$I$16,2,FALSE)</f>
        <v>CB</v>
      </c>
      <c r="U1570" t="s">
        <v>29</v>
      </c>
      <c r="V1570" t="str">
        <f>VLOOKUP($R1570,'Mapa Oficinas'!$A$7:$C$46,2,FALSE)</f>
        <v>CABA</v>
      </c>
      <c r="W1570" t="str">
        <f>VLOOKUP($R1570,'Mapa Oficinas'!$A$7:$C$46,3,FALSE)</f>
        <v>Barrio Parque</v>
      </c>
    </row>
    <row r="1571" spans="1:23" x14ac:dyDescent="0.2">
      <c r="A1571" s="1">
        <v>45709</v>
      </c>
      <c r="B1571" s="20">
        <f t="shared" si="48"/>
        <v>2025</v>
      </c>
      <c r="C1571" s="20">
        <f t="shared" si="49"/>
        <v>2</v>
      </c>
      <c r="D1571" t="s">
        <v>718</v>
      </c>
      <c r="E1571" s="49">
        <v>1</v>
      </c>
      <c r="F1571" t="s">
        <v>719</v>
      </c>
      <c r="G1571" t="s">
        <v>21</v>
      </c>
      <c r="H1571" t="s">
        <v>37</v>
      </c>
      <c r="I1571" s="13">
        <v>135000</v>
      </c>
      <c r="J1571" s="13">
        <v>129000</v>
      </c>
      <c r="K1571" s="13">
        <f>IF(J1571&lt;'Mapa Oficinas'!$I$21,0,IF(J1571&gt;'Mapa Oficinas'!$I$20,0,1))</f>
        <v>1</v>
      </c>
      <c r="L1571" t="s">
        <v>23</v>
      </c>
      <c r="M1571" t="s">
        <v>23</v>
      </c>
      <c r="N1571" t="s">
        <v>720</v>
      </c>
      <c r="O1571" t="s">
        <v>50</v>
      </c>
      <c r="P1571" t="s">
        <v>45</v>
      </c>
      <c r="Q1571">
        <v>2</v>
      </c>
      <c r="R1571" t="s">
        <v>67</v>
      </c>
      <c r="S1571" t="s">
        <v>28</v>
      </c>
      <c r="T1571" t="str">
        <f>VLOOKUP(S1571,'Mapa Oficinas'!$H$7:$I$16,2,FALSE)</f>
        <v>CB</v>
      </c>
      <c r="U1571" t="s">
        <v>29</v>
      </c>
      <c r="V1571" t="str">
        <f>VLOOKUP($R1571,'Mapa Oficinas'!$A$7:$C$46,2,FALSE)</f>
        <v>CABA</v>
      </c>
      <c r="W1571" t="str">
        <f>VLOOKUP($R1571,'Mapa Oficinas'!$A$7:$C$46,3,FALSE)</f>
        <v>Barrio Parque</v>
      </c>
    </row>
    <row r="1572" spans="1:23" x14ac:dyDescent="0.2">
      <c r="A1572" s="1">
        <v>45839</v>
      </c>
      <c r="B1572" s="20">
        <f t="shared" si="48"/>
        <v>2025</v>
      </c>
      <c r="C1572" s="20">
        <f t="shared" si="49"/>
        <v>7</v>
      </c>
      <c r="D1572" t="s">
        <v>2808</v>
      </c>
      <c r="E1572" s="49">
        <v>1</v>
      </c>
      <c r="F1572" t="s">
        <v>2809</v>
      </c>
      <c r="G1572" t="s">
        <v>21</v>
      </c>
      <c r="H1572" t="s">
        <v>76</v>
      </c>
      <c r="I1572" s="13">
        <v>155000</v>
      </c>
      <c r="J1572" s="13">
        <v>129500</v>
      </c>
      <c r="K1572" s="13">
        <f>IF(J1572&lt;'Mapa Oficinas'!$I$21,0,IF(J1572&gt;'Mapa Oficinas'!$I$20,0,1))</f>
        <v>1</v>
      </c>
      <c r="L1572" t="s">
        <v>23</v>
      </c>
      <c r="M1572" t="s">
        <v>23</v>
      </c>
      <c r="N1572" t="s">
        <v>2810</v>
      </c>
      <c r="O1572" t="s">
        <v>837</v>
      </c>
      <c r="P1572" t="s">
        <v>45</v>
      </c>
      <c r="Q1572">
        <v>2</v>
      </c>
      <c r="R1572" t="s">
        <v>27</v>
      </c>
      <c r="S1572" t="s">
        <v>200</v>
      </c>
      <c r="T1572" t="str">
        <f>VLOOKUP(S1572,'Mapa Oficinas'!$H$7:$I$16,2,FALSE)</f>
        <v>Otra Red Captación</v>
      </c>
      <c r="U1572" t="s">
        <v>29</v>
      </c>
      <c r="V1572" t="str">
        <f>VLOOKUP($R1572,'Mapa Oficinas'!$A$7:$C$46,2,FALSE)</f>
        <v>Zona Norte (GBA)</v>
      </c>
      <c r="W1572" t="str">
        <f>VLOOKUP($R1572,'Mapa Oficinas'!$A$7:$C$46,3,FALSE)</f>
        <v>Tigre</v>
      </c>
    </row>
    <row r="1573" spans="1:23" x14ac:dyDescent="0.2">
      <c r="A1573" s="1">
        <v>45803</v>
      </c>
      <c r="B1573" s="20">
        <f t="shared" si="48"/>
        <v>2025</v>
      </c>
      <c r="C1573" s="20">
        <f t="shared" si="49"/>
        <v>5</v>
      </c>
      <c r="D1573" t="s">
        <v>2137</v>
      </c>
      <c r="E1573" s="49">
        <v>1</v>
      </c>
      <c r="F1573" t="s">
        <v>2138</v>
      </c>
      <c r="G1573" t="s">
        <v>21</v>
      </c>
      <c r="H1573" t="s">
        <v>100</v>
      </c>
      <c r="I1573" s="13">
        <v>130000</v>
      </c>
      <c r="J1573" s="13">
        <v>130000</v>
      </c>
      <c r="K1573" s="13">
        <f>IF(J1573&lt;'Mapa Oficinas'!$I$21,0,IF(J1573&gt;'Mapa Oficinas'!$I$20,0,1))</f>
        <v>1</v>
      </c>
      <c r="L1573" t="s">
        <v>23</v>
      </c>
      <c r="M1573" t="s">
        <v>23</v>
      </c>
      <c r="O1573" t="s">
        <v>120</v>
      </c>
      <c r="P1573" t="s">
        <v>61</v>
      </c>
      <c r="Q1573">
        <v>1</v>
      </c>
      <c r="R1573" t="s">
        <v>121</v>
      </c>
      <c r="S1573" t="s">
        <v>122</v>
      </c>
      <c r="T1573" t="str">
        <f>VLOOKUP(S1573,'Mapa Oficinas'!$H$7:$I$16,2,FALSE)</f>
        <v>Otra Red Búsqueda</v>
      </c>
      <c r="U1573" t="s">
        <v>29</v>
      </c>
      <c r="V1573" t="str">
        <f>VLOOKUP($R1573,'Mapa Oficinas'!$A$7:$C$46,2,FALSE)</f>
        <v>Interior - Río Negro</v>
      </c>
      <c r="W1573" t="str">
        <f>VLOOKUP($R1573,'Mapa Oficinas'!$A$7:$C$46,3,FALSE)</f>
        <v>Bariloche</v>
      </c>
    </row>
    <row r="1574" spans="1:23" x14ac:dyDescent="0.2">
      <c r="A1574" s="1">
        <v>45880</v>
      </c>
      <c r="B1574" s="20">
        <f t="shared" si="48"/>
        <v>2025</v>
      </c>
      <c r="C1574" s="20">
        <f t="shared" si="49"/>
        <v>8</v>
      </c>
      <c r="D1574" t="s">
        <v>3514</v>
      </c>
      <c r="E1574" s="49">
        <v>1</v>
      </c>
      <c r="F1574" t="s">
        <v>3515</v>
      </c>
      <c r="G1574" t="s">
        <v>21</v>
      </c>
      <c r="H1574" t="s">
        <v>76</v>
      </c>
      <c r="I1574" s="13">
        <v>134500</v>
      </c>
      <c r="J1574" s="13">
        <v>130000</v>
      </c>
      <c r="K1574" s="13">
        <f>IF(J1574&lt;'Mapa Oficinas'!$I$21,0,IF(J1574&gt;'Mapa Oficinas'!$I$20,0,1))</f>
        <v>1</v>
      </c>
      <c r="L1574" t="s">
        <v>23</v>
      </c>
      <c r="M1574" t="s">
        <v>23</v>
      </c>
      <c r="N1574" t="s">
        <v>3516</v>
      </c>
      <c r="O1574" t="s">
        <v>3517</v>
      </c>
      <c r="P1574" t="s">
        <v>26</v>
      </c>
      <c r="Q1574">
        <v>1</v>
      </c>
      <c r="R1574" t="s">
        <v>167</v>
      </c>
      <c r="S1574" t="s">
        <v>122</v>
      </c>
      <c r="T1574" t="str">
        <f>VLOOKUP(S1574,'Mapa Oficinas'!$H$7:$I$16,2,FALSE)</f>
        <v>Otra Red Búsqueda</v>
      </c>
      <c r="U1574" t="s">
        <v>29</v>
      </c>
      <c r="V1574" t="str">
        <f>VLOOKUP($R1574,'Mapa Oficinas'!$A$7:$C$46,2,FALSE)</f>
        <v>Interior - Santa Fe</v>
      </c>
      <c r="W1574" t="str">
        <f>VLOOKUP($R1574,'Mapa Oficinas'!$A$7:$C$46,3,FALSE)</f>
        <v>Capital Santa Fe</v>
      </c>
    </row>
    <row r="1575" spans="1:23" x14ac:dyDescent="0.2">
      <c r="A1575" s="1">
        <v>45743</v>
      </c>
      <c r="B1575" s="20">
        <f t="shared" si="48"/>
        <v>2025</v>
      </c>
      <c r="C1575" s="20">
        <f t="shared" si="49"/>
        <v>3</v>
      </c>
      <c r="D1575" t="s">
        <v>1129</v>
      </c>
      <c r="E1575" s="49">
        <v>1</v>
      </c>
      <c r="F1575" t="s">
        <v>1130</v>
      </c>
      <c r="G1575" t="s">
        <v>21</v>
      </c>
      <c r="H1575" t="s">
        <v>81</v>
      </c>
      <c r="I1575" s="13">
        <v>150000</v>
      </c>
      <c r="J1575" s="13">
        <v>130000</v>
      </c>
      <c r="K1575" s="13">
        <f>IF(J1575&lt;'Mapa Oficinas'!$I$21,0,IF(J1575&gt;'Mapa Oficinas'!$I$20,0,1))</f>
        <v>1</v>
      </c>
      <c r="L1575" t="s">
        <v>23</v>
      </c>
      <c r="M1575" t="s">
        <v>23</v>
      </c>
      <c r="N1575" t="s">
        <v>1131</v>
      </c>
      <c r="O1575" t="s">
        <v>1132</v>
      </c>
      <c r="P1575" t="s">
        <v>26</v>
      </c>
      <c r="Q1575">
        <v>1</v>
      </c>
      <c r="R1575" t="s">
        <v>84</v>
      </c>
      <c r="S1575" t="s">
        <v>152</v>
      </c>
      <c r="T1575" t="str">
        <f>VLOOKUP(S1575,'Mapa Oficinas'!$H$7:$I$16,2,FALSE)</f>
        <v>Otra Red Captación</v>
      </c>
      <c r="U1575" t="s">
        <v>29</v>
      </c>
      <c r="V1575" t="str">
        <f>VLOOKUP($R1575,'Mapa Oficinas'!$A$7:$C$46,2,FALSE)</f>
        <v>Interior - Neuquén</v>
      </c>
      <c r="W1575" t="str">
        <f>VLOOKUP($R1575,'Mapa Oficinas'!$A$7:$C$46,3,FALSE)</f>
        <v>Villa La Angostura</v>
      </c>
    </row>
    <row r="1576" spans="1:23" x14ac:dyDescent="0.2">
      <c r="A1576" s="1">
        <v>45852</v>
      </c>
      <c r="B1576" s="20">
        <f t="shared" si="48"/>
        <v>2025</v>
      </c>
      <c r="C1576" s="20">
        <f t="shared" si="49"/>
        <v>7</v>
      </c>
      <c r="D1576" t="s">
        <v>3008</v>
      </c>
      <c r="E1576" s="49">
        <v>1</v>
      </c>
      <c r="F1576" t="s">
        <v>3009</v>
      </c>
      <c r="G1576" t="s">
        <v>21</v>
      </c>
      <c r="H1576" t="s">
        <v>81</v>
      </c>
      <c r="I1576" s="13">
        <v>140000</v>
      </c>
      <c r="J1576" s="13">
        <v>130000</v>
      </c>
      <c r="K1576" s="13">
        <f>IF(J1576&lt;'Mapa Oficinas'!$I$21,0,IF(J1576&gt;'Mapa Oficinas'!$I$20,0,1))</f>
        <v>1</v>
      </c>
      <c r="L1576" t="s">
        <v>23</v>
      </c>
      <c r="M1576" t="s">
        <v>23</v>
      </c>
      <c r="N1576" t="s">
        <v>3010</v>
      </c>
      <c r="O1576" t="s">
        <v>3011</v>
      </c>
      <c r="P1576" t="s">
        <v>34</v>
      </c>
      <c r="Q1576">
        <v>1</v>
      </c>
      <c r="R1576" t="s">
        <v>151</v>
      </c>
      <c r="S1576" t="s">
        <v>152</v>
      </c>
      <c r="T1576" t="str">
        <f>VLOOKUP(S1576,'Mapa Oficinas'!$H$7:$I$16,2,FALSE)</f>
        <v>Otra Red Captación</v>
      </c>
      <c r="U1576" t="s">
        <v>29</v>
      </c>
      <c r="V1576" t="str">
        <f>VLOOKUP($R1576,'Mapa Oficinas'!$A$7:$C$46,2,FALSE)</f>
        <v>Interior - Mendoza</v>
      </c>
      <c r="W1576" t="str">
        <f>VLOOKUP($R1576,'Mapa Oficinas'!$A$7:$C$46,3,FALSE)</f>
        <v>Capital Mendoza</v>
      </c>
    </row>
    <row r="1577" spans="1:23" x14ac:dyDescent="0.2">
      <c r="A1577" s="1">
        <v>45767</v>
      </c>
      <c r="B1577" s="20">
        <f t="shared" si="48"/>
        <v>2025</v>
      </c>
      <c r="C1577" s="20">
        <f t="shared" si="49"/>
        <v>4</v>
      </c>
      <c r="D1577" t="s">
        <v>1495</v>
      </c>
      <c r="E1577" s="49">
        <v>1</v>
      </c>
      <c r="F1577" t="s">
        <v>1496</v>
      </c>
      <c r="G1577" t="s">
        <v>21</v>
      </c>
      <c r="H1577" t="s">
        <v>37</v>
      </c>
      <c r="I1577" s="13">
        <v>140000</v>
      </c>
      <c r="J1577" s="13">
        <v>130000</v>
      </c>
      <c r="K1577" s="13">
        <f>IF(J1577&lt;'Mapa Oficinas'!$I$21,0,IF(J1577&gt;'Mapa Oficinas'!$I$20,0,1))</f>
        <v>1</v>
      </c>
      <c r="L1577" t="s">
        <v>23</v>
      </c>
      <c r="M1577" t="s">
        <v>23</v>
      </c>
      <c r="N1577" t="s">
        <v>1497</v>
      </c>
      <c r="O1577" t="s">
        <v>1498</v>
      </c>
      <c r="P1577" t="s">
        <v>45</v>
      </c>
      <c r="Q1577">
        <v>2</v>
      </c>
      <c r="R1577" t="s">
        <v>110</v>
      </c>
      <c r="S1577" t="s">
        <v>79</v>
      </c>
      <c r="T1577" t="str">
        <f>VLOOKUP(S1577,'Mapa Oficinas'!$H$7:$I$16,2,FALSE)</f>
        <v>CB</v>
      </c>
      <c r="U1577" t="s">
        <v>29</v>
      </c>
      <c r="V1577" t="str">
        <f>VLOOKUP($R1577,'Mapa Oficinas'!$A$7:$C$46,2,FALSE)</f>
        <v>Zona Norte (GBA)</v>
      </c>
      <c r="W1577" t="str">
        <f>VLOOKUP($R1577,'Mapa Oficinas'!$A$7:$C$46,3,FALSE)</f>
        <v>Nordelta</v>
      </c>
    </row>
    <row r="1578" spans="1:23" x14ac:dyDescent="0.2">
      <c r="A1578" s="1">
        <v>45797</v>
      </c>
      <c r="B1578" s="20">
        <f t="shared" si="48"/>
        <v>2025</v>
      </c>
      <c r="C1578" s="20">
        <f t="shared" si="49"/>
        <v>5</v>
      </c>
      <c r="D1578" t="s">
        <v>2039</v>
      </c>
      <c r="E1578" s="49">
        <v>1</v>
      </c>
      <c r="F1578" t="s">
        <v>2040</v>
      </c>
      <c r="G1578" t="s">
        <v>21</v>
      </c>
      <c r="H1578" t="s">
        <v>37</v>
      </c>
      <c r="I1578" s="13">
        <v>180000</v>
      </c>
      <c r="J1578" s="13">
        <v>130000</v>
      </c>
      <c r="K1578" s="13">
        <f>IF(J1578&lt;'Mapa Oficinas'!$I$21,0,IF(J1578&gt;'Mapa Oficinas'!$I$20,0,1))</f>
        <v>1</v>
      </c>
      <c r="L1578" t="s">
        <v>23</v>
      </c>
      <c r="M1578" t="s">
        <v>23</v>
      </c>
      <c r="N1578" t="s">
        <v>2041</v>
      </c>
      <c r="O1578" t="s">
        <v>2042</v>
      </c>
      <c r="P1578" t="s">
        <v>34</v>
      </c>
      <c r="Q1578">
        <v>2</v>
      </c>
      <c r="R1578" t="s">
        <v>110</v>
      </c>
      <c r="S1578" t="s">
        <v>79</v>
      </c>
      <c r="T1578" t="str">
        <f>VLOOKUP(S1578,'Mapa Oficinas'!$H$7:$I$16,2,FALSE)</f>
        <v>CB</v>
      </c>
      <c r="U1578" t="s">
        <v>29</v>
      </c>
      <c r="V1578" t="str">
        <f>VLOOKUP($R1578,'Mapa Oficinas'!$A$7:$C$46,2,FALSE)</f>
        <v>Zona Norte (GBA)</v>
      </c>
      <c r="W1578" t="str">
        <f>VLOOKUP($R1578,'Mapa Oficinas'!$A$7:$C$46,3,FALSE)</f>
        <v>Nordelta</v>
      </c>
    </row>
    <row r="1579" spans="1:23" x14ac:dyDescent="0.2">
      <c r="A1579" s="1">
        <v>45842</v>
      </c>
      <c r="B1579" s="20">
        <f t="shared" si="48"/>
        <v>2025</v>
      </c>
      <c r="C1579" s="20">
        <f t="shared" si="49"/>
        <v>7</v>
      </c>
      <c r="D1579" t="s">
        <v>2886</v>
      </c>
      <c r="E1579" s="49">
        <v>1</v>
      </c>
      <c r="F1579" t="s">
        <v>2887</v>
      </c>
      <c r="G1579" t="s">
        <v>21</v>
      </c>
      <c r="H1579" t="s">
        <v>37</v>
      </c>
      <c r="I1579" s="13">
        <v>140000</v>
      </c>
      <c r="J1579" s="13">
        <v>130000</v>
      </c>
      <c r="K1579" s="13">
        <f>IF(J1579&lt;'Mapa Oficinas'!$I$21,0,IF(J1579&gt;'Mapa Oficinas'!$I$20,0,1))</f>
        <v>1</v>
      </c>
      <c r="L1579" t="s">
        <v>23</v>
      </c>
      <c r="M1579" t="s">
        <v>23</v>
      </c>
      <c r="N1579" t="s">
        <v>2888</v>
      </c>
      <c r="O1579" t="s">
        <v>2002</v>
      </c>
      <c r="P1579" t="s">
        <v>8587</v>
      </c>
      <c r="Q1579">
        <v>2</v>
      </c>
      <c r="R1579" t="s">
        <v>2003</v>
      </c>
      <c r="S1579" t="s">
        <v>79</v>
      </c>
      <c r="T1579" t="str">
        <f>VLOOKUP(S1579,'Mapa Oficinas'!$H$7:$I$16,2,FALSE)</f>
        <v>CB</v>
      </c>
      <c r="U1579" t="s">
        <v>29</v>
      </c>
      <c r="V1579" t="str">
        <f>VLOOKUP($R1579,'Mapa Oficinas'!$A$7:$C$46,2,FALSE)</f>
        <v>Interior - Mendoza</v>
      </c>
      <c r="W1579" t="str">
        <f>VLOOKUP($R1579,'Mapa Oficinas'!$A$7:$C$46,3,FALSE)</f>
        <v>San Rafael</v>
      </c>
    </row>
    <row r="1580" spans="1:23" x14ac:dyDescent="0.2">
      <c r="A1580" s="1">
        <v>45873</v>
      </c>
      <c r="B1580" s="20">
        <f t="shared" si="48"/>
        <v>2025</v>
      </c>
      <c r="C1580" s="20">
        <f t="shared" si="49"/>
        <v>8</v>
      </c>
      <c r="D1580" t="s">
        <v>3397</v>
      </c>
      <c r="E1580" s="49">
        <v>1</v>
      </c>
      <c r="F1580" t="s">
        <v>3398</v>
      </c>
      <c r="G1580" t="s">
        <v>21</v>
      </c>
      <c r="H1580" t="s">
        <v>22</v>
      </c>
      <c r="I1580" s="13">
        <v>149000</v>
      </c>
      <c r="J1580" s="13">
        <v>130000</v>
      </c>
      <c r="K1580" s="13">
        <f>IF(J1580&lt;'Mapa Oficinas'!$I$21,0,IF(J1580&gt;'Mapa Oficinas'!$I$20,0,1))</f>
        <v>1</v>
      </c>
      <c r="L1580" t="s">
        <v>23</v>
      </c>
      <c r="M1580" t="s">
        <v>23</v>
      </c>
      <c r="N1580" t="s">
        <v>3399</v>
      </c>
      <c r="O1580" t="s">
        <v>3400</v>
      </c>
      <c r="P1580" t="s">
        <v>34</v>
      </c>
      <c r="Q1580">
        <v>2</v>
      </c>
      <c r="R1580" t="s">
        <v>62</v>
      </c>
      <c r="S1580" t="s">
        <v>79</v>
      </c>
      <c r="T1580" t="str">
        <f>VLOOKUP(S1580,'Mapa Oficinas'!$H$7:$I$16,2,FALSE)</f>
        <v>CB</v>
      </c>
      <c r="U1580" t="s">
        <v>29</v>
      </c>
      <c r="V1580" t="str">
        <f>VLOOKUP($R1580,'Mapa Oficinas'!$A$7:$C$46,2,FALSE)</f>
        <v>CABA</v>
      </c>
      <c r="W1580" t="str">
        <f>VLOOKUP($R1580,'Mapa Oficinas'!$A$7:$C$46,3,FALSE)</f>
        <v>Villa Urquiza</v>
      </c>
    </row>
    <row r="1581" spans="1:23" x14ac:dyDescent="0.2">
      <c r="A1581" s="1">
        <v>45916</v>
      </c>
      <c r="B1581" s="20">
        <f t="shared" si="48"/>
        <v>2025</v>
      </c>
      <c r="C1581" s="20">
        <f t="shared" si="49"/>
        <v>9</v>
      </c>
      <c r="D1581" t="s">
        <v>4188</v>
      </c>
      <c r="E1581" s="49">
        <v>1</v>
      </c>
      <c r="F1581" t="s">
        <v>4189</v>
      </c>
      <c r="G1581" t="s">
        <v>21</v>
      </c>
      <c r="H1581" t="s">
        <v>37</v>
      </c>
      <c r="I1581" s="13">
        <v>135000</v>
      </c>
      <c r="J1581" s="13">
        <v>130000</v>
      </c>
      <c r="K1581" s="13">
        <f>IF(J1581&lt;'Mapa Oficinas'!$I$21,0,IF(J1581&gt;'Mapa Oficinas'!$I$20,0,1))</f>
        <v>1</v>
      </c>
      <c r="L1581" t="s">
        <v>23</v>
      </c>
      <c r="M1581" t="s">
        <v>23</v>
      </c>
      <c r="N1581" t="s">
        <v>4190</v>
      </c>
      <c r="O1581" t="s">
        <v>4191</v>
      </c>
      <c r="P1581" t="s">
        <v>34</v>
      </c>
      <c r="Q1581">
        <v>2</v>
      </c>
      <c r="R1581" t="s">
        <v>110</v>
      </c>
      <c r="S1581" t="s">
        <v>79</v>
      </c>
      <c r="T1581" t="str">
        <f>VLOOKUP(S1581,'Mapa Oficinas'!$H$7:$I$16,2,FALSE)</f>
        <v>CB</v>
      </c>
      <c r="U1581" t="s">
        <v>29</v>
      </c>
      <c r="V1581" t="str">
        <f>VLOOKUP($R1581,'Mapa Oficinas'!$A$7:$C$46,2,FALSE)</f>
        <v>Zona Norte (GBA)</v>
      </c>
      <c r="W1581" t="str">
        <f>VLOOKUP($R1581,'Mapa Oficinas'!$A$7:$C$46,3,FALSE)</f>
        <v>Nordelta</v>
      </c>
    </row>
    <row r="1582" spans="1:23" x14ac:dyDescent="0.2">
      <c r="A1582" s="1">
        <v>45952</v>
      </c>
      <c r="B1582" s="20">
        <f t="shared" si="48"/>
        <v>2025</v>
      </c>
      <c r="C1582" s="20">
        <f t="shared" si="49"/>
        <v>10</v>
      </c>
      <c r="D1582" t="s">
        <v>4850</v>
      </c>
      <c r="E1582" s="49">
        <v>1</v>
      </c>
      <c r="F1582" t="s">
        <v>4851</v>
      </c>
      <c r="G1582" t="s">
        <v>21</v>
      </c>
      <c r="H1582" t="s">
        <v>81</v>
      </c>
      <c r="I1582" s="13">
        <v>130000</v>
      </c>
      <c r="J1582" s="13">
        <v>130000</v>
      </c>
      <c r="K1582" s="13">
        <f>IF(J1582&lt;'Mapa Oficinas'!$I$21,0,IF(J1582&gt;'Mapa Oficinas'!$I$20,0,1))</f>
        <v>1</v>
      </c>
      <c r="L1582" t="s">
        <v>23</v>
      </c>
      <c r="M1582" t="s">
        <v>23</v>
      </c>
      <c r="N1582" t="s">
        <v>4851</v>
      </c>
      <c r="O1582" t="s">
        <v>4852</v>
      </c>
      <c r="P1582" t="s">
        <v>34</v>
      </c>
      <c r="Q1582">
        <v>2</v>
      </c>
      <c r="R1582" t="s">
        <v>151</v>
      </c>
      <c r="S1582" t="s">
        <v>79</v>
      </c>
      <c r="T1582" t="str">
        <f>VLOOKUP(S1582,'Mapa Oficinas'!$H$7:$I$16,2,FALSE)</f>
        <v>CB</v>
      </c>
      <c r="U1582" t="s">
        <v>29</v>
      </c>
      <c r="V1582" t="str">
        <f>VLOOKUP($R1582,'Mapa Oficinas'!$A$7:$C$46,2,FALSE)</f>
        <v>Interior - Mendoza</v>
      </c>
      <c r="W1582" t="str">
        <f>VLOOKUP($R1582,'Mapa Oficinas'!$A$7:$C$46,3,FALSE)</f>
        <v>Capital Mendoza</v>
      </c>
    </row>
    <row r="1583" spans="1:23" x14ac:dyDescent="0.2">
      <c r="A1583" s="1">
        <v>45996</v>
      </c>
      <c r="B1583" s="20">
        <f t="shared" si="48"/>
        <v>2025</v>
      </c>
      <c r="C1583" s="20">
        <f t="shared" si="49"/>
        <v>12</v>
      </c>
      <c r="D1583" t="s">
        <v>5648</v>
      </c>
      <c r="E1583" s="49">
        <v>1</v>
      </c>
      <c r="F1583" t="s">
        <v>5649</v>
      </c>
      <c r="G1583" t="s">
        <v>21</v>
      </c>
      <c r="H1583" t="s">
        <v>37</v>
      </c>
      <c r="I1583" s="13">
        <v>137000</v>
      </c>
      <c r="J1583" s="13">
        <v>130000</v>
      </c>
      <c r="K1583" s="13">
        <f>IF(J1583&lt;'Mapa Oficinas'!$I$21,0,IF(J1583&gt;'Mapa Oficinas'!$I$20,0,1))</f>
        <v>1</v>
      </c>
      <c r="L1583" t="s">
        <v>23</v>
      </c>
      <c r="M1583" t="s">
        <v>23</v>
      </c>
      <c r="N1583" t="s">
        <v>5650</v>
      </c>
      <c r="O1583" t="s">
        <v>92</v>
      </c>
      <c r="P1583" t="s">
        <v>45</v>
      </c>
      <c r="Q1583">
        <v>2</v>
      </c>
      <c r="R1583" t="s">
        <v>523</v>
      </c>
      <c r="S1583" t="s">
        <v>79</v>
      </c>
      <c r="T1583" t="str">
        <f>VLOOKUP(S1583,'Mapa Oficinas'!$H$7:$I$16,2,FALSE)</f>
        <v>CB</v>
      </c>
      <c r="U1583" t="s">
        <v>29</v>
      </c>
      <c r="V1583" t="str">
        <f>VLOOKUP($R1583,'Mapa Oficinas'!$A$7:$C$46,2,FALSE)</f>
        <v>CABA</v>
      </c>
      <c r="W1583" t="str">
        <f>VLOOKUP($R1583,'Mapa Oficinas'!$A$7:$C$46,3,FALSE)</f>
        <v>Belgrano</v>
      </c>
    </row>
    <row r="1584" spans="1:23" x14ac:dyDescent="0.2">
      <c r="A1584" s="1">
        <v>45744</v>
      </c>
      <c r="B1584" s="20">
        <f t="shared" si="48"/>
        <v>2025</v>
      </c>
      <c r="C1584" s="20">
        <f t="shared" si="49"/>
        <v>3</v>
      </c>
      <c r="D1584" t="s">
        <v>1170</v>
      </c>
      <c r="E1584" s="49">
        <v>1</v>
      </c>
      <c r="F1584" t="s">
        <v>1171</v>
      </c>
      <c r="G1584" t="s">
        <v>21</v>
      </c>
      <c r="H1584" t="s">
        <v>37</v>
      </c>
      <c r="I1584" s="13">
        <v>139000</v>
      </c>
      <c r="J1584" s="13">
        <v>130000</v>
      </c>
      <c r="K1584" s="13">
        <f>IF(J1584&lt;'Mapa Oficinas'!$I$21,0,IF(J1584&gt;'Mapa Oficinas'!$I$20,0,1))</f>
        <v>1</v>
      </c>
      <c r="L1584" t="s">
        <v>23</v>
      </c>
      <c r="M1584" t="s">
        <v>23</v>
      </c>
      <c r="N1584" t="s">
        <v>1172</v>
      </c>
      <c r="O1584" t="s">
        <v>66</v>
      </c>
      <c r="P1584" t="s">
        <v>45</v>
      </c>
      <c r="Q1584">
        <v>2</v>
      </c>
      <c r="R1584" t="s">
        <v>135</v>
      </c>
      <c r="S1584" t="s">
        <v>232</v>
      </c>
      <c r="T1584" t="str">
        <f>VLOOKUP(S1584,'Mapa Oficinas'!$H$7:$I$16,2,FALSE)</f>
        <v>CB</v>
      </c>
      <c r="U1584" t="s">
        <v>29</v>
      </c>
      <c r="V1584" t="str">
        <f>VLOOKUP($R1584,'Mapa Oficinas'!$A$7:$C$46,2,FALSE)</f>
        <v>CABA</v>
      </c>
      <c r="W1584" t="str">
        <f>VLOOKUP($R1584,'Mapa Oficinas'!$A$7:$C$46,3,FALSE)</f>
        <v>Recoleta</v>
      </c>
    </row>
    <row r="1585" spans="1:23" x14ac:dyDescent="0.2">
      <c r="A1585" s="1">
        <v>45748</v>
      </c>
      <c r="B1585" s="20">
        <f t="shared" si="48"/>
        <v>2025</v>
      </c>
      <c r="C1585" s="20">
        <f t="shared" si="49"/>
        <v>4</v>
      </c>
      <c r="D1585" t="s">
        <v>1231</v>
      </c>
      <c r="E1585" s="49">
        <v>0</v>
      </c>
      <c r="F1585" t="s">
        <v>1232</v>
      </c>
      <c r="G1585" t="s">
        <v>21</v>
      </c>
      <c r="H1585" t="s">
        <v>37</v>
      </c>
      <c r="I1585" s="13">
        <v>130000</v>
      </c>
      <c r="J1585" s="13">
        <v>130000</v>
      </c>
      <c r="K1585" s="13">
        <f>IF(J1585&lt;'Mapa Oficinas'!$I$21,0,IF(J1585&gt;'Mapa Oficinas'!$I$20,0,1))</f>
        <v>1</v>
      </c>
      <c r="L1585" t="s">
        <v>23</v>
      </c>
      <c r="M1585" t="s">
        <v>23</v>
      </c>
      <c r="N1585" t="s">
        <v>1233</v>
      </c>
      <c r="O1585" t="s">
        <v>66</v>
      </c>
      <c r="P1585" t="s">
        <v>45</v>
      </c>
      <c r="Q1585">
        <v>2</v>
      </c>
      <c r="R1585" t="s">
        <v>670</v>
      </c>
      <c r="S1585" t="s">
        <v>232</v>
      </c>
      <c r="T1585" t="str">
        <f>VLOOKUP(S1585,'Mapa Oficinas'!$H$7:$I$16,2,FALSE)</f>
        <v>CB</v>
      </c>
      <c r="U1585" t="s">
        <v>29</v>
      </c>
      <c r="V1585" t="str">
        <f>VLOOKUP($R1585,'Mapa Oficinas'!$A$7:$C$46,2,FALSE)</f>
        <v>CABA</v>
      </c>
      <c r="W1585" t="str">
        <f>VLOOKUP($R1585,'Mapa Oficinas'!$A$7:$C$46,3,FALSE)</f>
        <v>Recoleta</v>
      </c>
    </row>
    <row r="1586" spans="1:23" x14ac:dyDescent="0.2">
      <c r="A1586" s="1">
        <v>45905</v>
      </c>
      <c r="B1586" s="20">
        <f t="shared" si="48"/>
        <v>2025</v>
      </c>
      <c r="C1586" s="20">
        <f t="shared" si="49"/>
        <v>9</v>
      </c>
      <c r="D1586" t="s">
        <v>168</v>
      </c>
      <c r="E1586" s="49">
        <v>1</v>
      </c>
      <c r="F1586" t="s">
        <v>168</v>
      </c>
      <c r="G1586" t="s">
        <v>21</v>
      </c>
      <c r="H1586" t="s">
        <v>37</v>
      </c>
      <c r="I1586" s="13">
        <v>130000</v>
      </c>
      <c r="J1586" s="13">
        <v>130000</v>
      </c>
      <c r="K1586" s="13">
        <f>IF(J1586&lt;'Mapa Oficinas'!$I$21,0,IF(J1586&gt;'Mapa Oficinas'!$I$20,0,1))</f>
        <v>1</v>
      </c>
      <c r="L1586" t="s">
        <v>23</v>
      </c>
      <c r="M1586" t="s">
        <v>23</v>
      </c>
      <c r="N1586" t="s">
        <v>4015</v>
      </c>
      <c r="O1586" t="s">
        <v>976</v>
      </c>
      <c r="P1586" t="s">
        <v>45</v>
      </c>
      <c r="Q1586">
        <v>1</v>
      </c>
      <c r="R1586" t="s">
        <v>170</v>
      </c>
      <c r="S1586" t="s">
        <v>47</v>
      </c>
      <c r="T1586" t="str">
        <f>VLOOKUP(S1586,'Mapa Oficinas'!$H$7:$I$16,2,FALSE)</f>
        <v>Otra Red Búsqueda</v>
      </c>
      <c r="U1586" t="s">
        <v>29</v>
      </c>
      <c r="V1586" t="str">
        <f>VLOOKUP($R1586,'Mapa Oficinas'!$A$7:$C$46,2,FALSE)</f>
        <v>CABA</v>
      </c>
      <c r="W1586" t="str">
        <f>VLOOKUP($R1586,'Mapa Oficinas'!$A$7:$C$46,3,FALSE)</f>
        <v>Belgrano</v>
      </c>
    </row>
    <row r="1587" spans="1:23" x14ac:dyDescent="0.2">
      <c r="A1587" s="1">
        <v>46003</v>
      </c>
      <c r="B1587" s="20">
        <f t="shared" si="48"/>
        <v>2025</v>
      </c>
      <c r="C1587" s="20">
        <f t="shared" si="49"/>
        <v>12</v>
      </c>
      <c r="D1587">
        <v>188</v>
      </c>
      <c r="E1587" s="49">
        <v>1</v>
      </c>
      <c r="F1587" t="s">
        <v>5751</v>
      </c>
      <c r="G1587" t="s">
        <v>21</v>
      </c>
      <c r="H1587" t="s">
        <v>37</v>
      </c>
      <c r="I1587" s="13">
        <v>160000</v>
      </c>
      <c r="J1587" s="13">
        <v>130000</v>
      </c>
      <c r="K1587" s="13">
        <f>IF(J1587&lt;'Mapa Oficinas'!$I$21,0,IF(J1587&gt;'Mapa Oficinas'!$I$20,0,1))</f>
        <v>1</v>
      </c>
      <c r="L1587" t="s">
        <v>23</v>
      </c>
      <c r="M1587" t="s">
        <v>23</v>
      </c>
      <c r="N1587" t="s">
        <v>5751</v>
      </c>
      <c r="O1587" t="s">
        <v>976</v>
      </c>
      <c r="P1587" t="s">
        <v>45</v>
      </c>
      <c r="Q1587">
        <v>1</v>
      </c>
      <c r="R1587" t="s">
        <v>46</v>
      </c>
      <c r="S1587" t="s">
        <v>47</v>
      </c>
      <c r="T1587" t="str">
        <f>VLOOKUP(S1587,'Mapa Oficinas'!$H$7:$I$16,2,FALSE)</f>
        <v>Otra Red Búsqueda</v>
      </c>
      <c r="U1587" t="s">
        <v>29</v>
      </c>
      <c r="V1587" t="str">
        <f>VLOOKUP($R1587,'Mapa Oficinas'!$A$7:$C$46,2,FALSE)</f>
        <v>CABA</v>
      </c>
      <c r="W1587" t="str">
        <f>VLOOKUP($R1587,'Mapa Oficinas'!$A$7:$C$46,3,FALSE)</f>
        <v>Palermo</v>
      </c>
    </row>
    <row r="1588" spans="1:23" x14ac:dyDescent="0.2">
      <c r="A1588" s="1">
        <v>46110</v>
      </c>
      <c r="B1588" s="20">
        <f t="shared" si="48"/>
        <v>2026</v>
      </c>
      <c r="C1588" s="20">
        <f t="shared" si="49"/>
        <v>3</v>
      </c>
      <c r="D1588">
        <v>120</v>
      </c>
      <c r="E1588" s="49">
        <v>1</v>
      </c>
      <c r="F1588" t="s">
        <v>7503</v>
      </c>
      <c r="G1588" t="s">
        <v>21</v>
      </c>
      <c r="H1588" t="s">
        <v>37</v>
      </c>
      <c r="I1588" s="13">
        <v>130000</v>
      </c>
      <c r="J1588" s="13">
        <v>130000</v>
      </c>
      <c r="K1588" s="13">
        <f>IF(J1588&lt;'Mapa Oficinas'!$I$21,0,IF(J1588&gt;'Mapa Oficinas'!$I$20,0,1))</f>
        <v>1</v>
      </c>
      <c r="L1588" t="s">
        <v>23</v>
      </c>
      <c r="M1588" t="s">
        <v>23</v>
      </c>
      <c r="N1588" t="s">
        <v>7504</v>
      </c>
      <c r="O1588" t="s">
        <v>519</v>
      </c>
      <c r="P1588" t="s">
        <v>61</v>
      </c>
      <c r="Q1588">
        <v>1</v>
      </c>
      <c r="R1588" t="s">
        <v>372</v>
      </c>
      <c r="S1588" t="s">
        <v>47</v>
      </c>
      <c r="T1588" t="str">
        <f>VLOOKUP(S1588,'Mapa Oficinas'!$H$7:$I$16,2,FALSE)</f>
        <v>Otra Red Búsqueda</v>
      </c>
      <c r="U1588" t="s">
        <v>29</v>
      </c>
      <c r="V1588" t="str">
        <f>VLOOKUP($R1588,'Mapa Oficinas'!$A$7:$C$46,2,FALSE)</f>
        <v>CABA</v>
      </c>
      <c r="W1588" t="str">
        <f>VLOOKUP($R1588,'Mapa Oficinas'!$A$7:$C$46,3,FALSE)</f>
        <v>Caballito</v>
      </c>
    </row>
    <row r="1589" spans="1:23" x14ac:dyDescent="0.2">
      <c r="A1589" s="1">
        <v>45758</v>
      </c>
      <c r="B1589" s="20">
        <f t="shared" si="48"/>
        <v>2025</v>
      </c>
      <c r="C1589" s="20">
        <f t="shared" si="49"/>
        <v>4</v>
      </c>
      <c r="D1589" t="s">
        <v>1390</v>
      </c>
      <c r="E1589" s="49">
        <v>1</v>
      </c>
      <c r="F1589" t="s">
        <v>1391</v>
      </c>
      <c r="G1589" t="s">
        <v>21</v>
      </c>
      <c r="H1589" t="s">
        <v>37</v>
      </c>
      <c r="I1589" s="13">
        <v>140000</v>
      </c>
      <c r="J1589" s="13">
        <v>130000</v>
      </c>
      <c r="K1589" s="13">
        <f>IF(J1589&lt;'Mapa Oficinas'!$I$21,0,IF(J1589&gt;'Mapa Oficinas'!$I$20,0,1))</f>
        <v>1</v>
      </c>
      <c r="L1589" t="s">
        <v>23</v>
      </c>
      <c r="M1589" t="s">
        <v>23</v>
      </c>
      <c r="N1589" t="s">
        <v>1392</v>
      </c>
      <c r="O1589" t="s">
        <v>1180</v>
      </c>
      <c r="P1589" t="s">
        <v>45</v>
      </c>
      <c r="Q1589">
        <v>2</v>
      </c>
      <c r="R1589" t="s">
        <v>67</v>
      </c>
      <c r="S1589" t="s">
        <v>200</v>
      </c>
      <c r="T1589" t="str">
        <f>VLOOKUP(S1589,'Mapa Oficinas'!$H$7:$I$16,2,FALSE)</f>
        <v>Otra Red Captación</v>
      </c>
      <c r="U1589" t="s">
        <v>29</v>
      </c>
      <c r="V1589" t="str">
        <f>VLOOKUP($R1589,'Mapa Oficinas'!$A$7:$C$46,2,FALSE)</f>
        <v>CABA</v>
      </c>
      <c r="W1589" t="str">
        <f>VLOOKUP($R1589,'Mapa Oficinas'!$A$7:$C$46,3,FALSE)</f>
        <v>Barrio Parque</v>
      </c>
    </row>
    <row r="1590" spans="1:23" x14ac:dyDescent="0.2">
      <c r="A1590" s="1">
        <v>46087</v>
      </c>
      <c r="B1590" s="20">
        <f t="shared" si="48"/>
        <v>2026</v>
      </c>
      <c r="C1590" s="20">
        <f t="shared" si="49"/>
        <v>3</v>
      </c>
      <c r="D1590" t="s">
        <v>7006</v>
      </c>
      <c r="E1590" s="49">
        <v>1</v>
      </c>
      <c r="F1590" t="s">
        <v>7007</v>
      </c>
      <c r="G1590" t="s">
        <v>21</v>
      </c>
      <c r="H1590" t="s">
        <v>76</v>
      </c>
      <c r="I1590" s="13">
        <v>149000</v>
      </c>
      <c r="J1590" s="13">
        <v>130000</v>
      </c>
      <c r="K1590" s="13">
        <f>IF(J1590&lt;'Mapa Oficinas'!$I$21,0,IF(J1590&gt;'Mapa Oficinas'!$I$20,0,1))</f>
        <v>1</v>
      </c>
      <c r="L1590" t="s">
        <v>23</v>
      </c>
      <c r="M1590" t="s">
        <v>23</v>
      </c>
      <c r="N1590" t="s">
        <v>7008</v>
      </c>
      <c r="O1590" t="s">
        <v>66</v>
      </c>
      <c r="P1590" t="s">
        <v>61</v>
      </c>
      <c r="Q1590">
        <v>2</v>
      </c>
      <c r="R1590" t="s">
        <v>5456</v>
      </c>
      <c r="S1590" t="s">
        <v>200</v>
      </c>
      <c r="T1590" t="str">
        <f>VLOOKUP(S1590,'Mapa Oficinas'!$H$7:$I$16,2,FALSE)</f>
        <v>Otra Red Captación</v>
      </c>
      <c r="U1590" t="s">
        <v>29</v>
      </c>
      <c r="V1590" t="str">
        <f>VLOOKUP($R1590,'Mapa Oficinas'!$A$7:$C$46,2,FALSE)</f>
        <v>CABA</v>
      </c>
      <c r="W1590" t="str">
        <f>VLOOKUP($R1590,'Mapa Oficinas'!$A$7:$C$46,3,FALSE)</f>
        <v>Núñez</v>
      </c>
    </row>
    <row r="1591" spans="1:23" x14ac:dyDescent="0.2">
      <c r="A1591" s="1">
        <v>45686</v>
      </c>
      <c r="B1591" s="20">
        <f t="shared" si="48"/>
        <v>2025</v>
      </c>
      <c r="C1591" s="20">
        <f t="shared" si="49"/>
        <v>1</v>
      </c>
      <c r="D1591" t="s">
        <v>405</v>
      </c>
      <c r="E1591" s="49">
        <v>1</v>
      </c>
      <c r="F1591" t="s">
        <v>406</v>
      </c>
      <c r="G1591" t="s">
        <v>21</v>
      </c>
      <c r="H1591" t="s">
        <v>22</v>
      </c>
      <c r="I1591" s="13">
        <v>130000</v>
      </c>
      <c r="J1591" s="13">
        <v>130000</v>
      </c>
      <c r="K1591" s="13">
        <f>IF(J1591&lt;'Mapa Oficinas'!$I$21,0,IF(J1591&gt;'Mapa Oficinas'!$I$20,0,1))</f>
        <v>1</v>
      </c>
      <c r="L1591" t="s">
        <v>23</v>
      </c>
      <c r="M1591" t="s">
        <v>23</v>
      </c>
      <c r="N1591" t="s">
        <v>407</v>
      </c>
      <c r="O1591" t="s">
        <v>408</v>
      </c>
      <c r="P1591" t="s">
        <v>45</v>
      </c>
      <c r="Q1591">
        <v>2</v>
      </c>
      <c r="R1591" t="s">
        <v>62</v>
      </c>
      <c r="S1591" t="s">
        <v>28</v>
      </c>
      <c r="T1591" t="str">
        <f>VLOOKUP(S1591,'Mapa Oficinas'!$H$7:$I$16,2,FALSE)</f>
        <v>CB</v>
      </c>
      <c r="U1591" t="s">
        <v>29</v>
      </c>
      <c r="V1591" t="str">
        <f>VLOOKUP($R1591,'Mapa Oficinas'!$A$7:$C$46,2,FALSE)</f>
        <v>CABA</v>
      </c>
      <c r="W1591" t="str">
        <f>VLOOKUP($R1591,'Mapa Oficinas'!$A$7:$C$46,3,FALSE)</f>
        <v>Villa Urquiza</v>
      </c>
    </row>
    <row r="1592" spans="1:23" x14ac:dyDescent="0.2">
      <c r="A1592" s="1">
        <v>45693</v>
      </c>
      <c r="B1592" s="20">
        <f t="shared" si="48"/>
        <v>2025</v>
      </c>
      <c r="C1592" s="20">
        <f t="shared" si="49"/>
        <v>2</v>
      </c>
      <c r="D1592" t="s">
        <v>499</v>
      </c>
      <c r="E1592" s="49">
        <v>1</v>
      </c>
      <c r="F1592" t="s">
        <v>499</v>
      </c>
      <c r="G1592" t="s">
        <v>21</v>
      </c>
      <c r="H1592" t="s">
        <v>90</v>
      </c>
      <c r="I1592" s="13">
        <v>130000</v>
      </c>
      <c r="J1592" s="13">
        <v>130000</v>
      </c>
      <c r="K1592" s="13">
        <f>IF(J1592&lt;'Mapa Oficinas'!$I$21,0,IF(J1592&gt;'Mapa Oficinas'!$I$20,0,1))</f>
        <v>1</v>
      </c>
      <c r="L1592" t="s">
        <v>23</v>
      </c>
      <c r="M1592" t="s">
        <v>23</v>
      </c>
      <c r="O1592" t="s">
        <v>116</v>
      </c>
      <c r="P1592" t="s">
        <v>45</v>
      </c>
      <c r="Q1592">
        <v>2</v>
      </c>
      <c r="R1592" t="s">
        <v>62</v>
      </c>
      <c r="S1592" t="s">
        <v>28</v>
      </c>
      <c r="T1592" t="str">
        <f>VLOOKUP(S1592,'Mapa Oficinas'!$H$7:$I$16,2,FALSE)</f>
        <v>CB</v>
      </c>
      <c r="U1592" t="s">
        <v>29</v>
      </c>
      <c r="V1592" t="str">
        <f>VLOOKUP($R1592,'Mapa Oficinas'!$A$7:$C$46,2,FALSE)</f>
        <v>CABA</v>
      </c>
      <c r="W1592" t="str">
        <f>VLOOKUP($R1592,'Mapa Oficinas'!$A$7:$C$46,3,FALSE)</f>
        <v>Villa Urquiza</v>
      </c>
    </row>
    <row r="1593" spans="1:23" x14ac:dyDescent="0.2">
      <c r="A1593" s="1">
        <v>45695</v>
      </c>
      <c r="B1593" s="20">
        <f t="shared" si="48"/>
        <v>2025</v>
      </c>
      <c r="C1593" s="20">
        <f t="shared" si="49"/>
        <v>2</v>
      </c>
      <c r="D1593" t="s">
        <v>518</v>
      </c>
      <c r="E1593" s="49">
        <v>1</v>
      </c>
      <c r="F1593" t="s">
        <v>518</v>
      </c>
      <c r="G1593" t="s">
        <v>21</v>
      </c>
      <c r="H1593" t="s">
        <v>37</v>
      </c>
      <c r="I1593" s="13">
        <v>130000</v>
      </c>
      <c r="J1593" s="13">
        <v>130000</v>
      </c>
      <c r="K1593" s="13">
        <f>IF(J1593&lt;'Mapa Oficinas'!$I$21,0,IF(J1593&gt;'Mapa Oficinas'!$I$20,0,1))</f>
        <v>1</v>
      </c>
      <c r="L1593" t="s">
        <v>23</v>
      </c>
      <c r="M1593" t="s">
        <v>23</v>
      </c>
      <c r="N1593" t="s">
        <v>518</v>
      </c>
      <c r="O1593" t="s">
        <v>519</v>
      </c>
      <c r="P1593" t="s">
        <v>45</v>
      </c>
      <c r="Q1593">
        <v>2</v>
      </c>
      <c r="R1593" t="s">
        <v>56</v>
      </c>
      <c r="S1593" t="s">
        <v>28</v>
      </c>
      <c r="T1593" t="str">
        <f>VLOOKUP(S1593,'Mapa Oficinas'!$H$7:$I$16,2,FALSE)</f>
        <v>CB</v>
      </c>
      <c r="U1593" t="s">
        <v>29</v>
      </c>
      <c r="V1593" t="str">
        <f>VLOOKUP($R1593,'Mapa Oficinas'!$A$7:$C$46,2,FALSE)</f>
        <v>Zona Norte (GBA)</v>
      </c>
      <c r="W1593" t="str">
        <f>VLOOKUP($R1593,'Mapa Oficinas'!$A$7:$C$46,3,FALSE)</f>
        <v>Vicente López</v>
      </c>
    </row>
    <row r="1594" spans="1:23" x14ac:dyDescent="0.2">
      <c r="A1594" s="1">
        <v>45777</v>
      </c>
      <c r="B1594" s="20">
        <f t="shared" si="48"/>
        <v>2025</v>
      </c>
      <c r="C1594" s="20">
        <f t="shared" si="49"/>
        <v>4</v>
      </c>
      <c r="D1594" t="s">
        <v>1734</v>
      </c>
      <c r="E1594" s="49">
        <v>1</v>
      </c>
      <c r="F1594" t="s">
        <v>1735</v>
      </c>
      <c r="G1594" t="s">
        <v>21</v>
      </c>
      <c r="H1594" t="s">
        <v>22</v>
      </c>
      <c r="I1594" s="13">
        <v>144900</v>
      </c>
      <c r="J1594" s="13">
        <v>130000</v>
      </c>
      <c r="K1594" s="13">
        <f>IF(J1594&lt;'Mapa Oficinas'!$I$21,0,IF(J1594&gt;'Mapa Oficinas'!$I$20,0,1))</f>
        <v>1</v>
      </c>
      <c r="L1594" t="s">
        <v>23</v>
      </c>
      <c r="M1594" t="s">
        <v>23</v>
      </c>
      <c r="N1594" t="s">
        <v>1736</v>
      </c>
      <c r="O1594" t="s">
        <v>1737</v>
      </c>
      <c r="P1594" t="s">
        <v>34</v>
      </c>
      <c r="Q1594">
        <v>2</v>
      </c>
      <c r="R1594" t="s">
        <v>62</v>
      </c>
      <c r="S1594" t="s">
        <v>28</v>
      </c>
      <c r="T1594" t="str">
        <f>VLOOKUP(S1594,'Mapa Oficinas'!$H$7:$I$16,2,FALSE)</f>
        <v>CB</v>
      </c>
      <c r="U1594" t="s">
        <v>29</v>
      </c>
      <c r="V1594" t="str">
        <f>VLOOKUP($R1594,'Mapa Oficinas'!$A$7:$C$46,2,FALSE)</f>
        <v>CABA</v>
      </c>
      <c r="W1594" t="str">
        <f>VLOOKUP($R1594,'Mapa Oficinas'!$A$7:$C$46,3,FALSE)</f>
        <v>Villa Urquiza</v>
      </c>
    </row>
    <row r="1595" spans="1:23" x14ac:dyDescent="0.2">
      <c r="A1595" s="1">
        <v>45779</v>
      </c>
      <c r="B1595" s="20">
        <f t="shared" si="48"/>
        <v>2025</v>
      </c>
      <c r="C1595" s="20">
        <f t="shared" si="49"/>
        <v>5</v>
      </c>
      <c r="D1595" t="s">
        <v>1778</v>
      </c>
      <c r="E1595" s="49">
        <v>1</v>
      </c>
      <c r="F1595" t="s">
        <v>1778</v>
      </c>
      <c r="G1595" t="s">
        <v>21</v>
      </c>
      <c r="H1595" t="s">
        <v>37</v>
      </c>
      <c r="I1595" s="13">
        <v>130000</v>
      </c>
      <c r="J1595" s="13">
        <v>130000</v>
      </c>
      <c r="K1595" s="13">
        <f>IF(J1595&lt;'Mapa Oficinas'!$I$21,0,IF(J1595&gt;'Mapa Oficinas'!$I$20,0,1))</f>
        <v>1</v>
      </c>
      <c r="L1595" t="s">
        <v>23</v>
      </c>
      <c r="M1595" t="s">
        <v>23</v>
      </c>
      <c r="N1595" t="s">
        <v>1778</v>
      </c>
      <c r="O1595" t="s">
        <v>162</v>
      </c>
      <c r="P1595" t="s">
        <v>61</v>
      </c>
      <c r="Q1595">
        <v>2</v>
      </c>
      <c r="R1595" t="s">
        <v>56</v>
      </c>
      <c r="S1595" t="s">
        <v>28</v>
      </c>
      <c r="T1595" t="str">
        <f>VLOOKUP(S1595,'Mapa Oficinas'!$H$7:$I$16,2,FALSE)</f>
        <v>CB</v>
      </c>
      <c r="U1595" t="s">
        <v>29</v>
      </c>
      <c r="V1595" t="str">
        <f>VLOOKUP($R1595,'Mapa Oficinas'!$A$7:$C$46,2,FALSE)</f>
        <v>Zona Norte (GBA)</v>
      </c>
      <c r="W1595" t="str">
        <f>VLOOKUP($R1595,'Mapa Oficinas'!$A$7:$C$46,3,FALSE)</f>
        <v>Vicente López</v>
      </c>
    </row>
    <row r="1596" spans="1:23" x14ac:dyDescent="0.2">
      <c r="A1596" s="1">
        <v>45804</v>
      </c>
      <c r="B1596" s="20">
        <f t="shared" si="48"/>
        <v>2025</v>
      </c>
      <c r="C1596" s="20">
        <f t="shared" si="49"/>
        <v>5</v>
      </c>
      <c r="D1596" t="s">
        <v>2145</v>
      </c>
      <c r="E1596" s="49">
        <v>1</v>
      </c>
      <c r="F1596" t="s">
        <v>2146</v>
      </c>
      <c r="G1596" t="s">
        <v>21</v>
      </c>
      <c r="H1596" t="s">
        <v>37</v>
      </c>
      <c r="I1596" s="13">
        <v>135000</v>
      </c>
      <c r="J1596" s="13">
        <v>130000</v>
      </c>
      <c r="K1596" s="13">
        <f>IF(J1596&lt;'Mapa Oficinas'!$I$21,0,IF(J1596&gt;'Mapa Oficinas'!$I$20,0,1))</f>
        <v>1</v>
      </c>
      <c r="L1596" t="s">
        <v>23</v>
      </c>
      <c r="M1596" t="s">
        <v>23</v>
      </c>
      <c r="N1596" t="s">
        <v>2147</v>
      </c>
      <c r="O1596" t="s">
        <v>1222</v>
      </c>
      <c r="P1596" t="s">
        <v>45</v>
      </c>
      <c r="Q1596">
        <v>2</v>
      </c>
      <c r="R1596" t="s">
        <v>135</v>
      </c>
      <c r="S1596" t="s">
        <v>28</v>
      </c>
      <c r="T1596" t="str">
        <f>VLOOKUP(S1596,'Mapa Oficinas'!$H$7:$I$16,2,FALSE)</f>
        <v>CB</v>
      </c>
      <c r="U1596" t="s">
        <v>29</v>
      </c>
      <c r="V1596" t="str">
        <f>VLOOKUP($R1596,'Mapa Oficinas'!$A$7:$C$46,2,FALSE)</f>
        <v>CABA</v>
      </c>
      <c r="W1596" t="str">
        <f>VLOOKUP($R1596,'Mapa Oficinas'!$A$7:$C$46,3,FALSE)</f>
        <v>Recoleta</v>
      </c>
    </row>
    <row r="1597" spans="1:23" x14ac:dyDescent="0.2">
      <c r="A1597" s="1">
        <v>45804</v>
      </c>
      <c r="B1597" s="20">
        <f t="shared" si="48"/>
        <v>2025</v>
      </c>
      <c r="C1597" s="20">
        <f t="shared" si="49"/>
        <v>5</v>
      </c>
      <c r="D1597" t="s">
        <v>2148</v>
      </c>
      <c r="E1597" s="49">
        <v>1</v>
      </c>
      <c r="F1597" t="s">
        <v>2149</v>
      </c>
      <c r="G1597" t="s">
        <v>21</v>
      </c>
      <c r="H1597" t="s">
        <v>70</v>
      </c>
      <c r="I1597" s="13">
        <v>135000</v>
      </c>
      <c r="J1597" s="13">
        <v>130000</v>
      </c>
      <c r="K1597" s="13">
        <f>IF(J1597&lt;'Mapa Oficinas'!$I$21,0,IF(J1597&gt;'Mapa Oficinas'!$I$20,0,1))</f>
        <v>1</v>
      </c>
      <c r="L1597" t="s">
        <v>23</v>
      </c>
      <c r="M1597" t="s">
        <v>23</v>
      </c>
      <c r="N1597" t="s">
        <v>2150</v>
      </c>
      <c r="O1597" t="s">
        <v>646</v>
      </c>
      <c r="P1597" t="s">
        <v>34</v>
      </c>
      <c r="Q1597">
        <v>2</v>
      </c>
      <c r="R1597" t="s">
        <v>73</v>
      </c>
      <c r="S1597" t="s">
        <v>28</v>
      </c>
      <c r="T1597" t="str">
        <f>VLOOKUP(S1597,'Mapa Oficinas'!$H$7:$I$16,2,FALSE)</f>
        <v>CB</v>
      </c>
      <c r="U1597" t="s">
        <v>29</v>
      </c>
      <c r="V1597" t="str">
        <f>VLOOKUP($R1597,'Mapa Oficinas'!$A$7:$C$46,2,FALSE)</f>
        <v>Interior - Salta</v>
      </c>
      <c r="W1597" t="str">
        <f>VLOOKUP($R1597,'Mapa Oficinas'!$A$7:$C$46,3,FALSE)</f>
        <v>San Lorenzo Chico</v>
      </c>
    </row>
    <row r="1598" spans="1:23" x14ac:dyDescent="0.2">
      <c r="A1598" s="1">
        <v>45834</v>
      </c>
      <c r="B1598" s="20">
        <f t="shared" si="48"/>
        <v>2025</v>
      </c>
      <c r="C1598" s="20">
        <f t="shared" si="49"/>
        <v>6</v>
      </c>
      <c r="D1598" t="s">
        <v>2663</v>
      </c>
      <c r="E1598" s="49">
        <v>1</v>
      </c>
      <c r="F1598" t="s">
        <v>2664</v>
      </c>
      <c r="G1598" t="s">
        <v>21</v>
      </c>
      <c r="H1598" t="s">
        <v>37</v>
      </c>
      <c r="I1598" s="13">
        <v>139000</v>
      </c>
      <c r="J1598" s="13">
        <v>130000</v>
      </c>
      <c r="K1598" s="13">
        <f>IF(J1598&lt;'Mapa Oficinas'!$I$21,0,IF(J1598&gt;'Mapa Oficinas'!$I$20,0,1))</f>
        <v>1</v>
      </c>
      <c r="L1598" t="s">
        <v>23</v>
      </c>
      <c r="M1598" t="s">
        <v>23</v>
      </c>
      <c r="N1598" t="s">
        <v>2665</v>
      </c>
      <c r="O1598" t="s">
        <v>66</v>
      </c>
      <c r="P1598" t="s">
        <v>45</v>
      </c>
      <c r="Q1598">
        <v>2</v>
      </c>
      <c r="R1598" t="s">
        <v>110</v>
      </c>
      <c r="S1598" t="s">
        <v>28</v>
      </c>
      <c r="T1598" t="str">
        <f>VLOOKUP(S1598,'Mapa Oficinas'!$H$7:$I$16,2,FALSE)</f>
        <v>CB</v>
      </c>
      <c r="U1598" t="s">
        <v>29</v>
      </c>
      <c r="V1598" t="str">
        <f>VLOOKUP($R1598,'Mapa Oficinas'!$A$7:$C$46,2,FALSE)</f>
        <v>Zona Norte (GBA)</v>
      </c>
      <c r="W1598" t="str">
        <f>VLOOKUP($R1598,'Mapa Oficinas'!$A$7:$C$46,3,FALSE)</f>
        <v>Nordelta</v>
      </c>
    </row>
    <row r="1599" spans="1:23" x14ac:dyDescent="0.2">
      <c r="A1599" s="1">
        <v>45889</v>
      </c>
      <c r="B1599" s="20">
        <f t="shared" si="48"/>
        <v>2025</v>
      </c>
      <c r="C1599" s="20">
        <f t="shared" si="49"/>
        <v>8</v>
      </c>
      <c r="D1599" t="s">
        <v>3671</v>
      </c>
      <c r="E1599" s="49">
        <v>1</v>
      </c>
      <c r="F1599" t="s">
        <v>3672</v>
      </c>
      <c r="G1599" t="s">
        <v>21</v>
      </c>
      <c r="H1599" t="s">
        <v>90</v>
      </c>
      <c r="I1599" s="13">
        <v>134900</v>
      </c>
      <c r="J1599" s="13">
        <v>130000</v>
      </c>
      <c r="K1599" s="13">
        <f>IF(J1599&lt;'Mapa Oficinas'!$I$21,0,IF(J1599&gt;'Mapa Oficinas'!$I$20,0,1))</f>
        <v>1</v>
      </c>
      <c r="L1599" t="s">
        <v>23</v>
      </c>
      <c r="M1599" t="s">
        <v>23</v>
      </c>
      <c r="N1599" t="s">
        <v>3673</v>
      </c>
      <c r="O1599" t="s">
        <v>141</v>
      </c>
      <c r="P1599" t="s">
        <v>45</v>
      </c>
      <c r="Q1599">
        <v>2</v>
      </c>
      <c r="R1599" t="s">
        <v>67</v>
      </c>
      <c r="S1599" t="s">
        <v>28</v>
      </c>
      <c r="T1599" t="str">
        <f>VLOOKUP(S1599,'Mapa Oficinas'!$H$7:$I$16,2,FALSE)</f>
        <v>CB</v>
      </c>
      <c r="U1599" t="s">
        <v>29</v>
      </c>
      <c r="V1599" t="str">
        <f>VLOOKUP($R1599,'Mapa Oficinas'!$A$7:$C$46,2,FALSE)</f>
        <v>CABA</v>
      </c>
      <c r="W1599" t="str">
        <f>VLOOKUP($R1599,'Mapa Oficinas'!$A$7:$C$46,3,FALSE)</f>
        <v>Barrio Parque</v>
      </c>
    </row>
    <row r="1600" spans="1:23" x14ac:dyDescent="0.2">
      <c r="A1600" s="1">
        <v>45910</v>
      </c>
      <c r="B1600" s="20">
        <f t="shared" si="48"/>
        <v>2025</v>
      </c>
      <c r="C1600" s="20">
        <f t="shared" si="49"/>
        <v>9</v>
      </c>
      <c r="D1600" t="s">
        <v>4065</v>
      </c>
      <c r="E1600" s="49">
        <v>1</v>
      </c>
      <c r="F1600" t="s">
        <v>4066</v>
      </c>
      <c r="G1600" t="s">
        <v>21</v>
      </c>
      <c r="H1600" t="s">
        <v>90</v>
      </c>
      <c r="I1600" s="13">
        <v>150000</v>
      </c>
      <c r="J1600" s="13">
        <v>130000</v>
      </c>
      <c r="K1600" s="13">
        <f>IF(J1600&lt;'Mapa Oficinas'!$I$21,0,IF(J1600&gt;'Mapa Oficinas'!$I$20,0,1))</f>
        <v>1</v>
      </c>
      <c r="L1600" t="s">
        <v>23</v>
      </c>
      <c r="M1600" t="s">
        <v>23</v>
      </c>
      <c r="N1600" t="s">
        <v>4067</v>
      </c>
      <c r="O1600" t="s">
        <v>50</v>
      </c>
      <c r="P1600" t="s">
        <v>45</v>
      </c>
      <c r="Q1600">
        <v>2</v>
      </c>
      <c r="R1600" t="s">
        <v>67</v>
      </c>
      <c r="S1600" t="s">
        <v>28</v>
      </c>
      <c r="T1600" t="str">
        <f>VLOOKUP(S1600,'Mapa Oficinas'!$H$7:$I$16,2,FALSE)</f>
        <v>CB</v>
      </c>
      <c r="U1600" t="s">
        <v>29</v>
      </c>
      <c r="V1600" t="str">
        <f>VLOOKUP($R1600,'Mapa Oficinas'!$A$7:$C$46,2,FALSE)</f>
        <v>CABA</v>
      </c>
      <c r="W1600" t="str">
        <f>VLOOKUP($R1600,'Mapa Oficinas'!$A$7:$C$46,3,FALSE)</f>
        <v>Barrio Parque</v>
      </c>
    </row>
    <row r="1601" spans="1:23" x14ac:dyDescent="0.2">
      <c r="A1601" s="1">
        <v>45969</v>
      </c>
      <c r="B1601" s="20">
        <f t="shared" si="48"/>
        <v>2025</v>
      </c>
      <c r="C1601" s="20">
        <f t="shared" si="49"/>
        <v>11</v>
      </c>
      <c r="D1601" t="s">
        <v>5101</v>
      </c>
      <c r="E1601" s="49">
        <v>1</v>
      </c>
      <c r="F1601" t="s">
        <v>5102</v>
      </c>
      <c r="G1601" t="s">
        <v>21</v>
      </c>
      <c r="H1601" t="s">
        <v>37</v>
      </c>
      <c r="I1601" s="13">
        <v>135000</v>
      </c>
      <c r="J1601" s="13">
        <v>130000</v>
      </c>
      <c r="K1601" s="13">
        <f>IF(J1601&lt;'Mapa Oficinas'!$I$21,0,IF(J1601&gt;'Mapa Oficinas'!$I$20,0,1))</f>
        <v>1</v>
      </c>
      <c r="L1601" t="s">
        <v>23</v>
      </c>
      <c r="M1601" t="s">
        <v>23</v>
      </c>
      <c r="N1601" t="s">
        <v>5103</v>
      </c>
      <c r="O1601" t="s">
        <v>599</v>
      </c>
      <c r="P1601" t="s">
        <v>45</v>
      </c>
      <c r="Q1601">
        <v>2</v>
      </c>
      <c r="R1601" t="s">
        <v>1024</v>
      </c>
      <c r="S1601" t="s">
        <v>28</v>
      </c>
      <c r="T1601" t="str">
        <f>VLOOKUP(S1601,'Mapa Oficinas'!$H$7:$I$16,2,FALSE)</f>
        <v>CB</v>
      </c>
      <c r="U1601" t="s">
        <v>29</v>
      </c>
      <c r="V1601" t="str">
        <f>VLOOKUP($R1601,'Mapa Oficinas'!$A$7:$C$46,2,FALSE)</f>
        <v>CABA</v>
      </c>
      <c r="W1601" t="str">
        <f>VLOOKUP($R1601,'Mapa Oficinas'!$A$7:$C$46,3,FALSE)</f>
        <v>Puerto Madero</v>
      </c>
    </row>
    <row r="1602" spans="1:23" x14ac:dyDescent="0.2">
      <c r="A1602" s="1">
        <v>46058</v>
      </c>
      <c r="B1602" s="20">
        <f t="shared" ref="B1602:B1665" si="50">YEAR($A1602)</f>
        <v>2026</v>
      </c>
      <c r="C1602" s="20">
        <f t="shared" ref="C1602:C1665" si="51">MONTH($A1602)</f>
        <v>2</v>
      </c>
      <c r="D1602" t="s">
        <v>6555</v>
      </c>
      <c r="E1602" s="49">
        <v>1</v>
      </c>
      <c r="F1602" t="s">
        <v>6556</v>
      </c>
      <c r="G1602" t="s">
        <v>21</v>
      </c>
      <c r="H1602" t="s">
        <v>100</v>
      </c>
      <c r="I1602" s="13">
        <v>149165</v>
      </c>
      <c r="J1602" s="13">
        <v>130000</v>
      </c>
      <c r="K1602" s="13">
        <f>IF(J1602&lt;'Mapa Oficinas'!$I$21,0,IF(J1602&gt;'Mapa Oficinas'!$I$20,0,1))</f>
        <v>1</v>
      </c>
      <c r="L1602" t="s">
        <v>23</v>
      </c>
      <c r="M1602" t="s">
        <v>23</v>
      </c>
      <c r="N1602" t="s">
        <v>288</v>
      </c>
      <c r="O1602" t="s">
        <v>209</v>
      </c>
      <c r="P1602" t="s">
        <v>45</v>
      </c>
      <c r="Q1602">
        <v>2</v>
      </c>
      <c r="R1602" t="s">
        <v>121</v>
      </c>
      <c r="S1602" t="s">
        <v>28</v>
      </c>
      <c r="T1602" t="str">
        <f>VLOOKUP(S1602,'Mapa Oficinas'!$H$7:$I$16,2,FALSE)</f>
        <v>CB</v>
      </c>
      <c r="U1602" t="s">
        <v>29</v>
      </c>
      <c r="V1602" t="str">
        <f>VLOOKUP($R1602,'Mapa Oficinas'!$A$7:$C$46,2,FALSE)</f>
        <v>Interior - Río Negro</v>
      </c>
      <c r="W1602" t="str">
        <f>VLOOKUP($R1602,'Mapa Oficinas'!$A$7:$C$46,3,FALSE)</f>
        <v>Bariloche</v>
      </c>
    </row>
    <row r="1603" spans="1:23" x14ac:dyDescent="0.2">
      <c r="A1603" s="1">
        <v>46063</v>
      </c>
      <c r="B1603" s="20">
        <f t="shared" si="50"/>
        <v>2026</v>
      </c>
      <c r="C1603" s="20">
        <f t="shared" si="51"/>
        <v>2</v>
      </c>
      <c r="D1603" t="s">
        <v>6621</v>
      </c>
      <c r="E1603" s="49">
        <v>1</v>
      </c>
      <c r="F1603" t="s">
        <v>6622</v>
      </c>
      <c r="G1603" t="s">
        <v>21</v>
      </c>
      <c r="H1603" t="s">
        <v>76</v>
      </c>
      <c r="I1603" s="13">
        <v>130000</v>
      </c>
      <c r="J1603" s="13">
        <v>130000</v>
      </c>
      <c r="K1603" s="13">
        <f>IF(J1603&lt;'Mapa Oficinas'!$I$21,0,IF(J1603&gt;'Mapa Oficinas'!$I$20,0,1))</f>
        <v>1</v>
      </c>
      <c r="L1603" t="s">
        <v>23</v>
      </c>
      <c r="M1603" t="s">
        <v>23</v>
      </c>
      <c r="N1603" t="s">
        <v>6623</v>
      </c>
      <c r="O1603" t="s">
        <v>325</v>
      </c>
      <c r="P1603" t="s">
        <v>45</v>
      </c>
      <c r="Q1603">
        <v>2</v>
      </c>
      <c r="R1603" t="s">
        <v>130</v>
      </c>
      <c r="S1603" t="s">
        <v>28</v>
      </c>
      <c r="T1603" t="str">
        <f>VLOOKUP(S1603,'Mapa Oficinas'!$H$7:$I$16,2,FALSE)</f>
        <v>CB</v>
      </c>
      <c r="U1603" t="s">
        <v>29</v>
      </c>
      <c r="V1603" t="str">
        <f>VLOOKUP($R1603,'Mapa Oficinas'!$A$7:$C$46,2,FALSE)</f>
        <v>Interior - Neuquén</v>
      </c>
      <c r="W1603" t="str">
        <f>VLOOKUP($R1603,'Mapa Oficinas'!$A$7:$C$46,3,FALSE)</f>
        <v>San Martín de los Andes</v>
      </c>
    </row>
    <row r="1604" spans="1:23" x14ac:dyDescent="0.2">
      <c r="A1604" s="1">
        <v>46087</v>
      </c>
      <c r="B1604" s="20">
        <f t="shared" si="50"/>
        <v>2026</v>
      </c>
      <c r="C1604" s="20">
        <f t="shared" si="51"/>
        <v>3</v>
      </c>
      <c r="E1604" s="49">
        <v>1</v>
      </c>
      <c r="F1604" t="s">
        <v>7009</v>
      </c>
      <c r="G1604" t="s">
        <v>21</v>
      </c>
      <c r="H1604" t="s">
        <v>97</v>
      </c>
      <c r="I1604" s="13">
        <v>132000</v>
      </c>
      <c r="J1604" s="13">
        <v>130000</v>
      </c>
      <c r="K1604" s="13">
        <f>IF(J1604&lt;'Mapa Oficinas'!$I$21,0,IF(J1604&gt;'Mapa Oficinas'!$I$20,0,1))</f>
        <v>1</v>
      </c>
      <c r="L1604" t="s">
        <v>23</v>
      </c>
      <c r="M1604" t="s">
        <v>23</v>
      </c>
      <c r="N1604" t="s">
        <v>7010</v>
      </c>
      <c r="O1604" t="s">
        <v>2706</v>
      </c>
      <c r="P1604" t="s">
        <v>34</v>
      </c>
      <c r="Q1604">
        <v>2</v>
      </c>
      <c r="R1604" t="s">
        <v>84</v>
      </c>
      <c r="S1604" t="s">
        <v>28</v>
      </c>
      <c r="T1604" t="str">
        <f>VLOOKUP(S1604,'Mapa Oficinas'!$H$7:$I$16,2,FALSE)</f>
        <v>CB</v>
      </c>
      <c r="U1604" t="s">
        <v>29</v>
      </c>
      <c r="V1604" t="str">
        <f>VLOOKUP($R1604,'Mapa Oficinas'!$A$7:$C$46,2,FALSE)</f>
        <v>Interior - Neuquén</v>
      </c>
      <c r="W1604" t="str">
        <f>VLOOKUP($R1604,'Mapa Oficinas'!$A$7:$C$46,3,FALSE)</f>
        <v>Villa La Angostura</v>
      </c>
    </row>
    <row r="1605" spans="1:23" x14ac:dyDescent="0.2">
      <c r="A1605" s="1">
        <v>46100</v>
      </c>
      <c r="B1605" s="20">
        <f t="shared" si="50"/>
        <v>2026</v>
      </c>
      <c r="C1605" s="20">
        <f t="shared" si="51"/>
        <v>3</v>
      </c>
      <c r="D1605" t="s">
        <v>7310</v>
      </c>
      <c r="E1605" s="49">
        <v>1</v>
      </c>
      <c r="F1605" t="s">
        <v>7311</v>
      </c>
      <c r="G1605" t="s">
        <v>21</v>
      </c>
      <c r="H1605" t="s">
        <v>70</v>
      </c>
      <c r="I1605" s="13">
        <v>130000</v>
      </c>
      <c r="J1605" s="13">
        <v>130000</v>
      </c>
      <c r="K1605" s="13">
        <f>IF(J1605&lt;'Mapa Oficinas'!$I$21,0,IF(J1605&gt;'Mapa Oficinas'!$I$20,0,1))</f>
        <v>1</v>
      </c>
      <c r="L1605" t="s">
        <v>23</v>
      </c>
      <c r="M1605" t="s">
        <v>23</v>
      </c>
      <c r="N1605" t="s">
        <v>7312</v>
      </c>
      <c r="O1605" t="s">
        <v>303</v>
      </c>
      <c r="P1605" t="s">
        <v>61</v>
      </c>
      <c r="Q1605">
        <v>2</v>
      </c>
      <c r="R1605" t="s">
        <v>183</v>
      </c>
      <c r="S1605" t="s">
        <v>28</v>
      </c>
      <c r="T1605" t="str">
        <f>VLOOKUP(S1605,'Mapa Oficinas'!$H$7:$I$16,2,FALSE)</f>
        <v>CB</v>
      </c>
      <c r="U1605" t="s">
        <v>29</v>
      </c>
      <c r="V1605" t="str">
        <f>VLOOKUP($R1605,'Mapa Oficinas'!$A$7:$C$46,2,FALSE)</f>
        <v>Interior - Neuquén</v>
      </c>
      <c r="W1605" t="str">
        <f>VLOOKUP($R1605,'Mapa Oficinas'!$A$7:$C$46,3,FALSE)</f>
        <v>Capital Neuquén</v>
      </c>
    </row>
    <row r="1606" spans="1:23" x14ac:dyDescent="0.2">
      <c r="A1606" s="1">
        <v>46071</v>
      </c>
      <c r="B1606" s="20">
        <f t="shared" si="50"/>
        <v>2026</v>
      </c>
      <c r="C1606" s="20">
        <f t="shared" si="51"/>
        <v>2</v>
      </c>
      <c r="D1606" t="s">
        <v>6743</v>
      </c>
      <c r="E1606" s="49">
        <v>1</v>
      </c>
      <c r="F1606" t="s">
        <v>6744</v>
      </c>
      <c r="G1606" t="s">
        <v>21</v>
      </c>
      <c r="H1606" t="s">
        <v>37</v>
      </c>
      <c r="I1606" s="13">
        <v>138000</v>
      </c>
      <c r="J1606" s="13">
        <v>130500</v>
      </c>
      <c r="K1606" s="13">
        <f>IF(J1606&lt;'Mapa Oficinas'!$I$21,0,IF(J1606&gt;'Mapa Oficinas'!$I$20,0,1))</f>
        <v>1</v>
      </c>
      <c r="L1606" t="s">
        <v>23</v>
      </c>
      <c r="M1606" t="s">
        <v>23</v>
      </c>
      <c r="N1606" t="s">
        <v>6745</v>
      </c>
      <c r="O1606" t="s">
        <v>1556</v>
      </c>
      <c r="P1606" t="s">
        <v>45</v>
      </c>
      <c r="Q1606">
        <v>1</v>
      </c>
      <c r="R1606" t="s">
        <v>110</v>
      </c>
      <c r="S1606" t="s">
        <v>47</v>
      </c>
      <c r="T1606" t="str">
        <f>VLOOKUP(S1606,'Mapa Oficinas'!$H$7:$I$16,2,FALSE)</f>
        <v>Otra Red Búsqueda</v>
      </c>
      <c r="U1606" t="s">
        <v>29</v>
      </c>
      <c r="V1606" t="str">
        <f>VLOOKUP($R1606,'Mapa Oficinas'!$A$7:$C$46,2,FALSE)</f>
        <v>Zona Norte (GBA)</v>
      </c>
      <c r="W1606" t="str">
        <f>VLOOKUP($R1606,'Mapa Oficinas'!$A$7:$C$46,3,FALSE)</f>
        <v>Nordelta</v>
      </c>
    </row>
    <row r="1607" spans="1:23" x14ac:dyDescent="0.2">
      <c r="A1607" s="1">
        <v>46009</v>
      </c>
      <c r="B1607" s="20">
        <f t="shared" si="50"/>
        <v>2025</v>
      </c>
      <c r="C1607" s="20">
        <f t="shared" si="51"/>
        <v>12</v>
      </c>
      <c r="D1607" t="s">
        <v>5876</v>
      </c>
      <c r="E1607" s="49">
        <v>1</v>
      </c>
      <c r="F1607" t="s">
        <v>5877</v>
      </c>
      <c r="G1607" t="s">
        <v>21</v>
      </c>
      <c r="H1607" t="s">
        <v>37</v>
      </c>
      <c r="I1607" s="13">
        <v>135000</v>
      </c>
      <c r="J1607" s="13">
        <v>131000</v>
      </c>
      <c r="K1607" s="13">
        <f>IF(J1607&lt;'Mapa Oficinas'!$I$21,0,IF(J1607&gt;'Mapa Oficinas'!$I$20,0,1))</f>
        <v>1</v>
      </c>
      <c r="L1607" t="s">
        <v>23</v>
      </c>
      <c r="M1607" t="s">
        <v>23</v>
      </c>
      <c r="N1607" t="s">
        <v>3845</v>
      </c>
      <c r="O1607" t="s">
        <v>190</v>
      </c>
      <c r="P1607" t="s">
        <v>45</v>
      </c>
      <c r="Q1607">
        <v>2</v>
      </c>
      <c r="R1607" t="s">
        <v>429</v>
      </c>
      <c r="S1607" t="s">
        <v>200</v>
      </c>
      <c r="T1607" t="str">
        <f>VLOOKUP(S1607,'Mapa Oficinas'!$H$7:$I$16,2,FALSE)</f>
        <v>Otra Red Captación</v>
      </c>
      <c r="U1607" t="s">
        <v>29</v>
      </c>
      <c r="V1607" t="str">
        <f>VLOOKUP($R1607,'Mapa Oficinas'!$A$7:$C$46,2,FALSE)</f>
        <v>Zona Oeste (GBA)</v>
      </c>
      <c r="W1607" t="str">
        <f>VLOOKUP($R1607,'Mapa Oficinas'!$A$7:$C$46,3,FALSE)</f>
        <v>Parque Leloir</v>
      </c>
    </row>
    <row r="1608" spans="1:23" x14ac:dyDescent="0.2">
      <c r="A1608" s="1">
        <v>46093</v>
      </c>
      <c r="B1608" s="20">
        <f t="shared" si="50"/>
        <v>2026</v>
      </c>
      <c r="C1608" s="20">
        <f t="shared" si="51"/>
        <v>3</v>
      </c>
      <c r="D1608" t="s">
        <v>7144</v>
      </c>
      <c r="E1608" s="49">
        <v>1</v>
      </c>
      <c r="F1608" t="s">
        <v>5208</v>
      </c>
      <c r="G1608" t="s">
        <v>21</v>
      </c>
      <c r="H1608" t="s">
        <v>37</v>
      </c>
      <c r="I1608" s="13">
        <v>130000</v>
      </c>
      <c r="J1608" s="13">
        <v>131000</v>
      </c>
      <c r="K1608" s="13">
        <f>IF(J1608&lt;'Mapa Oficinas'!$I$21,0,IF(J1608&gt;'Mapa Oficinas'!$I$20,0,1))</f>
        <v>1</v>
      </c>
      <c r="L1608" t="s">
        <v>23</v>
      </c>
      <c r="M1608" t="s">
        <v>23</v>
      </c>
      <c r="N1608" t="s">
        <v>5209</v>
      </c>
      <c r="O1608" t="s">
        <v>1196</v>
      </c>
      <c r="P1608" t="s">
        <v>45</v>
      </c>
      <c r="Q1608">
        <v>2</v>
      </c>
      <c r="R1608" t="s">
        <v>1605</v>
      </c>
      <c r="S1608" t="s">
        <v>28</v>
      </c>
      <c r="T1608" t="str">
        <f>VLOOKUP(S1608,'Mapa Oficinas'!$H$7:$I$16,2,FALSE)</f>
        <v>CB</v>
      </c>
      <c r="U1608" t="s">
        <v>29</v>
      </c>
      <c r="V1608" t="str">
        <f>VLOOKUP($R1608,'Mapa Oficinas'!$A$7:$C$46,2,FALSE)</f>
        <v>CABA</v>
      </c>
      <c r="W1608" t="str">
        <f>VLOOKUP($R1608,'Mapa Oficinas'!$A$7:$C$46,3,FALSE)</f>
        <v>Núñez</v>
      </c>
    </row>
    <row r="1609" spans="1:23" x14ac:dyDescent="0.2">
      <c r="A1609" s="1">
        <v>46099</v>
      </c>
      <c r="B1609" s="20">
        <f t="shared" si="50"/>
        <v>2026</v>
      </c>
      <c r="C1609" s="20">
        <f t="shared" si="51"/>
        <v>3</v>
      </c>
      <c r="D1609" t="s">
        <v>7273</v>
      </c>
      <c r="E1609" s="49">
        <v>1</v>
      </c>
      <c r="F1609" t="s">
        <v>7274</v>
      </c>
      <c r="G1609" t="s">
        <v>21</v>
      </c>
      <c r="H1609" t="s">
        <v>37</v>
      </c>
      <c r="I1609" s="13">
        <v>142000</v>
      </c>
      <c r="J1609" s="13">
        <v>131000</v>
      </c>
      <c r="K1609" s="13">
        <f>IF(J1609&lt;'Mapa Oficinas'!$I$21,0,IF(J1609&gt;'Mapa Oficinas'!$I$20,0,1))</f>
        <v>1</v>
      </c>
      <c r="L1609" t="s">
        <v>23</v>
      </c>
      <c r="M1609" t="s">
        <v>23</v>
      </c>
      <c r="N1609" t="s">
        <v>7275</v>
      </c>
      <c r="O1609" t="s">
        <v>60</v>
      </c>
      <c r="P1609" t="s">
        <v>45</v>
      </c>
      <c r="Q1609">
        <v>2</v>
      </c>
      <c r="R1609" t="s">
        <v>1024</v>
      </c>
      <c r="S1609" t="s">
        <v>28</v>
      </c>
      <c r="T1609" t="str">
        <f>VLOOKUP(S1609,'Mapa Oficinas'!$H$7:$I$16,2,FALSE)</f>
        <v>CB</v>
      </c>
      <c r="U1609" t="s">
        <v>29</v>
      </c>
      <c r="V1609" t="str">
        <f>VLOOKUP($R1609,'Mapa Oficinas'!$A$7:$C$46,2,FALSE)</f>
        <v>CABA</v>
      </c>
      <c r="W1609" t="str">
        <f>VLOOKUP($R1609,'Mapa Oficinas'!$A$7:$C$46,3,FALSE)</f>
        <v>Puerto Madero</v>
      </c>
    </row>
    <row r="1610" spans="1:23" x14ac:dyDescent="0.2">
      <c r="A1610" s="1">
        <v>46107</v>
      </c>
      <c r="B1610" s="20">
        <f t="shared" si="50"/>
        <v>2026</v>
      </c>
      <c r="C1610" s="20">
        <f t="shared" si="51"/>
        <v>3</v>
      </c>
      <c r="D1610" t="s">
        <v>7436</v>
      </c>
      <c r="E1610" s="49">
        <v>1</v>
      </c>
      <c r="F1610" t="s">
        <v>7437</v>
      </c>
      <c r="G1610" t="s">
        <v>21</v>
      </c>
      <c r="H1610" t="s">
        <v>37</v>
      </c>
      <c r="I1610" s="13">
        <v>143000</v>
      </c>
      <c r="J1610" s="13">
        <v>132000</v>
      </c>
      <c r="K1610" s="13">
        <f>IF(J1610&lt;'Mapa Oficinas'!$I$21,0,IF(J1610&gt;'Mapa Oficinas'!$I$20,0,1))</f>
        <v>1</v>
      </c>
      <c r="L1610" t="s">
        <v>23</v>
      </c>
      <c r="M1610" t="s">
        <v>23</v>
      </c>
      <c r="N1610" t="s">
        <v>7438</v>
      </c>
      <c r="O1610" t="s">
        <v>7439</v>
      </c>
      <c r="P1610" t="s">
        <v>45</v>
      </c>
      <c r="Q1610">
        <v>2</v>
      </c>
      <c r="R1610" t="s">
        <v>84</v>
      </c>
      <c r="S1610" t="s">
        <v>79</v>
      </c>
      <c r="T1610" t="str">
        <f>VLOOKUP(S1610,'Mapa Oficinas'!$H$7:$I$16,2,FALSE)</f>
        <v>CB</v>
      </c>
      <c r="U1610" t="s">
        <v>29</v>
      </c>
      <c r="V1610" t="str">
        <f>VLOOKUP($R1610,'Mapa Oficinas'!$A$7:$C$46,2,FALSE)</f>
        <v>Interior - Neuquén</v>
      </c>
      <c r="W1610" t="str">
        <f>VLOOKUP($R1610,'Mapa Oficinas'!$A$7:$C$46,3,FALSE)</f>
        <v>Villa La Angostura</v>
      </c>
    </row>
    <row r="1611" spans="1:23" x14ac:dyDescent="0.2">
      <c r="A1611" s="1">
        <v>45894</v>
      </c>
      <c r="B1611" s="20">
        <f t="shared" si="50"/>
        <v>2025</v>
      </c>
      <c r="C1611" s="20">
        <f t="shared" si="51"/>
        <v>8</v>
      </c>
      <c r="D1611">
        <v>12</v>
      </c>
      <c r="E1611" s="49">
        <v>1</v>
      </c>
      <c r="F1611" t="s">
        <v>3748</v>
      </c>
      <c r="G1611" t="s">
        <v>21</v>
      </c>
      <c r="H1611" t="s">
        <v>22</v>
      </c>
      <c r="I1611" s="13">
        <v>132000</v>
      </c>
      <c r="J1611" s="13">
        <v>132000</v>
      </c>
      <c r="K1611" s="13">
        <f>IF(J1611&lt;'Mapa Oficinas'!$I$21,0,IF(J1611&gt;'Mapa Oficinas'!$I$20,0,1))</f>
        <v>1</v>
      </c>
      <c r="L1611" t="s">
        <v>23</v>
      </c>
      <c r="M1611" t="s">
        <v>23</v>
      </c>
      <c r="N1611" t="s">
        <v>3749</v>
      </c>
      <c r="O1611" t="s">
        <v>54</v>
      </c>
      <c r="P1611" t="s">
        <v>34</v>
      </c>
      <c r="Q1611">
        <v>1</v>
      </c>
      <c r="R1611" t="s">
        <v>372</v>
      </c>
      <c r="S1611" t="s">
        <v>47</v>
      </c>
      <c r="T1611" t="str">
        <f>VLOOKUP(S1611,'Mapa Oficinas'!$H$7:$I$16,2,FALSE)</f>
        <v>Otra Red Búsqueda</v>
      </c>
      <c r="U1611" t="s">
        <v>29</v>
      </c>
      <c r="V1611" t="str">
        <f>VLOOKUP($R1611,'Mapa Oficinas'!$A$7:$C$46,2,FALSE)</f>
        <v>CABA</v>
      </c>
      <c r="W1611" t="str">
        <f>VLOOKUP($R1611,'Mapa Oficinas'!$A$7:$C$46,3,FALSE)</f>
        <v>Caballito</v>
      </c>
    </row>
    <row r="1612" spans="1:23" x14ac:dyDescent="0.2">
      <c r="A1612" s="1">
        <v>45937</v>
      </c>
      <c r="B1612" s="20">
        <f t="shared" si="50"/>
        <v>2025</v>
      </c>
      <c r="C1612" s="20">
        <f t="shared" si="51"/>
        <v>10</v>
      </c>
      <c r="E1612" s="49">
        <v>1</v>
      </c>
      <c r="F1612" t="s">
        <v>4552</v>
      </c>
      <c r="G1612" t="s">
        <v>21</v>
      </c>
      <c r="H1612" t="s">
        <v>81</v>
      </c>
      <c r="I1612" s="13">
        <v>132000</v>
      </c>
      <c r="J1612" s="13">
        <v>132000</v>
      </c>
      <c r="K1612" s="13">
        <f>IF(J1612&lt;'Mapa Oficinas'!$I$21,0,IF(J1612&gt;'Mapa Oficinas'!$I$20,0,1))</f>
        <v>1</v>
      </c>
      <c r="L1612" t="s">
        <v>23</v>
      </c>
      <c r="M1612" t="s">
        <v>23</v>
      </c>
      <c r="N1612" t="s">
        <v>4553</v>
      </c>
      <c r="O1612" t="s">
        <v>66</v>
      </c>
      <c r="P1612" t="s">
        <v>45</v>
      </c>
      <c r="Q1612">
        <v>1</v>
      </c>
      <c r="R1612" t="s">
        <v>429</v>
      </c>
      <c r="S1612" t="s">
        <v>47</v>
      </c>
      <c r="T1612" t="str">
        <f>VLOOKUP(S1612,'Mapa Oficinas'!$H$7:$I$16,2,FALSE)</f>
        <v>Otra Red Búsqueda</v>
      </c>
      <c r="U1612" t="s">
        <v>29</v>
      </c>
      <c r="V1612" t="str">
        <f>VLOOKUP($R1612,'Mapa Oficinas'!$A$7:$C$46,2,FALSE)</f>
        <v>Zona Oeste (GBA)</v>
      </c>
      <c r="W1612" t="str">
        <f>VLOOKUP($R1612,'Mapa Oficinas'!$A$7:$C$46,3,FALSE)</f>
        <v>Parque Leloir</v>
      </c>
    </row>
    <row r="1613" spans="1:23" x14ac:dyDescent="0.2">
      <c r="A1613" s="1">
        <v>45785</v>
      </c>
      <c r="B1613" s="20">
        <f t="shared" si="50"/>
        <v>2025</v>
      </c>
      <c r="C1613" s="20">
        <f t="shared" si="51"/>
        <v>5</v>
      </c>
      <c r="D1613" t="s">
        <v>1825</v>
      </c>
      <c r="E1613" s="49">
        <v>1</v>
      </c>
      <c r="F1613" t="s">
        <v>1826</v>
      </c>
      <c r="G1613" t="s">
        <v>21</v>
      </c>
      <c r="H1613" t="s">
        <v>37</v>
      </c>
      <c r="I1613" s="13">
        <v>144000</v>
      </c>
      <c r="J1613" s="13">
        <v>132000</v>
      </c>
      <c r="K1613" s="13">
        <f>IF(J1613&lt;'Mapa Oficinas'!$I$21,0,IF(J1613&gt;'Mapa Oficinas'!$I$20,0,1))</f>
        <v>1</v>
      </c>
      <c r="L1613" t="s">
        <v>23</v>
      </c>
      <c r="M1613" t="s">
        <v>23</v>
      </c>
      <c r="N1613" t="s">
        <v>1827</v>
      </c>
      <c r="O1613" t="s">
        <v>92</v>
      </c>
      <c r="P1613" t="s">
        <v>45</v>
      </c>
      <c r="Q1613">
        <v>2</v>
      </c>
      <c r="R1613" t="s">
        <v>523</v>
      </c>
      <c r="S1613" t="s">
        <v>200</v>
      </c>
      <c r="T1613" t="str">
        <f>VLOOKUP(S1613,'Mapa Oficinas'!$H$7:$I$16,2,FALSE)</f>
        <v>Otra Red Captación</v>
      </c>
      <c r="U1613" t="s">
        <v>29</v>
      </c>
      <c r="V1613" t="str">
        <f>VLOOKUP($R1613,'Mapa Oficinas'!$A$7:$C$46,2,FALSE)</f>
        <v>CABA</v>
      </c>
      <c r="W1613" t="str">
        <f>VLOOKUP($R1613,'Mapa Oficinas'!$A$7:$C$46,3,FALSE)</f>
        <v>Belgrano</v>
      </c>
    </row>
    <row r="1614" spans="1:23" x14ac:dyDescent="0.2">
      <c r="A1614" s="1">
        <v>46079</v>
      </c>
      <c r="B1614" s="20">
        <f t="shared" si="50"/>
        <v>2026</v>
      </c>
      <c r="C1614" s="20">
        <f t="shared" si="51"/>
        <v>2</v>
      </c>
      <c r="D1614" t="s">
        <v>6861</v>
      </c>
      <c r="E1614" s="49">
        <v>1</v>
      </c>
      <c r="F1614" t="s">
        <v>6862</v>
      </c>
      <c r="G1614" t="s">
        <v>21</v>
      </c>
      <c r="H1614" t="s">
        <v>37</v>
      </c>
      <c r="I1614" s="13">
        <v>140000</v>
      </c>
      <c r="J1614" s="13">
        <v>132000</v>
      </c>
      <c r="K1614" s="13">
        <f>IF(J1614&lt;'Mapa Oficinas'!$I$21,0,IF(J1614&gt;'Mapa Oficinas'!$I$20,0,1))</f>
        <v>1</v>
      </c>
      <c r="L1614" t="s">
        <v>23</v>
      </c>
      <c r="M1614" t="s">
        <v>23</v>
      </c>
      <c r="N1614" t="s">
        <v>6863</v>
      </c>
      <c r="O1614" t="s">
        <v>190</v>
      </c>
      <c r="P1614" t="s">
        <v>45</v>
      </c>
      <c r="Q1614">
        <v>2</v>
      </c>
      <c r="R1614" t="s">
        <v>46</v>
      </c>
      <c r="S1614" t="s">
        <v>28</v>
      </c>
      <c r="T1614" t="str">
        <f>VLOOKUP(S1614,'Mapa Oficinas'!$H$7:$I$16,2,FALSE)</f>
        <v>CB</v>
      </c>
      <c r="U1614" t="s">
        <v>29</v>
      </c>
      <c r="V1614" t="str">
        <f>VLOOKUP($R1614,'Mapa Oficinas'!$A$7:$C$46,2,FALSE)</f>
        <v>CABA</v>
      </c>
      <c r="W1614" t="str">
        <f>VLOOKUP($R1614,'Mapa Oficinas'!$A$7:$C$46,3,FALSE)</f>
        <v>Palermo</v>
      </c>
    </row>
    <row r="1615" spans="1:23" x14ac:dyDescent="0.2">
      <c r="A1615" s="1">
        <v>46108</v>
      </c>
      <c r="B1615" s="20">
        <f t="shared" si="50"/>
        <v>2026</v>
      </c>
      <c r="C1615" s="20">
        <f t="shared" si="51"/>
        <v>3</v>
      </c>
      <c r="D1615" t="s">
        <v>7480</v>
      </c>
      <c r="E1615" s="49">
        <v>1</v>
      </c>
      <c r="F1615" t="s">
        <v>7481</v>
      </c>
      <c r="G1615" t="s">
        <v>21</v>
      </c>
      <c r="H1615" t="s">
        <v>70</v>
      </c>
      <c r="I1615" s="13">
        <v>135000</v>
      </c>
      <c r="J1615" s="13">
        <v>132000</v>
      </c>
      <c r="K1615" s="13">
        <f>IF(J1615&lt;'Mapa Oficinas'!$I$21,0,IF(J1615&gt;'Mapa Oficinas'!$I$20,0,1))</f>
        <v>1</v>
      </c>
      <c r="L1615" t="s">
        <v>23</v>
      </c>
      <c r="M1615" t="s">
        <v>23</v>
      </c>
      <c r="N1615" t="s">
        <v>7482</v>
      </c>
      <c r="O1615" t="s">
        <v>72</v>
      </c>
      <c r="P1615" t="s">
        <v>34</v>
      </c>
      <c r="Q1615">
        <v>2</v>
      </c>
      <c r="R1615" t="s">
        <v>73</v>
      </c>
      <c r="S1615" t="s">
        <v>28</v>
      </c>
      <c r="T1615" t="str">
        <f>VLOOKUP(S1615,'Mapa Oficinas'!$H$7:$I$16,2,FALSE)</f>
        <v>CB</v>
      </c>
      <c r="U1615" t="s">
        <v>29</v>
      </c>
      <c r="V1615" t="str">
        <f>VLOOKUP($R1615,'Mapa Oficinas'!$A$7:$C$46,2,FALSE)</f>
        <v>Interior - Salta</v>
      </c>
      <c r="W1615" t="str">
        <f>VLOOKUP($R1615,'Mapa Oficinas'!$A$7:$C$46,3,FALSE)</f>
        <v>San Lorenzo Chico</v>
      </c>
    </row>
    <row r="1616" spans="1:23" x14ac:dyDescent="0.2">
      <c r="A1616" s="1">
        <v>45716</v>
      </c>
      <c r="B1616" s="20">
        <f t="shared" si="50"/>
        <v>2025</v>
      </c>
      <c r="C1616" s="20">
        <f t="shared" si="51"/>
        <v>2</v>
      </c>
      <c r="D1616" t="s">
        <v>808</v>
      </c>
      <c r="E1616" s="49">
        <v>1</v>
      </c>
      <c r="F1616" t="s">
        <v>809</v>
      </c>
      <c r="G1616" t="s">
        <v>21</v>
      </c>
      <c r="H1616" t="s">
        <v>37</v>
      </c>
      <c r="I1616" s="13">
        <v>1100</v>
      </c>
      <c r="J1616" s="13">
        <v>132500</v>
      </c>
      <c r="K1616" s="13">
        <f>IF(J1616&lt;'Mapa Oficinas'!$I$21,0,IF(J1616&gt;'Mapa Oficinas'!$I$20,0,1))</f>
        <v>1</v>
      </c>
      <c r="L1616" t="s">
        <v>23</v>
      </c>
      <c r="M1616" t="s">
        <v>23</v>
      </c>
      <c r="N1616" t="s">
        <v>810</v>
      </c>
      <c r="O1616" t="s">
        <v>190</v>
      </c>
      <c r="P1616" t="s">
        <v>14</v>
      </c>
      <c r="Q1616">
        <v>2</v>
      </c>
      <c r="R1616" t="s">
        <v>62</v>
      </c>
      <c r="S1616" t="s">
        <v>28</v>
      </c>
      <c r="T1616" t="str">
        <f>VLOOKUP(S1616,'Mapa Oficinas'!$H$7:$I$16,2,FALSE)</f>
        <v>CB</v>
      </c>
      <c r="U1616" t="s">
        <v>29</v>
      </c>
      <c r="V1616" t="str">
        <f>VLOOKUP($R1616,'Mapa Oficinas'!$A$7:$C$46,2,FALSE)</f>
        <v>CABA</v>
      </c>
      <c r="W1616" t="str">
        <f>VLOOKUP($R1616,'Mapa Oficinas'!$A$7:$C$46,3,FALSE)</f>
        <v>Villa Urquiza</v>
      </c>
    </row>
    <row r="1617" spans="1:23" x14ac:dyDescent="0.2">
      <c r="A1617" s="1">
        <v>45785</v>
      </c>
      <c r="B1617" s="20">
        <f t="shared" si="50"/>
        <v>2025</v>
      </c>
      <c r="C1617" s="20">
        <f t="shared" si="51"/>
        <v>5</v>
      </c>
      <c r="D1617" t="s">
        <v>1828</v>
      </c>
      <c r="E1617" s="49">
        <v>1</v>
      </c>
      <c r="F1617" t="s">
        <v>1829</v>
      </c>
      <c r="G1617" t="s">
        <v>21</v>
      </c>
      <c r="H1617" t="s">
        <v>100</v>
      </c>
      <c r="I1617" s="13">
        <v>168000</v>
      </c>
      <c r="J1617" s="13">
        <v>133000</v>
      </c>
      <c r="K1617" s="13">
        <f>IF(J1617&lt;'Mapa Oficinas'!$I$21,0,IF(J1617&gt;'Mapa Oficinas'!$I$20,0,1))</f>
        <v>1</v>
      </c>
      <c r="L1617" t="s">
        <v>23</v>
      </c>
      <c r="M1617" t="s">
        <v>23</v>
      </c>
      <c r="N1617" t="s">
        <v>1830</v>
      </c>
      <c r="O1617" t="s">
        <v>209</v>
      </c>
      <c r="P1617" t="s">
        <v>45</v>
      </c>
      <c r="Q1617">
        <v>1</v>
      </c>
      <c r="R1617" t="s">
        <v>121</v>
      </c>
      <c r="S1617" t="s">
        <v>152</v>
      </c>
      <c r="T1617" t="str">
        <f>VLOOKUP(S1617,'Mapa Oficinas'!$H$7:$I$16,2,FALSE)</f>
        <v>Otra Red Captación</v>
      </c>
      <c r="U1617" t="s">
        <v>29</v>
      </c>
      <c r="V1617" t="str">
        <f>VLOOKUP($R1617,'Mapa Oficinas'!$A$7:$C$46,2,FALSE)</f>
        <v>Interior - Río Negro</v>
      </c>
      <c r="W1617" t="str">
        <f>VLOOKUP($R1617,'Mapa Oficinas'!$A$7:$C$46,3,FALSE)</f>
        <v>Bariloche</v>
      </c>
    </row>
    <row r="1618" spans="1:23" x14ac:dyDescent="0.2">
      <c r="A1618" s="1">
        <v>45763</v>
      </c>
      <c r="B1618" s="20">
        <f t="shared" si="50"/>
        <v>2025</v>
      </c>
      <c r="C1618" s="20">
        <f t="shared" si="51"/>
        <v>4</v>
      </c>
      <c r="D1618" t="s">
        <v>1489</v>
      </c>
      <c r="E1618" s="49">
        <v>1</v>
      </c>
      <c r="F1618" t="s">
        <v>1489</v>
      </c>
      <c r="G1618" t="s">
        <v>21</v>
      </c>
      <c r="H1618" t="s">
        <v>37</v>
      </c>
      <c r="I1618" s="13">
        <v>133000</v>
      </c>
      <c r="J1618" s="13">
        <v>133000</v>
      </c>
      <c r="K1618" s="13">
        <f>IF(J1618&lt;'Mapa Oficinas'!$I$21,0,IF(J1618&gt;'Mapa Oficinas'!$I$20,0,1))</f>
        <v>1</v>
      </c>
      <c r="L1618" t="s">
        <v>23</v>
      </c>
      <c r="M1618" t="s">
        <v>23</v>
      </c>
      <c r="N1618" t="s">
        <v>1489</v>
      </c>
      <c r="O1618" t="s">
        <v>114</v>
      </c>
      <c r="P1618" t="s">
        <v>45</v>
      </c>
      <c r="Q1618">
        <v>2</v>
      </c>
      <c r="R1618" t="s">
        <v>56</v>
      </c>
      <c r="S1618" t="s">
        <v>28</v>
      </c>
      <c r="T1618" t="str">
        <f>VLOOKUP(S1618,'Mapa Oficinas'!$H$7:$I$16,2,FALSE)</f>
        <v>CB</v>
      </c>
      <c r="U1618" t="s">
        <v>29</v>
      </c>
      <c r="V1618" t="str">
        <f>VLOOKUP($R1618,'Mapa Oficinas'!$A$7:$C$46,2,FALSE)</f>
        <v>Zona Norte (GBA)</v>
      </c>
      <c r="W1618" t="str">
        <f>VLOOKUP($R1618,'Mapa Oficinas'!$A$7:$C$46,3,FALSE)</f>
        <v>Vicente López</v>
      </c>
    </row>
    <row r="1619" spans="1:23" x14ac:dyDescent="0.2">
      <c r="A1619" s="1">
        <v>45838</v>
      </c>
      <c r="B1619" s="20">
        <f t="shared" si="50"/>
        <v>2025</v>
      </c>
      <c r="C1619" s="20">
        <f t="shared" si="51"/>
        <v>6</v>
      </c>
      <c r="D1619" t="s">
        <v>2782</v>
      </c>
      <c r="E1619" s="49">
        <v>1</v>
      </c>
      <c r="F1619" t="s">
        <v>2783</v>
      </c>
      <c r="G1619" t="s">
        <v>21</v>
      </c>
      <c r="H1619" t="s">
        <v>37</v>
      </c>
      <c r="I1619" s="13">
        <v>143000</v>
      </c>
      <c r="J1619" s="13">
        <v>133000</v>
      </c>
      <c r="K1619" s="13">
        <f>IF(J1619&lt;'Mapa Oficinas'!$I$21,0,IF(J1619&gt;'Mapa Oficinas'!$I$20,0,1))</f>
        <v>1</v>
      </c>
      <c r="L1619" t="s">
        <v>23</v>
      </c>
      <c r="M1619" t="s">
        <v>23</v>
      </c>
      <c r="N1619" t="s">
        <v>2784</v>
      </c>
      <c r="O1619" t="s">
        <v>2785</v>
      </c>
      <c r="P1619" t="s">
        <v>34</v>
      </c>
      <c r="Q1619">
        <v>2</v>
      </c>
      <c r="R1619" t="s">
        <v>135</v>
      </c>
      <c r="S1619" t="s">
        <v>28</v>
      </c>
      <c r="T1619" t="str">
        <f>VLOOKUP(S1619,'Mapa Oficinas'!$H$7:$I$16,2,FALSE)</f>
        <v>CB</v>
      </c>
      <c r="U1619" t="s">
        <v>29</v>
      </c>
      <c r="V1619" t="str">
        <f>VLOOKUP($R1619,'Mapa Oficinas'!$A$7:$C$46,2,FALSE)</f>
        <v>CABA</v>
      </c>
      <c r="W1619" t="str">
        <f>VLOOKUP($R1619,'Mapa Oficinas'!$A$7:$C$46,3,FALSE)</f>
        <v>Recoleta</v>
      </c>
    </row>
    <row r="1620" spans="1:23" x14ac:dyDescent="0.2">
      <c r="A1620" s="1">
        <v>45911</v>
      </c>
      <c r="B1620" s="20">
        <f t="shared" si="50"/>
        <v>2025</v>
      </c>
      <c r="C1620" s="20">
        <f t="shared" si="51"/>
        <v>9</v>
      </c>
      <c r="D1620" t="s">
        <v>4083</v>
      </c>
      <c r="E1620" s="49">
        <v>1</v>
      </c>
      <c r="F1620" t="s">
        <v>4084</v>
      </c>
      <c r="G1620" t="s">
        <v>21</v>
      </c>
      <c r="H1620" t="s">
        <v>37</v>
      </c>
      <c r="I1620" s="13">
        <v>145000</v>
      </c>
      <c r="J1620" s="13">
        <v>133000</v>
      </c>
      <c r="K1620" s="13">
        <f>IF(J1620&lt;'Mapa Oficinas'!$I$21,0,IF(J1620&gt;'Mapa Oficinas'!$I$20,0,1))</f>
        <v>1</v>
      </c>
      <c r="L1620" t="s">
        <v>23</v>
      </c>
      <c r="M1620" t="s">
        <v>23</v>
      </c>
      <c r="N1620" t="s">
        <v>4085</v>
      </c>
      <c r="O1620" t="s">
        <v>299</v>
      </c>
      <c r="P1620" t="s">
        <v>45</v>
      </c>
      <c r="Q1620">
        <v>2</v>
      </c>
      <c r="R1620" t="s">
        <v>56</v>
      </c>
      <c r="S1620" t="s">
        <v>28</v>
      </c>
      <c r="T1620" t="str">
        <f>VLOOKUP(S1620,'Mapa Oficinas'!$H$7:$I$16,2,FALSE)</f>
        <v>CB</v>
      </c>
      <c r="U1620" t="s">
        <v>29</v>
      </c>
      <c r="V1620" t="str">
        <f>VLOOKUP($R1620,'Mapa Oficinas'!$A$7:$C$46,2,FALSE)</f>
        <v>Zona Norte (GBA)</v>
      </c>
      <c r="W1620" t="str">
        <f>VLOOKUP($R1620,'Mapa Oficinas'!$A$7:$C$46,3,FALSE)</f>
        <v>Vicente López</v>
      </c>
    </row>
    <row r="1621" spans="1:23" x14ac:dyDescent="0.2">
      <c r="A1621" s="1">
        <v>45979</v>
      </c>
      <c r="B1621" s="20">
        <f t="shared" si="50"/>
        <v>2025</v>
      </c>
      <c r="C1621" s="20">
        <f t="shared" si="51"/>
        <v>11</v>
      </c>
      <c r="D1621" t="s">
        <v>5288</v>
      </c>
      <c r="E1621" s="49">
        <v>1</v>
      </c>
      <c r="F1621" t="s">
        <v>5289</v>
      </c>
      <c r="G1621" t="s">
        <v>21</v>
      </c>
      <c r="H1621" t="s">
        <v>37</v>
      </c>
      <c r="I1621" s="13">
        <v>145000</v>
      </c>
      <c r="J1621" s="13">
        <v>133000</v>
      </c>
      <c r="K1621" s="13">
        <f>IF(J1621&lt;'Mapa Oficinas'!$I$21,0,IF(J1621&gt;'Mapa Oficinas'!$I$20,0,1))</f>
        <v>1</v>
      </c>
      <c r="L1621" t="s">
        <v>23</v>
      </c>
      <c r="M1621" t="s">
        <v>23</v>
      </c>
      <c r="N1621" t="s">
        <v>5290</v>
      </c>
      <c r="O1621" t="s">
        <v>456</v>
      </c>
      <c r="P1621" t="s">
        <v>45</v>
      </c>
      <c r="Q1621">
        <v>2</v>
      </c>
      <c r="R1621" t="s">
        <v>67</v>
      </c>
      <c r="S1621" t="s">
        <v>28</v>
      </c>
      <c r="T1621" t="str">
        <f>VLOOKUP(S1621,'Mapa Oficinas'!$H$7:$I$16,2,FALSE)</f>
        <v>CB</v>
      </c>
      <c r="U1621" t="s">
        <v>29</v>
      </c>
      <c r="V1621" t="str">
        <f>VLOOKUP($R1621,'Mapa Oficinas'!$A$7:$C$46,2,FALSE)</f>
        <v>CABA</v>
      </c>
      <c r="W1621" t="str">
        <f>VLOOKUP($R1621,'Mapa Oficinas'!$A$7:$C$46,3,FALSE)</f>
        <v>Barrio Parque</v>
      </c>
    </row>
    <row r="1622" spans="1:23" x14ac:dyDescent="0.2">
      <c r="A1622" s="1">
        <v>46018</v>
      </c>
      <c r="B1622" s="20">
        <f t="shared" si="50"/>
        <v>2025</v>
      </c>
      <c r="C1622" s="20">
        <f t="shared" si="51"/>
        <v>12</v>
      </c>
      <c r="D1622" t="s">
        <v>6041</v>
      </c>
      <c r="E1622" s="49">
        <v>1</v>
      </c>
      <c r="F1622" t="s">
        <v>6042</v>
      </c>
      <c r="G1622" t="s">
        <v>21</v>
      </c>
      <c r="H1622" t="s">
        <v>37</v>
      </c>
      <c r="I1622" s="13">
        <v>145000</v>
      </c>
      <c r="J1622" s="13">
        <v>133000</v>
      </c>
      <c r="K1622" s="13">
        <f>IF(J1622&lt;'Mapa Oficinas'!$I$21,0,IF(J1622&gt;'Mapa Oficinas'!$I$20,0,1))</f>
        <v>1</v>
      </c>
      <c r="L1622" t="s">
        <v>23</v>
      </c>
      <c r="M1622" t="s">
        <v>23</v>
      </c>
      <c r="N1622" t="s">
        <v>6043</v>
      </c>
      <c r="O1622" t="s">
        <v>60</v>
      </c>
      <c r="P1622" t="s">
        <v>61</v>
      </c>
      <c r="Q1622">
        <v>2</v>
      </c>
      <c r="R1622" t="s">
        <v>1024</v>
      </c>
      <c r="S1622" t="s">
        <v>28</v>
      </c>
      <c r="T1622" t="str">
        <f>VLOOKUP(S1622,'Mapa Oficinas'!$H$7:$I$16,2,FALSE)</f>
        <v>CB</v>
      </c>
      <c r="U1622" t="s">
        <v>29</v>
      </c>
      <c r="V1622" t="str">
        <f>VLOOKUP($R1622,'Mapa Oficinas'!$A$7:$C$46,2,FALSE)</f>
        <v>CABA</v>
      </c>
      <c r="W1622" t="str">
        <f>VLOOKUP($R1622,'Mapa Oficinas'!$A$7:$C$46,3,FALSE)</f>
        <v>Puerto Madero</v>
      </c>
    </row>
    <row r="1623" spans="1:23" x14ac:dyDescent="0.2">
      <c r="A1623" s="1">
        <v>46003</v>
      </c>
      <c r="B1623" s="20">
        <f t="shared" si="50"/>
        <v>2025</v>
      </c>
      <c r="C1623" s="20">
        <f t="shared" si="51"/>
        <v>12</v>
      </c>
      <c r="E1623" s="49">
        <v>1</v>
      </c>
      <c r="F1623" t="s">
        <v>5752</v>
      </c>
      <c r="G1623" t="s">
        <v>21</v>
      </c>
      <c r="H1623" t="s">
        <v>70</v>
      </c>
      <c r="I1623" s="13">
        <v>134000</v>
      </c>
      <c r="J1623" s="13">
        <v>134000</v>
      </c>
      <c r="K1623" s="13">
        <f>IF(J1623&lt;'Mapa Oficinas'!$I$21,0,IF(J1623&gt;'Mapa Oficinas'!$I$20,0,1))</f>
        <v>1</v>
      </c>
      <c r="L1623" t="s">
        <v>23</v>
      </c>
      <c r="M1623" t="s">
        <v>23</v>
      </c>
      <c r="N1623" t="s">
        <v>5753</v>
      </c>
      <c r="O1623" t="s">
        <v>282</v>
      </c>
      <c r="P1623" t="s">
        <v>45</v>
      </c>
      <c r="Q1623">
        <v>1</v>
      </c>
      <c r="R1623" t="s">
        <v>73</v>
      </c>
      <c r="S1623" t="s">
        <v>122</v>
      </c>
      <c r="T1623" t="str">
        <f>VLOOKUP(S1623,'Mapa Oficinas'!$H$7:$I$16,2,FALSE)</f>
        <v>Otra Red Búsqueda</v>
      </c>
      <c r="U1623" t="s">
        <v>29</v>
      </c>
      <c r="V1623" t="str">
        <f>VLOOKUP($R1623,'Mapa Oficinas'!$A$7:$C$46,2,FALSE)</f>
        <v>Interior - Salta</v>
      </c>
      <c r="W1623" t="str">
        <f>VLOOKUP($R1623,'Mapa Oficinas'!$A$7:$C$46,3,FALSE)</f>
        <v>San Lorenzo Chico</v>
      </c>
    </row>
    <row r="1624" spans="1:23" x14ac:dyDescent="0.2">
      <c r="A1624" s="1">
        <v>45867</v>
      </c>
      <c r="B1624" s="20">
        <f t="shared" si="50"/>
        <v>2025</v>
      </c>
      <c r="C1624" s="20">
        <f t="shared" si="51"/>
        <v>7</v>
      </c>
      <c r="D1624" t="s">
        <v>3278</v>
      </c>
      <c r="E1624" s="49">
        <v>1</v>
      </c>
      <c r="F1624" t="s">
        <v>3279</v>
      </c>
      <c r="G1624" t="s">
        <v>21</v>
      </c>
      <c r="H1624" t="s">
        <v>22</v>
      </c>
      <c r="I1624" s="13">
        <v>139000</v>
      </c>
      <c r="J1624" s="13">
        <v>134000</v>
      </c>
      <c r="K1624" s="13">
        <f>IF(J1624&lt;'Mapa Oficinas'!$I$21,0,IF(J1624&gt;'Mapa Oficinas'!$I$20,0,1))</f>
        <v>1</v>
      </c>
      <c r="L1624" t="s">
        <v>23</v>
      </c>
      <c r="M1624" t="s">
        <v>23</v>
      </c>
      <c r="N1624" t="s">
        <v>3280</v>
      </c>
      <c r="O1624" t="s">
        <v>3281</v>
      </c>
      <c r="P1624" t="s">
        <v>34</v>
      </c>
      <c r="Q1624">
        <v>2</v>
      </c>
      <c r="R1624" t="s">
        <v>62</v>
      </c>
      <c r="S1624" t="s">
        <v>79</v>
      </c>
      <c r="T1624" t="str">
        <f>VLOOKUP(S1624,'Mapa Oficinas'!$H$7:$I$16,2,FALSE)</f>
        <v>CB</v>
      </c>
      <c r="U1624" t="s">
        <v>29</v>
      </c>
      <c r="V1624" t="str">
        <f>VLOOKUP($R1624,'Mapa Oficinas'!$A$7:$C$46,2,FALSE)</f>
        <v>CABA</v>
      </c>
      <c r="W1624" t="str">
        <f>VLOOKUP($R1624,'Mapa Oficinas'!$A$7:$C$46,3,FALSE)</f>
        <v>Villa Urquiza</v>
      </c>
    </row>
    <row r="1625" spans="1:23" x14ac:dyDescent="0.2">
      <c r="A1625" s="1">
        <v>45672</v>
      </c>
      <c r="B1625" s="20">
        <f t="shared" si="50"/>
        <v>2025</v>
      </c>
      <c r="C1625" s="20">
        <f t="shared" si="51"/>
        <v>1</v>
      </c>
      <c r="D1625">
        <v>10271</v>
      </c>
      <c r="E1625" s="49">
        <v>1</v>
      </c>
      <c r="F1625" t="s">
        <v>237</v>
      </c>
      <c r="G1625" t="s">
        <v>21</v>
      </c>
      <c r="H1625" t="s">
        <v>37</v>
      </c>
      <c r="I1625" s="13">
        <v>0</v>
      </c>
      <c r="J1625" s="13">
        <v>134000</v>
      </c>
      <c r="K1625" s="13">
        <f>IF(J1625&lt;'Mapa Oficinas'!$I$21,0,IF(J1625&gt;'Mapa Oficinas'!$I$20,0,1))</f>
        <v>1</v>
      </c>
      <c r="L1625" t="s">
        <v>23</v>
      </c>
      <c r="M1625" t="s">
        <v>23</v>
      </c>
      <c r="O1625" t="s">
        <v>238</v>
      </c>
      <c r="P1625" t="s">
        <v>45</v>
      </c>
      <c r="Q1625">
        <v>1</v>
      </c>
      <c r="R1625" t="s">
        <v>67</v>
      </c>
      <c r="S1625" t="s">
        <v>47</v>
      </c>
      <c r="T1625" t="str">
        <f>VLOOKUP(S1625,'Mapa Oficinas'!$H$7:$I$16,2,FALSE)</f>
        <v>Otra Red Búsqueda</v>
      </c>
      <c r="U1625" t="s">
        <v>29</v>
      </c>
      <c r="V1625" t="str">
        <f>VLOOKUP($R1625,'Mapa Oficinas'!$A$7:$C$46,2,FALSE)</f>
        <v>CABA</v>
      </c>
      <c r="W1625" t="str">
        <f>VLOOKUP($R1625,'Mapa Oficinas'!$A$7:$C$46,3,FALSE)</f>
        <v>Barrio Parque</v>
      </c>
    </row>
    <row r="1626" spans="1:23" x14ac:dyDescent="0.2">
      <c r="A1626" s="1">
        <v>45899</v>
      </c>
      <c r="B1626" s="20">
        <f t="shared" si="50"/>
        <v>2025</v>
      </c>
      <c r="C1626" s="20">
        <f t="shared" si="51"/>
        <v>8</v>
      </c>
      <c r="D1626">
        <v>29</v>
      </c>
      <c r="E1626" s="49">
        <v>1</v>
      </c>
      <c r="F1626" t="s">
        <v>3929</v>
      </c>
      <c r="G1626" t="s">
        <v>21</v>
      </c>
      <c r="H1626" t="s">
        <v>37</v>
      </c>
      <c r="I1626" s="13">
        <v>134000</v>
      </c>
      <c r="J1626" s="13">
        <v>134000</v>
      </c>
      <c r="K1626" s="13">
        <f>IF(J1626&lt;'Mapa Oficinas'!$I$21,0,IF(J1626&gt;'Mapa Oficinas'!$I$20,0,1))</f>
        <v>1</v>
      </c>
      <c r="L1626" t="s">
        <v>23</v>
      </c>
      <c r="M1626" t="s">
        <v>23</v>
      </c>
      <c r="N1626" t="s">
        <v>3930</v>
      </c>
      <c r="O1626" t="s">
        <v>976</v>
      </c>
      <c r="P1626" t="s">
        <v>45</v>
      </c>
      <c r="Q1626">
        <v>1</v>
      </c>
      <c r="R1626" t="s">
        <v>1024</v>
      </c>
      <c r="S1626" t="s">
        <v>47</v>
      </c>
      <c r="T1626" t="str">
        <f>VLOOKUP(S1626,'Mapa Oficinas'!$H$7:$I$16,2,FALSE)</f>
        <v>Otra Red Búsqueda</v>
      </c>
      <c r="U1626" t="s">
        <v>29</v>
      </c>
      <c r="V1626" t="str">
        <f>VLOOKUP($R1626,'Mapa Oficinas'!$A$7:$C$46,2,FALSE)</f>
        <v>CABA</v>
      </c>
      <c r="W1626" t="str">
        <f>VLOOKUP($R1626,'Mapa Oficinas'!$A$7:$C$46,3,FALSE)</f>
        <v>Puerto Madero</v>
      </c>
    </row>
    <row r="1627" spans="1:23" x14ac:dyDescent="0.2">
      <c r="A1627" s="1">
        <v>46027</v>
      </c>
      <c r="B1627" s="20">
        <f t="shared" si="50"/>
        <v>2026</v>
      </c>
      <c r="C1627" s="20">
        <f t="shared" si="51"/>
        <v>1</v>
      </c>
      <c r="D1627" t="s">
        <v>6087</v>
      </c>
      <c r="E1627" s="49">
        <v>1</v>
      </c>
      <c r="F1627" t="s">
        <v>6088</v>
      </c>
      <c r="G1627" t="s">
        <v>21</v>
      </c>
      <c r="H1627" t="s">
        <v>37</v>
      </c>
      <c r="I1627" s="13">
        <v>134000</v>
      </c>
      <c r="J1627" s="13">
        <v>134000</v>
      </c>
      <c r="K1627" s="13">
        <f>IF(J1627&lt;'Mapa Oficinas'!$I$21,0,IF(J1627&gt;'Mapa Oficinas'!$I$20,0,1))</f>
        <v>1</v>
      </c>
      <c r="L1627" t="s">
        <v>23</v>
      </c>
      <c r="M1627" t="s">
        <v>23</v>
      </c>
      <c r="N1627" t="s">
        <v>6089</v>
      </c>
      <c r="O1627" t="s">
        <v>190</v>
      </c>
      <c r="P1627" t="s">
        <v>26</v>
      </c>
      <c r="Q1627">
        <v>1</v>
      </c>
      <c r="R1627" t="s">
        <v>670</v>
      </c>
      <c r="S1627" t="s">
        <v>47</v>
      </c>
      <c r="T1627" t="str">
        <f>VLOOKUP(S1627,'Mapa Oficinas'!$H$7:$I$16,2,FALSE)</f>
        <v>Otra Red Búsqueda</v>
      </c>
      <c r="U1627" t="s">
        <v>29</v>
      </c>
      <c r="V1627" t="str">
        <f>VLOOKUP($R1627,'Mapa Oficinas'!$A$7:$C$46,2,FALSE)</f>
        <v>CABA</v>
      </c>
      <c r="W1627" t="str">
        <f>VLOOKUP($R1627,'Mapa Oficinas'!$A$7:$C$46,3,FALSE)</f>
        <v>Recoleta</v>
      </c>
    </row>
    <row r="1628" spans="1:23" x14ac:dyDescent="0.2">
      <c r="A1628" s="1">
        <v>46043</v>
      </c>
      <c r="B1628" s="20">
        <f t="shared" si="50"/>
        <v>2026</v>
      </c>
      <c r="C1628" s="20">
        <f t="shared" si="51"/>
        <v>1</v>
      </c>
      <c r="D1628" t="s">
        <v>6343</v>
      </c>
      <c r="E1628" s="49">
        <v>1</v>
      </c>
      <c r="F1628" t="s">
        <v>6344</v>
      </c>
      <c r="G1628" t="s">
        <v>21</v>
      </c>
      <c r="H1628" t="s">
        <v>37</v>
      </c>
      <c r="I1628" s="13">
        <v>146000</v>
      </c>
      <c r="J1628" s="13">
        <v>134000</v>
      </c>
      <c r="K1628" s="13">
        <f>IF(J1628&lt;'Mapa Oficinas'!$I$21,0,IF(J1628&gt;'Mapa Oficinas'!$I$20,0,1))</f>
        <v>1</v>
      </c>
      <c r="L1628" t="s">
        <v>23</v>
      </c>
      <c r="M1628" t="s">
        <v>23</v>
      </c>
      <c r="N1628" t="s">
        <v>6345</v>
      </c>
      <c r="O1628" t="s">
        <v>6346</v>
      </c>
      <c r="P1628" t="s">
        <v>45</v>
      </c>
      <c r="Q1628">
        <v>2</v>
      </c>
      <c r="R1628" t="s">
        <v>27</v>
      </c>
      <c r="S1628" t="s">
        <v>28</v>
      </c>
      <c r="T1628" t="str">
        <f>VLOOKUP(S1628,'Mapa Oficinas'!$H$7:$I$16,2,FALSE)</f>
        <v>CB</v>
      </c>
      <c r="U1628" t="s">
        <v>29</v>
      </c>
      <c r="V1628" t="str">
        <f>VLOOKUP($R1628,'Mapa Oficinas'!$A$7:$C$46,2,FALSE)</f>
        <v>Zona Norte (GBA)</v>
      </c>
      <c r="W1628" t="str">
        <f>VLOOKUP($R1628,'Mapa Oficinas'!$A$7:$C$46,3,FALSE)</f>
        <v>Tigre</v>
      </c>
    </row>
    <row r="1629" spans="1:23" x14ac:dyDescent="0.2">
      <c r="A1629" s="1">
        <v>46108</v>
      </c>
      <c r="B1629" s="20">
        <f t="shared" si="50"/>
        <v>2026</v>
      </c>
      <c r="C1629" s="20">
        <f t="shared" si="51"/>
        <v>3</v>
      </c>
      <c r="D1629" t="s">
        <v>7483</v>
      </c>
      <c r="E1629" s="49">
        <v>1</v>
      </c>
      <c r="F1629" t="s">
        <v>7484</v>
      </c>
      <c r="G1629" t="s">
        <v>21</v>
      </c>
      <c r="H1629" t="s">
        <v>37</v>
      </c>
      <c r="I1629" s="13">
        <v>137000</v>
      </c>
      <c r="J1629" s="13">
        <v>134000</v>
      </c>
      <c r="K1629" s="13">
        <f>IF(J1629&lt;'Mapa Oficinas'!$I$21,0,IF(J1629&gt;'Mapa Oficinas'!$I$20,0,1))</f>
        <v>1</v>
      </c>
      <c r="L1629" t="s">
        <v>23</v>
      </c>
      <c r="M1629" t="s">
        <v>23</v>
      </c>
      <c r="N1629" t="s">
        <v>7485</v>
      </c>
      <c r="O1629" t="s">
        <v>162</v>
      </c>
      <c r="P1629" t="s">
        <v>45</v>
      </c>
      <c r="Q1629">
        <v>2</v>
      </c>
      <c r="R1629" t="s">
        <v>670</v>
      </c>
      <c r="S1629" t="s">
        <v>28</v>
      </c>
      <c r="T1629" t="str">
        <f>VLOOKUP(S1629,'Mapa Oficinas'!$H$7:$I$16,2,FALSE)</f>
        <v>CB</v>
      </c>
      <c r="U1629" t="s">
        <v>29</v>
      </c>
      <c r="V1629" t="str">
        <f>VLOOKUP($R1629,'Mapa Oficinas'!$A$7:$C$46,2,FALSE)</f>
        <v>CABA</v>
      </c>
      <c r="W1629" t="str">
        <f>VLOOKUP($R1629,'Mapa Oficinas'!$A$7:$C$46,3,FALSE)</f>
        <v>Recoleta</v>
      </c>
    </row>
    <row r="1630" spans="1:23" x14ac:dyDescent="0.2">
      <c r="A1630" s="1">
        <v>45797</v>
      </c>
      <c r="B1630" s="20">
        <f t="shared" si="50"/>
        <v>2025</v>
      </c>
      <c r="C1630" s="20">
        <f t="shared" si="51"/>
        <v>5</v>
      </c>
      <c r="D1630" t="s">
        <v>2043</v>
      </c>
      <c r="E1630" s="49">
        <v>1</v>
      </c>
      <c r="F1630" t="s">
        <v>2044</v>
      </c>
      <c r="G1630" t="s">
        <v>21</v>
      </c>
      <c r="H1630" t="s">
        <v>37</v>
      </c>
      <c r="I1630" s="13">
        <v>127956</v>
      </c>
      <c r="J1630" s="13">
        <v>134540</v>
      </c>
      <c r="K1630" s="13">
        <f>IF(J1630&lt;'Mapa Oficinas'!$I$21,0,IF(J1630&gt;'Mapa Oficinas'!$I$20,0,1))</f>
        <v>1</v>
      </c>
      <c r="L1630" t="s">
        <v>23</v>
      </c>
      <c r="M1630" t="s">
        <v>23</v>
      </c>
      <c r="N1630" t="s">
        <v>2045</v>
      </c>
      <c r="O1630" t="s">
        <v>2046</v>
      </c>
      <c r="P1630" t="s">
        <v>26</v>
      </c>
      <c r="Q1630">
        <v>2</v>
      </c>
      <c r="R1630" t="s">
        <v>110</v>
      </c>
      <c r="S1630" t="s">
        <v>28</v>
      </c>
      <c r="T1630" t="str">
        <f>VLOOKUP(S1630,'Mapa Oficinas'!$H$7:$I$16,2,FALSE)</f>
        <v>CB</v>
      </c>
      <c r="U1630" t="s">
        <v>29</v>
      </c>
      <c r="V1630" t="str">
        <f>VLOOKUP($R1630,'Mapa Oficinas'!$A$7:$C$46,2,FALSE)</f>
        <v>Zona Norte (GBA)</v>
      </c>
      <c r="W1630" t="str">
        <f>VLOOKUP($R1630,'Mapa Oficinas'!$A$7:$C$46,3,FALSE)</f>
        <v>Nordelta</v>
      </c>
    </row>
    <row r="1631" spans="1:23" x14ac:dyDescent="0.2">
      <c r="A1631" s="1">
        <v>46021</v>
      </c>
      <c r="B1631" s="20">
        <f t="shared" si="50"/>
        <v>2025</v>
      </c>
      <c r="C1631" s="20">
        <f t="shared" si="51"/>
        <v>12</v>
      </c>
      <c r="D1631">
        <v>30122025</v>
      </c>
      <c r="E1631" s="49">
        <v>1</v>
      </c>
      <c r="F1631" t="s">
        <v>6076</v>
      </c>
      <c r="G1631" t="s">
        <v>21</v>
      </c>
      <c r="H1631" t="s">
        <v>100</v>
      </c>
      <c r="I1631" s="13">
        <v>135000</v>
      </c>
      <c r="J1631" s="13">
        <v>135000</v>
      </c>
      <c r="K1631" s="13">
        <f>IF(J1631&lt;'Mapa Oficinas'!$I$21,0,IF(J1631&gt;'Mapa Oficinas'!$I$20,0,1))</f>
        <v>1</v>
      </c>
      <c r="L1631" t="s">
        <v>23</v>
      </c>
      <c r="M1631" t="s">
        <v>23</v>
      </c>
      <c r="O1631" t="s">
        <v>403</v>
      </c>
      <c r="P1631" t="s">
        <v>26</v>
      </c>
      <c r="Q1631">
        <v>1</v>
      </c>
      <c r="R1631" t="s">
        <v>121</v>
      </c>
      <c r="S1631" t="s">
        <v>122</v>
      </c>
      <c r="T1631" t="str">
        <f>VLOOKUP(S1631,'Mapa Oficinas'!$H$7:$I$16,2,FALSE)</f>
        <v>Otra Red Búsqueda</v>
      </c>
      <c r="U1631" t="s">
        <v>29</v>
      </c>
      <c r="V1631" t="str">
        <f>VLOOKUP($R1631,'Mapa Oficinas'!$A$7:$C$46,2,FALSE)</f>
        <v>Interior - Río Negro</v>
      </c>
      <c r="W1631" t="str">
        <f>VLOOKUP($R1631,'Mapa Oficinas'!$A$7:$C$46,3,FALSE)</f>
        <v>Bariloche</v>
      </c>
    </row>
    <row r="1632" spans="1:23" x14ac:dyDescent="0.2">
      <c r="A1632" s="1">
        <v>46003</v>
      </c>
      <c r="B1632" s="20">
        <f t="shared" si="50"/>
        <v>2025</v>
      </c>
      <c r="C1632" s="20">
        <f t="shared" si="51"/>
        <v>12</v>
      </c>
      <c r="D1632" t="s">
        <v>5754</v>
      </c>
      <c r="E1632" s="49">
        <v>1</v>
      </c>
      <c r="F1632" t="s">
        <v>5755</v>
      </c>
      <c r="G1632" t="s">
        <v>21</v>
      </c>
      <c r="H1632" t="s">
        <v>37</v>
      </c>
      <c r="I1632" s="13">
        <v>150000</v>
      </c>
      <c r="J1632" s="13">
        <v>135000</v>
      </c>
      <c r="K1632" s="13">
        <f>IF(J1632&lt;'Mapa Oficinas'!$I$21,0,IF(J1632&gt;'Mapa Oficinas'!$I$20,0,1))</f>
        <v>1</v>
      </c>
      <c r="L1632" t="s">
        <v>23</v>
      </c>
      <c r="M1632" t="s">
        <v>23</v>
      </c>
      <c r="N1632" t="s">
        <v>5756</v>
      </c>
      <c r="O1632" t="s">
        <v>2322</v>
      </c>
      <c r="P1632" t="s">
        <v>14</v>
      </c>
      <c r="Q1632">
        <v>1</v>
      </c>
      <c r="R1632" t="s">
        <v>151</v>
      </c>
      <c r="S1632" t="s">
        <v>152</v>
      </c>
      <c r="T1632" t="str">
        <f>VLOOKUP(S1632,'Mapa Oficinas'!$H$7:$I$16,2,FALSE)</f>
        <v>Otra Red Captación</v>
      </c>
      <c r="U1632" t="s">
        <v>29</v>
      </c>
      <c r="V1632" t="str">
        <f>VLOOKUP($R1632,'Mapa Oficinas'!$A$7:$C$46,2,FALSE)</f>
        <v>Interior - Mendoza</v>
      </c>
      <c r="W1632" t="str">
        <f>VLOOKUP($R1632,'Mapa Oficinas'!$A$7:$C$46,3,FALSE)</f>
        <v>Capital Mendoza</v>
      </c>
    </row>
    <row r="1633" spans="1:23" x14ac:dyDescent="0.2">
      <c r="A1633" s="1">
        <v>45768</v>
      </c>
      <c r="B1633" s="20">
        <f t="shared" si="50"/>
        <v>2025</v>
      </c>
      <c r="C1633" s="20">
        <f t="shared" si="51"/>
        <v>4</v>
      </c>
      <c r="D1633" t="s">
        <v>1495</v>
      </c>
      <c r="E1633" s="49">
        <v>0</v>
      </c>
      <c r="F1633" t="s">
        <v>1496</v>
      </c>
      <c r="G1633" t="s">
        <v>21</v>
      </c>
      <c r="H1633" t="s">
        <v>37</v>
      </c>
      <c r="I1633" s="13">
        <v>140000</v>
      </c>
      <c r="J1633" s="13">
        <v>135000</v>
      </c>
      <c r="K1633" s="13">
        <f>IF(J1633&lt;'Mapa Oficinas'!$I$21,0,IF(J1633&gt;'Mapa Oficinas'!$I$20,0,1))</f>
        <v>1</v>
      </c>
      <c r="L1633" t="s">
        <v>23</v>
      </c>
      <c r="M1633" t="s">
        <v>23</v>
      </c>
      <c r="N1633" t="s">
        <v>1497</v>
      </c>
      <c r="O1633" t="s">
        <v>1498</v>
      </c>
      <c r="P1633" t="s">
        <v>45</v>
      </c>
      <c r="Q1633">
        <v>2</v>
      </c>
      <c r="R1633" t="s">
        <v>110</v>
      </c>
      <c r="S1633" t="s">
        <v>79</v>
      </c>
      <c r="T1633" t="str">
        <f>VLOOKUP(S1633,'Mapa Oficinas'!$H$7:$I$16,2,FALSE)</f>
        <v>CB</v>
      </c>
      <c r="U1633" t="s">
        <v>29</v>
      </c>
      <c r="V1633" t="str">
        <f>VLOOKUP($R1633,'Mapa Oficinas'!$A$7:$C$46,2,FALSE)</f>
        <v>Zona Norte (GBA)</v>
      </c>
      <c r="W1633" t="str">
        <f>VLOOKUP($R1633,'Mapa Oficinas'!$A$7:$C$46,3,FALSE)</f>
        <v>Nordelta</v>
      </c>
    </row>
    <row r="1634" spans="1:23" x14ac:dyDescent="0.2">
      <c r="A1634" s="1">
        <v>45896</v>
      </c>
      <c r="B1634" s="20">
        <f t="shared" si="50"/>
        <v>2025</v>
      </c>
      <c r="C1634" s="20">
        <f t="shared" si="51"/>
        <v>8</v>
      </c>
      <c r="D1634" t="s">
        <v>3805</v>
      </c>
      <c r="E1634" s="49">
        <v>1</v>
      </c>
      <c r="F1634" t="s">
        <v>3806</v>
      </c>
      <c r="G1634" t="s">
        <v>21</v>
      </c>
      <c r="H1634" t="s">
        <v>119</v>
      </c>
      <c r="I1634" s="13">
        <v>135680</v>
      </c>
      <c r="J1634" s="13">
        <v>135000</v>
      </c>
      <c r="K1634" s="13">
        <f>IF(J1634&lt;'Mapa Oficinas'!$I$21,0,IF(J1634&gt;'Mapa Oficinas'!$I$20,0,1))</f>
        <v>1</v>
      </c>
      <c r="L1634" t="s">
        <v>23</v>
      </c>
      <c r="M1634" t="s">
        <v>23</v>
      </c>
      <c r="N1634" t="s">
        <v>3807</v>
      </c>
      <c r="O1634" t="s">
        <v>1020</v>
      </c>
      <c r="P1634" t="s">
        <v>45</v>
      </c>
      <c r="Q1634">
        <v>2</v>
      </c>
      <c r="R1634" t="s">
        <v>84</v>
      </c>
      <c r="S1634" t="s">
        <v>79</v>
      </c>
      <c r="T1634" t="str">
        <f>VLOOKUP(S1634,'Mapa Oficinas'!$H$7:$I$16,2,FALSE)</f>
        <v>CB</v>
      </c>
      <c r="U1634" t="s">
        <v>29</v>
      </c>
      <c r="V1634" t="str">
        <f>VLOOKUP($R1634,'Mapa Oficinas'!$A$7:$C$46,2,FALSE)</f>
        <v>Interior - Neuquén</v>
      </c>
      <c r="W1634" t="str">
        <f>VLOOKUP($R1634,'Mapa Oficinas'!$A$7:$C$46,3,FALSE)</f>
        <v>Villa La Angostura</v>
      </c>
    </row>
    <row r="1635" spans="1:23" x14ac:dyDescent="0.2">
      <c r="A1635" s="1">
        <v>45938</v>
      </c>
      <c r="B1635" s="20">
        <f t="shared" si="50"/>
        <v>2025</v>
      </c>
      <c r="C1635" s="20">
        <f t="shared" si="51"/>
        <v>10</v>
      </c>
      <c r="D1635" t="s">
        <v>4586</v>
      </c>
      <c r="E1635" s="49">
        <v>1</v>
      </c>
      <c r="F1635" t="s">
        <v>4586</v>
      </c>
      <c r="G1635" t="s">
        <v>21</v>
      </c>
      <c r="H1635" t="s">
        <v>22</v>
      </c>
      <c r="I1635" s="13">
        <v>180000</v>
      </c>
      <c r="J1635" s="13">
        <v>135000</v>
      </c>
      <c r="K1635" s="13">
        <f>IF(J1635&lt;'Mapa Oficinas'!$I$21,0,IF(J1635&gt;'Mapa Oficinas'!$I$20,0,1))</f>
        <v>1</v>
      </c>
      <c r="L1635" t="s">
        <v>23</v>
      </c>
      <c r="M1635" t="s">
        <v>23</v>
      </c>
      <c r="O1635" t="s">
        <v>116</v>
      </c>
      <c r="P1635" t="s">
        <v>61</v>
      </c>
      <c r="Q1635">
        <v>2</v>
      </c>
      <c r="R1635" t="s">
        <v>62</v>
      </c>
      <c r="S1635" t="s">
        <v>79</v>
      </c>
      <c r="T1635" t="str">
        <f>VLOOKUP(S1635,'Mapa Oficinas'!$H$7:$I$16,2,FALSE)</f>
        <v>CB</v>
      </c>
      <c r="U1635" t="s">
        <v>29</v>
      </c>
      <c r="V1635" t="str">
        <f>VLOOKUP($R1635,'Mapa Oficinas'!$A$7:$C$46,2,FALSE)</f>
        <v>CABA</v>
      </c>
      <c r="W1635" t="str">
        <f>VLOOKUP($R1635,'Mapa Oficinas'!$A$7:$C$46,3,FALSE)</f>
        <v>Villa Urquiza</v>
      </c>
    </row>
    <row r="1636" spans="1:23" x14ac:dyDescent="0.2">
      <c r="A1636" s="1">
        <v>45980</v>
      </c>
      <c r="B1636" s="20">
        <f t="shared" si="50"/>
        <v>2025</v>
      </c>
      <c r="C1636" s="20">
        <f t="shared" si="51"/>
        <v>11</v>
      </c>
      <c r="D1636" t="s">
        <v>5317</v>
      </c>
      <c r="E1636" s="49">
        <v>1</v>
      </c>
      <c r="F1636" t="s">
        <v>5318</v>
      </c>
      <c r="G1636" t="s">
        <v>21</v>
      </c>
      <c r="H1636" t="s">
        <v>37</v>
      </c>
      <c r="I1636" s="13">
        <v>135000</v>
      </c>
      <c r="J1636" s="13">
        <v>135000</v>
      </c>
      <c r="K1636" s="13">
        <f>IF(J1636&lt;'Mapa Oficinas'!$I$21,0,IF(J1636&gt;'Mapa Oficinas'!$I$20,0,1))</f>
        <v>1</v>
      </c>
      <c r="L1636" t="s">
        <v>23</v>
      </c>
      <c r="M1636" t="s">
        <v>23</v>
      </c>
      <c r="N1636" t="s">
        <v>5319</v>
      </c>
      <c r="O1636" t="s">
        <v>408</v>
      </c>
      <c r="P1636" t="s">
        <v>45</v>
      </c>
      <c r="Q1636">
        <v>1</v>
      </c>
      <c r="R1636" t="s">
        <v>1605</v>
      </c>
      <c r="S1636" t="s">
        <v>47</v>
      </c>
      <c r="T1636" t="str">
        <f>VLOOKUP(S1636,'Mapa Oficinas'!$H$7:$I$16,2,FALSE)</f>
        <v>Otra Red Búsqueda</v>
      </c>
      <c r="U1636" t="s">
        <v>29</v>
      </c>
      <c r="V1636" t="str">
        <f>VLOOKUP($R1636,'Mapa Oficinas'!$A$7:$C$46,2,FALSE)</f>
        <v>CABA</v>
      </c>
      <c r="W1636" t="str">
        <f>VLOOKUP($R1636,'Mapa Oficinas'!$A$7:$C$46,3,FALSE)</f>
        <v>Núñez</v>
      </c>
    </row>
    <row r="1637" spans="1:23" x14ac:dyDescent="0.2">
      <c r="A1637" s="1">
        <v>46050</v>
      </c>
      <c r="B1637" s="20">
        <f t="shared" si="50"/>
        <v>2026</v>
      </c>
      <c r="C1637" s="20">
        <f t="shared" si="51"/>
        <v>1</v>
      </c>
      <c r="D1637">
        <v>10544</v>
      </c>
      <c r="E1637" s="49">
        <v>1</v>
      </c>
      <c r="F1637" t="s">
        <v>6446</v>
      </c>
      <c r="G1637" t="s">
        <v>21</v>
      </c>
      <c r="H1637" t="s">
        <v>37</v>
      </c>
      <c r="I1637" s="13">
        <v>135000</v>
      </c>
      <c r="J1637" s="13">
        <v>135000</v>
      </c>
      <c r="K1637" s="13">
        <f>IF(J1637&lt;'Mapa Oficinas'!$I$21,0,IF(J1637&gt;'Mapa Oficinas'!$I$20,0,1))</f>
        <v>1</v>
      </c>
      <c r="L1637" t="s">
        <v>23</v>
      </c>
      <c r="M1637" t="s">
        <v>23</v>
      </c>
      <c r="N1637" t="s">
        <v>6446</v>
      </c>
      <c r="O1637" t="s">
        <v>190</v>
      </c>
      <c r="P1637" t="s">
        <v>26</v>
      </c>
      <c r="Q1637">
        <v>1</v>
      </c>
      <c r="R1637" t="s">
        <v>67</v>
      </c>
      <c r="S1637" t="s">
        <v>47</v>
      </c>
      <c r="T1637" t="str">
        <f>VLOOKUP(S1637,'Mapa Oficinas'!$H$7:$I$16,2,FALSE)</f>
        <v>Otra Red Búsqueda</v>
      </c>
      <c r="U1637" t="s">
        <v>29</v>
      </c>
      <c r="V1637" t="str">
        <f>VLOOKUP($R1637,'Mapa Oficinas'!$A$7:$C$46,2,FALSE)</f>
        <v>CABA</v>
      </c>
      <c r="W1637" t="str">
        <f>VLOOKUP($R1637,'Mapa Oficinas'!$A$7:$C$46,3,FALSE)</f>
        <v>Barrio Parque</v>
      </c>
    </row>
    <row r="1638" spans="1:23" x14ac:dyDescent="0.2">
      <c r="A1638" s="1">
        <v>46052</v>
      </c>
      <c r="B1638" s="20">
        <f t="shared" si="50"/>
        <v>2026</v>
      </c>
      <c r="C1638" s="20">
        <f t="shared" si="51"/>
        <v>1</v>
      </c>
      <c r="D1638" t="s">
        <v>6479</v>
      </c>
      <c r="E1638" s="49">
        <v>1</v>
      </c>
      <c r="F1638" t="s">
        <v>6480</v>
      </c>
      <c r="G1638" t="s">
        <v>21</v>
      </c>
      <c r="H1638" t="s">
        <v>37</v>
      </c>
      <c r="I1638" s="13">
        <v>149000</v>
      </c>
      <c r="J1638" s="13">
        <v>135000</v>
      </c>
      <c r="K1638" s="13">
        <f>IF(J1638&lt;'Mapa Oficinas'!$I$21,0,IF(J1638&gt;'Mapa Oficinas'!$I$20,0,1))</f>
        <v>1</v>
      </c>
      <c r="L1638" t="s">
        <v>23</v>
      </c>
      <c r="M1638" t="s">
        <v>23</v>
      </c>
      <c r="N1638" t="s">
        <v>6481</v>
      </c>
      <c r="O1638" t="s">
        <v>1028</v>
      </c>
      <c r="P1638" t="s">
        <v>34</v>
      </c>
      <c r="Q1638">
        <v>2</v>
      </c>
      <c r="R1638" t="s">
        <v>40</v>
      </c>
      <c r="S1638" t="s">
        <v>200</v>
      </c>
      <c r="T1638" t="str">
        <f>VLOOKUP(S1638,'Mapa Oficinas'!$H$7:$I$16,2,FALSE)</f>
        <v>Otra Red Captación</v>
      </c>
      <c r="U1638" t="s">
        <v>29</v>
      </c>
      <c r="V1638" t="str">
        <f>VLOOKUP($R1638,'Mapa Oficinas'!$A$7:$C$46,2,FALSE)</f>
        <v>CABA</v>
      </c>
      <c r="W1638" t="str">
        <f>VLOOKUP($R1638,'Mapa Oficinas'!$A$7:$C$46,3,FALSE)</f>
        <v>Núñez</v>
      </c>
    </row>
    <row r="1639" spans="1:23" x14ac:dyDescent="0.2">
      <c r="A1639" s="1">
        <v>45916</v>
      </c>
      <c r="B1639" s="20">
        <f t="shared" si="50"/>
        <v>2025</v>
      </c>
      <c r="C1639" s="20">
        <f t="shared" si="51"/>
        <v>9</v>
      </c>
      <c r="D1639">
        <v>10506</v>
      </c>
      <c r="E1639" s="49">
        <v>3</v>
      </c>
      <c r="F1639" t="s">
        <v>4192</v>
      </c>
      <c r="G1639" t="s">
        <v>21</v>
      </c>
      <c r="H1639" t="s">
        <v>37</v>
      </c>
      <c r="I1639" s="13">
        <v>0</v>
      </c>
      <c r="J1639" s="13">
        <v>135000</v>
      </c>
      <c r="K1639" s="13">
        <f>IF(J1639&lt;'Mapa Oficinas'!$I$21,0,IF(J1639&gt;'Mapa Oficinas'!$I$20,0,1))</f>
        <v>1</v>
      </c>
      <c r="L1639" t="s">
        <v>23</v>
      </c>
      <c r="M1639" t="s">
        <v>23</v>
      </c>
      <c r="O1639" t="s">
        <v>114</v>
      </c>
      <c r="P1639" t="s">
        <v>45</v>
      </c>
      <c r="Q1639">
        <v>2</v>
      </c>
      <c r="R1639" t="s">
        <v>67</v>
      </c>
      <c r="S1639" t="s">
        <v>241</v>
      </c>
      <c r="T1639" t="str">
        <f>VLOOKUP(S1639,'Mapa Oficinas'!$H$7:$I$16,2,FALSE)</f>
        <v>CB</v>
      </c>
      <c r="U1639" t="s">
        <v>29</v>
      </c>
      <c r="V1639" t="str">
        <f>VLOOKUP($R1639,'Mapa Oficinas'!$A$7:$C$46,2,FALSE)</f>
        <v>CABA</v>
      </c>
      <c r="W1639" t="str">
        <f>VLOOKUP($R1639,'Mapa Oficinas'!$A$7:$C$46,3,FALSE)</f>
        <v>Barrio Parque</v>
      </c>
    </row>
    <row r="1640" spans="1:23" x14ac:dyDescent="0.2">
      <c r="A1640" s="1">
        <v>45952</v>
      </c>
      <c r="B1640" s="20">
        <f t="shared" si="50"/>
        <v>2025</v>
      </c>
      <c r="C1640" s="20">
        <f t="shared" si="51"/>
        <v>10</v>
      </c>
      <c r="D1640" t="s">
        <v>4853</v>
      </c>
      <c r="E1640" s="49">
        <v>3</v>
      </c>
      <c r="F1640" t="s">
        <v>4854</v>
      </c>
      <c r="G1640" t="s">
        <v>21</v>
      </c>
      <c r="H1640" t="s">
        <v>37</v>
      </c>
      <c r="I1640" s="13">
        <v>650</v>
      </c>
      <c r="J1640" s="13">
        <v>135000</v>
      </c>
      <c r="K1640" s="13">
        <f>IF(J1640&lt;'Mapa Oficinas'!$I$21,0,IF(J1640&gt;'Mapa Oficinas'!$I$20,0,1))</f>
        <v>1</v>
      </c>
      <c r="L1640" t="s">
        <v>23</v>
      </c>
      <c r="M1640" t="s">
        <v>23</v>
      </c>
      <c r="N1640" t="s">
        <v>4855</v>
      </c>
      <c r="O1640" t="s">
        <v>2988</v>
      </c>
      <c r="P1640" t="s">
        <v>45</v>
      </c>
      <c r="Q1640">
        <v>2</v>
      </c>
      <c r="R1640" t="s">
        <v>257</v>
      </c>
      <c r="S1640" t="s">
        <v>241</v>
      </c>
      <c r="T1640" t="str">
        <f>VLOOKUP(S1640,'Mapa Oficinas'!$H$7:$I$16,2,FALSE)</f>
        <v>CB</v>
      </c>
      <c r="U1640" t="s">
        <v>29</v>
      </c>
      <c r="V1640" t="str">
        <f>VLOOKUP($R1640,'Mapa Oficinas'!$A$7:$C$46,2,FALSE)</f>
        <v>Zona Norte (GBA)</v>
      </c>
      <c r="W1640" t="str">
        <f>VLOOKUP($R1640,'Mapa Oficinas'!$A$7:$C$46,3,FALSE)</f>
        <v>Pilar</v>
      </c>
    </row>
    <row r="1641" spans="1:23" x14ac:dyDescent="0.2">
      <c r="A1641" s="1">
        <v>46057</v>
      </c>
      <c r="B1641" s="20">
        <f t="shared" si="50"/>
        <v>2026</v>
      </c>
      <c r="C1641" s="20">
        <f t="shared" si="51"/>
        <v>2</v>
      </c>
      <c r="D1641" t="s">
        <v>6521</v>
      </c>
      <c r="E1641" s="49">
        <v>3</v>
      </c>
      <c r="F1641" t="s">
        <v>6522</v>
      </c>
      <c r="G1641" t="s">
        <v>21</v>
      </c>
      <c r="H1641" t="s">
        <v>37</v>
      </c>
      <c r="I1641" s="13">
        <v>130600</v>
      </c>
      <c r="J1641" s="13">
        <v>135000</v>
      </c>
      <c r="K1641" s="13">
        <f>IF(J1641&lt;'Mapa Oficinas'!$I$21,0,IF(J1641&gt;'Mapa Oficinas'!$I$20,0,1))</f>
        <v>1</v>
      </c>
      <c r="L1641" t="s">
        <v>23</v>
      </c>
      <c r="M1641" t="s">
        <v>23</v>
      </c>
      <c r="N1641" t="s">
        <v>6523</v>
      </c>
      <c r="O1641" t="s">
        <v>1090</v>
      </c>
      <c r="P1641" t="s">
        <v>45</v>
      </c>
      <c r="Q1641">
        <v>2</v>
      </c>
      <c r="R1641" t="s">
        <v>40</v>
      </c>
      <c r="S1641" t="s">
        <v>241</v>
      </c>
      <c r="T1641" t="str">
        <f>VLOOKUP(S1641,'Mapa Oficinas'!$H$7:$I$16,2,FALSE)</f>
        <v>CB</v>
      </c>
      <c r="U1641" t="s">
        <v>29</v>
      </c>
      <c r="V1641" t="str">
        <f>VLOOKUP($R1641,'Mapa Oficinas'!$A$7:$C$46,2,FALSE)</f>
        <v>CABA</v>
      </c>
      <c r="W1641" t="str">
        <f>VLOOKUP($R1641,'Mapa Oficinas'!$A$7:$C$46,3,FALSE)</f>
        <v>Núñez</v>
      </c>
    </row>
    <row r="1642" spans="1:23" x14ac:dyDescent="0.2">
      <c r="A1642" s="1">
        <v>45862</v>
      </c>
      <c r="B1642" s="20">
        <f t="shared" si="50"/>
        <v>2025</v>
      </c>
      <c r="C1642" s="20">
        <f t="shared" si="51"/>
        <v>7</v>
      </c>
      <c r="D1642" t="s">
        <v>3209</v>
      </c>
      <c r="E1642" s="49">
        <v>1</v>
      </c>
      <c r="F1642" t="s">
        <v>858</v>
      </c>
      <c r="G1642" t="s">
        <v>21</v>
      </c>
      <c r="H1642" t="s">
        <v>76</v>
      </c>
      <c r="I1642" s="13">
        <v>135000</v>
      </c>
      <c r="J1642" s="13">
        <v>135000</v>
      </c>
      <c r="K1642" s="13">
        <f>IF(J1642&lt;'Mapa Oficinas'!$I$21,0,IF(J1642&gt;'Mapa Oficinas'!$I$20,0,1))</f>
        <v>1</v>
      </c>
      <c r="L1642" t="s">
        <v>23</v>
      </c>
      <c r="M1642" t="s">
        <v>23</v>
      </c>
      <c r="N1642" t="s">
        <v>859</v>
      </c>
      <c r="O1642" t="s">
        <v>860</v>
      </c>
      <c r="P1642" t="s">
        <v>45</v>
      </c>
      <c r="Q1642">
        <v>2</v>
      </c>
      <c r="R1642" t="s">
        <v>40</v>
      </c>
      <c r="S1642" t="s">
        <v>404</v>
      </c>
      <c r="T1642" t="str">
        <f>VLOOKUP(S1642,'Mapa Oficinas'!$H$7:$I$16,2,FALSE)</f>
        <v>CB</v>
      </c>
      <c r="U1642" t="s">
        <v>29</v>
      </c>
      <c r="V1642" t="str">
        <f>VLOOKUP($R1642,'Mapa Oficinas'!$A$7:$C$46,2,FALSE)</f>
        <v>CABA</v>
      </c>
      <c r="W1642" t="str">
        <f>VLOOKUP($R1642,'Mapa Oficinas'!$A$7:$C$46,3,FALSE)</f>
        <v>Núñez</v>
      </c>
    </row>
    <row r="1643" spans="1:23" x14ac:dyDescent="0.2">
      <c r="A1643" s="1">
        <v>45883</v>
      </c>
      <c r="B1643" s="20">
        <f t="shared" si="50"/>
        <v>2025</v>
      </c>
      <c r="C1643" s="20">
        <f t="shared" si="51"/>
        <v>8</v>
      </c>
      <c r="D1643" t="s">
        <v>3209</v>
      </c>
      <c r="E1643" s="49">
        <v>0</v>
      </c>
      <c r="F1643" t="s">
        <v>858</v>
      </c>
      <c r="G1643" t="s">
        <v>21</v>
      </c>
      <c r="H1643" t="s">
        <v>76</v>
      </c>
      <c r="I1643" s="13">
        <v>135000</v>
      </c>
      <c r="J1643" s="13">
        <v>135000</v>
      </c>
      <c r="K1643" s="13">
        <f>IF(J1643&lt;'Mapa Oficinas'!$I$21,0,IF(J1643&gt;'Mapa Oficinas'!$I$20,0,1))</f>
        <v>1</v>
      </c>
      <c r="L1643" t="s">
        <v>23</v>
      </c>
      <c r="M1643" t="s">
        <v>23</v>
      </c>
      <c r="N1643" t="s">
        <v>859</v>
      </c>
      <c r="O1643" t="s">
        <v>860</v>
      </c>
      <c r="P1643" t="s">
        <v>45</v>
      </c>
      <c r="Q1643">
        <v>2</v>
      </c>
      <c r="R1643" t="s">
        <v>84</v>
      </c>
      <c r="S1643" t="s">
        <v>1265</v>
      </c>
      <c r="T1643" t="str">
        <f>VLOOKUP(S1643,'Mapa Oficinas'!$H$7:$I$16,2,FALSE)</f>
        <v>CB</v>
      </c>
      <c r="U1643" t="s">
        <v>29</v>
      </c>
      <c r="V1643" t="str">
        <f>VLOOKUP($R1643,'Mapa Oficinas'!$A$7:$C$46,2,FALSE)</f>
        <v>Interior - Neuquén</v>
      </c>
      <c r="W1643" t="str">
        <f>VLOOKUP($R1643,'Mapa Oficinas'!$A$7:$C$46,3,FALSE)</f>
        <v>Villa La Angostura</v>
      </c>
    </row>
    <row r="1644" spans="1:23" x14ac:dyDescent="0.2">
      <c r="A1644" s="1">
        <v>45684</v>
      </c>
      <c r="B1644" s="20">
        <f t="shared" si="50"/>
        <v>2025</v>
      </c>
      <c r="C1644" s="20">
        <f t="shared" si="51"/>
        <v>1</v>
      </c>
      <c r="D1644" t="s">
        <v>377</v>
      </c>
      <c r="E1644" s="49">
        <v>1</v>
      </c>
      <c r="F1644" t="s">
        <v>378</v>
      </c>
      <c r="G1644" t="s">
        <v>21</v>
      </c>
      <c r="H1644" t="s">
        <v>37</v>
      </c>
      <c r="I1644" s="13">
        <v>145000</v>
      </c>
      <c r="J1644" s="13">
        <v>135000</v>
      </c>
      <c r="K1644" s="13">
        <f>IF(J1644&lt;'Mapa Oficinas'!$I$21,0,IF(J1644&gt;'Mapa Oficinas'!$I$20,0,1))</f>
        <v>1</v>
      </c>
      <c r="L1644" t="s">
        <v>23</v>
      </c>
      <c r="M1644" t="s">
        <v>23</v>
      </c>
      <c r="N1644" t="s">
        <v>379</v>
      </c>
      <c r="O1644" t="s">
        <v>380</v>
      </c>
      <c r="P1644" t="s">
        <v>45</v>
      </c>
      <c r="Q1644">
        <v>2</v>
      </c>
      <c r="R1644" t="s">
        <v>67</v>
      </c>
      <c r="S1644" t="s">
        <v>28</v>
      </c>
      <c r="T1644" t="str">
        <f>VLOOKUP(S1644,'Mapa Oficinas'!$H$7:$I$16,2,FALSE)</f>
        <v>CB</v>
      </c>
      <c r="U1644" t="s">
        <v>29</v>
      </c>
      <c r="V1644" t="str">
        <f>VLOOKUP($R1644,'Mapa Oficinas'!$A$7:$C$46,2,FALSE)</f>
        <v>CABA</v>
      </c>
      <c r="W1644" t="str">
        <f>VLOOKUP($R1644,'Mapa Oficinas'!$A$7:$C$46,3,FALSE)</f>
        <v>Barrio Parque</v>
      </c>
    </row>
    <row r="1645" spans="1:23" x14ac:dyDescent="0.2">
      <c r="A1645" s="1">
        <v>45688</v>
      </c>
      <c r="B1645" s="20">
        <f t="shared" si="50"/>
        <v>2025</v>
      </c>
      <c r="C1645" s="20">
        <f t="shared" si="51"/>
        <v>1</v>
      </c>
      <c r="D1645" t="s">
        <v>457</v>
      </c>
      <c r="E1645" s="49">
        <v>1</v>
      </c>
      <c r="F1645" t="s">
        <v>458</v>
      </c>
      <c r="G1645" t="s">
        <v>21</v>
      </c>
      <c r="H1645" t="s">
        <v>37</v>
      </c>
      <c r="I1645" s="13">
        <v>144000</v>
      </c>
      <c r="J1645" s="13">
        <v>135000</v>
      </c>
      <c r="K1645" s="13">
        <f>IF(J1645&lt;'Mapa Oficinas'!$I$21,0,IF(J1645&gt;'Mapa Oficinas'!$I$20,0,1))</f>
        <v>1</v>
      </c>
      <c r="L1645" t="s">
        <v>23</v>
      </c>
      <c r="M1645" t="s">
        <v>23</v>
      </c>
      <c r="N1645" t="s">
        <v>458</v>
      </c>
      <c r="O1645" t="s">
        <v>459</v>
      </c>
      <c r="P1645" t="s">
        <v>45</v>
      </c>
      <c r="Q1645">
        <v>2</v>
      </c>
      <c r="R1645" t="s">
        <v>257</v>
      </c>
      <c r="S1645" t="s">
        <v>28</v>
      </c>
      <c r="T1645" t="str">
        <f>VLOOKUP(S1645,'Mapa Oficinas'!$H$7:$I$16,2,FALSE)</f>
        <v>CB</v>
      </c>
      <c r="U1645" t="s">
        <v>29</v>
      </c>
      <c r="V1645" t="str">
        <f>VLOOKUP($R1645,'Mapa Oficinas'!$A$7:$C$46,2,FALSE)</f>
        <v>Zona Norte (GBA)</v>
      </c>
      <c r="W1645" t="str">
        <f>VLOOKUP($R1645,'Mapa Oficinas'!$A$7:$C$46,3,FALSE)</f>
        <v>Pilar</v>
      </c>
    </row>
    <row r="1646" spans="1:23" x14ac:dyDescent="0.2">
      <c r="A1646" s="1">
        <v>45723</v>
      </c>
      <c r="B1646" s="20">
        <f t="shared" si="50"/>
        <v>2025</v>
      </c>
      <c r="C1646" s="20">
        <f t="shared" si="51"/>
        <v>3</v>
      </c>
      <c r="D1646" t="s">
        <v>861</v>
      </c>
      <c r="E1646" s="49">
        <v>1</v>
      </c>
      <c r="F1646" t="s">
        <v>862</v>
      </c>
      <c r="G1646" t="s">
        <v>21</v>
      </c>
      <c r="H1646" t="s">
        <v>863</v>
      </c>
      <c r="I1646" s="13">
        <v>145000</v>
      </c>
      <c r="J1646" s="13">
        <v>135000</v>
      </c>
      <c r="K1646" s="13">
        <f>IF(J1646&lt;'Mapa Oficinas'!$I$21,0,IF(J1646&gt;'Mapa Oficinas'!$I$20,0,1))</f>
        <v>1</v>
      </c>
      <c r="L1646" t="s">
        <v>23</v>
      </c>
      <c r="M1646" t="s">
        <v>23</v>
      </c>
      <c r="N1646" t="s">
        <v>864</v>
      </c>
      <c r="O1646" t="s">
        <v>650</v>
      </c>
      <c r="P1646" t="s">
        <v>55</v>
      </c>
      <c r="Q1646">
        <v>2</v>
      </c>
      <c r="R1646" t="s">
        <v>84</v>
      </c>
      <c r="S1646" t="s">
        <v>28</v>
      </c>
      <c r="T1646" t="str">
        <f>VLOOKUP(S1646,'Mapa Oficinas'!$H$7:$I$16,2,FALSE)</f>
        <v>CB</v>
      </c>
      <c r="U1646" t="s">
        <v>29</v>
      </c>
      <c r="V1646" t="str">
        <f>VLOOKUP($R1646,'Mapa Oficinas'!$A$7:$C$46,2,FALSE)</f>
        <v>Interior - Neuquén</v>
      </c>
      <c r="W1646" t="str">
        <f>VLOOKUP($R1646,'Mapa Oficinas'!$A$7:$C$46,3,FALSE)</f>
        <v>Villa La Angostura</v>
      </c>
    </row>
    <row r="1647" spans="1:23" x14ac:dyDescent="0.2">
      <c r="A1647" s="1">
        <v>45761</v>
      </c>
      <c r="B1647" s="20">
        <f t="shared" si="50"/>
        <v>2025</v>
      </c>
      <c r="C1647" s="20">
        <f t="shared" si="51"/>
        <v>4</v>
      </c>
      <c r="D1647" t="s">
        <v>1422</v>
      </c>
      <c r="E1647" s="49">
        <v>1</v>
      </c>
      <c r="F1647" t="s">
        <v>1423</v>
      </c>
      <c r="G1647" t="s">
        <v>21</v>
      </c>
      <c r="H1647" t="s">
        <v>37</v>
      </c>
      <c r="I1647" s="13">
        <v>145000</v>
      </c>
      <c r="J1647" s="13">
        <v>135000</v>
      </c>
      <c r="K1647" s="13">
        <f>IF(J1647&lt;'Mapa Oficinas'!$I$21,0,IF(J1647&gt;'Mapa Oficinas'!$I$20,0,1))</f>
        <v>1</v>
      </c>
      <c r="L1647" t="s">
        <v>23</v>
      </c>
      <c r="M1647" t="s">
        <v>23</v>
      </c>
      <c r="N1647" t="s">
        <v>1424</v>
      </c>
      <c r="O1647" t="s">
        <v>1425</v>
      </c>
      <c r="P1647" t="s">
        <v>34</v>
      </c>
      <c r="Q1647">
        <v>2</v>
      </c>
      <c r="R1647" t="s">
        <v>62</v>
      </c>
      <c r="S1647" t="s">
        <v>28</v>
      </c>
      <c r="T1647" t="str">
        <f>VLOOKUP(S1647,'Mapa Oficinas'!$H$7:$I$16,2,FALSE)</f>
        <v>CB</v>
      </c>
      <c r="U1647" t="s">
        <v>29</v>
      </c>
      <c r="V1647" t="str">
        <f>VLOOKUP($R1647,'Mapa Oficinas'!$A$7:$C$46,2,FALSE)</f>
        <v>CABA</v>
      </c>
      <c r="W1647" t="str">
        <f>VLOOKUP($R1647,'Mapa Oficinas'!$A$7:$C$46,3,FALSE)</f>
        <v>Villa Urquiza</v>
      </c>
    </row>
    <row r="1648" spans="1:23" x14ac:dyDescent="0.2">
      <c r="A1648" s="1">
        <v>45792</v>
      </c>
      <c r="B1648" s="20">
        <f t="shared" si="50"/>
        <v>2025</v>
      </c>
      <c r="C1648" s="20">
        <f t="shared" si="51"/>
        <v>5</v>
      </c>
      <c r="D1648" t="s">
        <v>1965</v>
      </c>
      <c r="E1648" s="49">
        <v>1</v>
      </c>
      <c r="F1648" t="s">
        <v>1966</v>
      </c>
      <c r="G1648" t="s">
        <v>21</v>
      </c>
      <c r="H1648" t="s">
        <v>37</v>
      </c>
      <c r="I1648" s="13">
        <v>135000</v>
      </c>
      <c r="J1648" s="13">
        <v>135000</v>
      </c>
      <c r="K1648" s="13">
        <f>IF(J1648&lt;'Mapa Oficinas'!$I$21,0,IF(J1648&gt;'Mapa Oficinas'!$I$20,0,1))</f>
        <v>1</v>
      </c>
      <c r="L1648" t="s">
        <v>23</v>
      </c>
      <c r="M1648" t="s">
        <v>23</v>
      </c>
      <c r="N1648" t="s">
        <v>1967</v>
      </c>
      <c r="O1648" t="s">
        <v>1968</v>
      </c>
      <c r="P1648" t="s">
        <v>26</v>
      </c>
      <c r="Q1648">
        <v>2</v>
      </c>
      <c r="R1648" t="s">
        <v>151</v>
      </c>
      <c r="S1648" t="s">
        <v>28</v>
      </c>
      <c r="T1648" t="str">
        <f>VLOOKUP(S1648,'Mapa Oficinas'!$H$7:$I$16,2,FALSE)</f>
        <v>CB</v>
      </c>
      <c r="U1648" t="s">
        <v>29</v>
      </c>
      <c r="V1648" t="str">
        <f>VLOOKUP($R1648,'Mapa Oficinas'!$A$7:$C$46,2,FALSE)</f>
        <v>Interior - Mendoza</v>
      </c>
      <c r="W1648" t="str">
        <f>VLOOKUP($R1648,'Mapa Oficinas'!$A$7:$C$46,3,FALSE)</f>
        <v>Capital Mendoza</v>
      </c>
    </row>
    <row r="1649" spans="1:23" x14ac:dyDescent="0.2">
      <c r="A1649" s="1">
        <v>45838</v>
      </c>
      <c r="B1649" s="20">
        <f t="shared" si="50"/>
        <v>2025</v>
      </c>
      <c r="C1649" s="20">
        <f t="shared" si="51"/>
        <v>6</v>
      </c>
      <c r="E1649" s="49">
        <v>1</v>
      </c>
      <c r="F1649" t="s">
        <v>2786</v>
      </c>
      <c r="G1649" t="s">
        <v>21</v>
      </c>
      <c r="H1649" t="s">
        <v>81</v>
      </c>
      <c r="I1649" s="13">
        <v>135000</v>
      </c>
      <c r="J1649" s="13">
        <v>135000</v>
      </c>
      <c r="K1649" s="13">
        <f>IF(J1649&lt;'Mapa Oficinas'!$I$21,0,IF(J1649&gt;'Mapa Oficinas'!$I$20,0,1))</f>
        <v>1</v>
      </c>
      <c r="L1649" t="s">
        <v>23</v>
      </c>
      <c r="M1649" t="s">
        <v>23</v>
      </c>
      <c r="O1649" t="s">
        <v>1897</v>
      </c>
      <c r="P1649" t="s">
        <v>26</v>
      </c>
      <c r="Q1649">
        <v>2</v>
      </c>
      <c r="R1649" t="s">
        <v>130</v>
      </c>
      <c r="S1649" t="s">
        <v>28</v>
      </c>
      <c r="T1649" t="str">
        <f>VLOOKUP(S1649,'Mapa Oficinas'!$H$7:$I$16,2,FALSE)</f>
        <v>CB</v>
      </c>
      <c r="U1649" t="s">
        <v>29</v>
      </c>
      <c r="V1649" t="str">
        <f>VLOOKUP($R1649,'Mapa Oficinas'!$A$7:$C$46,2,FALSE)</f>
        <v>Interior - Neuquén</v>
      </c>
      <c r="W1649" t="str">
        <f>VLOOKUP($R1649,'Mapa Oficinas'!$A$7:$C$46,3,FALSE)</f>
        <v>San Martín de los Andes</v>
      </c>
    </row>
    <row r="1650" spans="1:23" x14ac:dyDescent="0.2">
      <c r="A1650" s="1">
        <v>45854</v>
      </c>
      <c r="B1650" s="20">
        <f t="shared" si="50"/>
        <v>2025</v>
      </c>
      <c r="C1650" s="20">
        <f t="shared" si="51"/>
        <v>7</v>
      </c>
      <c r="D1650" t="s">
        <v>3075</v>
      </c>
      <c r="E1650" s="49">
        <v>1</v>
      </c>
      <c r="F1650" t="s">
        <v>3076</v>
      </c>
      <c r="G1650" t="s">
        <v>21</v>
      </c>
      <c r="H1650" t="s">
        <v>37</v>
      </c>
      <c r="I1650" s="13">
        <v>135000</v>
      </c>
      <c r="J1650" s="13">
        <v>135000</v>
      </c>
      <c r="K1650" s="13">
        <f>IF(J1650&lt;'Mapa Oficinas'!$I$21,0,IF(J1650&gt;'Mapa Oficinas'!$I$20,0,1))</f>
        <v>1</v>
      </c>
      <c r="L1650" t="s">
        <v>23</v>
      </c>
      <c r="M1650" t="s">
        <v>23</v>
      </c>
      <c r="O1650" t="s">
        <v>66</v>
      </c>
      <c r="P1650" t="s">
        <v>26</v>
      </c>
      <c r="Q1650">
        <v>2</v>
      </c>
      <c r="R1650" t="s">
        <v>321</v>
      </c>
      <c r="S1650" t="s">
        <v>28</v>
      </c>
      <c r="T1650" t="str">
        <f>VLOOKUP(S1650,'Mapa Oficinas'!$H$7:$I$16,2,FALSE)</f>
        <v>CB</v>
      </c>
      <c r="U1650" t="s">
        <v>29</v>
      </c>
      <c r="V1650" t="str">
        <f>VLOOKUP($R1650,'Mapa Oficinas'!$A$7:$C$46,2,FALSE)</f>
        <v>CABA</v>
      </c>
      <c r="W1650" t="str">
        <f>VLOOKUP($R1650,'Mapa Oficinas'!$A$7:$C$46,3,FALSE)</f>
        <v>Palermo</v>
      </c>
    </row>
    <row r="1651" spans="1:23" x14ac:dyDescent="0.2">
      <c r="A1651" s="1">
        <v>45860</v>
      </c>
      <c r="B1651" s="20">
        <f t="shared" si="50"/>
        <v>2025</v>
      </c>
      <c r="C1651" s="20">
        <f t="shared" si="51"/>
        <v>7</v>
      </c>
      <c r="D1651" t="s">
        <v>3151</v>
      </c>
      <c r="E1651" s="49">
        <v>1</v>
      </c>
      <c r="F1651" t="s">
        <v>3152</v>
      </c>
      <c r="G1651" t="s">
        <v>21</v>
      </c>
      <c r="H1651" t="s">
        <v>90</v>
      </c>
      <c r="I1651" s="13">
        <v>142000</v>
      </c>
      <c r="J1651" s="13">
        <v>135000</v>
      </c>
      <c r="K1651" s="13">
        <f>IF(J1651&lt;'Mapa Oficinas'!$I$21,0,IF(J1651&gt;'Mapa Oficinas'!$I$20,0,1))</f>
        <v>1</v>
      </c>
      <c r="L1651" t="s">
        <v>23</v>
      </c>
      <c r="M1651" t="s">
        <v>23</v>
      </c>
      <c r="N1651" t="s">
        <v>3153</v>
      </c>
      <c r="O1651" t="s">
        <v>408</v>
      </c>
      <c r="P1651" t="s">
        <v>45</v>
      </c>
      <c r="Q1651">
        <v>2</v>
      </c>
      <c r="R1651" t="s">
        <v>523</v>
      </c>
      <c r="S1651" t="s">
        <v>28</v>
      </c>
      <c r="T1651" t="str">
        <f>VLOOKUP(S1651,'Mapa Oficinas'!$H$7:$I$16,2,FALSE)</f>
        <v>CB</v>
      </c>
      <c r="U1651" t="s">
        <v>29</v>
      </c>
      <c r="V1651" t="str">
        <f>VLOOKUP($R1651,'Mapa Oficinas'!$A$7:$C$46,2,FALSE)</f>
        <v>CABA</v>
      </c>
      <c r="W1651" t="str">
        <f>VLOOKUP($R1651,'Mapa Oficinas'!$A$7:$C$46,3,FALSE)</f>
        <v>Belgrano</v>
      </c>
    </row>
    <row r="1652" spans="1:23" x14ac:dyDescent="0.2">
      <c r="A1652" s="1">
        <v>45880</v>
      </c>
      <c r="B1652" s="20">
        <f t="shared" si="50"/>
        <v>2025</v>
      </c>
      <c r="C1652" s="20">
        <f t="shared" si="51"/>
        <v>8</v>
      </c>
      <c r="D1652" t="s">
        <v>2524</v>
      </c>
      <c r="E1652" s="49">
        <v>1</v>
      </c>
      <c r="F1652" t="s">
        <v>2525</v>
      </c>
      <c r="G1652" t="s">
        <v>21</v>
      </c>
      <c r="H1652" t="s">
        <v>37</v>
      </c>
      <c r="I1652" s="13">
        <v>175000</v>
      </c>
      <c r="J1652" s="13">
        <v>135000</v>
      </c>
      <c r="K1652" s="13">
        <f>IF(J1652&lt;'Mapa Oficinas'!$I$21,0,IF(J1652&gt;'Mapa Oficinas'!$I$20,0,1))</f>
        <v>1</v>
      </c>
      <c r="L1652" t="s">
        <v>23</v>
      </c>
      <c r="M1652" t="s">
        <v>23</v>
      </c>
      <c r="N1652" t="s">
        <v>2526</v>
      </c>
      <c r="O1652" t="s">
        <v>25</v>
      </c>
      <c r="P1652" t="s">
        <v>45</v>
      </c>
      <c r="Q1652">
        <v>2</v>
      </c>
      <c r="R1652" t="s">
        <v>110</v>
      </c>
      <c r="S1652" t="s">
        <v>28</v>
      </c>
      <c r="T1652" t="str">
        <f>VLOOKUP(S1652,'Mapa Oficinas'!$H$7:$I$16,2,FALSE)</f>
        <v>CB</v>
      </c>
      <c r="U1652" t="s">
        <v>29</v>
      </c>
      <c r="V1652" t="str">
        <f>VLOOKUP($R1652,'Mapa Oficinas'!$A$7:$C$46,2,FALSE)</f>
        <v>Zona Norte (GBA)</v>
      </c>
      <c r="W1652" t="str">
        <f>VLOOKUP($R1652,'Mapa Oficinas'!$A$7:$C$46,3,FALSE)</f>
        <v>Nordelta</v>
      </c>
    </row>
    <row r="1653" spans="1:23" x14ac:dyDescent="0.2">
      <c r="A1653" s="1">
        <v>45901</v>
      </c>
      <c r="B1653" s="20">
        <f t="shared" si="50"/>
        <v>2025</v>
      </c>
      <c r="C1653" s="20">
        <f t="shared" si="51"/>
        <v>9</v>
      </c>
      <c r="D1653" t="s">
        <v>3947</v>
      </c>
      <c r="E1653" s="49">
        <v>1</v>
      </c>
      <c r="F1653" t="s">
        <v>3948</v>
      </c>
      <c r="G1653" t="s">
        <v>21</v>
      </c>
      <c r="H1653" t="s">
        <v>37</v>
      </c>
      <c r="I1653" s="13">
        <v>145000</v>
      </c>
      <c r="J1653" s="13">
        <v>135000</v>
      </c>
      <c r="K1653" s="13">
        <f>IF(J1653&lt;'Mapa Oficinas'!$I$21,0,IF(J1653&gt;'Mapa Oficinas'!$I$20,0,1))</f>
        <v>1</v>
      </c>
      <c r="L1653" t="s">
        <v>23</v>
      </c>
      <c r="M1653" t="s">
        <v>23</v>
      </c>
      <c r="N1653" t="s">
        <v>3949</v>
      </c>
      <c r="O1653" t="s">
        <v>1010</v>
      </c>
      <c r="P1653" t="s">
        <v>45</v>
      </c>
      <c r="Q1653">
        <v>2</v>
      </c>
      <c r="R1653" t="s">
        <v>40</v>
      </c>
      <c r="S1653" t="s">
        <v>28</v>
      </c>
      <c r="T1653" t="str">
        <f>VLOOKUP(S1653,'Mapa Oficinas'!$H$7:$I$16,2,FALSE)</f>
        <v>CB</v>
      </c>
      <c r="U1653" t="s">
        <v>29</v>
      </c>
      <c r="V1653" t="str">
        <f>VLOOKUP($R1653,'Mapa Oficinas'!$A$7:$C$46,2,FALSE)</f>
        <v>CABA</v>
      </c>
      <c r="W1653" t="str">
        <f>VLOOKUP($R1653,'Mapa Oficinas'!$A$7:$C$46,3,FALSE)</f>
        <v>Núñez</v>
      </c>
    </row>
    <row r="1654" spans="1:23" x14ac:dyDescent="0.2">
      <c r="A1654" s="1">
        <v>45943</v>
      </c>
      <c r="B1654" s="20">
        <f t="shared" si="50"/>
        <v>2025</v>
      </c>
      <c r="C1654" s="20">
        <f t="shared" si="51"/>
        <v>10</v>
      </c>
      <c r="D1654" t="s">
        <v>4642</v>
      </c>
      <c r="E1654" s="49">
        <v>1</v>
      </c>
      <c r="F1654" t="s">
        <v>4643</v>
      </c>
      <c r="G1654" t="s">
        <v>21</v>
      </c>
      <c r="H1654" t="s">
        <v>37</v>
      </c>
      <c r="I1654" s="13">
        <v>145000</v>
      </c>
      <c r="J1654" s="13">
        <v>135000</v>
      </c>
      <c r="K1654" s="13">
        <f>IF(J1654&lt;'Mapa Oficinas'!$I$21,0,IF(J1654&gt;'Mapa Oficinas'!$I$20,0,1))</f>
        <v>1</v>
      </c>
      <c r="L1654" t="s">
        <v>23</v>
      </c>
      <c r="M1654" t="s">
        <v>23</v>
      </c>
      <c r="N1654" t="s">
        <v>4644</v>
      </c>
      <c r="O1654" t="s">
        <v>4645</v>
      </c>
      <c r="P1654" t="s">
        <v>61</v>
      </c>
      <c r="Q1654">
        <v>2</v>
      </c>
      <c r="R1654" t="s">
        <v>46</v>
      </c>
      <c r="S1654" t="s">
        <v>28</v>
      </c>
      <c r="T1654" t="str">
        <f>VLOOKUP(S1654,'Mapa Oficinas'!$H$7:$I$16,2,FALSE)</f>
        <v>CB</v>
      </c>
      <c r="U1654" t="s">
        <v>29</v>
      </c>
      <c r="V1654" t="str">
        <f>VLOOKUP($R1654,'Mapa Oficinas'!$A$7:$C$46,2,FALSE)</f>
        <v>CABA</v>
      </c>
      <c r="W1654" t="str">
        <f>VLOOKUP($R1654,'Mapa Oficinas'!$A$7:$C$46,3,FALSE)</f>
        <v>Palermo</v>
      </c>
    </row>
    <row r="1655" spans="1:23" x14ac:dyDescent="0.2">
      <c r="A1655" s="1">
        <v>45996</v>
      </c>
      <c r="B1655" s="20">
        <f t="shared" si="50"/>
        <v>2025</v>
      </c>
      <c r="C1655" s="20">
        <f t="shared" si="51"/>
        <v>12</v>
      </c>
      <c r="D1655" t="s">
        <v>5651</v>
      </c>
      <c r="E1655" s="49">
        <v>1</v>
      </c>
      <c r="F1655" t="s">
        <v>5652</v>
      </c>
      <c r="G1655" t="s">
        <v>21</v>
      </c>
      <c r="H1655" t="s">
        <v>37</v>
      </c>
      <c r="I1655" s="13">
        <v>149500</v>
      </c>
      <c r="J1655" s="13">
        <v>135000</v>
      </c>
      <c r="K1655" s="13">
        <f>IF(J1655&lt;'Mapa Oficinas'!$I$21,0,IF(J1655&gt;'Mapa Oficinas'!$I$20,0,1))</f>
        <v>1</v>
      </c>
      <c r="L1655" t="s">
        <v>23</v>
      </c>
      <c r="M1655" t="s">
        <v>23</v>
      </c>
      <c r="N1655" t="s">
        <v>5653</v>
      </c>
      <c r="O1655" t="s">
        <v>390</v>
      </c>
      <c r="P1655" t="s">
        <v>2934</v>
      </c>
      <c r="Q1655">
        <v>2</v>
      </c>
      <c r="R1655" t="s">
        <v>1605</v>
      </c>
      <c r="S1655" t="s">
        <v>28</v>
      </c>
      <c r="T1655" t="str">
        <f>VLOOKUP(S1655,'Mapa Oficinas'!$H$7:$I$16,2,FALSE)</f>
        <v>CB</v>
      </c>
      <c r="U1655" t="s">
        <v>29</v>
      </c>
      <c r="V1655" t="str">
        <f>VLOOKUP($R1655,'Mapa Oficinas'!$A$7:$C$46,2,FALSE)</f>
        <v>CABA</v>
      </c>
      <c r="W1655" t="str">
        <f>VLOOKUP($R1655,'Mapa Oficinas'!$A$7:$C$46,3,FALSE)</f>
        <v>Núñez</v>
      </c>
    </row>
    <row r="1656" spans="1:23" x14ac:dyDescent="0.2">
      <c r="A1656" s="1">
        <v>46013</v>
      </c>
      <c r="B1656" s="20">
        <f t="shared" si="50"/>
        <v>2025</v>
      </c>
      <c r="C1656" s="20">
        <f t="shared" si="51"/>
        <v>12</v>
      </c>
      <c r="D1656" t="s">
        <v>5947</v>
      </c>
      <c r="E1656" s="49">
        <v>1</v>
      </c>
      <c r="F1656" t="s">
        <v>5948</v>
      </c>
      <c r="G1656" t="s">
        <v>21</v>
      </c>
      <c r="H1656" t="s">
        <v>37</v>
      </c>
      <c r="I1656" s="13">
        <v>145000</v>
      </c>
      <c r="J1656" s="13">
        <v>135000</v>
      </c>
      <c r="K1656" s="13">
        <f>IF(J1656&lt;'Mapa Oficinas'!$I$21,0,IF(J1656&gt;'Mapa Oficinas'!$I$20,0,1))</f>
        <v>1</v>
      </c>
      <c r="L1656" t="s">
        <v>23</v>
      </c>
      <c r="M1656" t="s">
        <v>23</v>
      </c>
      <c r="N1656" t="s">
        <v>5949</v>
      </c>
      <c r="O1656" t="s">
        <v>5950</v>
      </c>
      <c r="P1656" t="s">
        <v>45</v>
      </c>
      <c r="Q1656">
        <v>2</v>
      </c>
      <c r="R1656" t="s">
        <v>257</v>
      </c>
      <c r="S1656" t="s">
        <v>28</v>
      </c>
      <c r="T1656" t="str">
        <f>VLOOKUP(S1656,'Mapa Oficinas'!$H$7:$I$16,2,FALSE)</f>
        <v>CB</v>
      </c>
      <c r="U1656" t="s">
        <v>29</v>
      </c>
      <c r="V1656" t="str">
        <f>VLOOKUP($R1656,'Mapa Oficinas'!$A$7:$C$46,2,FALSE)</f>
        <v>Zona Norte (GBA)</v>
      </c>
      <c r="W1656" t="str">
        <f>VLOOKUP($R1656,'Mapa Oficinas'!$A$7:$C$46,3,FALSE)</f>
        <v>Pilar</v>
      </c>
    </row>
    <row r="1657" spans="1:23" x14ac:dyDescent="0.2">
      <c r="A1657" s="1">
        <v>46037</v>
      </c>
      <c r="B1657" s="20">
        <f t="shared" si="50"/>
        <v>2026</v>
      </c>
      <c r="C1657" s="20">
        <f t="shared" si="51"/>
        <v>1</v>
      </c>
      <c r="D1657" t="s">
        <v>6257</v>
      </c>
      <c r="E1657" s="49">
        <v>1</v>
      </c>
      <c r="F1657" t="s">
        <v>6258</v>
      </c>
      <c r="G1657" t="s">
        <v>21</v>
      </c>
      <c r="H1657" t="s">
        <v>37</v>
      </c>
      <c r="I1657" s="13">
        <v>1000</v>
      </c>
      <c r="J1657" s="13">
        <v>135000</v>
      </c>
      <c r="K1657" s="13">
        <f>IF(J1657&lt;'Mapa Oficinas'!$I$21,0,IF(J1657&gt;'Mapa Oficinas'!$I$20,0,1))</f>
        <v>1</v>
      </c>
      <c r="L1657" t="s">
        <v>23</v>
      </c>
      <c r="M1657" t="s">
        <v>23</v>
      </c>
      <c r="N1657" t="s">
        <v>6259</v>
      </c>
      <c r="O1657" t="s">
        <v>2504</v>
      </c>
      <c r="P1657" t="s">
        <v>34</v>
      </c>
      <c r="Q1657">
        <v>2</v>
      </c>
      <c r="R1657" t="s">
        <v>495</v>
      </c>
      <c r="S1657" t="s">
        <v>28</v>
      </c>
      <c r="T1657" t="str">
        <f>VLOOKUP(S1657,'Mapa Oficinas'!$H$7:$I$16,2,FALSE)</f>
        <v>CB</v>
      </c>
      <c r="U1657" t="s">
        <v>29</v>
      </c>
      <c r="V1657" t="str">
        <f>VLOOKUP($R1657,'Mapa Oficinas'!$A$7:$C$46,2,FALSE)</f>
        <v>Zona Norte (GBA)</v>
      </c>
      <c r="W1657" t="str">
        <f>VLOOKUP($R1657,'Mapa Oficinas'!$A$7:$C$46,3,FALSE)</f>
        <v>Escobar</v>
      </c>
    </row>
    <row r="1658" spans="1:23" x14ac:dyDescent="0.2">
      <c r="A1658" s="1">
        <v>46091</v>
      </c>
      <c r="B1658" s="20">
        <f t="shared" si="50"/>
        <v>2026</v>
      </c>
      <c r="C1658" s="20">
        <f t="shared" si="51"/>
        <v>3</v>
      </c>
      <c r="D1658" t="s">
        <v>7070</v>
      </c>
      <c r="E1658" s="49">
        <v>1</v>
      </c>
      <c r="F1658" t="s">
        <v>7071</v>
      </c>
      <c r="G1658" t="s">
        <v>21</v>
      </c>
      <c r="H1658" t="s">
        <v>221</v>
      </c>
      <c r="I1658" s="13">
        <v>140000</v>
      </c>
      <c r="J1658" s="13">
        <v>135000</v>
      </c>
      <c r="K1658" s="13">
        <f>IF(J1658&lt;'Mapa Oficinas'!$I$21,0,IF(J1658&gt;'Mapa Oficinas'!$I$20,0,1))</f>
        <v>1</v>
      </c>
      <c r="L1658" t="s">
        <v>23</v>
      </c>
      <c r="M1658" t="s">
        <v>23</v>
      </c>
      <c r="N1658" t="s">
        <v>7072</v>
      </c>
      <c r="O1658" t="s">
        <v>329</v>
      </c>
      <c r="P1658" t="s">
        <v>34</v>
      </c>
      <c r="Q1658">
        <v>2</v>
      </c>
      <c r="R1658" t="s">
        <v>183</v>
      </c>
      <c r="S1658" t="s">
        <v>28</v>
      </c>
      <c r="T1658" t="str">
        <f>VLOOKUP(S1658,'Mapa Oficinas'!$H$7:$I$16,2,FALSE)</f>
        <v>CB</v>
      </c>
      <c r="U1658" t="s">
        <v>29</v>
      </c>
      <c r="V1658" t="str">
        <f>VLOOKUP($R1658,'Mapa Oficinas'!$A$7:$C$46,2,FALSE)</f>
        <v>Interior - Neuquén</v>
      </c>
      <c r="W1658" t="str">
        <f>VLOOKUP($R1658,'Mapa Oficinas'!$A$7:$C$46,3,FALSE)</f>
        <v>Capital Neuquén</v>
      </c>
    </row>
    <row r="1659" spans="1:23" x14ac:dyDescent="0.2">
      <c r="A1659" s="1">
        <v>45869</v>
      </c>
      <c r="B1659" s="20">
        <f t="shared" si="50"/>
        <v>2025</v>
      </c>
      <c r="C1659" s="20">
        <f t="shared" si="51"/>
        <v>7</v>
      </c>
      <c r="D1659">
        <v>10458</v>
      </c>
      <c r="E1659" s="49">
        <v>1</v>
      </c>
      <c r="F1659" t="s">
        <v>3358</v>
      </c>
      <c r="G1659" t="s">
        <v>21</v>
      </c>
      <c r="H1659" t="s">
        <v>37</v>
      </c>
      <c r="I1659" s="13">
        <v>0</v>
      </c>
      <c r="J1659" s="13">
        <v>135500</v>
      </c>
      <c r="K1659" s="13">
        <f>IF(J1659&lt;'Mapa Oficinas'!$I$21,0,IF(J1659&gt;'Mapa Oficinas'!$I$20,0,1))</f>
        <v>1</v>
      </c>
      <c r="L1659" t="s">
        <v>23</v>
      </c>
      <c r="M1659" t="s">
        <v>23</v>
      </c>
      <c r="O1659" t="s">
        <v>114</v>
      </c>
      <c r="P1659" t="s">
        <v>45</v>
      </c>
      <c r="Q1659">
        <v>1</v>
      </c>
      <c r="R1659" t="s">
        <v>67</v>
      </c>
      <c r="S1659" t="s">
        <v>47</v>
      </c>
      <c r="T1659" t="str">
        <f>VLOOKUP(S1659,'Mapa Oficinas'!$H$7:$I$16,2,FALSE)</f>
        <v>Otra Red Búsqueda</v>
      </c>
      <c r="U1659" t="s">
        <v>29</v>
      </c>
      <c r="V1659" t="str">
        <f>VLOOKUP($R1659,'Mapa Oficinas'!$A$7:$C$46,2,FALSE)</f>
        <v>CABA</v>
      </c>
      <c r="W1659" t="str">
        <f>VLOOKUP($R1659,'Mapa Oficinas'!$A$7:$C$46,3,FALSE)</f>
        <v>Barrio Parque</v>
      </c>
    </row>
    <row r="1660" spans="1:23" x14ac:dyDescent="0.2">
      <c r="A1660" s="1">
        <v>45979</v>
      </c>
      <c r="B1660" s="20">
        <f t="shared" si="50"/>
        <v>2025</v>
      </c>
      <c r="C1660" s="20">
        <f t="shared" si="51"/>
        <v>11</v>
      </c>
      <c r="D1660" t="s">
        <v>5291</v>
      </c>
      <c r="E1660" s="49">
        <v>1</v>
      </c>
      <c r="F1660" t="s">
        <v>5292</v>
      </c>
      <c r="G1660" t="s">
        <v>21</v>
      </c>
      <c r="H1660" t="s">
        <v>22</v>
      </c>
      <c r="I1660" s="13">
        <v>200000</v>
      </c>
      <c r="J1660" s="13">
        <v>136000</v>
      </c>
      <c r="K1660" s="13">
        <f>IF(J1660&lt;'Mapa Oficinas'!$I$21,0,IF(J1660&gt;'Mapa Oficinas'!$I$20,0,1))</f>
        <v>1</v>
      </c>
      <c r="L1660" t="s">
        <v>23</v>
      </c>
      <c r="M1660" t="s">
        <v>23</v>
      </c>
      <c r="N1660" t="s">
        <v>5293</v>
      </c>
      <c r="O1660" t="s">
        <v>1196</v>
      </c>
      <c r="P1660" t="s">
        <v>45</v>
      </c>
      <c r="Q1660">
        <v>2</v>
      </c>
      <c r="R1660" t="s">
        <v>110</v>
      </c>
      <c r="S1660" t="s">
        <v>79</v>
      </c>
      <c r="T1660" t="str">
        <f>VLOOKUP(S1660,'Mapa Oficinas'!$H$7:$I$16,2,FALSE)</f>
        <v>CB</v>
      </c>
      <c r="U1660" t="s">
        <v>29</v>
      </c>
      <c r="V1660" t="str">
        <f>VLOOKUP($R1660,'Mapa Oficinas'!$A$7:$C$46,2,FALSE)</f>
        <v>Zona Norte (GBA)</v>
      </c>
      <c r="W1660" t="str">
        <f>VLOOKUP($R1660,'Mapa Oficinas'!$A$7:$C$46,3,FALSE)</f>
        <v>Nordelta</v>
      </c>
    </row>
    <row r="1661" spans="1:23" x14ac:dyDescent="0.2">
      <c r="A1661" s="1">
        <v>46045</v>
      </c>
      <c r="B1661" s="20">
        <f t="shared" si="50"/>
        <v>2026</v>
      </c>
      <c r="C1661" s="20">
        <f t="shared" si="51"/>
        <v>1</v>
      </c>
      <c r="D1661" t="s">
        <v>6389</v>
      </c>
      <c r="E1661" s="49">
        <v>1</v>
      </c>
      <c r="F1661" t="s">
        <v>6390</v>
      </c>
      <c r="G1661" t="s">
        <v>21</v>
      </c>
      <c r="H1661" t="s">
        <v>37</v>
      </c>
      <c r="I1661" s="13">
        <v>140000</v>
      </c>
      <c r="J1661" s="13">
        <v>136000</v>
      </c>
      <c r="K1661" s="13">
        <f>IF(J1661&lt;'Mapa Oficinas'!$I$21,0,IF(J1661&gt;'Mapa Oficinas'!$I$20,0,1))</f>
        <v>1</v>
      </c>
      <c r="L1661" t="s">
        <v>23</v>
      </c>
      <c r="M1661" t="s">
        <v>23</v>
      </c>
      <c r="N1661" t="s">
        <v>6391</v>
      </c>
      <c r="O1661" t="s">
        <v>1511</v>
      </c>
      <c r="P1661" t="s">
        <v>34</v>
      </c>
      <c r="Q1661">
        <v>2</v>
      </c>
      <c r="R1661" t="s">
        <v>110</v>
      </c>
      <c r="S1661" t="s">
        <v>79</v>
      </c>
      <c r="T1661" t="str">
        <f>VLOOKUP(S1661,'Mapa Oficinas'!$H$7:$I$16,2,FALSE)</f>
        <v>CB</v>
      </c>
      <c r="U1661" t="s">
        <v>29</v>
      </c>
      <c r="V1661" t="str">
        <f>VLOOKUP($R1661,'Mapa Oficinas'!$A$7:$C$46,2,FALSE)</f>
        <v>Zona Norte (GBA)</v>
      </c>
      <c r="W1661" t="str">
        <f>VLOOKUP($R1661,'Mapa Oficinas'!$A$7:$C$46,3,FALSE)</f>
        <v>Nordelta</v>
      </c>
    </row>
    <row r="1662" spans="1:23" x14ac:dyDescent="0.2">
      <c r="A1662" s="1">
        <v>46062</v>
      </c>
      <c r="B1662" s="20">
        <f t="shared" si="50"/>
        <v>2026</v>
      </c>
      <c r="C1662" s="20">
        <f t="shared" si="51"/>
        <v>2</v>
      </c>
      <c r="D1662" t="s">
        <v>6606</v>
      </c>
      <c r="E1662" s="49">
        <v>1</v>
      </c>
      <c r="F1662" t="s">
        <v>6607</v>
      </c>
      <c r="G1662" t="s">
        <v>21</v>
      </c>
      <c r="H1662" t="s">
        <v>37</v>
      </c>
      <c r="I1662" s="13">
        <v>136000</v>
      </c>
      <c r="J1662" s="13">
        <v>136000</v>
      </c>
      <c r="K1662" s="13">
        <f>IF(J1662&lt;'Mapa Oficinas'!$I$21,0,IF(J1662&gt;'Mapa Oficinas'!$I$20,0,1))</f>
        <v>1</v>
      </c>
      <c r="L1662" t="s">
        <v>23</v>
      </c>
      <c r="M1662" t="s">
        <v>23</v>
      </c>
      <c r="N1662" t="s">
        <v>6608</v>
      </c>
      <c r="O1662" t="s">
        <v>897</v>
      </c>
      <c r="P1662" t="s">
        <v>45</v>
      </c>
      <c r="Q1662">
        <v>1</v>
      </c>
      <c r="R1662" t="s">
        <v>670</v>
      </c>
      <c r="S1662" t="s">
        <v>47</v>
      </c>
      <c r="T1662" t="str">
        <f>VLOOKUP(S1662,'Mapa Oficinas'!$H$7:$I$16,2,FALSE)</f>
        <v>Otra Red Búsqueda</v>
      </c>
      <c r="U1662" t="s">
        <v>29</v>
      </c>
      <c r="V1662" t="str">
        <f>VLOOKUP($R1662,'Mapa Oficinas'!$A$7:$C$46,2,FALSE)</f>
        <v>CABA</v>
      </c>
      <c r="W1662" t="str">
        <f>VLOOKUP($R1662,'Mapa Oficinas'!$A$7:$C$46,3,FALSE)</f>
        <v>Recoleta</v>
      </c>
    </row>
    <row r="1663" spans="1:23" x14ac:dyDescent="0.2">
      <c r="A1663" s="1">
        <v>45807</v>
      </c>
      <c r="B1663" s="20">
        <f t="shared" si="50"/>
        <v>2025</v>
      </c>
      <c r="C1663" s="20">
        <f t="shared" si="51"/>
        <v>5</v>
      </c>
      <c r="D1663" s="17" t="s">
        <v>308</v>
      </c>
      <c r="E1663" s="50">
        <v>3</v>
      </c>
      <c r="F1663" s="17" t="s">
        <v>309</v>
      </c>
      <c r="G1663" s="17" t="s">
        <v>21</v>
      </c>
      <c r="H1663" s="17" t="s">
        <v>76</v>
      </c>
      <c r="I1663" s="18">
        <v>125000</v>
      </c>
      <c r="J1663" s="18">
        <v>136000</v>
      </c>
      <c r="K1663" s="13">
        <f>IF(J1663&lt;'Mapa Oficinas'!$I$21,0,IF(J1663&gt;'Mapa Oficinas'!$I$20,0,1))</f>
        <v>1</v>
      </c>
      <c r="L1663" t="s">
        <v>23</v>
      </c>
      <c r="M1663" t="s">
        <v>23</v>
      </c>
      <c r="N1663" t="s">
        <v>310</v>
      </c>
      <c r="O1663" t="s">
        <v>182</v>
      </c>
      <c r="P1663" t="s">
        <v>45</v>
      </c>
      <c r="Q1663">
        <v>2</v>
      </c>
      <c r="R1663" t="s">
        <v>130</v>
      </c>
      <c r="S1663" t="s">
        <v>241</v>
      </c>
      <c r="T1663" t="str">
        <f>VLOOKUP(S1663,'Mapa Oficinas'!$H$7:$I$16,2,FALSE)</f>
        <v>CB</v>
      </c>
      <c r="U1663" t="s">
        <v>29</v>
      </c>
      <c r="V1663" t="str">
        <f>VLOOKUP($R1663,'Mapa Oficinas'!$A$7:$C$46,2,FALSE)</f>
        <v>Interior - Neuquén</v>
      </c>
      <c r="W1663" t="str">
        <f>VLOOKUP($R1663,'Mapa Oficinas'!$A$7:$C$46,3,FALSE)</f>
        <v>San Martín de los Andes</v>
      </c>
    </row>
    <row r="1664" spans="1:23" x14ac:dyDescent="0.2">
      <c r="A1664" s="1">
        <v>45678</v>
      </c>
      <c r="B1664" s="20">
        <f t="shared" si="50"/>
        <v>2025</v>
      </c>
      <c r="C1664" s="20">
        <f t="shared" si="51"/>
        <v>1</v>
      </c>
      <c r="D1664" t="s">
        <v>308</v>
      </c>
      <c r="E1664" s="49">
        <v>1</v>
      </c>
      <c r="F1664" t="s">
        <v>309</v>
      </c>
      <c r="G1664" t="s">
        <v>21</v>
      </c>
      <c r="H1664" t="s">
        <v>37</v>
      </c>
      <c r="I1664" s="13">
        <v>125000</v>
      </c>
      <c r="J1664" s="13">
        <v>136000</v>
      </c>
      <c r="K1664" s="13">
        <f>IF(J1664&lt;'Mapa Oficinas'!$I$21,0,IF(J1664&gt;'Mapa Oficinas'!$I$20,0,1))</f>
        <v>1</v>
      </c>
      <c r="L1664" t="s">
        <v>23</v>
      </c>
      <c r="M1664" t="s">
        <v>23</v>
      </c>
      <c r="N1664" t="s">
        <v>310</v>
      </c>
      <c r="O1664" t="s">
        <v>182</v>
      </c>
      <c r="P1664" t="s">
        <v>45</v>
      </c>
      <c r="Q1664">
        <v>2</v>
      </c>
      <c r="R1664" t="s">
        <v>183</v>
      </c>
      <c r="S1664" t="s">
        <v>28</v>
      </c>
      <c r="T1664" t="str">
        <f>VLOOKUP(S1664,'Mapa Oficinas'!$H$7:$I$16,2,FALSE)</f>
        <v>CB</v>
      </c>
      <c r="U1664" t="s">
        <v>29</v>
      </c>
      <c r="V1664" t="str">
        <f>VLOOKUP($R1664,'Mapa Oficinas'!$A$7:$C$46,2,FALSE)</f>
        <v>Interior - Neuquén</v>
      </c>
      <c r="W1664" t="str">
        <f>VLOOKUP($R1664,'Mapa Oficinas'!$A$7:$C$46,3,FALSE)</f>
        <v>Capital Neuquén</v>
      </c>
    </row>
    <row r="1665" spans="1:23" x14ac:dyDescent="0.2">
      <c r="A1665" s="1">
        <v>45777</v>
      </c>
      <c r="B1665" s="20">
        <f t="shared" si="50"/>
        <v>2025</v>
      </c>
      <c r="C1665" s="20">
        <f t="shared" si="51"/>
        <v>4</v>
      </c>
      <c r="D1665" t="s">
        <v>1738</v>
      </c>
      <c r="E1665" s="49">
        <v>1</v>
      </c>
      <c r="F1665" t="s">
        <v>1739</v>
      </c>
      <c r="G1665" t="s">
        <v>21</v>
      </c>
      <c r="H1665" t="s">
        <v>37</v>
      </c>
      <c r="I1665" s="13">
        <v>140000</v>
      </c>
      <c r="J1665" s="13">
        <v>136000</v>
      </c>
      <c r="K1665" s="13">
        <f>IF(J1665&lt;'Mapa Oficinas'!$I$21,0,IF(J1665&gt;'Mapa Oficinas'!$I$20,0,1))</f>
        <v>1</v>
      </c>
      <c r="L1665" t="s">
        <v>23</v>
      </c>
      <c r="M1665" t="s">
        <v>23</v>
      </c>
      <c r="N1665" t="s">
        <v>1740</v>
      </c>
      <c r="O1665" t="s">
        <v>380</v>
      </c>
      <c r="P1665" t="s">
        <v>45</v>
      </c>
      <c r="Q1665">
        <v>2</v>
      </c>
      <c r="R1665" t="s">
        <v>67</v>
      </c>
      <c r="S1665" t="s">
        <v>28</v>
      </c>
      <c r="T1665" t="str">
        <f>VLOOKUP(S1665,'Mapa Oficinas'!$H$7:$I$16,2,FALSE)</f>
        <v>CB</v>
      </c>
      <c r="U1665" t="s">
        <v>29</v>
      </c>
      <c r="V1665" t="str">
        <f>VLOOKUP($R1665,'Mapa Oficinas'!$A$7:$C$46,2,FALSE)</f>
        <v>CABA</v>
      </c>
      <c r="W1665" t="str">
        <f>VLOOKUP($R1665,'Mapa Oficinas'!$A$7:$C$46,3,FALSE)</f>
        <v>Barrio Parque</v>
      </c>
    </row>
    <row r="1666" spans="1:23" x14ac:dyDescent="0.2">
      <c r="A1666" s="1">
        <v>45904</v>
      </c>
      <c r="B1666" s="20">
        <f t="shared" ref="B1666:B1729" si="52">YEAR($A1666)</f>
        <v>2025</v>
      </c>
      <c r="C1666" s="20">
        <f t="shared" ref="C1666:C1729" si="53">MONTH($A1666)</f>
        <v>9</v>
      </c>
      <c r="D1666" t="s">
        <v>3989</v>
      </c>
      <c r="E1666" s="49">
        <v>1</v>
      </c>
      <c r="F1666" t="s">
        <v>3990</v>
      </c>
      <c r="G1666" t="s">
        <v>21</v>
      </c>
      <c r="H1666" t="s">
        <v>37</v>
      </c>
      <c r="I1666" s="13">
        <v>149000</v>
      </c>
      <c r="J1666" s="13">
        <v>136000</v>
      </c>
      <c r="K1666" s="13">
        <f>IF(J1666&lt;'Mapa Oficinas'!$I$21,0,IF(J1666&gt;'Mapa Oficinas'!$I$20,0,1))</f>
        <v>1</v>
      </c>
      <c r="L1666" t="s">
        <v>23</v>
      </c>
      <c r="M1666" t="s">
        <v>23</v>
      </c>
      <c r="N1666" t="s">
        <v>3991</v>
      </c>
      <c r="O1666" t="s">
        <v>92</v>
      </c>
      <c r="P1666" t="s">
        <v>61</v>
      </c>
      <c r="Q1666">
        <v>2</v>
      </c>
      <c r="R1666" t="s">
        <v>67</v>
      </c>
      <c r="S1666" t="s">
        <v>28</v>
      </c>
      <c r="T1666" t="str">
        <f>VLOOKUP(S1666,'Mapa Oficinas'!$H$7:$I$16,2,FALSE)</f>
        <v>CB</v>
      </c>
      <c r="U1666" t="s">
        <v>29</v>
      </c>
      <c r="V1666" t="str">
        <f>VLOOKUP($R1666,'Mapa Oficinas'!$A$7:$C$46,2,FALSE)</f>
        <v>CABA</v>
      </c>
      <c r="W1666" t="str">
        <f>VLOOKUP($R1666,'Mapa Oficinas'!$A$7:$C$46,3,FALSE)</f>
        <v>Barrio Parque</v>
      </c>
    </row>
    <row r="1667" spans="1:23" x14ac:dyDescent="0.2">
      <c r="A1667" s="1">
        <v>46034</v>
      </c>
      <c r="B1667" s="20">
        <f t="shared" si="52"/>
        <v>2026</v>
      </c>
      <c r="C1667" s="20">
        <f t="shared" si="53"/>
        <v>1</v>
      </c>
      <c r="D1667" t="s">
        <v>6179</v>
      </c>
      <c r="E1667" s="49">
        <v>1</v>
      </c>
      <c r="F1667" t="s">
        <v>6180</v>
      </c>
      <c r="G1667" t="s">
        <v>21</v>
      </c>
      <c r="H1667" t="s">
        <v>37</v>
      </c>
      <c r="I1667" s="13">
        <v>139000</v>
      </c>
      <c r="J1667" s="13">
        <v>136000</v>
      </c>
      <c r="K1667" s="13">
        <f>IF(J1667&lt;'Mapa Oficinas'!$I$21,0,IF(J1667&gt;'Mapa Oficinas'!$I$20,0,1))</f>
        <v>1</v>
      </c>
      <c r="L1667" t="s">
        <v>23</v>
      </c>
      <c r="M1667" t="s">
        <v>23</v>
      </c>
      <c r="N1667" t="s">
        <v>6181</v>
      </c>
      <c r="O1667" t="s">
        <v>6182</v>
      </c>
      <c r="P1667" t="s">
        <v>45</v>
      </c>
      <c r="Q1667">
        <v>2</v>
      </c>
      <c r="R1667" t="s">
        <v>67</v>
      </c>
      <c r="S1667" t="s">
        <v>28</v>
      </c>
      <c r="T1667" t="str">
        <f>VLOOKUP(S1667,'Mapa Oficinas'!$H$7:$I$16,2,FALSE)</f>
        <v>CB</v>
      </c>
      <c r="U1667" t="s">
        <v>29</v>
      </c>
      <c r="V1667" t="str">
        <f>VLOOKUP($R1667,'Mapa Oficinas'!$A$7:$C$46,2,FALSE)</f>
        <v>CABA</v>
      </c>
      <c r="W1667" t="str">
        <f>VLOOKUP($R1667,'Mapa Oficinas'!$A$7:$C$46,3,FALSE)</f>
        <v>Barrio Parque</v>
      </c>
    </row>
    <row r="1668" spans="1:23" x14ac:dyDescent="0.2">
      <c r="A1668" s="1">
        <v>45944</v>
      </c>
      <c r="B1668" s="20">
        <f t="shared" si="52"/>
        <v>2025</v>
      </c>
      <c r="C1668" s="20">
        <f t="shared" si="53"/>
        <v>10</v>
      </c>
      <c r="D1668" t="s">
        <v>3209</v>
      </c>
      <c r="E1668" s="49">
        <v>0</v>
      </c>
      <c r="F1668" t="s">
        <v>858</v>
      </c>
      <c r="G1668" t="s">
        <v>21</v>
      </c>
      <c r="H1668" t="s">
        <v>37</v>
      </c>
      <c r="I1668" s="13">
        <v>136053</v>
      </c>
      <c r="J1668" s="13">
        <v>136053</v>
      </c>
      <c r="K1668" s="13">
        <f>IF(J1668&lt;'Mapa Oficinas'!$I$21,0,IF(J1668&gt;'Mapa Oficinas'!$I$20,0,1))</f>
        <v>1</v>
      </c>
      <c r="L1668" t="s">
        <v>23</v>
      </c>
      <c r="M1668" t="s">
        <v>23</v>
      </c>
      <c r="N1668" t="s">
        <v>859</v>
      </c>
      <c r="O1668" t="s">
        <v>860</v>
      </c>
      <c r="P1668" t="s">
        <v>45</v>
      </c>
      <c r="Q1668">
        <v>2</v>
      </c>
      <c r="R1668" t="s">
        <v>84</v>
      </c>
      <c r="S1668" t="s">
        <v>79</v>
      </c>
      <c r="T1668" t="str">
        <f>VLOOKUP(S1668,'Mapa Oficinas'!$H$7:$I$16,2,FALSE)</f>
        <v>CB</v>
      </c>
      <c r="U1668" t="s">
        <v>29</v>
      </c>
      <c r="V1668" t="str">
        <f>VLOOKUP($R1668,'Mapa Oficinas'!$A$7:$C$46,2,FALSE)</f>
        <v>Interior - Neuquén</v>
      </c>
      <c r="W1668" t="str">
        <f>VLOOKUP($R1668,'Mapa Oficinas'!$A$7:$C$46,3,FALSE)</f>
        <v>Villa La Angostura</v>
      </c>
    </row>
    <row r="1669" spans="1:23" x14ac:dyDescent="0.2">
      <c r="A1669" s="1">
        <v>45898</v>
      </c>
      <c r="B1669" s="20">
        <f t="shared" si="52"/>
        <v>2025</v>
      </c>
      <c r="C1669" s="20">
        <f t="shared" si="53"/>
        <v>8</v>
      </c>
      <c r="D1669" t="s">
        <v>3888</v>
      </c>
      <c r="E1669" s="49">
        <v>1</v>
      </c>
      <c r="F1669" t="s">
        <v>3889</v>
      </c>
      <c r="G1669" t="s">
        <v>21</v>
      </c>
      <c r="H1669" t="s">
        <v>100</v>
      </c>
      <c r="I1669" s="13">
        <v>136080</v>
      </c>
      <c r="J1669" s="13">
        <v>136080</v>
      </c>
      <c r="K1669" s="13">
        <f>IF(J1669&lt;'Mapa Oficinas'!$I$21,0,IF(J1669&gt;'Mapa Oficinas'!$I$20,0,1))</f>
        <v>1</v>
      </c>
      <c r="L1669" t="s">
        <v>23</v>
      </c>
      <c r="M1669" t="s">
        <v>23</v>
      </c>
      <c r="N1669" t="s">
        <v>3890</v>
      </c>
      <c r="O1669" t="s">
        <v>120</v>
      </c>
      <c r="P1669" t="s">
        <v>45</v>
      </c>
      <c r="Q1669">
        <v>2</v>
      </c>
      <c r="R1669" t="s">
        <v>121</v>
      </c>
      <c r="S1669" t="s">
        <v>28</v>
      </c>
      <c r="T1669" t="str">
        <f>VLOOKUP(S1669,'Mapa Oficinas'!$H$7:$I$16,2,FALSE)</f>
        <v>CB</v>
      </c>
      <c r="U1669" t="s">
        <v>29</v>
      </c>
      <c r="V1669" t="str">
        <f>VLOOKUP($R1669,'Mapa Oficinas'!$A$7:$C$46,2,FALSE)</f>
        <v>Interior - Río Negro</v>
      </c>
      <c r="W1669" t="str">
        <f>VLOOKUP($R1669,'Mapa Oficinas'!$A$7:$C$46,3,FALSE)</f>
        <v>Bariloche</v>
      </c>
    </row>
    <row r="1670" spans="1:23" x14ac:dyDescent="0.2">
      <c r="A1670" s="1">
        <v>45992</v>
      </c>
      <c r="B1670" s="20">
        <f t="shared" si="52"/>
        <v>2025</v>
      </c>
      <c r="C1670" s="20">
        <f t="shared" si="53"/>
        <v>12</v>
      </c>
      <c r="D1670" t="s">
        <v>5561</v>
      </c>
      <c r="E1670" s="49">
        <v>1</v>
      </c>
      <c r="F1670" t="s">
        <v>5562</v>
      </c>
      <c r="G1670" t="s">
        <v>21</v>
      </c>
      <c r="H1670" t="s">
        <v>37</v>
      </c>
      <c r="I1670" s="13">
        <v>0</v>
      </c>
      <c r="J1670" s="13">
        <v>136500</v>
      </c>
      <c r="K1670" s="13">
        <f>IF(J1670&lt;'Mapa Oficinas'!$I$21,0,IF(J1670&gt;'Mapa Oficinas'!$I$20,0,1))</f>
        <v>1</v>
      </c>
      <c r="L1670" t="s">
        <v>23</v>
      </c>
      <c r="M1670" t="s">
        <v>23</v>
      </c>
      <c r="O1670" t="s">
        <v>581</v>
      </c>
      <c r="P1670" t="s">
        <v>34</v>
      </c>
      <c r="Q1670">
        <v>1</v>
      </c>
      <c r="R1670" t="s">
        <v>151</v>
      </c>
      <c r="S1670" t="s">
        <v>122</v>
      </c>
      <c r="T1670" t="str">
        <f>VLOOKUP(S1670,'Mapa Oficinas'!$H$7:$I$16,2,FALSE)</f>
        <v>Otra Red Búsqueda</v>
      </c>
      <c r="U1670" t="s">
        <v>29</v>
      </c>
      <c r="V1670" t="str">
        <f>VLOOKUP($R1670,'Mapa Oficinas'!$A$7:$C$46,2,FALSE)</f>
        <v>Interior - Mendoza</v>
      </c>
      <c r="W1670" t="str">
        <f>VLOOKUP($R1670,'Mapa Oficinas'!$A$7:$C$46,3,FALSE)</f>
        <v>Capital Mendoza</v>
      </c>
    </row>
    <row r="1671" spans="1:23" x14ac:dyDescent="0.2">
      <c r="A1671" s="1">
        <v>46030</v>
      </c>
      <c r="B1671" s="20">
        <f t="shared" si="52"/>
        <v>2026</v>
      </c>
      <c r="C1671" s="20">
        <f t="shared" si="53"/>
        <v>1</v>
      </c>
      <c r="D1671" t="s">
        <v>6143</v>
      </c>
      <c r="E1671" s="49">
        <v>1</v>
      </c>
      <c r="F1671" t="s">
        <v>6144</v>
      </c>
      <c r="G1671" t="s">
        <v>21</v>
      </c>
      <c r="H1671" t="s">
        <v>37</v>
      </c>
      <c r="I1671" s="13">
        <v>135000</v>
      </c>
      <c r="J1671" s="13">
        <v>137000</v>
      </c>
      <c r="K1671" s="13">
        <f>IF(J1671&lt;'Mapa Oficinas'!$I$21,0,IF(J1671&gt;'Mapa Oficinas'!$I$20,0,1))</f>
        <v>1</v>
      </c>
      <c r="L1671" t="s">
        <v>23</v>
      </c>
      <c r="M1671" t="s">
        <v>23</v>
      </c>
      <c r="N1671" t="s">
        <v>6145</v>
      </c>
      <c r="O1671" t="s">
        <v>6146</v>
      </c>
      <c r="P1671" t="s">
        <v>26</v>
      </c>
      <c r="Q1671">
        <v>1</v>
      </c>
      <c r="R1671" t="s">
        <v>110</v>
      </c>
      <c r="S1671" t="s">
        <v>47</v>
      </c>
      <c r="T1671" t="str">
        <f>VLOOKUP(S1671,'Mapa Oficinas'!$H$7:$I$16,2,FALSE)</f>
        <v>Otra Red Búsqueda</v>
      </c>
      <c r="U1671" t="s">
        <v>29</v>
      </c>
      <c r="V1671" t="str">
        <f>VLOOKUP($R1671,'Mapa Oficinas'!$A$7:$C$46,2,FALSE)</f>
        <v>Zona Norte (GBA)</v>
      </c>
      <c r="W1671" t="str">
        <f>VLOOKUP($R1671,'Mapa Oficinas'!$A$7:$C$46,3,FALSE)</f>
        <v>Nordelta</v>
      </c>
    </row>
    <row r="1672" spans="1:23" x14ac:dyDescent="0.2">
      <c r="A1672" s="1">
        <v>45671</v>
      </c>
      <c r="B1672" s="20">
        <f t="shared" si="52"/>
        <v>2025</v>
      </c>
      <c r="C1672" s="20">
        <f t="shared" si="53"/>
        <v>1</v>
      </c>
      <c r="D1672" t="s">
        <v>213</v>
      </c>
      <c r="E1672" s="49">
        <v>1</v>
      </c>
      <c r="F1672" t="s">
        <v>214</v>
      </c>
      <c r="G1672" t="s">
        <v>21</v>
      </c>
      <c r="H1672" t="s">
        <v>37</v>
      </c>
      <c r="I1672" s="13">
        <v>145000</v>
      </c>
      <c r="J1672" s="13">
        <v>137000</v>
      </c>
      <c r="K1672" s="13">
        <f>IF(J1672&lt;'Mapa Oficinas'!$I$21,0,IF(J1672&gt;'Mapa Oficinas'!$I$20,0,1))</f>
        <v>1</v>
      </c>
      <c r="L1672" t="s">
        <v>23</v>
      </c>
      <c r="M1672" t="s">
        <v>23</v>
      </c>
      <c r="N1672" t="s">
        <v>215</v>
      </c>
      <c r="O1672" t="s">
        <v>25</v>
      </c>
      <c r="P1672" t="s">
        <v>45</v>
      </c>
      <c r="Q1672">
        <v>2</v>
      </c>
      <c r="R1672" t="s">
        <v>67</v>
      </c>
      <c r="S1672" t="s">
        <v>28</v>
      </c>
      <c r="T1672" t="str">
        <f>VLOOKUP(S1672,'Mapa Oficinas'!$H$7:$I$16,2,FALSE)</f>
        <v>CB</v>
      </c>
      <c r="U1672" t="s">
        <v>29</v>
      </c>
      <c r="V1672" t="str">
        <f>VLOOKUP($R1672,'Mapa Oficinas'!$A$7:$C$46,2,FALSE)</f>
        <v>CABA</v>
      </c>
      <c r="W1672" t="str">
        <f>VLOOKUP($R1672,'Mapa Oficinas'!$A$7:$C$46,3,FALSE)</f>
        <v>Barrio Parque</v>
      </c>
    </row>
    <row r="1673" spans="1:23" x14ac:dyDescent="0.2">
      <c r="A1673" s="1">
        <v>45806</v>
      </c>
      <c r="B1673" s="20">
        <f t="shared" si="52"/>
        <v>2025</v>
      </c>
      <c r="C1673" s="20">
        <f t="shared" si="53"/>
        <v>5</v>
      </c>
      <c r="D1673" t="s">
        <v>2205</v>
      </c>
      <c r="E1673" s="49">
        <v>1</v>
      </c>
      <c r="F1673" t="s">
        <v>2206</v>
      </c>
      <c r="G1673" t="s">
        <v>21</v>
      </c>
      <c r="H1673" t="s">
        <v>37</v>
      </c>
      <c r="I1673" s="13">
        <v>139800</v>
      </c>
      <c r="J1673" s="13">
        <v>137000</v>
      </c>
      <c r="K1673" s="13">
        <f>IF(J1673&lt;'Mapa Oficinas'!$I$21,0,IF(J1673&gt;'Mapa Oficinas'!$I$20,0,1))</f>
        <v>1</v>
      </c>
      <c r="L1673" t="s">
        <v>23</v>
      </c>
      <c r="M1673" t="s">
        <v>23</v>
      </c>
      <c r="N1673" t="s">
        <v>2207</v>
      </c>
      <c r="O1673" t="s">
        <v>804</v>
      </c>
      <c r="P1673" t="s">
        <v>61</v>
      </c>
      <c r="Q1673">
        <v>2</v>
      </c>
      <c r="R1673" t="s">
        <v>46</v>
      </c>
      <c r="S1673" t="s">
        <v>28</v>
      </c>
      <c r="T1673" t="str">
        <f>VLOOKUP(S1673,'Mapa Oficinas'!$H$7:$I$16,2,FALSE)</f>
        <v>CB</v>
      </c>
      <c r="U1673" t="s">
        <v>29</v>
      </c>
      <c r="V1673" t="str">
        <f>VLOOKUP($R1673,'Mapa Oficinas'!$A$7:$C$46,2,FALSE)</f>
        <v>CABA</v>
      </c>
      <c r="W1673" t="str">
        <f>VLOOKUP($R1673,'Mapa Oficinas'!$A$7:$C$46,3,FALSE)</f>
        <v>Palermo</v>
      </c>
    </row>
    <row r="1674" spans="1:23" x14ac:dyDescent="0.2">
      <c r="A1674" s="1">
        <v>46049</v>
      </c>
      <c r="B1674" s="20">
        <f t="shared" si="52"/>
        <v>2026</v>
      </c>
      <c r="C1674" s="20">
        <f t="shared" si="53"/>
        <v>1</v>
      </c>
      <c r="E1674" s="49">
        <v>1</v>
      </c>
      <c r="F1674" t="s">
        <v>6417</v>
      </c>
      <c r="G1674" t="s">
        <v>21</v>
      </c>
      <c r="H1674" t="s">
        <v>37</v>
      </c>
      <c r="I1674" s="13">
        <v>137500</v>
      </c>
      <c r="J1674" s="13">
        <v>137500</v>
      </c>
      <c r="K1674" s="13">
        <f>IF(J1674&lt;'Mapa Oficinas'!$I$21,0,IF(J1674&gt;'Mapa Oficinas'!$I$20,0,1))</f>
        <v>1</v>
      </c>
      <c r="L1674" t="s">
        <v>23</v>
      </c>
      <c r="M1674" t="s">
        <v>23</v>
      </c>
      <c r="N1674" t="s">
        <v>6418</v>
      </c>
      <c r="O1674" t="s">
        <v>797</v>
      </c>
      <c r="P1674" t="s">
        <v>45</v>
      </c>
      <c r="Q1674">
        <v>1</v>
      </c>
      <c r="R1674" t="s">
        <v>135</v>
      </c>
      <c r="S1674" t="s">
        <v>47</v>
      </c>
      <c r="T1674" t="str">
        <f>VLOOKUP(S1674,'Mapa Oficinas'!$H$7:$I$16,2,FALSE)</f>
        <v>Otra Red Búsqueda</v>
      </c>
      <c r="U1674" t="s">
        <v>29</v>
      </c>
      <c r="V1674" t="str">
        <f>VLOOKUP($R1674,'Mapa Oficinas'!$A$7:$C$46,2,FALSE)</f>
        <v>CABA</v>
      </c>
      <c r="W1674" t="str">
        <f>VLOOKUP($R1674,'Mapa Oficinas'!$A$7:$C$46,3,FALSE)</f>
        <v>Recoleta</v>
      </c>
    </row>
    <row r="1675" spans="1:23" x14ac:dyDescent="0.2">
      <c r="A1675" s="1">
        <v>45979</v>
      </c>
      <c r="B1675" s="20">
        <f t="shared" si="52"/>
        <v>2025</v>
      </c>
      <c r="C1675" s="20">
        <f t="shared" si="53"/>
        <v>11</v>
      </c>
      <c r="D1675" t="s">
        <v>5294</v>
      </c>
      <c r="E1675" s="49">
        <v>1</v>
      </c>
      <c r="F1675" t="s">
        <v>5295</v>
      </c>
      <c r="G1675" t="s">
        <v>21</v>
      </c>
      <c r="H1675" t="s">
        <v>100</v>
      </c>
      <c r="I1675" s="13">
        <v>139000</v>
      </c>
      <c r="J1675" s="13">
        <v>138000</v>
      </c>
      <c r="K1675" s="13">
        <f>IF(J1675&lt;'Mapa Oficinas'!$I$21,0,IF(J1675&gt;'Mapa Oficinas'!$I$20,0,1))</f>
        <v>1</v>
      </c>
      <c r="L1675" t="s">
        <v>23</v>
      </c>
      <c r="M1675" t="s">
        <v>23</v>
      </c>
      <c r="N1675" t="s">
        <v>3346</v>
      </c>
      <c r="O1675" t="s">
        <v>3347</v>
      </c>
      <c r="P1675" t="s">
        <v>61</v>
      </c>
      <c r="Q1675">
        <v>2</v>
      </c>
      <c r="R1675" t="s">
        <v>121</v>
      </c>
      <c r="S1675" t="s">
        <v>79</v>
      </c>
      <c r="T1675" t="str">
        <f>VLOOKUP(S1675,'Mapa Oficinas'!$H$7:$I$16,2,FALSE)</f>
        <v>CB</v>
      </c>
      <c r="U1675" t="s">
        <v>29</v>
      </c>
      <c r="V1675" t="str">
        <f>VLOOKUP($R1675,'Mapa Oficinas'!$A$7:$C$46,2,FALSE)</f>
        <v>Interior - Río Negro</v>
      </c>
      <c r="W1675" t="str">
        <f>VLOOKUP($R1675,'Mapa Oficinas'!$A$7:$C$46,3,FALSE)</f>
        <v>Bariloche</v>
      </c>
    </row>
    <row r="1676" spans="1:23" x14ac:dyDescent="0.2">
      <c r="A1676" s="1">
        <v>45880</v>
      </c>
      <c r="B1676" s="20">
        <f t="shared" si="52"/>
        <v>2025</v>
      </c>
      <c r="C1676" s="20">
        <f t="shared" si="53"/>
        <v>8</v>
      </c>
      <c r="D1676">
        <v>12</v>
      </c>
      <c r="E1676" s="49">
        <v>1</v>
      </c>
      <c r="F1676" t="s">
        <v>3518</v>
      </c>
      <c r="G1676" t="s">
        <v>21</v>
      </c>
      <c r="H1676" t="s">
        <v>362</v>
      </c>
      <c r="I1676" s="13">
        <v>130000</v>
      </c>
      <c r="J1676" s="13">
        <v>138000</v>
      </c>
      <c r="K1676" s="13">
        <f>IF(J1676&lt;'Mapa Oficinas'!$I$21,0,IF(J1676&gt;'Mapa Oficinas'!$I$20,0,1))</f>
        <v>1</v>
      </c>
      <c r="L1676" t="s">
        <v>23</v>
      </c>
      <c r="M1676" t="s">
        <v>23</v>
      </c>
      <c r="N1676" t="s">
        <v>3518</v>
      </c>
      <c r="O1676" t="s">
        <v>3519</v>
      </c>
      <c r="P1676" t="s">
        <v>45</v>
      </c>
      <c r="Q1676">
        <v>1</v>
      </c>
      <c r="R1676" t="s">
        <v>1024</v>
      </c>
      <c r="S1676" t="s">
        <v>47</v>
      </c>
      <c r="T1676" t="str">
        <f>VLOOKUP(S1676,'Mapa Oficinas'!$H$7:$I$16,2,FALSE)</f>
        <v>Otra Red Búsqueda</v>
      </c>
      <c r="U1676" t="s">
        <v>29</v>
      </c>
      <c r="V1676" t="str">
        <f>VLOOKUP($R1676,'Mapa Oficinas'!$A$7:$C$46,2,FALSE)</f>
        <v>CABA</v>
      </c>
      <c r="W1676" t="str">
        <f>VLOOKUP($R1676,'Mapa Oficinas'!$A$7:$C$46,3,FALSE)</f>
        <v>Puerto Madero</v>
      </c>
    </row>
    <row r="1677" spans="1:23" x14ac:dyDescent="0.2">
      <c r="A1677" s="1">
        <v>45936</v>
      </c>
      <c r="B1677" s="20">
        <f t="shared" si="52"/>
        <v>2025</v>
      </c>
      <c r="C1677" s="20">
        <f t="shared" si="53"/>
        <v>10</v>
      </c>
      <c r="D1677" t="s">
        <v>4524</v>
      </c>
      <c r="E1677" s="49">
        <v>1</v>
      </c>
      <c r="F1677" t="s">
        <v>4525</v>
      </c>
      <c r="G1677" t="s">
        <v>21</v>
      </c>
      <c r="H1677" t="s">
        <v>37</v>
      </c>
      <c r="I1677" s="13">
        <v>138000</v>
      </c>
      <c r="J1677" s="13">
        <v>138000</v>
      </c>
      <c r="K1677" s="13">
        <f>IF(J1677&lt;'Mapa Oficinas'!$I$21,0,IF(J1677&gt;'Mapa Oficinas'!$I$20,0,1))</f>
        <v>1</v>
      </c>
      <c r="L1677" t="s">
        <v>23</v>
      </c>
      <c r="M1677" t="s">
        <v>23</v>
      </c>
      <c r="N1677" t="s">
        <v>4526</v>
      </c>
      <c r="O1677" t="s">
        <v>440</v>
      </c>
      <c r="P1677" t="s">
        <v>45</v>
      </c>
      <c r="Q1677">
        <v>1</v>
      </c>
      <c r="R1677" t="s">
        <v>110</v>
      </c>
      <c r="S1677" t="s">
        <v>47</v>
      </c>
      <c r="T1677" t="str">
        <f>VLOOKUP(S1677,'Mapa Oficinas'!$H$7:$I$16,2,FALSE)</f>
        <v>Otra Red Búsqueda</v>
      </c>
      <c r="U1677" t="s">
        <v>29</v>
      </c>
      <c r="V1677" t="str">
        <f>VLOOKUP($R1677,'Mapa Oficinas'!$A$7:$C$46,2,FALSE)</f>
        <v>Zona Norte (GBA)</v>
      </c>
      <c r="W1677" t="str">
        <f>VLOOKUP($R1677,'Mapa Oficinas'!$A$7:$C$46,3,FALSE)</f>
        <v>Nordelta</v>
      </c>
    </row>
    <row r="1678" spans="1:23" x14ac:dyDescent="0.2">
      <c r="A1678" s="1">
        <v>46027</v>
      </c>
      <c r="B1678" s="20">
        <f t="shared" si="52"/>
        <v>2026</v>
      </c>
      <c r="C1678" s="20">
        <f t="shared" si="53"/>
        <v>1</v>
      </c>
      <c r="E1678" s="49">
        <v>1</v>
      </c>
      <c r="F1678" t="s">
        <v>6088</v>
      </c>
      <c r="G1678" t="s">
        <v>21</v>
      </c>
      <c r="H1678" t="s">
        <v>37</v>
      </c>
      <c r="I1678" s="13">
        <v>138000</v>
      </c>
      <c r="J1678" s="13">
        <v>138000</v>
      </c>
      <c r="K1678" s="13">
        <f>IF(J1678&lt;'Mapa Oficinas'!$I$21,0,IF(J1678&gt;'Mapa Oficinas'!$I$20,0,1))</f>
        <v>1</v>
      </c>
      <c r="L1678" t="s">
        <v>23</v>
      </c>
      <c r="M1678" t="s">
        <v>23</v>
      </c>
      <c r="N1678" t="s">
        <v>6090</v>
      </c>
      <c r="O1678" t="s">
        <v>190</v>
      </c>
      <c r="P1678" t="s">
        <v>26</v>
      </c>
      <c r="Q1678">
        <v>1</v>
      </c>
      <c r="R1678" t="s">
        <v>670</v>
      </c>
      <c r="S1678" t="s">
        <v>47</v>
      </c>
      <c r="T1678" t="str">
        <f>VLOOKUP(S1678,'Mapa Oficinas'!$H$7:$I$16,2,FALSE)</f>
        <v>Otra Red Búsqueda</v>
      </c>
      <c r="U1678" t="s">
        <v>29</v>
      </c>
      <c r="V1678" t="str">
        <f>VLOOKUP($R1678,'Mapa Oficinas'!$A$7:$C$46,2,FALSE)</f>
        <v>CABA</v>
      </c>
      <c r="W1678" t="str">
        <f>VLOOKUP($R1678,'Mapa Oficinas'!$A$7:$C$46,3,FALSE)</f>
        <v>Recoleta</v>
      </c>
    </row>
    <row r="1679" spans="1:23" x14ac:dyDescent="0.2">
      <c r="A1679" s="1">
        <v>45832</v>
      </c>
      <c r="B1679" s="20">
        <f t="shared" si="52"/>
        <v>2025</v>
      </c>
      <c r="C1679" s="20">
        <f t="shared" si="53"/>
        <v>6</v>
      </c>
      <c r="D1679" t="s">
        <v>2615</v>
      </c>
      <c r="E1679" s="49">
        <v>1</v>
      </c>
      <c r="F1679" t="s">
        <v>2616</v>
      </c>
      <c r="G1679" t="s">
        <v>21</v>
      </c>
      <c r="H1679" t="s">
        <v>37</v>
      </c>
      <c r="I1679" s="13">
        <v>149000</v>
      </c>
      <c r="J1679" s="13">
        <v>138000</v>
      </c>
      <c r="K1679" s="13">
        <f>IF(J1679&lt;'Mapa Oficinas'!$I$21,0,IF(J1679&gt;'Mapa Oficinas'!$I$20,0,1))</f>
        <v>1</v>
      </c>
      <c r="L1679" t="s">
        <v>23</v>
      </c>
      <c r="M1679" t="s">
        <v>23</v>
      </c>
      <c r="N1679" t="s">
        <v>2617</v>
      </c>
      <c r="O1679" t="s">
        <v>440</v>
      </c>
      <c r="P1679" t="s">
        <v>45</v>
      </c>
      <c r="Q1679">
        <v>2</v>
      </c>
      <c r="R1679" t="s">
        <v>1024</v>
      </c>
      <c r="S1679" t="s">
        <v>200</v>
      </c>
      <c r="T1679" t="str">
        <f>VLOOKUP(S1679,'Mapa Oficinas'!$H$7:$I$16,2,FALSE)</f>
        <v>Otra Red Captación</v>
      </c>
      <c r="U1679" t="s">
        <v>29</v>
      </c>
      <c r="V1679" t="str">
        <f>VLOOKUP($R1679,'Mapa Oficinas'!$A$7:$C$46,2,FALSE)</f>
        <v>CABA</v>
      </c>
      <c r="W1679" t="str">
        <f>VLOOKUP($R1679,'Mapa Oficinas'!$A$7:$C$46,3,FALSE)</f>
        <v>Puerto Madero</v>
      </c>
    </row>
    <row r="1680" spans="1:23" x14ac:dyDescent="0.2">
      <c r="A1680" s="1">
        <v>46014</v>
      </c>
      <c r="B1680" s="20">
        <f t="shared" si="52"/>
        <v>2025</v>
      </c>
      <c r="C1680" s="20">
        <f t="shared" si="53"/>
        <v>12</v>
      </c>
      <c r="D1680" t="s">
        <v>5987</v>
      </c>
      <c r="E1680" s="49">
        <v>1</v>
      </c>
      <c r="F1680" t="s">
        <v>5988</v>
      </c>
      <c r="G1680" t="s">
        <v>21</v>
      </c>
      <c r="H1680" t="s">
        <v>37</v>
      </c>
      <c r="I1680" s="13">
        <v>140000</v>
      </c>
      <c r="J1680" s="13">
        <v>138000</v>
      </c>
      <c r="K1680" s="13">
        <f>IF(J1680&lt;'Mapa Oficinas'!$I$21,0,IF(J1680&gt;'Mapa Oficinas'!$I$20,0,1))</f>
        <v>1</v>
      </c>
      <c r="L1680" t="s">
        <v>23</v>
      </c>
      <c r="M1680" t="s">
        <v>23</v>
      </c>
      <c r="N1680" t="s">
        <v>5989</v>
      </c>
      <c r="O1680" t="s">
        <v>5990</v>
      </c>
      <c r="P1680" t="s">
        <v>45</v>
      </c>
      <c r="Q1680">
        <v>2</v>
      </c>
      <c r="R1680" t="s">
        <v>110</v>
      </c>
      <c r="S1680" t="s">
        <v>28</v>
      </c>
      <c r="T1680" t="str">
        <f>VLOOKUP(S1680,'Mapa Oficinas'!$H$7:$I$16,2,FALSE)</f>
        <v>CB</v>
      </c>
      <c r="U1680" t="s">
        <v>29</v>
      </c>
      <c r="V1680" t="str">
        <f>VLOOKUP($R1680,'Mapa Oficinas'!$A$7:$C$46,2,FALSE)</f>
        <v>Zona Norte (GBA)</v>
      </c>
      <c r="W1680" t="str">
        <f>VLOOKUP($R1680,'Mapa Oficinas'!$A$7:$C$46,3,FALSE)</f>
        <v>Nordelta</v>
      </c>
    </row>
    <row r="1681" spans="1:23" x14ac:dyDescent="0.2">
      <c r="A1681" s="1">
        <v>46057</v>
      </c>
      <c r="B1681" s="20">
        <f t="shared" si="52"/>
        <v>2026</v>
      </c>
      <c r="C1681" s="20">
        <f t="shared" si="53"/>
        <v>2</v>
      </c>
      <c r="D1681" t="s">
        <v>6524</v>
      </c>
      <c r="E1681" s="49">
        <v>1</v>
      </c>
      <c r="F1681" t="s">
        <v>6525</v>
      </c>
      <c r="G1681" t="s">
        <v>21</v>
      </c>
      <c r="H1681" t="s">
        <v>90</v>
      </c>
      <c r="I1681" s="13">
        <v>146900</v>
      </c>
      <c r="J1681" s="13">
        <v>138000</v>
      </c>
      <c r="K1681" s="13">
        <f>IF(J1681&lt;'Mapa Oficinas'!$I$21,0,IF(J1681&gt;'Mapa Oficinas'!$I$20,0,1))</f>
        <v>1</v>
      </c>
      <c r="L1681" t="s">
        <v>23</v>
      </c>
      <c r="M1681" t="s">
        <v>23</v>
      </c>
      <c r="N1681" t="s">
        <v>6526</v>
      </c>
      <c r="O1681" t="s">
        <v>380</v>
      </c>
      <c r="P1681" t="s">
        <v>45</v>
      </c>
      <c r="Q1681">
        <v>2</v>
      </c>
      <c r="R1681" t="s">
        <v>62</v>
      </c>
      <c r="S1681" t="s">
        <v>28</v>
      </c>
      <c r="T1681" t="str">
        <f>VLOOKUP(S1681,'Mapa Oficinas'!$H$7:$I$16,2,FALSE)</f>
        <v>CB</v>
      </c>
      <c r="U1681" t="s">
        <v>29</v>
      </c>
      <c r="V1681" t="str">
        <f>VLOOKUP($R1681,'Mapa Oficinas'!$A$7:$C$46,2,FALSE)</f>
        <v>CABA</v>
      </c>
      <c r="W1681" t="str">
        <f>VLOOKUP($R1681,'Mapa Oficinas'!$A$7:$C$46,3,FALSE)</f>
        <v>Villa Urquiza</v>
      </c>
    </row>
    <row r="1682" spans="1:23" x14ac:dyDescent="0.2">
      <c r="A1682" s="1">
        <v>46100</v>
      </c>
      <c r="B1682" s="20">
        <f t="shared" si="52"/>
        <v>2026</v>
      </c>
      <c r="C1682" s="20">
        <f t="shared" si="53"/>
        <v>3</v>
      </c>
      <c r="D1682" t="s">
        <v>7313</v>
      </c>
      <c r="E1682" s="49">
        <v>1</v>
      </c>
      <c r="F1682" t="s">
        <v>7314</v>
      </c>
      <c r="G1682" t="s">
        <v>21</v>
      </c>
      <c r="H1682" t="s">
        <v>22</v>
      </c>
      <c r="I1682" s="13">
        <v>145000</v>
      </c>
      <c r="J1682" s="13">
        <v>138000</v>
      </c>
      <c r="K1682" s="13">
        <f>IF(J1682&lt;'Mapa Oficinas'!$I$21,0,IF(J1682&gt;'Mapa Oficinas'!$I$20,0,1))</f>
        <v>1</v>
      </c>
      <c r="L1682" t="s">
        <v>23</v>
      </c>
      <c r="M1682" t="s">
        <v>23</v>
      </c>
      <c r="N1682" t="s">
        <v>7315</v>
      </c>
      <c r="O1682" t="s">
        <v>1094</v>
      </c>
      <c r="P1682" t="s">
        <v>45</v>
      </c>
      <c r="Q1682">
        <v>2</v>
      </c>
      <c r="R1682" t="s">
        <v>62</v>
      </c>
      <c r="S1682" t="s">
        <v>28</v>
      </c>
      <c r="T1682" t="str">
        <f>VLOOKUP(S1682,'Mapa Oficinas'!$H$7:$I$16,2,FALSE)</f>
        <v>CB</v>
      </c>
      <c r="U1682" t="s">
        <v>29</v>
      </c>
      <c r="V1682" t="str">
        <f>VLOOKUP($R1682,'Mapa Oficinas'!$A$7:$C$46,2,FALSE)</f>
        <v>CABA</v>
      </c>
      <c r="W1682" t="str">
        <f>VLOOKUP($R1682,'Mapa Oficinas'!$A$7:$C$46,3,FALSE)</f>
        <v>Villa Urquiza</v>
      </c>
    </row>
    <row r="1683" spans="1:23" x14ac:dyDescent="0.2">
      <c r="A1683" s="1">
        <v>46052</v>
      </c>
      <c r="B1683" s="20">
        <f t="shared" si="52"/>
        <v>2026</v>
      </c>
      <c r="C1683" s="20">
        <f t="shared" si="53"/>
        <v>1</v>
      </c>
      <c r="D1683" t="s">
        <v>6482</v>
      </c>
      <c r="E1683" s="49">
        <v>1</v>
      </c>
      <c r="F1683" t="s">
        <v>6483</v>
      </c>
      <c r="G1683" t="s">
        <v>21</v>
      </c>
      <c r="H1683" t="s">
        <v>221</v>
      </c>
      <c r="I1683" s="13">
        <v>150000</v>
      </c>
      <c r="J1683" s="13">
        <v>138500</v>
      </c>
      <c r="K1683" s="13">
        <f>IF(J1683&lt;'Mapa Oficinas'!$I$21,0,IF(J1683&gt;'Mapa Oficinas'!$I$20,0,1))</f>
        <v>1</v>
      </c>
      <c r="L1683" t="s">
        <v>23</v>
      </c>
      <c r="M1683" t="s">
        <v>23</v>
      </c>
      <c r="N1683" t="s">
        <v>6484</v>
      </c>
      <c r="O1683" t="s">
        <v>581</v>
      </c>
      <c r="P1683" t="s">
        <v>34</v>
      </c>
      <c r="Q1683">
        <v>2</v>
      </c>
      <c r="R1683" t="s">
        <v>151</v>
      </c>
      <c r="S1683" t="s">
        <v>28</v>
      </c>
      <c r="T1683" t="str">
        <f>VLOOKUP(S1683,'Mapa Oficinas'!$H$7:$I$16,2,FALSE)</f>
        <v>CB</v>
      </c>
      <c r="U1683" t="s">
        <v>29</v>
      </c>
      <c r="V1683" t="str">
        <f>VLOOKUP($R1683,'Mapa Oficinas'!$A$7:$C$46,2,FALSE)</f>
        <v>Interior - Mendoza</v>
      </c>
      <c r="W1683" t="str">
        <f>VLOOKUP($R1683,'Mapa Oficinas'!$A$7:$C$46,3,FALSE)</f>
        <v>Capital Mendoza</v>
      </c>
    </row>
    <row r="1684" spans="1:23" x14ac:dyDescent="0.2">
      <c r="A1684" s="1">
        <v>45777</v>
      </c>
      <c r="B1684" s="20">
        <f t="shared" si="52"/>
        <v>2025</v>
      </c>
      <c r="C1684" s="20">
        <f t="shared" si="53"/>
        <v>4</v>
      </c>
      <c r="D1684" t="s">
        <v>1741</v>
      </c>
      <c r="E1684" s="49">
        <v>1</v>
      </c>
      <c r="F1684" t="s">
        <v>1742</v>
      </c>
      <c r="G1684" t="s">
        <v>21</v>
      </c>
      <c r="H1684" t="s">
        <v>37</v>
      </c>
      <c r="I1684" s="13">
        <v>147000</v>
      </c>
      <c r="J1684" s="13">
        <v>139000</v>
      </c>
      <c r="K1684" s="13">
        <f>IF(J1684&lt;'Mapa Oficinas'!$I$21,0,IF(J1684&gt;'Mapa Oficinas'!$I$20,0,1))</f>
        <v>1</v>
      </c>
      <c r="L1684" t="s">
        <v>23</v>
      </c>
      <c r="M1684" t="s">
        <v>23</v>
      </c>
      <c r="N1684" t="s">
        <v>1743</v>
      </c>
      <c r="O1684" t="s">
        <v>1744</v>
      </c>
      <c r="P1684" t="s">
        <v>34</v>
      </c>
      <c r="Q1684">
        <v>2</v>
      </c>
      <c r="R1684" t="s">
        <v>46</v>
      </c>
      <c r="S1684" t="s">
        <v>28</v>
      </c>
      <c r="T1684" t="str">
        <f>VLOOKUP(S1684,'Mapa Oficinas'!$H$7:$I$16,2,FALSE)</f>
        <v>CB</v>
      </c>
      <c r="U1684" t="s">
        <v>29</v>
      </c>
      <c r="V1684" t="str">
        <f>VLOOKUP($R1684,'Mapa Oficinas'!$A$7:$C$46,2,FALSE)</f>
        <v>CABA</v>
      </c>
      <c r="W1684" t="str">
        <f>VLOOKUP($R1684,'Mapa Oficinas'!$A$7:$C$46,3,FALSE)</f>
        <v>Palermo</v>
      </c>
    </row>
    <row r="1685" spans="1:23" x14ac:dyDescent="0.2">
      <c r="A1685" s="1">
        <v>45918</v>
      </c>
      <c r="B1685" s="20">
        <f t="shared" si="52"/>
        <v>2025</v>
      </c>
      <c r="C1685" s="20">
        <f t="shared" si="53"/>
        <v>9</v>
      </c>
      <c r="D1685" t="s">
        <v>4225</v>
      </c>
      <c r="E1685" s="49">
        <v>1</v>
      </c>
      <c r="F1685" t="s">
        <v>4226</v>
      </c>
      <c r="G1685" t="s">
        <v>21</v>
      </c>
      <c r="H1685" t="s">
        <v>22</v>
      </c>
      <c r="I1685" s="13">
        <v>149000</v>
      </c>
      <c r="J1685" s="13">
        <v>139000</v>
      </c>
      <c r="K1685" s="13">
        <f>IF(J1685&lt;'Mapa Oficinas'!$I$21,0,IF(J1685&gt;'Mapa Oficinas'!$I$20,0,1))</f>
        <v>1</v>
      </c>
      <c r="L1685" t="s">
        <v>23</v>
      </c>
      <c r="M1685" t="s">
        <v>23</v>
      </c>
      <c r="N1685" t="s">
        <v>4227</v>
      </c>
      <c r="O1685" t="s">
        <v>3821</v>
      </c>
      <c r="P1685" t="s">
        <v>61</v>
      </c>
      <c r="Q1685">
        <v>2</v>
      </c>
      <c r="R1685" t="s">
        <v>170</v>
      </c>
      <c r="S1685" t="s">
        <v>28</v>
      </c>
      <c r="T1685" t="str">
        <f>VLOOKUP(S1685,'Mapa Oficinas'!$H$7:$I$16,2,FALSE)</f>
        <v>CB</v>
      </c>
      <c r="U1685" t="s">
        <v>29</v>
      </c>
      <c r="V1685" t="str">
        <f>VLOOKUP($R1685,'Mapa Oficinas'!$A$7:$C$46,2,FALSE)</f>
        <v>CABA</v>
      </c>
      <c r="W1685" t="str">
        <f>VLOOKUP($R1685,'Mapa Oficinas'!$A$7:$C$46,3,FALSE)</f>
        <v>Belgrano</v>
      </c>
    </row>
    <row r="1686" spans="1:23" x14ac:dyDescent="0.2">
      <c r="A1686" s="1">
        <v>45974</v>
      </c>
      <c r="B1686" s="20">
        <f t="shared" si="52"/>
        <v>2025</v>
      </c>
      <c r="C1686" s="20">
        <f t="shared" si="53"/>
        <v>11</v>
      </c>
      <c r="D1686" t="s">
        <v>5210</v>
      </c>
      <c r="E1686" s="49">
        <v>1</v>
      </c>
      <c r="F1686" t="s">
        <v>5211</v>
      </c>
      <c r="G1686" t="s">
        <v>21</v>
      </c>
      <c r="H1686" t="s">
        <v>37</v>
      </c>
      <c r="I1686" s="13">
        <v>139000</v>
      </c>
      <c r="J1686" s="13">
        <v>139000</v>
      </c>
      <c r="K1686" s="13">
        <f>IF(J1686&lt;'Mapa Oficinas'!$I$21,0,IF(J1686&gt;'Mapa Oficinas'!$I$20,0,1))</f>
        <v>1</v>
      </c>
      <c r="L1686" t="s">
        <v>23</v>
      </c>
      <c r="M1686" t="s">
        <v>23</v>
      </c>
      <c r="N1686" t="s">
        <v>5211</v>
      </c>
      <c r="O1686" t="s">
        <v>2766</v>
      </c>
      <c r="P1686" t="s">
        <v>45</v>
      </c>
      <c r="Q1686">
        <v>2</v>
      </c>
      <c r="R1686" t="s">
        <v>110</v>
      </c>
      <c r="S1686" t="s">
        <v>28</v>
      </c>
      <c r="T1686" t="str">
        <f>VLOOKUP(S1686,'Mapa Oficinas'!$H$7:$I$16,2,FALSE)</f>
        <v>CB</v>
      </c>
      <c r="U1686" t="s">
        <v>29</v>
      </c>
      <c r="V1686" t="str">
        <f>VLOOKUP($R1686,'Mapa Oficinas'!$A$7:$C$46,2,FALSE)</f>
        <v>Zona Norte (GBA)</v>
      </c>
      <c r="W1686" t="str">
        <f>VLOOKUP($R1686,'Mapa Oficinas'!$A$7:$C$46,3,FALSE)</f>
        <v>Nordelta</v>
      </c>
    </row>
    <row r="1687" spans="1:23" x14ac:dyDescent="0.2">
      <c r="A1687" s="1">
        <v>46097</v>
      </c>
      <c r="B1687" s="20">
        <f t="shared" si="52"/>
        <v>2026</v>
      </c>
      <c r="C1687" s="20">
        <f t="shared" si="53"/>
        <v>3</v>
      </c>
      <c r="D1687" t="s">
        <v>7216</v>
      </c>
      <c r="E1687" s="49">
        <v>1</v>
      </c>
      <c r="F1687" t="s">
        <v>7217</v>
      </c>
      <c r="G1687" t="s">
        <v>21</v>
      </c>
      <c r="H1687" t="s">
        <v>37</v>
      </c>
      <c r="I1687" s="13">
        <v>143000</v>
      </c>
      <c r="J1687" s="13">
        <v>139000</v>
      </c>
      <c r="K1687" s="13">
        <f>IF(J1687&lt;'Mapa Oficinas'!$I$21,0,IF(J1687&gt;'Mapa Oficinas'!$I$20,0,1))</f>
        <v>1</v>
      </c>
      <c r="L1687" t="s">
        <v>23</v>
      </c>
      <c r="M1687" t="s">
        <v>23</v>
      </c>
      <c r="N1687" t="s">
        <v>7218</v>
      </c>
      <c r="O1687" t="s">
        <v>50</v>
      </c>
      <c r="P1687" t="s">
        <v>45</v>
      </c>
      <c r="Q1687">
        <v>2</v>
      </c>
      <c r="R1687" t="s">
        <v>135</v>
      </c>
      <c r="S1687" t="s">
        <v>28</v>
      </c>
      <c r="T1687" t="str">
        <f>VLOOKUP(S1687,'Mapa Oficinas'!$H$7:$I$16,2,FALSE)</f>
        <v>CB</v>
      </c>
      <c r="U1687" t="s">
        <v>29</v>
      </c>
      <c r="V1687" t="str">
        <f>VLOOKUP($R1687,'Mapa Oficinas'!$A$7:$C$46,2,FALSE)</f>
        <v>CABA</v>
      </c>
      <c r="W1687" t="str">
        <f>VLOOKUP($R1687,'Mapa Oficinas'!$A$7:$C$46,3,FALSE)</f>
        <v>Recoleta</v>
      </c>
    </row>
    <row r="1688" spans="1:23" x14ac:dyDescent="0.2">
      <c r="A1688" s="1">
        <v>45938</v>
      </c>
      <c r="B1688" s="20">
        <f t="shared" si="52"/>
        <v>2025</v>
      </c>
      <c r="C1688" s="20">
        <f t="shared" si="53"/>
        <v>10</v>
      </c>
      <c r="D1688" t="s">
        <v>4587</v>
      </c>
      <c r="E1688" s="49">
        <v>1</v>
      </c>
      <c r="F1688" t="s">
        <v>4587</v>
      </c>
      <c r="G1688" t="s">
        <v>21</v>
      </c>
      <c r="H1688" t="s">
        <v>90</v>
      </c>
      <c r="I1688" s="13">
        <v>140000</v>
      </c>
      <c r="J1688" s="13">
        <v>140000</v>
      </c>
      <c r="K1688" s="13">
        <f>IF(J1688&lt;'Mapa Oficinas'!$I$21,0,IF(J1688&gt;'Mapa Oficinas'!$I$20,0,1))</f>
        <v>1</v>
      </c>
      <c r="L1688" t="s">
        <v>23</v>
      </c>
      <c r="M1688" t="s">
        <v>23</v>
      </c>
      <c r="N1688" t="s">
        <v>4587</v>
      </c>
      <c r="O1688" t="s">
        <v>684</v>
      </c>
      <c r="P1688" t="s">
        <v>45</v>
      </c>
      <c r="Q1688">
        <v>1</v>
      </c>
      <c r="R1688" t="s">
        <v>56</v>
      </c>
      <c r="S1688" t="s">
        <v>122</v>
      </c>
      <c r="T1688" t="str">
        <f>VLOOKUP(S1688,'Mapa Oficinas'!$H$7:$I$16,2,FALSE)</f>
        <v>Otra Red Búsqueda</v>
      </c>
      <c r="U1688" t="s">
        <v>29</v>
      </c>
      <c r="V1688" t="str">
        <f>VLOOKUP($R1688,'Mapa Oficinas'!$A$7:$C$46,2,FALSE)</f>
        <v>Zona Norte (GBA)</v>
      </c>
      <c r="W1688" t="str">
        <f>VLOOKUP($R1688,'Mapa Oficinas'!$A$7:$C$46,3,FALSE)</f>
        <v>Vicente López</v>
      </c>
    </row>
    <row r="1689" spans="1:23" x14ac:dyDescent="0.2">
      <c r="A1689" s="1">
        <v>45992</v>
      </c>
      <c r="B1689" s="20">
        <f t="shared" si="52"/>
        <v>2025</v>
      </c>
      <c r="C1689" s="20">
        <f t="shared" si="53"/>
        <v>12</v>
      </c>
      <c r="D1689" t="s">
        <v>4178</v>
      </c>
      <c r="E1689" s="49">
        <v>1</v>
      </c>
      <c r="F1689" t="s">
        <v>4179</v>
      </c>
      <c r="G1689" t="s">
        <v>21</v>
      </c>
      <c r="H1689" t="s">
        <v>37</v>
      </c>
      <c r="I1689" s="13">
        <v>280000</v>
      </c>
      <c r="J1689" s="13">
        <v>140000</v>
      </c>
      <c r="K1689" s="13">
        <f>IF(J1689&lt;'Mapa Oficinas'!$I$21,0,IF(J1689&gt;'Mapa Oficinas'!$I$20,0,1))</f>
        <v>1</v>
      </c>
      <c r="L1689" t="s">
        <v>23</v>
      </c>
      <c r="M1689" t="s">
        <v>23</v>
      </c>
      <c r="N1689" t="s">
        <v>4180</v>
      </c>
      <c r="O1689" t="s">
        <v>3192</v>
      </c>
      <c r="P1689" t="s">
        <v>34</v>
      </c>
      <c r="Q1689">
        <v>1</v>
      </c>
      <c r="R1689" t="s">
        <v>151</v>
      </c>
      <c r="S1689" t="s">
        <v>122</v>
      </c>
      <c r="T1689" t="str">
        <f>VLOOKUP(S1689,'Mapa Oficinas'!$H$7:$I$16,2,FALSE)</f>
        <v>Otra Red Búsqueda</v>
      </c>
      <c r="U1689" t="s">
        <v>29</v>
      </c>
      <c r="V1689" t="str">
        <f>VLOOKUP($R1689,'Mapa Oficinas'!$A$7:$C$46,2,FALSE)</f>
        <v>Interior - Mendoza</v>
      </c>
      <c r="W1689" t="str">
        <f>VLOOKUP($R1689,'Mapa Oficinas'!$A$7:$C$46,3,FALSE)</f>
        <v>Capital Mendoza</v>
      </c>
    </row>
    <row r="1690" spans="1:23" x14ac:dyDescent="0.2">
      <c r="A1690" s="1">
        <v>46065</v>
      </c>
      <c r="B1690" s="20">
        <f t="shared" si="52"/>
        <v>2026</v>
      </c>
      <c r="C1690" s="20">
        <f t="shared" si="53"/>
        <v>2</v>
      </c>
      <c r="D1690" t="s">
        <v>6677</v>
      </c>
      <c r="E1690" s="49">
        <v>1</v>
      </c>
      <c r="F1690" t="s">
        <v>6678</v>
      </c>
      <c r="G1690" t="s">
        <v>21</v>
      </c>
      <c r="H1690" t="s">
        <v>76</v>
      </c>
      <c r="I1690" s="13">
        <v>150000</v>
      </c>
      <c r="J1690" s="13">
        <v>140000</v>
      </c>
      <c r="K1690" s="13">
        <f>IF(J1690&lt;'Mapa Oficinas'!$I$21,0,IF(J1690&gt;'Mapa Oficinas'!$I$20,0,1))</f>
        <v>1</v>
      </c>
      <c r="L1690" t="s">
        <v>23</v>
      </c>
      <c r="M1690" t="s">
        <v>23</v>
      </c>
      <c r="N1690" t="s">
        <v>6679</v>
      </c>
      <c r="O1690" t="s">
        <v>223</v>
      </c>
      <c r="P1690" t="s">
        <v>34</v>
      </c>
      <c r="Q1690">
        <v>1</v>
      </c>
      <c r="R1690" t="s">
        <v>167</v>
      </c>
      <c r="S1690" t="s">
        <v>122</v>
      </c>
      <c r="T1690" t="str">
        <f>VLOOKUP(S1690,'Mapa Oficinas'!$H$7:$I$16,2,FALSE)</f>
        <v>Otra Red Búsqueda</v>
      </c>
      <c r="U1690" t="s">
        <v>29</v>
      </c>
      <c r="V1690" t="str">
        <f>VLOOKUP($R1690,'Mapa Oficinas'!$A$7:$C$46,2,FALSE)</f>
        <v>Interior - Santa Fe</v>
      </c>
      <c r="W1690" t="str">
        <f>VLOOKUP($R1690,'Mapa Oficinas'!$A$7:$C$46,3,FALSE)</f>
        <v>Capital Santa Fe</v>
      </c>
    </row>
    <row r="1691" spans="1:23" x14ac:dyDescent="0.2">
      <c r="A1691" s="1">
        <v>45995</v>
      </c>
      <c r="B1691" s="20">
        <f t="shared" si="52"/>
        <v>2025</v>
      </c>
      <c r="C1691" s="20">
        <f t="shared" si="53"/>
        <v>12</v>
      </c>
      <c r="D1691" t="s">
        <v>5622</v>
      </c>
      <c r="E1691" s="49">
        <v>1</v>
      </c>
      <c r="F1691" t="s">
        <v>5623</v>
      </c>
      <c r="G1691" t="s">
        <v>21</v>
      </c>
      <c r="H1691" t="s">
        <v>100</v>
      </c>
      <c r="I1691" s="13">
        <v>155000</v>
      </c>
      <c r="J1691" s="13">
        <v>140000</v>
      </c>
      <c r="K1691" s="13">
        <f>IF(J1691&lt;'Mapa Oficinas'!$I$21,0,IF(J1691&gt;'Mapa Oficinas'!$I$20,0,1))</f>
        <v>1</v>
      </c>
      <c r="L1691" t="s">
        <v>23</v>
      </c>
      <c r="M1691" t="s">
        <v>23</v>
      </c>
      <c r="N1691" t="s">
        <v>5624</v>
      </c>
      <c r="O1691" t="s">
        <v>72</v>
      </c>
      <c r="P1691" t="s">
        <v>34</v>
      </c>
      <c r="Q1691">
        <v>1</v>
      </c>
      <c r="R1691" t="s">
        <v>73</v>
      </c>
      <c r="S1691" t="s">
        <v>152</v>
      </c>
      <c r="T1691" t="str">
        <f>VLOOKUP(S1691,'Mapa Oficinas'!$H$7:$I$16,2,FALSE)</f>
        <v>Otra Red Captación</v>
      </c>
      <c r="U1691" t="s">
        <v>29</v>
      </c>
      <c r="V1691" t="str">
        <f>VLOOKUP($R1691,'Mapa Oficinas'!$A$7:$C$46,2,FALSE)</f>
        <v>Interior - Salta</v>
      </c>
      <c r="W1691" t="str">
        <f>VLOOKUP($R1691,'Mapa Oficinas'!$A$7:$C$46,3,FALSE)</f>
        <v>San Lorenzo Chico</v>
      </c>
    </row>
    <row r="1692" spans="1:23" x14ac:dyDescent="0.2">
      <c r="A1692" s="1">
        <v>45678</v>
      </c>
      <c r="B1692" s="20">
        <f t="shared" si="52"/>
        <v>2025</v>
      </c>
      <c r="C1692" s="20">
        <f t="shared" si="53"/>
        <v>1</v>
      </c>
      <c r="D1692" t="s">
        <v>311</v>
      </c>
      <c r="E1692" s="49">
        <v>1</v>
      </c>
      <c r="F1692" t="s">
        <v>312</v>
      </c>
      <c r="G1692" t="s">
        <v>21</v>
      </c>
      <c r="H1692" t="s">
        <v>119</v>
      </c>
      <c r="I1692" s="13">
        <v>140000</v>
      </c>
      <c r="J1692" s="13">
        <v>140000</v>
      </c>
      <c r="K1692" s="13">
        <f>IF(J1692&lt;'Mapa Oficinas'!$I$21,0,IF(J1692&gt;'Mapa Oficinas'!$I$20,0,1))</f>
        <v>1</v>
      </c>
      <c r="L1692" t="s">
        <v>23</v>
      </c>
      <c r="M1692" t="s">
        <v>23</v>
      </c>
      <c r="N1692" t="s">
        <v>313</v>
      </c>
      <c r="O1692" t="s">
        <v>314</v>
      </c>
      <c r="P1692" t="s">
        <v>61</v>
      </c>
      <c r="Q1692">
        <v>2</v>
      </c>
      <c r="R1692" t="s">
        <v>121</v>
      </c>
      <c r="S1692" t="s">
        <v>79</v>
      </c>
      <c r="T1692" t="str">
        <f>VLOOKUP(S1692,'Mapa Oficinas'!$H$7:$I$16,2,FALSE)</f>
        <v>CB</v>
      </c>
      <c r="U1692" t="s">
        <v>29</v>
      </c>
      <c r="V1692" t="str">
        <f>VLOOKUP($R1692,'Mapa Oficinas'!$A$7:$C$46,2,FALSE)</f>
        <v>Interior - Río Negro</v>
      </c>
      <c r="W1692" t="str">
        <f>VLOOKUP($R1692,'Mapa Oficinas'!$A$7:$C$46,3,FALSE)</f>
        <v>Bariloche</v>
      </c>
    </row>
    <row r="1693" spans="1:23" x14ac:dyDescent="0.2">
      <c r="A1693" s="1">
        <v>45702</v>
      </c>
      <c r="B1693" s="20">
        <f t="shared" si="52"/>
        <v>2025</v>
      </c>
      <c r="C1693" s="20">
        <f t="shared" si="53"/>
        <v>2</v>
      </c>
      <c r="D1693" t="s">
        <v>606</v>
      </c>
      <c r="E1693" s="49">
        <v>1</v>
      </c>
      <c r="F1693" t="s">
        <v>607</v>
      </c>
      <c r="G1693" t="s">
        <v>21</v>
      </c>
      <c r="H1693" t="s">
        <v>100</v>
      </c>
      <c r="I1693" s="13">
        <v>160000</v>
      </c>
      <c r="J1693" s="13">
        <v>140000</v>
      </c>
      <c r="K1693" s="13">
        <f>IF(J1693&lt;'Mapa Oficinas'!$I$21,0,IF(J1693&gt;'Mapa Oficinas'!$I$20,0,1))</f>
        <v>1</v>
      </c>
      <c r="L1693" t="s">
        <v>23</v>
      </c>
      <c r="M1693" t="s">
        <v>23</v>
      </c>
      <c r="N1693" t="s">
        <v>608</v>
      </c>
      <c r="O1693" t="s">
        <v>609</v>
      </c>
      <c r="P1693" t="s">
        <v>34</v>
      </c>
      <c r="Q1693">
        <v>2</v>
      </c>
      <c r="R1693" t="s">
        <v>121</v>
      </c>
      <c r="S1693" t="s">
        <v>79</v>
      </c>
      <c r="T1693" t="str">
        <f>VLOOKUP(S1693,'Mapa Oficinas'!$H$7:$I$16,2,FALSE)</f>
        <v>CB</v>
      </c>
      <c r="U1693" t="s">
        <v>29</v>
      </c>
      <c r="V1693" t="str">
        <f>VLOOKUP($R1693,'Mapa Oficinas'!$A$7:$C$46,2,FALSE)</f>
        <v>Interior - Río Negro</v>
      </c>
      <c r="W1693" t="str">
        <f>VLOOKUP($R1693,'Mapa Oficinas'!$A$7:$C$46,3,FALSE)</f>
        <v>Bariloche</v>
      </c>
    </row>
    <row r="1694" spans="1:23" x14ac:dyDescent="0.2">
      <c r="A1694" s="1">
        <v>45713</v>
      </c>
      <c r="B1694" s="20">
        <f t="shared" si="52"/>
        <v>2025</v>
      </c>
      <c r="C1694" s="20">
        <f t="shared" si="53"/>
        <v>2</v>
      </c>
      <c r="D1694" t="s">
        <v>752</v>
      </c>
      <c r="E1694" s="49">
        <v>1</v>
      </c>
      <c r="F1694" t="s">
        <v>753</v>
      </c>
      <c r="G1694" t="s">
        <v>21</v>
      </c>
      <c r="H1694" t="s">
        <v>37</v>
      </c>
      <c r="I1694" s="13">
        <v>135000</v>
      </c>
      <c r="J1694" s="13">
        <v>140000</v>
      </c>
      <c r="K1694" s="13">
        <f>IF(J1694&lt;'Mapa Oficinas'!$I$21,0,IF(J1694&gt;'Mapa Oficinas'!$I$20,0,1))</f>
        <v>1</v>
      </c>
      <c r="L1694" t="s">
        <v>23</v>
      </c>
      <c r="M1694" t="s">
        <v>23</v>
      </c>
      <c r="N1694" t="s">
        <v>754</v>
      </c>
      <c r="O1694" t="s">
        <v>755</v>
      </c>
      <c r="P1694" t="s">
        <v>45</v>
      </c>
      <c r="Q1694">
        <v>2</v>
      </c>
      <c r="R1694" t="s">
        <v>110</v>
      </c>
      <c r="S1694" t="s">
        <v>79</v>
      </c>
      <c r="T1694" t="str">
        <f>VLOOKUP(S1694,'Mapa Oficinas'!$H$7:$I$16,2,FALSE)</f>
        <v>CB</v>
      </c>
      <c r="U1694" t="s">
        <v>29</v>
      </c>
      <c r="V1694" t="str">
        <f>VLOOKUP($R1694,'Mapa Oficinas'!$A$7:$C$46,2,FALSE)</f>
        <v>Zona Norte (GBA)</v>
      </c>
      <c r="W1694" t="str">
        <f>VLOOKUP($R1694,'Mapa Oficinas'!$A$7:$C$46,3,FALSE)</f>
        <v>Nordelta</v>
      </c>
    </row>
    <row r="1695" spans="1:23" x14ac:dyDescent="0.2">
      <c r="A1695" s="1">
        <v>45742</v>
      </c>
      <c r="B1695" s="20">
        <f t="shared" si="52"/>
        <v>2025</v>
      </c>
      <c r="C1695" s="20">
        <f t="shared" si="53"/>
        <v>3</v>
      </c>
      <c r="D1695" t="s">
        <v>1113</v>
      </c>
      <c r="E1695" s="49">
        <v>1</v>
      </c>
      <c r="F1695" t="s">
        <v>1114</v>
      </c>
      <c r="G1695" t="s">
        <v>21</v>
      </c>
      <c r="H1695" t="s">
        <v>221</v>
      </c>
      <c r="I1695" s="13">
        <v>155000</v>
      </c>
      <c r="J1695" s="13">
        <v>140000</v>
      </c>
      <c r="K1695" s="13">
        <f>IF(J1695&lt;'Mapa Oficinas'!$I$21,0,IF(J1695&gt;'Mapa Oficinas'!$I$20,0,1))</f>
        <v>1</v>
      </c>
      <c r="L1695" t="s">
        <v>23</v>
      </c>
      <c r="M1695" t="s">
        <v>23</v>
      </c>
      <c r="N1695" t="s">
        <v>1115</v>
      </c>
      <c r="O1695" t="s">
        <v>1116</v>
      </c>
      <c r="P1695" t="s">
        <v>26</v>
      </c>
      <c r="Q1695">
        <v>2</v>
      </c>
      <c r="R1695" t="s">
        <v>73</v>
      </c>
      <c r="S1695" t="s">
        <v>79</v>
      </c>
      <c r="T1695" t="str">
        <f>VLOOKUP(S1695,'Mapa Oficinas'!$H$7:$I$16,2,FALSE)</f>
        <v>CB</v>
      </c>
      <c r="U1695" t="s">
        <v>29</v>
      </c>
      <c r="V1695" t="str">
        <f>VLOOKUP($R1695,'Mapa Oficinas'!$A$7:$C$46,2,FALSE)</f>
        <v>Interior - Salta</v>
      </c>
      <c r="W1695" t="str">
        <f>VLOOKUP($R1695,'Mapa Oficinas'!$A$7:$C$46,3,FALSE)</f>
        <v>San Lorenzo Chico</v>
      </c>
    </row>
    <row r="1696" spans="1:23" x14ac:dyDescent="0.2">
      <c r="A1696" s="1">
        <v>45757</v>
      </c>
      <c r="B1696" s="20">
        <f t="shared" si="52"/>
        <v>2025</v>
      </c>
      <c r="C1696" s="20">
        <f t="shared" si="53"/>
        <v>4</v>
      </c>
      <c r="D1696" t="s">
        <v>1363</v>
      </c>
      <c r="E1696" s="49">
        <v>1</v>
      </c>
      <c r="F1696" t="s">
        <v>1364</v>
      </c>
      <c r="G1696" t="s">
        <v>21</v>
      </c>
      <c r="H1696" t="s">
        <v>37</v>
      </c>
      <c r="I1696" s="13">
        <v>145000</v>
      </c>
      <c r="J1696" s="13">
        <v>140000</v>
      </c>
      <c r="K1696" s="13">
        <f>IF(J1696&lt;'Mapa Oficinas'!$I$21,0,IF(J1696&gt;'Mapa Oficinas'!$I$20,0,1))</f>
        <v>1</v>
      </c>
      <c r="L1696" t="s">
        <v>23</v>
      </c>
      <c r="M1696" t="s">
        <v>23</v>
      </c>
      <c r="N1696" t="s">
        <v>1365</v>
      </c>
      <c r="O1696" t="s">
        <v>910</v>
      </c>
      <c r="P1696" t="s">
        <v>45</v>
      </c>
      <c r="Q1696">
        <v>2</v>
      </c>
      <c r="R1696" t="s">
        <v>110</v>
      </c>
      <c r="S1696" t="s">
        <v>79</v>
      </c>
      <c r="T1696" t="str">
        <f>VLOOKUP(S1696,'Mapa Oficinas'!$H$7:$I$16,2,FALSE)</f>
        <v>CB</v>
      </c>
      <c r="U1696" t="s">
        <v>29</v>
      </c>
      <c r="V1696" t="str">
        <f>VLOOKUP($R1696,'Mapa Oficinas'!$A$7:$C$46,2,FALSE)</f>
        <v>Zona Norte (GBA)</v>
      </c>
      <c r="W1696" t="str">
        <f>VLOOKUP($R1696,'Mapa Oficinas'!$A$7:$C$46,3,FALSE)</f>
        <v>Nordelta</v>
      </c>
    </row>
    <row r="1697" spans="1:23" x14ac:dyDescent="0.2">
      <c r="A1697" s="1">
        <v>45926</v>
      </c>
      <c r="B1697" s="20">
        <f t="shared" si="52"/>
        <v>2025</v>
      </c>
      <c r="C1697" s="20">
        <f t="shared" si="53"/>
        <v>9</v>
      </c>
      <c r="D1697" t="s">
        <v>4384</v>
      </c>
      <c r="E1697" s="49">
        <v>1</v>
      </c>
      <c r="F1697" t="s">
        <v>4385</v>
      </c>
      <c r="G1697" t="s">
        <v>21</v>
      </c>
      <c r="H1697" t="s">
        <v>37</v>
      </c>
      <c r="I1697" s="13">
        <v>140000</v>
      </c>
      <c r="J1697" s="13">
        <v>140000</v>
      </c>
      <c r="K1697" s="13">
        <f>IF(J1697&lt;'Mapa Oficinas'!$I$21,0,IF(J1697&gt;'Mapa Oficinas'!$I$20,0,1))</f>
        <v>1</v>
      </c>
      <c r="L1697" t="s">
        <v>23</v>
      </c>
      <c r="M1697" t="s">
        <v>23</v>
      </c>
      <c r="O1697" t="s">
        <v>178</v>
      </c>
      <c r="P1697" t="s">
        <v>45</v>
      </c>
      <c r="Q1697">
        <v>2</v>
      </c>
      <c r="R1697" t="s">
        <v>46</v>
      </c>
      <c r="S1697" t="s">
        <v>79</v>
      </c>
      <c r="T1697" t="str">
        <f>VLOOKUP(S1697,'Mapa Oficinas'!$H$7:$I$16,2,FALSE)</f>
        <v>CB</v>
      </c>
      <c r="U1697" t="s">
        <v>29</v>
      </c>
      <c r="V1697" t="str">
        <f>VLOOKUP($R1697,'Mapa Oficinas'!$A$7:$C$46,2,FALSE)</f>
        <v>CABA</v>
      </c>
      <c r="W1697" t="str">
        <f>VLOOKUP($R1697,'Mapa Oficinas'!$A$7:$C$46,3,FALSE)</f>
        <v>Palermo</v>
      </c>
    </row>
    <row r="1698" spans="1:23" x14ac:dyDescent="0.2">
      <c r="A1698" s="1">
        <v>46072</v>
      </c>
      <c r="B1698" s="20">
        <f t="shared" si="52"/>
        <v>2026</v>
      </c>
      <c r="C1698" s="20">
        <f t="shared" si="53"/>
        <v>2</v>
      </c>
      <c r="D1698" t="s">
        <v>6760</v>
      </c>
      <c r="E1698" s="49">
        <v>1</v>
      </c>
      <c r="F1698" t="s">
        <v>6761</v>
      </c>
      <c r="G1698" t="s">
        <v>21</v>
      </c>
      <c r="H1698" t="s">
        <v>37</v>
      </c>
      <c r="I1698" s="13">
        <v>148000</v>
      </c>
      <c r="J1698" s="13">
        <v>140000</v>
      </c>
      <c r="K1698" s="13">
        <f>IF(J1698&lt;'Mapa Oficinas'!$I$21,0,IF(J1698&gt;'Mapa Oficinas'!$I$20,0,1))</f>
        <v>1</v>
      </c>
      <c r="L1698" t="s">
        <v>23</v>
      </c>
      <c r="M1698" t="s">
        <v>23</v>
      </c>
      <c r="N1698" t="s">
        <v>6762</v>
      </c>
      <c r="O1698" t="s">
        <v>1511</v>
      </c>
      <c r="P1698" t="s">
        <v>34</v>
      </c>
      <c r="Q1698">
        <v>2</v>
      </c>
      <c r="R1698" t="s">
        <v>110</v>
      </c>
      <c r="S1698" t="s">
        <v>79</v>
      </c>
      <c r="T1698" t="str">
        <f>VLOOKUP(S1698,'Mapa Oficinas'!$H$7:$I$16,2,FALSE)</f>
        <v>CB</v>
      </c>
      <c r="U1698" t="s">
        <v>29</v>
      </c>
      <c r="V1698" t="str">
        <f>VLOOKUP($R1698,'Mapa Oficinas'!$A$7:$C$46,2,FALSE)</f>
        <v>Zona Norte (GBA)</v>
      </c>
      <c r="W1698" t="str">
        <f>VLOOKUP($R1698,'Mapa Oficinas'!$A$7:$C$46,3,FALSE)</f>
        <v>Nordelta</v>
      </c>
    </row>
    <row r="1699" spans="1:23" x14ac:dyDescent="0.2">
      <c r="A1699" s="1">
        <v>45671</v>
      </c>
      <c r="B1699" s="20">
        <f t="shared" si="52"/>
        <v>2025</v>
      </c>
      <c r="C1699" s="20">
        <f t="shared" si="53"/>
        <v>1</v>
      </c>
      <c r="D1699">
        <v>10262</v>
      </c>
      <c r="E1699" s="49">
        <v>1</v>
      </c>
      <c r="F1699" t="s">
        <v>216</v>
      </c>
      <c r="G1699" t="s">
        <v>21</v>
      </c>
      <c r="H1699" t="s">
        <v>37</v>
      </c>
      <c r="I1699" s="13">
        <v>0</v>
      </c>
      <c r="J1699" s="13">
        <v>140000</v>
      </c>
      <c r="K1699" s="13">
        <f>IF(J1699&lt;'Mapa Oficinas'!$I$21,0,IF(J1699&gt;'Mapa Oficinas'!$I$20,0,1))</f>
        <v>1</v>
      </c>
      <c r="L1699" t="s">
        <v>23</v>
      </c>
      <c r="M1699" t="s">
        <v>23</v>
      </c>
      <c r="N1699" t="s">
        <v>217</v>
      </c>
      <c r="O1699" t="s">
        <v>218</v>
      </c>
      <c r="P1699" t="s">
        <v>45</v>
      </c>
      <c r="Q1699">
        <v>1</v>
      </c>
      <c r="R1699" t="s">
        <v>67</v>
      </c>
      <c r="S1699" t="s">
        <v>47</v>
      </c>
      <c r="T1699" t="str">
        <f>VLOOKUP(S1699,'Mapa Oficinas'!$H$7:$I$16,2,FALSE)</f>
        <v>Otra Red Búsqueda</v>
      </c>
      <c r="U1699" t="s">
        <v>29</v>
      </c>
      <c r="V1699" t="str">
        <f>VLOOKUP($R1699,'Mapa Oficinas'!$A$7:$C$46,2,FALSE)</f>
        <v>CABA</v>
      </c>
      <c r="W1699" t="str">
        <f>VLOOKUP($R1699,'Mapa Oficinas'!$A$7:$C$46,3,FALSE)</f>
        <v>Barrio Parque</v>
      </c>
    </row>
    <row r="1700" spans="1:23" x14ac:dyDescent="0.2">
      <c r="A1700" s="1">
        <v>45961</v>
      </c>
      <c r="B1700" s="20">
        <f t="shared" si="52"/>
        <v>2025</v>
      </c>
      <c r="C1700" s="20">
        <f t="shared" si="53"/>
        <v>10</v>
      </c>
      <c r="D1700" t="s">
        <v>5032</v>
      </c>
      <c r="E1700" s="49">
        <v>1</v>
      </c>
      <c r="F1700" t="s">
        <v>5033</v>
      </c>
      <c r="G1700" t="s">
        <v>21</v>
      </c>
      <c r="H1700" t="s">
        <v>37</v>
      </c>
      <c r="I1700" s="13">
        <v>140000</v>
      </c>
      <c r="J1700" s="13">
        <v>140000</v>
      </c>
      <c r="K1700" s="13">
        <f>IF(J1700&lt;'Mapa Oficinas'!$I$21,0,IF(J1700&gt;'Mapa Oficinas'!$I$20,0,1))</f>
        <v>1</v>
      </c>
      <c r="L1700" t="s">
        <v>23</v>
      </c>
      <c r="M1700" t="s">
        <v>23</v>
      </c>
      <c r="N1700" t="s">
        <v>5034</v>
      </c>
      <c r="O1700" t="s">
        <v>50</v>
      </c>
      <c r="P1700" t="s">
        <v>45</v>
      </c>
      <c r="Q1700">
        <v>1</v>
      </c>
      <c r="R1700" t="s">
        <v>670</v>
      </c>
      <c r="S1700" t="s">
        <v>47</v>
      </c>
      <c r="T1700" t="str">
        <f>VLOOKUP(S1700,'Mapa Oficinas'!$H$7:$I$16,2,FALSE)</f>
        <v>Otra Red Búsqueda</v>
      </c>
      <c r="U1700" t="s">
        <v>29</v>
      </c>
      <c r="V1700" t="str">
        <f>VLOOKUP($R1700,'Mapa Oficinas'!$A$7:$C$46,2,FALSE)</f>
        <v>CABA</v>
      </c>
      <c r="W1700" t="str">
        <f>VLOOKUP($R1700,'Mapa Oficinas'!$A$7:$C$46,3,FALSE)</f>
        <v>Recoleta</v>
      </c>
    </row>
    <row r="1701" spans="1:23" x14ac:dyDescent="0.2">
      <c r="A1701" s="1">
        <v>46003</v>
      </c>
      <c r="B1701" s="20">
        <f t="shared" si="52"/>
        <v>2025</v>
      </c>
      <c r="C1701" s="20">
        <f t="shared" si="53"/>
        <v>12</v>
      </c>
      <c r="D1701" t="s">
        <v>5757</v>
      </c>
      <c r="E1701" s="49">
        <v>1</v>
      </c>
      <c r="F1701" t="s">
        <v>5758</v>
      </c>
      <c r="G1701" t="s">
        <v>21</v>
      </c>
      <c r="H1701" t="s">
        <v>37</v>
      </c>
      <c r="I1701" s="13">
        <v>150000</v>
      </c>
      <c r="J1701" s="13">
        <v>140000</v>
      </c>
      <c r="K1701" s="13">
        <f>IF(J1701&lt;'Mapa Oficinas'!$I$21,0,IF(J1701&gt;'Mapa Oficinas'!$I$20,0,1))</f>
        <v>1</v>
      </c>
      <c r="L1701" t="s">
        <v>23</v>
      </c>
      <c r="M1701" t="s">
        <v>23</v>
      </c>
      <c r="N1701" t="s">
        <v>5759</v>
      </c>
      <c r="O1701" t="s">
        <v>190</v>
      </c>
      <c r="P1701" t="s">
        <v>45</v>
      </c>
      <c r="Q1701">
        <v>1</v>
      </c>
      <c r="R1701" t="s">
        <v>523</v>
      </c>
      <c r="S1701" t="s">
        <v>47</v>
      </c>
      <c r="T1701" t="str">
        <f>VLOOKUP(S1701,'Mapa Oficinas'!$H$7:$I$16,2,FALSE)</f>
        <v>Otra Red Búsqueda</v>
      </c>
      <c r="U1701" t="s">
        <v>29</v>
      </c>
      <c r="V1701" t="str">
        <f>VLOOKUP($R1701,'Mapa Oficinas'!$A$7:$C$46,2,FALSE)</f>
        <v>CABA</v>
      </c>
      <c r="W1701" t="str">
        <f>VLOOKUP($R1701,'Mapa Oficinas'!$A$7:$C$46,3,FALSE)</f>
        <v>Belgrano</v>
      </c>
    </row>
    <row r="1702" spans="1:23" x14ac:dyDescent="0.2">
      <c r="A1702" s="1">
        <v>45782</v>
      </c>
      <c r="B1702" s="20">
        <f t="shared" si="52"/>
        <v>2025</v>
      </c>
      <c r="C1702" s="20">
        <f t="shared" si="53"/>
        <v>5</v>
      </c>
      <c r="D1702" t="s">
        <v>1779</v>
      </c>
      <c r="E1702" s="49">
        <v>1</v>
      </c>
      <c r="F1702" t="s">
        <v>1780</v>
      </c>
      <c r="G1702" t="s">
        <v>21</v>
      </c>
      <c r="H1702" t="s">
        <v>37</v>
      </c>
      <c r="I1702" s="13">
        <v>150000</v>
      </c>
      <c r="J1702" s="13">
        <v>140000</v>
      </c>
      <c r="K1702" s="13">
        <f>IF(J1702&lt;'Mapa Oficinas'!$I$21,0,IF(J1702&gt;'Mapa Oficinas'!$I$20,0,1))</f>
        <v>1</v>
      </c>
      <c r="L1702" t="s">
        <v>23</v>
      </c>
      <c r="M1702" t="s">
        <v>23</v>
      </c>
      <c r="N1702" t="s">
        <v>1781</v>
      </c>
      <c r="O1702" t="s">
        <v>519</v>
      </c>
      <c r="P1702" t="s">
        <v>45</v>
      </c>
      <c r="Q1702">
        <v>2</v>
      </c>
      <c r="R1702" t="s">
        <v>135</v>
      </c>
      <c r="S1702" t="s">
        <v>200</v>
      </c>
      <c r="T1702" t="str">
        <f>VLOOKUP(S1702,'Mapa Oficinas'!$H$7:$I$16,2,FALSE)</f>
        <v>Otra Red Captación</v>
      </c>
      <c r="U1702" t="s">
        <v>29</v>
      </c>
      <c r="V1702" t="str">
        <f>VLOOKUP($R1702,'Mapa Oficinas'!$A$7:$C$46,2,FALSE)</f>
        <v>CABA</v>
      </c>
      <c r="W1702" t="str">
        <f>VLOOKUP($R1702,'Mapa Oficinas'!$A$7:$C$46,3,FALSE)</f>
        <v>Recoleta</v>
      </c>
    </row>
    <row r="1703" spans="1:23" x14ac:dyDescent="0.2">
      <c r="A1703" s="1">
        <v>45945</v>
      </c>
      <c r="B1703" s="20">
        <f t="shared" si="52"/>
        <v>2025</v>
      </c>
      <c r="C1703" s="20">
        <f t="shared" si="53"/>
        <v>10</v>
      </c>
      <c r="D1703" t="s">
        <v>4719</v>
      </c>
      <c r="E1703" s="49">
        <v>1</v>
      </c>
      <c r="F1703" t="s">
        <v>4720</v>
      </c>
      <c r="G1703" t="s">
        <v>21</v>
      </c>
      <c r="H1703" t="s">
        <v>37</v>
      </c>
      <c r="I1703" s="13">
        <v>150000</v>
      </c>
      <c r="J1703" s="13">
        <v>140000</v>
      </c>
      <c r="K1703" s="13">
        <f>IF(J1703&lt;'Mapa Oficinas'!$I$21,0,IF(J1703&gt;'Mapa Oficinas'!$I$20,0,1))</f>
        <v>1</v>
      </c>
      <c r="L1703" t="s">
        <v>23</v>
      </c>
      <c r="M1703" t="s">
        <v>23</v>
      </c>
      <c r="N1703" t="s">
        <v>4721</v>
      </c>
      <c r="O1703" t="s">
        <v>1354</v>
      </c>
      <c r="P1703" t="s">
        <v>61</v>
      </c>
      <c r="Q1703">
        <v>2</v>
      </c>
      <c r="R1703" t="s">
        <v>135</v>
      </c>
      <c r="S1703" t="s">
        <v>200</v>
      </c>
      <c r="T1703" t="str">
        <f>VLOOKUP(S1703,'Mapa Oficinas'!$H$7:$I$16,2,FALSE)</f>
        <v>Otra Red Captación</v>
      </c>
      <c r="U1703" t="s">
        <v>29</v>
      </c>
      <c r="V1703" t="str">
        <f>VLOOKUP($R1703,'Mapa Oficinas'!$A$7:$C$46,2,FALSE)</f>
        <v>CABA</v>
      </c>
      <c r="W1703" t="str">
        <f>VLOOKUP($R1703,'Mapa Oficinas'!$A$7:$C$46,3,FALSE)</f>
        <v>Recoleta</v>
      </c>
    </row>
    <row r="1704" spans="1:23" x14ac:dyDescent="0.2">
      <c r="A1704" s="1">
        <v>45954</v>
      </c>
      <c r="B1704" s="20">
        <f t="shared" si="52"/>
        <v>2025</v>
      </c>
      <c r="C1704" s="20">
        <f t="shared" si="53"/>
        <v>10</v>
      </c>
      <c r="D1704" t="s">
        <v>4911</v>
      </c>
      <c r="E1704" s="49">
        <v>1</v>
      </c>
      <c r="F1704" t="s">
        <v>4912</v>
      </c>
      <c r="G1704" t="s">
        <v>21</v>
      </c>
      <c r="H1704" t="s">
        <v>90</v>
      </c>
      <c r="I1704" s="13">
        <v>145000</v>
      </c>
      <c r="J1704" s="13">
        <v>140000</v>
      </c>
      <c r="K1704" s="13">
        <f>IF(J1704&lt;'Mapa Oficinas'!$I$21,0,IF(J1704&gt;'Mapa Oficinas'!$I$20,0,1))</f>
        <v>1</v>
      </c>
      <c r="L1704" t="s">
        <v>23</v>
      </c>
      <c r="M1704" t="s">
        <v>23</v>
      </c>
      <c r="N1704" t="s">
        <v>4913</v>
      </c>
      <c r="O1704" t="s">
        <v>141</v>
      </c>
      <c r="P1704" t="s">
        <v>61</v>
      </c>
      <c r="Q1704">
        <v>2</v>
      </c>
      <c r="R1704" t="s">
        <v>67</v>
      </c>
      <c r="S1704" t="s">
        <v>200</v>
      </c>
      <c r="T1704" t="str">
        <f>VLOOKUP(S1704,'Mapa Oficinas'!$H$7:$I$16,2,FALSE)</f>
        <v>Otra Red Captación</v>
      </c>
      <c r="U1704" t="s">
        <v>29</v>
      </c>
      <c r="V1704" t="str">
        <f>VLOOKUP($R1704,'Mapa Oficinas'!$A$7:$C$46,2,FALSE)</f>
        <v>CABA</v>
      </c>
      <c r="W1704" t="str">
        <f>VLOOKUP($R1704,'Mapa Oficinas'!$A$7:$C$46,3,FALSE)</f>
        <v>Barrio Parque</v>
      </c>
    </row>
    <row r="1705" spans="1:23" x14ac:dyDescent="0.2">
      <c r="A1705" s="1">
        <v>45681</v>
      </c>
      <c r="B1705" s="20">
        <f t="shared" si="52"/>
        <v>2025</v>
      </c>
      <c r="C1705" s="20">
        <f t="shared" si="53"/>
        <v>1</v>
      </c>
      <c r="D1705" t="s">
        <v>342</v>
      </c>
      <c r="E1705" s="49">
        <v>3</v>
      </c>
      <c r="F1705" t="s">
        <v>343</v>
      </c>
      <c r="G1705" t="s">
        <v>21</v>
      </c>
      <c r="H1705" t="s">
        <v>76</v>
      </c>
      <c r="I1705" s="13">
        <v>162000</v>
      </c>
      <c r="J1705" s="13">
        <v>140000</v>
      </c>
      <c r="K1705" s="13">
        <f>IF(J1705&lt;'Mapa Oficinas'!$I$21,0,IF(J1705&gt;'Mapa Oficinas'!$I$20,0,1))</f>
        <v>1</v>
      </c>
      <c r="L1705" t="s">
        <v>23</v>
      </c>
      <c r="M1705" t="s">
        <v>23</v>
      </c>
      <c r="N1705" t="s">
        <v>344</v>
      </c>
      <c r="O1705" t="s">
        <v>345</v>
      </c>
      <c r="P1705" t="s">
        <v>45</v>
      </c>
      <c r="Q1705">
        <v>2</v>
      </c>
      <c r="R1705" t="s">
        <v>257</v>
      </c>
      <c r="S1705" t="s">
        <v>241</v>
      </c>
      <c r="T1705" t="str">
        <f>VLOOKUP(S1705,'Mapa Oficinas'!$H$7:$I$16,2,FALSE)</f>
        <v>CB</v>
      </c>
      <c r="U1705" t="s">
        <v>29</v>
      </c>
      <c r="V1705" t="str">
        <f>VLOOKUP($R1705,'Mapa Oficinas'!$A$7:$C$46,2,FALSE)</f>
        <v>Zona Norte (GBA)</v>
      </c>
      <c r="W1705" t="str">
        <f>VLOOKUP($R1705,'Mapa Oficinas'!$A$7:$C$46,3,FALSE)</f>
        <v>Pilar</v>
      </c>
    </row>
    <row r="1706" spans="1:23" x14ac:dyDescent="0.2">
      <c r="A1706" s="1">
        <v>45708</v>
      </c>
      <c r="B1706" s="20">
        <f t="shared" si="52"/>
        <v>2025</v>
      </c>
      <c r="C1706" s="20">
        <f t="shared" si="53"/>
        <v>2</v>
      </c>
      <c r="D1706" t="s">
        <v>699</v>
      </c>
      <c r="E1706" s="49">
        <v>1</v>
      </c>
      <c r="F1706" t="s">
        <v>700</v>
      </c>
      <c r="G1706" t="s">
        <v>21</v>
      </c>
      <c r="H1706" t="s">
        <v>22</v>
      </c>
      <c r="I1706" s="13">
        <v>140000</v>
      </c>
      <c r="J1706" s="13">
        <v>140000</v>
      </c>
      <c r="K1706" s="13">
        <f>IF(J1706&lt;'Mapa Oficinas'!$I$21,0,IF(J1706&gt;'Mapa Oficinas'!$I$20,0,1))</f>
        <v>1</v>
      </c>
      <c r="L1706" t="s">
        <v>23</v>
      </c>
      <c r="M1706" t="s">
        <v>23</v>
      </c>
      <c r="O1706" t="s">
        <v>573</v>
      </c>
      <c r="P1706" t="s">
        <v>26</v>
      </c>
      <c r="Q1706">
        <v>2</v>
      </c>
      <c r="R1706" t="s">
        <v>321</v>
      </c>
      <c r="S1706" t="s">
        <v>28</v>
      </c>
      <c r="T1706" t="str">
        <f>VLOOKUP(S1706,'Mapa Oficinas'!$H$7:$I$16,2,FALSE)</f>
        <v>CB</v>
      </c>
      <c r="U1706" t="s">
        <v>29</v>
      </c>
      <c r="V1706" t="str">
        <f>VLOOKUP($R1706,'Mapa Oficinas'!$A$7:$C$46,2,FALSE)</f>
        <v>CABA</v>
      </c>
      <c r="W1706" t="str">
        <f>VLOOKUP($R1706,'Mapa Oficinas'!$A$7:$C$46,3,FALSE)</f>
        <v>Palermo</v>
      </c>
    </row>
    <row r="1707" spans="1:23" x14ac:dyDescent="0.2">
      <c r="A1707" s="1">
        <v>45777</v>
      </c>
      <c r="B1707" s="20">
        <f t="shared" si="52"/>
        <v>2025</v>
      </c>
      <c r="C1707" s="20">
        <f t="shared" si="53"/>
        <v>4</v>
      </c>
      <c r="D1707" t="s">
        <v>1745</v>
      </c>
      <c r="E1707" s="49">
        <v>1</v>
      </c>
      <c r="F1707" t="s">
        <v>1746</v>
      </c>
      <c r="G1707" t="s">
        <v>21</v>
      </c>
      <c r="H1707" t="s">
        <v>37</v>
      </c>
      <c r="I1707" s="13">
        <v>149999</v>
      </c>
      <c r="J1707" s="13">
        <v>140000</v>
      </c>
      <c r="K1707" s="13">
        <f>IF(J1707&lt;'Mapa Oficinas'!$I$21,0,IF(J1707&gt;'Mapa Oficinas'!$I$20,0,1))</f>
        <v>1</v>
      </c>
      <c r="L1707" t="s">
        <v>23</v>
      </c>
      <c r="M1707" t="s">
        <v>23</v>
      </c>
      <c r="N1707" t="s">
        <v>1747</v>
      </c>
      <c r="O1707" t="s">
        <v>50</v>
      </c>
      <c r="P1707" t="s">
        <v>45</v>
      </c>
      <c r="Q1707">
        <v>2</v>
      </c>
      <c r="R1707" t="s">
        <v>67</v>
      </c>
      <c r="S1707" t="s">
        <v>28</v>
      </c>
      <c r="T1707" t="str">
        <f>VLOOKUP(S1707,'Mapa Oficinas'!$H$7:$I$16,2,FALSE)</f>
        <v>CB</v>
      </c>
      <c r="U1707" t="s">
        <v>29</v>
      </c>
      <c r="V1707" t="str">
        <f>VLOOKUP($R1707,'Mapa Oficinas'!$A$7:$C$46,2,FALSE)</f>
        <v>CABA</v>
      </c>
      <c r="W1707" t="str">
        <f>VLOOKUP($R1707,'Mapa Oficinas'!$A$7:$C$46,3,FALSE)</f>
        <v>Barrio Parque</v>
      </c>
    </row>
    <row r="1708" spans="1:23" x14ac:dyDescent="0.2">
      <c r="A1708" s="1">
        <v>45814</v>
      </c>
      <c r="B1708" s="20">
        <f t="shared" si="52"/>
        <v>2025</v>
      </c>
      <c r="C1708" s="20">
        <f t="shared" si="53"/>
        <v>6</v>
      </c>
      <c r="D1708" t="s">
        <v>2365</v>
      </c>
      <c r="E1708" s="49">
        <v>1</v>
      </c>
      <c r="F1708" t="s">
        <v>2366</v>
      </c>
      <c r="G1708" t="s">
        <v>21</v>
      </c>
      <c r="H1708" t="s">
        <v>37</v>
      </c>
      <c r="I1708" s="13">
        <v>140000</v>
      </c>
      <c r="J1708" s="13">
        <v>140000</v>
      </c>
      <c r="K1708" s="13">
        <f>IF(J1708&lt;'Mapa Oficinas'!$I$21,0,IF(J1708&gt;'Mapa Oficinas'!$I$20,0,1))</f>
        <v>1</v>
      </c>
      <c r="L1708" t="s">
        <v>23</v>
      </c>
      <c r="M1708" t="s">
        <v>23</v>
      </c>
      <c r="N1708" t="s">
        <v>2367</v>
      </c>
      <c r="O1708" t="s">
        <v>470</v>
      </c>
      <c r="P1708" t="s">
        <v>61</v>
      </c>
      <c r="Q1708">
        <v>2</v>
      </c>
      <c r="R1708" t="s">
        <v>56</v>
      </c>
      <c r="S1708" t="s">
        <v>28</v>
      </c>
      <c r="T1708" t="str">
        <f>VLOOKUP(S1708,'Mapa Oficinas'!$H$7:$I$16,2,FALSE)</f>
        <v>CB</v>
      </c>
      <c r="U1708" t="s">
        <v>29</v>
      </c>
      <c r="V1708" t="str">
        <f>VLOOKUP($R1708,'Mapa Oficinas'!$A$7:$C$46,2,FALSE)</f>
        <v>Zona Norte (GBA)</v>
      </c>
      <c r="W1708" t="str">
        <f>VLOOKUP($R1708,'Mapa Oficinas'!$A$7:$C$46,3,FALSE)</f>
        <v>Vicente López</v>
      </c>
    </row>
    <row r="1709" spans="1:23" x14ac:dyDescent="0.2">
      <c r="A1709" s="1">
        <v>45881</v>
      </c>
      <c r="B1709" s="20">
        <f t="shared" si="52"/>
        <v>2025</v>
      </c>
      <c r="C1709" s="20">
        <f t="shared" si="53"/>
        <v>8</v>
      </c>
      <c r="D1709" t="s">
        <v>3545</v>
      </c>
      <c r="E1709" s="49">
        <v>1</v>
      </c>
      <c r="F1709" t="s">
        <v>3546</v>
      </c>
      <c r="G1709" t="s">
        <v>21</v>
      </c>
      <c r="H1709" t="s">
        <v>37</v>
      </c>
      <c r="I1709" s="13">
        <v>148000</v>
      </c>
      <c r="J1709" s="13">
        <v>140000</v>
      </c>
      <c r="K1709" s="13">
        <f>IF(J1709&lt;'Mapa Oficinas'!$I$21,0,IF(J1709&gt;'Mapa Oficinas'!$I$20,0,1))</f>
        <v>1</v>
      </c>
      <c r="L1709" t="s">
        <v>23</v>
      </c>
      <c r="M1709" t="s">
        <v>23</v>
      </c>
      <c r="N1709" t="s">
        <v>3547</v>
      </c>
      <c r="O1709" t="s">
        <v>380</v>
      </c>
      <c r="P1709" t="s">
        <v>45</v>
      </c>
      <c r="Q1709">
        <v>2</v>
      </c>
      <c r="R1709" t="s">
        <v>523</v>
      </c>
      <c r="S1709" t="s">
        <v>28</v>
      </c>
      <c r="T1709" t="str">
        <f>VLOOKUP(S1709,'Mapa Oficinas'!$H$7:$I$16,2,FALSE)</f>
        <v>CB</v>
      </c>
      <c r="U1709" t="s">
        <v>29</v>
      </c>
      <c r="V1709" t="str">
        <f>VLOOKUP($R1709,'Mapa Oficinas'!$A$7:$C$46,2,FALSE)</f>
        <v>CABA</v>
      </c>
      <c r="W1709" t="str">
        <f>VLOOKUP($R1709,'Mapa Oficinas'!$A$7:$C$46,3,FALSE)</f>
        <v>Belgrano</v>
      </c>
    </row>
    <row r="1710" spans="1:23" x14ac:dyDescent="0.2">
      <c r="A1710" s="1">
        <v>45895</v>
      </c>
      <c r="B1710" s="20">
        <f t="shared" si="52"/>
        <v>2025</v>
      </c>
      <c r="C1710" s="20">
        <f t="shared" si="53"/>
        <v>8</v>
      </c>
      <c r="D1710" t="s">
        <v>3784</v>
      </c>
      <c r="E1710" s="49">
        <v>1</v>
      </c>
      <c r="F1710" t="s">
        <v>3785</v>
      </c>
      <c r="G1710" t="s">
        <v>21</v>
      </c>
      <c r="H1710" t="s">
        <v>37</v>
      </c>
      <c r="I1710" s="13">
        <v>145000</v>
      </c>
      <c r="J1710" s="13">
        <v>140000</v>
      </c>
      <c r="K1710" s="13">
        <f>IF(J1710&lt;'Mapa Oficinas'!$I$21,0,IF(J1710&gt;'Mapa Oficinas'!$I$20,0,1))</f>
        <v>1</v>
      </c>
      <c r="L1710" t="s">
        <v>23</v>
      </c>
      <c r="M1710" t="s">
        <v>23</v>
      </c>
      <c r="N1710" t="s">
        <v>3786</v>
      </c>
      <c r="O1710" t="s">
        <v>174</v>
      </c>
      <c r="P1710" t="s">
        <v>61</v>
      </c>
      <c r="Q1710">
        <v>2</v>
      </c>
      <c r="R1710" t="s">
        <v>56</v>
      </c>
      <c r="S1710" t="s">
        <v>28</v>
      </c>
      <c r="T1710" t="str">
        <f>VLOOKUP(S1710,'Mapa Oficinas'!$H$7:$I$16,2,FALSE)</f>
        <v>CB</v>
      </c>
      <c r="U1710" t="s">
        <v>29</v>
      </c>
      <c r="V1710" t="str">
        <f>VLOOKUP($R1710,'Mapa Oficinas'!$A$7:$C$46,2,FALSE)</f>
        <v>Zona Norte (GBA)</v>
      </c>
      <c r="W1710" t="str">
        <f>VLOOKUP($R1710,'Mapa Oficinas'!$A$7:$C$46,3,FALSE)</f>
        <v>Vicente López</v>
      </c>
    </row>
    <row r="1711" spans="1:23" x14ac:dyDescent="0.2">
      <c r="A1711" s="1">
        <v>45908</v>
      </c>
      <c r="B1711" s="20">
        <f t="shared" si="52"/>
        <v>2025</v>
      </c>
      <c r="C1711" s="20">
        <f t="shared" si="53"/>
        <v>9</v>
      </c>
      <c r="D1711" t="s">
        <v>4027</v>
      </c>
      <c r="E1711" s="49">
        <v>1</v>
      </c>
      <c r="F1711" t="s">
        <v>4028</v>
      </c>
      <c r="G1711" t="s">
        <v>21</v>
      </c>
      <c r="H1711" t="s">
        <v>37</v>
      </c>
      <c r="I1711" s="13">
        <v>149000</v>
      </c>
      <c r="J1711" s="13">
        <v>140000</v>
      </c>
      <c r="K1711" s="13">
        <f>IF(J1711&lt;'Mapa Oficinas'!$I$21,0,IF(J1711&gt;'Mapa Oficinas'!$I$20,0,1))</f>
        <v>1</v>
      </c>
      <c r="L1711" t="s">
        <v>23</v>
      </c>
      <c r="M1711" t="s">
        <v>23</v>
      </c>
      <c r="N1711" t="s">
        <v>4029</v>
      </c>
      <c r="O1711" t="s">
        <v>534</v>
      </c>
      <c r="P1711" t="s">
        <v>61</v>
      </c>
      <c r="Q1711">
        <v>2</v>
      </c>
      <c r="R1711" t="s">
        <v>56</v>
      </c>
      <c r="S1711" t="s">
        <v>28</v>
      </c>
      <c r="T1711" t="str">
        <f>VLOOKUP(S1711,'Mapa Oficinas'!$H$7:$I$16,2,FALSE)</f>
        <v>CB</v>
      </c>
      <c r="U1711" t="s">
        <v>29</v>
      </c>
      <c r="V1711" t="str">
        <f>VLOOKUP($R1711,'Mapa Oficinas'!$A$7:$C$46,2,FALSE)</f>
        <v>Zona Norte (GBA)</v>
      </c>
      <c r="W1711" t="str">
        <f>VLOOKUP($R1711,'Mapa Oficinas'!$A$7:$C$46,3,FALSE)</f>
        <v>Vicente López</v>
      </c>
    </row>
    <row r="1712" spans="1:23" x14ac:dyDescent="0.2">
      <c r="A1712" s="1">
        <v>45909</v>
      </c>
      <c r="B1712" s="20">
        <f t="shared" si="52"/>
        <v>2025</v>
      </c>
      <c r="C1712" s="20">
        <f t="shared" si="53"/>
        <v>9</v>
      </c>
      <c r="D1712" t="s">
        <v>4047</v>
      </c>
      <c r="E1712" s="49">
        <v>1</v>
      </c>
      <c r="F1712" t="s">
        <v>4048</v>
      </c>
      <c r="G1712" t="s">
        <v>21</v>
      </c>
      <c r="H1712" t="s">
        <v>22</v>
      </c>
      <c r="I1712" s="13">
        <v>140000</v>
      </c>
      <c r="J1712" s="13">
        <v>140000</v>
      </c>
      <c r="K1712" s="13">
        <f>IF(J1712&lt;'Mapa Oficinas'!$I$21,0,IF(J1712&gt;'Mapa Oficinas'!$I$20,0,1))</f>
        <v>1</v>
      </c>
      <c r="L1712" t="s">
        <v>23</v>
      </c>
      <c r="M1712" t="s">
        <v>23</v>
      </c>
      <c r="N1712" t="s">
        <v>4049</v>
      </c>
      <c r="O1712" t="s">
        <v>92</v>
      </c>
      <c r="P1712" t="s">
        <v>45</v>
      </c>
      <c r="Q1712">
        <v>2</v>
      </c>
      <c r="R1712" t="s">
        <v>62</v>
      </c>
      <c r="S1712" t="s">
        <v>28</v>
      </c>
      <c r="T1712" t="str">
        <f>VLOOKUP(S1712,'Mapa Oficinas'!$H$7:$I$16,2,FALSE)</f>
        <v>CB</v>
      </c>
      <c r="U1712" t="s">
        <v>29</v>
      </c>
      <c r="V1712" t="str">
        <f>VLOOKUP($R1712,'Mapa Oficinas'!$A$7:$C$46,2,FALSE)</f>
        <v>CABA</v>
      </c>
      <c r="W1712" t="str">
        <f>VLOOKUP($R1712,'Mapa Oficinas'!$A$7:$C$46,3,FALSE)</f>
        <v>Villa Urquiza</v>
      </c>
    </row>
    <row r="1713" spans="1:23" x14ac:dyDescent="0.2">
      <c r="A1713" s="1">
        <v>45917</v>
      </c>
      <c r="B1713" s="20">
        <f t="shared" si="52"/>
        <v>2025</v>
      </c>
      <c r="C1713" s="20">
        <f t="shared" si="53"/>
        <v>9</v>
      </c>
      <c r="D1713" t="s">
        <v>4205</v>
      </c>
      <c r="E1713" s="49">
        <v>1</v>
      </c>
      <c r="F1713" t="s">
        <v>4206</v>
      </c>
      <c r="G1713" t="s">
        <v>21</v>
      </c>
      <c r="H1713" t="s">
        <v>37</v>
      </c>
      <c r="I1713" s="13">
        <v>159000</v>
      </c>
      <c r="J1713" s="13">
        <v>140000</v>
      </c>
      <c r="K1713" s="13">
        <f>IF(J1713&lt;'Mapa Oficinas'!$I$21,0,IF(J1713&gt;'Mapa Oficinas'!$I$20,0,1))</f>
        <v>1</v>
      </c>
      <c r="L1713" t="s">
        <v>23</v>
      </c>
      <c r="M1713" t="s">
        <v>23</v>
      </c>
      <c r="N1713" t="s">
        <v>4207</v>
      </c>
      <c r="O1713" t="s">
        <v>50</v>
      </c>
      <c r="P1713" t="s">
        <v>45</v>
      </c>
      <c r="Q1713">
        <v>2</v>
      </c>
      <c r="R1713" t="s">
        <v>67</v>
      </c>
      <c r="S1713" t="s">
        <v>28</v>
      </c>
      <c r="T1713" t="str">
        <f>VLOOKUP(S1713,'Mapa Oficinas'!$H$7:$I$16,2,FALSE)</f>
        <v>CB</v>
      </c>
      <c r="U1713" t="s">
        <v>29</v>
      </c>
      <c r="V1713" t="str">
        <f>VLOOKUP($R1713,'Mapa Oficinas'!$A$7:$C$46,2,FALSE)</f>
        <v>CABA</v>
      </c>
      <c r="W1713" t="str">
        <f>VLOOKUP($R1713,'Mapa Oficinas'!$A$7:$C$46,3,FALSE)</f>
        <v>Barrio Parque</v>
      </c>
    </row>
    <row r="1714" spans="1:23" x14ac:dyDescent="0.2">
      <c r="A1714" s="1">
        <v>45944</v>
      </c>
      <c r="B1714" s="20">
        <f t="shared" si="52"/>
        <v>2025</v>
      </c>
      <c r="C1714" s="20">
        <f t="shared" si="53"/>
        <v>10</v>
      </c>
      <c r="D1714" t="s">
        <v>4664</v>
      </c>
      <c r="E1714" s="49">
        <v>1</v>
      </c>
      <c r="F1714" t="s">
        <v>4665</v>
      </c>
      <c r="G1714" t="s">
        <v>21</v>
      </c>
      <c r="H1714" t="s">
        <v>37</v>
      </c>
      <c r="I1714" s="13">
        <v>145000</v>
      </c>
      <c r="J1714" s="13">
        <v>140000</v>
      </c>
      <c r="K1714" s="13">
        <f>IF(J1714&lt;'Mapa Oficinas'!$I$21,0,IF(J1714&gt;'Mapa Oficinas'!$I$20,0,1))</f>
        <v>1</v>
      </c>
      <c r="L1714" t="s">
        <v>23</v>
      </c>
      <c r="M1714" t="s">
        <v>23</v>
      </c>
      <c r="N1714" t="s">
        <v>4666</v>
      </c>
      <c r="O1714" t="s">
        <v>190</v>
      </c>
      <c r="P1714" t="s">
        <v>45</v>
      </c>
      <c r="Q1714">
        <v>2</v>
      </c>
      <c r="R1714" t="s">
        <v>517</v>
      </c>
      <c r="S1714" t="s">
        <v>28</v>
      </c>
      <c r="T1714" t="str">
        <f>VLOOKUP(S1714,'Mapa Oficinas'!$H$7:$I$16,2,FALSE)</f>
        <v>CB</v>
      </c>
      <c r="U1714" t="s">
        <v>29</v>
      </c>
      <c r="V1714" t="str">
        <f>VLOOKUP($R1714,'Mapa Oficinas'!$A$7:$C$46,2,FALSE)</f>
        <v>Zona Sur (GBA)</v>
      </c>
      <c r="W1714" t="str">
        <f>VLOOKUP($R1714,'Mapa Oficinas'!$A$7:$C$46,3,FALSE)</f>
        <v>Canning</v>
      </c>
    </row>
    <row r="1715" spans="1:23" x14ac:dyDescent="0.2">
      <c r="A1715" s="1">
        <v>45954</v>
      </c>
      <c r="B1715" s="20">
        <f t="shared" si="52"/>
        <v>2025</v>
      </c>
      <c r="C1715" s="20">
        <f t="shared" si="53"/>
        <v>10</v>
      </c>
      <c r="D1715" t="s">
        <v>4908</v>
      </c>
      <c r="E1715" s="49">
        <v>1</v>
      </c>
      <c r="F1715" t="s">
        <v>4909</v>
      </c>
      <c r="G1715" t="s">
        <v>21</v>
      </c>
      <c r="H1715" t="s">
        <v>37</v>
      </c>
      <c r="I1715" s="13">
        <v>146000</v>
      </c>
      <c r="J1715" s="13">
        <v>140000</v>
      </c>
      <c r="K1715" s="13">
        <f>IF(J1715&lt;'Mapa Oficinas'!$I$21,0,IF(J1715&gt;'Mapa Oficinas'!$I$20,0,1))</f>
        <v>1</v>
      </c>
      <c r="L1715" t="s">
        <v>23</v>
      </c>
      <c r="M1715" t="s">
        <v>23</v>
      </c>
      <c r="N1715" t="s">
        <v>4910</v>
      </c>
      <c r="O1715" t="s">
        <v>92</v>
      </c>
      <c r="P1715" t="s">
        <v>45</v>
      </c>
      <c r="Q1715">
        <v>2</v>
      </c>
      <c r="R1715" t="s">
        <v>670</v>
      </c>
      <c r="S1715" t="s">
        <v>28</v>
      </c>
      <c r="T1715" t="str">
        <f>VLOOKUP(S1715,'Mapa Oficinas'!$H$7:$I$16,2,FALSE)</f>
        <v>CB</v>
      </c>
      <c r="U1715" t="s">
        <v>29</v>
      </c>
      <c r="V1715" t="str">
        <f>VLOOKUP($R1715,'Mapa Oficinas'!$A$7:$C$46,2,FALSE)</f>
        <v>CABA</v>
      </c>
      <c r="W1715" t="str">
        <f>VLOOKUP($R1715,'Mapa Oficinas'!$A$7:$C$46,3,FALSE)</f>
        <v>Recoleta</v>
      </c>
    </row>
    <row r="1716" spans="1:23" x14ac:dyDescent="0.2">
      <c r="A1716" s="1">
        <v>45968</v>
      </c>
      <c r="B1716" s="20">
        <f t="shared" si="52"/>
        <v>2025</v>
      </c>
      <c r="C1716" s="20">
        <f t="shared" si="53"/>
        <v>11</v>
      </c>
      <c r="D1716" t="s">
        <v>5087</v>
      </c>
      <c r="E1716" s="49">
        <v>1</v>
      </c>
      <c r="F1716" t="s">
        <v>5088</v>
      </c>
      <c r="G1716" t="s">
        <v>21</v>
      </c>
      <c r="H1716" t="s">
        <v>22</v>
      </c>
      <c r="I1716" s="13">
        <v>140000</v>
      </c>
      <c r="J1716" s="13">
        <v>140000</v>
      </c>
      <c r="K1716" s="13">
        <f>IF(J1716&lt;'Mapa Oficinas'!$I$21,0,IF(J1716&gt;'Mapa Oficinas'!$I$20,0,1))</f>
        <v>1</v>
      </c>
      <c r="L1716" t="s">
        <v>23</v>
      </c>
      <c r="M1716" t="s">
        <v>23</v>
      </c>
      <c r="N1716" t="s">
        <v>5089</v>
      </c>
      <c r="O1716" t="s">
        <v>5090</v>
      </c>
      <c r="P1716" t="s">
        <v>34</v>
      </c>
      <c r="Q1716">
        <v>2</v>
      </c>
      <c r="R1716" t="s">
        <v>823</v>
      </c>
      <c r="S1716" t="s">
        <v>28</v>
      </c>
      <c r="T1716" t="str">
        <f>VLOOKUP(S1716,'Mapa Oficinas'!$H$7:$I$16,2,FALSE)</f>
        <v>CB</v>
      </c>
      <c r="U1716" t="s">
        <v>29</v>
      </c>
      <c r="V1716" t="str">
        <f>VLOOKUP($R1716,'Mapa Oficinas'!$A$7:$C$46,2,FALSE)</f>
        <v>Zona Norte (GBA)</v>
      </c>
      <c r="W1716" t="str">
        <f>VLOOKUP($R1716,'Mapa Oficinas'!$A$7:$C$46,3,FALSE)</f>
        <v>Pilar</v>
      </c>
    </row>
    <row r="1717" spans="1:23" x14ac:dyDescent="0.2">
      <c r="A1717" s="1">
        <v>45973</v>
      </c>
      <c r="B1717" s="20">
        <f t="shared" si="52"/>
        <v>2025</v>
      </c>
      <c r="C1717" s="20">
        <f t="shared" si="53"/>
        <v>11</v>
      </c>
      <c r="D1717">
        <v>10563</v>
      </c>
      <c r="E1717" s="49">
        <v>1</v>
      </c>
      <c r="F1717" t="s">
        <v>5170</v>
      </c>
      <c r="G1717" t="s">
        <v>21</v>
      </c>
      <c r="H1717" t="s">
        <v>37</v>
      </c>
      <c r="I1717" s="13">
        <v>140000</v>
      </c>
      <c r="J1717" s="13">
        <v>140000</v>
      </c>
      <c r="K1717" s="13">
        <f>IF(J1717&lt;'Mapa Oficinas'!$I$21,0,IF(J1717&gt;'Mapa Oficinas'!$I$20,0,1))</f>
        <v>1</v>
      </c>
      <c r="L1717" t="s">
        <v>23</v>
      </c>
      <c r="M1717" t="s">
        <v>23</v>
      </c>
      <c r="N1717" t="s">
        <v>5170</v>
      </c>
      <c r="O1717" t="s">
        <v>976</v>
      </c>
      <c r="P1717" t="s">
        <v>45</v>
      </c>
      <c r="Q1717">
        <v>2</v>
      </c>
      <c r="R1717" t="s">
        <v>67</v>
      </c>
      <c r="S1717" t="s">
        <v>28</v>
      </c>
      <c r="T1717" t="str">
        <f>VLOOKUP(S1717,'Mapa Oficinas'!$H$7:$I$16,2,FALSE)</f>
        <v>CB</v>
      </c>
      <c r="U1717" t="s">
        <v>29</v>
      </c>
      <c r="V1717" t="str">
        <f>VLOOKUP($R1717,'Mapa Oficinas'!$A$7:$C$46,2,FALSE)</f>
        <v>CABA</v>
      </c>
      <c r="W1717" t="str">
        <f>VLOOKUP($R1717,'Mapa Oficinas'!$A$7:$C$46,3,FALSE)</f>
        <v>Barrio Parque</v>
      </c>
    </row>
    <row r="1718" spans="1:23" x14ac:dyDescent="0.2">
      <c r="A1718" s="1">
        <v>46090</v>
      </c>
      <c r="B1718" s="20">
        <f t="shared" si="52"/>
        <v>2026</v>
      </c>
      <c r="C1718" s="20">
        <f t="shared" si="53"/>
        <v>3</v>
      </c>
      <c r="D1718" t="s">
        <v>7042</v>
      </c>
      <c r="E1718" s="49">
        <v>1</v>
      </c>
      <c r="F1718" t="s">
        <v>7043</v>
      </c>
      <c r="G1718" t="s">
        <v>21</v>
      </c>
      <c r="H1718" t="s">
        <v>37</v>
      </c>
      <c r="I1718" s="13">
        <v>155000</v>
      </c>
      <c r="J1718" s="13">
        <v>140000</v>
      </c>
      <c r="K1718" s="13">
        <f>IF(J1718&lt;'Mapa Oficinas'!$I$21,0,IF(J1718&gt;'Mapa Oficinas'!$I$20,0,1))</f>
        <v>1</v>
      </c>
      <c r="L1718" t="s">
        <v>23</v>
      </c>
      <c r="M1718" t="s">
        <v>23</v>
      </c>
      <c r="N1718" t="s">
        <v>7044</v>
      </c>
      <c r="O1718" t="s">
        <v>519</v>
      </c>
      <c r="P1718" t="s">
        <v>45</v>
      </c>
      <c r="Q1718">
        <v>2</v>
      </c>
      <c r="R1718" t="s">
        <v>67</v>
      </c>
      <c r="S1718" t="s">
        <v>28</v>
      </c>
      <c r="T1718" t="str">
        <f>VLOOKUP(S1718,'Mapa Oficinas'!$H$7:$I$16,2,FALSE)</f>
        <v>CB</v>
      </c>
      <c r="U1718" t="s">
        <v>29</v>
      </c>
      <c r="V1718" t="str">
        <f>VLOOKUP($R1718,'Mapa Oficinas'!$A$7:$C$46,2,FALSE)</f>
        <v>CABA</v>
      </c>
      <c r="W1718" t="str">
        <f>VLOOKUP($R1718,'Mapa Oficinas'!$A$7:$C$46,3,FALSE)</f>
        <v>Barrio Parque</v>
      </c>
    </row>
    <row r="1719" spans="1:23" x14ac:dyDescent="0.2">
      <c r="A1719" s="1">
        <v>46108</v>
      </c>
      <c r="B1719" s="20">
        <f t="shared" si="52"/>
        <v>2026</v>
      </c>
      <c r="C1719" s="20">
        <f t="shared" si="53"/>
        <v>3</v>
      </c>
      <c r="D1719" t="s">
        <v>7486</v>
      </c>
      <c r="E1719" s="49">
        <v>1</v>
      </c>
      <c r="F1719" t="s">
        <v>7487</v>
      </c>
      <c r="G1719" t="s">
        <v>21</v>
      </c>
      <c r="H1719" t="s">
        <v>37</v>
      </c>
      <c r="I1719" s="13">
        <v>148000</v>
      </c>
      <c r="J1719" s="13">
        <v>140000</v>
      </c>
      <c r="K1719" s="13">
        <f>IF(J1719&lt;'Mapa Oficinas'!$I$21,0,IF(J1719&gt;'Mapa Oficinas'!$I$20,0,1))</f>
        <v>1</v>
      </c>
      <c r="L1719" t="s">
        <v>23</v>
      </c>
      <c r="M1719" t="s">
        <v>23</v>
      </c>
      <c r="N1719" t="s">
        <v>7488</v>
      </c>
      <c r="O1719" t="s">
        <v>50</v>
      </c>
      <c r="P1719" t="s">
        <v>45</v>
      </c>
      <c r="Q1719">
        <v>2</v>
      </c>
      <c r="R1719" t="s">
        <v>46</v>
      </c>
      <c r="S1719" t="s">
        <v>28</v>
      </c>
      <c r="T1719" t="str">
        <f>VLOOKUP(S1719,'Mapa Oficinas'!$H$7:$I$16,2,FALSE)</f>
        <v>CB</v>
      </c>
      <c r="U1719" t="s">
        <v>29</v>
      </c>
      <c r="V1719" t="str">
        <f>VLOOKUP($R1719,'Mapa Oficinas'!$A$7:$C$46,2,FALSE)</f>
        <v>CABA</v>
      </c>
      <c r="W1719" t="str">
        <f>VLOOKUP($R1719,'Mapa Oficinas'!$A$7:$C$46,3,FALSE)</f>
        <v>Palermo</v>
      </c>
    </row>
    <row r="1720" spans="1:23" x14ac:dyDescent="0.2">
      <c r="A1720" s="1">
        <v>46112</v>
      </c>
      <c r="B1720" s="20">
        <f t="shared" si="52"/>
        <v>2026</v>
      </c>
      <c r="C1720" s="20">
        <f t="shared" si="53"/>
        <v>3</v>
      </c>
      <c r="D1720" t="s">
        <v>7576</v>
      </c>
      <c r="E1720" s="49">
        <v>1</v>
      </c>
      <c r="F1720" t="s">
        <v>7577</v>
      </c>
      <c r="G1720" t="s">
        <v>21</v>
      </c>
      <c r="H1720" t="s">
        <v>37</v>
      </c>
      <c r="I1720" s="13">
        <v>160000</v>
      </c>
      <c r="J1720" s="13">
        <v>140000</v>
      </c>
      <c r="K1720" s="13">
        <f>IF(J1720&lt;'Mapa Oficinas'!$I$21,0,IF(J1720&gt;'Mapa Oficinas'!$I$20,0,1))</f>
        <v>1</v>
      </c>
      <c r="L1720" t="s">
        <v>23</v>
      </c>
      <c r="M1720" t="s">
        <v>23</v>
      </c>
      <c r="N1720" t="s">
        <v>7578</v>
      </c>
      <c r="O1720" t="s">
        <v>390</v>
      </c>
      <c r="P1720" t="s">
        <v>61</v>
      </c>
      <c r="Q1720">
        <v>2</v>
      </c>
      <c r="R1720" t="s">
        <v>67</v>
      </c>
      <c r="S1720" t="s">
        <v>28</v>
      </c>
      <c r="T1720" t="str">
        <f>VLOOKUP(S1720,'Mapa Oficinas'!$H$7:$I$16,2,FALSE)</f>
        <v>CB</v>
      </c>
      <c r="U1720" t="s">
        <v>29</v>
      </c>
      <c r="V1720" t="str">
        <f>VLOOKUP($R1720,'Mapa Oficinas'!$A$7:$C$46,2,FALSE)</f>
        <v>CABA</v>
      </c>
      <c r="W1720" t="str">
        <f>VLOOKUP($R1720,'Mapa Oficinas'!$A$7:$C$46,3,FALSE)</f>
        <v>Barrio Parque</v>
      </c>
    </row>
    <row r="1721" spans="1:23" x14ac:dyDescent="0.2">
      <c r="A1721" s="1">
        <v>46043</v>
      </c>
      <c r="B1721" s="20">
        <f t="shared" si="52"/>
        <v>2026</v>
      </c>
      <c r="C1721" s="20">
        <f t="shared" si="53"/>
        <v>1</v>
      </c>
      <c r="D1721" t="s">
        <v>6347</v>
      </c>
      <c r="E1721" s="49">
        <v>1</v>
      </c>
      <c r="F1721" t="s">
        <v>6348</v>
      </c>
      <c r="G1721" t="s">
        <v>21</v>
      </c>
      <c r="H1721" t="s">
        <v>37</v>
      </c>
      <c r="I1721" s="13">
        <v>148000</v>
      </c>
      <c r="J1721" s="13">
        <v>141000</v>
      </c>
      <c r="K1721" s="13">
        <f>IF(J1721&lt;'Mapa Oficinas'!$I$21,0,IF(J1721&gt;'Mapa Oficinas'!$I$20,0,1))</f>
        <v>1</v>
      </c>
      <c r="L1721" t="s">
        <v>23</v>
      </c>
      <c r="M1721" t="s">
        <v>23</v>
      </c>
      <c r="N1721" t="s">
        <v>6349</v>
      </c>
      <c r="O1721" t="s">
        <v>408</v>
      </c>
      <c r="P1721" t="s">
        <v>45</v>
      </c>
      <c r="Q1721">
        <v>2</v>
      </c>
      <c r="R1721" t="s">
        <v>110</v>
      </c>
      <c r="S1721" t="s">
        <v>79</v>
      </c>
      <c r="T1721" t="str">
        <f>VLOOKUP(S1721,'Mapa Oficinas'!$H$7:$I$16,2,FALSE)</f>
        <v>CB</v>
      </c>
      <c r="U1721" t="s">
        <v>29</v>
      </c>
      <c r="V1721" t="str">
        <f>VLOOKUP($R1721,'Mapa Oficinas'!$A$7:$C$46,2,FALSE)</f>
        <v>Zona Norte (GBA)</v>
      </c>
      <c r="W1721" t="str">
        <f>VLOOKUP($R1721,'Mapa Oficinas'!$A$7:$C$46,3,FALSE)</f>
        <v>Nordelta</v>
      </c>
    </row>
    <row r="1722" spans="1:23" x14ac:dyDescent="0.2">
      <c r="A1722" s="1">
        <v>45915</v>
      </c>
      <c r="B1722" s="20">
        <f t="shared" si="52"/>
        <v>2025</v>
      </c>
      <c r="C1722" s="20">
        <f t="shared" si="53"/>
        <v>9</v>
      </c>
      <c r="D1722" t="s">
        <v>4164</v>
      </c>
      <c r="E1722" s="49">
        <v>3</v>
      </c>
      <c r="F1722" t="s">
        <v>4165</v>
      </c>
      <c r="G1722" t="s">
        <v>21</v>
      </c>
      <c r="H1722" t="s">
        <v>22</v>
      </c>
      <c r="I1722" s="13">
        <v>150000</v>
      </c>
      <c r="J1722" s="13">
        <v>141000</v>
      </c>
      <c r="K1722" s="13">
        <f>IF(J1722&lt;'Mapa Oficinas'!$I$21,0,IF(J1722&gt;'Mapa Oficinas'!$I$20,0,1))</f>
        <v>1</v>
      </c>
      <c r="L1722" t="s">
        <v>23</v>
      </c>
      <c r="M1722" t="s">
        <v>23</v>
      </c>
      <c r="N1722" t="s">
        <v>1788</v>
      </c>
      <c r="O1722" t="s">
        <v>1609</v>
      </c>
      <c r="P1722" t="s">
        <v>34</v>
      </c>
      <c r="Q1722">
        <v>2</v>
      </c>
      <c r="R1722" t="s">
        <v>257</v>
      </c>
      <c r="S1722" t="s">
        <v>241</v>
      </c>
      <c r="T1722" t="str">
        <f>VLOOKUP(S1722,'Mapa Oficinas'!$H$7:$I$16,2,FALSE)</f>
        <v>CB</v>
      </c>
      <c r="U1722" t="s">
        <v>29</v>
      </c>
      <c r="V1722" t="str">
        <f>VLOOKUP($R1722,'Mapa Oficinas'!$A$7:$C$46,2,FALSE)</f>
        <v>Zona Norte (GBA)</v>
      </c>
      <c r="W1722" t="str">
        <f>VLOOKUP($R1722,'Mapa Oficinas'!$A$7:$C$46,3,FALSE)</f>
        <v>Pilar</v>
      </c>
    </row>
    <row r="1723" spans="1:23" x14ac:dyDescent="0.2">
      <c r="A1723" s="1">
        <v>46042</v>
      </c>
      <c r="B1723" s="20">
        <f t="shared" si="52"/>
        <v>2026</v>
      </c>
      <c r="C1723" s="20">
        <f t="shared" si="53"/>
        <v>1</v>
      </c>
      <c r="D1723" t="s">
        <v>6326</v>
      </c>
      <c r="E1723" s="49">
        <v>3</v>
      </c>
      <c r="F1723" t="s">
        <v>6327</v>
      </c>
      <c r="G1723" t="s">
        <v>21</v>
      </c>
      <c r="H1723" t="s">
        <v>76</v>
      </c>
      <c r="I1723" s="13">
        <v>145000</v>
      </c>
      <c r="J1723" s="13">
        <v>141000</v>
      </c>
      <c r="K1723" s="13">
        <f>IF(J1723&lt;'Mapa Oficinas'!$I$21,0,IF(J1723&gt;'Mapa Oficinas'!$I$20,0,1))</f>
        <v>1</v>
      </c>
      <c r="L1723" t="s">
        <v>23</v>
      </c>
      <c r="M1723" t="s">
        <v>23</v>
      </c>
      <c r="N1723" t="s">
        <v>6328</v>
      </c>
      <c r="O1723" t="s">
        <v>1330</v>
      </c>
      <c r="P1723" t="s">
        <v>26</v>
      </c>
      <c r="Q1723">
        <v>2</v>
      </c>
      <c r="R1723" t="s">
        <v>257</v>
      </c>
      <c r="S1723" t="s">
        <v>241</v>
      </c>
      <c r="T1723" t="str">
        <f>VLOOKUP(S1723,'Mapa Oficinas'!$H$7:$I$16,2,FALSE)</f>
        <v>CB</v>
      </c>
      <c r="U1723" t="s">
        <v>29</v>
      </c>
      <c r="V1723" t="str">
        <f>VLOOKUP($R1723,'Mapa Oficinas'!$A$7:$C$46,2,FALSE)</f>
        <v>Zona Norte (GBA)</v>
      </c>
      <c r="W1723" t="str">
        <f>VLOOKUP($R1723,'Mapa Oficinas'!$A$7:$C$46,3,FALSE)</f>
        <v>Pilar</v>
      </c>
    </row>
    <row r="1724" spans="1:23" x14ac:dyDescent="0.2">
      <c r="A1724" s="1">
        <v>46043</v>
      </c>
      <c r="B1724" s="20">
        <f t="shared" si="52"/>
        <v>2026</v>
      </c>
      <c r="C1724" s="20">
        <f t="shared" si="53"/>
        <v>1</v>
      </c>
      <c r="D1724" t="s">
        <v>6350</v>
      </c>
      <c r="E1724" s="49">
        <v>1</v>
      </c>
      <c r="F1724" t="s">
        <v>6351</v>
      </c>
      <c r="G1724" t="s">
        <v>21</v>
      </c>
      <c r="H1724" t="s">
        <v>37</v>
      </c>
      <c r="I1724" s="13">
        <v>149000</v>
      </c>
      <c r="J1724" s="13">
        <v>142000</v>
      </c>
      <c r="K1724" s="13">
        <f>IF(J1724&lt;'Mapa Oficinas'!$I$21,0,IF(J1724&gt;'Mapa Oficinas'!$I$20,0,1))</f>
        <v>1</v>
      </c>
      <c r="L1724" t="s">
        <v>23</v>
      </c>
      <c r="M1724" t="s">
        <v>23</v>
      </c>
      <c r="N1724" t="s">
        <v>6352</v>
      </c>
      <c r="O1724" t="s">
        <v>664</v>
      </c>
      <c r="P1724" t="s">
        <v>34</v>
      </c>
      <c r="Q1724">
        <v>1</v>
      </c>
      <c r="R1724" t="s">
        <v>56</v>
      </c>
      <c r="S1724" t="s">
        <v>122</v>
      </c>
      <c r="T1724" t="str">
        <f>VLOOKUP(S1724,'Mapa Oficinas'!$H$7:$I$16,2,FALSE)</f>
        <v>Otra Red Búsqueda</v>
      </c>
      <c r="U1724" t="s">
        <v>29</v>
      </c>
      <c r="V1724" t="str">
        <f>VLOOKUP($R1724,'Mapa Oficinas'!$A$7:$C$46,2,FALSE)</f>
        <v>Zona Norte (GBA)</v>
      </c>
      <c r="W1724" t="str">
        <f>VLOOKUP($R1724,'Mapa Oficinas'!$A$7:$C$46,3,FALSE)</f>
        <v>Vicente López</v>
      </c>
    </row>
    <row r="1725" spans="1:23" x14ac:dyDescent="0.2">
      <c r="A1725" s="1">
        <v>45932</v>
      </c>
      <c r="B1725" s="20">
        <f t="shared" si="52"/>
        <v>2025</v>
      </c>
      <c r="C1725" s="20">
        <f t="shared" si="53"/>
        <v>10</v>
      </c>
      <c r="D1725" t="s">
        <v>4465</v>
      </c>
      <c r="E1725" s="49">
        <v>1</v>
      </c>
      <c r="F1725" t="s">
        <v>4466</v>
      </c>
      <c r="G1725" t="s">
        <v>21</v>
      </c>
      <c r="H1725" t="s">
        <v>76</v>
      </c>
      <c r="I1725" s="13">
        <v>148000</v>
      </c>
      <c r="J1725" s="13">
        <v>142000</v>
      </c>
      <c r="K1725" s="13">
        <f>IF(J1725&lt;'Mapa Oficinas'!$I$21,0,IF(J1725&gt;'Mapa Oficinas'!$I$20,0,1))</f>
        <v>1</v>
      </c>
      <c r="L1725" t="s">
        <v>23</v>
      </c>
      <c r="M1725" t="s">
        <v>23</v>
      </c>
      <c r="N1725" t="s">
        <v>4467</v>
      </c>
      <c r="O1725" t="s">
        <v>4468</v>
      </c>
      <c r="P1725" t="s">
        <v>26</v>
      </c>
      <c r="Q1725">
        <v>2</v>
      </c>
      <c r="R1725" t="s">
        <v>73</v>
      </c>
      <c r="S1725" t="s">
        <v>79</v>
      </c>
      <c r="T1725" t="str">
        <f>VLOOKUP(S1725,'Mapa Oficinas'!$H$7:$I$16,2,FALSE)</f>
        <v>CB</v>
      </c>
      <c r="U1725" t="s">
        <v>29</v>
      </c>
      <c r="V1725" t="str">
        <f>VLOOKUP($R1725,'Mapa Oficinas'!$A$7:$C$46,2,FALSE)</f>
        <v>Interior - Salta</v>
      </c>
      <c r="W1725" t="str">
        <f>VLOOKUP($R1725,'Mapa Oficinas'!$A$7:$C$46,3,FALSE)</f>
        <v>San Lorenzo Chico</v>
      </c>
    </row>
    <row r="1726" spans="1:23" x14ac:dyDescent="0.2">
      <c r="A1726" s="1">
        <v>45992</v>
      </c>
      <c r="B1726" s="20">
        <f t="shared" si="52"/>
        <v>2025</v>
      </c>
      <c r="C1726" s="20">
        <f t="shared" si="53"/>
        <v>12</v>
      </c>
      <c r="D1726" t="s">
        <v>4853</v>
      </c>
      <c r="E1726" s="49">
        <v>1</v>
      </c>
      <c r="F1726" t="s">
        <v>4854</v>
      </c>
      <c r="G1726" t="s">
        <v>21</v>
      </c>
      <c r="H1726" t="s">
        <v>76</v>
      </c>
      <c r="I1726" s="13">
        <v>600</v>
      </c>
      <c r="J1726" s="13">
        <v>142000</v>
      </c>
      <c r="K1726" s="13">
        <f>IF(J1726&lt;'Mapa Oficinas'!$I$21,0,IF(J1726&gt;'Mapa Oficinas'!$I$20,0,1))</f>
        <v>1</v>
      </c>
      <c r="L1726" t="s">
        <v>23</v>
      </c>
      <c r="M1726" t="s">
        <v>23</v>
      </c>
      <c r="N1726" t="s">
        <v>4855</v>
      </c>
      <c r="O1726" t="s">
        <v>2988</v>
      </c>
      <c r="P1726" t="s">
        <v>45</v>
      </c>
      <c r="Q1726">
        <v>2</v>
      </c>
      <c r="R1726" t="s">
        <v>257</v>
      </c>
      <c r="S1726" t="s">
        <v>241</v>
      </c>
      <c r="T1726" t="str">
        <f>VLOOKUP(S1726,'Mapa Oficinas'!$H$7:$I$16,2,FALSE)</f>
        <v>CB</v>
      </c>
      <c r="U1726" t="s">
        <v>29</v>
      </c>
      <c r="V1726" t="str">
        <f>VLOOKUP($R1726,'Mapa Oficinas'!$A$7:$C$46,2,FALSE)</f>
        <v>Zona Norte (GBA)</v>
      </c>
      <c r="W1726" t="str">
        <f>VLOOKUP($R1726,'Mapa Oficinas'!$A$7:$C$46,3,FALSE)</f>
        <v>Pilar</v>
      </c>
    </row>
    <row r="1727" spans="1:23" x14ac:dyDescent="0.2">
      <c r="A1727" s="1">
        <v>45978</v>
      </c>
      <c r="B1727" s="20">
        <f t="shared" si="52"/>
        <v>2025</v>
      </c>
      <c r="C1727" s="20">
        <f t="shared" si="53"/>
        <v>11</v>
      </c>
      <c r="D1727" t="s">
        <v>5258</v>
      </c>
      <c r="E1727" s="49">
        <v>1</v>
      </c>
      <c r="F1727" t="s">
        <v>5259</v>
      </c>
      <c r="G1727" t="s">
        <v>21</v>
      </c>
      <c r="H1727" t="s">
        <v>37</v>
      </c>
      <c r="I1727" s="13">
        <v>145000</v>
      </c>
      <c r="J1727" s="13">
        <v>142000</v>
      </c>
      <c r="K1727" s="13">
        <f>IF(J1727&lt;'Mapa Oficinas'!$I$21,0,IF(J1727&gt;'Mapa Oficinas'!$I$20,0,1))</f>
        <v>1</v>
      </c>
      <c r="L1727" t="s">
        <v>23</v>
      </c>
      <c r="M1727" t="s">
        <v>23</v>
      </c>
      <c r="N1727" t="s">
        <v>5260</v>
      </c>
      <c r="O1727" t="s">
        <v>25</v>
      </c>
      <c r="P1727" t="s">
        <v>61</v>
      </c>
      <c r="Q1727">
        <v>2</v>
      </c>
      <c r="R1727" t="s">
        <v>56</v>
      </c>
      <c r="S1727" t="s">
        <v>28</v>
      </c>
      <c r="T1727" t="str">
        <f>VLOOKUP(S1727,'Mapa Oficinas'!$H$7:$I$16,2,FALSE)</f>
        <v>CB</v>
      </c>
      <c r="U1727" t="s">
        <v>29</v>
      </c>
      <c r="V1727" t="str">
        <f>VLOOKUP($R1727,'Mapa Oficinas'!$A$7:$C$46,2,FALSE)</f>
        <v>Zona Norte (GBA)</v>
      </c>
      <c r="W1727" t="str">
        <f>VLOOKUP($R1727,'Mapa Oficinas'!$A$7:$C$46,3,FALSE)</f>
        <v>Vicente López</v>
      </c>
    </row>
    <row r="1728" spans="1:23" x14ac:dyDescent="0.2">
      <c r="A1728" s="1">
        <v>45981</v>
      </c>
      <c r="B1728" s="20">
        <f t="shared" si="52"/>
        <v>2025</v>
      </c>
      <c r="C1728" s="20">
        <f t="shared" si="53"/>
        <v>11</v>
      </c>
      <c r="D1728" t="s">
        <v>5339</v>
      </c>
      <c r="E1728" s="49">
        <v>1</v>
      </c>
      <c r="F1728" t="s">
        <v>5340</v>
      </c>
      <c r="G1728" t="s">
        <v>21</v>
      </c>
      <c r="H1728" t="s">
        <v>37</v>
      </c>
      <c r="I1728" s="13">
        <v>142000</v>
      </c>
      <c r="J1728" s="13">
        <v>142000</v>
      </c>
      <c r="K1728" s="13">
        <f>IF(J1728&lt;'Mapa Oficinas'!$I$21,0,IF(J1728&gt;'Mapa Oficinas'!$I$20,0,1))</f>
        <v>1</v>
      </c>
      <c r="L1728" t="s">
        <v>23</v>
      </c>
      <c r="M1728" t="s">
        <v>23</v>
      </c>
      <c r="N1728" t="s">
        <v>5340</v>
      </c>
      <c r="O1728" t="s">
        <v>25</v>
      </c>
      <c r="P1728" t="s">
        <v>45</v>
      </c>
      <c r="Q1728">
        <v>2</v>
      </c>
      <c r="R1728" t="s">
        <v>46</v>
      </c>
      <c r="S1728" t="s">
        <v>28</v>
      </c>
      <c r="T1728" t="str">
        <f>VLOOKUP(S1728,'Mapa Oficinas'!$H$7:$I$16,2,FALSE)</f>
        <v>CB</v>
      </c>
      <c r="U1728" t="s">
        <v>29</v>
      </c>
      <c r="V1728" t="str">
        <f>VLOOKUP($R1728,'Mapa Oficinas'!$A$7:$C$46,2,FALSE)</f>
        <v>CABA</v>
      </c>
      <c r="W1728" t="str">
        <f>VLOOKUP($R1728,'Mapa Oficinas'!$A$7:$C$46,3,FALSE)</f>
        <v>Palermo</v>
      </c>
    </row>
    <row r="1729" spans="1:23" x14ac:dyDescent="0.2">
      <c r="A1729" s="1">
        <v>46077</v>
      </c>
      <c r="B1729" s="20">
        <f t="shared" si="52"/>
        <v>2026</v>
      </c>
      <c r="C1729" s="20">
        <f t="shared" si="53"/>
        <v>2</v>
      </c>
      <c r="D1729" t="s">
        <v>6347</v>
      </c>
      <c r="E1729" s="49">
        <v>1</v>
      </c>
      <c r="F1729" t="s">
        <v>6348</v>
      </c>
      <c r="G1729" t="s">
        <v>21</v>
      </c>
      <c r="H1729" t="s">
        <v>37</v>
      </c>
      <c r="I1729" s="13">
        <v>148000</v>
      </c>
      <c r="J1729" s="13">
        <v>142000</v>
      </c>
      <c r="K1729" s="13">
        <f>IF(J1729&lt;'Mapa Oficinas'!$I$21,0,IF(J1729&gt;'Mapa Oficinas'!$I$20,0,1))</f>
        <v>1</v>
      </c>
      <c r="L1729" t="s">
        <v>23</v>
      </c>
      <c r="M1729" t="s">
        <v>23</v>
      </c>
      <c r="N1729" t="s">
        <v>6349</v>
      </c>
      <c r="O1729" t="s">
        <v>408</v>
      </c>
      <c r="P1729" t="s">
        <v>45</v>
      </c>
      <c r="Q1729">
        <v>2</v>
      </c>
      <c r="R1729" t="s">
        <v>110</v>
      </c>
      <c r="S1729" t="s">
        <v>28</v>
      </c>
      <c r="T1729" t="str">
        <f>VLOOKUP(S1729,'Mapa Oficinas'!$H$7:$I$16,2,FALSE)</f>
        <v>CB</v>
      </c>
      <c r="U1729" t="s">
        <v>29</v>
      </c>
      <c r="V1729" t="str">
        <f>VLOOKUP($R1729,'Mapa Oficinas'!$A$7:$C$46,2,FALSE)</f>
        <v>Zona Norte (GBA)</v>
      </c>
      <c r="W1729" t="str">
        <f>VLOOKUP($R1729,'Mapa Oficinas'!$A$7:$C$46,3,FALSE)</f>
        <v>Nordelta</v>
      </c>
    </row>
    <row r="1730" spans="1:23" x14ac:dyDescent="0.2">
      <c r="A1730" s="1">
        <v>46080</v>
      </c>
      <c r="B1730" s="20">
        <f t="shared" ref="B1730:B1793" si="54">YEAR($A1730)</f>
        <v>2026</v>
      </c>
      <c r="C1730" s="20">
        <f t="shared" ref="C1730:C1793" si="55">MONTH($A1730)</f>
        <v>2</v>
      </c>
      <c r="D1730" t="s">
        <v>6901</v>
      </c>
      <c r="E1730" s="49">
        <v>1</v>
      </c>
      <c r="F1730" t="s">
        <v>6902</v>
      </c>
      <c r="G1730" t="s">
        <v>21</v>
      </c>
      <c r="H1730" t="s">
        <v>37</v>
      </c>
      <c r="I1730" s="13">
        <v>149000</v>
      </c>
      <c r="J1730" s="13">
        <v>142000</v>
      </c>
      <c r="K1730" s="13">
        <f>IF(J1730&lt;'Mapa Oficinas'!$I$21,0,IF(J1730&gt;'Mapa Oficinas'!$I$20,0,1))</f>
        <v>1</v>
      </c>
      <c r="L1730" t="s">
        <v>23</v>
      </c>
      <c r="M1730" t="s">
        <v>23</v>
      </c>
      <c r="N1730" t="s">
        <v>6903</v>
      </c>
      <c r="O1730" t="s">
        <v>519</v>
      </c>
      <c r="P1730" t="s">
        <v>45</v>
      </c>
      <c r="Q1730">
        <v>2</v>
      </c>
      <c r="R1730" t="s">
        <v>67</v>
      </c>
      <c r="S1730" t="s">
        <v>28</v>
      </c>
      <c r="T1730" t="str">
        <f>VLOOKUP(S1730,'Mapa Oficinas'!$H$7:$I$16,2,FALSE)</f>
        <v>CB</v>
      </c>
      <c r="U1730" t="s">
        <v>29</v>
      </c>
      <c r="V1730" t="str">
        <f>VLOOKUP($R1730,'Mapa Oficinas'!$A$7:$C$46,2,FALSE)</f>
        <v>CABA</v>
      </c>
      <c r="W1730" t="str">
        <f>VLOOKUP($R1730,'Mapa Oficinas'!$A$7:$C$46,3,FALSE)</f>
        <v>Barrio Parque</v>
      </c>
    </row>
    <row r="1731" spans="1:23" x14ac:dyDescent="0.2">
      <c r="A1731" s="1">
        <v>45882</v>
      </c>
      <c r="B1731" s="20">
        <f t="shared" si="54"/>
        <v>2025</v>
      </c>
      <c r="C1731" s="20">
        <f t="shared" si="55"/>
        <v>8</v>
      </c>
      <c r="D1731" t="s">
        <v>3575</v>
      </c>
      <c r="E1731" s="49">
        <v>1</v>
      </c>
      <c r="F1731" t="s">
        <v>3576</v>
      </c>
      <c r="G1731" t="s">
        <v>21</v>
      </c>
      <c r="H1731" t="s">
        <v>221</v>
      </c>
      <c r="I1731" s="13">
        <v>165000</v>
      </c>
      <c r="J1731" s="13">
        <v>142500</v>
      </c>
      <c r="K1731" s="13">
        <f>IF(J1731&lt;'Mapa Oficinas'!$I$21,0,IF(J1731&gt;'Mapa Oficinas'!$I$20,0,1))</f>
        <v>1</v>
      </c>
      <c r="L1731" t="s">
        <v>23</v>
      </c>
      <c r="M1731" t="s">
        <v>23</v>
      </c>
      <c r="N1731" t="s">
        <v>3569</v>
      </c>
      <c r="O1731" t="s">
        <v>162</v>
      </c>
      <c r="P1731" t="s">
        <v>61</v>
      </c>
      <c r="Q1731">
        <v>2</v>
      </c>
      <c r="R1731" t="s">
        <v>27</v>
      </c>
      <c r="S1731" t="s">
        <v>200</v>
      </c>
      <c r="T1731" t="str">
        <f>VLOOKUP(S1731,'Mapa Oficinas'!$H$7:$I$16,2,FALSE)</f>
        <v>Otra Red Captación</v>
      </c>
      <c r="U1731" t="s">
        <v>29</v>
      </c>
      <c r="V1731" t="str">
        <f>VLOOKUP($R1731,'Mapa Oficinas'!$A$7:$C$46,2,FALSE)</f>
        <v>Zona Norte (GBA)</v>
      </c>
      <c r="W1731" t="str">
        <f>VLOOKUP($R1731,'Mapa Oficinas'!$A$7:$C$46,3,FALSE)</f>
        <v>Tigre</v>
      </c>
    </row>
    <row r="1732" spans="1:23" x14ac:dyDescent="0.2">
      <c r="A1732" s="1">
        <v>46077</v>
      </c>
      <c r="B1732" s="20">
        <f t="shared" si="54"/>
        <v>2026</v>
      </c>
      <c r="C1732" s="20">
        <f t="shared" si="55"/>
        <v>2</v>
      </c>
      <c r="D1732" t="s">
        <v>6835</v>
      </c>
      <c r="E1732" s="49">
        <v>1</v>
      </c>
      <c r="F1732" t="s">
        <v>2974</v>
      </c>
      <c r="G1732" t="s">
        <v>21</v>
      </c>
      <c r="H1732" t="s">
        <v>37</v>
      </c>
      <c r="I1732" s="13">
        <v>149000</v>
      </c>
      <c r="J1732" s="13">
        <v>142500</v>
      </c>
      <c r="K1732" s="13">
        <f>IF(J1732&lt;'Mapa Oficinas'!$I$21,0,IF(J1732&gt;'Mapa Oficinas'!$I$20,0,1))</f>
        <v>1</v>
      </c>
      <c r="L1732" t="s">
        <v>23</v>
      </c>
      <c r="M1732" t="s">
        <v>23</v>
      </c>
      <c r="N1732" t="s">
        <v>6836</v>
      </c>
      <c r="O1732" t="s">
        <v>976</v>
      </c>
      <c r="P1732" t="s">
        <v>45</v>
      </c>
      <c r="Q1732">
        <v>2</v>
      </c>
      <c r="R1732" t="s">
        <v>170</v>
      </c>
      <c r="S1732" t="s">
        <v>28</v>
      </c>
      <c r="T1732" t="str">
        <f>VLOOKUP(S1732,'Mapa Oficinas'!$H$7:$I$16,2,FALSE)</f>
        <v>CB</v>
      </c>
      <c r="U1732" t="s">
        <v>29</v>
      </c>
      <c r="V1732" t="str">
        <f>VLOOKUP($R1732,'Mapa Oficinas'!$A$7:$C$46,2,FALSE)</f>
        <v>CABA</v>
      </c>
      <c r="W1732" t="str">
        <f>VLOOKUP($R1732,'Mapa Oficinas'!$A$7:$C$46,3,FALSE)</f>
        <v>Belgrano</v>
      </c>
    </row>
    <row r="1733" spans="1:23" x14ac:dyDescent="0.2">
      <c r="A1733" s="1">
        <v>45929</v>
      </c>
      <c r="B1733" s="20">
        <f t="shared" si="54"/>
        <v>2025</v>
      </c>
      <c r="C1733" s="20">
        <f t="shared" si="55"/>
        <v>9</v>
      </c>
      <c r="D1733" t="s">
        <v>4395</v>
      </c>
      <c r="E1733" s="49">
        <v>1</v>
      </c>
      <c r="F1733" t="s">
        <v>4396</v>
      </c>
      <c r="G1733" t="s">
        <v>21</v>
      </c>
      <c r="H1733" t="s">
        <v>37</v>
      </c>
      <c r="I1733" s="13">
        <v>145000</v>
      </c>
      <c r="J1733" s="13">
        <v>143000</v>
      </c>
      <c r="K1733" s="13">
        <f>IF(J1733&lt;'Mapa Oficinas'!$I$21,0,IF(J1733&gt;'Mapa Oficinas'!$I$20,0,1))</f>
        <v>1</v>
      </c>
      <c r="L1733" t="s">
        <v>23</v>
      </c>
      <c r="M1733" t="s">
        <v>23</v>
      </c>
      <c r="N1733" t="s">
        <v>4397</v>
      </c>
      <c r="O1733" t="s">
        <v>303</v>
      </c>
      <c r="P1733" t="s">
        <v>45</v>
      </c>
      <c r="Q1733">
        <v>1</v>
      </c>
      <c r="R1733" t="s">
        <v>183</v>
      </c>
      <c r="S1733" t="s">
        <v>152</v>
      </c>
      <c r="T1733" t="str">
        <f>VLOOKUP(S1733,'Mapa Oficinas'!$H$7:$I$16,2,FALSE)</f>
        <v>Otra Red Captación</v>
      </c>
      <c r="U1733" t="s">
        <v>29</v>
      </c>
      <c r="V1733" t="str">
        <f>VLOOKUP($R1733,'Mapa Oficinas'!$A$7:$C$46,2,FALSE)</f>
        <v>Interior - Neuquén</v>
      </c>
      <c r="W1733" t="str">
        <f>VLOOKUP($R1733,'Mapa Oficinas'!$A$7:$C$46,3,FALSE)</f>
        <v>Capital Neuquén</v>
      </c>
    </row>
    <row r="1734" spans="1:23" x14ac:dyDescent="0.2">
      <c r="A1734" s="1">
        <v>46015</v>
      </c>
      <c r="B1734" s="20">
        <f t="shared" si="54"/>
        <v>2025</v>
      </c>
      <c r="C1734" s="20">
        <f t="shared" si="55"/>
        <v>12</v>
      </c>
      <c r="D1734" t="s">
        <v>6009</v>
      </c>
      <c r="E1734" s="49">
        <v>1</v>
      </c>
      <c r="F1734" t="s">
        <v>6010</v>
      </c>
      <c r="G1734" t="s">
        <v>21</v>
      </c>
      <c r="H1734" t="s">
        <v>37</v>
      </c>
      <c r="I1734" s="13">
        <v>268000</v>
      </c>
      <c r="J1734" s="13">
        <v>143000</v>
      </c>
      <c r="K1734" s="13">
        <f>IF(J1734&lt;'Mapa Oficinas'!$I$21,0,IF(J1734&gt;'Mapa Oficinas'!$I$20,0,1))</f>
        <v>1</v>
      </c>
      <c r="L1734" t="s">
        <v>23</v>
      </c>
      <c r="M1734" t="s">
        <v>23</v>
      </c>
      <c r="N1734" t="s">
        <v>6011</v>
      </c>
      <c r="O1734" t="s">
        <v>6012</v>
      </c>
      <c r="P1734" t="s">
        <v>34</v>
      </c>
      <c r="Q1734">
        <v>2</v>
      </c>
      <c r="R1734" t="s">
        <v>110</v>
      </c>
      <c r="S1734" t="s">
        <v>79</v>
      </c>
      <c r="T1734" t="str">
        <f>VLOOKUP(S1734,'Mapa Oficinas'!$H$7:$I$16,2,FALSE)</f>
        <v>CB</v>
      </c>
      <c r="U1734" t="s">
        <v>29</v>
      </c>
      <c r="V1734" t="str">
        <f>VLOOKUP($R1734,'Mapa Oficinas'!$A$7:$C$46,2,FALSE)</f>
        <v>Zona Norte (GBA)</v>
      </c>
      <c r="W1734" t="str">
        <f>VLOOKUP($R1734,'Mapa Oficinas'!$A$7:$C$46,3,FALSE)</f>
        <v>Nordelta</v>
      </c>
    </row>
    <row r="1735" spans="1:23" x14ac:dyDescent="0.2">
      <c r="A1735" s="1">
        <v>45988</v>
      </c>
      <c r="B1735" s="20">
        <f t="shared" si="54"/>
        <v>2025</v>
      </c>
      <c r="C1735" s="20">
        <f t="shared" si="55"/>
        <v>11</v>
      </c>
      <c r="D1735" t="s">
        <v>5396</v>
      </c>
      <c r="E1735" s="49">
        <v>1</v>
      </c>
      <c r="F1735" t="s">
        <v>5397</v>
      </c>
      <c r="G1735" t="s">
        <v>21</v>
      </c>
      <c r="H1735" t="s">
        <v>37</v>
      </c>
      <c r="I1735" s="13">
        <v>143000</v>
      </c>
      <c r="J1735" s="13">
        <v>143000</v>
      </c>
      <c r="K1735" s="13">
        <f>IF(J1735&lt;'Mapa Oficinas'!$I$21,0,IF(J1735&gt;'Mapa Oficinas'!$I$20,0,1))</f>
        <v>1</v>
      </c>
      <c r="L1735" t="s">
        <v>23</v>
      </c>
      <c r="M1735" t="s">
        <v>23</v>
      </c>
      <c r="N1735" t="s">
        <v>5397</v>
      </c>
      <c r="O1735" t="s">
        <v>25</v>
      </c>
      <c r="P1735" t="s">
        <v>45</v>
      </c>
      <c r="Q1735">
        <v>1</v>
      </c>
      <c r="R1735" t="s">
        <v>46</v>
      </c>
      <c r="S1735" t="s">
        <v>47</v>
      </c>
      <c r="T1735" t="str">
        <f>VLOOKUP(S1735,'Mapa Oficinas'!$H$7:$I$16,2,FALSE)</f>
        <v>Otra Red Búsqueda</v>
      </c>
      <c r="U1735" t="s">
        <v>29</v>
      </c>
      <c r="V1735" t="str">
        <f>VLOOKUP($R1735,'Mapa Oficinas'!$A$7:$C$46,2,FALSE)</f>
        <v>CABA</v>
      </c>
      <c r="W1735" t="str">
        <f>VLOOKUP($R1735,'Mapa Oficinas'!$A$7:$C$46,3,FALSE)</f>
        <v>Palermo</v>
      </c>
    </row>
    <row r="1736" spans="1:23" x14ac:dyDescent="0.2">
      <c r="A1736" s="1">
        <v>45902</v>
      </c>
      <c r="B1736" s="20">
        <f t="shared" si="54"/>
        <v>2025</v>
      </c>
      <c r="C1736" s="20">
        <f t="shared" si="55"/>
        <v>9</v>
      </c>
      <c r="D1736" t="s">
        <v>3956</v>
      </c>
      <c r="E1736" s="49">
        <v>3</v>
      </c>
      <c r="F1736" t="s">
        <v>3957</v>
      </c>
      <c r="G1736" t="s">
        <v>21</v>
      </c>
      <c r="H1736" t="s">
        <v>81</v>
      </c>
      <c r="I1736" s="13">
        <v>150000</v>
      </c>
      <c r="J1736" s="13">
        <v>143000</v>
      </c>
      <c r="K1736" s="13">
        <f>IF(J1736&lt;'Mapa Oficinas'!$I$21,0,IF(J1736&gt;'Mapa Oficinas'!$I$20,0,1))</f>
        <v>1</v>
      </c>
      <c r="L1736" t="s">
        <v>23</v>
      </c>
      <c r="M1736" t="s">
        <v>23</v>
      </c>
      <c r="O1736" t="s">
        <v>376</v>
      </c>
      <c r="P1736" t="s">
        <v>26</v>
      </c>
      <c r="Q1736">
        <v>2</v>
      </c>
      <c r="R1736" t="s">
        <v>257</v>
      </c>
      <c r="S1736" t="s">
        <v>241</v>
      </c>
      <c r="T1736" t="str">
        <f>VLOOKUP(S1736,'Mapa Oficinas'!$H$7:$I$16,2,FALSE)</f>
        <v>CB</v>
      </c>
      <c r="U1736" t="s">
        <v>29</v>
      </c>
      <c r="V1736" t="str">
        <f>VLOOKUP($R1736,'Mapa Oficinas'!$A$7:$C$46,2,FALSE)</f>
        <v>Zona Norte (GBA)</v>
      </c>
      <c r="W1736" t="str">
        <f>VLOOKUP($R1736,'Mapa Oficinas'!$A$7:$C$46,3,FALSE)</f>
        <v>Pilar</v>
      </c>
    </row>
    <row r="1737" spans="1:23" x14ac:dyDescent="0.2">
      <c r="A1737" s="1">
        <v>46031</v>
      </c>
      <c r="B1737" s="20">
        <f t="shared" si="54"/>
        <v>2026</v>
      </c>
      <c r="C1737" s="20">
        <f t="shared" si="55"/>
        <v>1</v>
      </c>
      <c r="D1737" t="s">
        <v>6162</v>
      </c>
      <c r="E1737" s="49">
        <v>1</v>
      </c>
      <c r="F1737" t="s">
        <v>6163</v>
      </c>
      <c r="G1737" t="s">
        <v>21</v>
      </c>
      <c r="H1737" t="s">
        <v>37</v>
      </c>
      <c r="I1737" s="13">
        <v>143000</v>
      </c>
      <c r="J1737" s="13">
        <v>143000</v>
      </c>
      <c r="K1737" s="13">
        <f>IF(J1737&lt;'Mapa Oficinas'!$I$21,0,IF(J1737&gt;'Mapa Oficinas'!$I$20,0,1))</f>
        <v>1</v>
      </c>
      <c r="L1737" t="s">
        <v>23</v>
      </c>
      <c r="M1737" t="s">
        <v>23</v>
      </c>
      <c r="N1737" t="s">
        <v>6164</v>
      </c>
      <c r="O1737" t="s">
        <v>134</v>
      </c>
      <c r="P1737" t="s">
        <v>26</v>
      </c>
      <c r="Q1737">
        <v>2</v>
      </c>
      <c r="R1737" t="s">
        <v>40</v>
      </c>
      <c r="S1737" t="s">
        <v>28</v>
      </c>
      <c r="T1737" t="str">
        <f>VLOOKUP(S1737,'Mapa Oficinas'!$H$7:$I$16,2,FALSE)</f>
        <v>CB</v>
      </c>
      <c r="U1737" t="s">
        <v>29</v>
      </c>
      <c r="V1737" t="str">
        <f>VLOOKUP($R1737,'Mapa Oficinas'!$A$7:$C$46,2,FALSE)</f>
        <v>CABA</v>
      </c>
      <c r="W1737" t="str">
        <f>VLOOKUP($R1737,'Mapa Oficinas'!$A$7:$C$46,3,FALSE)</f>
        <v>Núñez</v>
      </c>
    </row>
    <row r="1738" spans="1:23" x14ac:dyDescent="0.2">
      <c r="A1738" s="1">
        <v>45692</v>
      </c>
      <c r="B1738" s="20">
        <f t="shared" si="54"/>
        <v>2025</v>
      </c>
      <c r="C1738" s="20">
        <f t="shared" si="55"/>
        <v>2</v>
      </c>
      <c r="D1738" t="s">
        <v>478</v>
      </c>
      <c r="E1738" s="49">
        <v>1</v>
      </c>
      <c r="F1738" t="s">
        <v>479</v>
      </c>
      <c r="G1738" t="s">
        <v>21</v>
      </c>
      <c r="H1738" t="s">
        <v>81</v>
      </c>
      <c r="I1738" s="13">
        <v>152000</v>
      </c>
      <c r="J1738" s="13">
        <v>144000</v>
      </c>
      <c r="K1738" s="13">
        <f>IF(J1738&lt;'Mapa Oficinas'!$I$21,0,IF(J1738&gt;'Mapa Oficinas'!$I$20,0,1))</f>
        <v>1</v>
      </c>
      <c r="L1738" t="s">
        <v>23</v>
      </c>
      <c r="M1738" t="s">
        <v>23</v>
      </c>
      <c r="N1738" t="s">
        <v>480</v>
      </c>
      <c r="O1738" t="s">
        <v>481</v>
      </c>
      <c r="P1738" t="s">
        <v>34</v>
      </c>
      <c r="Q1738">
        <v>2</v>
      </c>
      <c r="R1738" t="s">
        <v>482</v>
      </c>
      <c r="S1738" t="s">
        <v>79</v>
      </c>
      <c r="T1738" t="str">
        <f>VLOOKUP(S1738,'Mapa Oficinas'!$H$7:$I$16,2,FALSE)</f>
        <v>CB</v>
      </c>
      <c r="U1738" t="s">
        <v>29</v>
      </c>
      <c r="V1738" t="str">
        <f>VLOOKUP($R1738,'Mapa Oficinas'!$A$7:$C$46,2,FALSE)</f>
        <v>Interior - Jujuy</v>
      </c>
      <c r="W1738" t="str">
        <f>VLOOKUP($R1738,'Mapa Oficinas'!$A$7:$C$46,3,FALSE)</f>
        <v>Capital Jujuy</v>
      </c>
    </row>
    <row r="1739" spans="1:23" x14ac:dyDescent="0.2">
      <c r="A1739" s="1">
        <v>45938</v>
      </c>
      <c r="B1739" s="20">
        <f t="shared" si="54"/>
        <v>2025</v>
      </c>
      <c r="C1739" s="20">
        <f t="shared" si="55"/>
        <v>10</v>
      </c>
      <c r="D1739" t="s">
        <v>4588</v>
      </c>
      <c r="E1739" s="49">
        <v>1</v>
      </c>
      <c r="F1739" t="s">
        <v>4589</v>
      </c>
      <c r="G1739" t="s">
        <v>21</v>
      </c>
      <c r="H1739" t="s">
        <v>37</v>
      </c>
      <c r="I1739" s="13">
        <v>0</v>
      </c>
      <c r="J1739" s="13">
        <v>144000</v>
      </c>
      <c r="K1739" s="13">
        <f>IF(J1739&lt;'Mapa Oficinas'!$I$21,0,IF(J1739&gt;'Mapa Oficinas'!$I$20,0,1))</f>
        <v>1</v>
      </c>
      <c r="L1739" t="s">
        <v>23</v>
      </c>
      <c r="M1739" t="s">
        <v>23</v>
      </c>
      <c r="N1739" t="s">
        <v>4590</v>
      </c>
      <c r="O1739" t="s">
        <v>914</v>
      </c>
      <c r="P1739" t="s">
        <v>45</v>
      </c>
      <c r="Q1739">
        <v>1</v>
      </c>
      <c r="R1739" t="s">
        <v>670</v>
      </c>
      <c r="S1739" t="s">
        <v>47</v>
      </c>
      <c r="T1739" t="str">
        <f>VLOOKUP(S1739,'Mapa Oficinas'!$H$7:$I$16,2,FALSE)</f>
        <v>Otra Red Búsqueda</v>
      </c>
      <c r="U1739" t="s">
        <v>29</v>
      </c>
      <c r="V1739" t="str">
        <f>VLOOKUP($R1739,'Mapa Oficinas'!$A$7:$C$46,2,FALSE)</f>
        <v>CABA</v>
      </c>
      <c r="W1739" t="str">
        <f>VLOOKUP($R1739,'Mapa Oficinas'!$A$7:$C$46,3,FALSE)</f>
        <v>Recoleta</v>
      </c>
    </row>
    <row r="1740" spans="1:23" x14ac:dyDescent="0.2">
      <c r="A1740" s="1">
        <v>45899</v>
      </c>
      <c r="B1740" s="20">
        <f t="shared" si="54"/>
        <v>2025</v>
      </c>
      <c r="C1740" s="20">
        <f t="shared" si="55"/>
        <v>8</v>
      </c>
      <c r="D1740" t="s">
        <v>3931</v>
      </c>
      <c r="E1740" s="49">
        <v>1</v>
      </c>
      <c r="F1740" t="s">
        <v>3932</v>
      </c>
      <c r="G1740" t="s">
        <v>21</v>
      </c>
      <c r="H1740" t="s">
        <v>90</v>
      </c>
      <c r="I1740" s="13">
        <v>131100</v>
      </c>
      <c r="J1740" s="13">
        <v>144200</v>
      </c>
      <c r="K1740" s="13">
        <f>IF(J1740&lt;'Mapa Oficinas'!$I$21,0,IF(J1740&gt;'Mapa Oficinas'!$I$20,0,1))</f>
        <v>1</v>
      </c>
      <c r="L1740" t="s">
        <v>23</v>
      </c>
      <c r="M1740" t="s">
        <v>23</v>
      </c>
      <c r="N1740" t="s">
        <v>3933</v>
      </c>
      <c r="O1740" t="s">
        <v>384</v>
      </c>
      <c r="P1740" t="s">
        <v>45</v>
      </c>
      <c r="Q1740">
        <v>2</v>
      </c>
      <c r="R1740" t="s">
        <v>62</v>
      </c>
      <c r="S1740" t="s">
        <v>28</v>
      </c>
      <c r="T1740" t="str">
        <f>VLOOKUP(S1740,'Mapa Oficinas'!$H$7:$I$16,2,FALSE)</f>
        <v>CB</v>
      </c>
      <c r="U1740" t="s">
        <v>29</v>
      </c>
      <c r="V1740" t="str">
        <f>VLOOKUP($R1740,'Mapa Oficinas'!$A$7:$C$46,2,FALSE)</f>
        <v>CABA</v>
      </c>
      <c r="W1740" t="str">
        <f>VLOOKUP($R1740,'Mapa Oficinas'!$A$7:$C$46,3,FALSE)</f>
        <v>Villa Urquiza</v>
      </c>
    </row>
    <row r="1741" spans="1:23" x14ac:dyDescent="0.2">
      <c r="A1741" s="1">
        <v>46021</v>
      </c>
      <c r="B1741" s="20">
        <f t="shared" si="54"/>
        <v>2025</v>
      </c>
      <c r="C1741" s="20">
        <f t="shared" si="55"/>
        <v>12</v>
      </c>
      <c r="D1741" t="s">
        <v>6077</v>
      </c>
      <c r="E1741" s="49">
        <v>1</v>
      </c>
      <c r="F1741" t="s">
        <v>6077</v>
      </c>
      <c r="G1741" t="s">
        <v>21</v>
      </c>
      <c r="H1741" t="s">
        <v>37</v>
      </c>
      <c r="I1741" s="13">
        <v>165000</v>
      </c>
      <c r="J1741" s="13">
        <v>144380</v>
      </c>
      <c r="K1741" s="13">
        <f>IF(J1741&lt;'Mapa Oficinas'!$I$21,0,IF(J1741&gt;'Mapa Oficinas'!$I$20,0,1))</f>
        <v>1</v>
      </c>
      <c r="L1741" t="s">
        <v>23</v>
      </c>
      <c r="M1741" t="s">
        <v>23</v>
      </c>
      <c r="N1741" t="s">
        <v>6077</v>
      </c>
      <c r="O1741" t="s">
        <v>1196</v>
      </c>
      <c r="P1741" t="s">
        <v>45</v>
      </c>
      <c r="Q1741">
        <v>2</v>
      </c>
      <c r="R1741" t="s">
        <v>62</v>
      </c>
      <c r="S1741" t="s">
        <v>28</v>
      </c>
      <c r="T1741" t="str">
        <f>VLOOKUP(S1741,'Mapa Oficinas'!$H$7:$I$16,2,FALSE)</f>
        <v>CB</v>
      </c>
      <c r="U1741" t="s">
        <v>29</v>
      </c>
      <c r="V1741" t="str">
        <f>VLOOKUP($R1741,'Mapa Oficinas'!$A$7:$C$46,2,FALSE)</f>
        <v>CABA</v>
      </c>
      <c r="W1741" t="str">
        <f>VLOOKUP($R1741,'Mapa Oficinas'!$A$7:$C$46,3,FALSE)</f>
        <v>Villa Urquiza</v>
      </c>
    </row>
    <row r="1742" spans="1:23" x14ac:dyDescent="0.2">
      <c r="A1742" s="1">
        <v>45839</v>
      </c>
      <c r="B1742" s="20">
        <f t="shared" si="54"/>
        <v>2025</v>
      </c>
      <c r="C1742" s="20">
        <f t="shared" si="55"/>
        <v>7</v>
      </c>
      <c r="D1742" t="s">
        <v>2282</v>
      </c>
      <c r="E1742" s="49">
        <v>1</v>
      </c>
      <c r="F1742" t="s">
        <v>2283</v>
      </c>
      <c r="G1742" t="s">
        <v>21</v>
      </c>
      <c r="H1742" t="s">
        <v>221</v>
      </c>
      <c r="I1742" s="13">
        <v>155000</v>
      </c>
      <c r="J1742" s="13">
        <v>144650</v>
      </c>
      <c r="K1742" s="13">
        <f>IF(J1742&lt;'Mapa Oficinas'!$I$21,0,IF(J1742&gt;'Mapa Oficinas'!$I$20,0,1))</f>
        <v>1</v>
      </c>
      <c r="L1742" t="s">
        <v>23</v>
      </c>
      <c r="M1742" t="s">
        <v>23</v>
      </c>
      <c r="N1742" t="s">
        <v>2284</v>
      </c>
      <c r="O1742" t="s">
        <v>2285</v>
      </c>
      <c r="P1742" t="s">
        <v>34</v>
      </c>
      <c r="Q1742">
        <v>1</v>
      </c>
      <c r="R1742" t="s">
        <v>27</v>
      </c>
      <c r="S1742" t="s">
        <v>47</v>
      </c>
      <c r="T1742" t="str">
        <f>VLOOKUP(S1742,'Mapa Oficinas'!$H$7:$I$16,2,FALSE)</f>
        <v>Otra Red Búsqueda</v>
      </c>
      <c r="U1742" t="s">
        <v>29</v>
      </c>
      <c r="V1742" t="str">
        <f>VLOOKUP($R1742,'Mapa Oficinas'!$A$7:$C$46,2,FALSE)</f>
        <v>Zona Norte (GBA)</v>
      </c>
      <c r="W1742" t="str">
        <f>VLOOKUP($R1742,'Mapa Oficinas'!$A$7:$C$46,3,FALSE)</f>
        <v>Tigre</v>
      </c>
    </row>
    <row r="1743" spans="1:23" x14ac:dyDescent="0.2">
      <c r="A1743" s="1">
        <v>45671</v>
      </c>
      <c r="B1743" s="20">
        <f t="shared" si="54"/>
        <v>2025</v>
      </c>
      <c r="C1743" s="20">
        <f t="shared" si="55"/>
        <v>1</v>
      </c>
      <c r="D1743" t="s">
        <v>219</v>
      </c>
      <c r="E1743" s="49">
        <v>1</v>
      </c>
      <c r="F1743" t="s">
        <v>220</v>
      </c>
      <c r="G1743" t="s">
        <v>21</v>
      </c>
      <c r="H1743" t="s">
        <v>221</v>
      </c>
      <c r="I1743" s="13">
        <v>150000</v>
      </c>
      <c r="J1743" s="13">
        <v>145000</v>
      </c>
      <c r="K1743" s="13">
        <f>IF(J1743&lt;'Mapa Oficinas'!$I$21,0,IF(J1743&gt;'Mapa Oficinas'!$I$20,0,1))</f>
        <v>1</v>
      </c>
      <c r="L1743" t="s">
        <v>23</v>
      </c>
      <c r="M1743" t="s">
        <v>23</v>
      </c>
      <c r="N1743" t="s">
        <v>222</v>
      </c>
      <c r="O1743" t="s">
        <v>223</v>
      </c>
      <c r="P1743" t="s">
        <v>34</v>
      </c>
      <c r="Q1743">
        <v>1</v>
      </c>
      <c r="R1743" t="s">
        <v>167</v>
      </c>
      <c r="S1743" t="s">
        <v>122</v>
      </c>
      <c r="T1743" t="str">
        <f>VLOOKUP(S1743,'Mapa Oficinas'!$H$7:$I$16,2,FALSE)</f>
        <v>Otra Red Búsqueda</v>
      </c>
      <c r="U1743" t="s">
        <v>29</v>
      </c>
      <c r="V1743" t="str">
        <f>VLOOKUP($R1743,'Mapa Oficinas'!$A$7:$C$46,2,FALSE)</f>
        <v>Interior - Santa Fe</v>
      </c>
      <c r="W1743" t="str">
        <f>VLOOKUP($R1743,'Mapa Oficinas'!$A$7:$C$46,3,FALSE)</f>
        <v>Capital Santa Fe</v>
      </c>
    </row>
    <row r="1744" spans="1:23" x14ac:dyDescent="0.2">
      <c r="A1744" s="1">
        <v>45961</v>
      </c>
      <c r="B1744" s="20">
        <f t="shared" si="54"/>
        <v>2025</v>
      </c>
      <c r="C1744" s="20">
        <f t="shared" si="55"/>
        <v>10</v>
      </c>
      <c r="D1744" t="s">
        <v>3753</v>
      </c>
      <c r="E1744" s="49">
        <v>1</v>
      </c>
      <c r="F1744" t="s">
        <v>3753</v>
      </c>
      <c r="G1744" t="s">
        <v>21</v>
      </c>
      <c r="H1744" t="s">
        <v>90</v>
      </c>
      <c r="I1744" s="13">
        <v>145000</v>
      </c>
      <c r="J1744" s="13">
        <v>145000</v>
      </c>
      <c r="K1744" s="13">
        <f>IF(J1744&lt;'Mapa Oficinas'!$I$21,0,IF(J1744&gt;'Mapa Oficinas'!$I$20,0,1))</f>
        <v>1</v>
      </c>
      <c r="L1744" t="s">
        <v>23</v>
      </c>
      <c r="M1744" t="s">
        <v>23</v>
      </c>
      <c r="N1744" t="s">
        <v>3753</v>
      </c>
      <c r="O1744" t="s">
        <v>1196</v>
      </c>
      <c r="P1744" t="s">
        <v>45</v>
      </c>
      <c r="Q1744">
        <v>1</v>
      </c>
      <c r="R1744" t="s">
        <v>56</v>
      </c>
      <c r="S1744" t="s">
        <v>122</v>
      </c>
      <c r="T1744" t="str">
        <f>VLOOKUP(S1744,'Mapa Oficinas'!$H$7:$I$16,2,FALSE)</f>
        <v>Otra Red Búsqueda</v>
      </c>
      <c r="U1744" t="s">
        <v>29</v>
      </c>
      <c r="V1744" t="str">
        <f>VLOOKUP($R1744,'Mapa Oficinas'!$A$7:$C$46,2,FALSE)</f>
        <v>Zona Norte (GBA)</v>
      </c>
      <c r="W1744" t="str">
        <f>VLOOKUP($R1744,'Mapa Oficinas'!$A$7:$C$46,3,FALSE)</f>
        <v>Vicente López</v>
      </c>
    </row>
    <row r="1745" spans="1:23" x14ac:dyDescent="0.2">
      <c r="A1745" s="1">
        <v>45986</v>
      </c>
      <c r="B1745" s="20">
        <f t="shared" si="54"/>
        <v>2025</v>
      </c>
      <c r="C1745" s="20">
        <f t="shared" si="55"/>
        <v>11</v>
      </c>
      <c r="D1745" t="s">
        <v>5371</v>
      </c>
      <c r="E1745" s="49">
        <v>1</v>
      </c>
      <c r="F1745" t="s">
        <v>5371</v>
      </c>
      <c r="G1745" t="s">
        <v>21</v>
      </c>
      <c r="H1745" t="s">
        <v>37</v>
      </c>
      <c r="I1745" s="13">
        <v>145000</v>
      </c>
      <c r="J1745" s="13">
        <v>145000</v>
      </c>
      <c r="K1745" s="13">
        <f>IF(J1745&lt;'Mapa Oficinas'!$I$21,0,IF(J1745&gt;'Mapa Oficinas'!$I$20,0,1))</f>
        <v>1</v>
      </c>
      <c r="L1745" t="s">
        <v>23</v>
      </c>
      <c r="M1745" t="s">
        <v>23</v>
      </c>
      <c r="N1745" t="s">
        <v>5371</v>
      </c>
      <c r="O1745" t="s">
        <v>174</v>
      </c>
      <c r="P1745" t="s">
        <v>34</v>
      </c>
      <c r="Q1745">
        <v>1</v>
      </c>
      <c r="R1745" t="s">
        <v>56</v>
      </c>
      <c r="S1745" t="s">
        <v>122</v>
      </c>
      <c r="T1745" t="str">
        <f>VLOOKUP(S1745,'Mapa Oficinas'!$H$7:$I$16,2,FALSE)</f>
        <v>Otra Red Búsqueda</v>
      </c>
      <c r="U1745" t="s">
        <v>29</v>
      </c>
      <c r="V1745" t="str">
        <f>VLOOKUP($R1745,'Mapa Oficinas'!$A$7:$C$46,2,FALSE)</f>
        <v>Zona Norte (GBA)</v>
      </c>
      <c r="W1745" t="str">
        <f>VLOOKUP($R1745,'Mapa Oficinas'!$A$7:$C$46,3,FALSE)</f>
        <v>Vicente López</v>
      </c>
    </row>
    <row r="1746" spans="1:23" x14ac:dyDescent="0.2">
      <c r="A1746" s="1">
        <v>45751</v>
      </c>
      <c r="B1746" s="20">
        <f t="shared" si="54"/>
        <v>2025</v>
      </c>
      <c r="C1746" s="20">
        <f t="shared" si="55"/>
        <v>4</v>
      </c>
      <c r="D1746" t="s">
        <v>1274</v>
      </c>
      <c r="E1746" s="49">
        <v>1</v>
      </c>
      <c r="F1746" t="s">
        <v>1275</v>
      </c>
      <c r="G1746" t="s">
        <v>21</v>
      </c>
      <c r="H1746" t="s">
        <v>119</v>
      </c>
      <c r="I1746" s="13">
        <v>146361</v>
      </c>
      <c r="J1746" s="13">
        <v>145000</v>
      </c>
      <c r="K1746" s="13">
        <f>IF(J1746&lt;'Mapa Oficinas'!$I$21,0,IF(J1746&gt;'Mapa Oficinas'!$I$20,0,1))</f>
        <v>1</v>
      </c>
      <c r="L1746" t="s">
        <v>23</v>
      </c>
      <c r="M1746" t="s">
        <v>23</v>
      </c>
      <c r="N1746" t="s">
        <v>1276</v>
      </c>
      <c r="O1746" t="s">
        <v>1277</v>
      </c>
      <c r="P1746" t="s">
        <v>45</v>
      </c>
      <c r="Q1746">
        <v>2</v>
      </c>
      <c r="R1746" t="s">
        <v>121</v>
      </c>
      <c r="S1746" t="s">
        <v>79</v>
      </c>
      <c r="T1746" t="str">
        <f>VLOOKUP(S1746,'Mapa Oficinas'!$H$7:$I$16,2,FALSE)</f>
        <v>CB</v>
      </c>
      <c r="U1746" t="s">
        <v>29</v>
      </c>
      <c r="V1746" t="str">
        <f>VLOOKUP($R1746,'Mapa Oficinas'!$A$7:$C$46,2,FALSE)</f>
        <v>Interior - Río Negro</v>
      </c>
      <c r="W1746" t="str">
        <f>VLOOKUP($R1746,'Mapa Oficinas'!$A$7:$C$46,3,FALSE)</f>
        <v>Bariloche</v>
      </c>
    </row>
    <row r="1747" spans="1:23" x14ac:dyDescent="0.2">
      <c r="A1747" s="1">
        <v>45938</v>
      </c>
      <c r="B1747" s="20">
        <f t="shared" si="54"/>
        <v>2025</v>
      </c>
      <c r="C1747" s="20">
        <f t="shared" si="55"/>
        <v>10</v>
      </c>
      <c r="D1747" t="s">
        <v>4591</v>
      </c>
      <c r="E1747" s="49">
        <v>1</v>
      </c>
      <c r="F1747" t="s">
        <v>4592</v>
      </c>
      <c r="G1747" t="s">
        <v>21</v>
      </c>
      <c r="H1747" t="s">
        <v>100</v>
      </c>
      <c r="I1747" s="13">
        <v>140000</v>
      </c>
      <c r="J1747" s="13">
        <v>145000</v>
      </c>
      <c r="K1747" s="13">
        <f>IF(J1747&lt;'Mapa Oficinas'!$I$21,0,IF(J1747&gt;'Mapa Oficinas'!$I$20,0,1))</f>
        <v>1</v>
      </c>
      <c r="L1747" t="s">
        <v>23</v>
      </c>
      <c r="M1747" t="s">
        <v>23</v>
      </c>
      <c r="N1747" t="s">
        <v>285</v>
      </c>
      <c r="O1747" t="s">
        <v>209</v>
      </c>
      <c r="P1747" t="s">
        <v>45</v>
      </c>
      <c r="Q1747">
        <v>2</v>
      </c>
      <c r="R1747" t="s">
        <v>121</v>
      </c>
      <c r="S1747" t="s">
        <v>79</v>
      </c>
      <c r="T1747" t="str">
        <f>VLOOKUP(S1747,'Mapa Oficinas'!$H$7:$I$16,2,FALSE)</f>
        <v>CB</v>
      </c>
      <c r="U1747" t="s">
        <v>29</v>
      </c>
      <c r="V1747" t="str">
        <f>VLOOKUP($R1747,'Mapa Oficinas'!$A$7:$C$46,2,FALSE)</f>
        <v>Interior - Río Negro</v>
      </c>
      <c r="W1747" t="str">
        <f>VLOOKUP($R1747,'Mapa Oficinas'!$A$7:$C$46,3,FALSE)</f>
        <v>Bariloche</v>
      </c>
    </row>
    <row r="1748" spans="1:23" x14ac:dyDescent="0.2">
      <c r="A1748" s="1">
        <v>45989</v>
      </c>
      <c r="B1748" s="20">
        <f t="shared" si="54"/>
        <v>2025</v>
      </c>
      <c r="C1748" s="20">
        <f t="shared" si="55"/>
        <v>11</v>
      </c>
      <c r="D1748" t="s">
        <v>5433</v>
      </c>
      <c r="E1748" s="49">
        <v>1</v>
      </c>
      <c r="F1748" t="s">
        <v>5434</v>
      </c>
      <c r="G1748" t="s">
        <v>21</v>
      </c>
      <c r="H1748" t="s">
        <v>97</v>
      </c>
      <c r="I1748" s="13">
        <v>150000</v>
      </c>
      <c r="J1748" s="13">
        <v>145000</v>
      </c>
      <c r="K1748" s="13">
        <f>IF(J1748&lt;'Mapa Oficinas'!$I$21,0,IF(J1748&gt;'Mapa Oficinas'!$I$20,0,1))</f>
        <v>1</v>
      </c>
      <c r="L1748" t="s">
        <v>23</v>
      </c>
      <c r="M1748" t="s">
        <v>23</v>
      </c>
      <c r="N1748" t="s">
        <v>5435</v>
      </c>
      <c r="O1748" t="s">
        <v>83</v>
      </c>
      <c r="P1748" t="s">
        <v>45</v>
      </c>
      <c r="Q1748">
        <v>2</v>
      </c>
      <c r="R1748" t="s">
        <v>84</v>
      </c>
      <c r="S1748" t="s">
        <v>79</v>
      </c>
      <c r="T1748" t="str">
        <f>VLOOKUP(S1748,'Mapa Oficinas'!$H$7:$I$16,2,FALSE)</f>
        <v>CB</v>
      </c>
      <c r="U1748" t="s">
        <v>29</v>
      </c>
      <c r="V1748" t="str">
        <f>VLOOKUP($R1748,'Mapa Oficinas'!$A$7:$C$46,2,FALSE)</f>
        <v>Interior - Neuquén</v>
      </c>
      <c r="W1748" t="str">
        <f>VLOOKUP($R1748,'Mapa Oficinas'!$A$7:$C$46,3,FALSE)</f>
        <v>Villa La Angostura</v>
      </c>
    </row>
    <row r="1749" spans="1:23" x14ac:dyDescent="0.2">
      <c r="A1749" s="1">
        <v>46086</v>
      </c>
      <c r="B1749" s="20">
        <f t="shared" si="54"/>
        <v>2026</v>
      </c>
      <c r="C1749" s="20">
        <f t="shared" si="55"/>
        <v>3</v>
      </c>
      <c r="D1749" t="s">
        <v>6979</v>
      </c>
      <c r="E1749" s="49">
        <v>0</v>
      </c>
      <c r="F1749" t="s">
        <v>6979</v>
      </c>
      <c r="G1749" t="s">
        <v>21</v>
      </c>
      <c r="H1749" t="s">
        <v>37</v>
      </c>
      <c r="I1749" s="13">
        <v>145000</v>
      </c>
      <c r="J1749" s="13">
        <v>145000</v>
      </c>
      <c r="K1749" s="13">
        <f>IF(J1749&lt;'Mapa Oficinas'!$I$21,0,IF(J1749&gt;'Mapa Oficinas'!$I$20,0,1))</f>
        <v>1</v>
      </c>
      <c r="L1749" t="s">
        <v>23</v>
      </c>
      <c r="M1749" t="s">
        <v>23</v>
      </c>
      <c r="O1749" t="s">
        <v>39</v>
      </c>
      <c r="P1749" t="s">
        <v>34</v>
      </c>
      <c r="Q1749">
        <v>2</v>
      </c>
      <c r="R1749" t="s">
        <v>495</v>
      </c>
      <c r="S1749" t="s">
        <v>232</v>
      </c>
      <c r="T1749" t="str">
        <f>VLOOKUP(S1749,'Mapa Oficinas'!$H$7:$I$16,2,FALSE)</f>
        <v>CB</v>
      </c>
      <c r="U1749" t="s">
        <v>29</v>
      </c>
      <c r="V1749" t="str">
        <f>VLOOKUP($R1749,'Mapa Oficinas'!$A$7:$C$46,2,FALSE)</f>
        <v>Zona Norte (GBA)</v>
      </c>
      <c r="W1749" t="str">
        <f>VLOOKUP($R1749,'Mapa Oficinas'!$A$7:$C$46,3,FALSE)</f>
        <v>Escobar</v>
      </c>
    </row>
    <row r="1750" spans="1:23" x14ac:dyDescent="0.2">
      <c r="A1750" s="1">
        <v>45915</v>
      </c>
      <c r="B1750" s="20">
        <f t="shared" si="54"/>
        <v>2025</v>
      </c>
      <c r="C1750" s="20">
        <f t="shared" si="55"/>
        <v>9</v>
      </c>
      <c r="D1750" t="s">
        <v>4166</v>
      </c>
      <c r="E1750" s="49">
        <v>1</v>
      </c>
      <c r="F1750" t="s">
        <v>3898</v>
      </c>
      <c r="G1750" t="s">
        <v>21</v>
      </c>
      <c r="H1750" t="s">
        <v>22</v>
      </c>
      <c r="I1750" s="13">
        <v>145000</v>
      </c>
      <c r="J1750" s="13">
        <v>145000</v>
      </c>
      <c r="K1750" s="13">
        <f>IF(J1750&lt;'Mapa Oficinas'!$I$21,0,IF(J1750&gt;'Mapa Oficinas'!$I$20,0,1))</f>
        <v>1</v>
      </c>
      <c r="L1750" t="s">
        <v>23</v>
      </c>
      <c r="M1750" t="s">
        <v>23</v>
      </c>
      <c r="N1750" t="s">
        <v>4167</v>
      </c>
      <c r="O1750" t="s">
        <v>50</v>
      </c>
      <c r="P1750" t="s">
        <v>26</v>
      </c>
      <c r="Q1750">
        <v>1</v>
      </c>
      <c r="R1750" t="s">
        <v>670</v>
      </c>
      <c r="S1750" t="s">
        <v>47</v>
      </c>
      <c r="T1750" t="str">
        <f>VLOOKUP(S1750,'Mapa Oficinas'!$H$7:$I$16,2,FALSE)</f>
        <v>Otra Red Búsqueda</v>
      </c>
      <c r="U1750" t="s">
        <v>29</v>
      </c>
      <c r="V1750" t="str">
        <f>VLOOKUP($R1750,'Mapa Oficinas'!$A$7:$C$46,2,FALSE)</f>
        <v>CABA</v>
      </c>
      <c r="W1750" t="str">
        <f>VLOOKUP($R1750,'Mapa Oficinas'!$A$7:$C$46,3,FALSE)</f>
        <v>Recoleta</v>
      </c>
    </row>
    <row r="1751" spans="1:23" x14ac:dyDescent="0.2">
      <c r="A1751" s="1">
        <v>45921</v>
      </c>
      <c r="B1751" s="20">
        <f t="shared" si="54"/>
        <v>2025</v>
      </c>
      <c r="C1751" s="20">
        <f t="shared" si="55"/>
        <v>9</v>
      </c>
      <c r="D1751" t="s">
        <v>4256</v>
      </c>
      <c r="E1751" s="49">
        <v>1</v>
      </c>
      <c r="F1751" t="s">
        <v>4257</v>
      </c>
      <c r="G1751" t="s">
        <v>21</v>
      </c>
      <c r="H1751" t="s">
        <v>37</v>
      </c>
      <c r="I1751" s="13">
        <v>145000</v>
      </c>
      <c r="J1751" s="13">
        <v>145000</v>
      </c>
      <c r="K1751" s="13">
        <f>IF(J1751&lt;'Mapa Oficinas'!$I$21,0,IF(J1751&gt;'Mapa Oficinas'!$I$20,0,1))</f>
        <v>1</v>
      </c>
      <c r="L1751" t="s">
        <v>23</v>
      </c>
      <c r="M1751" t="s">
        <v>23</v>
      </c>
      <c r="N1751" t="s">
        <v>4258</v>
      </c>
      <c r="O1751" t="s">
        <v>664</v>
      </c>
      <c r="P1751" t="s">
        <v>45</v>
      </c>
      <c r="Q1751">
        <v>1</v>
      </c>
      <c r="R1751" t="s">
        <v>110</v>
      </c>
      <c r="S1751" t="s">
        <v>47</v>
      </c>
      <c r="T1751" t="str">
        <f>VLOOKUP(S1751,'Mapa Oficinas'!$H$7:$I$16,2,FALSE)</f>
        <v>Otra Red Búsqueda</v>
      </c>
      <c r="U1751" t="s">
        <v>29</v>
      </c>
      <c r="V1751" t="str">
        <f>VLOOKUP($R1751,'Mapa Oficinas'!$A$7:$C$46,2,FALSE)</f>
        <v>Zona Norte (GBA)</v>
      </c>
      <c r="W1751" t="str">
        <f>VLOOKUP($R1751,'Mapa Oficinas'!$A$7:$C$46,3,FALSE)</f>
        <v>Nordelta</v>
      </c>
    </row>
    <row r="1752" spans="1:23" x14ac:dyDescent="0.2">
      <c r="A1752" s="1">
        <v>45944</v>
      </c>
      <c r="B1752" s="20">
        <f t="shared" si="54"/>
        <v>2025</v>
      </c>
      <c r="C1752" s="20">
        <f t="shared" si="55"/>
        <v>10</v>
      </c>
      <c r="D1752" t="s">
        <v>168</v>
      </c>
      <c r="E1752" s="49">
        <v>1</v>
      </c>
      <c r="F1752" t="s">
        <v>4667</v>
      </c>
      <c r="G1752" t="s">
        <v>21</v>
      </c>
      <c r="H1752" t="s">
        <v>37</v>
      </c>
      <c r="I1752" s="13">
        <v>145000</v>
      </c>
      <c r="J1752" s="13">
        <v>145000</v>
      </c>
      <c r="K1752" s="13">
        <f>IF(J1752&lt;'Mapa Oficinas'!$I$21,0,IF(J1752&gt;'Mapa Oficinas'!$I$20,0,1))</f>
        <v>1</v>
      </c>
      <c r="L1752" t="s">
        <v>23</v>
      </c>
      <c r="M1752" t="s">
        <v>23</v>
      </c>
      <c r="N1752" t="s">
        <v>4668</v>
      </c>
      <c r="O1752" t="s">
        <v>141</v>
      </c>
      <c r="P1752" t="s">
        <v>45</v>
      </c>
      <c r="Q1752">
        <v>1</v>
      </c>
      <c r="R1752" t="s">
        <v>170</v>
      </c>
      <c r="S1752" t="s">
        <v>47</v>
      </c>
      <c r="T1752" t="str">
        <f>VLOOKUP(S1752,'Mapa Oficinas'!$H$7:$I$16,2,FALSE)</f>
        <v>Otra Red Búsqueda</v>
      </c>
      <c r="U1752" t="s">
        <v>29</v>
      </c>
      <c r="V1752" t="str">
        <f>VLOOKUP($R1752,'Mapa Oficinas'!$A$7:$C$46,2,FALSE)</f>
        <v>CABA</v>
      </c>
      <c r="W1752" t="str">
        <f>VLOOKUP($R1752,'Mapa Oficinas'!$A$7:$C$46,3,FALSE)</f>
        <v>Belgrano</v>
      </c>
    </row>
    <row r="1753" spans="1:23" x14ac:dyDescent="0.2">
      <c r="A1753" s="1">
        <v>45947</v>
      </c>
      <c r="B1753" s="20">
        <f t="shared" si="54"/>
        <v>2025</v>
      </c>
      <c r="C1753" s="20">
        <f t="shared" si="55"/>
        <v>10</v>
      </c>
      <c r="D1753">
        <v>10560</v>
      </c>
      <c r="E1753" s="49">
        <v>1</v>
      </c>
      <c r="F1753" t="s">
        <v>4769</v>
      </c>
      <c r="G1753" t="s">
        <v>21</v>
      </c>
      <c r="H1753" t="s">
        <v>37</v>
      </c>
      <c r="I1753" s="13">
        <v>145000</v>
      </c>
      <c r="J1753" s="13">
        <v>145000</v>
      </c>
      <c r="K1753" s="13">
        <f>IF(J1753&lt;'Mapa Oficinas'!$I$21,0,IF(J1753&gt;'Mapa Oficinas'!$I$20,0,1))</f>
        <v>1</v>
      </c>
      <c r="L1753" t="s">
        <v>23</v>
      </c>
      <c r="M1753" t="s">
        <v>23</v>
      </c>
      <c r="N1753" t="s">
        <v>4769</v>
      </c>
      <c r="O1753" t="s">
        <v>190</v>
      </c>
      <c r="P1753" t="s">
        <v>45</v>
      </c>
      <c r="Q1753">
        <v>1</v>
      </c>
      <c r="R1753" t="s">
        <v>67</v>
      </c>
      <c r="S1753" t="s">
        <v>47</v>
      </c>
      <c r="T1753" t="str">
        <f>VLOOKUP(S1753,'Mapa Oficinas'!$H$7:$I$16,2,FALSE)</f>
        <v>Otra Red Búsqueda</v>
      </c>
      <c r="U1753" t="s">
        <v>29</v>
      </c>
      <c r="V1753" t="str">
        <f>VLOOKUP($R1753,'Mapa Oficinas'!$A$7:$C$46,2,FALSE)</f>
        <v>CABA</v>
      </c>
      <c r="W1753" t="str">
        <f>VLOOKUP($R1753,'Mapa Oficinas'!$A$7:$C$46,3,FALSE)</f>
        <v>Barrio Parque</v>
      </c>
    </row>
    <row r="1754" spans="1:23" x14ac:dyDescent="0.2">
      <c r="A1754" s="1">
        <v>45958</v>
      </c>
      <c r="B1754" s="20">
        <f t="shared" si="54"/>
        <v>2025</v>
      </c>
      <c r="C1754" s="20">
        <f t="shared" si="55"/>
        <v>10</v>
      </c>
      <c r="E1754" s="49">
        <v>1</v>
      </c>
      <c r="F1754" t="s">
        <v>4958</v>
      </c>
      <c r="G1754" t="s">
        <v>21</v>
      </c>
      <c r="H1754" t="s">
        <v>37</v>
      </c>
      <c r="I1754" s="13">
        <v>145000</v>
      </c>
      <c r="J1754" s="13">
        <v>145000</v>
      </c>
      <c r="K1754" s="13">
        <f>IF(J1754&lt;'Mapa Oficinas'!$I$21,0,IF(J1754&gt;'Mapa Oficinas'!$I$20,0,1))</f>
        <v>1</v>
      </c>
      <c r="L1754" t="s">
        <v>23</v>
      </c>
      <c r="M1754" t="s">
        <v>23</v>
      </c>
      <c r="N1754" t="s">
        <v>4959</v>
      </c>
      <c r="O1754" t="s">
        <v>66</v>
      </c>
      <c r="P1754" t="s">
        <v>45</v>
      </c>
      <c r="Q1754">
        <v>1</v>
      </c>
      <c r="R1754" t="s">
        <v>135</v>
      </c>
      <c r="S1754" t="s">
        <v>47</v>
      </c>
      <c r="T1754" t="str">
        <f>VLOOKUP(S1754,'Mapa Oficinas'!$H$7:$I$16,2,FALSE)</f>
        <v>Otra Red Búsqueda</v>
      </c>
      <c r="U1754" t="s">
        <v>29</v>
      </c>
      <c r="V1754" t="str">
        <f>VLOOKUP($R1754,'Mapa Oficinas'!$A$7:$C$46,2,FALSE)</f>
        <v>CABA</v>
      </c>
      <c r="W1754" t="str">
        <f>VLOOKUP($R1754,'Mapa Oficinas'!$A$7:$C$46,3,FALSE)</f>
        <v>Recoleta</v>
      </c>
    </row>
    <row r="1755" spans="1:23" x14ac:dyDescent="0.2">
      <c r="A1755" s="1">
        <v>45966</v>
      </c>
      <c r="B1755" s="20">
        <f t="shared" si="54"/>
        <v>2025</v>
      </c>
      <c r="C1755" s="20">
        <f t="shared" si="55"/>
        <v>11</v>
      </c>
      <c r="D1755">
        <v>10554</v>
      </c>
      <c r="E1755" s="49">
        <v>1</v>
      </c>
      <c r="F1755" t="s">
        <v>5061</v>
      </c>
      <c r="G1755" t="s">
        <v>21</v>
      </c>
      <c r="H1755" t="s">
        <v>37</v>
      </c>
      <c r="I1755" s="13">
        <v>145000</v>
      </c>
      <c r="J1755" s="13">
        <v>145000</v>
      </c>
      <c r="K1755" s="13">
        <f>IF(J1755&lt;'Mapa Oficinas'!$I$21,0,IF(J1755&gt;'Mapa Oficinas'!$I$20,0,1))</f>
        <v>1</v>
      </c>
      <c r="L1755" t="s">
        <v>23</v>
      </c>
      <c r="M1755" t="s">
        <v>23</v>
      </c>
      <c r="O1755" t="s">
        <v>261</v>
      </c>
      <c r="P1755" t="s">
        <v>45</v>
      </c>
      <c r="Q1755">
        <v>1</v>
      </c>
      <c r="R1755" t="s">
        <v>67</v>
      </c>
      <c r="S1755" t="s">
        <v>47</v>
      </c>
      <c r="T1755" t="str">
        <f>VLOOKUP(S1755,'Mapa Oficinas'!$H$7:$I$16,2,FALSE)</f>
        <v>Otra Red Búsqueda</v>
      </c>
      <c r="U1755" t="s">
        <v>29</v>
      </c>
      <c r="V1755" t="str">
        <f>VLOOKUP($R1755,'Mapa Oficinas'!$A$7:$C$46,2,FALSE)</f>
        <v>CABA</v>
      </c>
      <c r="W1755" t="str">
        <f>VLOOKUP($R1755,'Mapa Oficinas'!$A$7:$C$46,3,FALSE)</f>
        <v>Barrio Parque</v>
      </c>
    </row>
    <row r="1756" spans="1:23" x14ac:dyDescent="0.2">
      <c r="A1756" s="1">
        <v>46071</v>
      </c>
      <c r="B1756" s="20">
        <f t="shared" si="54"/>
        <v>2026</v>
      </c>
      <c r="C1756" s="20">
        <f t="shared" si="55"/>
        <v>2</v>
      </c>
      <c r="E1756" s="49">
        <v>1</v>
      </c>
      <c r="F1756" t="s">
        <v>6746</v>
      </c>
      <c r="G1756" t="s">
        <v>21</v>
      </c>
      <c r="H1756" t="s">
        <v>37</v>
      </c>
      <c r="I1756" s="13">
        <v>145000</v>
      </c>
      <c r="J1756" s="13">
        <v>145000</v>
      </c>
      <c r="K1756" s="13">
        <f>IF(J1756&lt;'Mapa Oficinas'!$I$21,0,IF(J1756&gt;'Mapa Oficinas'!$I$20,0,1))</f>
        <v>1</v>
      </c>
      <c r="L1756" t="s">
        <v>23</v>
      </c>
      <c r="M1756" t="s">
        <v>23</v>
      </c>
      <c r="N1756" t="s">
        <v>6747</v>
      </c>
      <c r="O1756" t="s">
        <v>2285</v>
      </c>
      <c r="P1756" t="s">
        <v>45</v>
      </c>
      <c r="Q1756">
        <v>1</v>
      </c>
      <c r="R1756" t="s">
        <v>135</v>
      </c>
      <c r="S1756" t="s">
        <v>47</v>
      </c>
      <c r="T1756" t="str">
        <f>VLOOKUP(S1756,'Mapa Oficinas'!$H$7:$I$16,2,FALSE)</f>
        <v>Otra Red Búsqueda</v>
      </c>
      <c r="U1756" t="s">
        <v>29</v>
      </c>
      <c r="V1756" t="str">
        <f>VLOOKUP($R1756,'Mapa Oficinas'!$A$7:$C$46,2,FALSE)</f>
        <v>CABA</v>
      </c>
      <c r="W1756" t="str">
        <f>VLOOKUP($R1756,'Mapa Oficinas'!$A$7:$C$46,3,FALSE)</f>
        <v>Recoleta</v>
      </c>
    </row>
    <row r="1757" spans="1:23" x14ac:dyDescent="0.2">
      <c r="A1757" s="1">
        <v>45792</v>
      </c>
      <c r="B1757" s="20">
        <f t="shared" si="54"/>
        <v>2025</v>
      </c>
      <c r="C1757" s="20">
        <f t="shared" si="55"/>
        <v>5</v>
      </c>
      <c r="D1757" t="s">
        <v>1969</v>
      </c>
      <c r="E1757" s="49">
        <v>1</v>
      </c>
      <c r="F1757" t="s">
        <v>1970</v>
      </c>
      <c r="G1757" t="s">
        <v>21</v>
      </c>
      <c r="H1757" t="s">
        <v>37</v>
      </c>
      <c r="I1757" s="13">
        <v>154900</v>
      </c>
      <c r="J1757" s="13">
        <v>145000</v>
      </c>
      <c r="K1757" s="13">
        <f>IF(J1757&lt;'Mapa Oficinas'!$I$21,0,IF(J1757&gt;'Mapa Oficinas'!$I$20,0,1))</f>
        <v>1</v>
      </c>
      <c r="L1757" t="s">
        <v>23</v>
      </c>
      <c r="M1757" t="s">
        <v>23</v>
      </c>
      <c r="N1757" t="s">
        <v>1971</v>
      </c>
      <c r="O1757" t="s">
        <v>1972</v>
      </c>
      <c r="P1757" t="s">
        <v>34</v>
      </c>
      <c r="Q1757">
        <v>2</v>
      </c>
      <c r="R1757" t="s">
        <v>67</v>
      </c>
      <c r="S1757" t="s">
        <v>200</v>
      </c>
      <c r="T1757" t="str">
        <f>VLOOKUP(S1757,'Mapa Oficinas'!$H$7:$I$16,2,FALSE)</f>
        <v>Otra Red Captación</v>
      </c>
      <c r="U1757" t="s">
        <v>29</v>
      </c>
      <c r="V1757" t="str">
        <f>VLOOKUP($R1757,'Mapa Oficinas'!$A$7:$C$46,2,FALSE)</f>
        <v>CABA</v>
      </c>
      <c r="W1757" t="str">
        <f>VLOOKUP($R1757,'Mapa Oficinas'!$A$7:$C$46,3,FALSE)</f>
        <v>Barrio Parque</v>
      </c>
    </row>
    <row r="1758" spans="1:23" x14ac:dyDescent="0.2">
      <c r="A1758" s="1">
        <v>46086</v>
      </c>
      <c r="B1758" s="20">
        <f t="shared" si="54"/>
        <v>2026</v>
      </c>
      <c r="C1758" s="20">
        <f t="shared" si="55"/>
        <v>3</v>
      </c>
      <c r="D1758" t="s">
        <v>6977</v>
      </c>
      <c r="E1758" s="49">
        <v>1</v>
      </c>
      <c r="F1758" t="s">
        <v>6977</v>
      </c>
      <c r="G1758" t="s">
        <v>21</v>
      </c>
      <c r="H1758" t="s">
        <v>76</v>
      </c>
      <c r="I1758" s="13">
        <v>145000</v>
      </c>
      <c r="J1758" s="13">
        <v>145000</v>
      </c>
      <c r="K1758" s="13">
        <f>IF(J1758&lt;'Mapa Oficinas'!$I$21,0,IF(J1758&gt;'Mapa Oficinas'!$I$20,0,1))</f>
        <v>1</v>
      </c>
      <c r="L1758" t="s">
        <v>23</v>
      </c>
      <c r="M1758" t="s">
        <v>23</v>
      </c>
      <c r="N1758" t="s">
        <v>6978</v>
      </c>
      <c r="O1758" t="s">
        <v>39</v>
      </c>
      <c r="P1758" t="s">
        <v>34</v>
      </c>
      <c r="Q1758">
        <v>2</v>
      </c>
      <c r="R1758" t="s">
        <v>257</v>
      </c>
      <c r="S1758" t="s">
        <v>241</v>
      </c>
      <c r="T1758" t="str">
        <f>VLOOKUP(S1758,'Mapa Oficinas'!$H$7:$I$16,2,FALSE)</f>
        <v>CB</v>
      </c>
      <c r="U1758" t="s">
        <v>29</v>
      </c>
      <c r="V1758" t="str">
        <f>VLOOKUP($R1758,'Mapa Oficinas'!$A$7:$C$46,2,FALSE)</f>
        <v>Zona Norte (GBA)</v>
      </c>
      <c r="W1758" t="str">
        <f>VLOOKUP($R1758,'Mapa Oficinas'!$A$7:$C$46,3,FALSE)</f>
        <v>Pilar</v>
      </c>
    </row>
    <row r="1759" spans="1:23" x14ac:dyDescent="0.2">
      <c r="A1759" s="1">
        <v>45889</v>
      </c>
      <c r="B1759" s="20">
        <f t="shared" si="54"/>
        <v>2025</v>
      </c>
      <c r="C1759" s="20">
        <f t="shared" si="55"/>
        <v>8</v>
      </c>
      <c r="D1759" t="s">
        <v>3674</v>
      </c>
      <c r="E1759" s="49">
        <v>1</v>
      </c>
      <c r="F1759" t="s">
        <v>3675</v>
      </c>
      <c r="G1759" t="s">
        <v>21</v>
      </c>
      <c r="H1759" t="s">
        <v>22</v>
      </c>
      <c r="I1759" s="13">
        <v>164900</v>
      </c>
      <c r="J1759" s="13">
        <v>145000</v>
      </c>
      <c r="K1759" s="13">
        <f>IF(J1759&lt;'Mapa Oficinas'!$I$21,0,IF(J1759&gt;'Mapa Oficinas'!$I$20,0,1))</f>
        <v>1</v>
      </c>
      <c r="L1759" t="s">
        <v>23</v>
      </c>
      <c r="M1759" t="s">
        <v>23</v>
      </c>
      <c r="N1759" t="s">
        <v>3676</v>
      </c>
      <c r="O1759" t="s">
        <v>947</v>
      </c>
      <c r="P1759" t="s">
        <v>34</v>
      </c>
      <c r="Q1759">
        <v>2</v>
      </c>
      <c r="R1759" t="s">
        <v>62</v>
      </c>
      <c r="S1759" t="s">
        <v>1265</v>
      </c>
      <c r="T1759" t="str">
        <f>VLOOKUP(S1759,'Mapa Oficinas'!$H$7:$I$16,2,FALSE)</f>
        <v>CB</v>
      </c>
      <c r="U1759" t="s">
        <v>29</v>
      </c>
      <c r="V1759" t="str">
        <f>VLOOKUP($R1759,'Mapa Oficinas'!$A$7:$C$46,2,FALSE)</f>
        <v>CABA</v>
      </c>
      <c r="W1759" t="str">
        <f>VLOOKUP($R1759,'Mapa Oficinas'!$A$7:$C$46,3,FALSE)</f>
        <v>Villa Urquiza</v>
      </c>
    </row>
    <row r="1760" spans="1:23" x14ac:dyDescent="0.2">
      <c r="A1760" s="1">
        <v>45684</v>
      </c>
      <c r="B1760" s="20">
        <f t="shared" si="54"/>
        <v>2025</v>
      </c>
      <c r="C1760" s="20">
        <f t="shared" si="55"/>
        <v>1</v>
      </c>
      <c r="D1760" t="s">
        <v>381</v>
      </c>
      <c r="E1760" s="49">
        <v>1</v>
      </c>
      <c r="F1760" t="s">
        <v>382</v>
      </c>
      <c r="G1760" t="s">
        <v>21</v>
      </c>
      <c r="H1760" t="s">
        <v>37</v>
      </c>
      <c r="I1760" s="13">
        <v>180000</v>
      </c>
      <c r="J1760" s="13">
        <v>145000</v>
      </c>
      <c r="K1760" s="13">
        <f>IF(J1760&lt;'Mapa Oficinas'!$I$21,0,IF(J1760&gt;'Mapa Oficinas'!$I$20,0,1))</f>
        <v>1</v>
      </c>
      <c r="L1760" t="s">
        <v>23</v>
      </c>
      <c r="M1760" t="s">
        <v>23</v>
      </c>
      <c r="N1760" t="s">
        <v>383</v>
      </c>
      <c r="O1760" t="s">
        <v>384</v>
      </c>
      <c r="P1760" t="s">
        <v>26</v>
      </c>
      <c r="Q1760">
        <v>2</v>
      </c>
      <c r="R1760" t="s">
        <v>135</v>
      </c>
      <c r="S1760" t="s">
        <v>28</v>
      </c>
      <c r="T1760" t="str">
        <f>VLOOKUP(S1760,'Mapa Oficinas'!$H$7:$I$16,2,FALSE)</f>
        <v>CB</v>
      </c>
      <c r="U1760" t="s">
        <v>29</v>
      </c>
      <c r="V1760" t="str">
        <f>VLOOKUP($R1760,'Mapa Oficinas'!$A$7:$C$46,2,FALSE)</f>
        <v>CABA</v>
      </c>
      <c r="W1760" t="str">
        <f>VLOOKUP($R1760,'Mapa Oficinas'!$A$7:$C$46,3,FALSE)</f>
        <v>Recoleta</v>
      </c>
    </row>
    <row r="1761" spans="1:23" x14ac:dyDescent="0.2">
      <c r="A1761" s="1">
        <v>45702</v>
      </c>
      <c r="B1761" s="20">
        <f t="shared" si="54"/>
        <v>2025</v>
      </c>
      <c r="C1761" s="20">
        <f t="shared" si="55"/>
        <v>2</v>
      </c>
      <c r="D1761" t="s">
        <v>610</v>
      </c>
      <c r="E1761" s="49">
        <v>1</v>
      </c>
      <c r="F1761" t="s">
        <v>611</v>
      </c>
      <c r="G1761" t="s">
        <v>21</v>
      </c>
      <c r="H1761" t="s">
        <v>37</v>
      </c>
      <c r="I1761" s="13">
        <v>159000</v>
      </c>
      <c r="J1761" s="13">
        <v>145000</v>
      </c>
      <c r="K1761" s="13">
        <f>IF(J1761&lt;'Mapa Oficinas'!$I$21,0,IF(J1761&gt;'Mapa Oficinas'!$I$20,0,1))</f>
        <v>1</v>
      </c>
      <c r="L1761" t="s">
        <v>23</v>
      </c>
      <c r="M1761" t="s">
        <v>23</v>
      </c>
      <c r="N1761" t="s">
        <v>612</v>
      </c>
      <c r="O1761" t="s">
        <v>599</v>
      </c>
      <c r="P1761" t="s">
        <v>61</v>
      </c>
      <c r="Q1761">
        <v>2</v>
      </c>
      <c r="R1761" t="s">
        <v>110</v>
      </c>
      <c r="S1761" t="s">
        <v>28</v>
      </c>
      <c r="T1761" t="str">
        <f>VLOOKUP(S1761,'Mapa Oficinas'!$H$7:$I$16,2,FALSE)</f>
        <v>CB</v>
      </c>
      <c r="U1761" t="s">
        <v>29</v>
      </c>
      <c r="V1761" t="str">
        <f>VLOOKUP($R1761,'Mapa Oficinas'!$A$7:$C$46,2,FALSE)</f>
        <v>Zona Norte (GBA)</v>
      </c>
      <c r="W1761" t="str">
        <f>VLOOKUP($R1761,'Mapa Oficinas'!$A$7:$C$46,3,FALSE)</f>
        <v>Nordelta</v>
      </c>
    </row>
    <row r="1762" spans="1:23" x14ac:dyDescent="0.2">
      <c r="A1762" s="1">
        <v>45747</v>
      </c>
      <c r="B1762" s="20">
        <f t="shared" si="54"/>
        <v>2025</v>
      </c>
      <c r="C1762" s="20">
        <f t="shared" si="55"/>
        <v>3</v>
      </c>
      <c r="D1762" t="s">
        <v>1210</v>
      </c>
      <c r="E1762" s="49">
        <v>1</v>
      </c>
      <c r="F1762" t="s">
        <v>1210</v>
      </c>
      <c r="G1762" t="s">
        <v>21</v>
      </c>
      <c r="H1762" t="s">
        <v>37</v>
      </c>
      <c r="I1762" s="13">
        <v>145000</v>
      </c>
      <c r="J1762" s="13">
        <v>145000</v>
      </c>
      <c r="K1762" s="13">
        <f>IF(J1762&lt;'Mapa Oficinas'!$I$21,0,IF(J1762&gt;'Mapa Oficinas'!$I$20,0,1))</f>
        <v>1</v>
      </c>
      <c r="L1762" t="s">
        <v>23</v>
      </c>
      <c r="M1762" t="s">
        <v>23</v>
      </c>
      <c r="N1762" t="s">
        <v>1210</v>
      </c>
      <c r="O1762" t="s">
        <v>116</v>
      </c>
      <c r="P1762" t="s">
        <v>45</v>
      </c>
      <c r="Q1762">
        <v>2</v>
      </c>
      <c r="R1762" t="s">
        <v>62</v>
      </c>
      <c r="S1762" t="s">
        <v>28</v>
      </c>
      <c r="T1762" t="str">
        <f>VLOOKUP(S1762,'Mapa Oficinas'!$H$7:$I$16,2,FALSE)</f>
        <v>CB</v>
      </c>
      <c r="U1762" t="s">
        <v>29</v>
      </c>
      <c r="V1762" t="str">
        <f>VLOOKUP($R1762,'Mapa Oficinas'!$A$7:$C$46,2,FALSE)</f>
        <v>CABA</v>
      </c>
      <c r="W1762" t="str">
        <f>VLOOKUP($R1762,'Mapa Oficinas'!$A$7:$C$46,3,FALSE)</f>
        <v>Villa Urquiza</v>
      </c>
    </row>
    <row r="1763" spans="1:23" x14ac:dyDescent="0.2">
      <c r="A1763" s="1">
        <v>45811</v>
      </c>
      <c r="B1763" s="20">
        <f t="shared" si="54"/>
        <v>2025</v>
      </c>
      <c r="C1763" s="20">
        <f t="shared" si="55"/>
        <v>6</v>
      </c>
      <c r="D1763" t="s">
        <v>2282</v>
      </c>
      <c r="E1763" s="49">
        <v>1</v>
      </c>
      <c r="F1763" t="s">
        <v>2283</v>
      </c>
      <c r="G1763" t="s">
        <v>21</v>
      </c>
      <c r="H1763" t="s">
        <v>221</v>
      </c>
      <c r="I1763" s="13">
        <v>155000</v>
      </c>
      <c r="J1763" s="13">
        <v>145000</v>
      </c>
      <c r="K1763" s="13">
        <f>IF(J1763&lt;'Mapa Oficinas'!$I$21,0,IF(J1763&gt;'Mapa Oficinas'!$I$20,0,1))</f>
        <v>1</v>
      </c>
      <c r="L1763" t="s">
        <v>23</v>
      </c>
      <c r="M1763" t="s">
        <v>23</v>
      </c>
      <c r="N1763" t="s">
        <v>2284</v>
      </c>
      <c r="O1763" t="s">
        <v>2285</v>
      </c>
      <c r="P1763" t="s">
        <v>34</v>
      </c>
      <c r="Q1763">
        <v>2</v>
      </c>
      <c r="R1763" t="s">
        <v>27</v>
      </c>
      <c r="S1763" t="s">
        <v>28</v>
      </c>
      <c r="T1763" t="str">
        <f>VLOOKUP(S1763,'Mapa Oficinas'!$H$7:$I$16,2,FALSE)</f>
        <v>CB</v>
      </c>
      <c r="U1763" t="s">
        <v>29</v>
      </c>
      <c r="V1763" t="str">
        <f>VLOOKUP($R1763,'Mapa Oficinas'!$A$7:$C$46,2,FALSE)</f>
        <v>Zona Norte (GBA)</v>
      </c>
      <c r="W1763" t="str">
        <f>VLOOKUP($R1763,'Mapa Oficinas'!$A$7:$C$46,3,FALSE)</f>
        <v>Tigre</v>
      </c>
    </row>
    <row r="1764" spans="1:23" x14ac:dyDescent="0.2">
      <c r="A1764" s="1">
        <v>45814</v>
      </c>
      <c r="B1764" s="20">
        <f t="shared" si="54"/>
        <v>2025</v>
      </c>
      <c r="C1764" s="20">
        <f t="shared" si="55"/>
        <v>6</v>
      </c>
      <c r="D1764" t="s">
        <v>2368</v>
      </c>
      <c r="E1764" s="49">
        <v>1</v>
      </c>
      <c r="F1764" t="s">
        <v>2369</v>
      </c>
      <c r="G1764" t="s">
        <v>21</v>
      </c>
      <c r="H1764" t="s">
        <v>37</v>
      </c>
      <c r="I1764" s="13">
        <v>165000</v>
      </c>
      <c r="J1764" s="13">
        <v>145000</v>
      </c>
      <c r="K1764" s="13">
        <f>IF(J1764&lt;'Mapa Oficinas'!$I$21,0,IF(J1764&gt;'Mapa Oficinas'!$I$20,0,1))</f>
        <v>1</v>
      </c>
      <c r="L1764" t="s">
        <v>23</v>
      </c>
      <c r="M1764" t="s">
        <v>23</v>
      </c>
      <c r="N1764" t="s">
        <v>2370</v>
      </c>
      <c r="O1764" t="s">
        <v>60</v>
      </c>
      <c r="P1764" t="s">
        <v>61</v>
      </c>
      <c r="Q1764">
        <v>2</v>
      </c>
      <c r="R1764" t="s">
        <v>56</v>
      </c>
      <c r="S1764" t="s">
        <v>28</v>
      </c>
      <c r="T1764" t="str">
        <f>VLOOKUP(S1764,'Mapa Oficinas'!$H$7:$I$16,2,FALSE)</f>
        <v>CB</v>
      </c>
      <c r="U1764" t="s">
        <v>29</v>
      </c>
      <c r="V1764" t="str">
        <f>VLOOKUP($R1764,'Mapa Oficinas'!$A$7:$C$46,2,FALSE)</f>
        <v>Zona Norte (GBA)</v>
      </c>
      <c r="W1764" t="str">
        <f>VLOOKUP($R1764,'Mapa Oficinas'!$A$7:$C$46,3,FALSE)</f>
        <v>Vicente López</v>
      </c>
    </row>
    <row r="1765" spans="1:23" x14ac:dyDescent="0.2">
      <c r="A1765" s="1">
        <v>45882</v>
      </c>
      <c r="B1765" s="20">
        <f t="shared" si="54"/>
        <v>2025</v>
      </c>
      <c r="C1765" s="20">
        <f t="shared" si="55"/>
        <v>8</v>
      </c>
      <c r="D1765" t="s">
        <v>3577</v>
      </c>
      <c r="E1765" s="49">
        <v>1</v>
      </c>
      <c r="F1765" t="s">
        <v>3578</v>
      </c>
      <c r="G1765" t="s">
        <v>21</v>
      </c>
      <c r="H1765" t="s">
        <v>37</v>
      </c>
      <c r="I1765" s="13">
        <v>145000</v>
      </c>
      <c r="J1765" s="13">
        <v>145000</v>
      </c>
      <c r="K1765" s="13">
        <f>IF(J1765&lt;'Mapa Oficinas'!$I$21,0,IF(J1765&gt;'Mapa Oficinas'!$I$20,0,1))</f>
        <v>1</v>
      </c>
      <c r="L1765" t="s">
        <v>23</v>
      </c>
      <c r="M1765" t="s">
        <v>23</v>
      </c>
      <c r="N1765" t="s">
        <v>3579</v>
      </c>
      <c r="O1765" t="s">
        <v>3580</v>
      </c>
      <c r="P1765" t="s">
        <v>34</v>
      </c>
      <c r="Q1765">
        <v>2</v>
      </c>
      <c r="R1765" t="s">
        <v>183</v>
      </c>
      <c r="S1765" t="s">
        <v>28</v>
      </c>
      <c r="T1765" t="str">
        <f>VLOOKUP(S1765,'Mapa Oficinas'!$H$7:$I$16,2,FALSE)</f>
        <v>CB</v>
      </c>
      <c r="U1765" t="s">
        <v>29</v>
      </c>
      <c r="V1765" t="str">
        <f>VLOOKUP($R1765,'Mapa Oficinas'!$A$7:$C$46,2,FALSE)</f>
        <v>Interior - Neuquén</v>
      </c>
      <c r="W1765" t="str">
        <f>VLOOKUP($R1765,'Mapa Oficinas'!$A$7:$C$46,3,FALSE)</f>
        <v>Capital Neuquén</v>
      </c>
    </row>
    <row r="1766" spans="1:23" x14ac:dyDescent="0.2">
      <c r="A1766" s="1">
        <v>45883</v>
      </c>
      <c r="B1766" s="20">
        <f t="shared" si="54"/>
        <v>2025</v>
      </c>
      <c r="C1766" s="20">
        <f t="shared" si="55"/>
        <v>8</v>
      </c>
      <c r="D1766" t="s">
        <v>3599</v>
      </c>
      <c r="E1766" s="49">
        <v>1</v>
      </c>
      <c r="F1766" t="s">
        <v>3600</v>
      </c>
      <c r="G1766" t="s">
        <v>21</v>
      </c>
      <c r="H1766" t="s">
        <v>37</v>
      </c>
      <c r="I1766" s="13">
        <v>150000</v>
      </c>
      <c r="J1766" s="13">
        <v>145000</v>
      </c>
      <c r="K1766" s="13">
        <f>IF(J1766&lt;'Mapa Oficinas'!$I$21,0,IF(J1766&gt;'Mapa Oficinas'!$I$20,0,1))</f>
        <v>1</v>
      </c>
      <c r="L1766" t="s">
        <v>23</v>
      </c>
      <c r="M1766" t="s">
        <v>23</v>
      </c>
      <c r="N1766" t="s">
        <v>3601</v>
      </c>
      <c r="O1766" t="s">
        <v>1448</v>
      </c>
      <c r="P1766" t="s">
        <v>61</v>
      </c>
      <c r="Q1766">
        <v>2</v>
      </c>
      <c r="R1766" t="s">
        <v>1605</v>
      </c>
      <c r="S1766" t="s">
        <v>28</v>
      </c>
      <c r="T1766" t="str">
        <f>VLOOKUP(S1766,'Mapa Oficinas'!$H$7:$I$16,2,FALSE)</f>
        <v>CB</v>
      </c>
      <c r="U1766" t="s">
        <v>29</v>
      </c>
      <c r="V1766" t="str">
        <f>VLOOKUP($R1766,'Mapa Oficinas'!$A$7:$C$46,2,FALSE)</f>
        <v>CABA</v>
      </c>
      <c r="W1766" t="str">
        <f>VLOOKUP($R1766,'Mapa Oficinas'!$A$7:$C$46,3,FALSE)</f>
        <v>Núñez</v>
      </c>
    </row>
    <row r="1767" spans="1:23" x14ac:dyDescent="0.2">
      <c r="A1767" s="1">
        <v>45923</v>
      </c>
      <c r="B1767" s="20">
        <f t="shared" si="54"/>
        <v>2025</v>
      </c>
      <c r="C1767" s="20">
        <f t="shared" si="55"/>
        <v>9</v>
      </c>
      <c r="D1767" t="s">
        <v>4297</v>
      </c>
      <c r="E1767" s="49">
        <v>1</v>
      </c>
      <c r="F1767" t="s">
        <v>4298</v>
      </c>
      <c r="G1767" t="s">
        <v>21</v>
      </c>
      <c r="H1767" t="s">
        <v>37</v>
      </c>
      <c r="I1767" s="13">
        <v>219000</v>
      </c>
      <c r="J1767" s="13">
        <v>145000</v>
      </c>
      <c r="K1767" s="13">
        <f>IF(J1767&lt;'Mapa Oficinas'!$I$21,0,IF(J1767&gt;'Mapa Oficinas'!$I$20,0,1))</f>
        <v>1</v>
      </c>
      <c r="L1767" t="s">
        <v>23</v>
      </c>
      <c r="M1767" t="s">
        <v>23</v>
      </c>
      <c r="N1767" t="s">
        <v>4299</v>
      </c>
      <c r="O1767" t="s">
        <v>2865</v>
      </c>
      <c r="P1767" t="s">
        <v>34</v>
      </c>
      <c r="Q1767">
        <v>2</v>
      </c>
      <c r="R1767" t="s">
        <v>110</v>
      </c>
      <c r="S1767" t="s">
        <v>28</v>
      </c>
      <c r="T1767" t="str">
        <f>VLOOKUP(S1767,'Mapa Oficinas'!$H$7:$I$16,2,FALSE)</f>
        <v>CB</v>
      </c>
      <c r="U1767" t="s">
        <v>29</v>
      </c>
      <c r="V1767" t="str">
        <f>VLOOKUP($R1767,'Mapa Oficinas'!$A$7:$C$46,2,FALSE)</f>
        <v>Zona Norte (GBA)</v>
      </c>
      <c r="W1767" t="str">
        <f>VLOOKUP($R1767,'Mapa Oficinas'!$A$7:$C$46,3,FALSE)</f>
        <v>Nordelta</v>
      </c>
    </row>
    <row r="1768" spans="1:23" x14ac:dyDescent="0.2">
      <c r="A1768" s="1">
        <v>46001</v>
      </c>
      <c r="B1768" s="20">
        <f t="shared" si="54"/>
        <v>2025</v>
      </c>
      <c r="C1768" s="20">
        <f t="shared" si="55"/>
        <v>12</v>
      </c>
      <c r="D1768" t="s">
        <v>5708</v>
      </c>
      <c r="E1768" s="49">
        <v>1</v>
      </c>
      <c r="F1768" t="s">
        <v>5709</v>
      </c>
      <c r="G1768" t="s">
        <v>21</v>
      </c>
      <c r="H1768" t="s">
        <v>37</v>
      </c>
      <c r="I1768" s="13">
        <v>159000</v>
      </c>
      <c r="J1768" s="13">
        <v>145000</v>
      </c>
      <c r="K1768" s="13">
        <f>IF(J1768&lt;'Mapa Oficinas'!$I$21,0,IF(J1768&gt;'Mapa Oficinas'!$I$20,0,1))</f>
        <v>1</v>
      </c>
      <c r="L1768" t="s">
        <v>23</v>
      </c>
      <c r="M1768" t="s">
        <v>23</v>
      </c>
      <c r="N1768" t="s">
        <v>5710</v>
      </c>
      <c r="O1768" t="s">
        <v>265</v>
      </c>
      <c r="P1768" t="s">
        <v>45</v>
      </c>
      <c r="Q1768">
        <v>2</v>
      </c>
      <c r="R1768" t="s">
        <v>67</v>
      </c>
      <c r="S1768" t="s">
        <v>28</v>
      </c>
      <c r="T1768" t="str">
        <f>VLOOKUP(S1768,'Mapa Oficinas'!$H$7:$I$16,2,FALSE)</f>
        <v>CB</v>
      </c>
      <c r="U1768" t="s">
        <v>29</v>
      </c>
      <c r="V1768" t="str">
        <f>VLOOKUP($R1768,'Mapa Oficinas'!$A$7:$C$46,2,FALSE)</f>
        <v>CABA</v>
      </c>
      <c r="W1768" t="str">
        <f>VLOOKUP($R1768,'Mapa Oficinas'!$A$7:$C$46,3,FALSE)</f>
        <v>Barrio Parque</v>
      </c>
    </row>
    <row r="1769" spans="1:23" x14ac:dyDescent="0.2">
      <c r="A1769" s="1">
        <v>46099</v>
      </c>
      <c r="B1769" s="20">
        <f t="shared" si="54"/>
        <v>2026</v>
      </c>
      <c r="C1769" s="20">
        <f t="shared" si="55"/>
        <v>3</v>
      </c>
      <c r="D1769" t="s">
        <v>7276</v>
      </c>
      <c r="E1769" s="49">
        <v>1</v>
      </c>
      <c r="F1769" t="s">
        <v>7276</v>
      </c>
      <c r="G1769" t="s">
        <v>21</v>
      </c>
      <c r="H1769" t="s">
        <v>37</v>
      </c>
      <c r="I1769" s="13">
        <v>145000</v>
      </c>
      <c r="J1769" s="13">
        <v>145000</v>
      </c>
      <c r="K1769" s="13">
        <f>IF(J1769&lt;'Mapa Oficinas'!$I$21,0,IF(J1769&gt;'Mapa Oficinas'!$I$20,0,1))</f>
        <v>1</v>
      </c>
      <c r="L1769" t="s">
        <v>23</v>
      </c>
      <c r="M1769" t="s">
        <v>23</v>
      </c>
      <c r="N1769" t="s">
        <v>7276</v>
      </c>
      <c r="O1769" t="s">
        <v>116</v>
      </c>
      <c r="P1769" t="s">
        <v>45</v>
      </c>
      <c r="Q1769">
        <v>2</v>
      </c>
      <c r="R1769" t="s">
        <v>62</v>
      </c>
      <c r="S1769" t="s">
        <v>28</v>
      </c>
      <c r="T1769" t="str">
        <f>VLOOKUP(S1769,'Mapa Oficinas'!$H$7:$I$16,2,FALSE)</f>
        <v>CB</v>
      </c>
      <c r="U1769" t="s">
        <v>29</v>
      </c>
      <c r="V1769" t="str">
        <f>VLOOKUP($R1769,'Mapa Oficinas'!$A$7:$C$46,2,FALSE)</f>
        <v>CABA</v>
      </c>
      <c r="W1769" t="str">
        <f>VLOOKUP($R1769,'Mapa Oficinas'!$A$7:$C$46,3,FALSE)</f>
        <v>Villa Urquiza</v>
      </c>
    </row>
    <row r="1770" spans="1:23" x14ac:dyDescent="0.2">
      <c r="A1770" s="1">
        <v>46106</v>
      </c>
      <c r="B1770" s="20">
        <f t="shared" si="54"/>
        <v>2026</v>
      </c>
      <c r="C1770" s="20">
        <f t="shared" si="55"/>
        <v>3</v>
      </c>
      <c r="D1770" t="s">
        <v>7416</v>
      </c>
      <c r="E1770" s="49">
        <v>1</v>
      </c>
      <c r="F1770" t="s">
        <v>7417</v>
      </c>
      <c r="G1770" t="s">
        <v>21</v>
      </c>
      <c r="H1770" t="s">
        <v>81</v>
      </c>
      <c r="I1770" s="13">
        <v>165000</v>
      </c>
      <c r="J1770" s="13">
        <v>145000</v>
      </c>
      <c r="K1770" s="13">
        <f>IF(J1770&lt;'Mapa Oficinas'!$I$21,0,IF(J1770&gt;'Mapa Oficinas'!$I$20,0,1))</f>
        <v>1</v>
      </c>
      <c r="L1770" t="s">
        <v>23</v>
      </c>
      <c r="M1770" t="s">
        <v>23</v>
      </c>
      <c r="N1770" t="s">
        <v>7418</v>
      </c>
      <c r="O1770" t="s">
        <v>141</v>
      </c>
      <c r="P1770" t="s">
        <v>45</v>
      </c>
      <c r="Q1770">
        <v>2</v>
      </c>
      <c r="R1770" t="s">
        <v>1024</v>
      </c>
      <c r="S1770" t="s">
        <v>28</v>
      </c>
      <c r="T1770" t="str">
        <f>VLOOKUP(S1770,'Mapa Oficinas'!$H$7:$I$16,2,FALSE)</f>
        <v>CB</v>
      </c>
      <c r="U1770" t="s">
        <v>29</v>
      </c>
      <c r="V1770" t="str">
        <f>VLOOKUP($R1770,'Mapa Oficinas'!$A$7:$C$46,2,FALSE)</f>
        <v>CABA</v>
      </c>
      <c r="W1770" t="str">
        <f>VLOOKUP($R1770,'Mapa Oficinas'!$A$7:$C$46,3,FALSE)</f>
        <v>Puerto Madero</v>
      </c>
    </row>
    <row r="1771" spans="1:23" x14ac:dyDescent="0.2">
      <c r="A1771" s="1">
        <v>45947</v>
      </c>
      <c r="B1771" s="20">
        <f t="shared" si="54"/>
        <v>2025</v>
      </c>
      <c r="C1771" s="20">
        <f t="shared" si="55"/>
        <v>10</v>
      </c>
      <c r="E1771" s="49">
        <v>1</v>
      </c>
      <c r="F1771" t="s">
        <v>4770</v>
      </c>
      <c r="G1771" t="s">
        <v>21</v>
      </c>
      <c r="H1771" t="s">
        <v>37</v>
      </c>
      <c r="I1771" s="13">
        <v>146000</v>
      </c>
      <c r="J1771" s="13">
        <v>146000</v>
      </c>
      <c r="K1771" s="13">
        <f>IF(J1771&lt;'Mapa Oficinas'!$I$21,0,IF(J1771&gt;'Mapa Oficinas'!$I$20,0,1))</f>
        <v>1</v>
      </c>
      <c r="L1771" t="s">
        <v>23</v>
      </c>
      <c r="M1771" t="s">
        <v>23</v>
      </c>
      <c r="N1771" t="s">
        <v>4771</v>
      </c>
      <c r="O1771" t="s">
        <v>50</v>
      </c>
      <c r="P1771" t="s">
        <v>45</v>
      </c>
      <c r="Q1771">
        <v>1</v>
      </c>
      <c r="R1771" t="s">
        <v>135</v>
      </c>
      <c r="S1771" t="s">
        <v>47</v>
      </c>
      <c r="T1771" t="str">
        <f>VLOOKUP(S1771,'Mapa Oficinas'!$H$7:$I$16,2,FALSE)</f>
        <v>Otra Red Búsqueda</v>
      </c>
      <c r="U1771" t="s">
        <v>29</v>
      </c>
      <c r="V1771" t="str">
        <f>VLOOKUP($R1771,'Mapa Oficinas'!$A$7:$C$46,2,FALSE)</f>
        <v>CABA</v>
      </c>
      <c r="W1771" t="str">
        <f>VLOOKUP($R1771,'Mapa Oficinas'!$A$7:$C$46,3,FALSE)</f>
        <v>Recoleta</v>
      </c>
    </row>
    <row r="1772" spans="1:23" x14ac:dyDescent="0.2">
      <c r="A1772" s="1">
        <v>45775</v>
      </c>
      <c r="B1772" s="20">
        <f t="shared" si="54"/>
        <v>2025</v>
      </c>
      <c r="C1772" s="20">
        <f t="shared" si="55"/>
        <v>4</v>
      </c>
      <c r="D1772" t="s">
        <v>1658</v>
      </c>
      <c r="E1772" s="49">
        <v>1</v>
      </c>
      <c r="F1772" t="s">
        <v>1659</v>
      </c>
      <c r="G1772" t="s">
        <v>21</v>
      </c>
      <c r="H1772" t="s">
        <v>90</v>
      </c>
      <c r="I1772" s="13">
        <v>130000</v>
      </c>
      <c r="J1772" s="13">
        <v>146000</v>
      </c>
      <c r="K1772" s="13">
        <f>IF(J1772&lt;'Mapa Oficinas'!$I$21,0,IF(J1772&gt;'Mapa Oficinas'!$I$20,0,1))</f>
        <v>1</v>
      </c>
      <c r="L1772" t="s">
        <v>23</v>
      </c>
      <c r="M1772" t="s">
        <v>23</v>
      </c>
      <c r="N1772" t="s">
        <v>1660</v>
      </c>
      <c r="O1772" t="s">
        <v>92</v>
      </c>
      <c r="P1772" t="s">
        <v>45</v>
      </c>
      <c r="Q1772">
        <v>2</v>
      </c>
      <c r="R1772" t="s">
        <v>62</v>
      </c>
      <c r="S1772" t="s">
        <v>28</v>
      </c>
      <c r="T1772" t="str">
        <f>VLOOKUP(S1772,'Mapa Oficinas'!$H$7:$I$16,2,FALSE)</f>
        <v>CB</v>
      </c>
      <c r="U1772" t="s">
        <v>29</v>
      </c>
      <c r="V1772" t="str">
        <f>VLOOKUP($R1772,'Mapa Oficinas'!$A$7:$C$46,2,FALSE)</f>
        <v>CABA</v>
      </c>
      <c r="W1772" t="str">
        <f>VLOOKUP($R1772,'Mapa Oficinas'!$A$7:$C$46,3,FALSE)</f>
        <v>Villa Urquiza</v>
      </c>
    </row>
    <row r="1773" spans="1:23" x14ac:dyDescent="0.2">
      <c r="A1773" s="1">
        <v>45945</v>
      </c>
      <c r="B1773" s="20">
        <f t="shared" si="54"/>
        <v>2025</v>
      </c>
      <c r="C1773" s="20">
        <f t="shared" si="55"/>
        <v>10</v>
      </c>
      <c r="D1773" t="s">
        <v>4722</v>
      </c>
      <c r="E1773" s="49">
        <v>1</v>
      </c>
      <c r="F1773" t="s">
        <v>4722</v>
      </c>
      <c r="G1773" t="s">
        <v>21</v>
      </c>
      <c r="H1773" t="s">
        <v>100</v>
      </c>
      <c r="I1773" s="13">
        <v>146500</v>
      </c>
      <c r="J1773" s="13">
        <v>146500</v>
      </c>
      <c r="K1773" s="13">
        <f>IF(J1773&lt;'Mapa Oficinas'!$I$21,0,IF(J1773&gt;'Mapa Oficinas'!$I$20,0,1))</f>
        <v>1</v>
      </c>
      <c r="L1773" t="s">
        <v>23</v>
      </c>
      <c r="M1773" t="s">
        <v>23</v>
      </c>
      <c r="N1773" t="s">
        <v>4723</v>
      </c>
      <c r="O1773" t="s">
        <v>4724</v>
      </c>
      <c r="P1773" t="s">
        <v>45</v>
      </c>
      <c r="Q1773">
        <v>2</v>
      </c>
      <c r="R1773" t="s">
        <v>517</v>
      </c>
      <c r="S1773" t="s">
        <v>200</v>
      </c>
      <c r="T1773" t="str">
        <f>VLOOKUP(S1773,'Mapa Oficinas'!$H$7:$I$16,2,FALSE)</f>
        <v>Otra Red Captación</v>
      </c>
      <c r="U1773" t="s">
        <v>29</v>
      </c>
      <c r="V1773" t="str">
        <f>VLOOKUP($R1773,'Mapa Oficinas'!$A$7:$C$46,2,FALSE)</f>
        <v>Zona Sur (GBA)</v>
      </c>
      <c r="W1773" t="str">
        <f>VLOOKUP($R1773,'Mapa Oficinas'!$A$7:$C$46,3,FALSE)</f>
        <v>Canning</v>
      </c>
    </row>
    <row r="1774" spans="1:23" x14ac:dyDescent="0.2">
      <c r="A1774" s="1">
        <v>46065</v>
      </c>
      <c r="B1774" s="20">
        <f t="shared" si="54"/>
        <v>2026</v>
      </c>
      <c r="C1774" s="20">
        <f t="shared" si="55"/>
        <v>2</v>
      </c>
      <c r="D1774" t="s">
        <v>6680</v>
      </c>
      <c r="E1774" s="49">
        <v>1</v>
      </c>
      <c r="F1774" t="s">
        <v>6681</v>
      </c>
      <c r="G1774" t="s">
        <v>21</v>
      </c>
      <c r="H1774" t="s">
        <v>37</v>
      </c>
      <c r="I1774" s="13">
        <v>155000</v>
      </c>
      <c r="J1774" s="13">
        <v>147000</v>
      </c>
      <c r="K1774" s="13">
        <f>IF(J1774&lt;'Mapa Oficinas'!$I$21,0,IF(J1774&gt;'Mapa Oficinas'!$I$20,0,1))</f>
        <v>1</v>
      </c>
      <c r="L1774" t="s">
        <v>23</v>
      </c>
      <c r="M1774" t="s">
        <v>23</v>
      </c>
      <c r="N1774" t="s">
        <v>6682</v>
      </c>
      <c r="O1774" t="s">
        <v>190</v>
      </c>
      <c r="P1774" t="s">
        <v>45</v>
      </c>
      <c r="Q1774">
        <v>2</v>
      </c>
      <c r="R1774" t="s">
        <v>67</v>
      </c>
      <c r="S1774" t="s">
        <v>200</v>
      </c>
      <c r="T1774" t="str">
        <f>VLOOKUP(S1774,'Mapa Oficinas'!$H$7:$I$16,2,FALSE)</f>
        <v>Otra Red Captación</v>
      </c>
      <c r="U1774" t="s">
        <v>29</v>
      </c>
      <c r="V1774" t="str">
        <f>VLOOKUP($R1774,'Mapa Oficinas'!$A$7:$C$46,2,FALSE)</f>
        <v>CABA</v>
      </c>
      <c r="W1774" t="str">
        <f>VLOOKUP($R1774,'Mapa Oficinas'!$A$7:$C$46,3,FALSE)</f>
        <v>Barrio Parque</v>
      </c>
    </row>
    <row r="1775" spans="1:23" x14ac:dyDescent="0.2">
      <c r="A1775" s="1">
        <v>45686</v>
      </c>
      <c r="B1775" s="20">
        <f t="shared" si="54"/>
        <v>2025</v>
      </c>
      <c r="C1775" s="20">
        <f t="shared" si="55"/>
        <v>1</v>
      </c>
      <c r="D1775" t="s">
        <v>409</v>
      </c>
      <c r="E1775" s="49">
        <v>1</v>
      </c>
      <c r="F1775" t="s">
        <v>409</v>
      </c>
      <c r="G1775" t="s">
        <v>21</v>
      </c>
      <c r="H1775" t="s">
        <v>37</v>
      </c>
      <c r="I1775" s="13">
        <v>128000</v>
      </c>
      <c r="J1775" s="13">
        <v>147000</v>
      </c>
      <c r="K1775" s="13">
        <f>IF(J1775&lt;'Mapa Oficinas'!$I$21,0,IF(J1775&gt;'Mapa Oficinas'!$I$20,0,1))</f>
        <v>1</v>
      </c>
      <c r="L1775" t="s">
        <v>23</v>
      </c>
      <c r="M1775" t="s">
        <v>23</v>
      </c>
      <c r="N1775" t="s">
        <v>409</v>
      </c>
      <c r="O1775" t="s">
        <v>116</v>
      </c>
      <c r="P1775" t="s">
        <v>26</v>
      </c>
      <c r="Q1775">
        <v>2</v>
      </c>
      <c r="R1775" t="s">
        <v>62</v>
      </c>
      <c r="S1775" t="s">
        <v>28</v>
      </c>
      <c r="T1775" t="str">
        <f>VLOOKUP(S1775,'Mapa Oficinas'!$H$7:$I$16,2,FALSE)</f>
        <v>CB</v>
      </c>
      <c r="U1775" t="s">
        <v>29</v>
      </c>
      <c r="V1775" t="str">
        <f>VLOOKUP($R1775,'Mapa Oficinas'!$A$7:$C$46,2,FALSE)</f>
        <v>CABA</v>
      </c>
      <c r="W1775" t="str">
        <f>VLOOKUP($R1775,'Mapa Oficinas'!$A$7:$C$46,3,FALSE)</f>
        <v>Villa Urquiza</v>
      </c>
    </row>
    <row r="1776" spans="1:23" x14ac:dyDescent="0.2">
      <c r="A1776" s="1">
        <v>45762</v>
      </c>
      <c r="B1776" s="20">
        <f t="shared" si="54"/>
        <v>2025</v>
      </c>
      <c r="C1776" s="20">
        <f t="shared" si="55"/>
        <v>4</v>
      </c>
      <c r="D1776" t="s">
        <v>1442</v>
      </c>
      <c r="E1776" s="49">
        <v>1</v>
      </c>
      <c r="F1776" t="s">
        <v>1443</v>
      </c>
      <c r="G1776" t="s">
        <v>21</v>
      </c>
      <c r="H1776" t="s">
        <v>37</v>
      </c>
      <c r="I1776" s="13">
        <v>152000</v>
      </c>
      <c r="J1776" s="13">
        <v>147000</v>
      </c>
      <c r="K1776" s="13">
        <f>IF(J1776&lt;'Mapa Oficinas'!$I$21,0,IF(J1776&gt;'Mapa Oficinas'!$I$20,0,1))</f>
        <v>1</v>
      </c>
      <c r="L1776" t="s">
        <v>23</v>
      </c>
      <c r="M1776" t="s">
        <v>23</v>
      </c>
      <c r="N1776" t="s">
        <v>1444</v>
      </c>
      <c r="O1776" t="s">
        <v>39</v>
      </c>
      <c r="P1776" t="s">
        <v>34</v>
      </c>
      <c r="Q1776">
        <v>2</v>
      </c>
      <c r="R1776" t="s">
        <v>40</v>
      </c>
      <c r="S1776" t="s">
        <v>28</v>
      </c>
      <c r="T1776" t="str">
        <f>VLOOKUP(S1776,'Mapa Oficinas'!$H$7:$I$16,2,FALSE)</f>
        <v>CB</v>
      </c>
      <c r="U1776" t="s">
        <v>29</v>
      </c>
      <c r="V1776" t="str">
        <f>VLOOKUP($R1776,'Mapa Oficinas'!$A$7:$C$46,2,FALSE)</f>
        <v>CABA</v>
      </c>
      <c r="W1776" t="str">
        <f>VLOOKUP($R1776,'Mapa Oficinas'!$A$7:$C$46,3,FALSE)</f>
        <v>Núñez</v>
      </c>
    </row>
    <row r="1777" spans="1:23" x14ac:dyDescent="0.2">
      <c r="A1777" s="1">
        <v>45776</v>
      </c>
      <c r="B1777" s="20">
        <f t="shared" si="54"/>
        <v>2025</v>
      </c>
      <c r="C1777" s="20">
        <f t="shared" si="55"/>
        <v>4</v>
      </c>
      <c r="D1777" t="s">
        <v>1692</v>
      </c>
      <c r="E1777" s="49">
        <v>1</v>
      </c>
      <c r="F1777" t="s">
        <v>1693</v>
      </c>
      <c r="G1777" t="s">
        <v>21</v>
      </c>
      <c r="H1777" t="s">
        <v>37</v>
      </c>
      <c r="I1777" s="13">
        <v>140000</v>
      </c>
      <c r="J1777" s="13">
        <v>147000</v>
      </c>
      <c r="K1777" s="13">
        <f>IF(J1777&lt;'Mapa Oficinas'!$I$21,0,IF(J1777&gt;'Mapa Oficinas'!$I$20,0,1))</f>
        <v>1</v>
      </c>
      <c r="L1777" t="s">
        <v>23</v>
      </c>
      <c r="M1777" t="s">
        <v>23</v>
      </c>
      <c r="N1777" t="s">
        <v>1694</v>
      </c>
      <c r="O1777" t="s">
        <v>50</v>
      </c>
      <c r="P1777" t="s">
        <v>45</v>
      </c>
      <c r="Q1777">
        <v>2</v>
      </c>
      <c r="R1777" t="s">
        <v>135</v>
      </c>
      <c r="S1777" t="s">
        <v>28</v>
      </c>
      <c r="T1777" t="str">
        <f>VLOOKUP(S1777,'Mapa Oficinas'!$H$7:$I$16,2,FALSE)</f>
        <v>CB</v>
      </c>
      <c r="U1777" t="s">
        <v>29</v>
      </c>
      <c r="V1777" t="str">
        <f>VLOOKUP($R1777,'Mapa Oficinas'!$A$7:$C$46,2,FALSE)</f>
        <v>CABA</v>
      </c>
      <c r="W1777" t="str">
        <f>VLOOKUP($R1777,'Mapa Oficinas'!$A$7:$C$46,3,FALSE)</f>
        <v>Recoleta</v>
      </c>
    </row>
    <row r="1778" spans="1:23" x14ac:dyDescent="0.2">
      <c r="A1778" s="1">
        <v>45903</v>
      </c>
      <c r="B1778" s="20">
        <f t="shared" si="54"/>
        <v>2025</v>
      </c>
      <c r="C1778" s="20">
        <f t="shared" si="55"/>
        <v>9</v>
      </c>
      <c r="E1778" s="49">
        <v>1</v>
      </c>
      <c r="F1778" t="s">
        <v>3965</v>
      </c>
      <c r="G1778" t="s">
        <v>21</v>
      </c>
      <c r="H1778" t="s">
        <v>37</v>
      </c>
      <c r="I1778" s="13">
        <v>147000</v>
      </c>
      <c r="J1778" s="13">
        <v>147000</v>
      </c>
      <c r="K1778" s="13">
        <f>IF(J1778&lt;'Mapa Oficinas'!$I$21,0,IF(J1778&gt;'Mapa Oficinas'!$I$20,0,1))</f>
        <v>1</v>
      </c>
      <c r="L1778" t="s">
        <v>23</v>
      </c>
      <c r="M1778" t="s">
        <v>23</v>
      </c>
      <c r="N1778" t="s">
        <v>3966</v>
      </c>
      <c r="O1778" t="s">
        <v>66</v>
      </c>
      <c r="P1778" t="s">
        <v>45</v>
      </c>
      <c r="Q1778">
        <v>2</v>
      </c>
      <c r="R1778" t="s">
        <v>135</v>
      </c>
      <c r="S1778" t="s">
        <v>28</v>
      </c>
      <c r="T1778" t="str">
        <f>VLOOKUP(S1778,'Mapa Oficinas'!$H$7:$I$16,2,FALSE)</f>
        <v>CB</v>
      </c>
      <c r="U1778" t="s">
        <v>29</v>
      </c>
      <c r="V1778" t="str">
        <f>VLOOKUP($R1778,'Mapa Oficinas'!$A$7:$C$46,2,FALSE)</f>
        <v>CABA</v>
      </c>
      <c r="W1778" t="str">
        <f>VLOOKUP($R1778,'Mapa Oficinas'!$A$7:$C$46,3,FALSE)</f>
        <v>Recoleta</v>
      </c>
    </row>
    <row r="1779" spans="1:23" x14ac:dyDescent="0.2">
      <c r="A1779" s="1">
        <v>45853</v>
      </c>
      <c r="B1779" s="20">
        <f t="shared" si="54"/>
        <v>2025</v>
      </c>
      <c r="C1779" s="20">
        <f t="shared" si="55"/>
        <v>7</v>
      </c>
      <c r="D1779" t="s">
        <v>3050</v>
      </c>
      <c r="E1779" s="49">
        <v>1</v>
      </c>
      <c r="F1779" t="s">
        <v>3051</v>
      </c>
      <c r="G1779" t="s">
        <v>21</v>
      </c>
      <c r="H1779" t="s">
        <v>37</v>
      </c>
      <c r="I1779" s="13">
        <v>159000</v>
      </c>
      <c r="J1779" s="13">
        <v>147020</v>
      </c>
      <c r="K1779" s="13">
        <f>IF(J1779&lt;'Mapa Oficinas'!$I$21,0,IF(J1779&gt;'Mapa Oficinas'!$I$20,0,1))</f>
        <v>1</v>
      </c>
      <c r="L1779" t="s">
        <v>23</v>
      </c>
      <c r="M1779" t="s">
        <v>23</v>
      </c>
      <c r="N1779" t="s">
        <v>3052</v>
      </c>
      <c r="O1779" t="s">
        <v>456</v>
      </c>
      <c r="P1779" t="s">
        <v>45</v>
      </c>
      <c r="Q1779">
        <v>2</v>
      </c>
      <c r="R1779" t="s">
        <v>62</v>
      </c>
      <c r="S1779" t="s">
        <v>1265</v>
      </c>
      <c r="T1779" t="str">
        <f>VLOOKUP(S1779,'Mapa Oficinas'!$H$7:$I$16,2,FALSE)</f>
        <v>CB</v>
      </c>
      <c r="U1779" t="s">
        <v>29</v>
      </c>
      <c r="V1779" t="str">
        <f>VLOOKUP($R1779,'Mapa Oficinas'!$A$7:$C$46,2,FALSE)</f>
        <v>CABA</v>
      </c>
      <c r="W1779" t="str">
        <f>VLOOKUP($R1779,'Mapa Oficinas'!$A$7:$C$46,3,FALSE)</f>
        <v>Villa Urquiza</v>
      </c>
    </row>
    <row r="1780" spans="1:23" x14ac:dyDescent="0.2">
      <c r="A1780" s="1">
        <v>45853</v>
      </c>
      <c r="B1780" s="20">
        <f t="shared" si="54"/>
        <v>2025</v>
      </c>
      <c r="C1780" s="20">
        <f t="shared" si="55"/>
        <v>7</v>
      </c>
      <c r="D1780">
        <v>15072025</v>
      </c>
      <c r="E1780" s="49">
        <v>3</v>
      </c>
      <c r="F1780" t="s">
        <v>3053</v>
      </c>
      <c r="G1780" t="s">
        <v>21</v>
      </c>
      <c r="H1780" t="s">
        <v>76</v>
      </c>
      <c r="I1780" s="13">
        <v>159000</v>
      </c>
      <c r="J1780" s="13">
        <v>147500</v>
      </c>
      <c r="K1780" s="13">
        <f>IF(J1780&lt;'Mapa Oficinas'!$I$21,0,IF(J1780&gt;'Mapa Oficinas'!$I$20,0,1))</f>
        <v>1</v>
      </c>
      <c r="L1780" t="s">
        <v>23</v>
      </c>
      <c r="M1780" t="s">
        <v>23</v>
      </c>
      <c r="O1780" t="s">
        <v>456</v>
      </c>
      <c r="P1780" t="s">
        <v>45</v>
      </c>
      <c r="Q1780">
        <v>2</v>
      </c>
      <c r="R1780" t="s">
        <v>121</v>
      </c>
      <c r="S1780" t="s">
        <v>241</v>
      </c>
      <c r="T1780" t="str">
        <f>VLOOKUP(S1780,'Mapa Oficinas'!$H$7:$I$16,2,FALSE)</f>
        <v>CB</v>
      </c>
      <c r="U1780" t="s">
        <v>29</v>
      </c>
      <c r="V1780" t="str">
        <f>VLOOKUP($R1780,'Mapa Oficinas'!$A$7:$C$46,2,FALSE)</f>
        <v>Interior - Río Negro</v>
      </c>
      <c r="W1780" t="str">
        <f>VLOOKUP($R1780,'Mapa Oficinas'!$A$7:$C$46,3,FALSE)</f>
        <v>Bariloche</v>
      </c>
    </row>
    <row r="1781" spans="1:23" x14ac:dyDescent="0.2">
      <c r="A1781" s="1">
        <v>46031</v>
      </c>
      <c r="B1781" s="20">
        <f t="shared" si="54"/>
        <v>2026</v>
      </c>
      <c r="C1781" s="20">
        <f t="shared" si="55"/>
        <v>1</v>
      </c>
      <c r="D1781" t="s">
        <v>6165</v>
      </c>
      <c r="E1781" s="49">
        <v>1</v>
      </c>
      <c r="F1781" t="s">
        <v>6166</v>
      </c>
      <c r="G1781" t="s">
        <v>21</v>
      </c>
      <c r="H1781" t="s">
        <v>22</v>
      </c>
      <c r="I1781" s="13">
        <v>169000</v>
      </c>
      <c r="J1781" s="13">
        <v>147600</v>
      </c>
      <c r="K1781" s="13">
        <f>IF(J1781&lt;'Mapa Oficinas'!$I$21,0,IF(J1781&gt;'Mapa Oficinas'!$I$20,0,1))</f>
        <v>1</v>
      </c>
      <c r="L1781" t="s">
        <v>23</v>
      </c>
      <c r="M1781" t="s">
        <v>23</v>
      </c>
      <c r="N1781" t="s">
        <v>6167</v>
      </c>
      <c r="O1781" t="s">
        <v>174</v>
      </c>
      <c r="P1781" t="s">
        <v>26</v>
      </c>
      <c r="Q1781">
        <v>2</v>
      </c>
      <c r="R1781" t="s">
        <v>62</v>
      </c>
      <c r="S1781" t="s">
        <v>28</v>
      </c>
      <c r="T1781" t="str">
        <f>VLOOKUP(S1781,'Mapa Oficinas'!$H$7:$I$16,2,FALSE)</f>
        <v>CB</v>
      </c>
      <c r="U1781" t="s">
        <v>29</v>
      </c>
      <c r="V1781" t="str">
        <f>VLOOKUP($R1781,'Mapa Oficinas'!$A$7:$C$46,2,FALSE)</f>
        <v>CABA</v>
      </c>
      <c r="W1781" t="str">
        <f>VLOOKUP($R1781,'Mapa Oficinas'!$A$7:$C$46,3,FALSE)</f>
        <v>Villa Urquiza</v>
      </c>
    </row>
    <row r="1782" spans="1:23" x14ac:dyDescent="0.2">
      <c r="A1782" s="14">
        <v>45684</v>
      </c>
      <c r="B1782" s="20">
        <f t="shared" si="54"/>
        <v>2025</v>
      </c>
      <c r="C1782" s="20">
        <f t="shared" si="55"/>
        <v>1</v>
      </c>
      <c r="D1782" s="15" t="s">
        <v>385</v>
      </c>
      <c r="E1782" s="51">
        <v>1</v>
      </c>
      <c r="F1782" s="15" t="s">
        <v>374</v>
      </c>
      <c r="G1782" s="15" t="s">
        <v>21</v>
      </c>
      <c r="H1782" s="15" t="s">
        <v>362</v>
      </c>
      <c r="I1782" s="16">
        <v>156200</v>
      </c>
      <c r="J1782" s="16">
        <v>147630</v>
      </c>
      <c r="K1782" s="13">
        <f>IF(J1782&lt;'Mapa Oficinas'!$I$21,0,IF(J1782&gt;'Mapa Oficinas'!$I$20,0,1))</f>
        <v>1</v>
      </c>
      <c r="L1782" s="15" t="s">
        <v>23</v>
      </c>
      <c r="M1782" s="15" t="s">
        <v>23</v>
      </c>
      <c r="N1782" s="15" t="s">
        <v>386</v>
      </c>
      <c r="O1782" s="15" t="s">
        <v>376</v>
      </c>
      <c r="P1782" s="15" t="s">
        <v>26</v>
      </c>
      <c r="Q1782" s="15">
        <v>2</v>
      </c>
      <c r="R1782" s="15" t="s">
        <v>110</v>
      </c>
      <c r="S1782" s="15" t="s">
        <v>79</v>
      </c>
      <c r="T1782" t="str">
        <f>VLOOKUP(S1782,'Mapa Oficinas'!$H$7:$I$16,2,FALSE)</f>
        <v>CB</v>
      </c>
      <c r="U1782" s="15" t="s">
        <v>29</v>
      </c>
      <c r="V1782" t="str">
        <f>VLOOKUP($R1782,'Mapa Oficinas'!$A$7:$C$46,2,FALSE)</f>
        <v>Zona Norte (GBA)</v>
      </c>
      <c r="W1782" t="str">
        <f>VLOOKUP($R1782,'Mapa Oficinas'!$A$7:$C$46,3,FALSE)</f>
        <v>Nordelta</v>
      </c>
    </row>
    <row r="1783" spans="1:23" x14ac:dyDescent="0.2">
      <c r="A1783" s="1">
        <v>45952</v>
      </c>
      <c r="B1783" s="20">
        <f t="shared" si="54"/>
        <v>2025</v>
      </c>
      <c r="C1783" s="20">
        <f t="shared" si="55"/>
        <v>10</v>
      </c>
      <c r="D1783" t="s">
        <v>4856</v>
      </c>
      <c r="E1783" s="49">
        <v>1</v>
      </c>
      <c r="F1783" t="s">
        <v>4857</v>
      </c>
      <c r="G1783" t="s">
        <v>21</v>
      </c>
      <c r="H1783" t="s">
        <v>37</v>
      </c>
      <c r="I1783" s="13">
        <v>155000</v>
      </c>
      <c r="J1783" s="13">
        <v>148000</v>
      </c>
      <c r="K1783" s="13">
        <f>IF(J1783&lt;'Mapa Oficinas'!$I$21,0,IF(J1783&gt;'Mapa Oficinas'!$I$20,0,1))</f>
        <v>1</v>
      </c>
      <c r="L1783" t="s">
        <v>23</v>
      </c>
      <c r="M1783" t="s">
        <v>23</v>
      </c>
      <c r="N1783" t="s">
        <v>4858</v>
      </c>
      <c r="O1783" t="s">
        <v>1321</v>
      </c>
      <c r="P1783" t="s">
        <v>45</v>
      </c>
      <c r="Q1783">
        <v>2</v>
      </c>
      <c r="R1783" t="s">
        <v>151</v>
      </c>
      <c r="S1783" t="s">
        <v>79</v>
      </c>
      <c r="T1783" t="str">
        <f>VLOOKUP(S1783,'Mapa Oficinas'!$H$7:$I$16,2,FALSE)</f>
        <v>CB</v>
      </c>
      <c r="U1783" t="s">
        <v>29</v>
      </c>
      <c r="V1783" t="str">
        <f>VLOOKUP($R1783,'Mapa Oficinas'!$A$7:$C$46,2,FALSE)</f>
        <v>Interior - Mendoza</v>
      </c>
      <c r="W1783" t="str">
        <f>VLOOKUP($R1783,'Mapa Oficinas'!$A$7:$C$46,3,FALSE)</f>
        <v>Capital Mendoza</v>
      </c>
    </row>
    <row r="1784" spans="1:23" x14ac:dyDescent="0.2">
      <c r="A1784" s="1">
        <v>45986</v>
      </c>
      <c r="B1784" s="20">
        <f t="shared" si="54"/>
        <v>2025</v>
      </c>
      <c r="C1784" s="20">
        <f t="shared" si="55"/>
        <v>11</v>
      </c>
      <c r="D1784" t="s">
        <v>5372</v>
      </c>
      <c r="E1784" s="49">
        <v>3</v>
      </c>
      <c r="F1784" t="s">
        <v>5373</v>
      </c>
      <c r="G1784" t="s">
        <v>21</v>
      </c>
      <c r="H1784" t="s">
        <v>37</v>
      </c>
      <c r="I1784" s="13">
        <v>160000</v>
      </c>
      <c r="J1784" s="13">
        <v>148000</v>
      </c>
      <c r="K1784" s="13">
        <f>IF(J1784&lt;'Mapa Oficinas'!$I$21,0,IF(J1784&gt;'Mapa Oficinas'!$I$20,0,1))</f>
        <v>1</v>
      </c>
      <c r="L1784" t="s">
        <v>23</v>
      </c>
      <c r="M1784" t="s">
        <v>23</v>
      </c>
      <c r="N1784" t="s">
        <v>1287</v>
      </c>
      <c r="O1784" t="s">
        <v>1120</v>
      </c>
      <c r="P1784" t="s">
        <v>34</v>
      </c>
      <c r="Q1784">
        <v>2</v>
      </c>
      <c r="R1784" t="s">
        <v>257</v>
      </c>
      <c r="S1784" t="s">
        <v>241</v>
      </c>
      <c r="T1784" t="str">
        <f>VLOOKUP(S1784,'Mapa Oficinas'!$H$7:$I$16,2,FALSE)</f>
        <v>CB</v>
      </c>
      <c r="U1784" t="s">
        <v>29</v>
      </c>
      <c r="V1784" t="str">
        <f>VLOOKUP($R1784,'Mapa Oficinas'!$A$7:$C$46,2,FALSE)</f>
        <v>Zona Norte (GBA)</v>
      </c>
      <c r="W1784" t="str">
        <f>VLOOKUP($R1784,'Mapa Oficinas'!$A$7:$C$46,3,FALSE)</f>
        <v>Pilar</v>
      </c>
    </row>
    <row r="1785" spans="1:23" x14ac:dyDescent="0.2">
      <c r="A1785" s="1">
        <v>45708</v>
      </c>
      <c r="B1785" s="20">
        <f t="shared" si="54"/>
        <v>2025</v>
      </c>
      <c r="C1785" s="20">
        <f t="shared" si="55"/>
        <v>2</v>
      </c>
      <c r="D1785" t="s">
        <v>701</v>
      </c>
      <c r="E1785" s="49">
        <v>1</v>
      </c>
      <c r="F1785" t="s">
        <v>702</v>
      </c>
      <c r="G1785" t="s">
        <v>21</v>
      </c>
      <c r="H1785" t="s">
        <v>37</v>
      </c>
      <c r="I1785" s="13">
        <v>160000</v>
      </c>
      <c r="J1785" s="13">
        <v>148000</v>
      </c>
      <c r="K1785" s="13">
        <f>IF(J1785&lt;'Mapa Oficinas'!$I$21,0,IF(J1785&gt;'Mapa Oficinas'!$I$20,0,1))</f>
        <v>1</v>
      </c>
      <c r="L1785" t="s">
        <v>23</v>
      </c>
      <c r="M1785" t="s">
        <v>23</v>
      </c>
      <c r="N1785" t="s">
        <v>703</v>
      </c>
      <c r="O1785" t="s">
        <v>92</v>
      </c>
      <c r="P1785" t="s">
        <v>61</v>
      </c>
      <c r="Q1785">
        <v>2</v>
      </c>
      <c r="R1785" t="s">
        <v>67</v>
      </c>
      <c r="S1785" t="s">
        <v>28</v>
      </c>
      <c r="T1785" t="str">
        <f>VLOOKUP(S1785,'Mapa Oficinas'!$H$7:$I$16,2,FALSE)</f>
        <v>CB</v>
      </c>
      <c r="U1785" t="s">
        <v>29</v>
      </c>
      <c r="V1785" t="str">
        <f>VLOOKUP($R1785,'Mapa Oficinas'!$A$7:$C$46,2,FALSE)</f>
        <v>CABA</v>
      </c>
      <c r="W1785" t="str">
        <f>VLOOKUP($R1785,'Mapa Oficinas'!$A$7:$C$46,3,FALSE)</f>
        <v>Barrio Parque</v>
      </c>
    </row>
    <row r="1786" spans="1:23" x14ac:dyDescent="0.2">
      <c r="A1786" s="1">
        <v>45751</v>
      </c>
      <c r="B1786" s="20">
        <f t="shared" si="54"/>
        <v>2025</v>
      </c>
      <c r="C1786" s="20">
        <f t="shared" si="55"/>
        <v>4</v>
      </c>
      <c r="D1786" t="s">
        <v>1278</v>
      </c>
      <c r="E1786" s="49">
        <v>1</v>
      </c>
      <c r="F1786" t="s">
        <v>1279</v>
      </c>
      <c r="G1786" t="s">
        <v>21</v>
      </c>
      <c r="H1786" t="s">
        <v>37</v>
      </c>
      <c r="I1786" s="13">
        <v>160000</v>
      </c>
      <c r="J1786" s="13">
        <v>148000</v>
      </c>
      <c r="K1786" s="13">
        <f>IF(J1786&lt;'Mapa Oficinas'!$I$21,0,IF(J1786&gt;'Mapa Oficinas'!$I$20,0,1))</f>
        <v>1</v>
      </c>
      <c r="L1786" t="s">
        <v>23</v>
      </c>
      <c r="M1786" t="s">
        <v>23</v>
      </c>
      <c r="N1786" t="s">
        <v>1280</v>
      </c>
      <c r="O1786" t="s">
        <v>696</v>
      </c>
      <c r="P1786" t="s">
        <v>61</v>
      </c>
      <c r="Q1786">
        <v>2</v>
      </c>
      <c r="R1786" t="s">
        <v>67</v>
      </c>
      <c r="S1786" t="s">
        <v>28</v>
      </c>
      <c r="T1786" t="str">
        <f>VLOOKUP(S1786,'Mapa Oficinas'!$H$7:$I$16,2,FALSE)</f>
        <v>CB</v>
      </c>
      <c r="U1786" t="s">
        <v>29</v>
      </c>
      <c r="V1786" t="str">
        <f>VLOOKUP($R1786,'Mapa Oficinas'!$A$7:$C$46,2,FALSE)</f>
        <v>CABA</v>
      </c>
      <c r="W1786" t="str">
        <f>VLOOKUP($R1786,'Mapa Oficinas'!$A$7:$C$46,3,FALSE)</f>
        <v>Barrio Parque</v>
      </c>
    </row>
    <row r="1787" spans="1:23" x14ac:dyDescent="0.2">
      <c r="A1787" s="1">
        <v>45806</v>
      </c>
      <c r="B1787" s="20">
        <f t="shared" si="54"/>
        <v>2025</v>
      </c>
      <c r="C1787" s="20">
        <f t="shared" si="55"/>
        <v>5</v>
      </c>
      <c r="D1787" t="s">
        <v>2208</v>
      </c>
      <c r="E1787" s="49">
        <v>1</v>
      </c>
      <c r="F1787" t="s">
        <v>2209</v>
      </c>
      <c r="G1787" t="s">
        <v>21</v>
      </c>
      <c r="H1787" t="s">
        <v>22</v>
      </c>
      <c r="I1787" s="13">
        <v>148000</v>
      </c>
      <c r="J1787" s="13">
        <v>148000</v>
      </c>
      <c r="K1787" s="13">
        <f>IF(J1787&lt;'Mapa Oficinas'!$I$21,0,IF(J1787&gt;'Mapa Oficinas'!$I$20,0,1))</f>
        <v>1</v>
      </c>
      <c r="L1787" t="s">
        <v>23</v>
      </c>
      <c r="M1787" t="s">
        <v>23</v>
      </c>
      <c r="O1787" t="s">
        <v>573</v>
      </c>
      <c r="P1787" t="s">
        <v>26</v>
      </c>
      <c r="Q1787">
        <v>2</v>
      </c>
      <c r="R1787" t="s">
        <v>321</v>
      </c>
      <c r="S1787" t="s">
        <v>28</v>
      </c>
      <c r="T1787" t="str">
        <f>VLOOKUP(S1787,'Mapa Oficinas'!$H$7:$I$16,2,FALSE)</f>
        <v>CB</v>
      </c>
      <c r="U1787" t="s">
        <v>29</v>
      </c>
      <c r="V1787" t="str">
        <f>VLOOKUP($R1787,'Mapa Oficinas'!$A$7:$C$46,2,FALSE)</f>
        <v>CABA</v>
      </c>
      <c r="W1787" t="str">
        <f>VLOOKUP($R1787,'Mapa Oficinas'!$A$7:$C$46,3,FALSE)</f>
        <v>Palermo</v>
      </c>
    </row>
    <row r="1788" spans="1:23" x14ac:dyDescent="0.2">
      <c r="A1788" s="1">
        <v>45880</v>
      </c>
      <c r="B1788" s="20">
        <f t="shared" si="54"/>
        <v>2025</v>
      </c>
      <c r="C1788" s="20">
        <f t="shared" si="55"/>
        <v>8</v>
      </c>
      <c r="D1788" t="s">
        <v>3520</v>
      </c>
      <c r="E1788" s="49">
        <v>1</v>
      </c>
      <c r="F1788" t="s">
        <v>3521</v>
      </c>
      <c r="G1788" t="s">
        <v>21</v>
      </c>
      <c r="H1788" t="s">
        <v>37</v>
      </c>
      <c r="I1788" s="13">
        <v>165000</v>
      </c>
      <c r="J1788" s="13">
        <v>148000</v>
      </c>
      <c r="K1788" s="13">
        <f>IF(J1788&lt;'Mapa Oficinas'!$I$21,0,IF(J1788&gt;'Mapa Oficinas'!$I$20,0,1))</f>
        <v>1</v>
      </c>
      <c r="L1788" t="s">
        <v>23</v>
      </c>
      <c r="M1788" t="s">
        <v>23</v>
      </c>
      <c r="N1788" t="s">
        <v>3522</v>
      </c>
      <c r="O1788" t="s">
        <v>2013</v>
      </c>
      <c r="P1788" t="s">
        <v>34</v>
      </c>
      <c r="Q1788">
        <v>2</v>
      </c>
      <c r="R1788" t="s">
        <v>135</v>
      </c>
      <c r="S1788" t="s">
        <v>28</v>
      </c>
      <c r="T1788" t="str">
        <f>VLOOKUP(S1788,'Mapa Oficinas'!$H$7:$I$16,2,FALSE)</f>
        <v>CB</v>
      </c>
      <c r="U1788" t="s">
        <v>29</v>
      </c>
      <c r="V1788" t="str">
        <f>VLOOKUP($R1788,'Mapa Oficinas'!$A$7:$C$46,2,FALSE)</f>
        <v>CABA</v>
      </c>
      <c r="W1788" t="str">
        <f>VLOOKUP($R1788,'Mapa Oficinas'!$A$7:$C$46,3,FALSE)</f>
        <v>Recoleta</v>
      </c>
    </row>
    <row r="1789" spans="1:23" x14ac:dyDescent="0.2">
      <c r="A1789" s="1">
        <v>45971</v>
      </c>
      <c r="B1789" s="20">
        <f t="shared" si="54"/>
        <v>2025</v>
      </c>
      <c r="C1789" s="20">
        <f t="shared" si="55"/>
        <v>11</v>
      </c>
      <c r="D1789" t="s">
        <v>5109</v>
      </c>
      <c r="E1789" s="49">
        <v>1</v>
      </c>
      <c r="F1789" t="s">
        <v>5110</v>
      </c>
      <c r="G1789" t="s">
        <v>21</v>
      </c>
      <c r="H1789" t="s">
        <v>37</v>
      </c>
      <c r="I1789" s="13">
        <v>155000</v>
      </c>
      <c r="J1789" s="13">
        <v>148000</v>
      </c>
      <c r="K1789" s="13">
        <f>IF(J1789&lt;'Mapa Oficinas'!$I$21,0,IF(J1789&gt;'Mapa Oficinas'!$I$20,0,1))</f>
        <v>1</v>
      </c>
      <c r="L1789" t="s">
        <v>23</v>
      </c>
      <c r="M1789" t="s">
        <v>23</v>
      </c>
      <c r="N1789" t="s">
        <v>5111</v>
      </c>
      <c r="O1789" t="s">
        <v>914</v>
      </c>
      <c r="P1789" t="s">
        <v>61</v>
      </c>
      <c r="Q1789">
        <v>2</v>
      </c>
      <c r="R1789" t="s">
        <v>1024</v>
      </c>
      <c r="S1789" t="s">
        <v>28</v>
      </c>
      <c r="T1789" t="str">
        <f>VLOOKUP(S1789,'Mapa Oficinas'!$H$7:$I$16,2,FALSE)</f>
        <v>CB</v>
      </c>
      <c r="U1789" t="s">
        <v>29</v>
      </c>
      <c r="V1789" t="str">
        <f>VLOOKUP($R1789,'Mapa Oficinas'!$A$7:$C$46,2,FALSE)</f>
        <v>CABA</v>
      </c>
      <c r="W1789" t="str">
        <f>VLOOKUP($R1789,'Mapa Oficinas'!$A$7:$C$46,3,FALSE)</f>
        <v>Puerto Madero</v>
      </c>
    </row>
    <row r="1790" spans="1:23" x14ac:dyDescent="0.2">
      <c r="A1790" s="1">
        <v>46092</v>
      </c>
      <c r="B1790" s="20">
        <f t="shared" si="54"/>
        <v>2026</v>
      </c>
      <c r="C1790" s="20">
        <f t="shared" si="55"/>
        <v>3</v>
      </c>
      <c r="D1790" t="s">
        <v>7105</v>
      </c>
      <c r="E1790" s="49">
        <v>1</v>
      </c>
      <c r="F1790" t="s">
        <v>7106</v>
      </c>
      <c r="G1790" t="s">
        <v>21</v>
      </c>
      <c r="H1790" t="s">
        <v>37</v>
      </c>
      <c r="I1790" s="13">
        <v>148000</v>
      </c>
      <c r="J1790" s="13">
        <v>148000</v>
      </c>
      <c r="K1790" s="13">
        <f>IF(J1790&lt;'Mapa Oficinas'!$I$21,0,IF(J1790&gt;'Mapa Oficinas'!$I$20,0,1))</f>
        <v>1</v>
      </c>
      <c r="L1790" t="s">
        <v>23</v>
      </c>
      <c r="M1790" t="s">
        <v>23</v>
      </c>
      <c r="N1790" t="s">
        <v>7107</v>
      </c>
      <c r="O1790" t="s">
        <v>66</v>
      </c>
      <c r="P1790" t="s">
        <v>45</v>
      </c>
      <c r="Q1790">
        <v>2</v>
      </c>
      <c r="R1790" t="s">
        <v>135</v>
      </c>
      <c r="S1790" t="s">
        <v>28</v>
      </c>
      <c r="T1790" t="str">
        <f>VLOOKUP(S1790,'Mapa Oficinas'!$H$7:$I$16,2,FALSE)</f>
        <v>CB</v>
      </c>
      <c r="U1790" t="s">
        <v>29</v>
      </c>
      <c r="V1790" t="str">
        <f>VLOOKUP($R1790,'Mapa Oficinas'!$A$7:$C$46,2,FALSE)</f>
        <v>CABA</v>
      </c>
      <c r="W1790" t="str">
        <f>VLOOKUP($R1790,'Mapa Oficinas'!$A$7:$C$46,3,FALSE)</f>
        <v>Recoleta</v>
      </c>
    </row>
    <row r="1791" spans="1:23" x14ac:dyDescent="0.2">
      <c r="A1791" s="1">
        <v>46107</v>
      </c>
      <c r="B1791" s="20">
        <f t="shared" si="54"/>
        <v>2026</v>
      </c>
      <c r="C1791" s="20">
        <f t="shared" si="55"/>
        <v>3</v>
      </c>
      <c r="D1791" t="s">
        <v>7440</v>
      </c>
      <c r="E1791" s="49">
        <v>1</v>
      </c>
      <c r="F1791" t="s">
        <v>7441</v>
      </c>
      <c r="G1791" t="s">
        <v>21</v>
      </c>
      <c r="H1791" t="s">
        <v>22</v>
      </c>
      <c r="I1791" s="13">
        <v>150000</v>
      </c>
      <c r="J1791" s="13">
        <v>148600</v>
      </c>
      <c r="K1791" s="13">
        <f>IF(J1791&lt;'Mapa Oficinas'!$I$21,0,IF(J1791&gt;'Mapa Oficinas'!$I$20,0,1))</f>
        <v>1</v>
      </c>
      <c r="L1791" t="s">
        <v>23</v>
      </c>
      <c r="M1791" t="s">
        <v>23</v>
      </c>
      <c r="N1791" t="s">
        <v>7442</v>
      </c>
      <c r="O1791" t="s">
        <v>2706</v>
      </c>
      <c r="P1791" t="s">
        <v>34</v>
      </c>
      <c r="Q1791">
        <v>2</v>
      </c>
      <c r="R1791" t="s">
        <v>84</v>
      </c>
      <c r="S1791" t="s">
        <v>28</v>
      </c>
      <c r="T1791" t="str">
        <f>VLOOKUP(S1791,'Mapa Oficinas'!$H$7:$I$16,2,FALSE)</f>
        <v>CB</v>
      </c>
      <c r="U1791" t="s">
        <v>29</v>
      </c>
      <c r="V1791" t="str">
        <f>VLOOKUP($R1791,'Mapa Oficinas'!$A$7:$C$46,2,FALSE)</f>
        <v>Interior - Neuquén</v>
      </c>
      <c r="W1791" t="str">
        <f>VLOOKUP($R1791,'Mapa Oficinas'!$A$7:$C$46,3,FALSE)</f>
        <v>Villa La Angostura</v>
      </c>
    </row>
    <row r="1792" spans="1:23" x14ac:dyDescent="0.2">
      <c r="A1792" s="1">
        <v>45837</v>
      </c>
      <c r="B1792" s="20">
        <f t="shared" si="54"/>
        <v>2025</v>
      </c>
      <c r="C1792" s="20">
        <f t="shared" si="55"/>
        <v>6</v>
      </c>
      <c r="D1792" t="s">
        <v>2740</v>
      </c>
      <c r="E1792" s="49">
        <v>1</v>
      </c>
      <c r="F1792" t="s">
        <v>2741</v>
      </c>
      <c r="G1792" t="s">
        <v>21</v>
      </c>
      <c r="H1792" t="s">
        <v>37</v>
      </c>
      <c r="I1792" s="13">
        <v>150000</v>
      </c>
      <c r="J1792" s="13">
        <v>149000</v>
      </c>
      <c r="K1792" s="13">
        <f>IF(J1792&lt;'Mapa Oficinas'!$I$21,0,IF(J1792&gt;'Mapa Oficinas'!$I$20,0,1))</f>
        <v>1</v>
      </c>
      <c r="L1792" t="s">
        <v>23</v>
      </c>
      <c r="M1792" t="s">
        <v>23</v>
      </c>
      <c r="N1792" t="s">
        <v>2742</v>
      </c>
      <c r="O1792" t="s">
        <v>2743</v>
      </c>
      <c r="P1792" t="s">
        <v>34</v>
      </c>
      <c r="Q1792">
        <v>2</v>
      </c>
      <c r="R1792" t="s">
        <v>110</v>
      </c>
      <c r="S1792" t="s">
        <v>79</v>
      </c>
      <c r="T1792" t="str">
        <f>VLOOKUP(S1792,'Mapa Oficinas'!$H$7:$I$16,2,FALSE)</f>
        <v>CB</v>
      </c>
      <c r="U1792" t="s">
        <v>29</v>
      </c>
      <c r="V1792" t="str">
        <f>VLOOKUP($R1792,'Mapa Oficinas'!$A$7:$C$46,2,FALSE)</f>
        <v>Zona Norte (GBA)</v>
      </c>
      <c r="W1792" t="str">
        <f>VLOOKUP($R1792,'Mapa Oficinas'!$A$7:$C$46,3,FALSE)</f>
        <v>Nordelta</v>
      </c>
    </row>
    <row r="1793" spans="1:23" x14ac:dyDescent="0.2">
      <c r="A1793" s="1">
        <v>46044</v>
      </c>
      <c r="B1793" s="20">
        <f t="shared" si="54"/>
        <v>2026</v>
      </c>
      <c r="C1793" s="20">
        <f t="shared" si="55"/>
        <v>1</v>
      </c>
      <c r="D1793" t="s">
        <v>6372</v>
      </c>
      <c r="E1793" s="49">
        <v>1</v>
      </c>
      <c r="F1793" t="s">
        <v>6373</v>
      </c>
      <c r="G1793" t="s">
        <v>21</v>
      </c>
      <c r="H1793" t="s">
        <v>37</v>
      </c>
      <c r="I1793" s="13">
        <v>153000</v>
      </c>
      <c r="J1793" s="13">
        <v>149000</v>
      </c>
      <c r="K1793" s="13">
        <f>IF(J1793&lt;'Mapa Oficinas'!$I$21,0,IF(J1793&gt;'Mapa Oficinas'!$I$20,0,1))</f>
        <v>1</v>
      </c>
      <c r="L1793" t="s">
        <v>23</v>
      </c>
      <c r="M1793" t="s">
        <v>23</v>
      </c>
      <c r="N1793" t="s">
        <v>6374</v>
      </c>
      <c r="O1793" t="s">
        <v>408</v>
      </c>
      <c r="P1793" t="s">
        <v>45</v>
      </c>
      <c r="Q1793">
        <v>2</v>
      </c>
      <c r="R1793" t="s">
        <v>56</v>
      </c>
      <c r="S1793" t="s">
        <v>79</v>
      </c>
      <c r="T1793" t="str">
        <f>VLOOKUP(S1793,'Mapa Oficinas'!$H$7:$I$16,2,FALSE)</f>
        <v>CB</v>
      </c>
      <c r="U1793" t="s">
        <v>29</v>
      </c>
      <c r="V1793" t="str">
        <f>VLOOKUP($R1793,'Mapa Oficinas'!$A$7:$C$46,2,FALSE)</f>
        <v>Zona Norte (GBA)</v>
      </c>
      <c r="W1793" t="str">
        <f>VLOOKUP($R1793,'Mapa Oficinas'!$A$7:$C$46,3,FALSE)</f>
        <v>Vicente López</v>
      </c>
    </row>
    <row r="1794" spans="1:23" x14ac:dyDescent="0.2">
      <c r="A1794" s="1">
        <v>45908</v>
      </c>
      <c r="B1794" s="20">
        <f t="shared" ref="B1794:B1857" si="56">YEAR($A1794)</f>
        <v>2025</v>
      </c>
      <c r="C1794" s="20">
        <f t="shared" ref="C1794:C1857" si="57">MONTH($A1794)</f>
        <v>9</v>
      </c>
      <c r="E1794" s="49">
        <v>1</v>
      </c>
      <c r="F1794" t="s">
        <v>4031</v>
      </c>
      <c r="G1794" t="s">
        <v>21</v>
      </c>
      <c r="H1794" t="s">
        <v>97</v>
      </c>
      <c r="I1794" s="13">
        <v>150000</v>
      </c>
      <c r="J1794" s="13">
        <v>150000</v>
      </c>
      <c r="K1794" s="13">
        <f>IF(J1794&lt;'Mapa Oficinas'!$I$21,0,IF(J1794&gt;'Mapa Oficinas'!$I$20,0,1))</f>
        <v>1</v>
      </c>
      <c r="L1794" t="s">
        <v>23</v>
      </c>
      <c r="M1794" t="s">
        <v>23</v>
      </c>
      <c r="N1794" t="s">
        <v>4032</v>
      </c>
      <c r="O1794" t="s">
        <v>83</v>
      </c>
      <c r="P1794" t="s">
        <v>55</v>
      </c>
      <c r="Q1794">
        <v>1</v>
      </c>
      <c r="R1794" t="s">
        <v>84</v>
      </c>
      <c r="S1794" t="s">
        <v>122</v>
      </c>
      <c r="T1794" t="str">
        <f>VLOOKUP(S1794,'Mapa Oficinas'!$H$7:$I$16,2,FALSE)</f>
        <v>Otra Red Búsqueda</v>
      </c>
      <c r="U1794" t="s">
        <v>29</v>
      </c>
      <c r="V1794" t="str">
        <f>VLOOKUP($R1794,'Mapa Oficinas'!$A$7:$C$46,2,FALSE)</f>
        <v>Interior - Neuquén</v>
      </c>
      <c r="W1794" t="str">
        <f>VLOOKUP($R1794,'Mapa Oficinas'!$A$7:$C$46,3,FALSE)</f>
        <v>Villa La Angostura</v>
      </c>
    </row>
    <row r="1795" spans="1:23" x14ac:dyDescent="0.2">
      <c r="A1795" s="1">
        <v>45964</v>
      </c>
      <c r="B1795" s="20">
        <f t="shared" si="56"/>
        <v>2025</v>
      </c>
      <c r="C1795" s="20">
        <f t="shared" si="57"/>
        <v>11</v>
      </c>
      <c r="D1795" t="s">
        <v>5039</v>
      </c>
      <c r="E1795" s="49">
        <v>1</v>
      </c>
      <c r="F1795" t="s">
        <v>5040</v>
      </c>
      <c r="G1795" t="s">
        <v>21</v>
      </c>
      <c r="H1795" t="s">
        <v>81</v>
      </c>
      <c r="I1795" s="13">
        <v>160000</v>
      </c>
      <c r="J1795" s="13">
        <v>150000</v>
      </c>
      <c r="K1795" s="13">
        <f>IF(J1795&lt;'Mapa Oficinas'!$I$21,0,IF(J1795&gt;'Mapa Oficinas'!$I$20,0,1))</f>
        <v>1</v>
      </c>
      <c r="L1795" t="s">
        <v>23</v>
      </c>
      <c r="M1795" t="s">
        <v>23</v>
      </c>
      <c r="N1795" t="s">
        <v>5041</v>
      </c>
      <c r="O1795" t="s">
        <v>223</v>
      </c>
      <c r="P1795" t="s">
        <v>45</v>
      </c>
      <c r="Q1795">
        <v>1</v>
      </c>
      <c r="R1795" t="s">
        <v>167</v>
      </c>
      <c r="S1795" t="s">
        <v>122</v>
      </c>
      <c r="T1795" t="str">
        <f>VLOOKUP(S1795,'Mapa Oficinas'!$H$7:$I$16,2,FALSE)</f>
        <v>Otra Red Búsqueda</v>
      </c>
      <c r="U1795" t="s">
        <v>29</v>
      </c>
      <c r="V1795" t="str">
        <f>VLOOKUP($R1795,'Mapa Oficinas'!$A$7:$C$46,2,FALSE)</f>
        <v>Interior - Santa Fe</v>
      </c>
      <c r="W1795" t="str">
        <f>VLOOKUP($R1795,'Mapa Oficinas'!$A$7:$C$46,3,FALSE)</f>
        <v>Capital Santa Fe</v>
      </c>
    </row>
    <row r="1796" spans="1:23" x14ac:dyDescent="0.2">
      <c r="A1796" s="1">
        <v>45988</v>
      </c>
      <c r="B1796" s="20">
        <f t="shared" si="56"/>
        <v>2025</v>
      </c>
      <c r="C1796" s="20">
        <f t="shared" si="57"/>
        <v>11</v>
      </c>
      <c r="D1796" t="s">
        <v>5398</v>
      </c>
      <c r="E1796" s="49">
        <v>1</v>
      </c>
      <c r="F1796" t="s">
        <v>5399</v>
      </c>
      <c r="G1796" t="s">
        <v>21</v>
      </c>
      <c r="H1796" t="s">
        <v>81</v>
      </c>
      <c r="I1796" s="13">
        <v>0</v>
      </c>
      <c r="J1796" s="13">
        <v>150000</v>
      </c>
      <c r="K1796" s="13">
        <f>IF(J1796&lt;'Mapa Oficinas'!$I$21,0,IF(J1796&gt;'Mapa Oficinas'!$I$20,0,1))</f>
        <v>1</v>
      </c>
      <c r="L1796" t="s">
        <v>23</v>
      </c>
      <c r="M1796" t="s">
        <v>23</v>
      </c>
      <c r="N1796" t="s">
        <v>5400</v>
      </c>
      <c r="O1796" t="s">
        <v>223</v>
      </c>
      <c r="P1796" t="s">
        <v>34</v>
      </c>
      <c r="Q1796">
        <v>1</v>
      </c>
      <c r="R1796" t="s">
        <v>167</v>
      </c>
      <c r="S1796" t="s">
        <v>122</v>
      </c>
      <c r="T1796" t="str">
        <f>VLOOKUP(S1796,'Mapa Oficinas'!$H$7:$I$16,2,FALSE)</f>
        <v>Otra Red Búsqueda</v>
      </c>
      <c r="U1796" t="s">
        <v>29</v>
      </c>
      <c r="V1796" t="str">
        <f>VLOOKUP($R1796,'Mapa Oficinas'!$A$7:$C$46,2,FALSE)</f>
        <v>Interior - Santa Fe</v>
      </c>
      <c r="W1796" t="str">
        <f>VLOOKUP($R1796,'Mapa Oficinas'!$A$7:$C$46,3,FALSE)</f>
        <v>Capital Santa Fe</v>
      </c>
    </row>
    <row r="1797" spans="1:23" x14ac:dyDescent="0.2">
      <c r="A1797" s="1">
        <v>45992</v>
      </c>
      <c r="B1797" s="20">
        <f t="shared" si="56"/>
        <v>2025</v>
      </c>
      <c r="C1797" s="20">
        <f t="shared" si="57"/>
        <v>12</v>
      </c>
      <c r="D1797" t="s">
        <v>34</v>
      </c>
      <c r="E1797" s="49">
        <v>1</v>
      </c>
      <c r="F1797" t="s">
        <v>34</v>
      </c>
      <c r="G1797" t="s">
        <v>21</v>
      </c>
      <c r="H1797" t="s">
        <v>81</v>
      </c>
      <c r="I1797" s="13">
        <v>0</v>
      </c>
      <c r="J1797" s="13">
        <v>150000</v>
      </c>
      <c r="K1797" s="13">
        <f>IF(J1797&lt;'Mapa Oficinas'!$I$21,0,IF(J1797&gt;'Mapa Oficinas'!$I$20,0,1))</f>
        <v>1</v>
      </c>
      <c r="L1797" t="s">
        <v>23</v>
      </c>
      <c r="M1797" t="s">
        <v>23</v>
      </c>
      <c r="O1797" t="s">
        <v>1321</v>
      </c>
      <c r="P1797" t="s">
        <v>34</v>
      </c>
      <c r="Q1797">
        <v>1</v>
      </c>
      <c r="R1797" t="s">
        <v>151</v>
      </c>
      <c r="S1797" t="s">
        <v>122</v>
      </c>
      <c r="T1797" t="str">
        <f>VLOOKUP(S1797,'Mapa Oficinas'!$H$7:$I$16,2,FALSE)</f>
        <v>Otra Red Búsqueda</v>
      </c>
      <c r="U1797" t="s">
        <v>29</v>
      </c>
      <c r="V1797" t="str">
        <f>VLOOKUP($R1797,'Mapa Oficinas'!$A$7:$C$46,2,FALSE)</f>
        <v>Interior - Mendoza</v>
      </c>
      <c r="W1797" t="str">
        <f>VLOOKUP($R1797,'Mapa Oficinas'!$A$7:$C$46,3,FALSE)</f>
        <v>Capital Mendoza</v>
      </c>
    </row>
    <row r="1798" spans="1:23" x14ac:dyDescent="0.2">
      <c r="A1798" s="1">
        <v>45712</v>
      </c>
      <c r="B1798" s="20">
        <f t="shared" si="56"/>
        <v>2025</v>
      </c>
      <c r="C1798" s="20">
        <f t="shared" si="57"/>
        <v>2</v>
      </c>
      <c r="D1798" t="s">
        <v>739</v>
      </c>
      <c r="E1798" s="49">
        <v>1</v>
      </c>
      <c r="F1798" t="s">
        <v>740</v>
      </c>
      <c r="G1798" t="s">
        <v>21</v>
      </c>
      <c r="H1798" t="s">
        <v>37</v>
      </c>
      <c r="I1798" s="13">
        <v>140000</v>
      </c>
      <c r="J1798" s="13">
        <v>150000</v>
      </c>
      <c r="K1798" s="13">
        <f>IF(J1798&lt;'Mapa Oficinas'!$I$21,0,IF(J1798&gt;'Mapa Oficinas'!$I$20,0,1))</f>
        <v>1</v>
      </c>
      <c r="L1798" t="s">
        <v>23</v>
      </c>
      <c r="M1798" t="s">
        <v>23</v>
      </c>
      <c r="N1798" t="s">
        <v>741</v>
      </c>
      <c r="O1798" t="s">
        <v>595</v>
      </c>
      <c r="P1798" t="s">
        <v>45</v>
      </c>
      <c r="Q1798">
        <v>2</v>
      </c>
      <c r="R1798" t="s">
        <v>110</v>
      </c>
      <c r="S1798" t="s">
        <v>79</v>
      </c>
      <c r="T1798" t="str">
        <f>VLOOKUP(S1798,'Mapa Oficinas'!$H$7:$I$16,2,FALSE)</f>
        <v>CB</v>
      </c>
      <c r="U1798" t="s">
        <v>29</v>
      </c>
      <c r="V1798" t="str">
        <f>VLOOKUP($R1798,'Mapa Oficinas'!$A$7:$C$46,2,FALSE)</f>
        <v>Zona Norte (GBA)</v>
      </c>
      <c r="W1798" t="str">
        <f>VLOOKUP($R1798,'Mapa Oficinas'!$A$7:$C$46,3,FALSE)</f>
        <v>Nordelta</v>
      </c>
    </row>
    <row r="1799" spans="1:23" x14ac:dyDescent="0.2">
      <c r="A1799" s="1">
        <v>45807</v>
      </c>
      <c r="B1799" s="20">
        <f t="shared" si="56"/>
        <v>2025</v>
      </c>
      <c r="C1799" s="20">
        <f t="shared" si="57"/>
        <v>5</v>
      </c>
      <c r="D1799" t="s">
        <v>752</v>
      </c>
      <c r="E1799" s="49">
        <v>1</v>
      </c>
      <c r="F1799" t="s">
        <v>753</v>
      </c>
      <c r="G1799" t="s">
        <v>21</v>
      </c>
      <c r="H1799" t="s">
        <v>37</v>
      </c>
      <c r="I1799" s="13">
        <v>135000</v>
      </c>
      <c r="J1799" s="13">
        <v>150000</v>
      </c>
      <c r="K1799" s="13">
        <f>IF(J1799&lt;'Mapa Oficinas'!$I$21,0,IF(J1799&gt;'Mapa Oficinas'!$I$20,0,1))</f>
        <v>1</v>
      </c>
      <c r="L1799" t="s">
        <v>23</v>
      </c>
      <c r="M1799" t="s">
        <v>23</v>
      </c>
      <c r="N1799" t="s">
        <v>754</v>
      </c>
      <c r="O1799" t="s">
        <v>755</v>
      </c>
      <c r="P1799" t="s">
        <v>45</v>
      </c>
      <c r="Q1799">
        <v>2</v>
      </c>
      <c r="R1799" t="s">
        <v>110</v>
      </c>
      <c r="S1799" t="s">
        <v>79</v>
      </c>
      <c r="T1799" t="str">
        <f>VLOOKUP(S1799,'Mapa Oficinas'!$H$7:$I$16,2,FALSE)</f>
        <v>CB</v>
      </c>
      <c r="U1799" t="s">
        <v>29</v>
      </c>
      <c r="V1799" t="str">
        <f>VLOOKUP($R1799,'Mapa Oficinas'!$A$7:$C$46,2,FALSE)</f>
        <v>Zona Norte (GBA)</v>
      </c>
      <c r="W1799" t="str">
        <f>VLOOKUP($R1799,'Mapa Oficinas'!$A$7:$C$46,3,FALSE)</f>
        <v>Nordelta</v>
      </c>
    </row>
    <row r="1800" spans="1:23" x14ac:dyDescent="0.2">
      <c r="A1800" s="1">
        <v>45881</v>
      </c>
      <c r="B1800" s="20">
        <f t="shared" si="56"/>
        <v>2025</v>
      </c>
      <c r="C1800" s="20">
        <f t="shared" si="57"/>
        <v>8</v>
      </c>
      <c r="D1800" t="s">
        <v>3548</v>
      </c>
      <c r="E1800" s="49">
        <v>1</v>
      </c>
      <c r="F1800" t="s">
        <v>3549</v>
      </c>
      <c r="G1800" t="s">
        <v>21</v>
      </c>
      <c r="H1800" t="s">
        <v>100</v>
      </c>
      <c r="I1800" s="13">
        <v>155000</v>
      </c>
      <c r="J1800" s="13">
        <v>150000</v>
      </c>
      <c r="K1800" s="13">
        <f>IF(J1800&lt;'Mapa Oficinas'!$I$21,0,IF(J1800&gt;'Mapa Oficinas'!$I$20,0,1))</f>
        <v>1</v>
      </c>
      <c r="L1800" t="s">
        <v>23</v>
      </c>
      <c r="M1800" t="s">
        <v>23</v>
      </c>
      <c r="N1800" t="s">
        <v>3550</v>
      </c>
      <c r="O1800" t="s">
        <v>209</v>
      </c>
      <c r="P1800" t="s">
        <v>45</v>
      </c>
      <c r="Q1800">
        <v>2</v>
      </c>
      <c r="R1800" t="s">
        <v>121</v>
      </c>
      <c r="S1800" t="s">
        <v>79</v>
      </c>
      <c r="T1800" t="str">
        <f>VLOOKUP(S1800,'Mapa Oficinas'!$H$7:$I$16,2,FALSE)</f>
        <v>CB</v>
      </c>
      <c r="U1800" t="s">
        <v>29</v>
      </c>
      <c r="V1800" t="str">
        <f>VLOOKUP($R1800,'Mapa Oficinas'!$A$7:$C$46,2,FALSE)</f>
        <v>Interior - Río Negro</v>
      </c>
      <c r="W1800" t="str">
        <f>VLOOKUP($R1800,'Mapa Oficinas'!$A$7:$C$46,3,FALSE)</f>
        <v>Bariloche</v>
      </c>
    </row>
    <row r="1801" spans="1:23" x14ac:dyDescent="0.2">
      <c r="A1801" s="1">
        <v>45959</v>
      </c>
      <c r="B1801" s="20">
        <f t="shared" si="56"/>
        <v>2025</v>
      </c>
      <c r="C1801" s="20">
        <f t="shared" si="57"/>
        <v>10</v>
      </c>
      <c r="D1801" t="s">
        <v>4986</v>
      </c>
      <c r="E1801" s="49">
        <v>1</v>
      </c>
      <c r="F1801" t="s">
        <v>4987</v>
      </c>
      <c r="G1801" t="s">
        <v>21</v>
      </c>
      <c r="H1801" t="s">
        <v>221</v>
      </c>
      <c r="I1801" s="13">
        <v>165000</v>
      </c>
      <c r="J1801" s="13">
        <v>150000</v>
      </c>
      <c r="K1801" s="13">
        <f>IF(J1801&lt;'Mapa Oficinas'!$I$21,0,IF(J1801&gt;'Mapa Oficinas'!$I$20,0,1))</f>
        <v>1</v>
      </c>
      <c r="L1801" t="s">
        <v>23</v>
      </c>
      <c r="M1801" t="s">
        <v>23</v>
      </c>
      <c r="N1801" t="s">
        <v>4988</v>
      </c>
      <c r="O1801" t="s">
        <v>166</v>
      </c>
      <c r="P1801" t="s">
        <v>34</v>
      </c>
      <c r="Q1801">
        <v>2</v>
      </c>
      <c r="R1801" t="s">
        <v>167</v>
      </c>
      <c r="S1801" t="s">
        <v>79</v>
      </c>
      <c r="T1801" t="str">
        <f>VLOOKUP(S1801,'Mapa Oficinas'!$H$7:$I$16,2,FALSE)</f>
        <v>CB</v>
      </c>
      <c r="U1801" t="s">
        <v>29</v>
      </c>
      <c r="V1801" t="str">
        <f>VLOOKUP($R1801,'Mapa Oficinas'!$A$7:$C$46,2,FALSE)</f>
        <v>Interior - Santa Fe</v>
      </c>
      <c r="W1801" t="str">
        <f>VLOOKUP($R1801,'Mapa Oficinas'!$A$7:$C$46,3,FALSE)</f>
        <v>Capital Santa Fe</v>
      </c>
    </row>
    <row r="1802" spans="1:23" x14ac:dyDescent="0.2">
      <c r="A1802" s="1">
        <v>45729</v>
      </c>
      <c r="B1802" s="20">
        <f t="shared" si="56"/>
        <v>2025</v>
      </c>
      <c r="C1802" s="20">
        <f t="shared" si="57"/>
        <v>3</v>
      </c>
      <c r="D1802">
        <v>10263</v>
      </c>
      <c r="E1802" s="49">
        <v>1</v>
      </c>
      <c r="F1802" t="s">
        <v>939</v>
      </c>
      <c r="G1802" t="s">
        <v>21</v>
      </c>
      <c r="H1802" t="s">
        <v>37</v>
      </c>
      <c r="I1802" s="13">
        <v>0</v>
      </c>
      <c r="J1802" s="13">
        <v>150000</v>
      </c>
      <c r="K1802" s="13">
        <f>IF(J1802&lt;'Mapa Oficinas'!$I$21,0,IF(J1802&gt;'Mapa Oficinas'!$I$20,0,1))</f>
        <v>1</v>
      </c>
      <c r="L1802" t="s">
        <v>23</v>
      </c>
      <c r="M1802" t="s">
        <v>23</v>
      </c>
      <c r="O1802" t="s">
        <v>190</v>
      </c>
      <c r="P1802" t="s">
        <v>45</v>
      </c>
      <c r="Q1802">
        <v>1</v>
      </c>
      <c r="R1802" t="s">
        <v>67</v>
      </c>
      <c r="S1802" t="s">
        <v>47</v>
      </c>
      <c r="T1802" t="str">
        <f>VLOOKUP(S1802,'Mapa Oficinas'!$H$7:$I$16,2,FALSE)</f>
        <v>Otra Red Búsqueda</v>
      </c>
      <c r="U1802" t="s">
        <v>29</v>
      </c>
      <c r="V1802" t="str">
        <f>VLOOKUP($R1802,'Mapa Oficinas'!$A$7:$C$46,2,FALSE)</f>
        <v>CABA</v>
      </c>
      <c r="W1802" t="str">
        <f>VLOOKUP($R1802,'Mapa Oficinas'!$A$7:$C$46,3,FALSE)</f>
        <v>Barrio Parque</v>
      </c>
    </row>
    <row r="1803" spans="1:23" x14ac:dyDescent="0.2">
      <c r="A1803" s="1">
        <v>45908</v>
      </c>
      <c r="B1803" s="20">
        <f t="shared" si="56"/>
        <v>2025</v>
      </c>
      <c r="C1803" s="20">
        <f t="shared" si="57"/>
        <v>9</v>
      </c>
      <c r="D1803">
        <v>10418</v>
      </c>
      <c r="E1803" s="49">
        <v>1</v>
      </c>
      <c r="F1803" t="s">
        <v>4030</v>
      </c>
      <c r="G1803" t="s">
        <v>21</v>
      </c>
      <c r="H1803" t="s">
        <v>37</v>
      </c>
      <c r="I1803" s="13">
        <v>0</v>
      </c>
      <c r="J1803" s="13">
        <v>150000</v>
      </c>
      <c r="K1803" s="13">
        <f>IF(J1803&lt;'Mapa Oficinas'!$I$21,0,IF(J1803&gt;'Mapa Oficinas'!$I$20,0,1))</f>
        <v>1</v>
      </c>
      <c r="L1803" t="s">
        <v>23</v>
      </c>
      <c r="M1803" t="s">
        <v>23</v>
      </c>
      <c r="O1803" t="s">
        <v>190</v>
      </c>
      <c r="P1803" t="s">
        <v>45</v>
      </c>
      <c r="Q1803">
        <v>1</v>
      </c>
      <c r="R1803" t="s">
        <v>67</v>
      </c>
      <c r="S1803" t="s">
        <v>47</v>
      </c>
      <c r="T1803" t="str">
        <f>VLOOKUP(S1803,'Mapa Oficinas'!$H$7:$I$16,2,FALSE)</f>
        <v>Otra Red Búsqueda</v>
      </c>
      <c r="U1803" t="s">
        <v>29</v>
      </c>
      <c r="V1803" t="str">
        <f>VLOOKUP($R1803,'Mapa Oficinas'!$A$7:$C$46,2,FALSE)</f>
        <v>CABA</v>
      </c>
      <c r="W1803" t="str">
        <f>VLOOKUP($R1803,'Mapa Oficinas'!$A$7:$C$46,3,FALSE)</f>
        <v>Barrio Parque</v>
      </c>
    </row>
    <row r="1804" spans="1:23" x14ac:dyDescent="0.2">
      <c r="A1804" s="1">
        <v>45737</v>
      </c>
      <c r="B1804" s="20">
        <f t="shared" si="56"/>
        <v>2025</v>
      </c>
      <c r="C1804" s="20">
        <f t="shared" si="57"/>
        <v>3</v>
      </c>
      <c r="D1804" t="s">
        <v>1048</v>
      </c>
      <c r="E1804" s="49">
        <v>1</v>
      </c>
      <c r="F1804" t="s">
        <v>1049</v>
      </c>
      <c r="G1804" t="s">
        <v>21</v>
      </c>
      <c r="H1804" t="s">
        <v>37</v>
      </c>
      <c r="I1804" s="13">
        <v>159000</v>
      </c>
      <c r="J1804" s="13">
        <v>150000</v>
      </c>
      <c r="K1804" s="13">
        <f>IF(J1804&lt;'Mapa Oficinas'!$I$21,0,IF(J1804&gt;'Mapa Oficinas'!$I$20,0,1))</f>
        <v>1</v>
      </c>
      <c r="L1804" t="s">
        <v>23</v>
      </c>
      <c r="M1804" t="s">
        <v>23</v>
      </c>
      <c r="N1804" t="s">
        <v>1050</v>
      </c>
      <c r="O1804" t="s">
        <v>92</v>
      </c>
      <c r="P1804" t="s">
        <v>45</v>
      </c>
      <c r="Q1804">
        <v>2</v>
      </c>
      <c r="R1804" t="s">
        <v>429</v>
      </c>
      <c r="S1804" t="s">
        <v>200</v>
      </c>
      <c r="T1804" t="str">
        <f>VLOOKUP(S1804,'Mapa Oficinas'!$H$7:$I$16,2,FALSE)</f>
        <v>Otra Red Captación</v>
      </c>
      <c r="U1804" t="s">
        <v>29</v>
      </c>
      <c r="V1804" t="str">
        <f>VLOOKUP($R1804,'Mapa Oficinas'!$A$7:$C$46,2,FALSE)</f>
        <v>Zona Oeste (GBA)</v>
      </c>
      <c r="W1804" t="str">
        <f>VLOOKUP($R1804,'Mapa Oficinas'!$A$7:$C$46,3,FALSE)</f>
        <v>Parque Leloir</v>
      </c>
    </row>
    <row r="1805" spans="1:23" x14ac:dyDescent="0.2">
      <c r="A1805" s="1">
        <v>45819</v>
      </c>
      <c r="B1805" s="20">
        <f t="shared" si="56"/>
        <v>2025</v>
      </c>
      <c r="C1805" s="20">
        <f t="shared" si="57"/>
        <v>6</v>
      </c>
      <c r="D1805" t="s">
        <v>2431</v>
      </c>
      <c r="E1805" s="49">
        <v>1</v>
      </c>
      <c r="F1805" t="s">
        <v>2432</v>
      </c>
      <c r="G1805" t="s">
        <v>21</v>
      </c>
      <c r="H1805" t="s">
        <v>37</v>
      </c>
      <c r="I1805" s="13">
        <v>164000</v>
      </c>
      <c r="J1805" s="13">
        <v>150000</v>
      </c>
      <c r="K1805" s="13">
        <f>IF(J1805&lt;'Mapa Oficinas'!$I$21,0,IF(J1805&gt;'Mapa Oficinas'!$I$20,0,1))</f>
        <v>1</v>
      </c>
      <c r="L1805" t="s">
        <v>23</v>
      </c>
      <c r="M1805" t="s">
        <v>23</v>
      </c>
      <c r="N1805" t="s">
        <v>2433</v>
      </c>
      <c r="O1805" t="s">
        <v>2084</v>
      </c>
      <c r="P1805" t="s">
        <v>34</v>
      </c>
      <c r="Q1805">
        <v>2</v>
      </c>
      <c r="R1805" t="s">
        <v>67</v>
      </c>
      <c r="S1805" t="s">
        <v>200</v>
      </c>
      <c r="T1805" t="str">
        <f>VLOOKUP(S1805,'Mapa Oficinas'!$H$7:$I$16,2,FALSE)</f>
        <v>Otra Red Captación</v>
      </c>
      <c r="U1805" t="s">
        <v>29</v>
      </c>
      <c r="V1805" t="str">
        <f>VLOOKUP($R1805,'Mapa Oficinas'!$A$7:$C$46,2,FALSE)</f>
        <v>CABA</v>
      </c>
      <c r="W1805" t="str">
        <f>VLOOKUP($R1805,'Mapa Oficinas'!$A$7:$C$46,3,FALSE)</f>
        <v>Barrio Parque</v>
      </c>
    </row>
    <row r="1806" spans="1:23" x14ac:dyDescent="0.2">
      <c r="A1806" s="1">
        <v>45903</v>
      </c>
      <c r="B1806" s="20">
        <f t="shared" si="56"/>
        <v>2025</v>
      </c>
      <c r="C1806" s="20">
        <f t="shared" si="57"/>
        <v>9</v>
      </c>
      <c r="D1806" t="s">
        <v>3967</v>
      </c>
      <c r="E1806" s="49">
        <v>1</v>
      </c>
      <c r="F1806" t="s">
        <v>3968</v>
      </c>
      <c r="G1806" t="s">
        <v>21</v>
      </c>
      <c r="H1806" t="s">
        <v>37</v>
      </c>
      <c r="I1806" s="13">
        <v>210000</v>
      </c>
      <c r="J1806" s="13">
        <v>150000</v>
      </c>
      <c r="K1806" s="13">
        <f>IF(J1806&lt;'Mapa Oficinas'!$I$21,0,IF(J1806&gt;'Mapa Oficinas'!$I$20,0,1))</f>
        <v>1</v>
      </c>
      <c r="L1806" t="s">
        <v>23</v>
      </c>
      <c r="M1806" t="s">
        <v>23</v>
      </c>
      <c r="N1806" t="s">
        <v>3969</v>
      </c>
      <c r="O1806" t="s">
        <v>50</v>
      </c>
      <c r="P1806" t="s">
        <v>45</v>
      </c>
      <c r="Q1806">
        <v>2</v>
      </c>
      <c r="R1806" t="s">
        <v>135</v>
      </c>
      <c r="S1806" t="s">
        <v>200</v>
      </c>
      <c r="T1806" t="str">
        <f>VLOOKUP(S1806,'Mapa Oficinas'!$H$7:$I$16,2,FALSE)</f>
        <v>Otra Red Captación</v>
      </c>
      <c r="U1806" t="s">
        <v>29</v>
      </c>
      <c r="V1806" t="str">
        <f>VLOOKUP($R1806,'Mapa Oficinas'!$A$7:$C$46,2,FALSE)</f>
        <v>CABA</v>
      </c>
      <c r="W1806" t="str">
        <f>VLOOKUP($R1806,'Mapa Oficinas'!$A$7:$C$46,3,FALSE)</f>
        <v>Recoleta</v>
      </c>
    </row>
    <row r="1807" spans="1:23" x14ac:dyDescent="0.2">
      <c r="A1807" s="1">
        <v>45903</v>
      </c>
      <c r="B1807" s="20">
        <f t="shared" si="56"/>
        <v>2025</v>
      </c>
      <c r="C1807" s="20">
        <f t="shared" si="57"/>
        <v>9</v>
      </c>
      <c r="D1807" t="s">
        <v>3970</v>
      </c>
      <c r="E1807" s="49">
        <v>1</v>
      </c>
      <c r="F1807" t="s">
        <v>3971</v>
      </c>
      <c r="G1807" t="s">
        <v>21</v>
      </c>
      <c r="H1807" t="s">
        <v>37</v>
      </c>
      <c r="I1807" s="13">
        <v>169000</v>
      </c>
      <c r="J1807" s="13">
        <v>150000</v>
      </c>
      <c r="K1807" s="13">
        <f>IF(J1807&lt;'Mapa Oficinas'!$I$21,0,IF(J1807&gt;'Mapa Oficinas'!$I$20,0,1))</f>
        <v>1</v>
      </c>
      <c r="L1807" t="s">
        <v>23</v>
      </c>
      <c r="M1807" t="s">
        <v>23</v>
      </c>
      <c r="N1807" t="s">
        <v>3972</v>
      </c>
      <c r="O1807" t="s">
        <v>39</v>
      </c>
      <c r="P1807" t="s">
        <v>34</v>
      </c>
      <c r="Q1807">
        <v>2</v>
      </c>
      <c r="R1807" t="s">
        <v>40</v>
      </c>
      <c r="S1807" t="s">
        <v>200</v>
      </c>
      <c r="T1807" t="str">
        <f>VLOOKUP(S1807,'Mapa Oficinas'!$H$7:$I$16,2,FALSE)</f>
        <v>Otra Red Captación</v>
      </c>
      <c r="U1807" t="s">
        <v>29</v>
      </c>
      <c r="V1807" t="str">
        <f>VLOOKUP($R1807,'Mapa Oficinas'!$A$7:$C$46,2,FALSE)</f>
        <v>CABA</v>
      </c>
      <c r="W1807" t="str">
        <f>VLOOKUP($R1807,'Mapa Oficinas'!$A$7:$C$46,3,FALSE)</f>
        <v>Núñez</v>
      </c>
    </row>
    <row r="1808" spans="1:23" x14ac:dyDescent="0.2">
      <c r="A1808" s="1">
        <v>45987</v>
      </c>
      <c r="B1808" s="20">
        <f t="shared" si="56"/>
        <v>2025</v>
      </c>
      <c r="C1808" s="20">
        <f t="shared" si="57"/>
        <v>11</v>
      </c>
      <c r="D1808" t="s">
        <v>5387</v>
      </c>
      <c r="E1808" s="49">
        <v>1</v>
      </c>
      <c r="F1808" t="s">
        <v>5388</v>
      </c>
      <c r="G1808" t="s">
        <v>21</v>
      </c>
      <c r="H1808" t="s">
        <v>37</v>
      </c>
      <c r="I1808" s="13">
        <v>159900</v>
      </c>
      <c r="J1808" s="13">
        <v>150000</v>
      </c>
      <c r="K1808" s="13">
        <f>IF(J1808&lt;'Mapa Oficinas'!$I$21,0,IF(J1808&gt;'Mapa Oficinas'!$I$20,0,1))</f>
        <v>1</v>
      </c>
      <c r="L1808" t="s">
        <v>23</v>
      </c>
      <c r="M1808" t="s">
        <v>23</v>
      </c>
      <c r="N1808" t="s">
        <v>5389</v>
      </c>
      <c r="O1808" t="s">
        <v>66</v>
      </c>
      <c r="P1808" t="s">
        <v>45</v>
      </c>
      <c r="Q1808">
        <v>2</v>
      </c>
      <c r="R1808" t="s">
        <v>67</v>
      </c>
      <c r="S1808" t="s">
        <v>200</v>
      </c>
      <c r="T1808" t="str">
        <f>VLOOKUP(S1808,'Mapa Oficinas'!$H$7:$I$16,2,FALSE)</f>
        <v>Otra Red Captación</v>
      </c>
      <c r="U1808" t="s">
        <v>29</v>
      </c>
      <c r="V1808" t="str">
        <f>VLOOKUP($R1808,'Mapa Oficinas'!$A$7:$C$46,2,FALSE)</f>
        <v>CABA</v>
      </c>
      <c r="W1808" t="str">
        <f>VLOOKUP($R1808,'Mapa Oficinas'!$A$7:$C$46,3,FALSE)</f>
        <v>Barrio Parque</v>
      </c>
    </row>
    <row r="1809" spans="1:23" x14ac:dyDescent="0.2">
      <c r="A1809" s="1">
        <v>46092</v>
      </c>
      <c r="B1809" s="20">
        <f t="shared" si="56"/>
        <v>2026</v>
      </c>
      <c r="C1809" s="20">
        <f t="shared" si="57"/>
        <v>3</v>
      </c>
      <c r="D1809" t="s">
        <v>7108</v>
      </c>
      <c r="E1809" s="49">
        <v>1</v>
      </c>
      <c r="F1809" t="s">
        <v>7109</v>
      </c>
      <c r="G1809" t="s">
        <v>21</v>
      </c>
      <c r="H1809" t="s">
        <v>37</v>
      </c>
      <c r="I1809" s="13">
        <v>170000</v>
      </c>
      <c r="J1809" s="13">
        <v>150000</v>
      </c>
      <c r="K1809" s="13">
        <f>IF(J1809&lt;'Mapa Oficinas'!$I$21,0,IF(J1809&gt;'Mapa Oficinas'!$I$20,0,1))</f>
        <v>1</v>
      </c>
      <c r="L1809" t="s">
        <v>23</v>
      </c>
      <c r="M1809" t="s">
        <v>23</v>
      </c>
      <c r="N1809" t="s">
        <v>7110</v>
      </c>
      <c r="O1809" t="s">
        <v>675</v>
      </c>
      <c r="P1809" t="s">
        <v>45</v>
      </c>
      <c r="Q1809">
        <v>2</v>
      </c>
      <c r="R1809" t="s">
        <v>142</v>
      </c>
      <c r="S1809" t="s">
        <v>200</v>
      </c>
      <c r="T1809" t="str">
        <f>VLOOKUP(S1809,'Mapa Oficinas'!$H$7:$I$16,2,FALSE)</f>
        <v>Otra Red Captación</v>
      </c>
      <c r="U1809" t="s">
        <v>29</v>
      </c>
      <c r="V1809" t="str">
        <f>VLOOKUP($R1809,'Mapa Oficinas'!$A$7:$C$46,2,FALSE)</f>
        <v>CABA</v>
      </c>
      <c r="W1809" t="str">
        <f>VLOOKUP($R1809,'Mapa Oficinas'!$A$7:$C$46,3,FALSE)</f>
        <v>Palermo</v>
      </c>
    </row>
    <row r="1810" spans="1:23" x14ac:dyDescent="0.2">
      <c r="A1810" s="1">
        <v>46008</v>
      </c>
      <c r="B1810" s="20">
        <f t="shared" si="56"/>
        <v>2025</v>
      </c>
      <c r="C1810" s="20">
        <f t="shared" si="57"/>
        <v>12</v>
      </c>
      <c r="E1810" s="49">
        <v>3</v>
      </c>
      <c r="F1810" t="s">
        <v>5847</v>
      </c>
      <c r="G1810" t="s">
        <v>21</v>
      </c>
      <c r="H1810" t="s">
        <v>37</v>
      </c>
      <c r="I1810" s="13">
        <v>0</v>
      </c>
      <c r="J1810" s="13">
        <v>150000</v>
      </c>
      <c r="K1810" s="13">
        <f>IF(J1810&lt;'Mapa Oficinas'!$I$21,0,IF(J1810&gt;'Mapa Oficinas'!$I$20,0,1))</f>
        <v>1</v>
      </c>
      <c r="L1810" t="s">
        <v>23</v>
      </c>
      <c r="M1810" t="s">
        <v>23</v>
      </c>
      <c r="N1810" t="s">
        <v>5848</v>
      </c>
      <c r="O1810" t="s">
        <v>408</v>
      </c>
      <c r="P1810" t="s">
        <v>26</v>
      </c>
      <c r="Q1810">
        <v>2</v>
      </c>
      <c r="R1810" t="s">
        <v>40</v>
      </c>
      <c r="S1810" t="s">
        <v>232</v>
      </c>
      <c r="T1810" t="str">
        <f>VLOOKUP(S1810,'Mapa Oficinas'!$H$7:$I$16,2,FALSE)</f>
        <v>CB</v>
      </c>
      <c r="U1810" t="s">
        <v>29</v>
      </c>
      <c r="V1810" t="str">
        <f>VLOOKUP($R1810,'Mapa Oficinas'!$A$7:$C$46,2,FALSE)</f>
        <v>CABA</v>
      </c>
      <c r="W1810" t="str">
        <f>VLOOKUP($R1810,'Mapa Oficinas'!$A$7:$C$46,3,FALSE)</f>
        <v>Núñez</v>
      </c>
    </row>
    <row r="1811" spans="1:23" x14ac:dyDescent="0.2">
      <c r="A1811" s="1">
        <v>46010</v>
      </c>
      <c r="B1811" s="20">
        <f t="shared" si="56"/>
        <v>2025</v>
      </c>
      <c r="C1811" s="20">
        <f t="shared" si="57"/>
        <v>12</v>
      </c>
      <c r="D1811" t="s">
        <v>5909</v>
      </c>
      <c r="E1811" s="49">
        <v>3</v>
      </c>
      <c r="F1811" t="s">
        <v>5910</v>
      </c>
      <c r="G1811" t="s">
        <v>21</v>
      </c>
      <c r="H1811" t="s">
        <v>37</v>
      </c>
      <c r="I1811" s="13">
        <v>158000</v>
      </c>
      <c r="J1811" s="13">
        <v>150000</v>
      </c>
      <c r="K1811" s="13">
        <f>IF(J1811&lt;'Mapa Oficinas'!$I$21,0,IF(J1811&gt;'Mapa Oficinas'!$I$20,0,1))</f>
        <v>1</v>
      </c>
      <c r="L1811" t="s">
        <v>23</v>
      </c>
      <c r="M1811" t="s">
        <v>23</v>
      </c>
      <c r="N1811" t="s">
        <v>5911</v>
      </c>
      <c r="O1811" t="s">
        <v>190</v>
      </c>
      <c r="P1811" t="s">
        <v>45</v>
      </c>
      <c r="Q1811">
        <v>2</v>
      </c>
      <c r="R1811" t="s">
        <v>67</v>
      </c>
      <c r="S1811" t="s">
        <v>241</v>
      </c>
      <c r="T1811" t="str">
        <f>VLOOKUP(S1811,'Mapa Oficinas'!$H$7:$I$16,2,FALSE)</f>
        <v>CB</v>
      </c>
      <c r="U1811" t="s">
        <v>29</v>
      </c>
      <c r="V1811" t="str">
        <f>VLOOKUP($R1811,'Mapa Oficinas'!$A$7:$C$46,2,FALSE)</f>
        <v>CABA</v>
      </c>
      <c r="W1811" t="str">
        <f>VLOOKUP($R1811,'Mapa Oficinas'!$A$7:$C$46,3,FALSE)</f>
        <v>Barrio Parque</v>
      </c>
    </row>
    <row r="1812" spans="1:23" x14ac:dyDescent="0.2">
      <c r="A1812" s="1">
        <v>46098</v>
      </c>
      <c r="B1812" s="20">
        <f t="shared" si="56"/>
        <v>2026</v>
      </c>
      <c r="C1812" s="20">
        <f t="shared" si="57"/>
        <v>3</v>
      </c>
      <c r="D1812" t="s">
        <v>7244</v>
      </c>
      <c r="E1812" s="49">
        <v>3</v>
      </c>
      <c r="F1812" t="s">
        <v>7245</v>
      </c>
      <c r="G1812" t="s">
        <v>21</v>
      </c>
      <c r="H1812" t="s">
        <v>76</v>
      </c>
      <c r="I1812" s="13">
        <v>650</v>
      </c>
      <c r="J1812" s="13">
        <v>150000</v>
      </c>
      <c r="K1812" s="13">
        <f>IF(J1812&lt;'Mapa Oficinas'!$I$21,0,IF(J1812&gt;'Mapa Oficinas'!$I$20,0,1))</f>
        <v>1</v>
      </c>
      <c r="L1812" t="s">
        <v>23</v>
      </c>
      <c r="M1812" t="s">
        <v>23</v>
      </c>
      <c r="N1812" t="s">
        <v>7245</v>
      </c>
      <c r="O1812" t="s">
        <v>459</v>
      </c>
      <c r="P1812" t="s">
        <v>45</v>
      </c>
      <c r="Q1812">
        <v>2</v>
      </c>
      <c r="R1812" t="s">
        <v>257</v>
      </c>
      <c r="S1812" t="s">
        <v>241</v>
      </c>
      <c r="T1812" t="str">
        <f>VLOOKUP(S1812,'Mapa Oficinas'!$H$7:$I$16,2,FALSE)</f>
        <v>CB</v>
      </c>
      <c r="U1812" t="s">
        <v>29</v>
      </c>
      <c r="V1812" t="str">
        <f>VLOOKUP($R1812,'Mapa Oficinas'!$A$7:$C$46,2,FALSE)</f>
        <v>Zona Norte (GBA)</v>
      </c>
      <c r="W1812" t="str">
        <f>VLOOKUP($R1812,'Mapa Oficinas'!$A$7:$C$46,3,FALSE)</f>
        <v>Pilar</v>
      </c>
    </row>
    <row r="1813" spans="1:23" x14ac:dyDescent="0.2">
      <c r="A1813" s="1">
        <v>45758</v>
      </c>
      <c r="B1813" s="20">
        <f t="shared" si="56"/>
        <v>2025</v>
      </c>
      <c r="C1813" s="20">
        <f t="shared" si="57"/>
        <v>4</v>
      </c>
      <c r="D1813" t="s">
        <v>1393</v>
      </c>
      <c r="E1813" s="49">
        <v>1</v>
      </c>
      <c r="F1813" t="s">
        <v>1394</v>
      </c>
      <c r="G1813" t="s">
        <v>21</v>
      </c>
      <c r="H1813" t="s">
        <v>37</v>
      </c>
      <c r="I1813" s="13">
        <v>160000</v>
      </c>
      <c r="J1813" s="13">
        <v>150000</v>
      </c>
      <c r="K1813" s="13">
        <f>IF(J1813&lt;'Mapa Oficinas'!$I$21,0,IF(J1813&gt;'Mapa Oficinas'!$I$20,0,1))</f>
        <v>1</v>
      </c>
      <c r="L1813" t="s">
        <v>23</v>
      </c>
      <c r="M1813" t="s">
        <v>23</v>
      </c>
      <c r="N1813" t="s">
        <v>1395</v>
      </c>
      <c r="O1813" t="s">
        <v>1196</v>
      </c>
      <c r="P1813" t="s">
        <v>61</v>
      </c>
      <c r="Q1813">
        <v>2</v>
      </c>
      <c r="R1813" t="s">
        <v>56</v>
      </c>
      <c r="S1813" t="s">
        <v>28</v>
      </c>
      <c r="T1813" t="str">
        <f>VLOOKUP(S1813,'Mapa Oficinas'!$H$7:$I$16,2,FALSE)</f>
        <v>CB</v>
      </c>
      <c r="U1813" t="s">
        <v>29</v>
      </c>
      <c r="V1813" t="str">
        <f>VLOOKUP($R1813,'Mapa Oficinas'!$A$7:$C$46,2,FALSE)</f>
        <v>Zona Norte (GBA)</v>
      </c>
      <c r="W1813" t="str">
        <f>VLOOKUP($R1813,'Mapa Oficinas'!$A$7:$C$46,3,FALSE)</f>
        <v>Vicente López</v>
      </c>
    </row>
    <row r="1814" spans="1:23" x14ac:dyDescent="0.2">
      <c r="A1814" s="1">
        <v>45793</v>
      </c>
      <c r="B1814" s="20">
        <f t="shared" si="56"/>
        <v>2025</v>
      </c>
      <c r="C1814" s="20">
        <f t="shared" si="57"/>
        <v>5</v>
      </c>
      <c r="D1814" t="s">
        <v>1985</v>
      </c>
      <c r="E1814" s="49">
        <v>1</v>
      </c>
      <c r="F1814" t="s">
        <v>1986</v>
      </c>
      <c r="G1814" t="s">
        <v>21</v>
      </c>
      <c r="H1814" t="s">
        <v>81</v>
      </c>
      <c r="I1814" s="13">
        <v>150000</v>
      </c>
      <c r="J1814" s="13">
        <v>150000</v>
      </c>
      <c r="K1814" s="13">
        <f>IF(J1814&lt;'Mapa Oficinas'!$I$21,0,IF(J1814&gt;'Mapa Oficinas'!$I$20,0,1))</f>
        <v>1</v>
      </c>
      <c r="L1814" t="s">
        <v>23</v>
      </c>
      <c r="M1814" t="s">
        <v>23</v>
      </c>
      <c r="N1814" t="s">
        <v>1987</v>
      </c>
      <c r="O1814" t="s">
        <v>1316</v>
      </c>
      <c r="P1814" t="s">
        <v>34</v>
      </c>
      <c r="Q1814">
        <v>2</v>
      </c>
      <c r="R1814" t="s">
        <v>40</v>
      </c>
      <c r="S1814" t="s">
        <v>28</v>
      </c>
      <c r="T1814" t="str">
        <f>VLOOKUP(S1814,'Mapa Oficinas'!$H$7:$I$16,2,FALSE)</f>
        <v>CB</v>
      </c>
      <c r="U1814" t="s">
        <v>29</v>
      </c>
      <c r="V1814" t="str">
        <f>VLOOKUP($R1814,'Mapa Oficinas'!$A$7:$C$46,2,FALSE)</f>
        <v>CABA</v>
      </c>
      <c r="W1814" t="str">
        <f>VLOOKUP($R1814,'Mapa Oficinas'!$A$7:$C$46,3,FALSE)</f>
        <v>Núñez</v>
      </c>
    </row>
    <row r="1815" spans="1:23" x14ac:dyDescent="0.2">
      <c r="A1815" s="1">
        <v>45796</v>
      </c>
      <c r="B1815" s="20">
        <f t="shared" si="56"/>
        <v>2025</v>
      </c>
      <c r="C1815" s="20">
        <f t="shared" si="57"/>
        <v>5</v>
      </c>
      <c r="D1815" t="s">
        <v>2021</v>
      </c>
      <c r="E1815" s="49">
        <v>1</v>
      </c>
      <c r="F1815" t="s">
        <v>2022</v>
      </c>
      <c r="G1815" t="s">
        <v>21</v>
      </c>
      <c r="H1815" t="s">
        <v>37</v>
      </c>
      <c r="I1815" s="13">
        <v>170000</v>
      </c>
      <c r="J1815" s="13">
        <v>150000</v>
      </c>
      <c r="K1815" s="13">
        <f>IF(J1815&lt;'Mapa Oficinas'!$I$21,0,IF(J1815&gt;'Mapa Oficinas'!$I$20,0,1))</f>
        <v>1</v>
      </c>
      <c r="L1815" t="s">
        <v>23</v>
      </c>
      <c r="M1815" t="s">
        <v>23</v>
      </c>
      <c r="N1815" t="s">
        <v>2023</v>
      </c>
      <c r="O1815" t="s">
        <v>338</v>
      </c>
      <c r="P1815" t="s">
        <v>55</v>
      </c>
      <c r="Q1815">
        <v>2</v>
      </c>
      <c r="R1815" t="s">
        <v>429</v>
      </c>
      <c r="S1815" t="s">
        <v>28</v>
      </c>
      <c r="T1815" t="str">
        <f>VLOOKUP(S1815,'Mapa Oficinas'!$H$7:$I$16,2,FALSE)</f>
        <v>CB</v>
      </c>
      <c r="U1815" t="s">
        <v>29</v>
      </c>
      <c r="V1815" t="str">
        <f>VLOOKUP($R1815,'Mapa Oficinas'!$A$7:$C$46,2,FALSE)</f>
        <v>Zona Oeste (GBA)</v>
      </c>
      <c r="W1815" t="str">
        <f>VLOOKUP($R1815,'Mapa Oficinas'!$A$7:$C$46,3,FALSE)</f>
        <v>Parque Leloir</v>
      </c>
    </row>
    <row r="1816" spans="1:23" x14ac:dyDescent="0.2">
      <c r="A1816" s="1">
        <v>45804</v>
      </c>
      <c r="B1816" s="20">
        <f t="shared" si="56"/>
        <v>2025</v>
      </c>
      <c r="C1816" s="20">
        <f t="shared" si="57"/>
        <v>5</v>
      </c>
      <c r="D1816" t="s">
        <v>2151</v>
      </c>
      <c r="E1816" s="49">
        <v>1</v>
      </c>
      <c r="F1816" t="s">
        <v>2152</v>
      </c>
      <c r="G1816" t="s">
        <v>21</v>
      </c>
      <c r="H1816" t="s">
        <v>37</v>
      </c>
      <c r="I1816" s="13">
        <v>150000</v>
      </c>
      <c r="J1816" s="13">
        <v>150000</v>
      </c>
      <c r="K1816" s="13">
        <f>IF(J1816&lt;'Mapa Oficinas'!$I$21,0,IF(J1816&gt;'Mapa Oficinas'!$I$20,0,1))</f>
        <v>1</v>
      </c>
      <c r="L1816" t="s">
        <v>23</v>
      </c>
      <c r="M1816" t="s">
        <v>23</v>
      </c>
      <c r="N1816" t="s">
        <v>2153</v>
      </c>
      <c r="O1816" t="s">
        <v>329</v>
      </c>
      <c r="P1816" t="s">
        <v>34</v>
      </c>
      <c r="Q1816">
        <v>2</v>
      </c>
      <c r="R1816" t="s">
        <v>183</v>
      </c>
      <c r="S1816" t="s">
        <v>28</v>
      </c>
      <c r="T1816" t="str">
        <f>VLOOKUP(S1816,'Mapa Oficinas'!$H$7:$I$16,2,FALSE)</f>
        <v>CB</v>
      </c>
      <c r="U1816" t="s">
        <v>29</v>
      </c>
      <c r="V1816" t="str">
        <f>VLOOKUP($R1816,'Mapa Oficinas'!$A$7:$C$46,2,FALSE)</f>
        <v>Interior - Neuquén</v>
      </c>
      <c r="W1816" t="str">
        <f>VLOOKUP($R1816,'Mapa Oficinas'!$A$7:$C$46,3,FALSE)</f>
        <v>Capital Neuquén</v>
      </c>
    </row>
    <row r="1817" spans="1:23" x14ac:dyDescent="0.2">
      <c r="A1817" s="1">
        <v>45806</v>
      </c>
      <c r="B1817" s="20">
        <f t="shared" si="56"/>
        <v>2025</v>
      </c>
      <c r="C1817" s="20">
        <f t="shared" si="57"/>
        <v>5</v>
      </c>
      <c r="D1817" t="s">
        <v>2210</v>
      </c>
      <c r="E1817" s="49">
        <v>1</v>
      </c>
      <c r="F1817" t="s">
        <v>2211</v>
      </c>
      <c r="G1817" t="s">
        <v>21</v>
      </c>
      <c r="H1817" t="s">
        <v>37</v>
      </c>
      <c r="I1817" s="13">
        <v>153500</v>
      </c>
      <c r="J1817" s="13">
        <v>150000</v>
      </c>
      <c r="K1817" s="13">
        <f>IF(J1817&lt;'Mapa Oficinas'!$I$21,0,IF(J1817&gt;'Mapa Oficinas'!$I$20,0,1))</f>
        <v>1</v>
      </c>
      <c r="L1817" t="s">
        <v>23</v>
      </c>
      <c r="M1817" t="s">
        <v>23</v>
      </c>
      <c r="N1817" t="s">
        <v>2212</v>
      </c>
      <c r="O1817" t="s">
        <v>534</v>
      </c>
      <c r="P1817" t="s">
        <v>45</v>
      </c>
      <c r="Q1817">
        <v>2</v>
      </c>
      <c r="R1817" t="s">
        <v>170</v>
      </c>
      <c r="S1817" t="s">
        <v>28</v>
      </c>
      <c r="T1817" t="str">
        <f>VLOOKUP(S1817,'Mapa Oficinas'!$H$7:$I$16,2,FALSE)</f>
        <v>CB</v>
      </c>
      <c r="U1817" t="s">
        <v>29</v>
      </c>
      <c r="V1817" t="str">
        <f>VLOOKUP($R1817,'Mapa Oficinas'!$A$7:$C$46,2,FALSE)</f>
        <v>CABA</v>
      </c>
      <c r="W1817" t="str">
        <f>VLOOKUP($R1817,'Mapa Oficinas'!$A$7:$C$46,3,FALSE)</f>
        <v>Belgrano</v>
      </c>
    </row>
    <row r="1818" spans="1:23" x14ac:dyDescent="0.2">
      <c r="A1818" s="1">
        <v>45821</v>
      </c>
      <c r="B1818" s="20">
        <f t="shared" si="56"/>
        <v>2025</v>
      </c>
      <c r="C1818" s="20">
        <f t="shared" si="57"/>
        <v>6</v>
      </c>
      <c r="D1818" t="s">
        <v>2496</v>
      </c>
      <c r="E1818" s="49">
        <v>1</v>
      </c>
      <c r="F1818" t="s">
        <v>2496</v>
      </c>
      <c r="G1818" t="s">
        <v>21</v>
      </c>
      <c r="H1818" t="s">
        <v>37</v>
      </c>
      <c r="I1818" s="13">
        <v>150000</v>
      </c>
      <c r="J1818" s="13">
        <v>150000</v>
      </c>
      <c r="K1818" s="13">
        <f>IF(J1818&lt;'Mapa Oficinas'!$I$21,0,IF(J1818&gt;'Mapa Oficinas'!$I$20,0,1))</f>
        <v>1</v>
      </c>
      <c r="L1818" t="s">
        <v>23</v>
      </c>
      <c r="M1818" t="s">
        <v>23</v>
      </c>
      <c r="N1818" t="s">
        <v>2496</v>
      </c>
      <c r="O1818" t="s">
        <v>190</v>
      </c>
      <c r="P1818" t="s">
        <v>45</v>
      </c>
      <c r="Q1818">
        <v>2</v>
      </c>
      <c r="R1818" t="s">
        <v>56</v>
      </c>
      <c r="S1818" t="s">
        <v>28</v>
      </c>
      <c r="T1818" t="str">
        <f>VLOOKUP(S1818,'Mapa Oficinas'!$H$7:$I$16,2,FALSE)</f>
        <v>CB</v>
      </c>
      <c r="U1818" t="s">
        <v>29</v>
      </c>
      <c r="V1818" t="str">
        <f>VLOOKUP($R1818,'Mapa Oficinas'!$A$7:$C$46,2,FALSE)</f>
        <v>Zona Norte (GBA)</v>
      </c>
      <c r="W1818" t="str">
        <f>VLOOKUP($R1818,'Mapa Oficinas'!$A$7:$C$46,3,FALSE)</f>
        <v>Vicente López</v>
      </c>
    </row>
    <row r="1819" spans="1:23" x14ac:dyDescent="0.2">
      <c r="A1819" s="1">
        <v>45862</v>
      </c>
      <c r="B1819" s="20">
        <f t="shared" si="56"/>
        <v>2025</v>
      </c>
      <c r="C1819" s="20">
        <f t="shared" si="57"/>
        <v>7</v>
      </c>
      <c r="D1819" t="s">
        <v>3210</v>
      </c>
      <c r="E1819" s="49">
        <v>1</v>
      </c>
      <c r="F1819" t="s">
        <v>3211</v>
      </c>
      <c r="G1819" t="s">
        <v>21</v>
      </c>
      <c r="H1819" t="s">
        <v>37</v>
      </c>
      <c r="I1819" s="13">
        <v>166000</v>
      </c>
      <c r="J1819" s="13">
        <v>150000</v>
      </c>
      <c r="K1819" s="13">
        <f>IF(J1819&lt;'Mapa Oficinas'!$I$21,0,IF(J1819&gt;'Mapa Oficinas'!$I$20,0,1))</f>
        <v>1</v>
      </c>
      <c r="L1819" t="s">
        <v>23</v>
      </c>
      <c r="M1819" t="s">
        <v>23</v>
      </c>
      <c r="N1819" t="s">
        <v>3212</v>
      </c>
      <c r="O1819" t="s">
        <v>1862</v>
      </c>
      <c r="P1819" t="s">
        <v>34</v>
      </c>
      <c r="Q1819">
        <v>2</v>
      </c>
      <c r="R1819" t="s">
        <v>40</v>
      </c>
      <c r="S1819" t="s">
        <v>28</v>
      </c>
      <c r="T1819" t="str">
        <f>VLOOKUP(S1819,'Mapa Oficinas'!$H$7:$I$16,2,FALSE)</f>
        <v>CB</v>
      </c>
      <c r="U1819" t="s">
        <v>29</v>
      </c>
      <c r="V1819" t="str">
        <f>VLOOKUP($R1819,'Mapa Oficinas'!$A$7:$C$46,2,FALSE)</f>
        <v>CABA</v>
      </c>
      <c r="W1819" t="str">
        <f>VLOOKUP($R1819,'Mapa Oficinas'!$A$7:$C$46,3,FALSE)</f>
        <v>Núñez</v>
      </c>
    </row>
    <row r="1820" spans="1:23" x14ac:dyDescent="0.2">
      <c r="A1820" s="1">
        <v>45868</v>
      </c>
      <c r="B1820" s="20">
        <f t="shared" si="56"/>
        <v>2025</v>
      </c>
      <c r="C1820" s="20">
        <f t="shared" si="57"/>
        <v>7</v>
      </c>
      <c r="D1820" t="s">
        <v>3328</v>
      </c>
      <c r="E1820" s="49">
        <v>1</v>
      </c>
      <c r="F1820" t="s">
        <v>3329</v>
      </c>
      <c r="G1820" t="s">
        <v>21</v>
      </c>
      <c r="H1820" t="s">
        <v>37</v>
      </c>
      <c r="I1820" s="13">
        <v>174900</v>
      </c>
      <c r="J1820" s="13">
        <v>150000</v>
      </c>
      <c r="K1820" s="13">
        <f>IF(J1820&lt;'Mapa Oficinas'!$I$21,0,IF(J1820&gt;'Mapa Oficinas'!$I$20,0,1))</f>
        <v>1</v>
      </c>
      <c r="L1820" t="s">
        <v>23</v>
      </c>
      <c r="M1820" t="s">
        <v>23</v>
      </c>
      <c r="N1820" t="s">
        <v>1545</v>
      </c>
      <c r="O1820" t="s">
        <v>196</v>
      </c>
      <c r="P1820" t="s">
        <v>34</v>
      </c>
      <c r="Q1820">
        <v>2</v>
      </c>
      <c r="R1820" t="s">
        <v>110</v>
      </c>
      <c r="S1820" t="s">
        <v>28</v>
      </c>
      <c r="T1820" t="str">
        <f>VLOOKUP(S1820,'Mapa Oficinas'!$H$7:$I$16,2,FALSE)</f>
        <v>CB</v>
      </c>
      <c r="U1820" t="s">
        <v>29</v>
      </c>
      <c r="V1820" t="str">
        <f>VLOOKUP($R1820,'Mapa Oficinas'!$A$7:$C$46,2,FALSE)</f>
        <v>Zona Norte (GBA)</v>
      </c>
      <c r="W1820" t="str">
        <f>VLOOKUP($R1820,'Mapa Oficinas'!$A$7:$C$46,3,FALSE)</f>
        <v>Nordelta</v>
      </c>
    </row>
    <row r="1821" spans="1:23" x14ac:dyDescent="0.2">
      <c r="A1821" s="1">
        <v>45869</v>
      </c>
      <c r="B1821" s="20">
        <f t="shared" si="56"/>
        <v>2025</v>
      </c>
      <c r="C1821" s="20">
        <f t="shared" si="57"/>
        <v>7</v>
      </c>
      <c r="D1821" t="s">
        <v>3359</v>
      </c>
      <c r="E1821" s="49">
        <v>1</v>
      </c>
      <c r="F1821" t="s">
        <v>3360</v>
      </c>
      <c r="G1821" t="s">
        <v>21</v>
      </c>
      <c r="H1821" t="s">
        <v>37</v>
      </c>
      <c r="I1821" s="13">
        <v>175000</v>
      </c>
      <c r="J1821" s="13">
        <v>150000</v>
      </c>
      <c r="K1821" s="13">
        <f>IF(J1821&lt;'Mapa Oficinas'!$I$21,0,IF(J1821&gt;'Mapa Oficinas'!$I$20,0,1))</f>
        <v>1</v>
      </c>
      <c r="L1821" t="s">
        <v>23</v>
      </c>
      <c r="M1821" t="s">
        <v>23</v>
      </c>
      <c r="N1821" t="s">
        <v>3361</v>
      </c>
      <c r="O1821" t="s">
        <v>3362</v>
      </c>
      <c r="P1821" t="s">
        <v>26</v>
      </c>
      <c r="Q1821">
        <v>2</v>
      </c>
      <c r="R1821" t="s">
        <v>523</v>
      </c>
      <c r="S1821" t="s">
        <v>28</v>
      </c>
      <c r="T1821" t="str">
        <f>VLOOKUP(S1821,'Mapa Oficinas'!$H$7:$I$16,2,FALSE)</f>
        <v>CB</v>
      </c>
      <c r="U1821" t="s">
        <v>29</v>
      </c>
      <c r="V1821" t="str">
        <f>VLOOKUP($R1821,'Mapa Oficinas'!$A$7:$C$46,2,FALSE)</f>
        <v>CABA</v>
      </c>
      <c r="W1821" t="str">
        <f>VLOOKUP($R1821,'Mapa Oficinas'!$A$7:$C$46,3,FALSE)</f>
        <v>Belgrano</v>
      </c>
    </row>
    <row r="1822" spans="1:23" x14ac:dyDescent="0.2">
      <c r="A1822" s="1">
        <v>45882</v>
      </c>
      <c r="B1822" s="20">
        <f t="shared" si="56"/>
        <v>2025</v>
      </c>
      <c r="C1822" s="20">
        <f t="shared" si="57"/>
        <v>8</v>
      </c>
      <c r="D1822" t="s">
        <v>3581</v>
      </c>
      <c r="E1822" s="49">
        <v>1</v>
      </c>
      <c r="F1822" t="s">
        <v>3582</v>
      </c>
      <c r="G1822" t="s">
        <v>21</v>
      </c>
      <c r="H1822" t="s">
        <v>37</v>
      </c>
      <c r="I1822" s="13">
        <v>154000</v>
      </c>
      <c r="J1822" s="13">
        <v>150000</v>
      </c>
      <c r="K1822" s="13">
        <f>IF(J1822&lt;'Mapa Oficinas'!$I$21,0,IF(J1822&gt;'Mapa Oficinas'!$I$20,0,1))</f>
        <v>1</v>
      </c>
      <c r="L1822" t="s">
        <v>23</v>
      </c>
      <c r="M1822" t="s">
        <v>23</v>
      </c>
      <c r="N1822" t="s">
        <v>3583</v>
      </c>
      <c r="O1822" t="s">
        <v>92</v>
      </c>
      <c r="P1822" t="s">
        <v>45</v>
      </c>
      <c r="Q1822">
        <v>2</v>
      </c>
      <c r="R1822" t="s">
        <v>135</v>
      </c>
      <c r="S1822" t="s">
        <v>28</v>
      </c>
      <c r="T1822" t="str">
        <f>VLOOKUP(S1822,'Mapa Oficinas'!$H$7:$I$16,2,FALSE)</f>
        <v>CB</v>
      </c>
      <c r="U1822" t="s">
        <v>29</v>
      </c>
      <c r="V1822" t="str">
        <f>VLOOKUP($R1822,'Mapa Oficinas'!$A$7:$C$46,2,FALSE)</f>
        <v>CABA</v>
      </c>
      <c r="W1822" t="str">
        <f>VLOOKUP($R1822,'Mapa Oficinas'!$A$7:$C$46,3,FALSE)</f>
        <v>Recoleta</v>
      </c>
    </row>
    <row r="1823" spans="1:23" x14ac:dyDescent="0.2">
      <c r="A1823" s="1">
        <v>46043</v>
      </c>
      <c r="B1823" s="20">
        <f t="shared" si="56"/>
        <v>2026</v>
      </c>
      <c r="C1823" s="20">
        <f t="shared" si="57"/>
        <v>1</v>
      </c>
      <c r="D1823" t="s">
        <v>6353</v>
      </c>
      <c r="E1823" s="49">
        <v>1</v>
      </c>
      <c r="F1823" t="s">
        <v>6354</v>
      </c>
      <c r="G1823" t="s">
        <v>21</v>
      </c>
      <c r="H1823" t="s">
        <v>37</v>
      </c>
      <c r="I1823" s="13">
        <v>189900</v>
      </c>
      <c r="J1823" s="13">
        <v>150000</v>
      </c>
      <c r="K1823" s="13">
        <f>IF(J1823&lt;'Mapa Oficinas'!$I$21,0,IF(J1823&gt;'Mapa Oficinas'!$I$20,0,1))</f>
        <v>1</v>
      </c>
      <c r="L1823" t="s">
        <v>23</v>
      </c>
      <c r="M1823" t="s">
        <v>23</v>
      </c>
      <c r="N1823" t="s">
        <v>6355</v>
      </c>
      <c r="O1823" t="s">
        <v>105</v>
      </c>
      <c r="P1823" t="s">
        <v>45</v>
      </c>
      <c r="Q1823">
        <v>2</v>
      </c>
      <c r="R1823" t="s">
        <v>67</v>
      </c>
      <c r="S1823" t="s">
        <v>28</v>
      </c>
      <c r="T1823" t="str">
        <f>VLOOKUP(S1823,'Mapa Oficinas'!$H$7:$I$16,2,FALSE)</f>
        <v>CB</v>
      </c>
      <c r="U1823" t="s">
        <v>29</v>
      </c>
      <c r="V1823" t="str">
        <f>VLOOKUP($R1823,'Mapa Oficinas'!$A$7:$C$46,2,FALSE)</f>
        <v>CABA</v>
      </c>
      <c r="W1823" t="str">
        <f>VLOOKUP($R1823,'Mapa Oficinas'!$A$7:$C$46,3,FALSE)</f>
        <v>Barrio Parque</v>
      </c>
    </row>
    <row r="1824" spans="1:23" x14ac:dyDescent="0.2">
      <c r="A1824" s="1">
        <v>46079</v>
      </c>
      <c r="B1824" s="20">
        <f t="shared" si="56"/>
        <v>2026</v>
      </c>
      <c r="C1824" s="20">
        <f t="shared" si="57"/>
        <v>2</v>
      </c>
      <c r="D1824" t="s">
        <v>6864</v>
      </c>
      <c r="E1824" s="49">
        <v>1</v>
      </c>
      <c r="F1824" t="s">
        <v>6865</v>
      </c>
      <c r="G1824" t="s">
        <v>21</v>
      </c>
      <c r="H1824" t="s">
        <v>37</v>
      </c>
      <c r="I1824" s="13">
        <v>155000</v>
      </c>
      <c r="J1824" s="13">
        <v>150000</v>
      </c>
      <c r="K1824" s="13">
        <f>IF(J1824&lt;'Mapa Oficinas'!$I$21,0,IF(J1824&gt;'Mapa Oficinas'!$I$20,0,1))</f>
        <v>1</v>
      </c>
      <c r="L1824" t="s">
        <v>23</v>
      </c>
      <c r="M1824" t="s">
        <v>23</v>
      </c>
      <c r="N1824" t="s">
        <v>6866</v>
      </c>
      <c r="O1824" t="s">
        <v>6867</v>
      </c>
      <c r="P1824" t="s">
        <v>61</v>
      </c>
      <c r="Q1824">
        <v>2</v>
      </c>
      <c r="R1824" t="s">
        <v>67</v>
      </c>
      <c r="S1824" t="s">
        <v>28</v>
      </c>
      <c r="T1824" t="str">
        <f>VLOOKUP(S1824,'Mapa Oficinas'!$H$7:$I$16,2,FALSE)</f>
        <v>CB</v>
      </c>
      <c r="U1824" t="s">
        <v>29</v>
      </c>
      <c r="V1824" t="str">
        <f>VLOOKUP($R1824,'Mapa Oficinas'!$A$7:$C$46,2,FALSE)</f>
        <v>CABA</v>
      </c>
      <c r="W1824" t="str">
        <f>VLOOKUP($R1824,'Mapa Oficinas'!$A$7:$C$46,3,FALSE)</f>
        <v>Barrio Parque</v>
      </c>
    </row>
    <row r="1825" spans="1:23" x14ac:dyDescent="0.2">
      <c r="A1825" s="1">
        <v>46092</v>
      </c>
      <c r="B1825" s="20">
        <f t="shared" si="56"/>
        <v>2026</v>
      </c>
      <c r="C1825" s="20">
        <f t="shared" si="57"/>
        <v>3</v>
      </c>
      <c r="D1825" t="s">
        <v>7111</v>
      </c>
      <c r="E1825" s="49">
        <v>1</v>
      </c>
      <c r="F1825" t="s">
        <v>7112</v>
      </c>
      <c r="G1825" t="s">
        <v>21</v>
      </c>
      <c r="H1825" t="s">
        <v>221</v>
      </c>
      <c r="I1825" s="13">
        <v>170000</v>
      </c>
      <c r="J1825" s="13">
        <v>150000</v>
      </c>
      <c r="K1825" s="13">
        <f>IF(J1825&lt;'Mapa Oficinas'!$I$21,0,IF(J1825&gt;'Mapa Oficinas'!$I$20,0,1))</f>
        <v>1</v>
      </c>
      <c r="L1825" t="s">
        <v>23</v>
      </c>
      <c r="M1825" t="s">
        <v>23</v>
      </c>
      <c r="N1825" t="s">
        <v>7113</v>
      </c>
      <c r="O1825" t="s">
        <v>1194</v>
      </c>
      <c r="P1825" t="s">
        <v>26</v>
      </c>
      <c r="Q1825">
        <v>2</v>
      </c>
      <c r="R1825" t="s">
        <v>183</v>
      </c>
      <c r="S1825" t="s">
        <v>28</v>
      </c>
      <c r="T1825" t="str">
        <f>VLOOKUP(S1825,'Mapa Oficinas'!$H$7:$I$16,2,FALSE)</f>
        <v>CB</v>
      </c>
      <c r="U1825" t="s">
        <v>29</v>
      </c>
      <c r="V1825" t="str">
        <f>VLOOKUP($R1825,'Mapa Oficinas'!$A$7:$C$46,2,FALSE)</f>
        <v>Interior - Neuquén</v>
      </c>
      <c r="W1825" t="str">
        <f>VLOOKUP($R1825,'Mapa Oficinas'!$A$7:$C$46,3,FALSE)</f>
        <v>Capital Neuquén</v>
      </c>
    </row>
    <row r="1826" spans="1:23" x14ac:dyDescent="0.2">
      <c r="A1826" s="1">
        <v>46098</v>
      </c>
      <c r="B1826" s="20">
        <f t="shared" si="56"/>
        <v>2026</v>
      </c>
      <c r="C1826" s="20">
        <f t="shared" si="57"/>
        <v>3</v>
      </c>
      <c r="D1826" t="s">
        <v>7246</v>
      </c>
      <c r="E1826" s="49">
        <v>1</v>
      </c>
      <c r="F1826" t="s">
        <v>7247</v>
      </c>
      <c r="G1826" t="s">
        <v>21</v>
      </c>
      <c r="H1826" t="s">
        <v>22</v>
      </c>
      <c r="I1826" s="13">
        <v>180000</v>
      </c>
      <c r="J1826" s="13">
        <v>150000</v>
      </c>
      <c r="K1826" s="13">
        <f>IF(J1826&lt;'Mapa Oficinas'!$I$21,0,IF(J1826&gt;'Mapa Oficinas'!$I$20,0,1))</f>
        <v>1</v>
      </c>
      <c r="L1826" t="s">
        <v>23</v>
      </c>
      <c r="M1826" t="s">
        <v>23</v>
      </c>
      <c r="N1826" t="s">
        <v>7248</v>
      </c>
      <c r="O1826" t="s">
        <v>7249</v>
      </c>
      <c r="P1826" t="s">
        <v>34</v>
      </c>
      <c r="Q1826">
        <v>2</v>
      </c>
      <c r="R1826" t="s">
        <v>110</v>
      </c>
      <c r="S1826" t="s">
        <v>28</v>
      </c>
      <c r="T1826" t="str">
        <f>VLOOKUP(S1826,'Mapa Oficinas'!$H$7:$I$16,2,FALSE)</f>
        <v>CB</v>
      </c>
      <c r="U1826" t="s">
        <v>29</v>
      </c>
      <c r="V1826" t="str">
        <f>VLOOKUP($R1826,'Mapa Oficinas'!$A$7:$C$46,2,FALSE)</f>
        <v>Zona Norte (GBA)</v>
      </c>
      <c r="W1826" t="str">
        <f>VLOOKUP($R1826,'Mapa Oficinas'!$A$7:$C$46,3,FALSE)</f>
        <v>Nordelta</v>
      </c>
    </row>
    <row r="1827" spans="1:23" x14ac:dyDescent="0.2">
      <c r="A1827" s="1">
        <v>46112</v>
      </c>
      <c r="B1827" s="20">
        <f t="shared" si="56"/>
        <v>2026</v>
      </c>
      <c r="C1827" s="20">
        <f t="shared" si="57"/>
        <v>3</v>
      </c>
      <c r="D1827" t="s">
        <v>7579</v>
      </c>
      <c r="E1827" s="49">
        <v>1</v>
      </c>
      <c r="F1827" t="s">
        <v>7580</v>
      </c>
      <c r="G1827" t="s">
        <v>21</v>
      </c>
      <c r="H1827" t="s">
        <v>37</v>
      </c>
      <c r="I1827" s="13">
        <v>170000</v>
      </c>
      <c r="J1827" s="13">
        <v>150000</v>
      </c>
      <c r="K1827" s="13">
        <f>IF(J1827&lt;'Mapa Oficinas'!$I$21,0,IF(J1827&gt;'Mapa Oficinas'!$I$20,0,1))</f>
        <v>1</v>
      </c>
      <c r="L1827" t="s">
        <v>23</v>
      </c>
      <c r="M1827" t="s">
        <v>23</v>
      </c>
      <c r="N1827" t="s">
        <v>7581</v>
      </c>
      <c r="O1827" t="s">
        <v>2865</v>
      </c>
      <c r="P1827" t="s">
        <v>34</v>
      </c>
      <c r="Q1827">
        <v>2</v>
      </c>
      <c r="R1827" t="s">
        <v>40</v>
      </c>
      <c r="S1827" t="s">
        <v>28</v>
      </c>
      <c r="T1827" t="str">
        <f>VLOOKUP(S1827,'Mapa Oficinas'!$H$7:$I$16,2,FALSE)</f>
        <v>CB</v>
      </c>
      <c r="U1827" t="s">
        <v>29</v>
      </c>
      <c r="V1827" t="str">
        <f>VLOOKUP($R1827,'Mapa Oficinas'!$A$7:$C$46,2,FALSE)</f>
        <v>CABA</v>
      </c>
      <c r="W1827" t="str">
        <f>VLOOKUP($R1827,'Mapa Oficinas'!$A$7:$C$46,3,FALSE)</f>
        <v>Núñez</v>
      </c>
    </row>
    <row r="1828" spans="1:23" x14ac:dyDescent="0.2">
      <c r="A1828" s="1">
        <v>45806</v>
      </c>
      <c r="B1828" s="20">
        <f t="shared" si="56"/>
        <v>2025</v>
      </c>
      <c r="C1828" s="20">
        <f t="shared" si="57"/>
        <v>5</v>
      </c>
      <c r="D1828" t="s">
        <v>2213</v>
      </c>
      <c r="E1828" s="49">
        <v>1</v>
      </c>
      <c r="F1828" t="s">
        <v>2214</v>
      </c>
      <c r="G1828" t="s">
        <v>21</v>
      </c>
      <c r="H1828" t="s">
        <v>37</v>
      </c>
      <c r="I1828" s="13">
        <v>159000</v>
      </c>
      <c r="J1828" s="13">
        <v>150500</v>
      </c>
      <c r="K1828" s="13">
        <f>IF(J1828&lt;'Mapa Oficinas'!$I$21,0,IF(J1828&gt;'Mapa Oficinas'!$I$20,0,1))</f>
        <v>1</v>
      </c>
      <c r="L1828" t="s">
        <v>23</v>
      </c>
      <c r="M1828" t="s">
        <v>23</v>
      </c>
      <c r="N1828" t="s">
        <v>2215</v>
      </c>
      <c r="O1828" t="s">
        <v>178</v>
      </c>
      <c r="P1828" t="s">
        <v>45</v>
      </c>
      <c r="Q1828">
        <v>2</v>
      </c>
      <c r="R1828" t="s">
        <v>170</v>
      </c>
      <c r="S1828" t="s">
        <v>200</v>
      </c>
      <c r="T1828" t="str">
        <f>VLOOKUP(S1828,'Mapa Oficinas'!$H$7:$I$16,2,FALSE)</f>
        <v>Otra Red Captación</v>
      </c>
      <c r="U1828" t="s">
        <v>29</v>
      </c>
      <c r="V1828" t="str">
        <f>VLOOKUP($R1828,'Mapa Oficinas'!$A$7:$C$46,2,FALSE)</f>
        <v>CABA</v>
      </c>
      <c r="W1828" t="str">
        <f>VLOOKUP($R1828,'Mapa Oficinas'!$A$7:$C$46,3,FALSE)</f>
        <v>Belgrano</v>
      </c>
    </row>
    <row r="1829" spans="1:23" x14ac:dyDescent="0.2">
      <c r="A1829" s="1">
        <v>45820</v>
      </c>
      <c r="B1829" s="20">
        <f t="shared" si="56"/>
        <v>2025</v>
      </c>
      <c r="C1829" s="20">
        <f t="shared" si="57"/>
        <v>6</v>
      </c>
      <c r="D1829" t="s">
        <v>2477</v>
      </c>
      <c r="E1829" s="49">
        <v>1</v>
      </c>
      <c r="F1829" t="s">
        <v>2478</v>
      </c>
      <c r="G1829" t="s">
        <v>21</v>
      </c>
      <c r="H1829" t="s">
        <v>37</v>
      </c>
      <c r="I1829" s="13">
        <v>154000</v>
      </c>
      <c r="J1829" s="13">
        <v>150500</v>
      </c>
      <c r="K1829" s="13">
        <f>IF(J1829&lt;'Mapa Oficinas'!$I$21,0,IF(J1829&gt;'Mapa Oficinas'!$I$20,0,1))</f>
        <v>1</v>
      </c>
      <c r="L1829" t="s">
        <v>23</v>
      </c>
      <c r="M1829" t="s">
        <v>23</v>
      </c>
      <c r="N1829" t="s">
        <v>2479</v>
      </c>
      <c r="O1829" t="s">
        <v>178</v>
      </c>
      <c r="P1829" t="s">
        <v>45</v>
      </c>
      <c r="Q1829">
        <v>2</v>
      </c>
      <c r="R1829" t="s">
        <v>170</v>
      </c>
      <c r="S1829" t="s">
        <v>200</v>
      </c>
      <c r="T1829" t="str">
        <f>VLOOKUP(S1829,'Mapa Oficinas'!$H$7:$I$16,2,FALSE)</f>
        <v>Otra Red Captación</v>
      </c>
      <c r="U1829" t="s">
        <v>29</v>
      </c>
      <c r="V1829" t="str">
        <f>VLOOKUP($R1829,'Mapa Oficinas'!$A$7:$C$46,2,FALSE)</f>
        <v>CABA</v>
      </c>
      <c r="W1829" t="str">
        <f>VLOOKUP($R1829,'Mapa Oficinas'!$A$7:$C$46,3,FALSE)</f>
        <v>Belgrano</v>
      </c>
    </row>
    <row r="1830" spans="1:23" x14ac:dyDescent="0.2">
      <c r="A1830" s="1">
        <v>45821</v>
      </c>
      <c r="B1830" s="20">
        <f t="shared" si="56"/>
        <v>2025</v>
      </c>
      <c r="C1830" s="20">
        <f t="shared" si="57"/>
        <v>6</v>
      </c>
      <c r="D1830" t="s">
        <v>2497</v>
      </c>
      <c r="E1830" s="49">
        <v>1</v>
      </c>
      <c r="F1830" t="s">
        <v>2498</v>
      </c>
      <c r="G1830" t="s">
        <v>21</v>
      </c>
      <c r="H1830" t="s">
        <v>22</v>
      </c>
      <c r="I1830" s="13">
        <v>155000</v>
      </c>
      <c r="J1830" s="13">
        <v>151000</v>
      </c>
      <c r="K1830" s="13">
        <f>IF(J1830&lt;'Mapa Oficinas'!$I$21,0,IF(J1830&gt;'Mapa Oficinas'!$I$20,0,1))</f>
        <v>1</v>
      </c>
      <c r="L1830" t="s">
        <v>23</v>
      </c>
      <c r="M1830" t="s">
        <v>23</v>
      </c>
      <c r="N1830" t="s">
        <v>2499</v>
      </c>
      <c r="O1830" t="s">
        <v>2500</v>
      </c>
      <c r="P1830" t="s">
        <v>34</v>
      </c>
      <c r="Q1830">
        <v>2</v>
      </c>
      <c r="R1830" t="s">
        <v>257</v>
      </c>
      <c r="S1830" t="s">
        <v>79</v>
      </c>
      <c r="T1830" t="str">
        <f>VLOOKUP(S1830,'Mapa Oficinas'!$H$7:$I$16,2,FALSE)</f>
        <v>CB</v>
      </c>
      <c r="U1830" t="s">
        <v>29</v>
      </c>
      <c r="V1830" t="str">
        <f>VLOOKUP($R1830,'Mapa Oficinas'!$A$7:$C$46,2,FALSE)</f>
        <v>Zona Norte (GBA)</v>
      </c>
      <c r="W1830" t="str">
        <f>VLOOKUP($R1830,'Mapa Oficinas'!$A$7:$C$46,3,FALSE)</f>
        <v>Pilar</v>
      </c>
    </row>
    <row r="1831" spans="1:23" x14ac:dyDescent="0.2">
      <c r="A1831" s="1">
        <v>45904</v>
      </c>
      <c r="B1831" s="20">
        <f t="shared" si="56"/>
        <v>2025</v>
      </c>
      <c r="C1831" s="20">
        <f t="shared" si="57"/>
        <v>9</v>
      </c>
      <c r="D1831" t="s">
        <v>3992</v>
      </c>
      <c r="E1831" s="49">
        <v>1</v>
      </c>
      <c r="F1831" t="s">
        <v>3993</v>
      </c>
      <c r="G1831" t="s">
        <v>21</v>
      </c>
      <c r="H1831" t="s">
        <v>37</v>
      </c>
      <c r="I1831" s="13">
        <v>170000</v>
      </c>
      <c r="J1831" s="13">
        <v>151000</v>
      </c>
      <c r="K1831" s="13">
        <f>IF(J1831&lt;'Mapa Oficinas'!$I$21,0,IF(J1831&gt;'Mapa Oficinas'!$I$20,0,1))</f>
        <v>1</v>
      </c>
      <c r="L1831" t="s">
        <v>23</v>
      </c>
      <c r="M1831" t="s">
        <v>23</v>
      </c>
      <c r="N1831" t="s">
        <v>3994</v>
      </c>
      <c r="O1831" t="s">
        <v>2504</v>
      </c>
      <c r="P1831" t="s">
        <v>34</v>
      </c>
      <c r="Q1831">
        <v>2</v>
      </c>
      <c r="R1831" t="s">
        <v>40</v>
      </c>
      <c r="S1831" t="s">
        <v>200</v>
      </c>
      <c r="T1831" t="str">
        <f>VLOOKUP(S1831,'Mapa Oficinas'!$H$7:$I$16,2,FALSE)</f>
        <v>Otra Red Captación</v>
      </c>
      <c r="U1831" t="s">
        <v>29</v>
      </c>
      <c r="V1831" t="str">
        <f>VLOOKUP($R1831,'Mapa Oficinas'!$A$7:$C$46,2,FALSE)</f>
        <v>CABA</v>
      </c>
      <c r="W1831" t="str">
        <f>VLOOKUP($R1831,'Mapa Oficinas'!$A$7:$C$46,3,FALSE)</f>
        <v>Núñez</v>
      </c>
    </row>
    <row r="1832" spans="1:23" x14ac:dyDescent="0.2">
      <c r="A1832" s="1">
        <v>46071</v>
      </c>
      <c r="B1832" s="20">
        <f t="shared" si="56"/>
        <v>2026</v>
      </c>
      <c r="C1832" s="20">
        <f t="shared" si="57"/>
        <v>2</v>
      </c>
      <c r="D1832" t="s">
        <v>6748</v>
      </c>
      <c r="E1832" s="49">
        <v>1</v>
      </c>
      <c r="F1832" t="s">
        <v>6749</v>
      </c>
      <c r="G1832" t="s">
        <v>21</v>
      </c>
      <c r="H1832" t="s">
        <v>37</v>
      </c>
      <c r="I1832" s="13">
        <v>210000</v>
      </c>
      <c r="J1832" s="13">
        <v>151500</v>
      </c>
      <c r="K1832" s="13">
        <f>IF(J1832&lt;'Mapa Oficinas'!$I$21,0,IF(J1832&gt;'Mapa Oficinas'!$I$20,0,1))</f>
        <v>1</v>
      </c>
      <c r="L1832" t="s">
        <v>23</v>
      </c>
      <c r="M1832" t="s">
        <v>23</v>
      </c>
      <c r="N1832" t="s">
        <v>2442</v>
      </c>
      <c r="O1832" t="s">
        <v>2443</v>
      </c>
      <c r="P1832" t="s">
        <v>45</v>
      </c>
      <c r="Q1832">
        <v>1</v>
      </c>
      <c r="R1832" t="s">
        <v>110</v>
      </c>
      <c r="S1832" t="s">
        <v>47</v>
      </c>
      <c r="T1832" t="str">
        <f>VLOOKUP(S1832,'Mapa Oficinas'!$H$7:$I$16,2,FALSE)</f>
        <v>Otra Red Búsqueda</v>
      </c>
      <c r="U1832" t="s">
        <v>29</v>
      </c>
      <c r="V1832" t="str">
        <f>VLOOKUP($R1832,'Mapa Oficinas'!$A$7:$C$46,2,FALSE)</f>
        <v>Zona Norte (GBA)</v>
      </c>
      <c r="W1832" t="str">
        <f>VLOOKUP($R1832,'Mapa Oficinas'!$A$7:$C$46,3,FALSE)</f>
        <v>Nordelta</v>
      </c>
    </row>
    <row r="1833" spans="1:23" x14ac:dyDescent="0.2">
      <c r="A1833" s="1">
        <v>46101</v>
      </c>
      <c r="B1833" s="20">
        <f t="shared" si="56"/>
        <v>2026</v>
      </c>
      <c r="C1833" s="20">
        <f t="shared" si="57"/>
        <v>3</v>
      </c>
      <c r="D1833" t="s">
        <v>7361</v>
      </c>
      <c r="E1833" s="49">
        <v>1</v>
      </c>
      <c r="F1833" t="s">
        <v>7362</v>
      </c>
      <c r="G1833" t="s">
        <v>21</v>
      </c>
      <c r="H1833" t="s">
        <v>37</v>
      </c>
      <c r="I1833" s="13">
        <v>152000</v>
      </c>
      <c r="J1833" s="13">
        <v>152000</v>
      </c>
      <c r="K1833" s="13">
        <f>IF(J1833&lt;'Mapa Oficinas'!$I$21,0,IF(J1833&gt;'Mapa Oficinas'!$I$20,0,1))</f>
        <v>1</v>
      </c>
      <c r="L1833" t="s">
        <v>23</v>
      </c>
      <c r="M1833" t="s">
        <v>23</v>
      </c>
      <c r="O1833" t="s">
        <v>577</v>
      </c>
      <c r="P1833" t="s">
        <v>45</v>
      </c>
      <c r="Q1833">
        <v>1</v>
      </c>
      <c r="R1833" t="s">
        <v>151</v>
      </c>
      <c r="S1833" t="s">
        <v>122</v>
      </c>
      <c r="T1833" t="str">
        <f>VLOOKUP(S1833,'Mapa Oficinas'!$H$7:$I$16,2,FALSE)</f>
        <v>Otra Red Búsqueda</v>
      </c>
      <c r="U1833" t="s">
        <v>29</v>
      </c>
      <c r="V1833" t="str">
        <f>VLOOKUP($R1833,'Mapa Oficinas'!$A$7:$C$46,2,FALSE)</f>
        <v>Interior - Mendoza</v>
      </c>
      <c r="W1833" t="str">
        <f>VLOOKUP($R1833,'Mapa Oficinas'!$A$7:$C$46,3,FALSE)</f>
        <v>Capital Mendoza</v>
      </c>
    </row>
    <row r="1834" spans="1:23" x14ac:dyDescent="0.2">
      <c r="A1834" s="1">
        <v>45698</v>
      </c>
      <c r="B1834" s="20">
        <f t="shared" si="56"/>
        <v>2025</v>
      </c>
      <c r="C1834" s="20">
        <f t="shared" si="57"/>
        <v>2</v>
      </c>
      <c r="D1834">
        <v>517315</v>
      </c>
      <c r="E1834" s="49">
        <v>1</v>
      </c>
      <c r="F1834" t="s">
        <v>535</v>
      </c>
      <c r="G1834" t="s">
        <v>21</v>
      </c>
      <c r="H1834" t="s">
        <v>37</v>
      </c>
      <c r="I1834" s="13">
        <v>155000</v>
      </c>
      <c r="J1834" s="13">
        <v>152000</v>
      </c>
      <c r="K1834" s="13">
        <f>IF(J1834&lt;'Mapa Oficinas'!$I$21,0,IF(J1834&gt;'Mapa Oficinas'!$I$20,0,1))</f>
        <v>1</v>
      </c>
      <c r="L1834" t="s">
        <v>23</v>
      </c>
      <c r="M1834" t="s">
        <v>23</v>
      </c>
      <c r="N1834" t="s">
        <v>536</v>
      </c>
      <c r="O1834" t="s">
        <v>537</v>
      </c>
      <c r="P1834" t="s">
        <v>45</v>
      </c>
      <c r="Q1834">
        <v>2</v>
      </c>
      <c r="R1834" t="s">
        <v>110</v>
      </c>
      <c r="S1834" t="s">
        <v>79</v>
      </c>
      <c r="T1834" t="str">
        <f>VLOOKUP(S1834,'Mapa Oficinas'!$H$7:$I$16,2,FALSE)</f>
        <v>CB</v>
      </c>
      <c r="U1834" t="s">
        <v>29</v>
      </c>
      <c r="V1834" t="str">
        <f>VLOOKUP($R1834,'Mapa Oficinas'!$A$7:$C$46,2,FALSE)</f>
        <v>Zona Norte (GBA)</v>
      </c>
      <c r="W1834" t="str">
        <f>VLOOKUP($R1834,'Mapa Oficinas'!$A$7:$C$46,3,FALSE)</f>
        <v>Nordelta</v>
      </c>
    </row>
    <row r="1835" spans="1:23" x14ac:dyDescent="0.2">
      <c r="A1835" s="1">
        <v>46014</v>
      </c>
      <c r="B1835" s="20">
        <f t="shared" si="56"/>
        <v>2025</v>
      </c>
      <c r="C1835" s="20">
        <f t="shared" si="57"/>
        <v>12</v>
      </c>
      <c r="D1835">
        <v>10608</v>
      </c>
      <c r="E1835" s="49">
        <v>1</v>
      </c>
      <c r="F1835" t="s">
        <v>5991</v>
      </c>
      <c r="G1835" t="s">
        <v>21</v>
      </c>
      <c r="H1835" t="s">
        <v>37</v>
      </c>
      <c r="I1835" s="13">
        <v>152000</v>
      </c>
      <c r="J1835" s="13">
        <v>152000</v>
      </c>
      <c r="K1835" s="13">
        <f>IF(J1835&lt;'Mapa Oficinas'!$I$21,0,IF(J1835&gt;'Mapa Oficinas'!$I$20,0,1))</f>
        <v>1</v>
      </c>
      <c r="L1835" t="s">
        <v>23</v>
      </c>
      <c r="M1835" t="s">
        <v>23</v>
      </c>
      <c r="N1835" t="s">
        <v>5991</v>
      </c>
      <c r="O1835" t="s">
        <v>390</v>
      </c>
      <c r="P1835" t="s">
        <v>26</v>
      </c>
      <c r="Q1835">
        <v>1</v>
      </c>
      <c r="R1835" t="s">
        <v>67</v>
      </c>
      <c r="S1835" t="s">
        <v>47</v>
      </c>
      <c r="T1835" t="str">
        <f>VLOOKUP(S1835,'Mapa Oficinas'!$H$7:$I$16,2,FALSE)</f>
        <v>Otra Red Búsqueda</v>
      </c>
      <c r="U1835" t="s">
        <v>29</v>
      </c>
      <c r="V1835" t="str">
        <f>VLOOKUP($R1835,'Mapa Oficinas'!$A$7:$C$46,2,FALSE)</f>
        <v>CABA</v>
      </c>
      <c r="W1835" t="str">
        <f>VLOOKUP($R1835,'Mapa Oficinas'!$A$7:$C$46,3,FALSE)</f>
        <v>Barrio Parque</v>
      </c>
    </row>
    <row r="1836" spans="1:23" x14ac:dyDescent="0.2">
      <c r="A1836" s="1">
        <v>45894</v>
      </c>
      <c r="B1836" s="20">
        <f t="shared" si="56"/>
        <v>2025</v>
      </c>
      <c r="C1836" s="20">
        <f t="shared" si="57"/>
        <v>8</v>
      </c>
      <c r="D1836" t="s">
        <v>3750</v>
      </c>
      <c r="E1836" s="49">
        <v>1</v>
      </c>
      <c r="F1836" t="s">
        <v>3751</v>
      </c>
      <c r="G1836" t="s">
        <v>21</v>
      </c>
      <c r="H1836" t="s">
        <v>37</v>
      </c>
      <c r="I1836" s="13">
        <v>157000</v>
      </c>
      <c r="J1836" s="13">
        <v>152000</v>
      </c>
      <c r="K1836" s="13">
        <f>IF(J1836&lt;'Mapa Oficinas'!$I$21,0,IF(J1836&gt;'Mapa Oficinas'!$I$20,0,1))</f>
        <v>1</v>
      </c>
      <c r="L1836" t="s">
        <v>23</v>
      </c>
      <c r="M1836" t="s">
        <v>23</v>
      </c>
      <c r="N1836" t="s">
        <v>3752</v>
      </c>
      <c r="O1836" t="s">
        <v>2785</v>
      </c>
      <c r="P1836" t="s">
        <v>34</v>
      </c>
      <c r="Q1836">
        <v>2</v>
      </c>
      <c r="R1836" t="s">
        <v>372</v>
      </c>
      <c r="S1836" t="s">
        <v>28</v>
      </c>
      <c r="T1836" t="str">
        <f>VLOOKUP(S1836,'Mapa Oficinas'!$H$7:$I$16,2,FALSE)</f>
        <v>CB</v>
      </c>
      <c r="U1836" t="s">
        <v>29</v>
      </c>
      <c r="V1836" t="str">
        <f>VLOOKUP($R1836,'Mapa Oficinas'!$A$7:$C$46,2,FALSE)</f>
        <v>CABA</v>
      </c>
      <c r="W1836" t="str">
        <f>VLOOKUP($R1836,'Mapa Oficinas'!$A$7:$C$46,3,FALSE)</f>
        <v>Caballito</v>
      </c>
    </row>
    <row r="1837" spans="1:23" x14ac:dyDescent="0.2">
      <c r="A1837" s="1">
        <v>45974</v>
      </c>
      <c r="B1837" s="20">
        <f t="shared" si="56"/>
        <v>2025</v>
      </c>
      <c r="C1837" s="20">
        <f t="shared" si="57"/>
        <v>11</v>
      </c>
      <c r="D1837" t="s">
        <v>5212</v>
      </c>
      <c r="E1837" s="49">
        <v>1</v>
      </c>
      <c r="F1837" t="s">
        <v>5213</v>
      </c>
      <c r="G1837" t="s">
        <v>21</v>
      </c>
      <c r="H1837" t="s">
        <v>37</v>
      </c>
      <c r="I1837" s="13">
        <v>136000</v>
      </c>
      <c r="J1837" s="13">
        <v>152000</v>
      </c>
      <c r="K1837" s="13">
        <f>IF(J1837&lt;'Mapa Oficinas'!$I$21,0,IF(J1837&gt;'Mapa Oficinas'!$I$20,0,1))</f>
        <v>1</v>
      </c>
      <c r="L1837" t="s">
        <v>23</v>
      </c>
      <c r="M1837" t="s">
        <v>23</v>
      </c>
      <c r="N1837" t="s">
        <v>5214</v>
      </c>
      <c r="O1837" t="s">
        <v>2046</v>
      </c>
      <c r="P1837" t="s">
        <v>14</v>
      </c>
      <c r="Q1837">
        <v>2</v>
      </c>
      <c r="R1837" t="s">
        <v>110</v>
      </c>
      <c r="S1837" t="s">
        <v>28</v>
      </c>
      <c r="T1837" t="str">
        <f>VLOOKUP(S1837,'Mapa Oficinas'!$H$7:$I$16,2,FALSE)</f>
        <v>CB</v>
      </c>
      <c r="U1837" t="s">
        <v>29</v>
      </c>
      <c r="V1837" t="str">
        <f>VLOOKUP($R1837,'Mapa Oficinas'!$A$7:$C$46,2,FALSE)</f>
        <v>Zona Norte (GBA)</v>
      </c>
      <c r="W1837" t="str">
        <f>VLOOKUP($R1837,'Mapa Oficinas'!$A$7:$C$46,3,FALSE)</f>
        <v>Nordelta</v>
      </c>
    </row>
    <row r="1838" spans="1:23" x14ac:dyDescent="0.2">
      <c r="A1838" s="1">
        <v>46090</v>
      </c>
      <c r="B1838" s="20">
        <f t="shared" si="56"/>
        <v>2026</v>
      </c>
      <c r="C1838" s="20">
        <f t="shared" si="57"/>
        <v>3</v>
      </c>
      <c r="D1838" t="s">
        <v>7045</v>
      </c>
      <c r="E1838" s="49">
        <v>1</v>
      </c>
      <c r="F1838" t="s">
        <v>7046</v>
      </c>
      <c r="G1838" t="s">
        <v>21</v>
      </c>
      <c r="H1838" t="s">
        <v>37</v>
      </c>
      <c r="I1838" s="13">
        <v>159000</v>
      </c>
      <c r="J1838" s="13">
        <v>152500</v>
      </c>
      <c r="K1838" s="13">
        <f>IF(J1838&lt;'Mapa Oficinas'!$I$21,0,IF(J1838&gt;'Mapa Oficinas'!$I$20,0,1))</f>
        <v>1</v>
      </c>
      <c r="L1838" t="s">
        <v>23</v>
      </c>
      <c r="M1838" t="s">
        <v>23</v>
      </c>
      <c r="N1838" t="s">
        <v>7047</v>
      </c>
      <c r="O1838" t="s">
        <v>6182</v>
      </c>
      <c r="P1838" t="s">
        <v>61</v>
      </c>
      <c r="Q1838">
        <v>2</v>
      </c>
      <c r="R1838" t="s">
        <v>5631</v>
      </c>
      <c r="S1838" t="s">
        <v>28</v>
      </c>
      <c r="T1838" t="str">
        <f>VLOOKUP(S1838,'Mapa Oficinas'!$H$7:$I$16,2,FALSE)</f>
        <v>CB</v>
      </c>
      <c r="U1838" t="s">
        <v>29</v>
      </c>
      <c r="V1838" t="str">
        <f>VLOOKUP($R1838,'Mapa Oficinas'!$A$7:$C$46,2,FALSE)</f>
        <v>CABA</v>
      </c>
      <c r="W1838" t="str">
        <f>VLOOKUP($R1838,'Mapa Oficinas'!$A$7:$C$46,3,FALSE)</f>
        <v>Caballito</v>
      </c>
    </row>
    <row r="1839" spans="1:23" x14ac:dyDescent="0.2">
      <c r="A1839" s="1">
        <v>45699</v>
      </c>
      <c r="B1839" s="20">
        <f t="shared" si="56"/>
        <v>2025</v>
      </c>
      <c r="C1839" s="20">
        <f t="shared" si="57"/>
        <v>2</v>
      </c>
      <c r="D1839" t="s">
        <v>553</v>
      </c>
      <c r="E1839" s="49">
        <v>1</v>
      </c>
      <c r="F1839" t="s">
        <v>554</v>
      </c>
      <c r="G1839" t="s">
        <v>21</v>
      </c>
      <c r="H1839" t="s">
        <v>37</v>
      </c>
      <c r="I1839" s="13">
        <v>155000</v>
      </c>
      <c r="J1839" s="13">
        <v>153000</v>
      </c>
      <c r="K1839" s="13">
        <f>IF(J1839&lt;'Mapa Oficinas'!$I$21,0,IF(J1839&gt;'Mapa Oficinas'!$I$20,0,1))</f>
        <v>1</v>
      </c>
      <c r="L1839" t="s">
        <v>23</v>
      </c>
      <c r="M1839" t="s">
        <v>23</v>
      </c>
      <c r="N1839" t="s">
        <v>555</v>
      </c>
      <c r="O1839" t="s">
        <v>190</v>
      </c>
      <c r="P1839" t="s">
        <v>45</v>
      </c>
      <c r="Q1839">
        <v>2</v>
      </c>
      <c r="R1839" t="s">
        <v>67</v>
      </c>
      <c r="S1839" t="s">
        <v>28</v>
      </c>
      <c r="T1839" t="str">
        <f>VLOOKUP(S1839,'Mapa Oficinas'!$H$7:$I$16,2,FALSE)</f>
        <v>CB</v>
      </c>
      <c r="U1839" t="s">
        <v>29</v>
      </c>
      <c r="V1839" t="str">
        <f>VLOOKUP($R1839,'Mapa Oficinas'!$A$7:$C$46,2,FALSE)</f>
        <v>CABA</v>
      </c>
      <c r="W1839" t="str">
        <f>VLOOKUP($R1839,'Mapa Oficinas'!$A$7:$C$46,3,FALSE)</f>
        <v>Barrio Parque</v>
      </c>
    </row>
    <row r="1840" spans="1:23" x14ac:dyDescent="0.2">
      <c r="A1840" s="1">
        <v>45866</v>
      </c>
      <c r="B1840" s="20">
        <f t="shared" si="56"/>
        <v>2025</v>
      </c>
      <c r="C1840" s="20">
        <f t="shared" si="57"/>
        <v>7</v>
      </c>
      <c r="D1840" t="s">
        <v>3261</v>
      </c>
      <c r="E1840" s="49">
        <v>1</v>
      </c>
      <c r="F1840" t="s">
        <v>3262</v>
      </c>
      <c r="G1840" t="s">
        <v>21</v>
      </c>
      <c r="H1840" t="s">
        <v>37</v>
      </c>
      <c r="I1840" s="13">
        <v>155000</v>
      </c>
      <c r="J1840" s="13">
        <v>153000</v>
      </c>
      <c r="K1840" s="13">
        <f>IF(J1840&lt;'Mapa Oficinas'!$I$21,0,IF(J1840&gt;'Mapa Oficinas'!$I$20,0,1))</f>
        <v>1</v>
      </c>
      <c r="L1840" t="s">
        <v>23</v>
      </c>
      <c r="M1840" t="s">
        <v>23</v>
      </c>
      <c r="N1840" t="s">
        <v>3263</v>
      </c>
      <c r="O1840" t="s">
        <v>92</v>
      </c>
      <c r="P1840" t="s">
        <v>45</v>
      </c>
      <c r="Q1840">
        <v>2</v>
      </c>
      <c r="R1840" t="s">
        <v>67</v>
      </c>
      <c r="S1840" t="s">
        <v>28</v>
      </c>
      <c r="T1840" t="str">
        <f>VLOOKUP(S1840,'Mapa Oficinas'!$H$7:$I$16,2,FALSE)</f>
        <v>CB</v>
      </c>
      <c r="U1840" t="s">
        <v>29</v>
      </c>
      <c r="V1840" t="str">
        <f>VLOOKUP($R1840,'Mapa Oficinas'!$A$7:$C$46,2,FALSE)</f>
        <v>CABA</v>
      </c>
      <c r="W1840" t="str">
        <f>VLOOKUP($R1840,'Mapa Oficinas'!$A$7:$C$46,3,FALSE)</f>
        <v>Barrio Parque</v>
      </c>
    </row>
    <row r="1841" spans="1:23" x14ac:dyDescent="0.2">
      <c r="A1841" s="1">
        <v>46080</v>
      </c>
      <c r="B1841" s="20">
        <f t="shared" si="56"/>
        <v>2026</v>
      </c>
      <c r="C1841" s="20">
        <f t="shared" si="57"/>
        <v>2</v>
      </c>
      <c r="D1841" t="s">
        <v>6904</v>
      </c>
      <c r="E1841" s="49">
        <v>1</v>
      </c>
      <c r="F1841" t="s">
        <v>6905</v>
      </c>
      <c r="G1841" t="s">
        <v>21</v>
      </c>
      <c r="H1841" t="s">
        <v>37</v>
      </c>
      <c r="I1841" s="13">
        <v>159000</v>
      </c>
      <c r="J1841" s="13">
        <v>153000</v>
      </c>
      <c r="K1841" s="13">
        <f>IF(J1841&lt;'Mapa Oficinas'!$I$21,0,IF(J1841&gt;'Mapa Oficinas'!$I$20,0,1))</f>
        <v>1</v>
      </c>
      <c r="L1841" t="s">
        <v>23</v>
      </c>
      <c r="M1841" t="s">
        <v>23</v>
      </c>
      <c r="N1841" t="s">
        <v>6906</v>
      </c>
      <c r="O1841" t="s">
        <v>25</v>
      </c>
      <c r="P1841" t="s">
        <v>45</v>
      </c>
      <c r="Q1841">
        <v>2</v>
      </c>
      <c r="R1841" t="s">
        <v>46</v>
      </c>
      <c r="S1841" t="s">
        <v>28</v>
      </c>
      <c r="T1841" t="str">
        <f>VLOOKUP(S1841,'Mapa Oficinas'!$H$7:$I$16,2,FALSE)</f>
        <v>CB</v>
      </c>
      <c r="U1841" t="s">
        <v>29</v>
      </c>
      <c r="V1841" t="str">
        <f>VLOOKUP($R1841,'Mapa Oficinas'!$A$7:$C$46,2,FALSE)</f>
        <v>CABA</v>
      </c>
      <c r="W1841" t="str">
        <f>VLOOKUP($R1841,'Mapa Oficinas'!$A$7:$C$46,3,FALSE)</f>
        <v>Palermo</v>
      </c>
    </row>
    <row r="1842" spans="1:23" x14ac:dyDescent="0.2">
      <c r="A1842" s="1">
        <v>46066</v>
      </c>
      <c r="B1842" s="20">
        <f t="shared" si="56"/>
        <v>2026</v>
      </c>
      <c r="C1842" s="20">
        <f t="shared" si="57"/>
        <v>2</v>
      </c>
      <c r="D1842" t="s">
        <v>6709</v>
      </c>
      <c r="E1842" s="49">
        <v>3</v>
      </c>
      <c r="F1842" t="s">
        <v>6710</v>
      </c>
      <c r="G1842" t="s">
        <v>21</v>
      </c>
      <c r="H1842" t="s">
        <v>37</v>
      </c>
      <c r="I1842" s="13">
        <v>159604</v>
      </c>
      <c r="J1842" s="13">
        <v>153147</v>
      </c>
      <c r="K1842" s="13">
        <f>IF(J1842&lt;'Mapa Oficinas'!$I$21,0,IF(J1842&gt;'Mapa Oficinas'!$I$20,0,1))</f>
        <v>1</v>
      </c>
      <c r="L1842" t="s">
        <v>23</v>
      </c>
      <c r="M1842" t="s">
        <v>23</v>
      </c>
      <c r="N1842" t="s">
        <v>6711</v>
      </c>
      <c r="O1842" t="s">
        <v>6712</v>
      </c>
      <c r="P1842" t="s">
        <v>45</v>
      </c>
      <c r="Q1842">
        <v>2</v>
      </c>
      <c r="R1842" t="s">
        <v>257</v>
      </c>
      <c r="S1842" t="s">
        <v>241</v>
      </c>
      <c r="T1842" t="str">
        <f>VLOOKUP(S1842,'Mapa Oficinas'!$H$7:$I$16,2,FALSE)</f>
        <v>CB</v>
      </c>
      <c r="U1842" t="s">
        <v>29</v>
      </c>
      <c r="V1842" t="str">
        <f>VLOOKUP($R1842,'Mapa Oficinas'!$A$7:$C$46,2,FALSE)</f>
        <v>Zona Norte (GBA)</v>
      </c>
      <c r="W1842" t="str">
        <f>VLOOKUP($R1842,'Mapa Oficinas'!$A$7:$C$46,3,FALSE)</f>
        <v>Pilar</v>
      </c>
    </row>
    <row r="1843" spans="1:23" x14ac:dyDescent="0.2">
      <c r="A1843" s="1">
        <v>46080</v>
      </c>
      <c r="B1843" s="20">
        <f t="shared" si="56"/>
        <v>2026</v>
      </c>
      <c r="C1843" s="20">
        <f t="shared" si="57"/>
        <v>2</v>
      </c>
      <c r="D1843" t="s">
        <v>6907</v>
      </c>
      <c r="E1843" s="49">
        <v>1</v>
      </c>
      <c r="F1843" t="s">
        <v>6908</v>
      </c>
      <c r="G1843" t="s">
        <v>21</v>
      </c>
      <c r="H1843" t="s">
        <v>22</v>
      </c>
      <c r="I1843" s="13">
        <v>160000</v>
      </c>
      <c r="J1843" s="13">
        <v>153850</v>
      </c>
      <c r="K1843" s="13">
        <f>IF(J1843&lt;'Mapa Oficinas'!$I$21,0,IF(J1843&gt;'Mapa Oficinas'!$I$20,0,1))</f>
        <v>1</v>
      </c>
      <c r="L1843" t="s">
        <v>23</v>
      </c>
      <c r="M1843" t="s">
        <v>23</v>
      </c>
      <c r="N1843" t="s">
        <v>6909</v>
      </c>
      <c r="O1843" t="s">
        <v>6910</v>
      </c>
      <c r="P1843" t="s">
        <v>34</v>
      </c>
      <c r="Q1843">
        <v>2</v>
      </c>
      <c r="R1843" t="s">
        <v>257</v>
      </c>
      <c r="S1843" t="s">
        <v>28</v>
      </c>
      <c r="T1843" t="str">
        <f>VLOOKUP(S1843,'Mapa Oficinas'!$H$7:$I$16,2,FALSE)</f>
        <v>CB</v>
      </c>
      <c r="U1843" t="s">
        <v>29</v>
      </c>
      <c r="V1843" t="str">
        <f>VLOOKUP($R1843,'Mapa Oficinas'!$A$7:$C$46,2,FALSE)</f>
        <v>Zona Norte (GBA)</v>
      </c>
      <c r="W1843" t="str">
        <f>VLOOKUP($R1843,'Mapa Oficinas'!$A$7:$C$46,3,FALSE)</f>
        <v>Pilar</v>
      </c>
    </row>
    <row r="1844" spans="1:23" x14ac:dyDescent="0.2">
      <c r="A1844" s="1">
        <v>45945</v>
      </c>
      <c r="B1844" s="20">
        <f t="shared" si="56"/>
        <v>2025</v>
      </c>
      <c r="C1844" s="20">
        <f t="shared" si="57"/>
        <v>10</v>
      </c>
      <c r="D1844" t="s">
        <v>4725</v>
      </c>
      <c r="E1844" s="49">
        <v>1</v>
      </c>
      <c r="F1844" t="s">
        <v>4726</v>
      </c>
      <c r="G1844" t="s">
        <v>21</v>
      </c>
      <c r="H1844" t="s">
        <v>76</v>
      </c>
      <c r="I1844" s="13">
        <v>154000</v>
      </c>
      <c r="J1844" s="13">
        <v>154000</v>
      </c>
      <c r="K1844" s="13">
        <f>IF(J1844&lt;'Mapa Oficinas'!$I$21,0,IF(J1844&gt;'Mapa Oficinas'!$I$20,0,1))</f>
        <v>1</v>
      </c>
      <c r="L1844" t="s">
        <v>23</v>
      </c>
      <c r="M1844" t="s">
        <v>23</v>
      </c>
      <c r="N1844" t="s">
        <v>4727</v>
      </c>
      <c r="O1844" t="s">
        <v>4728</v>
      </c>
      <c r="P1844" t="s">
        <v>45</v>
      </c>
      <c r="Q1844">
        <v>2</v>
      </c>
      <c r="R1844" t="s">
        <v>84</v>
      </c>
      <c r="S1844" t="s">
        <v>79</v>
      </c>
      <c r="T1844" t="str">
        <f>VLOOKUP(S1844,'Mapa Oficinas'!$H$7:$I$16,2,FALSE)</f>
        <v>CB</v>
      </c>
      <c r="U1844" t="s">
        <v>29</v>
      </c>
      <c r="V1844" t="str">
        <f>VLOOKUP($R1844,'Mapa Oficinas'!$A$7:$C$46,2,FALSE)</f>
        <v>Interior - Neuquén</v>
      </c>
      <c r="W1844" t="str">
        <f>VLOOKUP($R1844,'Mapa Oficinas'!$A$7:$C$46,3,FALSE)</f>
        <v>Villa La Angostura</v>
      </c>
    </row>
    <row r="1845" spans="1:23" x14ac:dyDescent="0.2">
      <c r="A1845" s="1">
        <v>45954</v>
      </c>
      <c r="B1845" s="20">
        <f t="shared" si="56"/>
        <v>2025</v>
      </c>
      <c r="C1845" s="20">
        <f t="shared" si="57"/>
        <v>10</v>
      </c>
      <c r="D1845" t="s">
        <v>4914</v>
      </c>
      <c r="E1845" s="49">
        <v>1</v>
      </c>
      <c r="F1845" t="s">
        <v>4915</v>
      </c>
      <c r="G1845" t="s">
        <v>21</v>
      </c>
      <c r="H1845" t="s">
        <v>100</v>
      </c>
      <c r="I1845" s="13">
        <v>156000</v>
      </c>
      <c r="J1845" s="13">
        <v>154000</v>
      </c>
      <c r="K1845" s="13">
        <f>IF(J1845&lt;'Mapa Oficinas'!$I$21,0,IF(J1845&gt;'Mapa Oficinas'!$I$20,0,1))</f>
        <v>1</v>
      </c>
      <c r="L1845" t="s">
        <v>23</v>
      </c>
      <c r="M1845" t="s">
        <v>23</v>
      </c>
      <c r="N1845" t="s">
        <v>3346</v>
      </c>
      <c r="O1845" t="s">
        <v>3347</v>
      </c>
      <c r="P1845" t="s">
        <v>34</v>
      </c>
      <c r="Q1845">
        <v>2</v>
      </c>
      <c r="R1845" t="s">
        <v>121</v>
      </c>
      <c r="S1845" t="s">
        <v>79</v>
      </c>
      <c r="T1845" t="str">
        <f>VLOOKUP(S1845,'Mapa Oficinas'!$H$7:$I$16,2,FALSE)</f>
        <v>CB</v>
      </c>
      <c r="U1845" t="s">
        <v>29</v>
      </c>
      <c r="V1845" t="str">
        <f>VLOOKUP($R1845,'Mapa Oficinas'!$A$7:$C$46,2,FALSE)</f>
        <v>Interior - Río Negro</v>
      </c>
      <c r="W1845" t="str">
        <f>VLOOKUP($R1845,'Mapa Oficinas'!$A$7:$C$46,3,FALSE)</f>
        <v>Bariloche</v>
      </c>
    </row>
    <row r="1846" spans="1:23" x14ac:dyDescent="0.2">
      <c r="A1846" s="1">
        <v>46091</v>
      </c>
      <c r="B1846" s="20">
        <f t="shared" si="56"/>
        <v>2026</v>
      </c>
      <c r="C1846" s="20">
        <f t="shared" si="57"/>
        <v>3</v>
      </c>
      <c r="D1846" t="s">
        <v>7073</v>
      </c>
      <c r="E1846" s="49">
        <v>1</v>
      </c>
      <c r="F1846" t="s">
        <v>7074</v>
      </c>
      <c r="G1846" t="s">
        <v>21</v>
      </c>
      <c r="H1846" t="s">
        <v>37</v>
      </c>
      <c r="I1846" s="13">
        <v>99000</v>
      </c>
      <c r="J1846" s="13">
        <v>154000</v>
      </c>
      <c r="K1846" s="13">
        <f>IF(J1846&lt;'Mapa Oficinas'!$I$21,0,IF(J1846&gt;'Mapa Oficinas'!$I$20,0,1))</f>
        <v>1</v>
      </c>
      <c r="L1846" t="s">
        <v>23</v>
      </c>
      <c r="M1846" t="s">
        <v>23</v>
      </c>
      <c r="N1846" t="s">
        <v>7075</v>
      </c>
      <c r="O1846" t="s">
        <v>470</v>
      </c>
      <c r="P1846" t="s">
        <v>45</v>
      </c>
      <c r="Q1846">
        <v>1</v>
      </c>
      <c r="R1846" t="s">
        <v>110</v>
      </c>
      <c r="S1846" t="s">
        <v>47</v>
      </c>
      <c r="T1846" t="str">
        <f>VLOOKUP(S1846,'Mapa Oficinas'!$H$7:$I$16,2,FALSE)</f>
        <v>Otra Red Búsqueda</v>
      </c>
      <c r="U1846" t="s">
        <v>29</v>
      </c>
      <c r="V1846" t="str">
        <f>VLOOKUP($R1846,'Mapa Oficinas'!$A$7:$C$46,2,FALSE)</f>
        <v>Zona Norte (GBA)</v>
      </c>
      <c r="W1846" t="str">
        <f>VLOOKUP($R1846,'Mapa Oficinas'!$A$7:$C$46,3,FALSE)</f>
        <v>Nordelta</v>
      </c>
    </row>
    <row r="1847" spans="1:23" x14ac:dyDescent="0.2">
      <c r="A1847" s="1">
        <v>45944</v>
      </c>
      <c r="B1847" s="20">
        <f t="shared" si="56"/>
        <v>2025</v>
      </c>
      <c r="C1847" s="20">
        <f t="shared" si="57"/>
        <v>10</v>
      </c>
      <c r="D1847" t="s">
        <v>4669</v>
      </c>
      <c r="E1847" s="49">
        <v>1</v>
      </c>
      <c r="F1847" t="s">
        <v>4670</v>
      </c>
      <c r="G1847" t="s">
        <v>21</v>
      </c>
      <c r="H1847" t="s">
        <v>37</v>
      </c>
      <c r="I1847" s="13">
        <v>154000</v>
      </c>
      <c r="J1847" s="13">
        <v>154000</v>
      </c>
      <c r="K1847" s="13">
        <f>IF(J1847&lt;'Mapa Oficinas'!$I$21,0,IF(J1847&gt;'Mapa Oficinas'!$I$20,0,1))</f>
        <v>1</v>
      </c>
      <c r="L1847" t="s">
        <v>23</v>
      </c>
      <c r="M1847" t="s">
        <v>23</v>
      </c>
      <c r="N1847" t="s">
        <v>4671</v>
      </c>
      <c r="O1847" t="s">
        <v>1105</v>
      </c>
      <c r="P1847" t="s">
        <v>45</v>
      </c>
      <c r="Q1847">
        <v>2</v>
      </c>
      <c r="R1847" t="s">
        <v>67</v>
      </c>
      <c r="S1847" t="s">
        <v>200</v>
      </c>
      <c r="T1847" t="str">
        <f>VLOOKUP(S1847,'Mapa Oficinas'!$H$7:$I$16,2,FALSE)</f>
        <v>Otra Red Captación</v>
      </c>
      <c r="U1847" t="s">
        <v>29</v>
      </c>
      <c r="V1847" t="str">
        <f>VLOOKUP($R1847,'Mapa Oficinas'!$A$7:$C$46,2,FALSE)</f>
        <v>CABA</v>
      </c>
      <c r="W1847" t="str">
        <f>VLOOKUP($R1847,'Mapa Oficinas'!$A$7:$C$46,3,FALSE)</f>
        <v>Barrio Parque</v>
      </c>
    </row>
    <row r="1848" spans="1:23" x14ac:dyDescent="0.2">
      <c r="A1848" s="1">
        <v>46099</v>
      </c>
      <c r="B1848" s="20">
        <f t="shared" si="56"/>
        <v>2026</v>
      </c>
      <c r="C1848" s="20">
        <f t="shared" si="57"/>
        <v>3</v>
      </c>
      <c r="E1848" s="49">
        <v>3</v>
      </c>
      <c r="F1848" t="s">
        <v>7277</v>
      </c>
      <c r="G1848" t="s">
        <v>21</v>
      </c>
      <c r="H1848" t="s">
        <v>37</v>
      </c>
      <c r="I1848" s="13">
        <v>154000</v>
      </c>
      <c r="J1848" s="13">
        <v>154000</v>
      </c>
      <c r="K1848" s="13">
        <f>IF(J1848&lt;'Mapa Oficinas'!$I$21,0,IF(J1848&gt;'Mapa Oficinas'!$I$20,0,1))</f>
        <v>1</v>
      </c>
      <c r="L1848" t="s">
        <v>23</v>
      </c>
      <c r="M1848" t="s">
        <v>23</v>
      </c>
      <c r="N1848" t="s">
        <v>7277</v>
      </c>
      <c r="O1848" t="s">
        <v>440</v>
      </c>
      <c r="P1848" t="s">
        <v>45</v>
      </c>
      <c r="Q1848">
        <v>2</v>
      </c>
      <c r="R1848" t="s">
        <v>135</v>
      </c>
      <c r="S1848" t="s">
        <v>232</v>
      </c>
      <c r="T1848" t="str">
        <f>VLOOKUP(S1848,'Mapa Oficinas'!$H$7:$I$16,2,FALSE)</f>
        <v>CB</v>
      </c>
      <c r="U1848" t="s">
        <v>29</v>
      </c>
      <c r="V1848" t="str">
        <f>VLOOKUP($R1848,'Mapa Oficinas'!$A$7:$C$46,2,FALSE)</f>
        <v>CABA</v>
      </c>
      <c r="W1848" t="str">
        <f>VLOOKUP($R1848,'Mapa Oficinas'!$A$7:$C$46,3,FALSE)</f>
        <v>Recoleta</v>
      </c>
    </row>
    <row r="1849" spans="1:23" x14ac:dyDescent="0.2">
      <c r="A1849" s="1">
        <v>45744</v>
      </c>
      <c r="B1849" s="20">
        <f t="shared" si="56"/>
        <v>2025</v>
      </c>
      <c r="C1849" s="20">
        <f t="shared" si="57"/>
        <v>3</v>
      </c>
      <c r="D1849" t="s">
        <v>1173</v>
      </c>
      <c r="E1849" s="49">
        <v>1</v>
      </c>
      <c r="F1849" t="s">
        <v>1174</v>
      </c>
      <c r="G1849" t="s">
        <v>21</v>
      </c>
      <c r="H1849" t="s">
        <v>22</v>
      </c>
      <c r="I1849" s="13">
        <v>156000</v>
      </c>
      <c r="J1849" s="13">
        <v>154000</v>
      </c>
      <c r="K1849" s="13">
        <f>IF(J1849&lt;'Mapa Oficinas'!$I$21,0,IF(J1849&gt;'Mapa Oficinas'!$I$20,0,1))</f>
        <v>1</v>
      </c>
      <c r="L1849" t="s">
        <v>23</v>
      </c>
      <c r="M1849" t="s">
        <v>23</v>
      </c>
      <c r="N1849" t="s">
        <v>1175</v>
      </c>
      <c r="O1849" t="s">
        <v>39</v>
      </c>
      <c r="P1849" t="s">
        <v>34</v>
      </c>
      <c r="Q1849">
        <v>2</v>
      </c>
      <c r="R1849" t="s">
        <v>257</v>
      </c>
      <c r="S1849" t="s">
        <v>28</v>
      </c>
      <c r="T1849" t="str">
        <f>VLOOKUP(S1849,'Mapa Oficinas'!$H$7:$I$16,2,FALSE)</f>
        <v>CB</v>
      </c>
      <c r="U1849" t="s">
        <v>29</v>
      </c>
      <c r="V1849" t="str">
        <f>VLOOKUP($R1849,'Mapa Oficinas'!$A$7:$C$46,2,FALSE)</f>
        <v>Zona Norte (GBA)</v>
      </c>
      <c r="W1849" t="str">
        <f>VLOOKUP($R1849,'Mapa Oficinas'!$A$7:$C$46,3,FALSE)</f>
        <v>Pilar</v>
      </c>
    </row>
    <row r="1850" spans="1:23" x14ac:dyDescent="0.2">
      <c r="A1850" s="1">
        <v>45777</v>
      </c>
      <c r="B1850" s="20">
        <f t="shared" si="56"/>
        <v>2025</v>
      </c>
      <c r="C1850" s="20">
        <f t="shared" si="57"/>
        <v>4</v>
      </c>
      <c r="D1850" t="s">
        <v>1748</v>
      </c>
      <c r="E1850" s="49">
        <v>1</v>
      </c>
      <c r="F1850" t="s">
        <v>1749</v>
      </c>
      <c r="G1850" t="s">
        <v>21</v>
      </c>
      <c r="H1850" t="s">
        <v>37</v>
      </c>
      <c r="I1850" s="13">
        <v>154000</v>
      </c>
      <c r="J1850" s="13">
        <v>154000</v>
      </c>
      <c r="K1850" s="13">
        <f>IF(J1850&lt;'Mapa Oficinas'!$I$21,0,IF(J1850&gt;'Mapa Oficinas'!$I$20,0,1))</f>
        <v>1</v>
      </c>
      <c r="L1850" t="s">
        <v>23</v>
      </c>
      <c r="M1850" t="s">
        <v>23</v>
      </c>
      <c r="O1850" t="s">
        <v>66</v>
      </c>
      <c r="P1850" t="s">
        <v>45</v>
      </c>
      <c r="Q1850">
        <v>2</v>
      </c>
      <c r="R1850" t="s">
        <v>321</v>
      </c>
      <c r="S1850" t="s">
        <v>28</v>
      </c>
      <c r="T1850" t="str">
        <f>VLOOKUP(S1850,'Mapa Oficinas'!$H$7:$I$16,2,FALSE)</f>
        <v>CB</v>
      </c>
      <c r="U1850" t="s">
        <v>29</v>
      </c>
      <c r="V1850" t="str">
        <f>VLOOKUP($R1850,'Mapa Oficinas'!$A$7:$C$46,2,FALSE)</f>
        <v>CABA</v>
      </c>
      <c r="W1850" t="str">
        <f>VLOOKUP($R1850,'Mapa Oficinas'!$A$7:$C$46,3,FALSE)</f>
        <v>Palermo</v>
      </c>
    </row>
    <row r="1851" spans="1:23" x14ac:dyDescent="0.2">
      <c r="A1851" s="1">
        <v>45835</v>
      </c>
      <c r="B1851" s="20">
        <f t="shared" si="56"/>
        <v>2025</v>
      </c>
      <c r="C1851" s="20">
        <f t="shared" si="57"/>
        <v>6</v>
      </c>
      <c r="D1851" t="s">
        <v>2714</v>
      </c>
      <c r="E1851" s="49">
        <v>1</v>
      </c>
      <c r="F1851" t="s">
        <v>2715</v>
      </c>
      <c r="G1851" t="s">
        <v>21</v>
      </c>
      <c r="H1851" t="s">
        <v>90</v>
      </c>
      <c r="I1851" s="13">
        <v>159900</v>
      </c>
      <c r="J1851" s="13">
        <v>154000</v>
      </c>
      <c r="K1851" s="13">
        <f>IF(J1851&lt;'Mapa Oficinas'!$I$21,0,IF(J1851&gt;'Mapa Oficinas'!$I$20,0,1))</f>
        <v>1</v>
      </c>
      <c r="L1851" t="s">
        <v>23</v>
      </c>
      <c r="M1851" t="s">
        <v>23</v>
      </c>
      <c r="N1851" t="s">
        <v>2716</v>
      </c>
      <c r="O1851" t="s">
        <v>141</v>
      </c>
      <c r="P1851" t="s">
        <v>45</v>
      </c>
      <c r="Q1851">
        <v>2</v>
      </c>
      <c r="R1851" t="s">
        <v>62</v>
      </c>
      <c r="S1851" t="s">
        <v>28</v>
      </c>
      <c r="T1851" t="str">
        <f>VLOOKUP(S1851,'Mapa Oficinas'!$H$7:$I$16,2,FALSE)</f>
        <v>CB</v>
      </c>
      <c r="U1851" t="s">
        <v>29</v>
      </c>
      <c r="V1851" t="str">
        <f>VLOOKUP($R1851,'Mapa Oficinas'!$A$7:$C$46,2,FALSE)</f>
        <v>CABA</v>
      </c>
      <c r="W1851" t="str">
        <f>VLOOKUP($R1851,'Mapa Oficinas'!$A$7:$C$46,3,FALSE)</f>
        <v>Villa Urquiza</v>
      </c>
    </row>
    <row r="1852" spans="1:23" x14ac:dyDescent="0.2">
      <c r="A1852" s="1">
        <v>45838</v>
      </c>
      <c r="B1852" s="20">
        <f t="shared" si="56"/>
        <v>2025</v>
      </c>
      <c r="C1852" s="20">
        <f t="shared" si="57"/>
        <v>6</v>
      </c>
      <c r="D1852" t="s">
        <v>2787</v>
      </c>
      <c r="E1852" s="49">
        <v>1</v>
      </c>
      <c r="F1852" t="s">
        <v>2788</v>
      </c>
      <c r="G1852" t="s">
        <v>21</v>
      </c>
      <c r="H1852" t="s">
        <v>37</v>
      </c>
      <c r="I1852" s="13">
        <v>158000</v>
      </c>
      <c r="J1852" s="13">
        <v>154000</v>
      </c>
      <c r="K1852" s="13">
        <f>IF(J1852&lt;'Mapa Oficinas'!$I$21,0,IF(J1852&gt;'Mapa Oficinas'!$I$20,0,1))</f>
        <v>1</v>
      </c>
      <c r="L1852" t="s">
        <v>23</v>
      </c>
      <c r="M1852" t="s">
        <v>23</v>
      </c>
      <c r="N1852" t="s">
        <v>2789</v>
      </c>
      <c r="O1852" t="s">
        <v>50</v>
      </c>
      <c r="P1852" t="s">
        <v>45</v>
      </c>
      <c r="Q1852">
        <v>2</v>
      </c>
      <c r="R1852" t="s">
        <v>670</v>
      </c>
      <c r="S1852" t="s">
        <v>28</v>
      </c>
      <c r="T1852" t="str">
        <f>VLOOKUP(S1852,'Mapa Oficinas'!$H$7:$I$16,2,FALSE)</f>
        <v>CB</v>
      </c>
      <c r="U1852" t="s">
        <v>29</v>
      </c>
      <c r="V1852" t="str">
        <f>VLOOKUP($R1852,'Mapa Oficinas'!$A$7:$C$46,2,FALSE)</f>
        <v>CABA</v>
      </c>
      <c r="W1852" t="str">
        <f>VLOOKUP($R1852,'Mapa Oficinas'!$A$7:$C$46,3,FALSE)</f>
        <v>Recoleta</v>
      </c>
    </row>
    <row r="1853" spans="1:23" x14ac:dyDescent="0.2">
      <c r="A1853" s="1">
        <v>46100</v>
      </c>
      <c r="B1853" s="20">
        <f t="shared" si="56"/>
        <v>2026</v>
      </c>
      <c r="C1853" s="20">
        <f t="shared" si="57"/>
        <v>3</v>
      </c>
      <c r="D1853" t="s">
        <v>7316</v>
      </c>
      <c r="E1853" s="49">
        <v>1</v>
      </c>
      <c r="F1853" t="s">
        <v>7317</v>
      </c>
      <c r="G1853" t="s">
        <v>21</v>
      </c>
      <c r="H1853" t="s">
        <v>37</v>
      </c>
      <c r="I1853" s="13">
        <v>163000</v>
      </c>
      <c r="J1853" s="13">
        <v>155000</v>
      </c>
      <c r="K1853" s="13">
        <f>IF(J1853&lt;'Mapa Oficinas'!$I$21,0,IF(J1853&gt;'Mapa Oficinas'!$I$20,0,1))</f>
        <v>1</v>
      </c>
      <c r="L1853" t="s">
        <v>23</v>
      </c>
      <c r="M1853" t="s">
        <v>23</v>
      </c>
      <c r="N1853" t="s">
        <v>7318</v>
      </c>
      <c r="O1853" t="s">
        <v>7319</v>
      </c>
      <c r="P1853" t="s">
        <v>45</v>
      </c>
      <c r="Q1853">
        <v>1</v>
      </c>
      <c r="R1853" t="s">
        <v>56</v>
      </c>
      <c r="S1853" t="s">
        <v>122</v>
      </c>
      <c r="T1853" t="str">
        <f>VLOOKUP(S1853,'Mapa Oficinas'!$H$7:$I$16,2,FALSE)</f>
        <v>Otra Red Búsqueda</v>
      </c>
      <c r="U1853" t="s">
        <v>29</v>
      </c>
      <c r="V1853" t="str">
        <f>VLOOKUP($R1853,'Mapa Oficinas'!$A$7:$C$46,2,FALSE)</f>
        <v>Zona Norte (GBA)</v>
      </c>
      <c r="W1853" t="str">
        <f>VLOOKUP($R1853,'Mapa Oficinas'!$A$7:$C$46,3,FALSE)</f>
        <v>Vicente López</v>
      </c>
    </row>
    <row r="1854" spans="1:23" x14ac:dyDescent="0.2">
      <c r="A1854" s="1">
        <v>45669</v>
      </c>
      <c r="B1854" s="20">
        <f t="shared" si="56"/>
        <v>2025</v>
      </c>
      <c r="C1854" s="20">
        <f t="shared" si="57"/>
        <v>1</v>
      </c>
      <c r="D1854" t="s">
        <v>191</v>
      </c>
      <c r="E1854" s="49">
        <v>1</v>
      </c>
      <c r="F1854" t="s">
        <v>192</v>
      </c>
      <c r="G1854" t="s">
        <v>21</v>
      </c>
      <c r="H1854" t="s">
        <v>37</v>
      </c>
      <c r="I1854" s="13">
        <v>150000</v>
      </c>
      <c r="J1854" s="13">
        <v>155000</v>
      </c>
      <c r="K1854" s="13">
        <f>IF(J1854&lt;'Mapa Oficinas'!$I$21,0,IF(J1854&gt;'Mapa Oficinas'!$I$20,0,1))</f>
        <v>1</v>
      </c>
      <c r="L1854" t="s">
        <v>23</v>
      </c>
      <c r="M1854" t="s">
        <v>23</v>
      </c>
      <c r="N1854" t="s">
        <v>192</v>
      </c>
      <c r="O1854" t="s">
        <v>193</v>
      </c>
      <c r="P1854" t="s">
        <v>34</v>
      </c>
      <c r="Q1854">
        <v>1</v>
      </c>
      <c r="R1854" t="s">
        <v>110</v>
      </c>
      <c r="S1854" t="s">
        <v>152</v>
      </c>
      <c r="T1854" t="str">
        <f>VLOOKUP(S1854,'Mapa Oficinas'!$H$7:$I$16,2,FALSE)</f>
        <v>Otra Red Captación</v>
      </c>
      <c r="U1854" t="s">
        <v>29</v>
      </c>
      <c r="V1854" t="str">
        <f>VLOOKUP($R1854,'Mapa Oficinas'!$A$7:$C$46,2,FALSE)</f>
        <v>Zona Norte (GBA)</v>
      </c>
      <c r="W1854" t="str">
        <f>VLOOKUP($R1854,'Mapa Oficinas'!$A$7:$C$46,3,FALSE)</f>
        <v>Nordelta</v>
      </c>
    </row>
    <row r="1855" spans="1:23" x14ac:dyDescent="0.2">
      <c r="A1855" s="1">
        <v>45845</v>
      </c>
      <c r="B1855" s="20">
        <f t="shared" si="56"/>
        <v>2025</v>
      </c>
      <c r="C1855" s="20">
        <f t="shared" si="57"/>
        <v>7</v>
      </c>
      <c r="D1855" t="s">
        <v>2906</v>
      </c>
      <c r="E1855" s="49">
        <v>1</v>
      </c>
      <c r="F1855" t="s">
        <v>2906</v>
      </c>
      <c r="G1855" t="s">
        <v>21</v>
      </c>
      <c r="H1855" t="s">
        <v>90</v>
      </c>
      <c r="I1855" s="13">
        <v>155000</v>
      </c>
      <c r="J1855" s="13">
        <v>155000</v>
      </c>
      <c r="K1855" s="13">
        <f>IF(J1855&lt;'Mapa Oficinas'!$I$21,0,IF(J1855&gt;'Mapa Oficinas'!$I$20,0,1))</f>
        <v>1</v>
      </c>
      <c r="L1855" t="s">
        <v>23</v>
      </c>
      <c r="M1855" t="s">
        <v>23</v>
      </c>
      <c r="N1855" t="s">
        <v>2906</v>
      </c>
      <c r="O1855" t="s">
        <v>116</v>
      </c>
      <c r="P1855" t="s">
        <v>45</v>
      </c>
      <c r="Q1855">
        <v>2</v>
      </c>
      <c r="R1855" t="s">
        <v>62</v>
      </c>
      <c r="S1855" t="s">
        <v>79</v>
      </c>
      <c r="T1855" t="str">
        <f>VLOOKUP(S1855,'Mapa Oficinas'!$H$7:$I$16,2,FALSE)</f>
        <v>CB</v>
      </c>
      <c r="U1855" t="s">
        <v>29</v>
      </c>
      <c r="V1855" t="str">
        <f>VLOOKUP($R1855,'Mapa Oficinas'!$A$7:$C$46,2,FALSE)</f>
        <v>CABA</v>
      </c>
      <c r="W1855" t="str">
        <f>VLOOKUP($R1855,'Mapa Oficinas'!$A$7:$C$46,3,FALSE)</f>
        <v>Villa Urquiza</v>
      </c>
    </row>
    <row r="1856" spans="1:23" x14ac:dyDescent="0.2">
      <c r="A1856" s="1">
        <v>45832</v>
      </c>
      <c r="B1856" s="20">
        <f t="shared" si="56"/>
        <v>2025</v>
      </c>
      <c r="C1856" s="20">
        <f t="shared" si="57"/>
        <v>6</v>
      </c>
      <c r="E1856" s="49">
        <v>1</v>
      </c>
      <c r="F1856" t="s">
        <v>2618</v>
      </c>
      <c r="G1856" t="s">
        <v>21</v>
      </c>
      <c r="H1856" t="s">
        <v>37</v>
      </c>
      <c r="I1856" s="13">
        <v>155000</v>
      </c>
      <c r="J1856" s="13">
        <v>155000</v>
      </c>
      <c r="K1856" s="13">
        <f>IF(J1856&lt;'Mapa Oficinas'!$I$21,0,IF(J1856&gt;'Mapa Oficinas'!$I$20,0,1))</f>
        <v>1</v>
      </c>
      <c r="L1856" t="s">
        <v>23</v>
      </c>
      <c r="M1856" t="s">
        <v>23</v>
      </c>
      <c r="N1856" t="s">
        <v>2619</v>
      </c>
      <c r="O1856" t="s">
        <v>50</v>
      </c>
      <c r="P1856" t="s">
        <v>45</v>
      </c>
      <c r="Q1856">
        <v>1</v>
      </c>
      <c r="R1856" t="s">
        <v>135</v>
      </c>
      <c r="S1856" t="s">
        <v>47</v>
      </c>
      <c r="T1856" t="str">
        <f>VLOOKUP(S1856,'Mapa Oficinas'!$H$7:$I$16,2,FALSE)</f>
        <v>Otra Red Búsqueda</v>
      </c>
      <c r="U1856" t="s">
        <v>29</v>
      </c>
      <c r="V1856" t="str">
        <f>VLOOKUP($R1856,'Mapa Oficinas'!$A$7:$C$46,2,FALSE)</f>
        <v>CABA</v>
      </c>
      <c r="W1856" t="str">
        <f>VLOOKUP($R1856,'Mapa Oficinas'!$A$7:$C$46,3,FALSE)</f>
        <v>Recoleta</v>
      </c>
    </row>
    <row r="1857" spans="1:23" x14ac:dyDescent="0.2">
      <c r="A1857" s="1">
        <v>45863</v>
      </c>
      <c r="B1857" s="20">
        <f t="shared" si="56"/>
        <v>2025</v>
      </c>
      <c r="C1857" s="20">
        <f t="shared" si="57"/>
        <v>7</v>
      </c>
      <c r="D1857" t="s">
        <v>3228</v>
      </c>
      <c r="E1857" s="49">
        <v>3</v>
      </c>
      <c r="F1857" t="s">
        <v>3229</v>
      </c>
      <c r="G1857" t="s">
        <v>21</v>
      </c>
      <c r="H1857" t="s">
        <v>37</v>
      </c>
      <c r="I1857" s="13">
        <v>160000</v>
      </c>
      <c r="J1857" s="13">
        <v>155000</v>
      </c>
      <c r="K1857" s="13">
        <f>IF(J1857&lt;'Mapa Oficinas'!$I$21,0,IF(J1857&gt;'Mapa Oficinas'!$I$20,0,1))</f>
        <v>1</v>
      </c>
      <c r="L1857" t="s">
        <v>23</v>
      </c>
      <c r="M1857" t="s">
        <v>23</v>
      </c>
      <c r="N1857" t="s">
        <v>3230</v>
      </c>
      <c r="O1857" t="s">
        <v>39</v>
      </c>
      <c r="P1857" t="s">
        <v>34</v>
      </c>
      <c r="Q1857">
        <v>2</v>
      </c>
      <c r="R1857" t="s">
        <v>40</v>
      </c>
      <c r="S1857" t="s">
        <v>232</v>
      </c>
      <c r="T1857" t="str">
        <f>VLOOKUP(S1857,'Mapa Oficinas'!$H$7:$I$16,2,FALSE)</f>
        <v>CB</v>
      </c>
      <c r="U1857" t="s">
        <v>29</v>
      </c>
      <c r="V1857" t="str">
        <f>VLOOKUP($R1857,'Mapa Oficinas'!$A$7:$C$46,2,FALSE)</f>
        <v>CABA</v>
      </c>
      <c r="W1857" t="str">
        <f>VLOOKUP($R1857,'Mapa Oficinas'!$A$7:$C$46,3,FALSE)</f>
        <v>Núñez</v>
      </c>
    </row>
    <row r="1858" spans="1:23" x14ac:dyDescent="0.2">
      <c r="A1858" s="1">
        <v>45933</v>
      </c>
      <c r="B1858" s="20">
        <f t="shared" ref="B1858:B1921" si="58">YEAR($A1858)</f>
        <v>2025</v>
      </c>
      <c r="C1858" s="20">
        <f t="shared" ref="C1858:C1921" si="59">MONTH($A1858)</f>
        <v>10</v>
      </c>
      <c r="D1858" t="s">
        <v>4486</v>
      </c>
      <c r="E1858" s="49">
        <v>3</v>
      </c>
      <c r="F1858" t="s">
        <v>2536</v>
      </c>
      <c r="G1858" t="s">
        <v>21</v>
      </c>
      <c r="H1858" t="s">
        <v>37</v>
      </c>
      <c r="I1858" s="13">
        <v>165000</v>
      </c>
      <c r="J1858" s="13">
        <v>155000</v>
      </c>
      <c r="K1858" s="13">
        <f>IF(J1858&lt;'Mapa Oficinas'!$I$21,0,IF(J1858&gt;'Mapa Oficinas'!$I$20,0,1))</f>
        <v>1</v>
      </c>
      <c r="L1858" t="s">
        <v>23</v>
      </c>
      <c r="M1858" t="s">
        <v>23</v>
      </c>
      <c r="N1858" t="s">
        <v>2536</v>
      </c>
      <c r="O1858" t="s">
        <v>2537</v>
      </c>
      <c r="P1858" t="s">
        <v>34</v>
      </c>
      <c r="Q1858">
        <v>2</v>
      </c>
      <c r="R1858" t="s">
        <v>110</v>
      </c>
      <c r="S1858" t="s">
        <v>232</v>
      </c>
      <c r="T1858" t="str">
        <f>VLOOKUP(S1858,'Mapa Oficinas'!$H$7:$I$16,2,FALSE)</f>
        <v>CB</v>
      </c>
      <c r="U1858" t="s">
        <v>29</v>
      </c>
      <c r="V1858" t="str">
        <f>VLOOKUP($R1858,'Mapa Oficinas'!$A$7:$C$46,2,FALSE)</f>
        <v>Zona Norte (GBA)</v>
      </c>
      <c r="W1858" t="str">
        <f>VLOOKUP($R1858,'Mapa Oficinas'!$A$7:$C$46,3,FALSE)</f>
        <v>Nordelta</v>
      </c>
    </row>
    <row r="1859" spans="1:23" x14ac:dyDescent="0.2">
      <c r="A1859" s="1">
        <v>45975</v>
      </c>
      <c r="B1859" s="20">
        <f t="shared" si="58"/>
        <v>2025</v>
      </c>
      <c r="C1859" s="20">
        <f t="shared" si="59"/>
        <v>11</v>
      </c>
      <c r="D1859" t="s">
        <v>5234</v>
      </c>
      <c r="E1859" s="49">
        <v>3</v>
      </c>
      <c r="F1859" t="s">
        <v>5235</v>
      </c>
      <c r="G1859" t="s">
        <v>21</v>
      </c>
      <c r="H1859" t="s">
        <v>37</v>
      </c>
      <c r="I1859" s="13">
        <v>170000</v>
      </c>
      <c r="J1859" s="13">
        <v>155000</v>
      </c>
      <c r="K1859" s="13">
        <f>IF(J1859&lt;'Mapa Oficinas'!$I$21,0,IF(J1859&gt;'Mapa Oficinas'!$I$20,0,1))</f>
        <v>1</v>
      </c>
      <c r="L1859" t="s">
        <v>23</v>
      </c>
      <c r="M1859" t="s">
        <v>23</v>
      </c>
      <c r="N1859" t="s">
        <v>5236</v>
      </c>
      <c r="O1859" t="s">
        <v>5237</v>
      </c>
      <c r="P1859" t="s">
        <v>34</v>
      </c>
      <c r="Q1859">
        <v>2</v>
      </c>
      <c r="R1859" t="s">
        <v>67</v>
      </c>
      <c r="S1859" t="s">
        <v>241</v>
      </c>
      <c r="T1859" t="str">
        <f>VLOOKUP(S1859,'Mapa Oficinas'!$H$7:$I$16,2,FALSE)</f>
        <v>CB</v>
      </c>
      <c r="U1859" t="s">
        <v>29</v>
      </c>
      <c r="V1859" t="str">
        <f>VLOOKUP($R1859,'Mapa Oficinas'!$A$7:$C$46,2,FALSE)</f>
        <v>CABA</v>
      </c>
      <c r="W1859" t="str">
        <f>VLOOKUP($R1859,'Mapa Oficinas'!$A$7:$C$46,3,FALSE)</f>
        <v>Barrio Parque</v>
      </c>
    </row>
    <row r="1860" spans="1:23" x14ac:dyDescent="0.2">
      <c r="A1860" s="1">
        <v>45702</v>
      </c>
      <c r="B1860" s="20">
        <f t="shared" si="58"/>
        <v>2025</v>
      </c>
      <c r="C1860" s="20">
        <f t="shared" si="59"/>
        <v>2</v>
      </c>
      <c r="D1860" t="s">
        <v>613</v>
      </c>
      <c r="E1860" s="49">
        <v>1</v>
      </c>
      <c r="F1860" t="s">
        <v>614</v>
      </c>
      <c r="G1860" t="s">
        <v>21</v>
      </c>
      <c r="H1860" t="s">
        <v>76</v>
      </c>
      <c r="I1860" s="13">
        <v>155000</v>
      </c>
      <c r="J1860" s="13">
        <v>155000</v>
      </c>
      <c r="K1860" s="13">
        <f>IF(J1860&lt;'Mapa Oficinas'!$I$21,0,IF(J1860&gt;'Mapa Oficinas'!$I$20,0,1))</f>
        <v>1</v>
      </c>
      <c r="L1860" t="s">
        <v>23</v>
      </c>
      <c r="M1860" t="s">
        <v>23</v>
      </c>
      <c r="N1860" t="s">
        <v>615</v>
      </c>
      <c r="O1860" t="s">
        <v>72</v>
      </c>
      <c r="P1860" t="s">
        <v>34</v>
      </c>
      <c r="Q1860">
        <v>2</v>
      </c>
      <c r="R1860" t="s">
        <v>73</v>
      </c>
      <c r="S1860" t="s">
        <v>28</v>
      </c>
      <c r="T1860" t="str">
        <f>VLOOKUP(S1860,'Mapa Oficinas'!$H$7:$I$16,2,FALSE)</f>
        <v>CB</v>
      </c>
      <c r="U1860" t="s">
        <v>29</v>
      </c>
      <c r="V1860" t="str">
        <f>VLOOKUP($R1860,'Mapa Oficinas'!$A$7:$C$46,2,FALSE)</f>
        <v>Interior - Salta</v>
      </c>
      <c r="W1860" t="str">
        <f>VLOOKUP($R1860,'Mapa Oficinas'!$A$7:$C$46,3,FALSE)</f>
        <v>San Lorenzo Chico</v>
      </c>
    </row>
    <row r="1861" spans="1:23" x14ac:dyDescent="0.2">
      <c r="A1861" s="1">
        <v>45736</v>
      </c>
      <c r="B1861" s="20">
        <f t="shared" si="58"/>
        <v>2025</v>
      </c>
      <c r="C1861" s="20">
        <f t="shared" si="59"/>
        <v>3</v>
      </c>
      <c r="D1861" t="s">
        <v>1025</v>
      </c>
      <c r="E1861" s="49">
        <v>1</v>
      </c>
      <c r="F1861" t="s">
        <v>1026</v>
      </c>
      <c r="G1861" t="s">
        <v>21</v>
      </c>
      <c r="H1861" t="s">
        <v>90</v>
      </c>
      <c r="I1861" s="13">
        <v>175000</v>
      </c>
      <c r="J1861" s="13">
        <v>155000</v>
      </c>
      <c r="K1861" s="13">
        <f>IF(J1861&lt;'Mapa Oficinas'!$I$21,0,IF(J1861&gt;'Mapa Oficinas'!$I$20,0,1))</f>
        <v>1</v>
      </c>
      <c r="L1861" t="s">
        <v>23</v>
      </c>
      <c r="M1861" t="s">
        <v>23</v>
      </c>
      <c r="N1861" t="s">
        <v>1027</v>
      </c>
      <c r="O1861" t="s">
        <v>1028</v>
      </c>
      <c r="P1861" t="s">
        <v>34</v>
      </c>
      <c r="Q1861">
        <v>2</v>
      </c>
      <c r="R1861" t="s">
        <v>62</v>
      </c>
      <c r="S1861" t="s">
        <v>28</v>
      </c>
      <c r="T1861" t="str">
        <f>VLOOKUP(S1861,'Mapa Oficinas'!$H$7:$I$16,2,FALSE)</f>
        <v>CB</v>
      </c>
      <c r="U1861" t="s">
        <v>29</v>
      </c>
      <c r="V1861" t="str">
        <f>VLOOKUP($R1861,'Mapa Oficinas'!$A$7:$C$46,2,FALSE)</f>
        <v>CABA</v>
      </c>
      <c r="W1861" t="str">
        <f>VLOOKUP($R1861,'Mapa Oficinas'!$A$7:$C$46,3,FALSE)</f>
        <v>Villa Urquiza</v>
      </c>
    </row>
    <row r="1862" spans="1:23" x14ac:dyDescent="0.2">
      <c r="A1862" s="1">
        <v>45775</v>
      </c>
      <c r="B1862" s="20">
        <f t="shared" si="58"/>
        <v>2025</v>
      </c>
      <c r="C1862" s="20">
        <f t="shared" si="59"/>
        <v>4</v>
      </c>
      <c r="D1862" t="s">
        <v>1661</v>
      </c>
      <c r="E1862" s="49">
        <v>1</v>
      </c>
      <c r="F1862" t="s">
        <v>1662</v>
      </c>
      <c r="G1862" t="s">
        <v>21</v>
      </c>
      <c r="H1862" t="s">
        <v>22</v>
      </c>
      <c r="I1862" s="13">
        <v>165000</v>
      </c>
      <c r="J1862" s="13">
        <v>155000</v>
      </c>
      <c r="K1862" s="13">
        <f>IF(J1862&lt;'Mapa Oficinas'!$I$21,0,IF(J1862&gt;'Mapa Oficinas'!$I$20,0,1))</f>
        <v>1</v>
      </c>
      <c r="L1862" t="s">
        <v>23</v>
      </c>
      <c r="M1862" t="s">
        <v>23</v>
      </c>
      <c r="N1862" t="s">
        <v>1662</v>
      </c>
      <c r="O1862" t="s">
        <v>1663</v>
      </c>
      <c r="P1862" t="s">
        <v>45</v>
      </c>
      <c r="Q1862">
        <v>2</v>
      </c>
      <c r="R1862" t="s">
        <v>257</v>
      </c>
      <c r="S1862" t="s">
        <v>28</v>
      </c>
      <c r="T1862" t="str">
        <f>VLOOKUP(S1862,'Mapa Oficinas'!$H$7:$I$16,2,FALSE)</f>
        <v>CB</v>
      </c>
      <c r="U1862" t="s">
        <v>29</v>
      </c>
      <c r="V1862" t="str">
        <f>VLOOKUP($R1862,'Mapa Oficinas'!$A$7:$C$46,2,FALSE)</f>
        <v>Zona Norte (GBA)</v>
      </c>
      <c r="W1862" t="str">
        <f>VLOOKUP($R1862,'Mapa Oficinas'!$A$7:$C$46,3,FALSE)</f>
        <v>Pilar</v>
      </c>
    </row>
    <row r="1863" spans="1:23" x14ac:dyDescent="0.2">
      <c r="A1863" s="1">
        <v>45834</v>
      </c>
      <c r="B1863" s="20">
        <f t="shared" si="58"/>
        <v>2025</v>
      </c>
      <c r="C1863" s="20">
        <f t="shared" si="59"/>
        <v>6</v>
      </c>
      <c r="D1863" t="s">
        <v>2666</v>
      </c>
      <c r="E1863" s="49">
        <v>1</v>
      </c>
      <c r="F1863" t="s">
        <v>2667</v>
      </c>
      <c r="G1863" t="s">
        <v>21</v>
      </c>
      <c r="H1863" t="s">
        <v>22</v>
      </c>
      <c r="I1863" s="13">
        <v>170000</v>
      </c>
      <c r="J1863" s="13">
        <v>155000</v>
      </c>
      <c r="K1863" s="13">
        <f>IF(J1863&lt;'Mapa Oficinas'!$I$21,0,IF(J1863&gt;'Mapa Oficinas'!$I$20,0,1))</f>
        <v>1</v>
      </c>
      <c r="L1863" t="s">
        <v>23</v>
      </c>
      <c r="M1863" t="s">
        <v>23</v>
      </c>
      <c r="N1863" t="s">
        <v>2668</v>
      </c>
      <c r="O1863" t="s">
        <v>2669</v>
      </c>
      <c r="P1863" t="s">
        <v>61</v>
      </c>
      <c r="Q1863">
        <v>2</v>
      </c>
      <c r="R1863" t="s">
        <v>62</v>
      </c>
      <c r="S1863" t="s">
        <v>28</v>
      </c>
      <c r="T1863" t="str">
        <f>VLOOKUP(S1863,'Mapa Oficinas'!$H$7:$I$16,2,FALSE)</f>
        <v>CB</v>
      </c>
      <c r="U1863" t="s">
        <v>29</v>
      </c>
      <c r="V1863" t="str">
        <f>VLOOKUP($R1863,'Mapa Oficinas'!$A$7:$C$46,2,FALSE)</f>
        <v>CABA</v>
      </c>
      <c r="W1863" t="str">
        <f>VLOOKUP($R1863,'Mapa Oficinas'!$A$7:$C$46,3,FALSE)</f>
        <v>Villa Urquiza</v>
      </c>
    </row>
    <row r="1864" spans="1:23" x14ac:dyDescent="0.2">
      <c r="A1864" s="1">
        <v>45835</v>
      </c>
      <c r="B1864" s="20">
        <f t="shared" si="58"/>
        <v>2025</v>
      </c>
      <c r="C1864" s="20">
        <f t="shared" si="59"/>
        <v>6</v>
      </c>
      <c r="D1864" t="s">
        <v>2717</v>
      </c>
      <c r="E1864" s="49">
        <v>1</v>
      </c>
      <c r="F1864" t="s">
        <v>2717</v>
      </c>
      <c r="G1864" t="s">
        <v>21</v>
      </c>
      <c r="H1864" t="s">
        <v>37</v>
      </c>
      <c r="I1864" s="13">
        <v>155000</v>
      </c>
      <c r="J1864" s="13">
        <v>155000</v>
      </c>
      <c r="K1864" s="13">
        <f>IF(J1864&lt;'Mapa Oficinas'!$I$21,0,IF(J1864&gt;'Mapa Oficinas'!$I$20,0,1))</f>
        <v>1</v>
      </c>
      <c r="L1864" t="s">
        <v>23</v>
      </c>
      <c r="M1864" t="s">
        <v>23</v>
      </c>
      <c r="N1864" t="s">
        <v>2717</v>
      </c>
      <c r="O1864" t="s">
        <v>390</v>
      </c>
      <c r="P1864" t="s">
        <v>45</v>
      </c>
      <c r="Q1864">
        <v>2</v>
      </c>
      <c r="R1864" t="s">
        <v>56</v>
      </c>
      <c r="S1864" t="s">
        <v>28</v>
      </c>
      <c r="T1864" t="str">
        <f>VLOOKUP(S1864,'Mapa Oficinas'!$H$7:$I$16,2,FALSE)</f>
        <v>CB</v>
      </c>
      <c r="U1864" t="s">
        <v>29</v>
      </c>
      <c r="V1864" t="str">
        <f>VLOOKUP($R1864,'Mapa Oficinas'!$A$7:$C$46,2,FALSE)</f>
        <v>Zona Norte (GBA)</v>
      </c>
      <c r="W1864" t="str">
        <f>VLOOKUP($R1864,'Mapa Oficinas'!$A$7:$C$46,3,FALSE)</f>
        <v>Vicente López</v>
      </c>
    </row>
    <row r="1865" spans="1:23" x14ac:dyDescent="0.2">
      <c r="A1865" s="1">
        <v>45889</v>
      </c>
      <c r="B1865" s="20">
        <f t="shared" si="58"/>
        <v>2025</v>
      </c>
      <c r="C1865" s="20">
        <f t="shared" si="59"/>
        <v>8</v>
      </c>
      <c r="D1865" t="s">
        <v>3677</v>
      </c>
      <c r="E1865" s="49">
        <v>1</v>
      </c>
      <c r="F1865" t="s">
        <v>3678</v>
      </c>
      <c r="G1865" t="s">
        <v>21</v>
      </c>
      <c r="H1865" t="s">
        <v>37</v>
      </c>
      <c r="I1865" s="13">
        <v>159000</v>
      </c>
      <c r="J1865" s="13">
        <v>155000</v>
      </c>
      <c r="K1865" s="13">
        <f>IF(J1865&lt;'Mapa Oficinas'!$I$21,0,IF(J1865&gt;'Mapa Oficinas'!$I$20,0,1))</f>
        <v>1</v>
      </c>
      <c r="L1865" t="s">
        <v>23</v>
      </c>
      <c r="M1865" t="s">
        <v>23</v>
      </c>
      <c r="N1865" t="s">
        <v>3679</v>
      </c>
      <c r="O1865" t="s">
        <v>50</v>
      </c>
      <c r="P1865" t="s">
        <v>61</v>
      </c>
      <c r="Q1865">
        <v>2</v>
      </c>
      <c r="R1865" t="s">
        <v>62</v>
      </c>
      <c r="S1865" t="s">
        <v>28</v>
      </c>
      <c r="T1865" t="str">
        <f>VLOOKUP(S1865,'Mapa Oficinas'!$H$7:$I$16,2,FALSE)</f>
        <v>CB</v>
      </c>
      <c r="U1865" t="s">
        <v>29</v>
      </c>
      <c r="V1865" t="str">
        <f>VLOOKUP($R1865,'Mapa Oficinas'!$A$7:$C$46,2,FALSE)</f>
        <v>CABA</v>
      </c>
      <c r="W1865" t="str">
        <f>VLOOKUP($R1865,'Mapa Oficinas'!$A$7:$C$46,3,FALSE)</f>
        <v>Villa Urquiza</v>
      </c>
    </row>
    <row r="1866" spans="1:23" x14ac:dyDescent="0.2">
      <c r="A1866" s="1">
        <v>45955</v>
      </c>
      <c r="B1866" s="20">
        <f t="shared" si="58"/>
        <v>2025</v>
      </c>
      <c r="C1866" s="20">
        <f t="shared" si="59"/>
        <v>10</v>
      </c>
      <c r="D1866" t="s">
        <v>4934</v>
      </c>
      <c r="E1866" s="49">
        <v>1</v>
      </c>
      <c r="F1866" t="s">
        <v>4935</v>
      </c>
      <c r="G1866" t="s">
        <v>21</v>
      </c>
      <c r="H1866" t="s">
        <v>37</v>
      </c>
      <c r="I1866" s="13">
        <v>165000</v>
      </c>
      <c r="J1866" s="13">
        <v>155000</v>
      </c>
      <c r="K1866" s="13">
        <f>IF(J1866&lt;'Mapa Oficinas'!$I$21,0,IF(J1866&gt;'Mapa Oficinas'!$I$20,0,1))</f>
        <v>1</v>
      </c>
      <c r="L1866" t="s">
        <v>23</v>
      </c>
      <c r="M1866" t="s">
        <v>23</v>
      </c>
      <c r="N1866" t="s">
        <v>4936</v>
      </c>
      <c r="O1866" t="s">
        <v>408</v>
      </c>
      <c r="P1866" t="s">
        <v>45</v>
      </c>
      <c r="Q1866">
        <v>2</v>
      </c>
      <c r="R1866" t="s">
        <v>67</v>
      </c>
      <c r="S1866" t="s">
        <v>28</v>
      </c>
      <c r="T1866" t="str">
        <f>VLOOKUP(S1866,'Mapa Oficinas'!$H$7:$I$16,2,FALSE)</f>
        <v>CB</v>
      </c>
      <c r="U1866" t="s">
        <v>29</v>
      </c>
      <c r="V1866" t="str">
        <f>VLOOKUP($R1866,'Mapa Oficinas'!$A$7:$C$46,2,FALSE)</f>
        <v>CABA</v>
      </c>
      <c r="W1866" t="str">
        <f>VLOOKUP($R1866,'Mapa Oficinas'!$A$7:$C$46,3,FALSE)</f>
        <v>Barrio Parque</v>
      </c>
    </row>
    <row r="1867" spans="1:23" x14ac:dyDescent="0.2">
      <c r="A1867" s="1">
        <v>46006</v>
      </c>
      <c r="B1867" s="20">
        <f t="shared" si="58"/>
        <v>2025</v>
      </c>
      <c r="C1867" s="20">
        <f t="shared" si="59"/>
        <v>12</v>
      </c>
      <c r="D1867" t="s">
        <v>5786</v>
      </c>
      <c r="E1867" s="49">
        <v>1</v>
      </c>
      <c r="F1867" t="s">
        <v>5787</v>
      </c>
      <c r="G1867" t="s">
        <v>21</v>
      </c>
      <c r="H1867" t="s">
        <v>22</v>
      </c>
      <c r="I1867" s="13">
        <v>159900</v>
      </c>
      <c r="J1867" s="13">
        <v>155000</v>
      </c>
      <c r="K1867" s="13">
        <f>IF(J1867&lt;'Mapa Oficinas'!$I$21,0,IF(J1867&gt;'Mapa Oficinas'!$I$20,0,1))</f>
        <v>1</v>
      </c>
      <c r="L1867" t="s">
        <v>23</v>
      </c>
      <c r="M1867" t="s">
        <v>23</v>
      </c>
      <c r="N1867" t="s">
        <v>5788</v>
      </c>
      <c r="O1867" t="s">
        <v>141</v>
      </c>
      <c r="P1867" t="s">
        <v>61</v>
      </c>
      <c r="Q1867">
        <v>2</v>
      </c>
      <c r="R1867" t="s">
        <v>62</v>
      </c>
      <c r="S1867" t="s">
        <v>28</v>
      </c>
      <c r="T1867" t="str">
        <f>VLOOKUP(S1867,'Mapa Oficinas'!$H$7:$I$16,2,FALSE)</f>
        <v>CB</v>
      </c>
      <c r="U1867" t="s">
        <v>29</v>
      </c>
      <c r="V1867" t="str">
        <f>VLOOKUP($R1867,'Mapa Oficinas'!$A$7:$C$46,2,FALSE)</f>
        <v>CABA</v>
      </c>
      <c r="W1867" t="str">
        <f>VLOOKUP($R1867,'Mapa Oficinas'!$A$7:$C$46,3,FALSE)</f>
        <v>Villa Urquiza</v>
      </c>
    </row>
    <row r="1868" spans="1:23" x14ac:dyDescent="0.2">
      <c r="A1868" s="1">
        <v>46065</v>
      </c>
      <c r="B1868" s="20">
        <f t="shared" si="58"/>
        <v>2026</v>
      </c>
      <c r="C1868" s="20">
        <f t="shared" si="59"/>
        <v>2</v>
      </c>
      <c r="D1868" t="s">
        <v>6683</v>
      </c>
      <c r="E1868" s="49">
        <v>1</v>
      </c>
      <c r="F1868" t="s">
        <v>6684</v>
      </c>
      <c r="G1868" t="s">
        <v>21</v>
      </c>
      <c r="H1868" t="s">
        <v>22</v>
      </c>
      <c r="I1868" s="13">
        <v>152000</v>
      </c>
      <c r="J1868" s="13">
        <v>155000</v>
      </c>
      <c r="K1868" s="13">
        <f>IF(J1868&lt;'Mapa Oficinas'!$I$21,0,IF(J1868&gt;'Mapa Oficinas'!$I$20,0,1))</f>
        <v>1</v>
      </c>
      <c r="L1868" t="s">
        <v>23</v>
      </c>
      <c r="M1868" t="s">
        <v>23</v>
      </c>
      <c r="N1868" t="s">
        <v>6685</v>
      </c>
      <c r="O1868" t="s">
        <v>3281</v>
      </c>
      <c r="P1868" t="s">
        <v>61</v>
      </c>
      <c r="Q1868">
        <v>2</v>
      </c>
      <c r="R1868" t="s">
        <v>62</v>
      </c>
      <c r="S1868" t="s">
        <v>28</v>
      </c>
      <c r="T1868" t="str">
        <f>VLOOKUP(S1868,'Mapa Oficinas'!$H$7:$I$16,2,FALSE)</f>
        <v>CB</v>
      </c>
      <c r="U1868" t="s">
        <v>29</v>
      </c>
      <c r="V1868" t="str">
        <f>VLOOKUP($R1868,'Mapa Oficinas'!$A$7:$C$46,2,FALSE)</f>
        <v>CABA</v>
      </c>
      <c r="W1868" t="str">
        <f>VLOOKUP($R1868,'Mapa Oficinas'!$A$7:$C$46,3,FALSE)</f>
        <v>Villa Urquiza</v>
      </c>
    </row>
    <row r="1869" spans="1:23" x14ac:dyDescent="0.2">
      <c r="A1869" s="1">
        <v>46085</v>
      </c>
      <c r="B1869" s="20">
        <f t="shared" si="58"/>
        <v>2026</v>
      </c>
      <c r="C1869" s="20">
        <f t="shared" si="59"/>
        <v>3</v>
      </c>
      <c r="D1869" t="s">
        <v>6963</v>
      </c>
      <c r="E1869" s="49">
        <v>1</v>
      </c>
      <c r="F1869" t="s">
        <v>6964</v>
      </c>
      <c r="G1869" t="s">
        <v>21</v>
      </c>
      <c r="H1869" t="s">
        <v>37</v>
      </c>
      <c r="I1869" s="13">
        <v>159900</v>
      </c>
      <c r="J1869" s="13">
        <v>155000</v>
      </c>
      <c r="K1869" s="13">
        <f>IF(J1869&lt;'Mapa Oficinas'!$I$21,0,IF(J1869&gt;'Mapa Oficinas'!$I$20,0,1))</f>
        <v>1</v>
      </c>
      <c r="L1869" t="s">
        <v>23</v>
      </c>
      <c r="M1869" t="s">
        <v>23</v>
      </c>
      <c r="N1869" t="s">
        <v>6965</v>
      </c>
      <c r="O1869" t="s">
        <v>190</v>
      </c>
      <c r="P1869" t="s">
        <v>45</v>
      </c>
      <c r="Q1869">
        <v>2</v>
      </c>
      <c r="R1869" t="s">
        <v>67</v>
      </c>
      <c r="S1869" t="s">
        <v>28</v>
      </c>
      <c r="T1869" t="str">
        <f>VLOOKUP(S1869,'Mapa Oficinas'!$H$7:$I$16,2,FALSE)</f>
        <v>CB</v>
      </c>
      <c r="U1869" t="s">
        <v>29</v>
      </c>
      <c r="V1869" t="str">
        <f>VLOOKUP($R1869,'Mapa Oficinas'!$A$7:$C$46,2,FALSE)</f>
        <v>CABA</v>
      </c>
      <c r="W1869" t="str">
        <f>VLOOKUP($R1869,'Mapa Oficinas'!$A$7:$C$46,3,FALSE)</f>
        <v>Barrio Parque</v>
      </c>
    </row>
    <row r="1870" spans="1:23" x14ac:dyDescent="0.2">
      <c r="A1870" s="1">
        <v>46112</v>
      </c>
      <c r="B1870" s="20">
        <f t="shared" si="58"/>
        <v>2026</v>
      </c>
      <c r="C1870" s="20">
        <f t="shared" si="59"/>
        <v>3</v>
      </c>
      <c r="D1870" t="s">
        <v>7582</v>
      </c>
      <c r="E1870" s="49">
        <v>1</v>
      </c>
      <c r="F1870" t="s">
        <v>7583</v>
      </c>
      <c r="G1870" t="s">
        <v>21</v>
      </c>
      <c r="H1870" t="s">
        <v>81</v>
      </c>
      <c r="I1870" s="13">
        <v>160000</v>
      </c>
      <c r="J1870" s="13">
        <v>155000</v>
      </c>
      <c r="K1870" s="13">
        <f>IF(J1870&lt;'Mapa Oficinas'!$I$21,0,IF(J1870&gt;'Mapa Oficinas'!$I$20,0,1))</f>
        <v>1</v>
      </c>
      <c r="L1870" t="s">
        <v>23</v>
      </c>
      <c r="M1870" t="s">
        <v>23</v>
      </c>
      <c r="N1870" t="s">
        <v>7584</v>
      </c>
      <c r="O1870" t="s">
        <v>1629</v>
      </c>
      <c r="P1870" t="s">
        <v>34</v>
      </c>
      <c r="Q1870">
        <v>2</v>
      </c>
      <c r="R1870" t="s">
        <v>482</v>
      </c>
      <c r="S1870" t="s">
        <v>28</v>
      </c>
      <c r="T1870" t="str">
        <f>VLOOKUP(S1870,'Mapa Oficinas'!$H$7:$I$16,2,FALSE)</f>
        <v>CB</v>
      </c>
      <c r="U1870" t="s">
        <v>29</v>
      </c>
      <c r="V1870" t="str">
        <f>VLOOKUP($R1870,'Mapa Oficinas'!$A$7:$C$46,2,FALSE)</f>
        <v>Interior - Jujuy</v>
      </c>
      <c r="W1870" t="str">
        <f>VLOOKUP($R1870,'Mapa Oficinas'!$A$7:$C$46,3,FALSE)</f>
        <v>Capital Jujuy</v>
      </c>
    </row>
    <row r="1871" spans="1:23" x14ac:dyDescent="0.2">
      <c r="A1871" s="1">
        <v>45702</v>
      </c>
      <c r="B1871" s="20">
        <f t="shared" si="58"/>
        <v>2025</v>
      </c>
      <c r="C1871" s="20">
        <f t="shared" si="59"/>
        <v>2</v>
      </c>
      <c r="D1871" t="s">
        <v>616</v>
      </c>
      <c r="E1871" s="49">
        <v>1</v>
      </c>
      <c r="F1871" t="s">
        <v>617</v>
      </c>
      <c r="G1871" t="s">
        <v>21</v>
      </c>
      <c r="H1871" t="s">
        <v>100</v>
      </c>
      <c r="I1871" s="13">
        <v>156000</v>
      </c>
      <c r="J1871" s="13">
        <v>156000</v>
      </c>
      <c r="K1871" s="13">
        <f>IF(J1871&lt;'Mapa Oficinas'!$I$21,0,IF(J1871&gt;'Mapa Oficinas'!$I$20,0,1))</f>
        <v>1</v>
      </c>
      <c r="L1871" t="s">
        <v>23</v>
      </c>
      <c r="M1871" t="s">
        <v>23</v>
      </c>
      <c r="N1871" t="s">
        <v>285</v>
      </c>
      <c r="O1871" t="s">
        <v>209</v>
      </c>
      <c r="P1871" t="s">
        <v>45</v>
      </c>
      <c r="Q1871">
        <v>2</v>
      </c>
      <c r="R1871" t="s">
        <v>121</v>
      </c>
      <c r="S1871" t="s">
        <v>79</v>
      </c>
      <c r="T1871" t="str">
        <f>VLOOKUP(S1871,'Mapa Oficinas'!$H$7:$I$16,2,FALSE)</f>
        <v>CB</v>
      </c>
      <c r="U1871" t="s">
        <v>29</v>
      </c>
      <c r="V1871" t="str">
        <f>VLOOKUP($R1871,'Mapa Oficinas'!$A$7:$C$46,2,FALSE)</f>
        <v>Interior - Río Negro</v>
      </c>
      <c r="W1871" t="str">
        <f>VLOOKUP($R1871,'Mapa Oficinas'!$A$7:$C$46,3,FALSE)</f>
        <v>Bariloche</v>
      </c>
    </row>
    <row r="1872" spans="1:23" x14ac:dyDescent="0.2">
      <c r="A1872" s="1">
        <v>45854</v>
      </c>
      <c r="B1872" s="20">
        <f t="shared" si="58"/>
        <v>2025</v>
      </c>
      <c r="C1872" s="20">
        <f t="shared" si="59"/>
        <v>7</v>
      </c>
      <c r="D1872" t="s">
        <v>3077</v>
      </c>
      <c r="E1872" s="49">
        <v>1</v>
      </c>
      <c r="F1872" t="s">
        <v>3078</v>
      </c>
      <c r="G1872" t="s">
        <v>21</v>
      </c>
      <c r="H1872" t="s">
        <v>37</v>
      </c>
      <c r="I1872" s="13">
        <v>159000</v>
      </c>
      <c r="J1872" s="13">
        <v>156000</v>
      </c>
      <c r="K1872" s="13">
        <f>IF(J1872&lt;'Mapa Oficinas'!$I$21,0,IF(J1872&gt;'Mapa Oficinas'!$I$20,0,1))</f>
        <v>1</v>
      </c>
      <c r="L1872" t="s">
        <v>23</v>
      </c>
      <c r="M1872" t="s">
        <v>23</v>
      </c>
      <c r="N1872" t="s">
        <v>3079</v>
      </c>
      <c r="O1872" t="s">
        <v>178</v>
      </c>
      <c r="P1872" t="s">
        <v>45</v>
      </c>
      <c r="Q1872">
        <v>2</v>
      </c>
      <c r="R1872" t="s">
        <v>170</v>
      </c>
      <c r="S1872" t="s">
        <v>28</v>
      </c>
      <c r="T1872" t="str">
        <f>VLOOKUP(S1872,'Mapa Oficinas'!$H$7:$I$16,2,FALSE)</f>
        <v>CB</v>
      </c>
      <c r="U1872" t="s">
        <v>29</v>
      </c>
      <c r="V1872" t="str">
        <f>VLOOKUP($R1872,'Mapa Oficinas'!$A$7:$C$46,2,FALSE)</f>
        <v>CABA</v>
      </c>
      <c r="W1872" t="str">
        <f>VLOOKUP($R1872,'Mapa Oficinas'!$A$7:$C$46,3,FALSE)</f>
        <v>Belgrano</v>
      </c>
    </row>
    <row r="1873" spans="1:23" x14ac:dyDescent="0.2">
      <c r="A1873" s="1">
        <v>45888</v>
      </c>
      <c r="B1873" s="20">
        <f t="shared" si="58"/>
        <v>2025</v>
      </c>
      <c r="C1873" s="20">
        <f t="shared" si="59"/>
        <v>8</v>
      </c>
      <c r="D1873" t="s">
        <v>342</v>
      </c>
      <c r="E1873" s="49">
        <v>1</v>
      </c>
      <c r="F1873" t="s">
        <v>343</v>
      </c>
      <c r="G1873" t="s">
        <v>21</v>
      </c>
      <c r="H1873" t="s">
        <v>37</v>
      </c>
      <c r="I1873" s="13">
        <v>159000</v>
      </c>
      <c r="J1873" s="13">
        <v>156000</v>
      </c>
      <c r="K1873" s="13">
        <f>IF(J1873&lt;'Mapa Oficinas'!$I$21,0,IF(J1873&gt;'Mapa Oficinas'!$I$20,0,1))</f>
        <v>1</v>
      </c>
      <c r="L1873" t="s">
        <v>23</v>
      </c>
      <c r="M1873" t="s">
        <v>23</v>
      </c>
      <c r="N1873" t="s">
        <v>344</v>
      </c>
      <c r="O1873" t="s">
        <v>345</v>
      </c>
      <c r="P1873" t="s">
        <v>45</v>
      </c>
      <c r="Q1873">
        <v>2</v>
      </c>
      <c r="R1873" t="s">
        <v>257</v>
      </c>
      <c r="S1873" t="s">
        <v>28</v>
      </c>
      <c r="T1873" t="str">
        <f>VLOOKUP(S1873,'Mapa Oficinas'!$H$7:$I$16,2,FALSE)</f>
        <v>CB</v>
      </c>
      <c r="U1873" t="s">
        <v>29</v>
      </c>
      <c r="V1873" t="str">
        <f>VLOOKUP($R1873,'Mapa Oficinas'!$A$7:$C$46,2,FALSE)</f>
        <v>Zona Norte (GBA)</v>
      </c>
      <c r="W1873" t="str">
        <f>VLOOKUP($R1873,'Mapa Oficinas'!$A$7:$C$46,3,FALSE)</f>
        <v>Pilar</v>
      </c>
    </row>
    <row r="1874" spans="1:23" x14ac:dyDescent="0.2">
      <c r="A1874" s="1">
        <v>45888</v>
      </c>
      <c r="B1874" s="20">
        <f t="shared" si="58"/>
        <v>2025</v>
      </c>
      <c r="C1874" s="20">
        <f t="shared" si="59"/>
        <v>8</v>
      </c>
      <c r="D1874" t="s">
        <v>3642</v>
      </c>
      <c r="E1874" s="49">
        <v>1</v>
      </c>
      <c r="F1874" t="s">
        <v>3643</v>
      </c>
      <c r="G1874" t="s">
        <v>21</v>
      </c>
      <c r="H1874" t="s">
        <v>81</v>
      </c>
      <c r="I1874" s="13">
        <v>159000</v>
      </c>
      <c r="J1874" s="13">
        <v>156000</v>
      </c>
      <c r="K1874" s="13">
        <f>IF(J1874&lt;'Mapa Oficinas'!$I$21,0,IF(J1874&gt;'Mapa Oficinas'!$I$20,0,1))</f>
        <v>1</v>
      </c>
      <c r="L1874" t="s">
        <v>23</v>
      </c>
      <c r="M1874" t="s">
        <v>23</v>
      </c>
      <c r="N1874" t="s">
        <v>3644</v>
      </c>
      <c r="O1874" t="s">
        <v>1448</v>
      </c>
      <c r="P1874" t="s">
        <v>45</v>
      </c>
      <c r="Q1874">
        <v>2</v>
      </c>
      <c r="R1874" t="s">
        <v>1605</v>
      </c>
      <c r="S1874" t="s">
        <v>28</v>
      </c>
      <c r="T1874" t="str">
        <f>VLOOKUP(S1874,'Mapa Oficinas'!$H$7:$I$16,2,FALSE)</f>
        <v>CB</v>
      </c>
      <c r="U1874" t="s">
        <v>29</v>
      </c>
      <c r="V1874" t="str">
        <f>VLOOKUP($R1874,'Mapa Oficinas'!$A$7:$C$46,2,FALSE)</f>
        <v>CABA</v>
      </c>
      <c r="W1874" t="str">
        <f>VLOOKUP($R1874,'Mapa Oficinas'!$A$7:$C$46,3,FALSE)</f>
        <v>Núñez</v>
      </c>
    </row>
    <row r="1875" spans="1:23" x14ac:dyDescent="0.2">
      <c r="A1875" s="1">
        <v>45897</v>
      </c>
      <c r="B1875" s="20">
        <f t="shared" si="58"/>
        <v>2025</v>
      </c>
      <c r="C1875" s="20">
        <f t="shared" si="59"/>
        <v>8</v>
      </c>
      <c r="E1875" s="49">
        <v>1</v>
      </c>
      <c r="F1875" t="s">
        <v>3837</v>
      </c>
      <c r="G1875" t="s">
        <v>21</v>
      </c>
      <c r="H1875" t="s">
        <v>37</v>
      </c>
      <c r="I1875" s="13">
        <v>0</v>
      </c>
      <c r="J1875" s="13">
        <v>157000</v>
      </c>
      <c r="K1875" s="13">
        <f>IF(J1875&lt;'Mapa Oficinas'!$I$21,0,IF(J1875&gt;'Mapa Oficinas'!$I$20,0,1))</f>
        <v>1</v>
      </c>
      <c r="L1875" t="s">
        <v>23</v>
      </c>
      <c r="M1875" t="s">
        <v>23</v>
      </c>
      <c r="N1875" t="s">
        <v>3838</v>
      </c>
      <c r="O1875" t="s">
        <v>66</v>
      </c>
      <c r="P1875" t="s">
        <v>45</v>
      </c>
      <c r="Q1875">
        <v>2</v>
      </c>
      <c r="R1875" t="s">
        <v>135</v>
      </c>
      <c r="S1875" t="s">
        <v>79</v>
      </c>
      <c r="T1875" t="str">
        <f>VLOOKUP(S1875,'Mapa Oficinas'!$H$7:$I$16,2,FALSE)</f>
        <v>CB</v>
      </c>
      <c r="U1875" t="s">
        <v>29</v>
      </c>
      <c r="V1875" t="str">
        <f>VLOOKUP($R1875,'Mapa Oficinas'!$A$7:$C$46,2,FALSE)</f>
        <v>CABA</v>
      </c>
      <c r="W1875" t="str">
        <f>VLOOKUP($R1875,'Mapa Oficinas'!$A$7:$C$46,3,FALSE)</f>
        <v>Recoleta</v>
      </c>
    </row>
    <row r="1876" spans="1:23" x14ac:dyDescent="0.2">
      <c r="A1876" s="1">
        <v>46035</v>
      </c>
      <c r="B1876" s="20">
        <f t="shared" si="58"/>
        <v>2026</v>
      </c>
      <c r="C1876" s="20">
        <f t="shared" si="59"/>
        <v>1</v>
      </c>
      <c r="D1876" t="s">
        <v>6206</v>
      </c>
      <c r="E1876" s="49">
        <v>1</v>
      </c>
      <c r="F1876" t="s">
        <v>6207</v>
      </c>
      <c r="G1876" t="s">
        <v>21</v>
      </c>
      <c r="H1876" t="s">
        <v>37</v>
      </c>
      <c r="I1876" s="13">
        <v>153000</v>
      </c>
      <c r="J1876" s="13">
        <v>157000</v>
      </c>
      <c r="K1876" s="13">
        <f>IF(J1876&lt;'Mapa Oficinas'!$I$21,0,IF(J1876&gt;'Mapa Oficinas'!$I$20,0,1))</f>
        <v>1</v>
      </c>
      <c r="L1876" t="s">
        <v>23</v>
      </c>
      <c r="M1876" t="s">
        <v>23</v>
      </c>
      <c r="N1876" t="s">
        <v>6208</v>
      </c>
      <c r="O1876" t="s">
        <v>6209</v>
      </c>
      <c r="P1876" t="s">
        <v>34</v>
      </c>
      <c r="Q1876">
        <v>2</v>
      </c>
      <c r="R1876" t="s">
        <v>110</v>
      </c>
      <c r="S1876" t="s">
        <v>79</v>
      </c>
      <c r="T1876" t="str">
        <f>VLOOKUP(S1876,'Mapa Oficinas'!$H$7:$I$16,2,FALSE)</f>
        <v>CB</v>
      </c>
      <c r="U1876" t="s">
        <v>29</v>
      </c>
      <c r="V1876" t="str">
        <f>VLOOKUP($R1876,'Mapa Oficinas'!$A$7:$C$46,2,FALSE)</f>
        <v>Zona Norte (GBA)</v>
      </c>
      <c r="W1876" t="str">
        <f>VLOOKUP($R1876,'Mapa Oficinas'!$A$7:$C$46,3,FALSE)</f>
        <v>Nordelta</v>
      </c>
    </row>
    <row r="1877" spans="1:23" x14ac:dyDescent="0.2">
      <c r="A1877" s="1">
        <v>45705</v>
      </c>
      <c r="B1877" s="20">
        <f t="shared" si="58"/>
        <v>2025</v>
      </c>
      <c r="C1877" s="20">
        <f t="shared" si="59"/>
        <v>2</v>
      </c>
      <c r="D1877" t="s">
        <v>643</v>
      </c>
      <c r="E1877" s="49">
        <v>1</v>
      </c>
      <c r="F1877" t="s">
        <v>644</v>
      </c>
      <c r="G1877" t="s">
        <v>21</v>
      </c>
      <c r="H1877" t="s">
        <v>230</v>
      </c>
      <c r="I1877" s="13">
        <v>162000</v>
      </c>
      <c r="J1877" s="13">
        <v>157500</v>
      </c>
      <c r="K1877" s="13">
        <f>IF(J1877&lt;'Mapa Oficinas'!$I$21,0,IF(J1877&gt;'Mapa Oficinas'!$I$20,0,1))</f>
        <v>1</v>
      </c>
      <c r="L1877" t="s">
        <v>23</v>
      </c>
      <c r="M1877" t="s">
        <v>23</v>
      </c>
      <c r="N1877" t="s">
        <v>645</v>
      </c>
      <c r="O1877" t="s">
        <v>646</v>
      </c>
      <c r="P1877" t="s">
        <v>34</v>
      </c>
      <c r="Q1877">
        <v>1</v>
      </c>
      <c r="R1877" t="s">
        <v>73</v>
      </c>
      <c r="S1877" t="s">
        <v>152</v>
      </c>
      <c r="T1877" t="str">
        <f>VLOOKUP(S1877,'Mapa Oficinas'!$H$7:$I$16,2,FALSE)</f>
        <v>Otra Red Captación</v>
      </c>
      <c r="U1877" t="s">
        <v>29</v>
      </c>
      <c r="V1877" t="str">
        <f>VLOOKUP($R1877,'Mapa Oficinas'!$A$7:$C$46,2,FALSE)</f>
        <v>Interior - Salta</v>
      </c>
      <c r="W1877" t="str">
        <f>VLOOKUP($R1877,'Mapa Oficinas'!$A$7:$C$46,3,FALSE)</f>
        <v>San Lorenzo Chico</v>
      </c>
    </row>
    <row r="1878" spans="1:23" x14ac:dyDescent="0.2">
      <c r="A1878" s="1">
        <v>45911</v>
      </c>
      <c r="B1878" s="20">
        <f t="shared" si="58"/>
        <v>2025</v>
      </c>
      <c r="C1878" s="20">
        <f t="shared" si="59"/>
        <v>9</v>
      </c>
      <c r="D1878" t="s">
        <v>4086</v>
      </c>
      <c r="E1878" s="49">
        <v>1</v>
      </c>
      <c r="F1878" t="s">
        <v>4087</v>
      </c>
      <c r="G1878" t="s">
        <v>21</v>
      </c>
      <c r="H1878" t="s">
        <v>37</v>
      </c>
      <c r="I1878" s="13">
        <v>336000</v>
      </c>
      <c r="J1878" s="13">
        <v>157500</v>
      </c>
      <c r="K1878" s="13">
        <f>IF(J1878&lt;'Mapa Oficinas'!$I$21,0,IF(J1878&gt;'Mapa Oficinas'!$I$20,0,1))</f>
        <v>1</v>
      </c>
      <c r="L1878" t="s">
        <v>23</v>
      </c>
      <c r="M1878" t="s">
        <v>23</v>
      </c>
      <c r="N1878" t="s">
        <v>4088</v>
      </c>
      <c r="O1878" t="s">
        <v>265</v>
      </c>
      <c r="P1878" t="s">
        <v>45</v>
      </c>
      <c r="Q1878">
        <v>2</v>
      </c>
      <c r="R1878" t="s">
        <v>135</v>
      </c>
      <c r="S1878" t="s">
        <v>200</v>
      </c>
      <c r="T1878" t="str">
        <f>VLOOKUP(S1878,'Mapa Oficinas'!$H$7:$I$16,2,FALSE)</f>
        <v>Otra Red Captación</v>
      </c>
      <c r="U1878" t="s">
        <v>29</v>
      </c>
      <c r="V1878" t="str">
        <f>VLOOKUP($R1878,'Mapa Oficinas'!$A$7:$C$46,2,FALSE)</f>
        <v>CABA</v>
      </c>
      <c r="W1878" t="str">
        <f>VLOOKUP($R1878,'Mapa Oficinas'!$A$7:$C$46,3,FALSE)</f>
        <v>Recoleta</v>
      </c>
    </row>
    <row r="1879" spans="1:23" x14ac:dyDescent="0.2">
      <c r="A1879" s="1">
        <v>45863</v>
      </c>
      <c r="B1879" s="20">
        <f t="shared" si="58"/>
        <v>2025</v>
      </c>
      <c r="C1879" s="20">
        <f t="shared" si="59"/>
        <v>7</v>
      </c>
      <c r="D1879">
        <v>24072025</v>
      </c>
      <c r="E1879" s="49">
        <v>1</v>
      </c>
      <c r="F1879" t="s">
        <v>3231</v>
      </c>
      <c r="G1879" t="s">
        <v>21</v>
      </c>
      <c r="H1879" t="s">
        <v>100</v>
      </c>
      <c r="I1879" s="13">
        <v>157740</v>
      </c>
      <c r="J1879" s="13">
        <v>157740</v>
      </c>
      <c r="K1879" s="13">
        <f>IF(J1879&lt;'Mapa Oficinas'!$I$21,0,IF(J1879&gt;'Mapa Oficinas'!$I$20,0,1))</f>
        <v>1</v>
      </c>
      <c r="L1879" t="s">
        <v>23</v>
      </c>
      <c r="M1879" t="s">
        <v>23</v>
      </c>
      <c r="O1879" t="s">
        <v>120</v>
      </c>
      <c r="P1879" t="s">
        <v>45</v>
      </c>
      <c r="Q1879">
        <v>1</v>
      </c>
      <c r="R1879" t="s">
        <v>121</v>
      </c>
      <c r="S1879" t="s">
        <v>122</v>
      </c>
      <c r="T1879" t="str">
        <f>VLOOKUP(S1879,'Mapa Oficinas'!$H$7:$I$16,2,FALSE)</f>
        <v>Otra Red Búsqueda</v>
      </c>
      <c r="U1879" t="s">
        <v>29</v>
      </c>
      <c r="V1879" t="str">
        <f>VLOOKUP($R1879,'Mapa Oficinas'!$A$7:$C$46,2,FALSE)</f>
        <v>Interior - Río Negro</v>
      </c>
      <c r="W1879" t="str">
        <f>VLOOKUP($R1879,'Mapa Oficinas'!$A$7:$C$46,3,FALSE)</f>
        <v>Bariloche</v>
      </c>
    </row>
    <row r="1880" spans="1:23" x14ac:dyDescent="0.2">
      <c r="A1880" s="1">
        <v>45866</v>
      </c>
      <c r="B1880" s="20">
        <f t="shared" si="58"/>
        <v>2025</v>
      </c>
      <c r="C1880" s="20">
        <f t="shared" si="59"/>
        <v>7</v>
      </c>
      <c r="D1880">
        <v>25072025</v>
      </c>
      <c r="E1880" s="49">
        <v>1</v>
      </c>
      <c r="F1880" t="s">
        <v>3264</v>
      </c>
      <c r="G1880" t="s">
        <v>21</v>
      </c>
      <c r="H1880" t="s">
        <v>100</v>
      </c>
      <c r="I1880" s="13">
        <v>158000</v>
      </c>
      <c r="J1880" s="13">
        <v>158000</v>
      </c>
      <c r="K1880" s="13">
        <f>IF(J1880&lt;'Mapa Oficinas'!$I$21,0,IF(J1880&gt;'Mapa Oficinas'!$I$20,0,1))</f>
        <v>1</v>
      </c>
      <c r="L1880" t="s">
        <v>23</v>
      </c>
      <c r="M1880" t="s">
        <v>23</v>
      </c>
      <c r="O1880" t="s">
        <v>120</v>
      </c>
      <c r="P1880" t="s">
        <v>45</v>
      </c>
      <c r="Q1880">
        <v>1</v>
      </c>
      <c r="R1880" t="s">
        <v>121</v>
      </c>
      <c r="S1880" t="s">
        <v>122</v>
      </c>
      <c r="T1880" t="str">
        <f>VLOOKUP(S1880,'Mapa Oficinas'!$H$7:$I$16,2,FALSE)</f>
        <v>Otra Red Búsqueda</v>
      </c>
      <c r="U1880" t="s">
        <v>29</v>
      </c>
      <c r="V1880" t="str">
        <f>VLOOKUP($R1880,'Mapa Oficinas'!$A$7:$C$46,2,FALSE)</f>
        <v>Interior - Río Negro</v>
      </c>
      <c r="W1880" t="str">
        <f>VLOOKUP($R1880,'Mapa Oficinas'!$A$7:$C$46,3,FALSE)</f>
        <v>Bariloche</v>
      </c>
    </row>
    <row r="1881" spans="1:23" x14ac:dyDescent="0.2">
      <c r="A1881" s="1">
        <v>45751</v>
      </c>
      <c r="B1881" s="20">
        <f t="shared" si="58"/>
        <v>2025</v>
      </c>
      <c r="C1881" s="20">
        <f t="shared" si="59"/>
        <v>4</v>
      </c>
      <c r="D1881" t="s">
        <v>1281</v>
      </c>
      <c r="E1881" s="49">
        <v>1</v>
      </c>
      <c r="F1881" t="s">
        <v>1282</v>
      </c>
      <c r="G1881" t="s">
        <v>21</v>
      </c>
      <c r="H1881" t="s">
        <v>100</v>
      </c>
      <c r="I1881" s="13">
        <v>168000</v>
      </c>
      <c r="J1881" s="13">
        <v>158000</v>
      </c>
      <c r="K1881" s="13">
        <f>IF(J1881&lt;'Mapa Oficinas'!$I$21,0,IF(J1881&gt;'Mapa Oficinas'!$I$20,0,1))</f>
        <v>1</v>
      </c>
      <c r="L1881" t="s">
        <v>23</v>
      </c>
      <c r="M1881" t="s">
        <v>23</v>
      </c>
      <c r="N1881" t="s">
        <v>1283</v>
      </c>
      <c r="O1881" t="s">
        <v>1284</v>
      </c>
      <c r="P1881" t="s">
        <v>34</v>
      </c>
      <c r="Q1881">
        <v>2</v>
      </c>
      <c r="R1881" t="s">
        <v>103</v>
      </c>
      <c r="S1881" t="s">
        <v>79</v>
      </c>
      <c r="T1881" t="str">
        <f>VLOOKUP(S1881,'Mapa Oficinas'!$H$7:$I$16,2,FALSE)</f>
        <v>CB</v>
      </c>
      <c r="U1881" t="s">
        <v>29</v>
      </c>
      <c r="V1881" t="str">
        <f>VLOOKUP($R1881,'Mapa Oficinas'!$A$7:$C$46,2,FALSE)</f>
        <v>Zona Sur (GBA)</v>
      </c>
      <c r="W1881" t="str">
        <f>VLOOKUP($R1881,'Mapa Oficinas'!$A$7:$C$46,3,FALSE)</f>
        <v>La Plata</v>
      </c>
    </row>
    <row r="1882" spans="1:23" x14ac:dyDescent="0.2">
      <c r="A1882" s="1">
        <v>45814</v>
      </c>
      <c r="B1882" s="20">
        <f t="shared" si="58"/>
        <v>2025</v>
      </c>
      <c r="C1882" s="20">
        <f t="shared" si="59"/>
        <v>6</v>
      </c>
      <c r="D1882" t="s">
        <v>2308</v>
      </c>
      <c r="E1882" s="49">
        <v>0</v>
      </c>
      <c r="F1882" t="s">
        <v>2309</v>
      </c>
      <c r="G1882" t="s">
        <v>21</v>
      </c>
      <c r="H1882" t="s">
        <v>76</v>
      </c>
      <c r="I1882" s="13">
        <v>160000</v>
      </c>
      <c r="J1882" s="13">
        <v>158000</v>
      </c>
      <c r="K1882" s="13">
        <f>IF(J1882&lt;'Mapa Oficinas'!$I$21,0,IF(J1882&gt;'Mapa Oficinas'!$I$20,0,1))</f>
        <v>1</v>
      </c>
      <c r="L1882" t="s">
        <v>23</v>
      </c>
      <c r="M1882" t="s">
        <v>23</v>
      </c>
      <c r="N1882" t="s">
        <v>2310</v>
      </c>
      <c r="O1882" t="s">
        <v>2311</v>
      </c>
      <c r="P1882" t="s">
        <v>61</v>
      </c>
      <c r="Q1882">
        <v>2</v>
      </c>
      <c r="R1882" t="s">
        <v>823</v>
      </c>
      <c r="S1882" t="s">
        <v>232</v>
      </c>
      <c r="T1882" t="str">
        <f>VLOOKUP(S1882,'Mapa Oficinas'!$H$7:$I$16,2,FALSE)</f>
        <v>CB</v>
      </c>
      <c r="U1882" t="s">
        <v>29</v>
      </c>
      <c r="V1882" t="str">
        <f>VLOOKUP($R1882,'Mapa Oficinas'!$A$7:$C$46,2,FALSE)</f>
        <v>Zona Norte (GBA)</v>
      </c>
      <c r="W1882" t="str">
        <f>VLOOKUP($R1882,'Mapa Oficinas'!$A$7:$C$46,3,FALSE)</f>
        <v>Pilar</v>
      </c>
    </row>
    <row r="1883" spans="1:23" x14ac:dyDescent="0.2">
      <c r="A1883" s="1">
        <v>46087</v>
      </c>
      <c r="B1883" s="20">
        <f t="shared" si="58"/>
        <v>2026</v>
      </c>
      <c r="C1883" s="20">
        <f t="shared" si="59"/>
        <v>3</v>
      </c>
      <c r="D1883" t="s">
        <v>7011</v>
      </c>
      <c r="E1883" s="49">
        <v>0</v>
      </c>
      <c r="F1883" t="s">
        <v>7012</v>
      </c>
      <c r="G1883" t="s">
        <v>21</v>
      </c>
      <c r="H1883" t="s">
        <v>37</v>
      </c>
      <c r="I1883" s="13">
        <v>165000</v>
      </c>
      <c r="J1883" s="13">
        <v>158000</v>
      </c>
      <c r="K1883" s="13">
        <f>IF(J1883&lt;'Mapa Oficinas'!$I$21,0,IF(J1883&gt;'Mapa Oficinas'!$I$20,0,1))</f>
        <v>1</v>
      </c>
      <c r="L1883" t="s">
        <v>23</v>
      </c>
      <c r="M1883" t="s">
        <v>23</v>
      </c>
      <c r="N1883" t="s">
        <v>7013</v>
      </c>
      <c r="O1883" t="s">
        <v>92</v>
      </c>
      <c r="P1883" t="s">
        <v>61</v>
      </c>
      <c r="Q1883">
        <v>2</v>
      </c>
      <c r="R1883" t="s">
        <v>142</v>
      </c>
      <c r="S1883" t="s">
        <v>232</v>
      </c>
      <c r="T1883" t="str">
        <f>VLOOKUP(S1883,'Mapa Oficinas'!$H$7:$I$16,2,FALSE)</f>
        <v>CB</v>
      </c>
      <c r="U1883" t="s">
        <v>29</v>
      </c>
      <c r="V1883" t="str">
        <f>VLOOKUP($R1883,'Mapa Oficinas'!$A$7:$C$46,2,FALSE)</f>
        <v>CABA</v>
      </c>
      <c r="W1883" t="str">
        <f>VLOOKUP($R1883,'Mapa Oficinas'!$A$7:$C$46,3,FALSE)</f>
        <v>Palermo</v>
      </c>
    </row>
    <row r="1884" spans="1:23" x14ac:dyDescent="0.2">
      <c r="A1884" s="1">
        <v>45812</v>
      </c>
      <c r="B1884" s="20">
        <f t="shared" si="58"/>
        <v>2025</v>
      </c>
      <c r="C1884" s="20">
        <f t="shared" si="59"/>
        <v>6</v>
      </c>
      <c r="D1884" t="s">
        <v>2308</v>
      </c>
      <c r="E1884" s="49">
        <v>1</v>
      </c>
      <c r="F1884" t="s">
        <v>2309</v>
      </c>
      <c r="G1884" t="s">
        <v>21</v>
      </c>
      <c r="H1884" t="s">
        <v>37</v>
      </c>
      <c r="I1884" s="13">
        <v>160000</v>
      </c>
      <c r="J1884" s="13">
        <v>158000</v>
      </c>
      <c r="K1884" s="13">
        <f>IF(J1884&lt;'Mapa Oficinas'!$I$21,0,IF(J1884&gt;'Mapa Oficinas'!$I$20,0,1))</f>
        <v>1</v>
      </c>
      <c r="L1884" t="s">
        <v>23</v>
      </c>
      <c r="M1884" t="s">
        <v>23</v>
      </c>
      <c r="N1884" t="s">
        <v>2310</v>
      </c>
      <c r="O1884" t="s">
        <v>2311</v>
      </c>
      <c r="P1884" t="s">
        <v>61</v>
      </c>
      <c r="Q1884">
        <v>2</v>
      </c>
      <c r="R1884" t="s">
        <v>110</v>
      </c>
      <c r="S1884" t="s">
        <v>232</v>
      </c>
      <c r="T1884" t="str">
        <f>VLOOKUP(S1884,'Mapa Oficinas'!$H$7:$I$16,2,FALSE)</f>
        <v>CB</v>
      </c>
      <c r="U1884" t="s">
        <v>29</v>
      </c>
      <c r="V1884" t="str">
        <f>VLOOKUP($R1884,'Mapa Oficinas'!$A$7:$C$46,2,FALSE)</f>
        <v>Zona Norte (GBA)</v>
      </c>
      <c r="W1884" t="str">
        <f>VLOOKUP($R1884,'Mapa Oficinas'!$A$7:$C$46,3,FALSE)</f>
        <v>Nordelta</v>
      </c>
    </row>
    <row r="1885" spans="1:23" x14ac:dyDescent="0.2">
      <c r="A1885" s="1">
        <v>46087</v>
      </c>
      <c r="B1885" s="20">
        <f t="shared" si="58"/>
        <v>2026</v>
      </c>
      <c r="C1885" s="20">
        <f t="shared" si="59"/>
        <v>3</v>
      </c>
      <c r="D1885" t="s">
        <v>7011</v>
      </c>
      <c r="E1885" s="49">
        <v>1</v>
      </c>
      <c r="F1885" t="s">
        <v>7012</v>
      </c>
      <c r="G1885" t="s">
        <v>21</v>
      </c>
      <c r="H1885" t="s">
        <v>37</v>
      </c>
      <c r="I1885" s="13">
        <v>165000</v>
      </c>
      <c r="J1885" s="13">
        <v>158000</v>
      </c>
      <c r="K1885" s="13">
        <f>IF(J1885&lt;'Mapa Oficinas'!$I$21,0,IF(J1885&gt;'Mapa Oficinas'!$I$20,0,1))</f>
        <v>1</v>
      </c>
      <c r="L1885" t="s">
        <v>23</v>
      </c>
      <c r="M1885" t="s">
        <v>23</v>
      </c>
      <c r="N1885" t="s">
        <v>7013</v>
      </c>
      <c r="O1885" t="s">
        <v>92</v>
      </c>
      <c r="P1885" t="s">
        <v>61</v>
      </c>
      <c r="Q1885">
        <v>2</v>
      </c>
      <c r="R1885" t="s">
        <v>67</v>
      </c>
      <c r="S1885" t="s">
        <v>232</v>
      </c>
      <c r="T1885" t="str">
        <f>VLOOKUP(S1885,'Mapa Oficinas'!$H$7:$I$16,2,FALSE)</f>
        <v>CB</v>
      </c>
      <c r="U1885" t="s">
        <v>29</v>
      </c>
      <c r="V1885" t="str">
        <f>VLOOKUP($R1885,'Mapa Oficinas'!$A$7:$C$46,2,FALSE)</f>
        <v>CABA</v>
      </c>
      <c r="W1885" t="str">
        <f>VLOOKUP($R1885,'Mapa Oficinas'!$A$7:$C$46,3,FALSE)</f>
        <v>Barrio Parque</v>
      </c>
    </row>
    <row r="1886" spans="1:23" x14ac:dyDescent="0.2">
      <c r="A1886" s="1">
        <v>45777</v>
      </c>
      <c r="B1886" s="20">
        <f t="shared" si="58"/>
        <v>2025</v>
      </c>
      <c r="C1886" s="20">
        <f t="shared" si="59"/>
        <v>4</v>
      </c>
      <c r="D1886" t="s">
        <v>1750</v>
      </c>
      <c r="E1886" s="49">
        <v>1</v>
      </c>
      <c r="F1886" t="s">
        <v>1751</v>
      </c>
      <c r="G1886" t="s">
        <v>21</v>
      </c>
      <c r="H1886" t="s">
        <v>37</v>
      </c>
      <c r="I1886" s="13">
        <v>165000</v>
      </c>
      <c r="J1886" s="13">
        <v>158000</v>
      </c>
      <c r="K1886" s="13">
        <f>IF(J1886&lt;'Mapa Oficinas'!$I$21,0,IF(J1886&gt;'Mapa Oficinas'!$I$20,0,1))</f>
        <v>1</v>
      </c>
      <c r="L1886" t="s">
        <v>23</v>
      </c>
      <c r="M1886" t="s">
        <v>23</v>
      </c>
      <c r="N1886" t="s">
        <v>1752</v>
      </c>
      <c r="O1886" t="s">
        <v>178</v>
      </c>
      <c r="P1886" t="s">
        <v>45</v>
      </c>
      <c r="Q1886">
        <v>2</v>
      </c>
      <c r="R1886" t="s">
        <v>67</v>
      </c>
      <c r="S1886" t="s">
        <v>28</v>
      </c>
      <c r="T1886" t="str">
        <f>VLOOKUP(S1886,'Mapa Oficinas'!$H$7:$I$16,2,FALSE)</f>
        <v>CB</v>
      </c>
      <c r="U1886" t="s">
        <v>29</v>
      </c>
      <c r="V1886" t="str">
        <f>VLOOKUP($R1886,'Mapa Oficinas'!$A$7:$C$46,2,FALSE)</f>
        <v>CABA</v>
      </c>
      <c r="W1886" t="str">
        <f>VLOOKUP($R1886,'Mapa Oficinas'!$A$7:$C$46,3,FALSE)</f>
        <v>Barrio Parque</v>
      </c>
    </row>
    <row r="1887" spans="1:23" x14ac:dyDescent="0.2">
      <c r="A1887" s="1">
        <v>45783</v>
      </c>
      <c r="B1887" s="20">
        <f t="shared" si="58"/>
        <v>2025</v>
      </c>
      <c r="C1887" s="20">
        <f t="shared" si="59"/>
        <v>5</v>
      </c>
      <c r="D1887" t="s">
        <v>1786</v>
      </c>
      <c r="E1887" s="49">
        <v>1</v>
      </c>
      <c r="F1887" t="s">
        <v>1787</v>
      </c>
      <c r="G1887" t="s">
        <v>21</v>
      </c>
      <c r="H1887" t="s">
        <v>22</v>
      </c>
      <c r="I1887" s="13">
        <v>158000</v>
      </c>
      <c r="J1887" s="13">
        <v>158000</v>
      </c>
      <c r="K1887" s="13">
        <f>IF(J1887&lt;'Mapa Oficinas'!$I$21,0,IF(J1887&gt;'Mapa Oficinas'!$I$20,0,1))</f>
        <v>1</v>
      </c>
      <c r="L1887" t="s">
        <v>23</v>
      </c>
      <c r="M1887" t="s">
        <v>23</v>
      </c>
      <c r="N1887" t="s">
        <v>1788</v>
      </c>
      <c r="O1887" t="s">
        <v>1609</v>
      </c>
      <c r="P1887" t="s">
        <v>34</v>
      </c>
      <c r="Q1887">
        <v>2</v>
      </c>
      <c r="R1887" t="s">
        <v>257</v>
      </c>
      <c r="S1887" t="s">
        <v>28</v>
      </c>
      <c r="T1887" t="str">
        <f>VLOOKUP(S1887,'Mapa Oficinas'!$H$7:$I$16,2,FALSE)</f>
        <v>CB</v>
      </c>
      <c r="U1887" t="s">
        <v>29</v>
      </c>
      <c r="V1887" t="str">
        <f>VLOOKUP($R1887,'Mapa Oficinas'!$A$7:$C$46,2,FALSE)</f>
        <v>Zona Norte (GBA)</v>
      </c>
      <c r="W1887" t="str">
        <f>VLOOKUP($R1887,'Mapa Oficinas'!$A$7:$C$46,3,FALSE)</f>
        <v>Pilar</v>
      </c>
    </row>
    <row r="1888" spans="1:23" x14ac:dyDescent="0.2">
      <c r="A1888" s="1">
        <v>45819</v>
      </c>
      <c r="B1888" s="20">
        <f t="shared" si="58"/>
        <v>2025</v>
      </c>
      <c r="C1888" s="20">
        <f t="shared" si="59"/>
        <v>6</v>
      </c>
      <c r="D1888" t="s">
        <v>2434</v>
      </c>
      <c r="E1888" s="49">
        <v>1</v>
      </c>
      <c r="F1888" t="s">
        <v>2435</v>
      </c>
      <c r="G1888" t="s">
        <v>21</v>
      </c>
      <c r="H1888" t="s">
        <v>37</v>
      </c>
      <c r="I1888" s="13">
        <v>169900</v>
      </c>
      <c r="J1888" s="13">
        <v>158000</v>
      </c>
      <c r="K1888" s="13">
        <f>IF(J1888&lt;'Mapa Oficinas'!$I$21,0,IF(J1888&gt;'Mapa Oficinas'!$I$20,0,1))</f>
        <v>1</v>
      </c>
      <c r="L1888" t="s">
        <v>23</v>
      </c>
      <c r="M1888" t="s">
        <v>23</v>
      </c>
      <c r="N1888" t="s">
        <v>2436</v>
      </c>
      <c r="O1888" t="s">
        <v>249</v>
      </c>
      <c r="P1888" t="s">
        <v>34</v>
      </c>
      <c r="Q1888">
        <v>2</v>
      </c>
      <c r="R1888" t="s">
        <v>67</v>
      </c>
      <c r="S1888" t="s">
        <v>28</v>
      </c>
      <c r="T1888" t="str">
        <f>VLOOKUP(S1888,'Mapa Oficinas'!$H$7:$I$16,2,FALSE)</f>
        <v>CB</v>
      </c>
      <c r="U1888" t="s">
        <v>29</v>
      </c>
      <c r="V1888" t="str">
        <f>VLOOKUP($R1888,'Mapa Oficinas'!$A$7:$C$46,2,FALSE)</f>
        <v>CABA</v>
      </c>
      <c r="W1888" t="str">
        <f>VLOOKUP($R1888,'Mapa Oficinas'!$A$7:$C$46,3,FALSE)</f>
        <v>Barrio Parque</v>
      </c>
    </row>
    <row r="1889" spans="1:23" x14ac:dyDescent="0.2">
      <c r="A1889" s="1">
        <v>45971</v>
      </c>
      <c r="B1889" s="20">
        <f t="shared" si="58"/>
        <v>2025</v>
      </c>
      <c r="C1889" s="20">
        <f t="shared" si="59"/>
        <v>11</v>
      </c>
      <c r="D1889" t="s">
        <v>5112</v>
      </c>
      <c r="E1889" s="49">
        <v>1</v>
      </c>
      <c r="F1889" t="s">
        <v>5113</v>
      </c>
      <c r="G1889" t="s">
        <v>21</v>
      </c>
      <c r="H1889" t="s">
        <v>37</v>
      </c>
      <c r="I1889" s="13">
        <v>159000</v>
      </c>
      <c r="J1889" s="13">
        <v>158000</v>
      </c>
      <c r="K1889" s="13">
        <f>IF(J1889&lt;'Mapa Oficinas'!$I$21,0,IF(J1889&gt;'Mapa Oficinas'!$I$20,0,1))</f>
        <v>1</v>
      </c>
      <c r="L1889" t="s">
        <v>23</v>
      </c>
      <c r="M1889" t="s">
        <v>23</v>
      </c>
      <c r="N1889" t="s">
        <v>5114</v>
      </c>
      <c r="O1889" t="s">
        <v>50</v>
      </c>
      <c r="P1889" t="s">
        <v>45</v>
      </c>
      <c r="Q1889">
        <v>2</v>
      </c>
      <c r="R1889" t="s">
        <v>67</v>
      </c>
      <c r="S1889" t="s">
        <v>28</v>
      </c>
      <c r="T1889" t="str">
        <f>VLOOKUP(S1889,'Mapa Oficinas'!$H$7:$I$16,2,FALSE)</f>
        <v>CB</v>
      </c>
      <c r="U1889" t="s">
        <v>29</v>
      </c>
      <c r="V1889" t="str">
        <f>VLOOKUP($R1889,'Mapa Oficinas'!$A$7:$C$46,2,FALSE)</f>
        <v>CABA</v>
      </c>
      <c r="W1889" t="str">
        <f>VLOOKUP($R1889,'Mapa Oficinas'!$A$7:$C$46,3,FALSE)</f>
        <v>Barrio Parque</v>
      </c>
    </row>
    <row r="1890" spans="1:23" x14ac:dyDescent="0.2">
      <c r="A1890" s="14">
        <v>45684</v>
      </c>
      <c r="B1890" s="20">
        <f t="shared" si="58"/>
        <v>2025</v>
      </c>
      <c r="C1890" s="20">
        <f t="shared" si="59"/>
        <v>1</v>
      </c>
      <c r="D1890" s="15" t="s">
        <v>385</v>
      </c>
      <c r="E1890" s="51">
        <v>0</v>
      </c>
      <c r="F1890" s="15" t="s">
        <v>374</v>
      </c>
      <c r="G1890" s="15" t="s">
        <v>21</v>
      </c>
      <c r="H1890" s="15" t="s">
        <v>37</v>
      </c>
      <c r="I1890" s="16">
        <v>156200</v>
      </c>
      <c r="J1890" s="16">
        <v>158235</v>
      </c>
      <c r="K1890" s="13">
        <f>IF(J1890&lt;'Mapa Oficinas'!$I$21,0,IF(J1890&gt;'Mapa Oficinas'!$I$20,0,1))</f>
        <v>1</v>
      </c>
      <c r="L1890" s="15" t="s">
        <v>23</v>
      </c>
      <c r="M1890" s="15" t="s">
        <v>23</v>
      </c>
      <c r="N1890" s="15" t="s">
        <v>386</v>
      </c>
      <c r="O1890" s="15" t="s">
        <v>376</v>
      </c>
      <c r="P1890" s="15" t="s">
        <v>26</v>
      </c>
      <c r="Q1890" s="15">
        <v>2</v>
      </c>
      <c r="R1890" s="15" t="s">
        <v>110</v>
      </c>
      <c r="S1890" s="15" t="s">
        <v>79</v>
      </c>
      <c r="T1890" t="str">
        <f>VLOOKUP(S1890,'Mapa Oficinas'!$H$7:$I$16,2,FALSE)</f>
        <v>CB</v>
      </c>
      <c r="U1890" s="15" t="s">
        <v>29</v>
      </c>
      <c r="V1890" t="str">
        <f>VLOOKUP($R1890,'Mapa Oficinas'!$A$7:$C$46,2,FALSE)</f>
        <v>Zona Norte (GBA)</v>
      </c>
      <c r="W1890" t="str">
        <f>VLOOKUP($R1890,'Mapa Oficinas'!$A$7:$C$46,3,FALSE)</f>
        <v>Nordelta</v>
      </c>
    </row>
    <row r="1891" spans="1:23" x14ac:dyDescent="0.2">
      <c r="A1891" s="1">
        <v>45996</v>
      </c>
      <c r="B1891" s="20">
        <f t="shared" si="58"/>
        <v>2025</v>
      </c>
      <c r="C1891" s="20">
        <f t="shared" si="59"/>
        <v>12</v>
      </c>
      <c r="D1891" t="s">
        <v>2524</v>
      </c>
      <c r="E1891" s="49">
        <v>1</v>
      </c>
      <c r="F1891" t="s">
        <v>2525</v>
      </c>
      <c r="G1891" t="s">
        <v>21</v>
      </c>
      <c r="H1891" t="s">
        <v>37</v>
      </c>
      <c r="I1891" s="13">
        <v>165000</v>
      </c>
      <c r="J1891" s="13">
        <v>158500</v>
      </c>
      <c r="K1891" s="13">
        <f>IF(J1891&lt;'Mapa Oficinas'!$I$21,0,IF(J1891&gt;'Mapa Oficinas'!$I$20,0,1))</f>
        <v>1</v>
      </c>
      <c r="L1891" t="s">
        <v>23</v>
      </c>
      <c r="M1891" t="s">
        <v>23</v>
      </c>
      <c r="N1891" t="s">
        <v>2526</v>
      </c>
      <c r="O1891" t="s">
        <v>25</v>
      </c>
      <c r="P1891" t="s">
        <v>45</v>
      </c>
      <c r="Q1891">
        <v>2</v>
      </c>
      <c r="R1891" t="s">
        <v>110</v>
      </c>
      <c r="S1891" t="s">
        <v>28</v>
      </c>
      <c r="T1891" t="str">
        <f>VLOOKUP(S1891,'Mapa Oficinas'!$H$7:$I$16,2,FALSE)</f>
        <v>CB</v>
      </c>
      <c r="U1891" t="s">
        <v>29</v>
      </c>
      <c r="V1891" t="str">
        <f>VLOOKUP($R1891,'Mapa Oficinas'!$A$7:$C$46,2,FALSE)</f>
        <v>Zona Norte (GBA)</v>
      </c>
      <c r="W1891" t="str">
        <f>VLOOKUP($R1891,'Mapa Oficinas'!$A$7:$C$46,3,FALSE)</f>
        <v>Nordelta</v>
      </c>
    </row>
    <row r="1892" spans="1:23" x14ac:dyDescent="0.2">
      <c r="A1892" s="1">
        <v>45938</v>
      </c>
      <c r="B1892" s="20">
        <f t="shared" si="58"/>
        <v>2025</v>
      </c>
      <c r="C1892" s="20">
        <f t="shared" si="59"/>
        <v>10</v>
      </c>
      <c r="D1892" t="s">
        <v>4593</v>
      </c>
      <c r="E1892" s="49">
        <v>1</v>
      </c>
      <c r="F1892" t="s">
        <v>4594</v>
      </c>
      <c r="G1892" t="s">
        <v>21</v>
      </c>
      <c r="H1892" t="s">
        <v>37</v>
      </c>
      <c r="I1892" s="13">
        <v>160000</v>
      </c>
      <c r="J1892" s="13">
        <v>159000</v>
      </c>
      <c r="K1892" s="13">
        <f>IF(J1892&lt;'Mapa Oficinas'!$I$21,0,IF(J1892&gt;'Mapa Oficinas'!$I$20,0,1))</f>
        <v>1</v>
      </c>
      <c r="L1892" t="s">
        <v>23</v>
      </c>
      <c r="M1892" t="s">
        <v>23</v>
      </c>
      <c r="N1892" t="s">
        <v>4595</v>
      </c>
      <c r="O1892" t="s">
        <v>4596</v>
      </c>
      <c r="P1892" t="s">
        <v>34</v>
      </c>
      <c r="Q1892">
        <v>1</v>
      </c>
      <c r="R1892" t="s">
        <v>56</v>
      </c>
      <c r="S1892" t="s">
        <v>122</v>
      </c>
      <c r="T1892" t="str">
        <f>VLOOKUP(S1892,'Mapa Oficinas'!$H$7:$I$16,2,FALSE)</f>
        <v>Otra Red Búsqueda</v>
      </c>
      <c r="U1892" t="s">
        <v>29</v>
      </c>
      <c r="V1892" t="str">
        <f>VLOOKUP($R1892,'Mapa Oficinas'!$A$7:$C$46,2,FALSE)</f>
        <v>Zona Norte (GBA)</v>
      </c>
      <c r="W1892" t="str">
        <f>VLOOKUP($R1892,'Mapa Oficinas'!$A$7:$C$46,3,FALSE)</f>
        <v>Vicente López</v>
      </c>
    </row>
    <row r="1893" spans="1:23" x14ac:dyDescent="0.2">
      <c r="A1893" s="1">
        <v>46073</v>
      </c>
      <c r="B1893" s="20">
        <f t="shared" si="58"/>
        <v>2026</v>
      </c>
      <c r="C1893" s="20">
        <f t="shared" si="59"/>
        <v>2</v>
      </c>
      <c r="D1893" t="s">
        <v>6778</v>
      </c>
      <c r="E1893" s="49">
        <v>3</v>
      </c>
      <c r="F1893" t="s">
        <v>6779</v>
      </c>
      <c r="G1893" t="s">
        <v>21</v>
      </c>
      <c r="H1893" t="s">
        <v>37</v>
      </c>
      <c r="I1893" s="13">
        <v>150000</v>
      </c>
      <c r="J1893" s="13">
        <v>159000</v>
      </c>
      <c r="K1893" s="13">
        <f>IF(J1893&lt;'Mapa Oficinas'!$I$21,0,IF(J1893&gt;'Mapa Oficinas'!$I$20,0,1))</f>
        <v>1</v>
      </c>
      <c r="L1893" t="s">
        <v>23</v>
      </c>
      <c r="M1893" t="s">
        <v>23</v>
      </c>
      <c r="N1893" t="s">
        <v>6780</v>
      </c>
      <c r="O1893" t="s">
        <v>2834</v>
      </c>
      <c r="P1893" t="s">
        <v>34</v>
      </c>
      <c r="Q1893">
        <v>2</v>
      </c>
      <c r="R1893" t="s">
        <v>62</v>
      </c>
      <c r="S1893" t="s">
        <v>241</v>
      </c>
      <c r="T1893" t="str">
        <f>VLOOKUP(S1893,'Mapa Oficinas'!$H$7:$I$16,2,FALSE)</f>
        <v>CB</v>
      </c>
      <c r="U1893" t="s">
        <v>29</v>
      </c>
      <c r="V1893" t="str">
        <f>VLOOKUP($R1893,'Mapa Oficinas'!$A$7:$C$46,2,FALSE)</f>
        <v>CABA</v>
      </c>
      <c r="W1893" t="str">
        <f>VLOOKUP($R1893,'Mapa Oficinas'!$A$7:$C$46,3,FALSE)</f>
        <v>Villa Urquiza</v>
      </c>
    </row>
    <row r="1894" spans="1:23" x14ac:dyDescent="0.2">
      <c r="A1894" s="1">
        <v>45841</v>
      </c>
      <c r="B1894" s="20">
        <f t="shared" si="58"/>
        <v>2025</v>
      </c>
      <c r="C1894" s="20">
        <f t="shared" si="59"/>
        <v>7</v>
      </c>
      <c r="D1894" t="s">
        <v>2862</v>
      </c>
      <c r="E1894" s="49">
        <v>1</v>
      </c>
      <c r="F1894" t="s">
        <v>2863</v>
      </c>
      <c r="G1894" t="s">
        <v>21</v>
      </c>
      <c r="H1894" t="s">
        <v>37</v>
      </c>
      <c r="I1894" s="13">
        <v>159000</v>
      </c>
      <c r="J1894" s="13">
        <v>159000</v>
      </c>
      <c r="K1894" s="13">
        <f>IF(J1894&lt;'Mapa Oficinas'!$I$21,0,IF(J1894&gt;'Mapa Oficinas'!$I$20,0,1))</f>
        <v>1</v>
      </c>
      <c r="L1894" t="s">
        <v>23</v>
      </c>
      <c r="M1894" t="s">
        <v>23</v>
      </c>
      <c r="N1894" t="s">
        <v>2864</v>
      </c>
      <c r="O1894" t="s">
        <v>2865</v>
      </c>
      <c r="P1894" t="s">
        <v>61</v>
      </c>
      <c r="Q1894">
        <v>2</v>
      </c>
      <c r="R1894" t="s">
        <v>62</v>
      </c>
      <c r="S1894" t="s">
        <v>28</v>
      </c>
      <c r="T1894" t="str">
        <f>VLOOKUP(S1894,'Mapa Oficinas'!$H$7:$I$16,2,FALSE)</f>
        <v>CB</v>
      </c>
      <c r="U1894" t="s">
        <v>29</v>
      </c>
      <c r="V1894" t="str">
        <f>VLOOKUP($R1894,'Mapa Oficinas'!$A$7:$C$46,2,FALSE)</f>
        <v>CABA</v>
      </c>
      <c r="W1894" t="str">
        <f>VLOOKUP($R1894,'Mapa Oficinas'!$A$7:$C$46,3,FALSE)</f>
        <v>Villa Urquiza</v>
      </c>
    </row>
    <row r="1895" spans="1:23" x14ac:dyDescent="0.2">
      <c r="A1895" s="1">
        <v>46015</v>
      </c>
      <c r="B1895" s="20">
        <f t="shared" si="58"/>
        <v>2025</v>
      </c>
      <c r="C1895" s="20">
        <f t="shared" si="59"/>
        <v>12</v>
      </c>
      <c r="D1895" t="s">
        <v>6013</v>
      </c>
      <c r="E1895" s="49">
        <v>1</v>
      </c>
      <c r="F1895" t="s">
        <v>6014</v>
      </c>
      <c r="G1895" t="s">
        <v>21</v>
      </c>
      <c r="H1895" t="s">
        <v>22</v>
      </c>
      <c r="I1895" s="13">
        <v>159000</v>
      </c>
      <c r="J1895" s="13">
        <v>159000</v>
      </c>
      <c r="K1895" s="13">
        <f>IF(J1895&lt;'Mapa Oficinas'!$I$21,0,IF(J1895&gt;'Mapa Oficinas'!$I$20,0,1))</f>
        <v>1</v>
      </c>
      <c r="L1895" t="s">
        <v>23</v>
      </c>
      <c r="M1895" t="s">
        <v>23</v>
      </c>
      <c r="N1895" t="s">
        <v>6015</v>
      </c>
      <c r="O1895" t="s">
        <v>3519</v>
      </c>
      <c r="P1895" t="s">
        <v>34</v>
      </c>
      <c r="Q1895">
        <v>2</v>
      </c>
      <c r="R1895" t="s">
        <v>46</v>
      </c>
      <c r="S1895" t="s">
        <v>28</v>
      </c>
      <c r="T1895" t="str">
        <f>VLOOKUP(S1895,'Mapa Oficinas'!$H$7:$I$16,2,FALSE)</f>
        <v>CB</v>
      </c>
      <c r="U1895" t="s">
        <v>29</v>
      </c>
      <c r="V1895" t="str">
        <f>VLOOKUP($R1895,'Mapa Oficinas'!$A$7:$C$46,2,FALSE)</f>
        <v>CABA</v>
      </c>
      <c r="W1895" t="str">
        <f>VLOOKUP($R1895,'Mapa Oficinas'!$A$7:$C$46,3,FALSE)</f>
        <v>Palermo</v>
      </c>
    </row>
    <row r="1896" spans="1:23" x14ac:dyDescent="0.2">
      <c r="A1896" s="1">
        <v>46095</v>
      </c>
      <c r="B1896" s="20">
        <f t="shared" si="58"/>
        <v>2026</v>
      </c>
      <c r="C1896" s="20">
        <f t="shared" si="59"/>
        <v>3</v>
      </c>
      <c r="D1896" t="s">
        <v>7190</v>
      </c>
      <c r="E1896" s="49">
        <v>1</v>
      </c>
      <c r="F1896" t="s">
        <v>7191</v>
      </c>
      <c r="G1896" t="s">
        <v>21</v>
      </c>
      <c r="H1896" t="s">
        <v>37</v>
      </c>
      <c r="I1896" s="13">
        <v>158400</v>
      </c>
      <c r="J1896" s="13">
        <v>159000</v>
      </c>
      <c r="K1896" s="13">
        <f>IF(J1896&lt;'Mapa Oficinas'!$I$21,0,IF(J1896&gt;'Mapa Oficinas'!$I$20,0,1))</f>
        <v>1</v>
      </c>
      <c r="L1896" t="s">
        <v>23</v>
      </c>
      <c r="M1896" t="s">
        <v>23</v>
      </c>
      <c r="N1896" t="s">
        <v>7192</v>
      </c>
      <c r="O1896" t="s">
        <v>390</v>
      </c>
      <c r="P1896" t="s">
        <v>26</v>
      </c>
      <c r="Q1896">
        <v>2</v>
      </c>
      <c r="R1896" t="s">
        <v>1605</v>
      </c>
      <c r="S1896" t="s">
        <v>28</v>
      </c>
      <c r="T1896" t="str">
        <f>VLOOKUP(S1896,'Mapa Oficinas'!$H$7:$I$16,2,FALSE)</f>
        <v>CB</v>
      </c>
      <c r="U1896" t="s">
        <v>29</v>
      </c>
      <c r="V1896" t="str">
        <f>VLOOKUP($R1896,'Mapa Oficinas'!$A$7:$C$46,2,FALSE)</f>
        <v>CABA</v>
      </c>
      <c r="W1896" t="str">
        <f>VLOOKUP($R1896,'Mapa Oficinas'!$A$7:$C$46,3,FALSE)</f>
        <v>Núñez</v>
      </c>
    </row>
    <row r="1897" spans="1:23" x14ac:dyDescent="0.2">
      <c r="A1897" s="1">
        <v>45742</v>
      </c>
      <c r="B1897" s="20">
        <f t="shared" si="58"/>
        <v>2025</v>
      </c>
      <c r="C1897" s="20">
        <f t="shared" si="59"/>
        <v>3</v>
      </c>
      <c r="D1897" t="s">
        <v>1117</v>
      </c>
      <c r="E1897" s="49">
        <v>1</v>
      </c>
      <c r="F1897" t="s">
        <v>1118</v>
      </c>
      <c r="G1897" t="s">
        <v>21</v>
      </c>
      <c r="H1897" t="s">
        <v>37</v>
      </c>
      <c r="I1897" s="13">
        <v>165000</v>
      </c>
      <c r="J1897" s="13">
        <v>160000</v>
      </c>
      <c r="K1897" s="13">
        <f>IF(J1897&lt;'Mapa Oficinas'!$I$21,0,IF(J1897&gt;'Mapa Oficinas'!$I$20,0,1))</f>
        <v>1</v>
      </c>
      <c r="L1897" t="s">
        <v>23</v>
      </c>
      <c r="M1897" t="s">
        <v>23</v>
      </c>
      <c r="N1897" t="s">
        <v>1119</v>
      </c>
      <c r="O1897" t="s">
        <v>1120</v>
      </c>
      <c r="P1897" t="s">
        <v>34</v>
      </c>
      <c r="Q1897">
        <v>2</v>
      </c>
      <c r="R1897" t="s">
        <v>110</v>
      </c>
      <c r="S1897" t="s">
        <v>79</v>
      </c>
      <c r="T1897" t="str">
        <f>VLOOKUP(S1897,'Mapa Oficinas'!$H$7:$I$16,2,FALSE)</f>
        <v>CB</v>
      </c>
      <c r="U1897" t="s">
        <v>29</v>
      </c>
      <c r="V1897" t="str">
        <f>VLOOKUP($R1897,'Mapa Oficinas'!$A$7:$C$46,2,FALSE)</f>
        <v>Zona Norte (GBA)</v>
      </c>
      <c r="W1897" t="str">
        <f>VLOOKUP($R1897,'Mapa Oficinas'!$A$7:$C$46,3,FALSE)</f>
        <v>Nordelta</v>
      </c>
    </row>
    <row r="1898" spans="1:23" x14ac:dyDescent="0.2">
      <c r="A1898" s="1">
        <v>45807</v>
      </c>
      <c r="B1898" s="20">
        <f t="shared" si="58"/>
        <v>2025</v>
      </c>
      <c r="C1898" s="20">
        <f t="shared" si="59"/>
        <v>5</v>
      </c>
      <c r="D1898" t="s">
        <v>2245</v>
      </c>
      <c r="E1898" s="49">
        <v>1</v>
      </c>
      <c r="F1898" t="s">
        <v>2246</v>
      </c>
      <c r="G1898" t="s">
        <v>21</v>
      </c>
      <c r="H1898" t="s">
        <v>37</v>
      </c>
      <c r="I1898" s="13">
        <v>165000</v>
      </c>
      <c r="J1898" s="13">
        <v>160000</v>
      </c>
      <c r="K1898" s="13">
        <f>IF(J1898&lt;'Mapa Oficinas'!$I$21,0,IF(J1898&gt;'Mapa Oficinas'!$I$20,0,1))</f>
        <v>1</v>
      </c>
      <c r="L1898" t="s">
        <v>23</v>
      </c>
      <c r="M1898" t="s">
        <v>23</v>
      </c>
      <c r="N1898" t="s">
        <v>2247</v>
      </c>
      <c r="O1898" t="s">
        <v>141</v>
      </c>
      <c r="P1898" t="s">
        <v>45</v>
      </c>
      <c r="Q1898">
        <v>2</v>
      </c>
      <c r="R1898" t="s">
        <v>56</v>
      </c>
      <c r="S1898" t="s">
        <v>79</v>
      </c>
      <c r="T1898" t="str">
        <f>VLOOKUP(S1898,'Mapa Oficinas'!$H$7:$I$16,2,FALSE)</f>
        <v>CB</v>
      </c>
      <c r="U1898" t="s">
        <v>29</v>
      </c>
      <c r="V1898" t="str">
        <f>VLOOKUP($R1898,'Mapa Oficinas'!$A$7:$C$46,2,FALSE)</f>
        <v>Zona Norte (GBA)</v>
      </c>
      <c r="W1898" t="str">
        <f>VLOOKUP($R1898,'Mapa Oficinas'!$A$7:$C$46,3,FALSE)</f>
        <v>Vicente López</v>
      </c>
    </row>
    <row r="1899" spans="1:23" x14ac:dyDescent="0.2">
      <c r="A1899" s="1">
        <v>45888</v>
      </c>
      <c r="B1899" s="20">
        <f t="shared" si="58"/>
        <v>2025</v>
      </c>
      <c r="C1899" s="20">
        <f t="shared" si="59"/>
        <v>8</v>
      </c>
      <c r="D1899" t="s">
        <v>3645</v>
      </c>
      <c r="E1899" s="49">
        <v>1</v>
      </c>
      <c r="F1899" t="s">
        <v>3646</v>
      </c>
      <c r="G1899" t="s">
        <v>21</v>
      </c>
      <c r="H1899" t="s">
        <v>37</v>
      </c>
      <c r="I1899" s="13">
        <v>150000</v>
      </c>
      <c r="J1899" s="13">
        <v>160000</v>
      </c>
      <c r="K1899" s="13">
        <f>IF(J1899&lt;'Mapa Oficinas'!$I$21,0,IF(J1899&gt;'Mapa Oficinas'!$I$20,0,1))</f>
        <v>1</v>
      </c>
      <c r="L1899" t="s">
        <v>23</v>
      </c>
      <c r="M1899" t="s">
        <v>23</v>
      </c>
      <c r="N1899" t="s">
        <v>3647</v>
      </c>
      <c r="O1899" t="s">
        <v>890</v>
      </c>
      <c r="P1899" t="s">
        <v>26</v>
      </c>
      <c r="Q1899">
        <v>2</v>
      </c>
      <c r="R1899" t="s">
        <v>110</v>
      </c>
      <c r="S1899" t="s">
        <v>79</v>
      </c>
      <c r="T1899" t="str">
        <f>VLOOKUP(S1899,'Mapa Oficinas'!$H$7:$I$16,2,FALSE)</f>
        <v>CB</v>
      </c>
      <c r="U1899" t="s">
        <v>29</v>
      </c>
      <c r="V1899" t="str">
        <f>VLOOKUP($R1899,'Mapa Oficinas'!$A$7:$C$46,2,FALSE)</f>
        <v>Zona Norte (GBA)</v>
      </c>
      <c r="W1899" t="str">
        <f>VLOOKUP($R1899,'Mapa Oficinas'!$A$7:$C$46,3,FALSE)</f>
        <v>Nordelta</v>
      </c>
    </row>
    <row r="1900" spans="1:23" x14ac:dyDescent="0.2">
      <c r="A1900" s="1">
        <v>45929</v>
      </c>
      <c r="B1900" s="20">
        <f t="shared" si="58"/>
        <v>2025</v>
      </c>
      <c r="C1900" s="20">
        <f t="shared" si="59"/>
        <v>9</v>
      </c>
      <c r="D1900" t="s">
        <v>4398</v>
      </c>
      <c r="E1900" s="49">
        <v>1</v>
      </c>
      <c r="F1900" t="s">
        <v>4399</v>
      </c>
      <c r="G1900" t="s">
        <v>21</v>
      </c>
      <c r="H1900" t="s">
        <v>97</v>
      </c>
      <c r="I1900" s="13">
        <v>165000</v>
      </c>
      <c r="J1900" s="13">
        <v>160000</v>
      </c>
      <c r="K1900" s="13">
        <f>IF(J1900&lt;'Mapa Oficinas'!$I$21,0,IF(J1900&gt;'Mapa Oficinas'!$I$20,0,1))</f>
        <v>1</v>
      </c>
      <c r="L1900" t="s">
        <v>23</v>
      </c>
      <c r="M1900" t="s">
        <v>23</v>
      </c>
      <c r="N1900" t="s">
        <v>4400</v>
      </c>
      <c r="O1900" t="s">
        <v>1020</v>
      </c>
      <c r="P1900" t="s">
        <v>45</v>
      </c>
      <c r="Q1900">
        <v>2</v>
      </c>
      <c r="R1900" t="s">
        <v>84</v>
      </c>
      <c r="S1900" t="s">
        <v>79</v>
      </c>
      <c r="T1900" t="str">
        <f>VLOOKUP(S1900,'Mapa Oficinas'!$H$7:$I$16,2,FALSE)</f>
        <v>CB</v>
      </c>
      <c r="U1900" t="s">
        <v>29</v>
      </c>
      <c r="V1900" t="str">
        <f>VLOOKUP($R1900,'Mapa Oficinas'!$A$7:$C$46,2,FALSE)</f>
        <v>Interior - Neuquén</v>
      </c>
      <c r="W1900" t="str">
        <f>VLOOKUP($R1900,'Mapa Oficinas'!$A$7:$C$46,3,FALSE)</f>
        <v>Villa La Angostura</v>
      </c>
    </row>
    <row r="1901" spans="1:23" x14ac:dyDescent="0.2">
      <c r="A1901" s="1">
        <v>46037</v>
      </c>
      <c r="B1901" s="20">
        <f t="shared" si="58"/>
        <v>2026</v>
      </c>
      <c r="C1901" s="20">
        <f t="shared" si="59"/>
        <v>1</v>
      </c>
      <c r="D1901" t="s">
        <v>6260</v>
      </c>
      <c r="E1901" s="49">
        <v>1</v>
      </c>
      <c r="F1901" t="s">
        <v>6260</v>
      </c>
      <c r="G1901" t="s">
        <v>21</v>
      </c>
      <c r="H1901" t="s">
        <v>37</v>
      </c>
      <c r="I1901" s="13">
        <v>160000</v>
      </c>
      <c r="J1901" s="13">
        <v>160000</v>
      </c>
      <c r="K1901" s="13">
        <f>IF(J1901&lt;'Mapa Oficinas'!$I$21,0,IF(J1901&gt;'Mapa Oficinas'!$I$20,0,1))</f>
        <v>1</v>
      </c>
      <c r="L1901" t="s">
        <v>23</v>
      </c>
      <c r="M1901" t="s">
        <v>23</v>
      </c>
      <c r="O1901" t="s">
        <v>4305</v>
      </c>
      <c r="P1901" t="s">
        <v>34</v>
      </c>
      <c r="Q1901">
        <v>2</v>
      </c>
      <c r="R1901" t="s">
        <v>110</v>
      </c>
      <c r="S1901" t="s">
        <v>79</v>
      </c>
      <c r="T1901" t="str">
        <f>VLOOKUP(S1901,'Mapa Oficinas'!$H$7:$I$16,2,FALSE)</f>
        <v>CB</v>
      </c>
      <c r="U1901" t="s">
        <v>29</v>
      </c>
      <c r="V1901" t="str">
        <f>VLOOKUP($R1901,'Mapa Oficinas'!$A$7:$C$46,2,FALSE)</f>
        <v>Zona Norte (GBA)</v>
      </c>
      <c r="W1901" t="str">
        <f>VLOOKUP($R1901,'Mapa Oficinas'!$A$7:$C$46,3,FALSE)</f>
        <v>Nordelta</v>
      </c>
    </row>
    <row r="1902" spans="1:23" x14ac:dyDescent="0.2">
      <c r="A1902" s="1">
        <v>46106</v>
      </c>
      <c r="B1902" s="20">
        <f t="shared" si="58"/>
        <v>2026</v>
      </c>
      <c r="C1902" s="20">
        <f t="shared" si="59"/>
        <v>3</v>
      </c>
      <c r="D1902" t="s">
        <v>7419</v>
      </c>
      <c r="E1902" s="49">
        <v>1</v>
      </c>
      <c r="F1902" t="s">
        <v>7420</v>
      </c>
      <c r="G1902" t="s">
        <v>21</v>
      </c>
      <c r="H1902" t="s">
        <v>37</v>
      </c>
      <c r="I1902" s="13">
        <v>99000</v>
      </c>
      <c r="J1902" s="13">
        <v>160000</v>
      </c>
      <c r="K1902" s="13">
        <f>IF(J1902&lt;'Mapa Oficinas'!$I$21,0,IF(J1902&gt;'Mapa Oficinas'!$I$20,0,1))</f>
        <v>1</v>
      </c>
      <c r="L1902" t="s">
        <v>23</v>
      </c>
      <c r="M1902" t="s">
        <v>23</v>
      </c>
      <c r="N1902" t="s">
        <v>7421</v>
      </c>
      <c r="O1902" t="s">
        <v>141</v>
      </c>
      <c r="P1902" t="s">
        <v>45</v>
      </c>
      <c r="Q1902">
        <v>2</v>
      </c>
      <c r="R1902" t="s">
        <v>110</v>
      </c>
      <c r="S1902" t="s">
        <v>79</v>
      </c>
      <c r="T1902" t="str">
        <f>VLOOKUP(S1902,'Mapa Oficinas'!$H$7:$I$16,2,FALSE)</f>
        <v>CB</v>
      </c>
      <c r="U1902" t="s">
        <v>29</v>
      </c>
      <c r="V1902" t="str">
        <f>VLOOKUP($R1902,'Mapa Oficinas'!$A$7:$C$46,2,FALSE)</f>
        <v>Zona Norte (GBA)</v>
      </c>
      <c r="W1902" t="str">
        <f>VLOOKUP($R1902,'Mapa Oficinas'!$A$7:$C$46,3,FALSE)</f>
        <v>Nordelta</v>
      </c>
    </row>
    <row r="1903" spans="1:23" x14ac:dyDescent="0.2">
      <c r="A1903" s="1">
        <v>46101</v>
      </c>
      <c r="B1903" s="20">
        <f t="shared" si="58"/>
        <v>2026</v>
      </c>
      <c r="C1903" s="20">
        <f t="shared" si="59"/>
        <v>3</v>
      </c>
      <c r="D1903" t="s">
        <v>7363</v>
      </c>
      <c r="E1903" s="49">
        <v>1</v>
      </c>
      <c r="F1903" t="s">
        <v>7364</v>
      </c>
      <c r="G1903" t="s">
        <v>21</v>
      </c>
      <c r="H1903" t="s">
        <v>37</v>
      </c>
      <c r="I1903" s="13">
        <v>165000</v>
      </c>
      <c r="J1903" s="13">
        <v>160000</v>
      </c>
      <c r="K1903" s="13">
        <f>IF(J1903&lt;'Mapa Oficinas'!$I$21,0,IF(J1903&gt;'Mapa Oficinas'!$I$20,0,1))</f>
        <v>1</v>
      </c>
      <c r="L1903" t="s">
        <v>23</v>
      </c>
      <c r="M1903" t="s">
        <v>23</v>
      </c>
      <c r="N1903" t="s">
        <v>7365</v>
      </c>
      <c r="O1903" t="s">
        <v>50</v>
      </c>
      <c r="P1903" t="s">
        <v>45</v>
      </c>
      <c r="Q1903">
        <v>2</v>
      </c>
      <c r="R1903" t="s">
        <v>56</v>
      </c>
      <c r="S1903" t="s">
        <v>232</v>
      </c>
      <c r="T1903" t="str">
        <f>VLOOKUP(S1903,'Mapa Oficinas'!$H$7:$I$16,2,FALSE)</f>
        <v>CB</v>
      </c>
      <c r="U1903" t="s">
        <v>29</v>
      </c>
      <c r="V1903" t="str">
        <f>VLOOKUP($R1903,'Mapa Oficinas'!$A$7:$C$46,2,FALSE)</f>
        <v>Zona Norte (GBA)</v>
      </c>
      <c r="W1903" t="str">
        <f>VLOOKUP($R1903,'Mapa Oficinas'!$A$7:$C$46,3,FALSE)</f>
        <v>Vicente López</v>
      </c>
    </row>
    <row r="1904" spans="1:23" x14ac:dyDescent="0.2">
      <c r="A1904" s="1">
        <v>46107</v>
      </c>
      <c r="B1904" s="20">
        <f t="shared" si="58"/>
        <v>2026</v>
      </c>
      <c r="C1904" s="20">
        <f t="shared" si="59"/>
        <v>3</v>
      </c>
      <c r="D1904">
        <v>10699</v>
      </c>
      <c r="E1904" s="49">
        <v>0</v>
      </c>
      <c r="F1904" t="s">
        <v>7443</v>
      </c>
      <c r="G1904" t="s">
        <v>21</v>
      </c>
      <c r="H1904" t="s">
        <v>37</v>
      </c>
      <c r="I1904" s="13">
        <v>160000</v>
      </c>
      <c r="J1904" s="13">
        <v>160000</v>
      </c>
      <c r="K1904" s="13">
        <f>IF(J1904&lt;'Mapa Oficinas'!$I$21,0,IF(J1904&gt;'Mapa Oficinas'!$I$20,0,1))</f>
        <v>1</v>
      </c>
      <c r="L1904" t="s">
        <v>23</v>
      </c>
      <c r="M1904" t="s">
        <v>23</v>
      </c>
      <c r="N1904" t="s">
        <v>7443</v>
      </c>
      <c r="O1904" t="s">
        <v>50</v>
      </c>
      <c r="P1904" t="s">
        <v>45</v>
      </c>
      <c r="Q1904">
        <v>2</v>
      </c>
      <c r="R1904" t="s">
        <v>67</v>
      </c>
      <c r="S1904" t="s">
        <v>232</v>
      </c>
      <c r="T1904" t="str">
        <f>VLOOKUP(S1904,'Mapa Oficinas'!$H$7:$I$16,2,FALSE)</f>
        <v>CB</v>
      </c>
      <c r="U1904" t="s">
        <v>29</v>
      </c>
      <c r="V1904" t="str">
        <f>VLOOKUP($R1904,'Mapa Oficinas'!$A$7:$C$46,2,FALSE)</f>
        <v>CABA</v>
      </c>
      <c r="W1904" t="str">
        <f>VLOOKUP($R1904,'Mapa Oficinas'!$A$7:$C$46,3,FALSE)</f>
        <v>Barrio Parque</v>
      </c>
    </row>
    <row r="1905" spans="1:23" x14ac:dyDescent="0.2">
      <c r="A1905" s="1">
        <v>45936</v>
      </c>
      <c r="B1905" s="20">
        <f t="shared" si="58"/>
        <v>2025</v>
      </c>
      <c r="C1905" s="20">
        <f t="shared" si="59"/>
        <v>10</v>
      </c>
      <c r="D1905" t="s">
        <v>4527</v>
      </c>
      <c r="E1905" s="49">
        <v>1</v>
      </c>
      <c r="F1905" t="s">
        <v>4528</v>
      </c>
      <c r="G1905" t="s">
        <v>21</v>
      </c>
      <c r="H1905" t="s">
        <v>37</v>
      </c>
      <c r="I1905" s="13">
        <v>149000</v>
      </c>
      <c r="J1905" s="13">
        <v>160000</v>
      </c>
      <c r="K1905" s="13">
        <f>IF(J1905&lt;'Mapa Oficinas'!$I$21,0,IF(J1905&gt;'Mapa Oficinas'!$I$20,0,1))</f>
        <v>1</v>
      </c>
      <c r="L1905" t="s">
        <v>23</v>
      </c>
      <c r="M1905" t="s">
        <v>23</v>
      </c>
      <c r="N1905" t="s">
        <v>4529</v>
      </c>
      <c r="O1905" t="s">
        <v>1010</v>
      </c>
      <c r="P1905" t="s">
        <v>45</v>
      </c>
      <c r="Q1905">
        <v>1</v>
      </c>
      <c r="R1905" t="s">
        <v>110</v>
      </c>
      <c r="S1905" t="s">
        <v>47</v>
      </c>
      <c r="T1905" t="str">
        <f>VLOOKUP(S1905,'Mapa Oficinas'!$H$7:$I$16,2,FALSE)</f>
        <v>Otra Red Búsqueda</v>
      </c>
      <c r="U1905" t="s">
        <v>29</v>
      </c>
      <c r="V1905" t="str">
        <f>VLOOKUP($R1905,'Mapa Oficinas'!$A$7:$C$46,2,FALSE)</f>
        <v>Zona Norte (GBA)</v>
      </c>
      <c r="W1905" t="str">
        <f>VLOOKUP($R1905,'Mapa Oficinas'!$A$7:$C$46,3,FALSE)</f>
        <v>Nordelta</v>
      </c>
    </row>
    <row r="1906" spans="1:23" x14ac:dyDescent="0.2">
      <c r="A1906" s="1">
        <v>45979</v>
      </c>
      <c r="B1906" s="20">
        <f t="shared" si="58"/>
        <v>2025</v>
      </c>
      <c r="C1906" s="20">
        <f t="shared" si="59"/>
        <v>11</v>
      </c>
      <c r="D1906">
        <v>10528</v>
      </c>
      <c r="E1906" s="49">
        <v>1</v>
      </c>
      <c r="F1906" t="s">
        <v>5296</v>
      </c>
      <c r="G1906" t="s">
        <v>21</v>
      </c>
      <c r="H1906" t="s">
        <v>37</v>
      </c>
      <c r="I1906" s="13">
        <v>0</v>
      </c>
      <c r="J1906" s="13">
        <v>160000</v>
      </c>
      <c r="K1906" s="13">
        <f>IF(J1906&lt;'Mapa Oficinas'!$I$21,0,IF(J1906&gt;'Mapa Oficinas'!$I$20,0,1))</f>
        <v>1</v>
      </c>
      <c r="L1906" t="s">
        <v>23</v>
      </c>
      <c r="M1906" t="s">
        <v>23</v>
      </c>
      <c r="N1906" t="s">
        <v>5296</v>
      </c>
      <c r="O1906" t="s">
        <v>92</v>
      </c>
      <c r="P1906" t="s">
        <v>45</v>
      </c>
      <c r="Q1906">
        <v>1</v>
      </c>
      <c r="R1906" t="s">
        <v>67</v>
      </c>
      <c r="S1906" t="s">
        <v>47</v>
      </c>
      <c r="T1906" t="str">
        <f>VLOOKUP(S1906,'Mapa Oficinas'!$H$7:$I$16,2,FALSE)</f>
        <v>Otra Red Búsqueda</v>
      </c>
      <c r="U1906" t="s">
        <v>29</v>
      </c>
      <c r="V1906" t="str">
        <f>VLOOKUP($R1906,'Mapa Oficinas'!$A$7:$C$46,2,FALSE)</f>
        <v>CABA</v>
      </c>
      <c r="W1906" t="str">
        <f>VLOOKUP($R1906,'Mapa Oficinas'!$A$7:$C$46,3,FALSE)</f>
        <v>Barrio Parque</v>
      </c>
    </row>
    <row r="1907" spans="1:23" x14ac:dyDescent="0.2">
      <c r="A1907" s="1">
        <v>46002</v>
      </c>
      <c r="B1907" s="20">
        <f t="shared" si="58"/>
        <v>2025</v>
      </c>
      <c r="C1907" s="20">
        <f t="shared" si="59"/>
        <v>12</v>
      </c>
      <c r="D1907">
        <v>10616</v>
      </c>
      <c r="E1907" s="49">
        <v>1</v>
      </c>
      <c r="F1907" t="s">
        <v>5726</v>
      </c>
      <c r="G1907" t="s">
        <v>21</v>
      </c>
      <c r="H1907" t="s">
        <v>37</v>
      </c>
      <c r="I1907" s="13">
        <v>160000</v>
      </c>
      <c r="J1907" s="13">
        <v>160000</v>
      </c>
      <c r="K1907" s="13">
        <f>IF(J1907&lt;'Mapa Oficinas'!$I$21,0,IF(J1907&gt;'Mapa Oficinas'!$I$20,0,1))</f>
        <v>1</v>
      </c>
      <c r="L1907" t="s">
        <v>23</v>
      </c>
      <c r="M1907" t="s">
        <v>23</v>
      </c>
      <c r="N1907" t="s">
        <v>5726</v>
      </c>
      <c r="O1907" t="s">
        <v>408</v>
      </c>
      <c r="P1907" t="s">
        <v>45</v>
      </c>
      <c r="Q1907">
        <v>1</v>
      </c>
      <c r="R1907" t="s">
        <v>67</v>
      </c>
      <c r="S1907" t="s">
        <v>47</v>
      </c>
      <c r="T1907" t="str">
        <f>VLOOKUP(S1907,'Mapa Oficinas'!$H$7:$I$16,2,FALSE)</f>
        <v>Otra Red Búsqueda</v>
      </c>
      <c r="U1907" t="s">
        <v>29</v>
      </c>
      <c r="V1907" t="str">
        <f>VLOOKUP($R1907,'Mapa Oficinas'!$A$7:$C$46,2,FALSE)</f>
        <v>CABA</v>
      </c>
      <c r="W1907" t="str">
        <f>VLOOKUP($R1907,'Mapa Oficinas'!$A$7:$C$46,3,FALSE)</f>
        <v>Barrio Parque</v>
      </c>
    </row>
    <row r="1908" spans="1:23" x14ac:dyDescent="0.2">
      <c r="A1908" s="1">
        <v>45757</v>
      </c>
      <c r="B1908" s="20">
        <f t="shared" si="58"/>
        <v>2025</v>
      </c>
      <c r="C1908" s="20">
        <f t="shared" si="59"/>
        <v>4</v>
      </c>
      <c r="D1908" t="s">
        <v>1366</v>
      </c>
      <c r="E1908" s="49">
        <v>1</v>
      </c>
      <c r="F1908" t="s">
        <v>1367</v>
      </c>
      <c r="G1908" t="s">
        <v>21</v>
      </c>
      <c r="H1908" t="s">
        <v>37</v>
      </c>
      <c r="I1908" s="13">
        <v>170000</v>
      </c>
      <c r="J1908" s="13">
        <v>160000</v>
      </c>
      <c r="K1908" s="13">
        <f>IF(J1908&lt;'Mapa Oficinas'!$I$21,0,IF(J1908&gt;'Mapa Oficinas'!$I$20,0,1))</f>
        <v>1</v>
      </c>
      <c r="L1908" t="s">
        <v>23</v>
      </c>
      <c r="M1908" t="s">
        <v>23</v>
      </c>
      <c r="N1908" t="s">
        <v>1368</v>
      </c>
      <c r="O1908" t="s">
        <v>190</v>
      </c>
      <c r="P1908" t="s">
        <v>45</v>
      </c>
      <c r="Q1908">
        <v>2</v>
      </c>
      <c r="R1908" t="s">
        <v>1024</v>
      </c>
      <c r="S1908" t="s">
        <v>28</v>
      </c>
      <c r="T1908" t="str">
        <f>VLOOKUP(S1908,'Mapa Oficinas'!$H$7:$I$16,2,FALSE)</f>
        <v>CB</v>
      </c>
      <c r="U1908" t="s">
        <v>29</v>
      </c>
      <c r="V1908" t="str">
        <f>VLOOKUP($R1908,'Mapa Oficinas'!$A$7:$C$46,2,FALSE)</f>
        <v>CABA</v>
      </c>
      <c r="W1908" t="str">
        <f>VLOOKUP($R1908,'Mapa Oficinas'!$A$7:$C$46,3,FALSE)</f>
        <v>Puerto Madero</v>
      </c>
    </row>
    <row r="1909" spans="1:23" x14ac:dyDescent="0.2">
      <c r="A1909" s="1">
        <v>45757</v>
      </c>
      <c r="B1909" s="20">
        <f t="shared" si="58"/>
        <v>2025</v>
      </c>
      <c r="C1909" s="20">
        <f t="shared" si="59"/>
        <v>4</v>
      </c>
      <c r="D1909" t="s">
        <v>1369</v>
      </c>
      <c r="E1909" s="49">
        <v>1</v>
      </c>
      <c r="F1909" t="s">
        <v>1370</v>
      </c>
      <c r="G1909" t="s">
        <v>21</v>
      </c>
      <c r="H1909" t="s">
        <v>37</v>
      </c>
      <c r="I1909" s="13">
        <v>165000</v>
      </c>
      <c r="J1909" s="13">
        <v>160000</v>
      </c>
      <c r="K1909" s="13">
        <f>IF(J1909&lt;'Mapa Oficinas'!$I$21,0,IF(J1909&gt;'Mapa Oficinas'!$I$20,0,1))</f>
        <v>1</v>
      </c>
      <c r="L1909" t="s">
        <v>23</v>
      </c>
      <c r="M1909" t="s">
        <v>23</v>
      </c>
      <c r="N1909" t="s">
        <v>1371</v>
      </c>
      <c r="O1909" t="s">
        <v>92</v>
      </c>
      <c r="P1909" t="s">
        <v>45</v>
      </c>
      <c r="Q1909">
        <v>2</v>
      </c>
      <c r="R1909" t="s">
        <v>46</v>
      </c>
      <c r="S1909" t="s">
        <v>28</v>
      </c>
      <c r="T1909" t="str">
        <f>VLOOKUP(S1909,'Mapa Oficinas'!$H$7:$I$16,2,FALSE)</f>
        <v>CB</v>
      </c>
      <c r="U1909" t="s">
        <v>29</v>
      </c>
      <c r="V1909" t="str">
        <f>VLOOKUP($R1909,'Mapa Oficinas'!$A$7:$C$46,2,FALSE)</f>
        <v>CABA</v>
      </c>
      <c r="W1909" t="str">
        <f>VLOOKUP($R1909,'Mapa Oficinas'!$A$7:$C$46,3,FALSE)</f>
        <v>Palermo</v>
      </c>
    </row>
    <row r="1910" spans="1:23" x14ac:dyDescent="0.2">
      <c r="A1910" s="1">
        <v>45778</v>
      </c>
      <c r="B1910" s="20">
        <f t="shared" si="58"/>
        <v>2025</v>
      </c>
      <c r="C1910" s="20">
        <f t="shared" si="59"/>
        <v>5</v>
      </c>
      <c r="D1910" t="s">
        <v>1773</v>
      </c>
      <c r="E1910" s="49">
        <v>1</v>
      </c>
      <c r="F1910" t="s">
        <v>1773</v>
      </c>
      <c r="G1910" t="s">
        <v>21</v>
      </c>
      <c r="H1910" t="s">
        <v>90</v>
      </c>
      <c r="I1910" s="13">
        <v>160000</v>
      </c>
      <c r="J1910" s="13">
        <v>160000</v>
      </c>
      <c r="K1910" s="13">
        <f>IF(J1910&lt;'Mapa Oficinas'!$I$21,0,IF(J1910&gt;'Mapa Oficinas'!$I$20,0,1))</f>
        <v>1</v>
      </c>
      <c r="L1910" t="s">
        <v>23</v>
      </c>
      <c r="M1910" t="s">
        <v>23</v>
      </c>
      <c r="N1910" t="s">
        <v>1773</v>
      </c>
      <c r="O1910" t="s">
        <v>1774</v>
      </c>
      <c r="P1910" t="s">
        <v>45</v>
      </c>
      <c r="Q1910">
        <v>2</v>
      </c>
      <c r="R1910" t="s">
        <v>62</v>
      </c>
      <c r="S1910" t="s">
        <v>28</v>
      </c>
      <c r="T1910" t="str">
        <f>VLOOKUP(S1910,'Mapa Oficinas'!$H$7:$I$16,2,FALSE)</f>
        <v>CB</v>
      </c>
      <c r="U1910" t="s">
        <v>29</v>
      </c>
      <c r="V1910" t="str">
        <f>VLOOKUP($R1910,'Mapa Oficinas'!$A$7:$C$46,2,FALSE)</f>
        <v>CABA</v>
      </c>
      <c r="W1910" t="str">
        <f>VLOOKUP($R1910,'Mapa Oficinas'!$A$7:$C$46,3,FALSE)</f>
        <v>Villa Urquiza</v>
      </c>
    </row>
    <row r="1911" spans="1:23" x14ac:dyDescent="0.2">
      <c r="A1911" s="1">
        <v>45787</v>
      </c>
      <c r="B1911" s="20">
        <f t="shared" si="58"/>
        <v>2025</v>
      </c>
      <c r="C1911" s="20">
        <f t="shared" si="59"/>
        <v>5</v>
      </c>
      <c r="D1911" t="s">
        <v>1856</v>
      </c>
      <c r="E1911" s="49">
        <v>1</v>
      </c>
      <c r="F1911" t="s">
        <v>1857</v>
      </c>
      <c r="G1911" t="s">
        <v>21</v>
      </c>
      <c r="H1911" t="s">
        <v>362</v>
      </c>
      <c r="I1911" s="13">
        <v>160000</v>
      </c>
      <c r="J1911" s="13">
        <v>160000</v>
      </c>
      <c r="K1911" s="13">
        <f>IF(J1911&lt;'Mapa Oficinas'!$I$21,0,IF(J1911&gt;'Mapa Oficinas'!$I$20,0,1))</f>
        <v>1</v>
      </c>
      <c r="L1911" t="s">
        <v>23</v>
      </c>
      <c r="M1911" t="s">
        <v>23</v>
      </c>
      <c r="N1911" t="s">
        <v>1858</v>
      </c>
      <c r="O1911" t="s">
        <v>1859</v>
      </c>
      <c r="P1911" t="s">
        <v>45</v>
      </c>
      <c r="Q1911">
        <v>2</v>
      </c>
      <c r="R1911" t="s">
        <v>84</v>
      </c>
      <c r="S1911" t="s">
        <v>28</v>
      </c>
      <c r="T1911" t="str">
        <f>VLOOKUP(S1911,'Mapa Oficinas'!$H$7:$I$16,2,FALSE)</f>
        <v>CB</v>
      </c>
      <c r="U1911" t="s">
        <v>29</v>
      </c>
      <c r="V1911" t="str">
        <f>VLOOKUP($R1911,'Mapa Oficinas'!$A$7:$C$46,2,FALSE)</f>
        <v>Interior - Neuquén</v>
      </c>
      <c r="W1911" t="str">
        <f>VLOOKUP($R1911,'Mapa Oficinas'!$A$7:$C$46,3,FALSE)</f>
        <v>Villa La Angostura</v>
      </c>
    </row>
    <row r="1912" spans="1:23" x14ac:dyDescent="0.2">
      <c r="A1912" s="1">
        <v>45791</v>
      </c>
      <c r="B1912" s="20">
        <f t="shared" si="58"/>
        <v>2025</v>
      </c>
      <c r="C1912" s="20">
        <f t="shared" si="59"/>
        <v>5</v>
      </c>
      <c r="D1912" t="s">
        <v>1940</v>
      </c>
      <c r="E1912" s="49">
        <v>1</v>
      </c>
      <c r="F1912" t="s">
        <v>1941</v>
      </c>
      <c r="G1912" t="s">
        <v>21</v>
      </c>
      <c r="H1912" t="s">
        <v>37</v>
      </c>
      <c r="I1912" s="13">
        <v>170000</v>
      </c>
      <c r="J1912" s="13">
        <v>160000</v>
      </c>
      <c r="K1912" s="13">
        <f>IF(J1912&lt;'Mapa Oficinas'!$I$21,0,IF(J1912&gt;'Mapa Oficinas'!$I$20,0,1))</f>
        <v>1</v>
      </c>
      <c r="L1912" t="s">
        <v>23</v>
      </c>
      <c r="M1912" t="s">
        <v>23</v>
      </c>
      <c r="N1912" t="s">
        <v>1942</v>
      </c>
      <c r="O1912" t="s">
        <v>1943</v>
      </c>
      <c r="P1912" t="s">
        <v>34</v>
      </c>
      <c r="Q1912">
        <v>2</v>
      </c>
      <c r="R1912" t="s">
        <v>110</v>
      </c>
      <c r="S1912" t="s">
        <v>28</v>
      </c>
      <c r="T1912" t="str">
        <f>VLOOKUP(S1912,'Mapa Oficinas'!$H$7:$I$16,2,FALSE)</f>
        <v>CB</v>
      </c>
      <c r="U1912" t="s">
        <v>29</v>
      </c>
      <c r="V1912" t="str">
        <f>VLOOKUP($R1912,'Mapa Oficinas'!$A$7:$C$46,2,FALSE)</f>
        <v>Zona Norte (GBA)</v>
      </c>
      <c r="W1912" t="str">
        <f>VLOOKUP($R1912,'Mapa Oficinas'!$A$7:$C$46,3,FALSE)</f>
        <v>Nordelta</v>
      </c>
    </row>
    <row r="1913" spans="1:23" x14ac:dyDescent="0.2">
      <c r="A1913" s="1">
        <v>45838</v>
      </c>
      <c r="B1913" s="20">
        <f t="shared" si="58"/>
        <v>2025</v>
      </c>
      <c r="C1913" s="20">
        <f t="shared" si="59"/>
        <v>6</v>
      </c>
      <c r="D1913" t="s">
        <v>2790</v>
      </c>
      <c r="E1913" s="49">
        <v>1</v>
      </c>
      <c r="F1913" t="s">
        <v>2791</v>
      </c>
      <c r="G1913" t="s">
        <v>21</v>
      </c>
      <c r="H1913" t="s">
        <v>37</v>
      </c>
      <c r="I1913" s="13">
        <v>175000</v>
      </c>
      <c r="J1913" s="13">
        <v>160000</v>
      </c>
      <c r="K1913" s="13">
        <f>IF(J1913&lt;'Mapa Oficinas'!$I$21,0,IF(J1913&gt;'Mapa Oficinas'!$I$20,0,1))</f>
        <v>1</v>
      </c>
      <c r="L1913" t="s">
        <v>23</v>
      </c>
      <c r="M1913" t="s">
        <v>23</v>
      </c>
      <c r="N1913" t="s">
        <v>2792</v>
      </c>
      <c r="O1913" t="s">
        <v>2793</v>
      </c>
      <c r="P1913" t="s">
        <v>34</v>
      </c>
      <c r="Q1913">
        <v>2</v>
      </c>
      <c r="R1913" t="s">
        <v>67</v>
      </c>
      <c r="S1913" t="s">
        <v>28</v>
      </c>
      <c r="T1913" t="str">
        <f>VLOOKUP(S1913,'Mapa Oficinas'!$H$7:$I$16,2,FALSE)</f>
        <v>CB</v>
      </c>
      <c r="U1913" t="s">
        <v>29</v>
      </c>
      <c r="V1913" t="str">
        <f>VLOOKUP($R1913,'Mapa Oficinas'!$A$7:$C$46,2,FALSE)</f>
        <v>CABA</v>
      </c>
      <c r="W1913" t="str">
        <f>VLOOKUP($R1913,'Mapa Oficinas'!$A$7:$C$46,3,FALSE)</f>
        <v>Barrio Parque</v>
      </c>
    </row>
    <row r="1914" spans="1:23" x14ac:dyDescent="0.2">
      <c r="A1914" s="1">
        <v>45865</v>
      </c>
      <c r="B1914" s="20">
        <f t="shared" si="58"/>
        <v>2025</v>
      </c>
      <c r="C1914" s="20">
        <f t="shared" si="59"/>
        <v>7</v>
      </c>
      <c r="D1914" t="s">
        <v>3248</v>
      </c>
      <c r="E1914" s="49">
        <v>1</v>
      </c>
      <c r="F1914" t="s">
        <v>3249</v>
      </c>
      <c r="G1914" t="s">
        <v>21</v>
      </c>
      <c r="H1914" t="s">
        <v>37</v>
      </c>
      <c r="I1914" s="13">
        <v>200000</v>
      </c>
      <c r="J1914" s="13">
        <v>160000</v>
      </c>
      <c r="K1914" s="13">
        <f>IF(J1914&lt;'Mapa Oficinas'!$I$21,0,IF(J1914&gt;'Mapa Oficinas'!$I$20,0,1))</f>
        <v>1</v>
      </c>
      <c r="L1914" t="s">
        <v>23</v>
      </c>
      <c r="M1914" t="s">
        <v>23</v>
      </c>
      <c r="N1914" t="s">
        <v>3250</v>
      </c>
      <c r="O1914" t="s">
        <v>3251</v>
      </c>
      <c r="P1914" t="s">
        <v>34</v>
      </c>
      <c r="Q1914">
        <v>2</v>
      </c>
      <c r="R1914" t="s">
        <v>110</v>
      </c>
      <c r="S1914" t="s">
        <v>28</v>
      </c>
      <c r="T1914" t="str">
        <f>VLOOKUP(S1914,'Mapa Oficinas'!$H$7:$I$16,2,FALSE)</f>
        <v>CB</v>
      </c>
      <c r="U1914" t="s">
        <v>29</v>
      </c>
      <c r="V1914" t="str">
        <f>VLOOKUP($R1914,'Mapa Oficinas'!$A$7:$C$46,2,FALSE)</f>
        <v>Zona Norte (GBA)</v>
      </c>
      <c r="W1914" t="str">
        <f>VLOOKUP($R1914,'Mapa Oficinas'!$A$7:$C$46,3,FALSE)</f>
        <v>Nordelta</v>
      </c>
    </row>
    <row r="1915" spans="1:23" x14ac:dyDescent="0.2">
      <c r="A1915" s="1">
        <v>45866</v>
      </c>
      <c r="B1915" s="20">
        <f t="shared" si="58"/>
        <v>2025</v>
      </c>
      <c r="C1915" s="20">
        <f t="shared" si="59"/>
        <v>7</v>
      </c>
      <c r="D1915" t="s">
        <v>3265</v>
      </c>
      <c r="E1915" s="49">
        <v>1</v>
      </c>
      <c r="F1915" t="s">
        <v>3266</v>
      </c>
      <c r="G1915" t="s">
        <v>21</v>
      </c>
      <c r="H1915" t="s">
        <v>100</v>
      </c>
      <c r="I1915" s="13">
        <v>160000</v>
      </c>
      <c r="J1915" s="13">
        <v>160000</v>
      </c>
      <c r="K1915" s="13">
        <f>IF(J1915&lt;'Mapa Oficinas'!$I$21,0,IF(J1915&gt;'Mapa Oficinas'!$I$20,0,1))</f>
        <v>1</v>
      </c>
      <c r="L1915" t="s">
        <v>23</v>
      </c>
      <c r="M1915" t="s">
        <v>23</v>
      </c>
      <c r="N1915" t="s">
        <v>1687</v>
      </c>
      <c r="O1915" t="s">
        <v>1688</v>
      </c>
      <c r="P1915" t="s">
        <v>34</v>
      </c>
      <c r="Q1915">
        <v>2</v>
      </c>
      <c r="R1915" t="s">
        <v>121</v>
      </c>
      <c r="S1915" t="s">
        <v>28</v>
      </c>
      <c r="T1915" t="str">
        <f>VLOOKUP(S1915,'Mapa Oficinas'!$H$7:$I$16,2,FALSE)</f>
        <v>CB</v>
      </c>
      <c r="U1915" t="s">
        <v>29</v>
      </c>
      <c r="V1915" t="str">
        <f>VLOOKUP($R1915,'Mapa Oficinas'!$A$7:$C$46,2,FALSE)</f>
        <v>Interior - Río Negro</v>
      </c>
      <c r="W1915" t="str">
        <f>VLOOKUP($R1915,'Mapa Oficinas'!$A$7:$C$46,3,FALSE)</f>
        <v>Bariloche</v>
      </c>
    </row>
    <row r="1916" spans="1:23" x14ac:dyDescent="0.2">
      <c r="A1916" s="1">
        <v>45867</v>
      </c>
      <c r="B1916" s="20">
        <f t="shared" si="58"/>
        <v>2025</v>
      </c>
      <c r="C1916" s="20">
        <f t="shared" si="59"/>
        <v>7</v>
      </c>
      <c r="D1916" t="s">
        <v>3282</v>
      </c>
      <c r="E1916" s="49">
        <v>1</v>
      </c>
      <c r="F1916" t="s">
        <v>3283</v>
      </c>
      <c r="G1916" t="s">
        <v>21</v>
      </c>
      <c r="H1916" t="s">
        <v>37</v>
      </c>
      <c r="I1916" s="13">
        <v>172000</v>
      </c>
      <c r="J1916" s="13">
        <v>160000</v>
      </c>
      <c r="K1916" s="13">
        <f>IF(J1916&lt;'Mapa Oficinas'!$I$21,0,IF(J1916&gt;'Mapa Oficinas'!$I$20,0,1))</f>
        <v>1</v>
      </c>
      <c r="L1916" t="s">
        <v>23</v>
      </c>
      <c r="M1916" t="s">
        <v>23</v>
      </c>
      <c r="N1916" t="s">
        <v>3284</v>
      </c>
      <c r="O1916" t="s">
        <v>3285</v>
      </c>
      <c r="P1916" t="s">
        <v>34</v>
      </c>
      <c r="Q1916">
        <v>2</v>
      </c>
      <c r="R1916" t="s">
        <v>183</v>
      </c>
      <c r="S1916" t="s">
        <v>28</v>
      </c>
      <c r="T1916" t="str">
        <f>VLOOKUP(S1916,'Mapa Oficinas'!$H$7:$I$16,2,FALSE)</f>
        <v>CB</v>
      </c>
      <c r="U1916" t="s">
        <v>29</v>
      </c>
      <c r="V1916" t="str">
        <f>VLOOKUP($R1916,'Mapa Oficinas'!$A$7:$C$46,2,FALSE)</f>
        <v>Interior - Neuquén</v>
      </c>
      <c r="W1916" t="str">
        <f>VLOOKUP($R1916,'Mapa Oficinas'!$A$7:$C$46,3,FALSE)</f>
        <v>Capital Neuquén</v>
      </c>
    </row>
    <row r="1917" spans="1:23" x14ac:dyDescent="0.2">
      <c r="A1917" s="1">
        <v>45880</v>
      </c>
      <c r="B1917" s="20">
        <f t="shared" si="58"/>
        <v>2025</v>
      </c>
      <c r="C1917" s="20">
        <f t="shared" si="59"/>
        <v>8</v>
      </c>
      <c r="D1917" t="s">
        <v>3523</v>
      </c>
      <c r="E1917" s="49">
        <v>1</v>
      </c>
      <c r="F1917" t="s">
        <v>3524</v>
      </c>
      <c r="G1917" t="s">
        <v>21</v>
      </c>
      <c r="H1917" t="s">
        <v>81</v>
      </c>
      <c r="I1917" s="13">
        <v>155000</v>
      </c>
      <c r="J1917" s="13">
        <v>160000</v>
      </c>
      <c r="K1917" s="13">
        <f>IF(J1917&lt;'Mapa Oficinas'!$I$21,0,IF(J1917&gt;'Mapa Oficinas'!$I$20,0,1))</f>
        <v>1</v>
      </c>
      <c r="L1917" t="s">
        <v>23</v>
      </c>
      <c r="M1917" t="s">
        <v>23</v>
      </c>
      <c r="N1917" t="s">
        <v>3525</v>
      </c>
      <c r="O1917" t="s">
        <v>1469</v>
      </c>
      <c r="P1917" t="s">
        <v>34</v>
      </c>
      <c r="Q1917">
        <v>2</v>
      </c>
      <c r="R1917" t="s">
        <v>167</v>
      </c>
      <c r="S1917" t="s">
        <v>28</v>
      </c>
      <c r="T1917" t="str">
        <f>VLOOKUP(S1917,'Mapa Oficinas'!$H$7:$I$16,2,FALSE)</f>
        <v>CB</v>
      </c>
      <c r="U1917" t="s">
        <v>29</v>
      </c>
      <c r="V1917" t="str">
        <f>VLOOKUP($R1917,'Mapa Oficinas'!$A$7:$C$46,2,FALSE)</f>
        <v>Interior - Santa Fe</v>
      </c>
      <c r="W1917" t="str">
        <f>VLOOKUP($R1917,'Mapa Oficinas'!$A$7:$C$46,3,FALSE)</f>
        <v>Capital Santa Fe</v>
      </c>
    </row>
    <row r="1918" spans="1:23" x14ac:dyDescent="0.2">
      <c r="A1918" s="1">
        <v>45882</v>
      </c>
      <c r="B1918" s="20">
        <f t="shared" si="58"/>
        <v>2025</v>
      </c>
      <c r="C1918" s="20">
        <f t="shared" si="59"/>
        <v>8</v>
      </c>
      <c r="D1918" t="s">
        <v>3584</v>
      </c>
      <c r="E1918" s="49">
        <v>1</v>
      </c>
      <c r="F1918" t="s">
        <v>3585</v>
      </c>
      <c r="G1918" t="s">
        <v>21</v>
      </c>
      <c r="H1918" t="s">
        <v>37</v>
      </c>
      <c r="I1918" s="13">
        <v>165000</v>
      </c>
      <c r="J1918" s="13">
        <v>160000</v>
      </c>
      <c r="K1918" s="13">
        <f>IF(J1918&lt;'Mapa Oficinas'!$I$21,0,IF(J1918&gt;'Mapa Oficinas'!$I$20,0,1))</f>
        <v>1</v>
      </c>
      <c r="L1918" t="s">
        <v>23</v>
      </c>
      <c r="M1918" t="s">
        <v>23</v>
      </c>
      <c r="N1918" t="s">
        <v>3586</v>
      </c>
      <c r="O1918" t="s">
        <v>50</v>
      </c>
      <c r="P1918" t="s">
        <v>45</v>
      </c>
      <c r="Q1918">
        <v>2</v>
      </c>
      <c r="R1918" t="s">
        <v>670</v>
      </c>
      <c r="S1918" t="s">
        <v>28</v>
      </c>
      <c r="T1918" t="str">
        <f>VLOOKUP(S1918,'Mapa Oficinas'!$H$7:$I$16,2,FALSE)</f>
        <v>CB</v>
      </c>
      <c r="U1918" t="s">
        <v>29</v>
      </c>
      <c r="V1918" t="str">
        <f>VLOOKUP($R1918,'Mapa Oficinas'!$A$7:$C$46,2,FALSE)</f>
        <v>CABA</v>
      </c>
      <c r="W1918" t="str">
        <f>VLOOKUP($R1918,'Mapa Oficinas'!$A$7:$C$46,3,FALSE)</f>
        <v>Recoleta</v>
      </c>
    </row>
    <row r="1919" spans="1:23" x14ac:dyDescent="0.2">
      <c r="A1919" s="1">
        <v>45938</v>
      </c>
      <c r="B1919" s="20">
        <f t="shared" si="58"/>
        <v>2025</v>
      </c>
      <c r="C1919" s="20">
        <f t="shared" si="59"/>
        <v>10</v>
      </c>
      <c r="D1919" t="s">
        <v>4597</v>
      </c>
      <c r="E1919" s="49">
        <v>1</v>
      </c>
      <c r="F1919" t="s">
        <v>4598</v>
      </c>
      <c r="G1919" t="s">
        <v>21</v>
      </c>
      <c r="H1919" t="s">
        <v>37</v>
      </c>
      <c r="I1919" s="13">
        <v>170000</v>
      </c>
      <c r="J1919" s="13">
        <v>160000</v>
      </c>
      <c r="K1919" s="13">
        <f>IF(J1919&lt;'Mapa Oficinas'!$I$21,0,IF(J1919&gt;'Mapa Oficinas'!$I$20,0,1))</f>
        <v>1</v>
      </c>
      <c r="L1919" t="s">
        <v>23</v>
      </c>
      <c r="M1919" t="s">
        <v>23</v>
      </c>
      <c r="N1919" t="s">
        <v>4599</v>
      </c>
      <c r="O1919" t="s">
        <v>265</v>
      </c>
      <c r="P1919" t="s">
        <v>45</v>
      </c>
      <c r="Q1919">
        <v>2</v>
      </c>
      <c r="R1919" t="s">
        <v>46</v>
      </c>
      <c r="S1919" t="s">
        <v>28</v>
      </c>
      <c r="T1919" t="str">
        <f>VLOOKUP(S1919,'Mapa Oficinas'!$H$7:$I$16,2,FALSE)</f>
        <v>CB</v>
      </c>
      <c r="U1919" t="s">
        <v>29</v>
      </c>
      <c r="V1919" t="str">
        <f>VLOOKUP($R1919,'Mapa Oficinas'!$A$7:$C$46,2,FALSE)</f>
        <v>CABA</v>
      </c>
      <c r="W1919" t="str">
        <f>VLOOKUP($R1919,'Mapa Oficinas'!$A$7:$C$46,3,FALSE)</f>
        <v>Palermo</v>
      </c>
    </row>
    <row r="1920" spans="1:23" x14ac:dyDescent="0.2">
      <c r="A1920" s="1">
        <v>45952</v>
      </c>
      <c r="B1920" s="20">
        <f t="shared" si="58"/>
        <v>2025</v>
      </c>
      <c r="C1920" s="20">
        <f t="shared" si="59"/>
        <v>10</v>
      </c>
      <c r="D1920" t="s">
        <v>4859</v>
      </c>
      <c r="E1920" s="49">
        <v>1</v>
      </c>
      <c r="F1920" t="s">
        <v>4860</v>
      </c>
      <c r="G1920" t="s">
        <v>21</v>
      </c>
      <c r="H1920" t="s">
        <v>37</v>
      </c>
      <c r="I1920" s="13">
        <v>160000</v>
      </c>
      <c r="J1920" s="13">
        <v>160000</v>
      </c>
      <c r="K1920" s="13">
        <f>IF(J1920&lt;'Mapa Oficinas'!$I$21,0,IF(J1920&gt;'Mapa Oficinas'!$I$20,0,1))</f>
        <v>1</v>
      </c>
      <c r="L1920" t="s">
        <v>23</v>
      </c>
      <c r="M1920" t="s">
        <v>23</v>
      </c>
      <c r="N1920" t="s">
        <v>4860</v>
      </c>
      <c r="O1920" t="s">
        <v>1834</v>
      </c>
      <c r="P1920" t="s">
        <v>34</v>
      </c>
      <c r="Q1920">
        <v>2</v>
      </c>
      <c r="R1920" t="s">
        <v>103</v>
      </c>
      <c r="S1920" t="s">
        <v>28</v>
      </c>
      <c r="T1920" t="str">
        <f>VLOOKUP(S1920,'Mapa Oficinas'!$H$7:$I$16,2,FALSE)</f>
        <v>CB</v>
      </c>
      <c r="U1920" t="s">
        <v>29</v>
      </c>
      <c r="V1920" t="str">
        <f>VLOOKUP($R1920,'Mapa Oficinas'!$A$7:$C$46,2,FALSE)</f>
        <v>Zona Sur (GBA)</v>
      </c>
      <c r="W1920" t="str">
        <f>VLOOKUP($R1920,'Mapa Oficinas'!$A$7:$C$46,3,FALSE)</f>
        <v>La Plata</v>
      </c>
    </row>
    <row r="1921" spans="1:23" x14ac:dyDescent="0.2">
      <c r="A1921" s="1">
        <v>46009</v>
      </c>
      <c r="B1921" s="20">
        <f t="shared" si="58"/>
        <v>2025</v>
      </c>
      <c r="C1921" s="20">
        <f t="shared" si="59"/>
        <v>12</v>
      </c>
      <c r="D1921" t="s">
        <v>5878</v>
      </c>
      <c r="E1921" s="49">
        <v>1</v>
      </c>
      <c r="F1921" t="s">
        <v>5879</v>
      </c>
      <c r="G1921" t="s">
        <v>21</v>
      </c>
      <c r="H1921" t="s">
        <v>37</v>
      </c>
      <c r="I1921" s="13">
        <v>169900</v>
      </c>
      <c r="J1921" s="13">
        <v>160000</v>
      </c>
      <c r="K1921" s="13">
        <f>IF(J1921&lt;'Mapa Oficinas'!$I$21,0,IF(J1921&gt;'Mapa Oficinas'!$I$20,0,1))</f>
        <v>1</v>
      </c>
      <c r="L1921" t="s">
        <v>23</v>
      </c>
      <c r="M1921" t="s">
        <v>23</v>
      </c>
      <c r="N1921" t="s">
        <v>5880</v>
      </c>
      <c r="O1921" t="s">
        <v>25</v>
      </c>
      <c r="P1921" t="s">
        <v>34</v>
      </c>
      <c r="Q1921">
        <v>2</v>
      </c>
      <c r="R1921" t="s">
        <v>56</v>
      </c>
      <c r="S1921" t="s">
        <v>28</v>
      </c>
      <c r="T1921" t="str">
        <f>VLOOKUP(S1921,'Mapa Oficinas'!$H$7:$I$16,2,FALSE)</f>
        <v>CB</v>
      </c>
      <c r="U1921" t="s">
        <v>29</v>
      </c>
      <c r="V1921" t="str">
        <f>VLOOKUP($R1921,'Mapa Oficinas'!$A$7:$C$46,2,FALSE)</f>
        <v>Zona Norte (GBA)</v>
      </c>
      <c r="W1921" t="str">
        <f>VLOOKUP($R1921,'Mapa Oficinas'!$A$7:$C$46,3,FALSE)</f>
        <v>Vicente López</v>
      </c>
    </row>
    <row r="1922" spans="1:23" x14ac:dyDescent="0.2">
      <c r="A1922" s="1">
        <v>46066</v>
      </c>
      <c r="B1922" s="20">
        <f t="shared" ref="B1922:B1985" si="60">YEAR($A1922)</f>
        <v>2026</v>
      </c>
      <c r="C1922" s="20">
        <f t="shared" ref="C1922:C1985" si="61">MONTH($A1922)</f>
        <v>2</v>
      </c>
      <c r="D1922" t="s">
        <v>6713</v>
      </c>
      <c r="E1922" s="49">
        <v>1</v>
      </c>
      <c r="F1922" t="s">
        <v>6714</v>
      </c>
      <c r="G1922" t="s">
        <v>21</v>
      </c>
      <c r="H1922" t="s">
        <v>37</v>
      </c>
      <c r="I1922" s="13">
        <v>160000</v>
      </c>
      <c r="J1922" s="13">
        <v>160000</v>
      </c>
      <c r="K1922" s="13">
        <f>IF(J1922&lt;'Mapa Oficinas'!$I$21,0,IF(J1922&gt;'Mapa Oficinas'!$I$20,0,1))</f>
        <v>1</v>
      </c>
      <c r="L1922" t="s">
        <v>23</v>
      </c>
      <c r="M1922" t="s">
        <v>23</v>
      </c>
      <c r="N1922" t="s">
        <v>6715</v>
      </c>
      <c r="O1922" t="s">
        <v>6716</v>
      </c>
      <c r="P1922" t="s">
        <v>45</v>
      </c>
      <c r="Q1922">
        <v>2</v>
      </c>
      <c r="R1922" t="s">
        <v>67</v>
      </c>
      <c r="S1922" t="s">
        <v>28</v>
      </c>
      <c r="T1922" t="str">
        <f>VLOOKUP(S1922,'Mapa Oficinas'!$H$7:$I$16,2,FALSE)</f>
        <v>CB</v>
      </c>
      <c r="U1922" t="s">
        <v>29</v>
      </c>
      <c r="V1922" t="str">
        <f>VLOOKUP($R1922,'Mapa Oficinas'!$A$7:$C$46,2,FALSE)</f>
        <v>CABA</v>
      </c>
      <c r="W1922" t="str">
        <f>VLOOKUP($R1922,'Mapa Oficinas'!$A$7:$C$46,3,FALSE)</f>
        <v>Barrio Parque</v>
      </c>
    </row>
    <row r="1923" spans="1:23" x14ac:dyDescent="0.2">
      <c r="A1923" s="1">
        <v>45671</v>
      </c>
      <c r="B1923" s="20">
        <f t="shared" si="60"/>
        <v>2025</v>
      </c>
      <c r="C1923" s="20">
        <f t="shared" si="61"/>
        <v>1</v>
      </c>
      <c r="D1923" t="s">
        <v>224</v>
      </c>
      <c r="E1923" s="49">
        <v>1</v>
      </c>
      <c r="F1923" t="s">
        <v>225</v>
      </c>
      <c r="G1923" t="s">
        <v>21</v>
      </c>
      <c r="H1923" t="s">
        <v>37</v>
      </c>
      <c r="I1923" s="13">
        <v>150000</v>
      </c>
      <c r="J1923" s="13">
        <v>161000</v>
      </c>
      <c r="K1923" s="13">
        <f>IF(J1923&lt;'Mapa Oficinas'!$I$21,0,IF(J1923&gt;'Mapa Oficinas'!$I$20,0,1))</f>
        <v>1</v>
      </c>
      <c r="L1923" t="s">
        <v>23</v>
      </c>
      <c r="M1923" t="s">
        <v>23</v>
      </c>
      <c r="N1923" t="s">
        <v>226</v>
      </c>
      <c r="O1923" t="s">
        <v>227</v>
      </c>
      <c r="P1923" t="s">
        <v>34</v>
      </c>
      <c r="Q1923">
        <v>2</v>
      </c>
      <c r="R1923" t="s">
        <v>110</v>
      </c>
      <c r="S1923" t="s">
        <v>79</v>
      </c>
      <c r="T1923" t="str">
        <f>VLOOKUP(S1923,'Mapa Oficinas'!$H$7:$I$16,2,FALSE)</f>
        <v>CB</v>
      </c>
      <c r="U1923" t="s">
        <v>29</v>
      </c>
      <c r="V1923" t="str">
        <f>VLOOKUP($R1923,'Mapa Oficinas'!$A$7:$C$46,2,FALSE)</f>
        <v>Zona Norte (GBA)</v>
      </c>
      <c r="W1923" t="str">
        <f>VLOOKUP($R1923,'Mapa Oficinas'!$A$7:$C$46,3,FALSE)</f>
        <v>Nordelta</v>
      </c>
    </row>
    <row r="1924" spans="1:23" x14ac:dyDescent="0.2">
      <c r="A1924" s="1">
        <v>45792</v>
      </c>
      <c r="B1924" s="20">
        <f t="shared" si="60"/>
        <v>2025</v>
      </c>
      <c r="C1924" s="20">
        <f t="shared" si="61"/>
        <v>5</v>
      </c>
      <c r="D1924">
        <v>1</v>
      </c>
      <c r="E1924" s="49">
        <v>1</v>
      </c>
      <c r="F1924" t="s">
        <v>1973</v>
      </c>
      <c r="G1924" t="s">
        <v>21</v>
      </c>
      <c r="H1924" t="s">
        <v>100</v>
      </c>
      <c r="I1924" s="13">
        <v>161000</v>
      </c>
      <c r="J1924" s="13">
        <v>161000</v>
      </c>
      <c r="K1924" s="13">
        <f>IF(J1924&lt;'Mapa Oficinas'!$I$21,0,IF(J1924&gt;'Mapa Oficinas'!$I$20,0,1))</f>
        <v>1</v>
      </c>
      <c r="L1924" t="s">
        <v>23</v>
      </c>
      <c r="M1924" t="s">
        <v>23</v>
      </c>
      <c r="N1924" t="s">
        <v>1974</v>
      </c>
      <c r="O1924" t="s">
        <v>105</v>
      </c>
      <c r="P1924" t="s">
        <v>45</v>
      </c>
      <c r="Q1924">
        <v>1</v>
      </c>
      <c r="R1924" t="s">
        <v>1024</v>
      </c>
      <c r="S1924" t="s">
        <v>47</v>
      </c>
      <c r="T1924" t="str">
        <f>VLOOKUP(S1924,'Mapa Oficinas'!$H$7:$I$16,2,FALSE)</f>
        <v>Otra Red Búsqueda</v>
      </c>
      <c r="U1924" t="s">
        <v>29</v>
      </c>
      <c r="V1924" t="str">
        <f>VLOOKUP($R1924,'Mapa Oficinas'!$A$7:$C$46,2,FALSE)</f>
        <v>CABA</v>
      </c>
      <c r="W1924" t="str">
        <f>VLOOKUP($R1924,'Mapa Oficinas'!$A$7:$C$46,3,FALSE)</f>
        <v>Puerto Madero</v>
      </c>
    </row>
    <row r="1925" spans="1:23" x14ac:dyDescent="0.2">
      <c r="A1925" s="1">
        <v>46111</v>
      </c>
      <c r="B1925" s="20">
        <f t="shared" si="60"/>
        <v>2026</v>
      </c>
      <c r="C1925" s="20">
        <f t="shared" si="61"/>
        <v>3</v>
      </c>
      <c r="D1925">
        <v>10754</v>
      </c>
      <c r="E1925" s="49">
        <v>1</v>
      </c>
      <c r="F1925" t="s">
        <v>7533</v>
      </c>
      <c r="G1925" t="s">
        <v>21</v>
      </c>
      <c r="H1925" t="s">
        <v>37</v>
      </c>
      <c r="I1925" s="13">
        <v>161000</v>
      </c>
      <c r="J1925" s="13">
        <v>161000</v>
      </c>
      <c r="K1925" s="13">
        <f>IF(J1925&lt;'Mapa Oficinas'!$I$21,0,IF(J1925&gt;'Mapa Oficinas'!$I$20,0,1))</f>
        <v>1</v>
      </c>
      <c r="L1925" t="s">
        <v>23</v>
      </c>
      <c r="M1925" t="s">
        <v>23</v>
      </c>
      <c r="N1925" t="s">
        <v>7533</v>
      </c>
      <c r="O1925" t="s">
        <v>50</v>
      </c>
      <c r="P1925" t="s">
        <v>45</v>
      </c>
      <c r="Q1925">
        <v>1</v>
      </c>
      <c r="R1925" t="s">
        <v>67</v>
      </c>
      <c r="S1925" t="s">
        <v>47</v>
      </c>
      <c r="T1925" t="str">
        <f>VLOOKUP(S1925,'Mapa Oficinas'!$H$7:$I$16,2,FALSE)</f>
        <v>Otra Red Búsqueda</v>
      </c>
      <c r="U1925" t="s">
        <v>29</v>
      </c>
      <c r="V1925" t="str">
        <f>VLOOKUP($R1925,'Mapa Oficinas'!$A$7:$C$46,2,FALSE)</f>
        <v>CABA</v>
      </c>
      <c r="W1925" t="str">
        <f>VLOOKUP($R1925,'Mapa Oficinas'!$A$7:$C$46,3,FALSE)</f>
        <v>Barrio Parque</v>
      </c>
    </row>
    <row r="1926" spans="1:23" x14ac:dyDescent="0.2">
      <c r="A1926" s="1">
        <v>45699</v>
      </c>
      <c r="B1926" s="20">
        <f t="shared" si="60"/>
        <v>2025</v>
      </c>
      <c r="C1926" s="20">
        <f t="shared" si="61"/>
        <v>2</v>
      </c>
      <c r="D1926" t="s">
        <v>556</v>
      </c>
      <c r="E1926" s="49">
        <v>1</v>
      </c>
      <c r="F1926" t="s">
        <v>557</v>
      </c>
      <c r="G1926" t="s">
        <v>21</v>
      </c>
      <c r="H1926" t="s">
        <v>37</v>
      </c>
      <c r="I1926" s="13">
        <v>165000</v>
      </c>
      <c r="J1926" s="13">
        <v>161000</v>
      </c>
      <c r="K1926" s="13">
        <f>IF(J1926&lt;'Mapa Oficinas'!$I$21,0,IF(J1926&gt;'Mapa Oficinas'!$I$20,0,1))</f>
        <v>1</v>
      </c>
      <c r="L1926" t="s">
        <v>23</v>
      </c>
      <c r="M1926" t="s">
        <v>23</v>
      </c>
      <c r="N1926" t="s">
        <v>558</v>
      </c>
      <c r="O1926" t="s">
        <v>299</v>
      </c>
      <c r="P1926" t="s">
        <v>45</v>
      </c>
      <c r="Q1926">
        <v>2</v>
      </c>
      <c r="R1926" t="s">
        <v>67</v>
      </c>
      <c r="S1926" t="s">
        <v>28</v>
      </c>
      <c r="T1926" t="str">
        <f>VLOOKUP(S1926,'Mapa Oficinas'!$H$7:$I$16,2,FALSE)</f>
        <v>CB</v>
      </c>
      <c r="U1926" t="s">
        <v>29</v>
      </c>
      <c r="V1926" t="str">
        <f>VLOOKUP($R1926,'Mapa Oficinas'!$A$7:$C$46,2,FALSE)</f>
        <v>CABA</v>
      </c>
      <c r="W1926" t="str">
        <f>VLOOKUP($R1926,'Mapa Oficinas'!$A$7:$C$46,3,FALSE)</f>
        <v>Barrio Parque</v>
      </c>
    </row>
    <row r="1927" spans="1:23" x14ac:dyDescent="0.2">
      <c r="A1927" s="1">
        <v>46013</v>
      </c>
      <c r="B1927" s="20">
        <f t="shared" si="60"/>
        <v>2025</v>
      </c>
      <c r="C1927" s="20">
        <f t="shared" si="61"/>
        <v>12</v>
      </c>
      <c r="D1927" t="s">
        <v>5951</v>
      </c>
      <c r="E1927" s="49">
        <v>1</v>
      </c>
      <c r="F1927" t="s">
        <v>5952</v>
      </c>
      <c r="G1927" t="s">
        <v>21</v>
      </c>
      <c r="H1927" t="s">
        <v>81</v>
      </c>
      <c r="I1927" s="13">
        <v>165000</v>
      </c>
      <c r="J1927" s="13">
        <v>162000</v>
      </c>
      <c r="K1927" s="13">
        <f>IF(J1927&lt;'Mapa Oficinas'!$I$21,0,IF(J1927&gt;'Mapa Oficinas'!$I$20,0,1))</f>
        <v>1</v>
      </c>
      <c r="L1927" t="s">
        <v>23</v>
      </c>
      <c r="M1927" t="s">
        <v>23</v>
      </c>
      <c r="N1927" t="s">
        <v>5953</v>
      </c>
      <c r="O1927" t="s">
        <v>775</v>
      </c>
      <c r="P1927" t="s">
        <v>45</v>
      </c>
      <c r="Q1927">
        <v>1</v>
      </c>
      <c r="R1927" t="s">
        <v>84</v>
      </c>
      <c r="S1927" t="s">
        <v>152</v>
      </c>
      <c r="T1927" t="str">
        <f>VLOOKUP(S1927,'Mapa Oficinas'!$H$7:$I$16,2,FALSE)</f>
        <v>Otra Red Captación</v>
      </c>
      <c r="U1927" t="s">
        <v>29</v>
      </c>
      <c r="V1927" t="str">
        <f>VLOOKUP($R1927,'Mapa Oficinas'!$A$7:$C$46,2,FALSE)</f>
        <v>Interior - Neuquén</v>
      </c>
      <c r="W1927" t="str">
        <f>VLOOKUP($R1927,'Mapa Oficinas'!$A$7:$C$46,3,FALSE)</f>
        <v>Villa La Angostura</v>
      </c>
    </row>
    <row r="1928" spans="1:23" x14ac:dyDescent="0.2">
      <c r="A1928" s="1">
        <v>46080</v>
      </c>
      <c r="B1928" s="20">
        <f t="shared" si="60"/>
        <v>2026</v>
      </c>
      <c r="C1928" s="20">
        <f t="shared" si="61"/>
        <v>2</v>
      </c>
      <c r="D1928">
        <v>10666</v>
      </c>
      <c r="E1928" s="49">
        <v>1</v>
      </c>
      <c r="F1928" t="s">
        <v>4760</v>
      </c>
      <c r="G1928" t="s">
        <v>21</v>
      </c>
      <c r="H1928" t="s">
        <v>37</v>
      </c>
      <c r="I1928" s="13">
        <v>162000</v>
      </c>
      <c r="J1928" s="13">
        <v>162000</v>
      </c>
      <c r="K1928" s="13">
        <f>IF(J1928&lt;'Mapa Oficinas'!$I$21,0,IF(J1928&gt;'Mapa Oficinas'!$I$20,0,1))</f>
        <v>1</v>
      </c>
      <c r="L1928" t="s">
        <v>23</v>
      </c>
      <c r="M1928" t="s">
        <v>23</v>
      </c>
      <c r="N1928" t="s">
        <v>6911</v>
      </c>
      <c r="O1928" t="s">
        <v>66</v>
      </c>
      <c r="P1928" t="s">
        <v>45</v>
      </c>
      <c r="Q1928">
        <v>1</v>
      </c>
      <c r="R1928" t="s">
        <v>67</v>
      </c>
      <c r="S1928" t="s">
        <v>47</v>
      </c>
      <c r="T1928" t="str">
        <f>VLOOKUP(S1928,'Mapa Oficinas'!$H$7:$I$16,2,FALSE)</f>
        <v>Otra Red Búsqueda</v>
      </c>
      <c r="U1928" t="s">
        <v>29</v>
      </c>
      <c r="V1928" t="str">
        <f>VLOOKUP($R1928,'Mapa Oficinas'!$A$7:$C$46,2,FALSE)</f>
        <v>CABA</v>
      </c>
      <c r="W1928" t="str">
        <f>VLOOKUP($R1928,'Mapa Oficinas'!$A$7:$C$46,3,FALSE)</f>
        <v>Barrio Parque</v>
      </c>
    </row>
    <row r="1929" spans="1:23" x14ac:dyDescent="0.2">
      <c r="A1929" s="1">
        <v>46094</v>
      </c>
      <c r="B1929" s="20">
        <f t="shared" si="60"/>
        <v>2026</v>
      </c>
      <c r="C1929" s="20">
        <f t="shared" si="61"/>
        <v>3</v>
      </c>
      <c r="E1929" s="49">
        <v>1</v>
      </c>
      <c r="F1929" t="s">
        <v>7167</v>
      </c>
      <c r="G1929" t="s">
        <v>21</v>
      </c>
      <c r="H1929" t="s">
        <v>81</v>
      </c>
      <c r="I1929" s="13">
        <v>162000</v>
      </c>
      <c r="J1929" s="13">
        <v>162000</v>
      </c>
      <c r="K1929" s="13">
        <f>IF(J1929&lt;'Mapa Oficinas'!$I$21,0,IF(J1929&gt;'Mapa Oficinas'!$I$20,0,1))</f>
        <v>1</v>
      </c>
      <c r="L1929" t="s">
        <v>23</v>
      </c>
      <c r="M1929" t="s">
        <v>23</v>
      </c>
      <c r="N1929" t="s">
        <v>7168</v>
      </c>
      <c r="P1929" t="s">
        <v>34</v>
      </c>
      <c r="Q1929">
        <v>1</v>
      </c>
      <c r="R1929" t="s">
        <v>5367</v>
      </c>
      <c r="S1929" t="s">
        <v>47</v>
      </c>
      <c r="T1929" t="str">
        <f>VLOOKUP(S1929,'Mapa Oficinas'!$H$7:$I$16,2,FALSE)</f>
        <v>Otra Red Búsqueda</v>
      </c>
      <c r="U1929" t="s">
        <v>29</v>
      </c>
      <c r="V1929" t="str">
        <f>VLOOKUP($R1929,'Mapa Oficinas'!$A$7:$C$46,2,FALSE)</f>
        <v>CABA</v>
      </c>
      <c r="W1929" t="str">
        <f>VLOOKUP($R1929,'Mapa Oficinas'!$A$7:$C$46,3,FALSE)</f>
        <v>Retiro</v>
      </c>
    </row>
    <row r="1930" spans="1:23" x14ac:dyDescent="0.2">
      <c r="A1930" s="1">
        <v>45975</v>
      </c>
      <c r="B1930" s="20">
        <f t="shared" si="60"/>
        <v>2025</v>
      </c>
      <c r="C1930" s="20">
        <f t="shared" si="61"/>
        <v>11</v>
      </c>
      <c r="D1930">
        <v>10570</v>
      </c>
      <c r="E1930" s="49">
        <v>1</v>
      </c>
      <c r="F1930" t="s">
        <v>5238</v>
      </c>
      <c r="G1930" t="s">
        <v>21</v>
      </c>
      <c r="H1930" t="s">
        <v>37</v>
      </c>
      <c r="I1930" s="13">
        <v>162500</v>
      </c>
      <c r="J1930" s="13">
        <v>162500</v>
      </c>
      <c r="K1930" s="13">
        <f>IF(J1930&lt;'Mapa Oficinas'!$I$21,0,IF(J1930&gt;'Mapa Oficinas'!$I$20,0,1))</f>
        <v>1</v>
      </c>
      <c r="L1930" t="s">
        <v>23</v>
      </c>
      <c r="M1930" t="s">
        <v>23</v>
      </c>
      <c r="N1930" t="s">
        <v>5239</v>
      </c>
      <c r="O1930" t="s">
        <v>190</v>
      </c>
      <c r="P1930" t="s">
        <v>45</v>
      </c>
      <c r="Q1930">
        <v>2</v>
      </c>
      <c r="R1930" t="s">
        <v>67</v>
      </c>
      <c r="S1930" t="s">
        <v>200</v>
      </c>
      <c r="T1930" t="str">
        <f>VLOOKUP(S1930,'Mapa Oficinas'!$H$7:$I$16,2,FALSE)</f>
        <v>Otra Red Captación</v>
      </c>
      <c r="U1930" t="s">
        <v>29</v>
      </c>
      <c r="V1930" t="str">
        <f>VLOOKUP($R1930,'Mapa Oficinas'!$A$7:$C$46,2,FALSE)</f>
        <v>CABA</v>
      </c>
      <c r="W1930" t="str">
        <f>VLOOKUP($R1930,'Mapa Oficinas'!$A$7:$C$46,3,FALSE)</f>
        <v>Barrio Parque</v>
      </c>
    </row>
    <row r="1931" spans="1:23" x14ac:dyDescent="0.2">
      <c r="A1931" s="1">
        <v>45909</v>
      </c>
      <c r="B1931" s="20">
        <f t="shared" si="60"/>
        <v>2025</v>
      </c>
      <c r="C1931" s="20">
        <f t="shared" si="61"/>
        <v>9</v>
      </c>
      <c r="D1931" t="s">
        <v>4050</v>
      </c>
      <c r="E1931" s="49">
        <v>1</v>
      </c>
      <c r="F1931" t="s">
        <v>4050</v>
      </c>
      <c r="G1931" t="s">
        <v>21</v>
      </c>
      <c r="H1931" t="s">
        <v>37</v>
      </c>
      <c r="I1931" s="13">
        <v>0</v>
      </c>
      <c r="J1931" s="13">
        <v>163000</v>
      </c>
      <c r="K1931" s="13">
        <f>IF(J1931&lt;'Mapa Oficinas'!$I$21,0,IF(J1931&gt;'Mapa Oficinas'!$I$20,0,1))</f>
        <v>1</v>
      </c>
      <c r="L1931" t="s">
        <v>23</v>
      </c>
      <c r="M1931" t="s">
        <v>23</v>
      </c>
      <c r="N1931" t="s">
        <v>4050</v>
      </c>
      <c r="O1931" t="s">
        <v>66</v>
      </c>
      <c r="P1931" t="s">
        <v>45</v>
      </c>
      <c r="Q1931">
        <v>1</v>
      </c>
      <c r="R1931" t="s">
        <v>56</v>
      </c>
      <c r="S1931" t="s">
        <v>152</v>
      </c>
      <c r="T1931" t="str">
        <f>VLOOKUP(S1931,'Mapa Oficinas'!$H$7:$I$16,2,FALSE)</f>
        <v>Otra Red Captación</v>
      </c>
      <c r="U1931" t="s">
        <v>29</v>
      </c>
      <c r="V1931" t="str">
        <f>VLOOKUP($R1931,'Mapa Oficinas'!$A$7:$C$46,2,FALSE)</f>
        <v>Zona Norte (GBA)</v>
      </c>
      <c r="W1931" t="str">
        <f>VLOOKUP($R1931,'Mapa Oficinas'!$A$7:$C$46,3,FALSE)</f>
        <v>Vicente López</v>
      </c>
    </row>
    <row r="1932" spans="1:23" x14ac:dyDescent="0.2">
      <c r="A1932" s="1">
        <v>45663</v>
      </c>
      <c r="B1932" s="20">
        <f t="shared" si="60"/>
        <v>2025</v>
      </c>
      <c r="C1932" s="20">
        <f t="shared" si="61"/>
        <v>1</v>
      </c>
      <c r="D1932">
        <v>10257</v>
      </c>
      <c r="E1932" s="49">
        <v>1</v>
      </c>
      <c r="F1932" t="s">
        <v>104</v>
      </c>
      <c r="G1932" t="s">
        <v>21</v>
      </c>
      <c r="H1932" t="s">
        <v>37</v>
      </c>
      <c r="I1932" s="13">
        <v>0</v>
      </c>
      <c r="J1932" s="13">
        <v>163000</v>
      </c>
      <c r="K1932" s="13">
        <f>IF(J1932&lt;'Mapa Oficinas'!$I$21,0,IF(J1932&gt;'Mapa Oficinas'!$I$20,0,1))</f>
        <v>1</v>
      </c>
      <c r="L1932" t="s">
        <v>23</v>
      </c>
      <c r="M1932" t="s">
        <v>23</v>
      </c>
      <c r="O1932" t="s">
        <v>105</v>
      </c>
      <c r="P1932" t="s">
        <v>45</v>
      </c>
      <c r="Q1932">
        <v>1</v>
      </c>
      <c r="R1932" t="s">
        <v>67</v>
      </c>
      <c r="S1932" t="s">
        <v>47</v>
      </c>
      <c r="T1932" t="str">
        <f>VLOOKUP(S1932,'Mapa Oficinas'!$H$7:$I$16,2,FALSE)</f>
        <v>Otra Red Búsqueda</v>
      </c>
      <c r="U1932" t="s">
        <v>29</v>
      </c>
      <c r="V1932" t="str">
        <f>VLOOKUP($R1932,'Mapa Oficinas'!$A$7:$C$46,2,FALSE)</f>
        <v>CABA</v>
      </c>
      <c r="W1932" t="str">
        <f>VLOOKUP($R1932,'Mapa Oficinas'!$A$7:$C$46,3,FALSE)</f>
        <v>Barrio Parque</v>
      </c>
    </row>
    <row r="1933" spans="1:23" x14ac:dyDescent="0.2">
      <c r="A1933" s="1">
        <v>45667</v>
      </c>
      <c r="B1933" s="20">
        <f t="shared" si="60"/>
        <v>2025</v>
      </c>
      <c r="C1933" s="20">
        <f t="shared" si="61"/>
        <v>1</v>
      </c>
      <c r="D1933" t="s">
        <v>168</v>
      </c>
      <c r="E1933" s="49">
        <v>1</v>
      </c>
      <c r="F1933" t="s">
        <v>168</v>
      </c>
      <c r="G1933" t="s">
        <v>21</v>
      </c>
      <c r="H1933" t="s">
        <v>37</v>
      </c>
      <c r="I1933" s="13">
        <v>163000</v>
      </c>
      <c r="J1933" s="13">
        <v>163000</v>
      </c>
      <c r="K1933" s="13">
        <f>IF(J1933&lt;'Mapa Oficinas'!$I$21,0,IF(J1933&gt;'Mapa Oficinas'!$I$20,0,1))</f>
        <v>1</v>
      </c>
      <c r="L1933" t="s">
        <v>23</v>
      </c>
      <c r="M1933" t="s">
        <v>23</v>
      </c>
      <c r="N1933" t="s">
        <v>169</v>
      </c>
      <c r="P1933" t="s">
        <v>45</v>
      </c>
      <c r="Q1933">
        <v>1</v>
      </c>
      <c r="R1933" t="s">
        <v>170</v>
      </c>
      <c r="S1933" t="s">
        <v>47</v>
      </c>
      <c r="T1933" t="str">
        <f>VLOOKUP(S1933,'Mapa Oficinas'!$H$7:$I$16,2,FALSE)</f>
        <v>Otra Red Búsqueda</v>
      </c>
      <c r="U1933" t="s">
        <v>29</v>
      </c>
      <c r="V1933" t="str">
        <f>VLOOKUP($R1933,'Mapa Oficinas'!$A$7:$C$46,2,FALSE)</f>
        <v>CABA</v>
      </c>
      <c r="W1933" t="str">
        <f>VLOOKUP($R1933,'Mapa Oficinas'!$A$7:$C$46,3,FALSE)</f>
        <v>Belgrano</v>
      </c>
    </row>
    <row r="1934" spans="1:23" x14ac:dyDescent="0.2">
      <c r="A1934" s="1">
        <v>45739</v>
      </c>
      <c r="B1934" s="20">
        <f t="shared" si="60"/>
        <v>2025</v>
      </c>
      <c r="C1934" s="20">
        <f t="shared" si="61"/>
        <v>3</v>
      </c>
      <c r="D1934" t="s">
        <v>1068</v>
      </c>
      <c r="E1934" s="49">
        <v>1</v>
      </c>
      <c r="F1934" t="s">
        <v>1069</v>
      </c>
      <c r="G1934" t="s">
        <v>21</v>
      </c>
      <c r="H1934" t="s">
        <v>100</v>
      </c>
      <c r="I1934" s="13">
        <v>175000</v>
      </c>
      <c r="J1934" s="13">
        <v>163000</v>
      </c>
      <c r="K1934" s="13">
        <f>IF(J1934&lt;'Mapa Oficinas'!$I$21,0,IF(J1934&gt;'Mapa Oficinas'!$I$20,0,1))</f>
        <v>1</v>
      </c>
      <c r="L1934" t="s">
        <v>23</v>
      </c>
      <c r="M1934" t="s">
        <v>23</v>
      </c>
      <c r="N1934" t="s">
        <v>1070</v>
      </c>
      <c r="O1934" t="s">
        <v>1071</v>
      </c>
      <c r="P1934" t="s">
        <v>34</v>
      </c>
      <c r="Q1934">
        <v>2</v>
      </c>
      <c r="R1934" t="s">
        <v>103</v>
      </c>
      <c r="S1934" t="s">
        <v>200</v>
      </c>
      <c r="T1934" t="str">
        <f>VLOOKUP(S1934,'Mapa Oficinas'!$H$7:$I$16,2,FALSE)</f>
        <v>Otra Red Captación</v>
      </c>
      <c r="U1934" t="s">
        <v>29</v>
      </c>
      <c r="V1934" t="str">
        <f>VLOOKUP($R1934,'Mapa Oficinas'!$A$7:$C$46,2,FALSE)</f>
        <v>Zona Sur (GBA)</v>
      </c>
      <c r="W1934" t="str">
        <f>VLOOKUP($R1934,'Mapa Oficinas'!$A$7:$C$46,3,FALSE)</f>
        <v>La Plata</v>
      </c>
    </row>
    <row r="1935" spans="1:23" x14ac:dyDescent="0.2">
      <c r="A1935" s="1">
        <v>45930</v>
      </c>
      <c r="B1935" s="20">
        <f t="shared" si="60"/>
        <v>2025</v>
      </c>
      <c r="C1935" s="20">
        <f t="shared" si="61"/>
        <v>9</v>
      </c>
      <c r="D1935" t="s">
        <v>4430</v>
      </c>
      <c r="E1935" s="49">
        <v>1</v>
      </c>
      <c r="F1935" t="s">
        <v>4431</v>
      </c>
      <c r="G1935" t="s">
        <v>21</v>
      </c>
      <c r="H1935" t="s">
        <v>37</v>
      </c>
      <c r="I1935" s="13">
        <v>165000</v>
      </c>
      <c r="J1935" s="13">
        <v>163000</v>
      </c>
      <c r="K1935" s="13">
        <f>IF(J1935&lt;'Mapa Oficinas'!$I$21,0,IF(J1935&gt;'Mapa Oficinas'!$I$20,0,1))</f>
        <v>1</v>
      </c>
      <c r="L1935" t="s">
        <v>23</v>
      </c>
      <c r="M1935" t="s">
        <v>23</v>
      </c>
      <c r="N1935" t="s">
        <v>4432</v>
      </c>
      <c r="O1935" t="s">
        <v>190</v>
      </c>
      <c r="P1935" t="s">
        <v>45</v>
      </c>
      <c r="Q1935">
        <v>2</v>
      </c>
      <c r="R1935" t="s">
        <v>46</v>
      </c>
      <c r="S1935" t="s">
        <v>200</v>
      </c>
      <c r="T1935" t="str">
        <f>VLOOKUP(S1935,'Mapa Oficinas'!$H$7:$I$16,2,FALSE)</f>
        <v>Otra Red Captación</v>
      </c>
      <c r="U1935" t="s">
        <v>29</v>
      </c>
      <c r="V1935" t="str">
        <f>VLOOKUP($R1935,'Mapa Oficinas'!$A$7:$C$46,2,FALSE)</f>
        <v>CABA</v>
      </c>
      <c r="W1935" t="str">
        <f>VLOOKUP($R1935,'Mapa Oficinas'!$A$7:$C$46,3,FALSE)</f>
        <v>Palermo</v>
      </c>
    </row>
    <row r="1936" spans="1:23" x14ac:dyDescent="0.2">
      <c r="A1936" s="1">
        <v>45992</v>
      </c>
      <c r="B1936" s="20">
        <f t="shared" si="60"/>
        <v>2025</v>
      </c>
      <c r="C1936" s="20">
        <f t="shared" si="61"/>
        <v>12</v>
      </c>
      <c r="D1936" t="s">
        <v>5563</v>
      </c>
      <c r="E1936" s="49">
        <v>0</v>
      </c>
      <c r="F1936" t="s">
        <v>5564</v>
      </c>
      <c r="G1936" t="s">
        <v>21</v>
      </c>
      <c r="H1936" t="s">
        <v>76</v>
      </c>
      <c r="I1936" s="13">
        <v>800</v>
      </c>
      <c r="J1936" s="13">
        <v>163000</v>
      </c>
      <c r="K1936" s="13">
        <f>IF(J1936&lt;'Mapa Oficinas'!$I$21,0,IF(J1936&gt;'Mapa Oficinas'!$I$20,0,1))</f>
        <v>1</v>
      </c>
      <c r="L1936" t="s">
        <v>23</v>
      </c>
      <c r="M1936" t="s">
        <v>23</v>
      </c>
      <c r="N1936" t="s">
        <v>5564</v>
      </c>
      <c r="O1936" t="s">
        <v>2988</v>
      </c>
      <c r="P1936" t="s">
        <v>45</v>
      </c>
      <c r="Q1936">
        <v>2</v>
      </c>
      <c r="R1936" t="s">
        <v>257</v>
      </c>
      <c r="S1936" t="s">
        <v>241</v>
      </c>
      <c r="T1936" t="str">
        <f>VLOOKUP(S1936,'Mapa Oficinas'!$H$7:$I$16,2,FALSE)</f>
        <v>CB</v>
      </c>
      <c r="U1936" t="s">
        <v>29</v>
      </c>
      <c r="V1936" t="str">
        <f>VLOOKUP($R1936,'Mapa Oficinas'!$A$7:$C$46,2,FALSE)</f>
        <v>Zona Norte (GBA)</v>
      </c>
      <c r="W1936" t="str">
        <f>VLOOKUP($R1936,'Mapa Oficinas'!$A$7:$C$46,3,FALSE)</f>
        <v>Pilar</v>
      </c>
    </row>
    <row r="1937" spans="1:23" x14ac:dyDescent="0.2">
      <c r="A1937" s="1">
        <v>45673</v>
      </c>
      <c r="B1937" s="20">
        <f t="shared" si="60"/>
        <v>2025</v>
      </c>
      <c r="C1937" s="20">
        <f t="shared" si="61"/>
        <v>1</v>
      </c>
      <c r="D1937" t="s">
        <v>268</v>
      </c>
      <c r="E1937" s="49">
        <v>1</v>
      </c>
      <c r="F1937" t="s">
        <v>269</v>
      </c>
      <c r="G1937" t="s">
        <v>21</v>
      </c>
      <c r="H1937" t="s">
        <v>37</v>
      </c>
      <c r="I1937" s="13">
        <v>169900</v>
      </c>
      <c r="J1937" s="13">
        <v>163000</v>
      </c>
      <c r="K1937" s="13">
        <f>IF(J1937&lt;'Mapa Oficinas'!$I$21,0,IF(J1937&gt;'Mapa Oficinas'!$I$20,0,1))</f>
        <v>1</v>
      </c>
      <c r="L1937" t="s">
        <v>23</v>
      </c>
      <c r="M1937" t="s">
        <v>23</v>
      </c>
      <c r="N1937" t="s">
        <v>270</v>
      </c>
      <c r="O1937" t="s">
        <v>271</v>
      </c>
      <c r="P1937" t="s">
        <v>34</v>
      </c>
      <c r="Q1937">
        <v>2</v>
      </c>
      <c r="R1937" t="s">
        <v>62</v>
      </c>
      <c r="S1937" t="s">
        <v>28</v>
      </c>
      <c r="T1937" t="str">
        <f>VLOOKUP(S1937,'Mapa Oficinas'!$H$7:$I$16,2,FALSE)</f>
        <v>CB</v>
      </c>
      <c r="U1937" t="s">
        <v>29</v>
      </c>
      <c r="V1937" t="str">
        <f>VLOOKUP($R1937,'Mapa Oficinas'!$A$7:$C$46,2,FALSE)</f>
        <v>CABA</v>
      </c>
      <c r="W1937" t="str">
        <f>VLOOKUP($R1937,'Mapa Oficinas'!$A$7:$C$46,3,FALSE)</f>
        <v>Villa Urquiza</v>
      </c>
    </row>
    <row r="1938" spans="1:23" x14ac:dyDescent="0.2">
      <c r="A1938" s="1">
        <v>45695</v>
      </c>
      <c r="B1938" s="20">
        <f t="shared" si="60"/>
        <v>2025</v>
      </c>
      <c r="C1938" s="20">
        <f t="shared" si="61"/>
        <v>2</v>
      </c>
      <c r="D1938" t="s">
        <v>520</v>
      </c>
      <c r="E1938" s="49">
        <v>1</v>
      </c>
      <c r="F1938" t="s">
        <v>521</v>
      </c>
      <c r="G1938" t="s">
        <v>21</v>
      </c>
      <c r="H1938" t="s">
        <v>37</v>
      </c>
      <c r="I1938" s="13">
        <v>168000</v>
      </c>
      <c r="J1938" s="13">
        <v>163000</v>
      </c>
      <c r="K1938" s="13">
        <f>IF(J1938&lt;'Mapa Oficinas'!$I$21,0,IF(J1938&gt;'Mapa Oficinas'!$I$20,0,1))</f>
        <v>1</v>
      </c>
      <c r="L1938" t="s">
        <v>23</v>
      </c>
      <c r="M1938" t="s">
        <v>23</v>
      </c>
      <c r="N1938" t="s">
        <v>522</v>
      </c>
      <c r="O1938" t="s">
        <v>265</v>
      </c>
      <c r="P1938" t="s">
        <v>45</v>
      </c>
      <c r="Q1938">
        <v>2</v>
      </c>
      <c r="R1938" t="s">
        <v>523</v>
      </c>
      <c r="S1938" t="s">
        <v>28</v>
      </c>
      <c r="T1938" t="str">
        <f>VLOOKUP(S1938,'Mapa Oficinas'!$H$7:$I$16,2,FALSE)</f>
        <v>CB</v>
      </c>
      <c r="U1938" t="s">
        <v>29</v>
      </c>
      <c r="V1938" t="str">
        <f>VLOOKUP($R1938,'Mapa Oficinas'!$A$7:$C$46,2,FALSE)</f>
        <v>CABA</v>
      </c>
      <c r="W1938" t="str">
        <f>VLOOKUP($R1938,'Mapa Oficinas'!$A$7:$C$46,3,FALSE)</f>
        <v>Belgrano</v>
      </c>
    </row>
    <row r="1939" spans="1:23" x14ac:dyDescent="0.2">
      <c r="A1939" s="1">
        <v>45881</v>
      </c>
      <c r="B1939" s="20">
        <f t="shared" si="60"/>
        <v>2025</v>
      </c>
      <c r="C1939" s="20">
        <f t="shared" si="61"/>
        <v>8</v>
      </c>
      <c r="D1939" t="s">
        <v>2714</v>
      </c>
      <c r="E1939" s="49">
        <v>1</v>
      </c>
      <c r="F1939" t="s">
        <v>2715</v>
      </c>
      <c r="G1939" t="s">
        <v>21</v>
      </c>
      <c r="H1939" t="s">
        <v>90</v>
      </c>
      <c r="I1939" s="13">
        <v>159900</v>
      </c>
      <c r="J1939" s="13">
        <v>163000</v>
      </c>
      <c r="K1939" s="13">
        <f>IF(J1939&lt;'Mapa Oficinas'!$I$21,0,IF(J1939&gt;'Mapa Oficinas'!$I$20,0,1))</f>
        <v>1</v>
      </c>
      <c r="L1939" t="s">
        <v>23</v>
      </c>
      <c r="M1939" t="s">
        <v>23</v>
      </c>
      <c r="N1939" t="s">
        <v>2716</v>
      </c>
      <c r="O1939" t="s">
        <v>141</v>
      </c>
      <c r="P1939" t="s">
        <v>45</v>
      </c>
      <c r="Q1939">
        <v>2</v>
      </c>
      <c r="R1939" t="s">
        <v>62</v>
      </c>
      <c r="S1939" t="s">
        <v>28</v>
      </c>
      <c r="T1939" t="str">
        <f>VLOOKUP(S1939,'Mapa Oficinas'!$H$7:$I$16,2,FALSE)</f>
        <v>CB</v>
      </c>
      <c r="U1939" t="s">
        <v>29</v>
      </c>
      <c r="V1939" t="str">
        <f>VLOOKUP($R1939,'Mapa Oficinas'!$A$7:$C$46,2,FALSE)</f>
        <v>CABA</v>
      </c>
      <c r="W1939" t="str">
        <f>VLOOKUP($R1939,'Mapa Oficinas'!$A$7:$C$46,3,FALSE)</f>
        <v>Villa Urquiza</v>
      </c>
    </row>
    <row r="1940" spans="1:23" x14ac:dyDescent="0.2">
      <c r="A1940" s="1">
        <v>46015</v>
      </c>
      <c r="B1940" s="20">
        <f t="shared" si="60"/>
        <v>2025</v>
      </c>
      <c r="C1940" s="20">
        <f t="shared" si="61"/>
        <v>12</v>
      </c>
      <c r="D1940" t="s">
        <v>6016</v>
      </c>
      <c r="E1940" s="49">
        <v>1</v>
      </c>
      <c r="F1940" t="s">
        <v>6017</v>
      </c>
      <c r="G1940" t="s">
        <v>21</v>
      </c>
      <c r="H1940" t="s">
        <v>37</v>
      </c>
      <c r="I1940" s="13">
        <v>165000</v>
      </c>
      <c r="J1940" s="13">
        <v>163000</v>
      </c>
      <c r="K1940" s="13">
        <f>IF(J1940&lt;'Mapa Oficinas'!$I$21,0,IF(J1940&gt;'Mapa Oficinas'!$I$20,0,1))</f>
        <v>1</v>
      </c>
      <c r="L1940" t="s">
        <v>23</v>
      </c>
      <c r="M1940" t="s">
        <v>23</v>
      </c>
      <c r="N1940" t="s">
        <v>6018</v>
      </c>
      <c r="O1940" t="s">
        <v>2222</v>
      </c>
      <c r="P1940" t="s">
        <v>45</v>
      </c>
      <c r="Q1940">
        <v>2</v>
      </c>
      <c r="R1940" t="s">
        <v>429</v>
      </c>
      <c r="S1940" t="s">
        <v>28</v>
      </c>
      <c r="T1940" t="str">
        <f>VLOOKUP(S1940,'Mapa Oficinas'!$H$7:$I$16,2,FALSE)</f>
        <v>CB</v>
      </c>
      <c r="U1940" t="s">
        <v>29</v>
      </c>
      <c r="V1940" t="str">
        <f>VLOOKUP($R1940,'Mapa Oficinas'!$A$7:$C$46,2,FALSE)</f>
        <v>Zona Oeste (GBA)</v>
      </c>
      <c r="W1940" t="str">
        <f>VLOOKUP($R1940,'Mapa Oficinas'!$A$7:$C$46,3,FALSE)</f>
        <v>Parque Leloir</v>
      </c>
    </row>
    <row r="1941" spans="1:23" x14ac:dyDescent="0.2">
      <c r="A1941" s="1">
        <v>45683</v>
      </c>
      <c r="B1941" s="20">
        <f t="shared" si="60"/>
        <v>2025</v>
      </c>
      <c r="C1941" s="20">
        <f t="shared" si="61"/>
        <v>1</v>
      </c>
      <c r="D1941" t="s">
        <v>352</v>
      </c>
      <c r="E1941" s="49">
        <v>1</v>
      </c>
      <c r="F1941" t="s">
        <v>353</v>
      </c>
      <c r="G1941" t="s">
        <v>21</v>
      </c>
      <c r="H1941" t="s">
        <v>37</v>
      </c>
      <c r="I1941" s="13">
        <v>135268</v>
      </c>
      <c r="J1941" s="13">
        <v>163500</v>
      </c>
      <c r="K1941" s="13">
        <f>IF(J1941&lt;'Mapa Oficinas'!$I$21,0,IF(J1941&gt;'Mapa Oficinas'!$I$20,0,1))</f>
        <v>1</v>
      </c>
      <c r="L1941" t="s">
        <v>23</v>
      </c>
      <c r="M1941" t="s">
        <v>23</v>
      </c>
      <c r="N1941" t="s">
        <v>354</v>
      </c>
      <c r="O1941" t="s">
        <v>355</v>
      </c>
      <c r="P1941" t="s">
        <v>26</v>
      </c>
      <c r="Q1941">
        <v>2</v>
      </c>
      <c r="R1941" t="s">
        <v>110</v>
      </c>
      <c r="S1941" t="s">
        <v>200</v>
      </c>
      <c r="T1941" t="str">
        <f>VLOOKUP(S1941,'Mapa Oficinas'!$H$7:$I$16,2,FALSE)</f>
        <v>Otra Red Captación</v>
      </c>
      <c r="U1941" t="s">
        <v>29</v>
      </c>
      <c r="V1941" t="str">
        <f>VLOOKUP($R1941,'Mapa Oficinas'!$A$7:$C$46,2,FALSE)</f>
        <v>Zona Norte (GBA)</v>
      </c>
      <c r="W1941" t="str">
        <f>VLOOKUP($R1941,'Mapa Oficinas'!$A$7:$C$46,3,FALSE)</f>
        <v>Nordelta</v>
      </c>
    </row>
    <row r="1942" spans="1:23" x14ac:dyDescent="0.2">
      <c r="A1942" s="1">
        <v>45957</v>
      </c>
      <c r="B1942" s="20">
        <f t="shared" si="60"/>
        <v>2025</v>
      </c>
      <c r="C1942" s="20">
        <f t="shared" si="61"/>
        <v>10</v>
      </c>
      <c r="D1942" t="s">
        <v>4940</v>
      </c>
      <c r="E1942" s="49">
        <v>1</v>
      </c>
      <c r="F1942" t="s">
        <v>4941</v>
      </c>
      <c r="G1942" t="s">
        <v>21</v>
      </c>
      <c r="H1942" t="s">
        <v>37</v>
      </c>
      <c r="I1942" s="13">
        <v>151000</v>
      </c>
      <c r="J1942" s="13">
        <v>163656</v>
      </c>
      <c r="K1942" s="13">
        <f>IF(J1942&lt;'Mapa Oficinas'!$I$21,0,IF(J1942&gt;'Mapa Oficinas'!$I$20,0,1))</f>
        <v>1</v>
      </c>
      <c r="L1942" t="s">
        <v>23</v>
      </c>
      <c r="M1942" t="s">
        <v>23</v>
      </c>
      <c r="N1942" t="s">
        <v>4942</v>
      </c>
      <c r="O1942" t="s">
        <v>837</v>
      </c>
      <c r="P1942" t="s">
        <v>45</v>
      </c>
      <c r="Q1942">
        <v>2</v>
      </c>
      <c r="R1942" t="s">
        <v>67</v>
      </c>
      <c r="S1942" t="s">
        <v>28</v>
      </c>
      <c r="T1942" t="str">
        <f>VLOOKUP(S1942,'Mapa Oficinas'!$H$7:$I$16,2,FALSE)</f>
        <v>CB</v>
      </c>
      <c r="U1942" t="s">
        <v>29</v>
      </c>
      <c r="V1942" t="str">
        <f>VLOOKUP($R1942,'Mapa Oficinas'!$A$7:$C$46,2,FALSE)</f>
        <v>CABA</v>
      </c>
      <c r="W1942" t="str">
        <f>VLOOKUP($R1942,'Mapa Oficinas'!$A$7:$C$46,3,FALSE)</f>
        <v>Barrio Parque</v>
      </c>
    </row>
    <row r="1943" spans="1:23" x14ac:dyDescent="0.2">
      <c r="A1943" s="1">
        <v>46090</v>
      </c>
      <c r="B1943" s="20">
        <f t="shared" si="60"/>
        <v>2026</v>
      </c>
      <c r="C1943" s="20">
        <f t="shared" si="61"/>
        <v>3</v>
      </c>
      <c r="D1943" t="s">
        <v>7048</v>
      </c>
      <c r="E1943" s="49">
        <v>1</v>
      </c>
      <c r="F1943" t="s">
        <v>7049</v>
      </c>
      <c r="G1943" t="s">
        <v>21</v>
      </c>
      <c r="H1943" t="s">
        <v>37</v>
      </c>
      <c r="I1943" s="13">
        <v>172000</v>
      </c>
      <c r="J1943" s="13">
        <v>164000</v>
      </c>
      <c r="K1943" s="13">
        <f>IF(J1943&lt;'Mapa Oficinas'!$I$21,0,IF(J1943&gt;'Mapa Oficinas'!$I$20,0,1))</f>
        <v>1</v>
      </c>
      <c r="L1943" t="s">
        <v>23</v>
      </c>
      <c r="M1943" t="s">
        <v>23</v>
      </c>
      <c r="N1943" t="s">
        <v>7050</v>
      </c>
      <c r="O1943" t="s">
        <v>190</v>
      </c>
      <c r="P1943" t="s">
        <v>45</v>
      </c>
      <c r="Q1943">
        <v>2</v>
      </c>
      <c r="R1943" t="s">
        <v>67</v>
      </c>
      <c r="S1943" t="s">
        <v>200</v>
      </c>
      <c r="T1943" t="str">
        <f>VLOOKUP(S1943,'Mapa Oficinas'!$H$7:$I$16,2,FALSE)</f>
        <v>Otra Red Captación</v>
      </c>
      <c r="U1943" t="s">
        <v>29</v>
      </c>
      <c r="V1943" t="str">
        <f>VLOOKUP($R1943,'Mapa Oficinas'!$A$7:$C$46,2,FALSE)</f>
        <v>CABA</v>
      </c>
      <c r="W1943" t="str">
        <f>VLOOKUP($R1943,'Mapa Oficinas'!$A$7:$C$46,3,FALSE)</f>
        <v>Barrio Parque</v>
      </c>
    </row>
    <row r="1944" spans="1:23" x14ac:dyDescent="0.2">
      <c r="A1944" s="1">
        <v>45797</v>
      </c>
      <c r="B1944" s="20">
        <f t="shared" si="60"/>
        <v>2025</v>
      </c>
      <c r="C1944" s="20">
        <f t="shared" si="61"/>
        <v>5</v>
      </c>
      <c r="D1944" t="s">
        <v>2047</v>
      </c>
      <c r="E1944" s="49">
        <v>1</v>
      </c>
      <c r="F1944" t="s">
        <v>2048</v>
      </c>
      <c r="G1944" t="s">
        <v>21</v>
      </c>
      <c r="H1944" t="s">
        <v>37</v>
      </c>
      <c r="I1944" s="13">
        <v>146000</v>
      </c>
      <c r="J1944" s="13">
        <v>164000</v>
      </c>
      <c r="K1944" s="13">
        <f>IF(J1944&lt;'Mapa Oficinas'!$I$21,0,IF(J1944&gt;'Mapa Oficinas'!$I$20,0,1))</f>
        <v>1</v>
      </c>
      <c r="L1944" t="s">
        <v>23</v>
      </c>
      <c r="M1944" t="s">
        <v>23</v>
      </c>
      <c r="N1944" t="s">
        <v>2049</v>
      </c>
      <c r="O1944" t="s">
        <v>1196</v>
      </c>
      <c r="P1944" t="s">
        <v>45</v>
      </c>
      <c r="Q1944">
        <v>2</v>
      </c>
      <c r="R1944" t="s">
        <v>67</v>
      </c>
      <c r="S1944" t="s">
        <v>28</v>
      </c>
      <c r="T1944" t="str">
        <f>VLOOKUP(S1944,'Mapa Oficinas'!$H$7:$I$16,2,FALSE)</f>
        <v>CB</v>
      </c>
      <c r="U1944" t="s">
        <v>29</v>
      </c>
      <c r="V1944" t="str">
        <f>VLOOKUP($R1944,'Mapa Oficinas'!$A$7:$C$46,2,FALSE)</f>
        <v>CABA</v>
      </c>
      <c r="W1944" t="str">
        <f>VLOOKUP($R1944,'Mapa Oficinas'!$A$7:$C$46,3,FALSE)</f>
        <v>Barrio Parque</v>
      </c>
    </row>
    <row r="1945" spans="1:23" x14ac:dyDescent="0.2">
      <c r="A1945" s="1">
        <v>46093</v>
      </c>
      <c r="B1945" s="20">
        <f t="shared" si="60"/>
        <v>2026</v>
      </c>
      <c r="C1945" s="20">
        <f t="shared" si="61"/>
        <v>3</v>
      </c>
      <c r="D1945" t="s">
        <v>7145</v>
      </c>
      <c r="E1945" s="49">
        <v>1</v>
      </c>
      <c r="F1945" t="s">
        <v>7146</v>
      </c>
      <c r="G1945" t="s">
        <v>21</v>
      </c>
      <c r="H1945" t="s">
        <v>37</v>
      </c>
      <c r="I1945" s="13">
        <v>164900</v>
      </c>
      <c r="J1945" s="13">
        <v>164000</v>
      </c>
      <c r="K1945" s="13">
        <f>IF(J1945&lt;'Mapa Oficinas'!$I$21,0,IF(J1945&gt;'Mapa Oficinas'!$I$20,0,1))</f>
        <v>1</v>
      </c>
      <c r="L1945" t="s">
        <v>23</v>
      </c>
      <c r="M1945" t="s">
        <v>23</v>
      </c>
      <c r="N1945" t="s">
        <v>7147</v>
      </c>
      <c r="O1945" t="s">
        <v>92</v>
      </c>
      <c r="P1945" t="s">
        <v>45</v>
      </c>
      <c r="Q1945">
        <v>2</v>
      </c>
      <c r="R1945" t="s">
        <v>46</v>
      </c>
      <c r="S1945" t="s">
        <v>28</v>
      </c>
      <c r="T1945" t="str">
        <f>VLOOKUP(S1945,'Mapa Oficinas'!$H$7:$I$16,2,FALSE)</f>
        <v>CB</v>
      </c>
      <c r="U1945" t="s">
        <v>29</v>
      </c>
      <c r="V1945" t="str">
        <f>VLOOKUP($R1945,'Mapa Oficinas'!$A$7:$C$46,2,FALSE)</f>
        <v>CABA</v>
      </c>
      <c r="W1945" t="str">
        <f>VLOOKUP($R1945,'Mapa Oficinas'!$A$7:$C$46,3,FALSE)</f>
        <v>Palermo</v>
      </c>
    </row>
    <row r="1946" spans="1:23" x14ac:dyDescent="0.2">
      <c r="A1946" s="1">
        <v>46083</v>
      </c>
      <c r="B1946" s="20">
        <f t="shared" si="60"/>
        <v>2026</v>
      </c>
      <c r="C1946" s="20">
        <f t="shared" si="61"/>
        <v>3</v>
      </c>
      <c r="D1946" t="s">
        <v>6946</v>
      </c>
      <c r="E1946" s="49">
        <v>1</v>
      </c>
      <c r="F1946" t="s">
        <v>5664</v>
      </c>
      <c r="G1946" t="s">
        <v>21</v>
      </c>
      <c r="H1946" t="s">
        <v>100</v>
      </c>
      <c r="I1946" s="13">
        <v>156424</v>
      </c>
      <c r="J1946" s="13">
        <v>164464</v>
      </c>
      <c r="K1946" s="13">
        <f>IF(J1946&lt;'Mapa Oficinas'!$I$21,0,IF(J1946&gt;'Mapa Oficinas'!$I$20,0,1))</f>
        <v>1</v>
      </c>
      <c r="L1946" t="s">
        <v>23</v>
      </c>
      <c r="M1946" t="s">
        <v>23</v>
      </c>
      <c r="N1946" t="s">
        <v>1160</v>
      </c>
      <c r="O1946" t="s">
        <v>209</v>
      </c>
      <c r="P1946" t="s">
        <v>45</v>
      </c>
      <c r="Q1946">
        <v>2</v>
      </c>
      <c r="R1946" t="s">
        <v>121</v>
      </c>
      <c r="S1946" t="s">
        <v>79</v>
      </c>
      <c r="T1946" t="str">
        <f>VLOOKUP(S1946,'Mapa Oficinas'!$H$7:$I$16,2,FALSE)</f>
        <v>CB</v>
      </c>
      <c r="U1946" t="s">
        <v>29</v>
      </c>
      <c r="V1946" t="str">
        <f>VLOOKUP($R1946,'Mapa Oficinas'!$A$7:$C$46,2,FALSE)</f>
        <v>Interior - Río Negro</v>
      </c>
      <c r="W1946" t="str">
        <f>VLOOKUP($R1946,'Mapa Oficinas'!$A$7:$C$46,3,FALSE)</f>
        <v>Bariloche</v>
      </c>
    </row>
    <row r="1947" spans="1:23" x14ac:dyDescent="0.2">
      <c r="A1947" s="1">
        <v>45894</v>
      </c>
      <c r="B1947" s="20">
        <f t="shared" si="60"/>
        <v>2025</v>
      </c>
      <c r="C1947" s="20">
        <f t="shared" si="61"/>
        <v>8</v>
      </c>
      <c r="D1947" t="s">
        <v>3753</v>
      </c>
      <c r="E1947" s="49">
        <v>1</v>
      </c>
      <c r="F1947" t="s">
        <v>3753</v>
      </c>
      <c r="G1947" t="s">
        <v>21</v>
      </c>
      <c r="H1947" t="s">
        <v>37</v>
      </c>
      <c r="I1947" s="13">
        <v>165000</v>
      </c>
      <c r="J1947" s="13">
        <v>165000</v>
      </c>
      <c r="K1947" s="13">
        <f>IF(J1947&lt;'Mapa Oficinas'!$I$21,0,IF(J1947&gt;'Mapa Oficinas'!$I$20,0,1))</f>
        <v>1</v>
      </c>
      <c r="L1947" t="s">
        <v>23</v>
      </c>
      <c r="M1947" t="s">
        <v>23</v>
      </c>
      <c r="N1947" t="s">
        <v>3753</v>
      </c>
      <c r="O1947" t="s">
        <v>408</v>
      </c>
      <c r="P1947" t="s">
        <v>45</v>
      </c>
      <c r="Q1947">
        <v>1</v>
      </c>
      <c r="R1947" t="s">
        <v>56</v>
      </c>
      <c r="S1947" t="s">
        <v>122</v>
      </c>
      <c r="T1947" t="str">
        <f>VLOOKUP(S1947,'Mapa Oficinas'!$H$7:$I$16,2,FALSE)</f>
        <v>Otra Red Búsqueda</v>
      </c>
      <c r="U1947" t="s">
        <v>29</v>
      </c>
      <c r="V1947" t="str">
        <f>VLOOKUP($R1947,'Mapa Oficinas'!$A$7:$C$46,2,FALSE)</f>
        <v>Zona Norte (GBA)</v>
      </c>
      <c r="W1947" t="str">
        <f>VLOOKUP($R1947,'Mapa Oficinas'!$A$7:$C$46,3,FALSE)</f>
        <v>Vicente López</v>
      </c>
    </row>
    <row r="1948" spans="1:23" x14ac:dyDescent="0.2">
      <c r="A1948" s="1">
        <v>45769</v>
      </c>
      <c r="B1948" s="20">
        <f t="shared" si="60"/>
        <v>2025</v>
      </c>
      <c r="C1948" s="20">
        <f t="shared" si="61"/>
        <v>4</v>
      </c>
      <c r="D1948" t="s">
        <v>1538</v>
      </c>
      <c r="E1948" s="49">
        <v>1</v>
      </c>
      <c r="F1948" t="s">
        <v>1539</v>
      </c>
      <c r="G1948" t="s">
        <v>21</v>
      </c>
      <c r="H1948" t="s">
        <v>100</v>
      </c>
      <c r="I1948" s="13">
        <v>175000</v>
      </c>
      <c r="J1948" s="13">
        <v>165000</v>
      </c>
      <c r="K1948" s="13">
        <f>IF(J1948&lt;'Mapa Oficinas'!$I$21,0,IF(J1948&gt;'Mapa Oficinas'!$I$20,0,1))</f>
        <v>1</v>
      </c>
      <c r="L1948" t="s">
        <v>23</v>
      </c>
      <c r="M1948" t="s">
        <v>23</v>
      </c>
      <c r="N1948" t="s">
        <v>285</v>
      </c>
      <c r="O1948" t="s">
        <v>209</v>
      </c>
      <c r="P1948" t="s">
        <v>45</v>
      </c>
      <c r="Q1948">
        <v>1</v>
      </c>
      <c r="R1948" t="s">
        <v>121</v>
      </c>
      <c r="S1948" t="s">
        <v>152</v>
      </c>
      <c r="T1948" t="str">
        <f>VLOOKUP(S1948,'Mapa Oficinas'!$H$7:$I$16,2,FALSE)</f>
        <v>Otra Red Captación</v>
      </c>
      <c r="U1948" t="s">
        <v>29</v>
      </c>
      <c r="V1948" t="str">
        <f>VLOOKUP($R1948,'Mapa Oficinas'!$A$7:$C$46,2,FALSE)</f>
        <v>Interior - Río Negro</v>
      </c>
      <c r="W1948" t="str">
        <f>VLOOKUP($R1948,'Mapa Oficinas'!$A$7:$C$46,3,FALSE)</f>
        <v>Bariloche</v>
      </c>
    </row>
    <row r="1949" spans="1:23" x14ac:dyDescent="0.2">
      <c r="A1949" s="1">
        <v>46111</v>
      </c>
      <c r="B1949" s="20">
        <f t="shared" si="60"/>
        <v>2026</v>
      </c>
      <c r="C1949" s="20">
        <f t="shared" si="61"/>
        <v>3</v>
      </c>
      <c r="D1949" t="s">
        <v>7534</v>
      </c>
      <c r="E1949" s="49">
        <v>1</v>
      </c>
      <c r="F1949" t="s">
        <v>7535</v>
      </c>
      <c r="G1949" t="s">
        <v>21</v>
      </c>
      <c r="H1949" t="s">
        <v>37</v>
      </c>
      <c r="I1949" s="13">
        <v>170000</v>
      </c>
      <c r="J1949" s="13">
        <v>165000</v>
      </c>
      <c r="K1949" s="13">
        <f>IF(J1949&lt;'Mapa Oficinas'!$I$21,0,IF(J1949&gt;'Mapa Oficinas'!$I$20,0,1))</f>
        <v>1</v>
      </c>
      <c r="L1949" t="s">
        <v>23</v>
      </c>
      <c r="M1949" t="s">
        <v>23</v>
      </c>
      <c r="N1949" t="s">
        <v>7536</v>
      </c>
      <c r="O1949" t="s">
        <v>7537</v>
      </c>
      <c r="P1949" t="s">
        <v>34</v>
      </c>
      <c r="Q1949">
        <v>1</v>
      </c>
      <c r="R1949" t="s">
        <v>183</v>
      </c>
      <c r="S1949" t="s">
        <v>152</v>
      </c>
      <c r="T1949" t="str">
        <f>VLOOKUP(S1949,'Mapa Oficinas'!$H$7:$I$16,2,FALSE)</f>
        <v>Otra Red Captación</v>
      </c>
      <c r="U1949" t="s">
        <v>29</v>
      </c>
      <c r="V1949" t="str">
        <f>VLOOKUP($R1949,'Mapa Oficinas'!$A$7:$C$46,2,FALSE)</f>
        <v>Interior - Neuquén</v>
      </c>
      <c r="W1949" t="str">
        <f>VLOOKUP($R1949,'Mapa Oficinas'!$A$7:$C$46,3,FALSE)</f>
        <v>Capital Neuquén</v>
      </c>
    </row>
    <row r="1950" spans="1:23" x14ac:dyDescent="0.2">
      <c r="A1950" s="1">
        <v>45811</v>
      </c>
      <c r="B1950" s="20">
        <f t="shared" si="60"/>
        <v>2025</v>
      </c>
      <c r="C1950" s="20">
        <f t="shared" si="61"/>
        <v>6</v>
      </c>
      <c r="D1950" t="s">
        <v>2286</v>
      </c>
      <c r="E1950" s="49">
        <v>1</v>
      </c>
      <c r="F1950" t="s">
        <v>2287</v>
      </c>
      <c r="G1950" t="s">
        <v>21</v>
      </c>
      <c r="H1950" t="s">
        <v>37</v>
      </c>
      <c r="I1950" s="13">
        <v>165000</v>
      </c>
      <c r="J1950" s="13">
        <v>165000</v>
      </c>
      <c r="K1950" s="13">
        <f>IF(J1950&lt;'Mapa Oficinas'!$I$21,0,IF(J1950&gt;'Mapa Oficinas'!$I$20,0,1))</f>
        <v>1</v>
      </c>
      <c r="L1950" t="s">
        <v>23</v>
      </c>
      <c r="M1950" t="s">
        <v>23</v>
      </c>
      <c r="N1950" t="s">
        <v>2288</v>
      </c>
      <c r="O1950" t="s">
        <v>2289</v>
      </c>
      <c r="P1950" t="s">
        <v>34</v>
      </c>
      <c r="Q1950">
        <v>2</v>
      </c>
      <c r="R1950" t="s">
        <v>110</v>
      </c>
      <c r="S1950" t="s">
        <v>79</v>
      </c>
      <c r="T1950" t="str">
        <f>VLOOKUP(S1950,'Mapa Oficinas'!$H$7:$I$16,2,FALSE)</f>
        <v>CB</v>
      </c>
      <c r="U1950" t="s">
        <v>29</v>
      </c>
      <c r="V1950" t="str">
        <f>VLOOKUP($R1950,'Mapa Oficinas'!$A$7:$C$46,2,FALSE)</f>
        <v>Zona Norte (GBA)</v>
      </c>
      <c r="W1950" t="str">
        <f>VLOOKUP($R1950,'Mapa Oficinas'!$A$7:$C$46,3,FALSE)</f>
        <v>Nordelta</v>
      </c>
    </row>
    <row r="1951" spans="1:23" x14ac:dyDescent="0.2">
      <c r="A1951" s="1">
        <v>45944</v>
      </c>
      <c r="B1951" s="20">
        <f t="shared" si="60"/>
        <v>2025</v>
      </c>
      <c r="C1951" s="20">
        <f t="shared" si="61"/>
        <v>10</v>
      </c>
      <c r="D1951" t="s">
        <v>4672</v>
      </c>
      <c r="E1951" s="49">
        <v>1</v>
      </c>
      <c r="F1951" t="s">
        <v>4673</v>
      </c>
      <c r="G1951" t="s">
        <v>21</v>
      </c>
      <c r="H1951" t="s">
        <v>22</v>
      </c>
      <c r="I1951" s="13">
        <v>174000</v>
      </c>
      <c r="J1951" s="13">
        <v>165000</v>
      </c>
      <c r="K1951" s="13">
        <f>IF(J1951&lt;'Mapa Oficinas'!$I$21,0,IF(J1951&gt;'Mapa Oficinas'!$I$20,0,1))</f>
        <v>1</v>
      </c>
      <c r="L1951" t="s">
        <v>23</v>
      </c>
      <c r="M1951" t="s">
        <v>23</v>
      </c>
      <c r="N1951" t="s">
        <v>4673</v>
      </c>
      <c r="O1951" t="s">
        <v>141</v>
      </c>
      <c r="P1951" t="s">
        <v>45</v>
      </c>
      <c r="Q1951">
        <v>2</v>
      </c>
      <c r="R1951" t="s">
        <v>110</v>
      </c>
      <c r="S1951" t="s">
        <v>79</v>
      </c>
      <c r="T1951" t="str">
        <f>VLOOKUP(S1951,'Mapa Oficinas'!$H$7:$I$16,2,FALSE)</f>
        <v>CB</v>
      </c>
      <c r="U1951" t="s">
        <v>29</v>
      </c>
      <c r="V1951" t="str">
        <f>VLOOKUP($R1951,'Mapa Oficinas'!$A$7:$C$46,2,FALSE)</f>
        <v>Zona Norte (GBA)</v>
      </c>
      <c r="W1951" t="str">
        <f>VLOOKUP($R1951,'Mapa Oficinas'!$A$7:$C$46,3,FALSE)</f>
        <v>Nordelta</v>
      </c>
    </row>
    <row r="1952" spans="1:23" x14ac:dyDescent="0.2">
      <c r="A1952" s="1">
        <v>46000</v>
      </c>
      <c r="B1952" s="20">
        <f t="shared" si="60"/>
        <v>2025</v>
      </c>
      <c r="C1952" s="20">
        <f t="shared" si="61"/>
        <v>12</v>
      </c>
      <c r="D1952" t="s">
        <v>5688</v>
      </c>
      <c r="E1952" s="49">
        <v>1</v>
      </c>
      <c r="F1952" t="s">
        <v>5689</v>
      </c>
      <c r="G1952" t="s">
        <v>21</v>
      </c>
      <c r="H1952" t="s">
        <v>22</v>
      </c>
      <c r="I1952" s="13">
        <v>164000</v>
      </c>
      <c r="J1952" s="13">
        <v>165000</v>
      </c>
      <c r="K1952" s="13">
        <f>IF(J1952&lt;'Mapa Oficinas'!$I$21,0,IF(J1952&gt;'Mapa Oficinas'!$I$20,0,1))</f>
        <v>1</v>
      </c>
      <c r="L1952" t="s">
        <v>23</v>
      </c>
      <c r="M1952" t="s">
        <v>23</v>
      </c>
      <c r="N1952" t="s">
        <v>5690</v>
      </c>
      <c r="O1952" t="s">
        <v>5691</v>
      </c>
      <c r="P1952" t="s">
        <v>34</v>
      </c>
      <c r="Q1952">
        <v>2</v>
      </c>
      <c r="R1952" t="s">
        <v>257</v>
      </c>
      <c r="S1952" t="s">
        <v>79</v>
      </c>
      <c r="T1952" t="str">
        <f>VLOOKUP(S1952,'Mapa Oficinas'!$H$7:$I$16,2,FALSE)</f>
        <v>CB</v>
      </c>
      <c r="U1952" t="s">
        <v>29</v>
      </c>
      <c r="V1952" t="str">
        <f>VLOOKUP($R1952,'Mapa Oficinas'!$A$7:$C$46,2,FALSE)</f>
        <v>Zona Norte (GBA)</v>
      </c>
      <c r="W1952" t="str">
        <f>VLOOKUP($R1952,'Mapa Oficinas'!$A$7:$C$46,3,FALSE)</f>
        <v>Pilar</v>
      </c>
    </row>
    <row r="1953" spans="1:23" x14ac:dyDescent="0.2">
      <c r="A1953" s="1">
        <v>46078</v>
      </c>
      <c r="B1953" s="20">
        <f t="shared" si="60"/>
        <v>2026</v>
      </c>
      <c r="C1953" s="20">
        <f t="shared" si="61"/>
        <v>2</v>
      </c>
      <c r="D1953">
        <v>25022026</v>
      </c>
      <c r="E1953" s="49">
        <v>1</v>
      </c>
      <c r="F1953" t="s">
        <v>6847</v>
      </c>
      <c r="G1953" t="s">
        <v>21</v>
      </c>
      <c r="H1953" t="s">
        <v>100</v>
      </c>
      <c r="I1953" s="13">
        <v>165000</v>
      </c>
      <c r="J1953" s="13">
        <v>165000</v>
      </c>
      <c r="K1953" s="13">
        <f>IF(J1953&lt;'Mapa Oficinas'!$I$21,0,IF(J1953&gt;'Mapa Oficinas'!$I$20,0,1))</f>
        <v>1</v>
      </c>
      <c r="L1953" t="s">
        <v>23</v>
      </c>
      <c r="M1953" t="s">
        <v>23</v>
      </c>
      <c r="O1953" t="s">
        <v>120</v>
      </c>
      <c r="P1953" t="s">
        <v>34</v>
      </c>
      <c r="Q1953">
        <v>2</v>
      </c>
      <c r="R1953" t="s">
        <v>121</v>
      </c>
      <c r="S1953" t="s">
        <v>79</v>
      </c>
      <c r="T1953" t="str">
        <f>VLOOKUP(S1953,'Mapa Oficinas'!$H$7:$I$16,2,FALSE)</f>
        <v>CB</v>
      </c>
      <c r="U1953" t="s">
        <v>29</v>
      </c>
      <c r="V1953" t="str">
        <f>VLOOKUP($R1953,'Mapa Oficinas'!$A$7:$C$46,2,FALSE)</f>
        <v>Interior - Río Negro</v>
      </c>
      <c r="W1953" t="str">
        <f>VLOOKUP($R1953,'Mapa Oficinas'!$A$7:$C$46,3,FALSE)</f>
        <v>Bariloche</v>
      </c>
    </row>
    <row r="1954" spans="1:23" x14ac:dyDescent="0.2">
      <c r="A1954" s="1">
        <v>45883</v>
      </c>
      <c r="B1954" s="20">
        <f t="shared" si="60"/>
        <v>2025</v>
      </c>
      <c r="C1954" s="20">
        <f t="shared" si="61"/>
        <v>8</v>
      </c>
      <c r="D1954" t="s">
        <v>3602</v>
      </c>
      <c r="E1954" s="49">
        <v>1</v>
      </c>
      <c r="F1954" t="s">
        <v>3603</v>
      </c>
      <c r="G1954" t="s">
        <v>21</v>
      </c>
      <c r="H1954" t="s">
        <v>37</v>
      </c>
      <c r="I1954" s="13">
        <v>165000</v>
      </c>
      <c r="J1954" s="13">
        <v>165000</v>
      </c>
      <c r="K1954" s="13">
        <f>IF(J1954&lt;'Mapa Oficinas'!$I$21,0,IF(J1954&gt;'Mapa Oficinas'!$I$20,0,1))</f>
        <v>1</v>
      </c>
      <c r="L1954" t="s">
        <v>23</v>
      </c>
      <c r="M1954" t="s">
        <v>23</v>
      </c>
      <c r="N1954" t="s">
        <v>3604</v>
      </c>
      <c r="O1954" t="s">
        <v>102</v>
      </c>
      <c r="P1954" t="s">
        <v>45</v>
      </c>
      <c r="Q1954">
        <v>1</v>
      </c>
      <c r="R1954" t="s">
        <v>103</v>
      </c>
      <c r="S1954" t="s">
        <v>47</v>
      </c>
      <c r="T1954" t="str">
        <f>VLOOKUP(S1954,'Mapa Oficinas'!$H$7:$I$16,2,FALSE)</f>
        <v>Otra Red Búsqueda</v>
      </c>
      <c r="U1954" t="s">
        <v>29</v>
      </c>
      <c r="V1954" t="str">
        <f>VLOOKUP($R1954,'Mapa Oficinas'!$A$7:$C$46,2,FALSE)</f>
        <v>Zona Sur (GBA)</v>
      </c>
      <c r="W1954" t="str">
        <f>VLOOKUP($R1954,'Mapa Oficinas'!$A$7:$C$46,3,FALSE)</f>
        <v>La Plata</v>
      </c>
    </row>
    <row r="1955" spans="1:23" x14ac:dyDescent="0.2">
      <c r="A1955" s="1">
        <v>45736</v>
      </c>
      <c r="B1955" s="20">
        <f t="shared" si="60"/>
        <v>2025</v>
      </c>
      <c r="C1955" s="20">
        <f t="shared" si="61"/>
        <v>3</v>
      </c>
      <c r="D1955" t="s">
        <v>1029</v>
      </c>
      <c r="E1955" s="49">
        <v>1</v>
      </c>
      <c r="F1955" t="s">
        <v>1030</v>
      </c>
      <c r="G1955" t="s">
        <v>21</v>
      </c>
      <c r="H1955" t="s">
        <v>37</v>
      </c>
      <c r="I1955" s="13">
        <v>165000</v>
      </c>
      <c r="J1955" s="13">
        <v>165000</v>
      </c>
      <c r="K1955" s="13">
        <f>IF(J1955&lt;'Mapa Oficinas'!$I$21,0,IF(J1955&gt;'Mapa Oficinas'!$I$20,0,1))</f>
        <v>1</v>
      </c>
      <c r="L1955" t="s">
        <v>23</v>
      </c>
      <c r="M1955" t="s">
        <v>23</v>
      </c>
      <c r="N1955" t="s">
        <v>1031</v>
      </c>
      <c r="O1955" t="s">
        <v>408</v>
      </c>
      <c r="P1955" t="s">
        <v>45</v>
      </c>
      <c r="Q1955">
        <v>2</v>
      </c>
      <c r="R1955" t="s">
        <v>135</v>
      </c>
      <c r="S1955" t="s">
        <v>200</v>
      </c>
      <c r="T1955" t="str">
        <f>VLOOKUP(S1955,'Mapa Oficinas'!$H$7:$I$16,2,FALSE)</f>
        <v>Otra Red Captación</v>
      </c>
      <c r="U1955" t="s">
        <v>29</v>
      </c>
      <c r="V1955" t="str">
        <f>VLOOKUP($R1955,'Mapa Oficinas'!$A$7:$C$46,2,FALSE)</f>
        <v>CABA</v>
      </c>
      <c r="W1955" t="str">
        <f>VLOOKUP($R1955,'Mapa Oficinas'!$A$7:$C$46,3,FALSE)</f>
        <v>Recoleta</v>
      </c>
    </row>
    <row r="1956" spans="1:23" x14ac:dyDescent="0.2">
      <c r="A1956" s="1">
        <v>45805</v>
      </c>
      <c r="B1956" s="20">
        <f t="shared" si="60"/>
        <v>2025</v>
      </c>
      <c r="C1956" s="20">
        <f t="shared" si="61"/>
        <v>5</v>
      </c>
      <c r="D1956" t="s">
        <v>2167</v>
      </c>
      <c r="E1956" s="49">
        <v>1</v>
      </c>
      <c r="F1956" t="s">
        <v>2168</v>
      </c>
      <c r="G1956" t="s">
        <v>21</v>
      </c>
      <c r="H1956" t="s">
        <v>37</v>
      </c>
      <c r="I1956" s="13">
        <v>170000</v>
      </c>
      <c r="J1956" s="13">
        <v>165000</v>
      </c>
      <c r="K1956" s="13">
        <f>IF(J1956&lt;'Mapa Oficinas'!$I$21,0,IF(J1956&gt;'Mapa Oficinas'!$I$20,0,1))</f>
        <v>1</v>
      </c>
      <c r="L1956" t="s">
        <v>23</v>
      </c>
      <c r="M1956" t="s">
        <v>23</v>
      </c>
      <c r="N1956" t="s">
        <v>2169</v>
      </c>
      <c r="O1956" t="s">
        <v>105</v>
      </c>
      <c r="P1956" t="s">
        <v>45</v>
      </c>
      <c r="Q1956">
        <v>2</v>
      </c>
      <c r="R1956" t="s">
        <v>67</v>
      </c>
      <c r="S1956" t="s">
        <v>200</v>
      </c>
      <c r="T1956" t="str">
        <f>VLOOKUP(S1956,'Mapa Oficinas'!$H$7:$I$16,2,FALSE)</f>
        <v>Otra Red Captación</v>
      </c>
      <c r="U1956" t="s">
        <v>29</v>
      </c>
      <c r="V1956" t="str">
        <f>VLOOKUP($R1956,'Mapa Oficinas'!$A$7:$C$46,2,FALSE)</f>
        <v>CABA</v>
      </c>
      <c r="W1956" t="str">
        <f>VLOOKUP($R1956,'Mapa Oficinas'!$A$7:$C$46,3,FALSE)</f>
        <v>Barrio Parque</v>
      </c>
    </row>
    <row r="1957" spans="1:23" x14ac:dyDescent="0.2">
      <c r="A1957" s="1">
        <v>45891</v>
      </c>
      <c r="B1957" s="20">
        <f t="shared" si="60"/>
        <v>2025</v>
      </c>
      <c r="C1957" s="20">
        <f t="shared" si="61"/>
        <v>8</v>
      </c>
      <c r="D1957" t="s">
        <v>3724</v>
      </c>
      <c r="E1957" s="49">
        <v>1</v>
      </c>
      <c r="F1957" t="s">
        <v>3725</v>
      </c>
      <c r="G1957" t="s">
        <v>21</v>
      </c>
      <c r="H1957" t="s">
        <v>37</v>
      </c>
      <c r="I1957" s="13">
        <v>169000</v>
      </c>
      <c r="J1957" s="13">
        <v>165000</v>
      </c>
      <c r="K1957" s="13">
        <f>IF(J1957&lt;'Mapa Oficinas'!$I$21,0,IF(J1957&gt;'Mapa Oficinas'!$I$20,0,1))</f>
        <v>1</v>
      </c>
      <c r="L1957" t="s">
        <v>23</v>
      </c>
      <c r="M1957" t="s">
        <v>23</v>
      </c>
      <c r="N1957" t="s">
        <v>3726</v>
      </c>
      <c r="O1957" t="s">
        <v>92</v>
      </c>
      <c r="P1957" t="s">
        <v>45</v>
      </c>
      <c r="Q1957">
        <v>2</v>
      </c>
      <c r="R1957" t="s">
        <v>67</v>
      </c>
      <c r="S1957" t="s">
        <v>200</v>
      </c>
      <c r="T1957" t="str">
        <f>VLOOKUP(S1957,'Mapa Oficinas'!$H$7:$I$16,2,FALSE)</f>
        <v>Otra Red Captación</v>
      </c>
      <c r="U1957" t="s">
        <v>29</v>
      </c>
      <c r="V1957" t="str">
        <f>VLOOKUP($R1957,'Mapa Oficinas'!$A$7:$C$46,2,FALSE)</f>
        <v>CABA</v>
      </c>
      <c r="W1957" t="str">
        <f>VLOOKUP($R1957,'Mapa Oficinas'!$A$7:$C$46,3,FALSE)</f>
        <v>Barrio Parque</v>
      </c>
    </row>
    <row r="1958" spans="1:23" x14ac:dyDescent="0.2">
      <c r="A1958" s="1">
        <v>45923</v>
      </c>
      <c r="B1958" s="20">
        <f t="shared" si="60"/>
        <v>2025</v>
      </c>
      <c r="C1958" s="20">
        <f t="shared" si="61"/>
        <v>9</v>
      </c>
      <c r="D1958" t="s">
        <v>4300</v>
      </c>
      <c r="E1958" s="49">
        <v>1</v>
      </c>
      <c r="F1958" t="s">
        <v>4301</v>
      </c>
      <c r="G1958" t="s">
        <v>21</v>
      </c>
      <c r="H1958" t="s">
        <v>37</v>
      </c>
      <c r="I1958" s="13">
        <v>180000</v>
      </c>
      <c r="J1958" s="13">
        <v>165000</v>
      </c>
      <c r="K1958" s="13">
        <f>IF(J1958&lt;'Mapa Oficinas'!$I$21,0,IF(J1958&gt;'Mapa Oficinas'!$I$20,0,1))</f>
        <v>1</v>
      </c>
      <c r="L1958" t="s">
        <v>23</v>
      </c>
      <c r="M1958" t="s">
        <v>23</v>
      </c>
      <c r="N1958" t="s">
        <v>4302</v>
      </c>
      <c r="O1958" t="s">
        <v>236</v>
      </c>
      <c r="P1958" t="s">
        <v>45</v>
      </c>
      <c r="Q1958">
        <v>2</v>
      </c>
      <c r="R1958" t="s">
        <v>110</v>
      </c>
      <c r="S1958" t="s">
        <v>200</v>
      </c>
      <c r="T1958" t="str">
        <f>VLOOKUP(S1958,'Mapa Oficinas'!$H$7:$I$16,2,FALSE)</f>
        <v>Otra Red Captación</v>
      </c>
      <c r="U1958" t="s">
        <v>29</v>
      </c>
      <c r="V1958" t="str">
        <f>VLOOKUP($R1958,'Mapa Oficinas'!$A$7:$C$46,2,FALSE)</f>
        <v>Zona Norte (GBA)</v>
      </c>
      <c r="W1958" t="str">
        <f>VLOOKUP($R1958,'Mapa Oficinas'!$A$7:$C$46,3,FALSE)</f>
        <v>Nordelta</v>
      </c>
    </row>
    <row r="1959" spans="1:23" x14ac:dyDescent="0.2">
      <c r="A1959" s="1">
        <v>45748</v>
      </c>
      <c r="B1959" s="20">
        <f t="shared" si="60"/>
        <v>2025</v>
      </c>
      <c r="C1959" s="20">
        <f t="shared" si="61"/>
        <v>4</v>
      </c>
      <c r="D1959" t="s">
        <v>1234</v>
      </c>
      <c r="E1959" s="49">
        <v>3</v>
      </c>
      <c r="F1959" t="s">
        <v>1235</v>
      </c>
      <c r="G1959" t="s">
        <v>21</v>
      </c>
      <c r="H1959" t="s">
        <v>22</v>
      </c>
      <c r="I1959" s="13">
        <v>165000</v>
      </c>
      <c r="J1959" s="13">
        <v>165000</v>
      </c>
      <c r="K1959" s="13">
        <f>IF(J1959&lt;'Mapa Oficinas'!$I$21,0,IF(J1959&gt;'Mapa Oficinas'!$I$20,0,1))</f>
        <v>1</v>
      </c>
      <c r="L1959" t="s">
        <v>23</v>
      </c>
      <c r="M1959" t="s">
        <v>23</v>
      </c>
      <c r="N1959" t="s">
        <v>1236</v>
      </c>
      <c r="O1959" t="s">
        <v>976</v>
      </c>
      <c r="P1959" t="s">
        <v>45</v>
      </c>
      <c r="Q1959">
        <v>2</v>
      </c>
      <c r="R1959" t="s">
        <v>372</v>
      </c>
      <c r="S1959" t="s">
        <v>232</v>
      </c>
      <c r="T1959" t="str">
        <f>VLOOKUP(S1959,'Mapa Oficinas'!$H$7:$I$16,2,FALSE)</f>
        <v>CB</v>
      </c>
      <c r="U1959" t="s">
        <v>29</v>
      </c>
      <c r="V1959" t="str">
        <f>VLOOKUP($R1959,'Mapa Oficinas'!$A$7:$C$46,2,FALSE)</f>
        <v>CABA</v>
      </c>
      <c r="W1959" t="str">
        <f>VLOOKUP($R1959,'Mapa Oficinas'!$A$7:$C$46,3,FALSE)</f>
        <v>Caballito</v>
      </c>
    </row>
    <row r="1960" spans="1:23" x14ac:dyDescent="0.2">
      <c r="A1960" s="1">
        <v>45667</v>
      </c>
      <c r="B1960" s="20">
        <f t="shared" si="60"/>
        <v>2025</v>
      </c>
      <c r="C1960" s="20">
        <f t="shared" si="61"/>
        <v>1</v>
      </c>
      <c r="D1960" t="s">
        <v>171</v>
      </c>
      <c r="E1960" s="49">
        <v>1</v>
      </c>
      <c r="F1960" t="s">
        <v>172</v>
      </c>
      <c r="G1960" t="s">
        <v>21</v>
      </c>
      <c r="H1960" t="s">
        <v>37</v>
      </c>
      <c r="I1960" s="13">
        <v>175000</v>
      </c>
      <c r="J1960" s="13">
        <v>165000</v>
      </c>
      <c r="K1960" s="13">
        <f>IF(J1960&lt;'Mapa Oficinas'!$I$21,0,IF(J1960&gt;'Mapa Oficinas'!$I$20,0,1))</f>
        <v>1</v>
      </c>
      <c r="L1960" t="s">
        <v>23</v>
      </c>
      <c r="M1960" t="s">
        <v>23</v>
      </c>
      <c r="N1960" t="s">
        <v>173</v>
      </c>
      <c r="O1960" t="s">
        <v>174</v>
      </c>
      <c r="P1960" t="s">
        <v>61</v>
      </c>
      <c r="Q1960">
        <v>2</v>
      </c>
      <c r="R1960" t="s">
        <v>56</v>
      </c>
      <c r="S1960" t="s">
        <v>28</v>
      </c>
      <c r="T1960" t="str">
        <f>VLOOKUP(S1960,'Mapa Oficinas'!$H$7:$I$16,2,FALSE)</f>
        <v>CB</v>
      </c>
      <c r="U1960" t="s">
        <v>29</v>
      </c>
      <c r="V1960" t="str">
        <f>VLOOKUP($R1960,'Mapa Oficinas'!$A$7:$C$46,2,FALSE)</f>
        <v>Zona Norte (GBA)</v>
      </c>
      <c r="W1960" t="str">
        <f>VLOOKUP($R1960,'Mapa Oficinas'!$A$7:$C$46,3,FALSE)</f>
        <v>Vicente López</v>
      </c>
    </row>
    <row r="1961" spans="1:23" x14ac:dyDescent="0.2">
      <c r="A1961" s="1">
        <v>45749</v>
      </c>
      <c r="B1961" s="20">
        <f t="shared" si="60"/>
        <v>2025</v>
      </c>
      <c r="C1961" s="20">
        <f t="shared" si="61"/>
        <v>4</v>
      </c>
      <c r="D1961" t="s">
        <v>1254</v>
      </c>
      <c r="E1961" s="49">
        <v>1</v>
      </c>
      <c r="F1961" t="s">
        <v>1255</v>
      </c>
      <c r="G1961" t="s">
        <v>21</v>
      </c>
      <c r="H1961" t="s">
        <v>37</v>
      </c>
      <c r="I1961" s="13">
        <v>165000</v>
      </c>
      <c r="J1961" s="13">
        <v>165000</v>
      </c>
      <c r="K1961" s="13">
        <f>IF(J1961&lt;'Mapa Oficinas'!$I$21,0,IF(J1961&gt;'Mapa Oficinas'!$I$20,0,1))</f>
        <v>1</v>
      </c>
      <c r="L1961" t="s">
        <v>23</v>
      </c>
      <c r="M1961" t="s">
        <v>23</v>
      </c>
      <c r="N1961" t="s">
        <v>1256</v>
      </c>
      <c r="O1961" t="s">
        <v>976</v>
      </c>
      <c r="P1961" t="s">
        <v>45</v>
      </c>
      <c r="Q1961">
        <v>2</v>
      </c>
      <c r="R1961" t="s">
        <v>110</v>
      </c>
      <c r="S1961" t="s">
        <v>28</v>
      </c>
      <c r="T1961" t="str">
        <f>VLOOKUP(S1961,'Mapa Oficinas'!$H$7:$I$16,2,FALSE)</f>
        <v>CB</v>
      </c>
      <c r="U1961" t="s">
        <v>29</v>
      </c>
      <c r="V1961" t="str">
        <f>VLOOKUP($R1961,'Mapa Oficinas'!$A$7:$C$46,2,FALSE)</f>
        <v>Zona Norte (GBA)</v>
      </c>
      <c r="W1961" t="str">
        <f>VLOOKUP($R1961,'Mapa Oficinas'!$A$7:$C$46,3,FALSE)</f>
        <v>Nordelta</v>
      </c>
    </row>
    <row r="1962" spans="1:23" x14ac:dyDescent="0.2">
      <c r="A1962" s="1">
        <v>45784</v>
      </c>
      <c r="B1962" s="20">
        <f t="shared" si="60"/>
        <v>2025</v>
      </c>
      <c r="C1962" s="20">
        <f t="shared" si="61"/>
        <v>5</v>
      </c>
      <c r="D1962" t="s">
        <v>1803</v>
      </c>
      <c r="E1962" s="49">
        <v>1</v>
      </c>
      <c r="F1962" t="s">
        <v>1804</v>
      </c>
      <c r="G1962" t="s">
        <v>21</v>
      </c>
      <c r="H1962" t="s">
        <v>22</v>
      </c>
      <c r="I1962" s="13">
        <v>170000</v>
      </c>
      <c r="J1962" s="13">
        <v>165000</v>
      </c>
      <c r="K1962" s="13">
        <f>IF(J1962&lt;'Mapa Oficinas'!$I$21,0,IF(J1962&gt;'Mapa Oficinas'!$I$20,0,1))</f>
        <v>1</v>
      </c>
      <c r="L1962" t="s">
        <v>23</v>
      </c>
      <c r="M1962" t="s">
        <v>23</v>
      </c>
      <c r="N1962" t="s">
        <v>1805</v>
      </c>
      <c r="O1962" t="s">
        <v>1806</v>
      </c>
      <c r="P1962" t="s">
        <v>34</v>
      </c>
      <c r="Q1962">
        <v>2</v>
      </c>
      <c r="R1962" t="s">
        <v>257</v>
      </c>
      <c r="S1962" t="s">
        <v>28</v>
      </c>
      <c r="T1962" t="str">
        <f>VLOOKUP(S1962,'Mapa Oficinas'!$H$7:$I$16,2,FALSE)</f>
        <v>CB</v>
      </c>
      <c r="U1962" t="s">
        <v>29</v>
      </c>
      <c r="V1962" t="str">
        <f>VLOOKUP($R1962,'Mapa Oficinas'!$A$7:$C$46,2,FALSE)</f>
        <v>Zona Norte (GBA)</v>
      </c>
      <c r="W1962" t="str">
        <f>VLOOKUP($R1962,'Mapa Oficinas'!$A$7:$C$46,3,FALSE)</f>
        <v>Pilar</v>
      </c>
    </row>
    <row r="1963" spans="1:23" x14ac:dyDescent="0.2">
      <c r="A1963" s="1">
        <v>45860</v>
      </c>
      <c r="B1963" s="20">
        <f t="shared" si="60"/>
        <v>2025</v>
      </c>
      <c r="C1963" s="20">
        <f t="shared" si="61"/>
        <v>7</v>
      </c>
      <c r="D1963" t="s">
        <v>3154</v>
      </c>
      <c r="E1963" s="49">
        <v>1</v>
      </c>
      <c r="F1963" t="s">
        <v>3155</v>
      </c>
      <c r="G1963" t="s">
        <v>21</v>
      </c>
      <c r="H1963" t="s">
        <v>37</v>
      </c>
      <c r="I1963" s="13">
        <v>175000</v>
      </c>
      <c r="J1963" s="13">
        <v>165000</v>
      </c>
      <c r="K1963" s="13">
        <f>IF(J1963&lt;'Mapa Oficinas'!$I$21,0,IF(J1963&gt;'Mapa Oficinas'!$I$20,0,1))</f>
        <v>1</v>
      </c>
      <c r="L1963" t="s">
        <v>23</v>
      </c>
      <c r="M1963" t="s">
        <v>23</v>
      </c>
      <c r="N1963" t="s">
        <v>3156</v>
      </c>
      <c r="O1963" t="s">
        <v>408</v>
      </c>
      <c r="P1963" t="s">
        <v>45</v>
      </c>
      <c r="Q1963">
        <v>2</v>
      </c>
      <c r="R1963" t="s">
        <v>495</v>
      </c>
      <c r="S1963" t="s">
        <v>28</v>
      </c>
      <c r="T1963" t="str">
        <f>VLOOKUP(S1963,'Mapa Oficinas'!$H$7:$I$16,2,FALSE)</f>
        <v>CB</v>
      </c>
      <c r="U1963" t="s">
        <v>29</v>
      </c>
      <c r="V1963" t="str">
        <f>VLOOKUP($R1963,'Mapa Oficinas'!$A$7:$C$46,2,FALSE)</f>
        <v>Zona Norte (GBA)</v>
      </c>
      <c r="W1963" t="str">
        <f>VLOOKUP($R1963,'Mapa Oficinas'!$A$7:$C$46,3,FALSE)</f>
        <v>Escobar</v>
      </c>
    </row>
    <row r="1964" spans="1:23" x14ac:dyDescent="0.2">
      <c r="A1964" s="1">
        <v>45881</v>
      </c>
      <c r="B1964" s="20">
        <f t="shared" si="60"/>
        <v>2025</v>
      </c>
      <c r="C1964" s="20">
        <f t="shared" si="61"/>
        <v>8</v>
      </c>
      <c r="D1964" t="s">
        <v>3551</v>
      </c>
      <c r="E1964" s="49">
        <v>1</v>
      </c>
      <c r="F1964" t="s">
        <v>3552</v>
      </c>
      <c r="G1964" t="s">
        <v>21</v>
      </c>
      <c r="H1964" t="s">
        <v>37</v>
      </c>
      <c r="I1964" s="13">
        <v>165000</v>
      </c>
      <c r="J1964" s="13">
        <v>165000</v>
      </c>
      <c r="K1964" s="13">
        <f>IF(J1964&lt;'Mapa Oficinas'!$I$21,0,IF(J1964&gt;'Mapa Oficinas'!$I$20,0,1))</f>
        <v>1</v>
      </c>
      <c r="L1964" t="s">
        <v>23</v>
      </c>
      <c r="M1964" t="s">
        <v>23</v>
      </c>
      <c r="O1964" t="s">
        <v>932</v>
      </c>
      <c r="P1964" t="s">
        <v>34</v>
      </c>
      <c r="Q1964">
        <v>2</v>
      </c>
      <c r="R1964" t="s">
        <v>321</v>
      </c>
      <c r="S1964" t="s">
        <v>28</v>
      </c>
      <c r="T1964" t="str">
        <f>VLOOKUP(S1964,'Mapa Oficinas'!$H$7:$I$16,2,FALSE)</f>
        <v>CB</v>
      </c>
      <c r="U1964" t="s">
        <v>29</v>
      </c>
      <c r="V1964" t="str">
        <f>VLOOKUP($R1964,'Mapa Oficinas'!$A$7:$C$46,2,FALSE)</f>
        <v>CABA</v>
      </c>
      <c r="W1964" t="str">
        <f>VLOOKUP($R1964,'Mapa Oficinas'!$A$7:$C$46,3,FALSE)</f>
        <v>Palermo</v>
      </c>
    </row>
    <row r="1965" spans="1:23" x14ac:dyDescent="0.2">
      <c r="A1965" s="1">
        <v>45898</v>
      </c>
      <c r="B1965" s="20">
        <f t="shared" si="60"/>
        <v>2025</v>
      </c>
      <c r="C1965" s="20">
        <f t="shared" si="61"/>
        <v>8</v>
      </c>
      <c r="D1965" t="s">
        <v>3891</v>
      </c>
      <c r="E1965" s="49">
        <v>1</v>
      </c>
      <c r="F1965" t="s">
        <v>3892</v>
      </c>
      <c r="G1965" t="s">
        <v>21</v>
      </c>
      <c r="H1965" t="s">
        <v>221</v>
      </c>
      <c r="I1965" s="13">
        <v>165000</v>
      </c>
      <c r="J1965" s="13">
        <v>165000</v>
      </c>
      <c r="K1965" s="13">
        <f>IF(J1965&lt;'Mapa Oficinas'!$I$21,0,IF(J1965&gt;'Mapa Oficinas'!$I$20,0,1))</f>
        <v>1</v>
      </c>
      <c r="L1965" t="s">
        <v>23</v>
      </c>
      <c r="M1965" t="s">
        <v>23</v>
      </c>
      <c r="N1965" t="s">
        <v>3893</v>
      </c>
      <c r="O1965" t="s">
        <v>329</v>
      </c>
      <c r="P1965" t="s">
        <v>34</v>
      </c>
      <c r="Q1965">
        <v>2</v>
      </c>
      <c r="R1965" t="s">
        <v>183</v>
      </c>
      <c r="S1965" t="s">
        <v>28</v>
      </c>
      <c r="T1965" t="str">
        <f>VLOOKUP(S1965,'Mapa Oficinas'!$H$7:$I$16,2,FALSE)</f>
        <v>CB</v>
      </c>
      <c r="U1965" t="s">
        <v>29</v>
      </c>
      <c r="V1965" t="str">
        <f>VLOOKUP($R1965,'Mapa Oficinas'!$A$7:$C$46,2,FALSE)</f>
        <v>Interior - Neuquén</v>
      </c>
      <c r="W1965" t="str">
        <f>VLOOKUP($R1965,'Mapa Oficinas'!$A$7:$C$46,3,FALSE)</f>
        <v>Capital Neuquén</v>
      </c>
    </row>
    <row r="1966" spans="1:23" x14ac:dyDescent="0.2">
      <c r="A1966" s="1">
        <v>45924</v>
      </c>
      <c r="B1966" s="20">
        <f t="shared" si="60"/>
        <v>2025</v>
      </c>
      <c r="C1966" s="20">
        <f t="shared" si="61"/>
        <v>9</v>
      </c>
      <c r="D1966" t="s">
        <v>4320</v>
      </c>
      <c r="E1966" s="49">
        <v>1</v>
      </c>
      <c r="F1966" t="s">
        <v>4321</v>
      </c>
      <c r="G1966" t="s">
        <v>21</v>
      </c>
      <c r="H1966" t="s">
        <v>37</v>
      </c>
      <c r="I1966" s="13">
        <v>169000</v>
      </c>
      <c r="J1966" s="13">
        <v>165000</v>
      </c>
      <c r="K1966" s="13">
        <f>IF(J1966&lt;'Mapa Oficinas'!$I$21,0,IF(J1966&gt;'Mapa Oficinas'!$I$20,0,1))</f>
        <v>1</v>
      </c>
      <c r="L1966" t="s">
        <v>23</v>
      </c>
      <c r="M1966" t="s">
        <v>23</v>
      </c>
      <c r="N1966" t="s">
        <v>4322</v>
      </c>
      <c r="O1966" t="s">
        <v>92</v>
      </c>
      <c r="P1966" t="s">
        <v>45</v>
      </c>
      <c r="Q1966">
        <v>2</v>
      </c>
      <c r="R1966" t="s">
        <v>46</v>
      </c>
      <c r="S1966" t="s">
        <v>28</v>
      </c>
      <c r="T1966" t="str">
        <f>VLOOKUP(S1966,'Mapa Oficinas'!$H$7:$I$16,2,FALSE)</f>
        <v>CB</v>
      </c>
      <c r="U1966" t="s">
        <v>29</v>
      </c>
      <c r="V1966" t="str">
        <f>VLOOKUP($R1966,'Mapa Oficinas'!$A$7:$C$46,2,FALSE)</f>
        <v>CABA</v>
      </c>
      <c r="W1966" t="str">
        <f>VLOOKUP($R1966,'Mapa Oficinas'!$A$7:$C$46,3,FALSE)</f>
        <v>Palermo</v>
      </c>
    </row>
    <row r="1967" spans="1:23" x14ac:dyDescent="0.2">
      <c r="A1967" s="1">
        <v>45947</v>
      </c>
      <c r="B1967" s="20">
        <f t="shared" si="60"/>
        <v>2025</v>
      </c>
      <c r="C1967" s="20">
        <f t="shared" si="61"/>
        <v>10</v>
      </c>
      <c r="D1967" t="s">
        <v>4772</v>
      </c>
      <c r="E1967" s="49">
        <v>1</v>
      </c>
      <c r="F1967" t="s">
        <v>4773</v>
      </c>
      <c r="G1967" t="s">
        <v>21</v>
      </c>
      <c r="H1967" t="s">
        <v>90</v>
      </c>
      <c r="I1967" s="13">
        <v>170000</v>
      </c>
      <c r="J1967" s="13">
        <v>165000</v>
      </c>
      <c r="K1967" s="13">
        <f>IF(J1967&lt;'Mapa Oficinas'!$I$21,0,IF(J1967&gt;'Mapa Oficinas'!$I$20,0,1))</f>
        <v>1</v>
      </c>
      <c r="L1967" t="s">
        <v>23</v>
      </c>
      <c r="M1967" t="s">
        <v>23</v>
      </c>
      <c r="N1967" t="s">
        <v>4774</v>
      </c>
      <c r="O1967" t="s">
        <v>2104</v>
      </c>
      <c r="P1967" t="s">
        <v>45</v>
      </c>
      <c r="Q1967">
        <v>2</v>
      </c>
      <c r="R1967" t="s">
        <v>62</v>
      </c>
      <c r="S1967" t="s">
        <v>28</v>
      </c>
      <c r="T1967" t="str">
        <f>VLOOKUP(S1967,'Mapa Oficinas'!$H$7:$I$16,2,FALSE)</f>
        <v>CB</v>
      </c>
      <c r="U1967" t="s">
        <v>29</v>
      </c>
      <c r="V1967" t="str">
        <f>VLOOKUP($R1967,'Mapa Oficinas'!$A$7:$C$46,2,FALSE)</f>
        <v>CABA</v>
      </c>
      <c r="W1967" t="str">
        <f>VLOOKUP($R1967,'Mapa Oficinas'!$A$7:$C$46,3,FALSE)</f>
        <v>Villa Urquiza</v>
      </c>
    </row>
    <row r="1968" spans="1:23" x14ac:dyDescent="0.2">
      <c r="A1968" s="1">
        <v>45968</v>
      </c>
      <c r="B1968" s="20">
        <f t="shared" si="60"/>
        <v>2025</v>
      </c>
      <c r="C1968" s="20">
        <f t="shared" si="61"/>
        <v>11</v>
      </c>
      <c r="D1968" t="s">
        <v>5091</v>
      </c>
      <c r="E1968" s="49">
        <v>1</v>
      </c>
      <c r="F1968" t="s">
        <v>5092</v>
      </c>
      <c r="G1968" t="s">
        <v>21</v>
      </c>
      <c r="H1968" t="s">
        <v>37</v>
      </c>
      <c r="I1968" s="13">
        <v>165000</v>
      </c>
      <c r="J1968" s="13">
        <v>165000</v>
      </c>
      <c r="K1968" s="13">
        <f>IF(J1968&lt;'Mapa Oficinas'!$I$21,0,IF(J1968&gt;'Mapa Oficinas'!$I$20,0,1))</f>
        <v>1</v>
      </c>
      <c r="L1968" t="s">
        <v>23</v>
      </c>
      <c r="M1968" t="s">
        <v>23</v>
      </c>
      <c r="N1968" t="s">
        <v>3775</v>
      </c>
      <c r="O1968" t="s">
        <v>1196</v>
      </c>
      <c r="P1968" t="s">
        <v>45</v>
      </c>
      <c r="Q1968">
        <v>2</v>
      </c>
      <c r="R1968" t="s">
        <v>67</v>
      </c>
      <c r="S1968" t="s">
        <v>28</v>
      </c>
      <c r="T1968" t="str">
        <f>VLOOKUP(S1968,'Mapa Oficinas'!$H$7:$I$16,2,FALSE)</f>
        <v>CB</v>
      </c>
      <c r="U1968" t="s">
        <v>29</v>
      </c>
      <c r="V1968" t="str">
        <f>VLOOKUP($R1968,'Mapa Oficinas'!$A$7:$C$46,2,FALSE)</f>
        <v>CABA</v>
      </c>
      <c r="W1968" t="str">
        <f>VLOOKUP($R1968,'Mapa Oficinas'!$A$7:$C$46,3,FALSE)</f>
        <v>Barrio Parque</v>
      </c>
    </row>
    <row r="1969" spans="1:23" x14ac:dyDescent="0.2">
      <c r="A1969" s="1">
        <v>46028</v>
      </c>
      <c r="B1969" s="20">
        <f t="shared" si="60"/>
        <v>2026</v>
      </c>
      <c r="C1969" s="20">
        <f t="shared" si="61"/>
        <v>1</v>
      </c>
      <c r="D1969" t="s">
        <v>6100</v>
      </c>
      <c r="E1969" s="49">
        <v>1</v>
      </c>
      <c r="F1969" t="s">
        <v>6101</v>
      </c>
      <c r="G1969" t="s">
        <v>21</v>
      </c>
      <c r="H1969" t="s">
        <v>37</v>
      </c>
      <c r="I1969" s="13">
        <v>170000</v>
      </c>
      <c r="J1969" s="13">
        <v>165000</v>
      </c>
      <c r="K1969" s="13">
        <f>IF(J1969&lt;'Mapa Oficinas'!$I$21,0,IF(J1969&gt;'Mapa Oficinas'!$I$20,0,1))</f>
        <v>1</v>
      </c>
      <c r="L1969" t="s">
        <v>23</v>
      </c>
      <c r="M1969" t="s">
        <v>23</v>
      </c>
      <c r="N1969" t="s">
        <v>6102</v>
      </c>
      <c r="O1969" t="s">
        <v>390</v>
      </c>
      <c r="P1969" t="s">
        <v>45</v>
      </c>
      <c r="Q1969">
        <v>2</v>
      </c>
      <c r="R1969" t="s">
        <v>5456</v>
      </c>
      <c r="S1969" t="s">
        <v>28</v>
      </c>
      <c r="T1969" t="str">
        <f>VLOOKUP(S1969,'Mapa Oficinas'!$H$7:$I$16,2,FALSE)</f>
        <v>CB</v>
      </c>
      <c r="U1969" t="s">
        <v>29</v>
      </c>
      <c r="V1969" t="str">
        <f>VLOOKUP($R1969,'Mapa Oficinas'!$A$7:$C$46,2,FALSE)</f>
        <v>CABA</v>
      </c>
      <c r="W1969" t="str">
        <f>VLOOKUP($R1969,'Mapa Oficinas'!$A$7:$C$46,3,FALSE)</f>
        <v>Núñez</v>
      </c>
    </row>
    <row r="1970" spans="1:23" x14ac:dyDescent="0.2">
      <c r="A1970" s="1">
        <v>46065</v>
      </c>
      <c r="B1970" s="20">
        <f t="shared" si="60"/>
        <v>2026</v>
      </c>
      <c r="C1970" s="20">
        <f t="shared" si="61"/>
        <v>2</v>
      </c>
      <c r="D1970" t="s">
        <v>6686</v>
      </c>
      <c r="E1970" s="49">
        <v>1</v>
      </c>
      <c r="F1970" t="s">
        <v>6687</v>
      </c>
      <c r="G1970" t="s">
        <v>21</v>
      </c>
      <c r="H1970" t="s">
        <v>76</v>
      </c>
      <c r="I1970" s="13">
        <v>169000</v>
      </c>
      <c r="J1970" s="13">
        <v>165000</v>
      </c>
      <c r="K1970" s="13">
        <f>IF(J1970&lt;'Mapa Oficinas'!$I$21,0,IF(J1970&gt;'Mapa Oficinas'!$I$20,0,1))</f>
        <v>1</v>
      </c>
      <c r="L1970" t="s">
        <v>23</v>
      </c>
      <c r="M1970" t="s">
        <v>23</v>
      </c>
      <c r="N1970" t="s">
        <v>6688</v>
      </c>
      <c r="O1970" t="s">
        <v>6689</v>
      </c>
      <c r="P1970" t="s">
        <v>45</v>
      </c>
      <c r="Q1970">
        <v>2</v>
      </c>
      <c r="R1970" t="s">
        <v>167</v>
      </c>
      <c r="S1970" t="s">
        <v>28</v>
      </c>
      <c r="T1970" t="str">
        <f>VLOOKUP(S1970,'Mapa Oficinas'!$H$7:$I$16,2,FALSE)</f>
        <v>CB</v>
      </c>
      <c r="U1970" t="s">
        <v>29</v>
      </c>
      <c r="V1970" t="str">
        <f>VLOOKUP($R1970,'Mapa Oficinas'!$A$7:$C$46,2,FALSE)</f>
        <v>Interior - Santa Fe</v>
      </c>
      <c r="W1970" t="str">
        <f>VLOOKUP($R1970,'Mapa Oficinas'!$A$7:$C$46,3,FALSE)</f>
        <v>Capital Santa Fe</v>
      </c>
    </row>
    <row r="1971" spans="1:23" x14ac:dyDescent="0.2">
      <c r="A1971" s="1">
        <v>45789</v>
      </c>
      <c r="B1971" s="20">
        <f t="shared" si="60"/>
        <v>2025</v>
      </c>
      <c r="C1971" s="20">
        <f t="shared" si="61"/>
        <v>5</v>
      </c>
      <c r="E1971" s="49">
        <v>0</v>
      </c>
      <c r="F1971" t="s">
        <v>1875</v>
      </c>
      <c r="G1971" t="s">
        <v>21</v>
      </c>
      <c r="H1971" t="s">
        <v>81</v>
      </c>
      <c r="I1971" s="13">
        <v>165519</v>
      </c>
      <c r="J1971" s="13">
        <v>165520</v>
      </c>
      <c r="K1971" s="13">
        <f>IF(J1971&lt;'Mapa Oficinas'!$I$21,0,IF(J1971&gt;'Mapa Oficinas'!$I$20,0,1))</f>
        <v>1</v>
      </c>
      <c r="L1971" t="s">
        <v>23</v>
      </c>
      <c r="M1971" t="s">
        <v>23</v>
      </c>
      <c r="N1971" t="s">
        <v>1874</v>
      </c>
      <c r="O1971" t="s">
        <v>83</v>
      </c>
      <c r="P1971" t="s">
        <v>55</v>
      </c>
      <c r="Q1971">
        <v>2</v>
      </c>
      <c r="R1971" t="s">
        <v>84</v>
      </c>
      <c r="S1971" t="s">
        <v>79</v>
      </c>
      <c r="T1971" t="str">
        <f>VLOOKUP(S1971,'Mapa Oficinas'!$H$7:$I$16,2,FALSE)</f>
        <v>CB</v>
      </c>
      <c r="U1971" t="s">
        <v>29</v>
      </c>
      <c r="V1971" t="str">
        <f>VLOOKUP($R1971,'Mapa Oficinas'!$A$7:$C$46,2,FALSE)</f>
        <v>Interior - Neuquén</v>
      </c>
      <c r="W1971" t="str">
        <f>VLOOKUP($R1971,'Mapa Oficinas'!$A$7:$C$46,3,FALSE)</f>
        <v>Villa La Angostura</v>
      </c>
    </row>
    <row r="1972" spans="1:23" x14ac:dyDescent="0.2">
      <c r="A1972" s="1">
        <v>45981</v>
      </c>
      <c r="B1972" s="20">
        <f t="shared" si="60"/>
        <v>2025</v>
      </c>
      <c r="C1972" s="20">
        <f t="shared" si="61"/>
        <v>11</v>
      </c>
      <c r="D1972" t="s">
        <v>5341</v>
      </c>
      <c r="E1972" s="49">
        <v>1</v>
      </c>
      <c r="F1972" t="s">
        <v>5342</v>
      </c>
      <c r="G1972" t="s">
        <v>21</v>
      </c>
      <c r="H1972" t="s">
        <v>22</v>
      </c>
      <c r="I1972" s="13">
        <v>179000</v>
      </c>
      <c r="J1972" s="13">
        <v>166000</v>
      </c>
      <c r="K1972" s="13">
        <f>IF(J1972&lt;'Mapa Oficinas'!$I$21,0,IF(J1972&gt;'Mapa Oficinas'!$I$20,0,1))</f>
        <v>1</v>
      </c>
      <c r="L1972" t="s">
        <v>23</v>
      </c>
      <c r="M1972" t="s">
        <v>23</v>
      </c>
      <c r="N1972" t="s">
        <v>5343</v>
      </c>
      <c r="O1972" t="s">
        <v>5344</v>
      </c>
      <c r="P1972" t="s">
        <v>34</v>
      </c>
      <c r="Q1972">
        <v>2</v>
      </c>
      <c r="R1972" t="s">
        <v>110</v>
      </c>
      <c r="S1972" t="s">
        <v>200</v>
      </c>
      <c r="T1972" t="str">
        <f>VLOOKUP(S1972,'Mapa Oficinas'!$H$7:$I$16,2,FALSE)</f>
        <v>Otra Red Captación</v>
      </c>
      <c r="U1972" t="s">
        <v>29</v>
      </c>
      <c r="V1972" t="str">
        <f>VLOOKUP($R1972,'Mapa Oficinas'!$A$7:$C$46,2,FALSE)</f>
        <v>Zona Norte (GBA)</v>
      </c>
      <c r="W1972" t="str">
        <f>VLOOKUP($R1972,'Mapa Oficinas'!$A$7:$C$46,3,FALSE)</f>
        <v>Nordelta</v>
      </c>
    </row>
    <row r="1973" spans="1:23" x14ac:dyDescent="0.2">
      <c r="A1973" s="1">
        <v>45791</v>
      </c>
      <c r="B1973" s="20">
        <f t="shared" si="60"/>
        <v>2025</v>
      </c>
      <c r="C1973" s="20">
        <f t="shared" si="61"/>
        <v>5</v>
      </c>
      <c r="E1973" s="49">
        <v>1</v>
      </c>
      <c r="F1973" t="s">
        <v>1944</v>
      </c>
      <c r="G1973" t="s">
        <v>21</v>
      </c>
      <c r="H1973" t="s">
        <v>221</v>
      </c>
      <c r="I1973" s="13">
        <v>167000</v>
      </c>
      <c r="J1973" s="13">
        <v>167000</v>
      </c>
      <c r="K1973" s="13">
        <f>IF(J1973&lt;'Mapa Oficinas'!$I$21,0,IF(J1973&gt;'Mapa Oficinas'!$I$20,0,1))</f>
        <v>1</v>
      </c>
      <c r="L1973" t="s">
        <v>23</v>
      </c>
      <c r="M1973" t="s">
        <v>23</v>
      </c>
      <c r="N1973" t="s">
        <v>1945</v>
      </c>
      <c r="O1973" t="s">
        <v>1859</v>
      </c>
      <c r="P1973" t="s">
        <v>45</v>
      </c>
      <c r="Q1973">
        <v>2</v>
      </c>
      <c r="R1973" t="s">
        <v>84</v>
      </c>
      <c r="S1973" t="s">
        <v>79</v>
      </c>
      <c r="T1973" t="str">
        <f>VLOOKUP(S1973,'Mapa Oficinas'!$H$7:$I$16,2,FALSE)</f>
        <v>CB</v>
      </c>
      <c r="U1973" t="s">
        <v>29</v>
      </c>
      <c r="V1973" t="str">
        <f>VLOOKUP($R1973,'Mapa Oficinas'!$A$7:$C$46,2,FALSE)</f>
        <v>Interior - Neuquén</v>
      </c>
      <c r="W1973" t="str">
        <f>VLOOKUP($R1973,'Mapa Oficinas'!$A$7:$C$46,3,FALSE)</f>
        <v>Villa La Angostura</v>
      </c>
    </row>
    <row r="1974" spans="1:23" x14ac:dyDescent="0.2">
      <c r="A1974" s="1">
        <v>45729</v>
      </c>
      <c r="B1974" s="20">
        <f t="shared" si="60"/>
        <v>2025</v>
      </c>
      <c r="C1974" s="20">
        <f t="shared" si="61"/>
        <v>3</v>
      </c>
      <c r="D1974" t="s">
        <v>940</v>
      </c>
      <c r="E1974" s="49">
        <v>1</v>
      </c>
      <c r="F1974" t="s">
        <v>941</v>
      </c>
      <c r="G1974" t="s">
        <v>21</v>
      </c>
      <c r="H1974" t="s">
        <v>90</v>
      </c>
      <c r="I1974" s="13">
        <v>189000</v>
      </c>
      <c r="J1974" s="13">
        <v>167000</v>
      </c>
      <c r="K1974" s="13">
        <f>IF(J1974&lt;'Mapa Oficinas'!$I$21,0,IF(J1974&gt;'Mapa Oficinas'!$I$20,0,1))</f>
        <v>1</v>
      </c>
      <c r="L1974" t="s">
        <v>23</v>
      </c>
      <c r="M1974" t="s">
        <v>23</v>
      </c>
      <c r="N1974" t="s">
        <v>942</v>
      </c>
      <c r="O1974" t="s">
        <v>943</v>
      </c>
      <c r="P1974" t="s">
        <v>45</v>
      </c>
      <c r="Q1974">
        <v>2</v>
      </c>
      <c r="R1974" t="s">
        <v>62</v>
      </c>
      <c r="S1974" t="s">
        <v>28</v>
      </c>
      <c r="T1974" t="str">
        <f>VLOOKUP(S1974,'Mapa Oficinas'!$H$7:$I$16,2,FALSE)</f>
        <v>CB</v>
      </c>
      <c r="U1974" t="s">
        <v>29</v>
      </c>
      <c r="V1974" t="str">
        <f>VLOOKUP($R1974,'Mapa Oficinas'!$A$7:$C$46,2,FALSE)</f>
        <v>CABA</v>
      </c>
      <c r="W1974" t="str">
        <f>VLOOKUP($R1974,'Mapa Oficinas'!$A$7:$C$46,3,FALSE)</f>
        <v>Villa Urquiza</v>
      </c>
    </row>
    <row r="1975" spans="1:23" x14ac:dyDescent="0.2">
      <c r="A1975" s="1">
        <v>45772</v>
      </c>
      <c r="B1975" s="20">
        <f t="shared" si="60"/>
        <v>2025</v>
      </c>
      <c r="C1975" s="20">
        <f t="shared" si="61"/>
        <v>4</v>
      </c>
      <c r="D1975" t="s">
        <v>1633</v>
      </c>
      <c r="E1975" s="49">
        <v>1</v>
      </c>
      <c r="F1975" t="s">
        <v>1634</v>
      </c>
      <c r="G1975" t="s">
        <v>21</v>
      </c>
      <c r="H1975" t="s">
        <v>37</v>
      </c>
      <c r="I1975" s="13">
        <v>145000</v>
      </c>
      <c r="J1975" s="13">
        <v>167000</v>
      </c>
      <c r="K1975" s="13">
        <f>IF(J1975&lt;'Mapa Oficinas'!$I$21,0,IF(J1975&gt;'Mapa Oficinas'!$I$20,0,1))</f>
        <v>1</v>
      </c>
      <c r="L1975" t="s">
        <v>23</v>
      </c>
      <c r="M1975" t="s">
        <v>23</v>
      </c>
      <c r="N1975" t="s">
        <v>1635</v>
      </c>
      <c r="O1975" t="s">
        <v>141</v>
      </c>
      <c r="P1975" t="s">
        <v>45</v>
      </c>
      <c r="Q1975">
        <v>2</v>
      </c>
      <c r="R1975" t="s">
        <v>56</v>
      </c>
      <c r="S1975" t="s">
        <v>28</v>
      </c>
      <c r="T1975" t="str">
        <f>VLOOKUP(S1975,'Mapa Oficinas'!$H$7:$I$16,2,FALSE)</f>
        <v>CB</v>
      </c>
      <c r="U1975" t="s">
        <v>29</v>
      </c>
      <c r="V1975" t="str">
        <f>VLOOKUP($R1975,'Mapa Oficinas'!$A$7:$C$46,2,FALSE)</f>
        <v>Zona Norte (GBA)</v>
      </c>
      <c r="W1975" t="str">
        <f>VLOOKUP($R1975,'Mapa Oficinas'!$A$7:$C$46,3,FALSE)</f>
        <v>Vicente López</v>
      </c>
    </row>
    <row r="1976" spans="1:23" x14ac:dyDescent="0.2">
      <c r="A1976" s="1">
        <v>45777</v>
      </c>
      <c r="B1976" s="20">
        <f t="shared" si="60"/>
        <v>2025</v>
      </c>
      <c r="C1976" s="20">
        <f t="shared" si="61"/>
        <v>4</v>
      </c>
      <c r="D1976" t="s">
        <v>1753</v>
      </c>
      <c r="E1976" s="49">
        <v>1</v>
      </c>
      <c r="F1976" t="s">
        <v>1753</v>
      </c>
      <c r="G1976" t="s">
        <v>21</v>
      </c>
      <c r="H1976" t="s">
        <v>22</v>
      </c>
      <c r="I1976" s="13">
        <v>167000</v>
      </c>
      <c r="J1976" s="13">
        <v>167000</v>
      </c>
      <c r="K1976" s="13">
        <f>IF(J1976&lt;'Mapa Oficinas'!$I$21,0,IF(J1976&gt;'Mapa Oficinas'!$I$20,0,1))</f>
        <v>1</v>
      </c>
      <c r="L1976" t="s">
        <v>23</v>
      </c>
      <c r="M1976" t="s">
        <v>23</v>
      </c>
      <c r="N1976" t="s">
        <v>1753</v>
      </c>
      <c r="O1976" t="s">
        <v>116</v>
      </c>
      <c r="P1976" t="s">
        <v>34</v>
      </c>
      <c r="Q1976">
        <v>2</v>
      </c>
      <c r="R1976" t="s">
        <v>56</v>
      </c>
      <c r="S1976" t="s">
        <v>28</v>
      </c>
      <c r="T1976" t="str">
        <f>VLOOKUP(S1976,'Mapa Oficinas'!$H$7:$I$16,2,FALSE)</f>
        <v>CB</v>
      </c>
      <c r="U1976" t="s">
        <v>29</v>
      </c>
      <c r="V1976" t="str">
        <f>VLOOKUP($R1976,'Mapa Oficinas'!$A$7:$C$46,2,FALSE)</f>
        <v>Zona Norte (GBA)</v>
      </c>
      <c r="W1976" t="str">
        <f>VLOOKUP($R1976,'Mapa Oficinas'!$A$7:$C$46,3,FALSE)</f>
        <v>Vicente López</v>
      </c>
    </row>
    <row r="1977" spans="1:23" x14ac:dyDescent="0.2">
      <c r="A1977" s="1">
        <v>45821</v>
      </c>
      <c r="B1977" s="20">
        <f t="shared" si="60"/>
        <v>2025</v>
      </c>
      <c r="C1977" s="20">
        <f t="shared" si="61"/>
        <v>6</v>
      </c>
      <c r="D1977" t="s">
        <v>2501</v>
      </c>
      <c r="E1977" s="49">
        <v>1</v>
      </c>
      <c r="F1977" t="s">
        <v>2502</v>
      </c>
      <c r="G1977" t="s">
        <v>21</v>
      </c>
      <c r="H1977" t="s">
        <v>37</v>
      </c>
      <c r="I1977" s="13">
        <v>157000</v>
      </c>
      <c r="J1977" s="13">
        <v>167000</v>
      </c>
      <c r="K1977" s="13">
        <f>IF(J1977&lt;'Mapa Oficinas'!$I$21,0,IF(J1977&gt;'Mapa Oficinas'!$I$20,0,1))</f>
        <v>1</v>
      </c>
      <c r="L1977" t="s">
        <v>23</v>
      </c>
      <c r="M1977" t="s">
        <v>23</v>
      </c>
      <c r="N1977" t="s">
        <v>2503</v>
      </c>
      <c r="O1977" t="s">
        <v>2504</v>
      </c>
      <c r="P1977" t="s">
        <v>34</v>
      </c>
      <c r="Q1977">
        <v>2</v>
      </c>
      <c r="R1977" t="s">
        <v>495</v>
      </c>
      <c r="S1977" t="s">
        <v>28</v>
      </c>
      <c r="T1977" t="str">
        <f>VLOOKUP(S1977,'Mapa Oficinas'!$H$7:$I$16,2,FALSE)</f>
        <v>CB</v>
      </c>
      <c r="U1977" t="s">
        <v>29</v>
      </c>
      <c r="V1977" t="str">
        <f>VLOOKUP($R1977,'Mapa Oficinas'!$A$7:$C$46,2,FALSE)</f>
        <v>Zona Norte (GBA)</v>
      </c>
      <c r="W1977" t="str">
        <f>VLOOKUP($R1977,'Mapa Oficinas'!$A$7:$C$46,3,FALSE)</f>
        <v>Escobar</v>
      </c>
    </row>
    <row r="1978" spans="1:23" x14ac:dyDescent="0.2">
      <c r="A1978" s="1">
        <v>45840</v>
      </c>
      <c r="B1978" s="20">
        <f t="shared" si="60"/>
        <v>2025</v>
      </c>
      <c r="C1978" s="20">
        <f t="shared" si="61"/>
        <v>7</v>
      </c>
      <c r="D1978" t="s">
        <v>2831</v>
      </c>
      <c r="E1978" s="49">
        <v>1</v>
      </c>
      <c r="F1978" t="s">
        <v>2832</v>
      </c>
      <c r="G1978" t="s">
        <v>21</v>
      </c>
      <c r="H1978" t="s">
        <v>37</v>
      </c>
      <c r="I1978" s="13">
        <v>170000</v>
      </c>
      <c r="J1978" s="13">
        <v>167000</v>
      </c>
      <c r="K1978" s="13">
        <f>IF(J1978&lt;'Mapa Oficinas'!$I$21,0,IF(J1978&gt;'Mapa Oficinas'!$I$20,0,1))</f>
        <v>1</v>
      </c>
      <c r="L1978" t="s">
        <v>23</v>
      </c>
      <c r="M1978" t="s">
        <v>23</v>
      </c>
      <c r="N1978" t="s">
        <v>2833</v>
      </c>
      <c r="O1978" t="s">
        <v>2834</v>
      </c>
      <c r="P1978" t="s">
        <v>45</v>
      </c>
      <c r="Q1978">
        <v>2</v>
      </c>
      <c r="R1978" t="s">
        <v>56</v>
      </c>
      <c r="S1978" t="s">
        <v>28</v>
      </c>
      <c r="T1978" t="str">
        <f>VLOOKUP(S1978,'Mapa Oficinas'!$H$7:$I$16,2,FALSE)</f>
        <v>CB</v>
      </c>
      <c r="U1978" t="s">
        <v>29</v>
      </c>
      <c r="V1978" t="str">
        <f>VLOOKUP($R1978,'Mapa Oficinas'!$A$7:$C$46,2,FALSE)</f>
        <v>Zona Norte (GBA)</v>
      </c>
      <c r="W1978" t="str">
        <f>VLOOKUP($R1978,'Mapa Oficinas'!$A$7:$C$46,3,FALSE)</f>
        <v>Vicente López</v>
      </c>
    </row>
    <row r="1979" spans="1:23" x14ac:dyDescent="0.2">
      <c r="A1979" s="1">
        <v>45951</v>
      </c>
      <c r="B1979" s="20">
        <f t="shared" si="60"/>
        <v>2025</v>
      </c>
      <c r="C1979" s="20">
        <f t="shared" si="61"/>
        <v>10</v>
      </c>
      <c r="D1979" t="s">
        <v>4819</v>
      </c>
      <c r="E1979" s="49">
        <v>1</v>
      </c>
      <c r="F1979" t="s">
        <v>4820</v>
      </c>
      <c r="G1979" t="s">
        <v>21</v>
      </c>
      <c r="H1979" t="s">
        <v>37</v>
      </c>
      <c r="I1979" s="13">
        <v>185000</v>
      </c>
      <c r="J1979" s="13">
        <v>167000</v>
      </c>
      <c r="K1979" s="13">
        <f>IF(J1979&lt;'Mapa Oficinas'!$I$21,0,IF(J1979&gt;'Mapa Oficinas'!$I$20,0,1))</f>
        <v>1</v>
      </c>
      <c r="L1979" t="s">
        <v>23</v>
      </c>
      <c r="M1979" t="s">
        <v>23</v>
      </c>
      <c r="N1979" t="s">
        <v>4821</v>
      </c>
      <c r="O1979" t="s">
        <v>943</v>
      </c>
      <c r="P1979" t="s">
        <v>26</v>
      </c>
      <c r="Q1979">
        <v>2</v>
      </c>
      <c r="R1979" t="s">
        <v>40</v>
      </c>
      <c r="S1979" t="s">
        <v>28</v>
      </c>
      <c r="T1979" t="str">
        <f>VLOOKUP(S1979,'Mapa Oficinas'!$H$7:$I$16,2,FALSE)</f>
        <v>CB</v>
      </c>
      <c r="U1979" t="s">
        <v>29</v>
      </c>
      <c r="V1979" t="str">
        <f>VLOOKUP($R1979,'Mapa Oficinas'!$A$7:$C$46,2,FALSE)</f>
        <v>CABA</v>
      </c>
      <c r="W1979" t="str">
        <f>VLOOKUP($R1979,'Mapa Oficinas'!$A$7:$C$46,3,FALSE)</f>
        <v>Núñez</v>
      </c>
    </row>
    <row r="1980" spans="1:23" x14ac:dyDescent="0.2">
      <c r="A1980" s="1">
        <v>46099</v>
      </c>
      <c r="B1980" s="20">
        <f t="shared" si="60"/>
        <v>2026</v>
      </c>
      <c r="C1980" s="20">
        <f t="shared" si="61"/>
        <v>3</v>
      </c>
      <c r="D1980" t="s">
        <v>7278</v>
      </c>
      <c r="E1980" s="49">
        <v>1</v>
      </c>
      <c r="F1980" t="s">
        <v>7279</v>
      </c>
      <c r="G1980" t="s">
        <v>21</v>
      </c>
      <c r="H1980" t="s">
        <v>37</v>
      </c>
      <c r="I1980" s="13">
        <v>169900</v>
      </c>
      <c r="J1980" s="13">
        <v>167000</v>
      </c>
      <c r="K1980" s="13">
        <f>IF(J1980&lt;'Mapa Oficinas'!$I$21,0,IF(J1980&gt;'Mapa Oficinas'!$I$20,0,1))</f>
        <v>1</v>
      </c>
      <c r="L1980" t="s">
        <v>23</v>
      </c>
      <c r="M1980" t="s">
        <v>23</v>
      </c>
      <c r="N1980" t="s">
        <v>4969</v>
      </c>
      <c r="O1980" t="s">
        <v>976</v>
      </c>
      <c r="P1980" t="s">
        <v>45</v>
      </c>
      <c r="Q1980">
        <v>2</v>
      </c>
      <c r="R1980" t="s">
        <v>46</v>
      </c>
      <c r="S1980" t="s">
        <v>28</v>
      </c>
      <c r="T1980" t="str">
        <f>VLOOKUP(S1980,'Mapa Oficinas'!$H$7:$I$16,2,FALSE)</f>
        <v>CB</v>
      </c>
      <c r="U1980" t="s">
        <v>29</v>
      </c>
      <c r="V1980" t="str">
        <f>VLOOKUP($R1980,'Mapa Oficinas'!$A$7:$C$46,2,FALSE)</f>
        <v>CABA</v>
      </c>
      <c r="W1980" t="str">
        <f>VLOOKUP($R1980,'Mapa Oficinas'!$A$7:$C$46,3,FALSE)</f>
        <v>Palermo</v>
      </c>
    </row>
    <row r="1981" spans="1:23" x14ac:dyDescent="0.2">
      <c r="A1981" s="1">
        <v>45821</v>
      </c>
      <c r="B1981" s="20">
        <f t="shared" si="60"/>
        <v>2025</v>
      </c>
      <c r="C1981" s="20">
        <f t="shared" si="61"/>
        <v>6</v>
      </c>
      <c r="D1981" t="s">
        <v>2505</v>
      </c>
      <c r="E1981" s="49">
        <v>1</v>
      </c>
      <c r="F1981" t="s">
        <v>2506</v>
      </c>
      <c r="G1981" t="s">
        <v>21</v>
      </c>
      <c r="H1981" t="s">
        <v>100</v>
      </c>
      <c r="I1981" s="13">
        <v>179000</v>
      </c>
      <c r="J1981" s="13">
        <v>168000</v>
      </c>
      <c r="K1981" s="13">
        <f>IF(J1981&lt;'Mapa Oficinas'!$I$21,0,IF(J1981&gt;'Mapa Oficinas'!$I$20,0,1))</f>
        <v>1</v>
      </c>
      <c r="L1981" t="s">
        <v>23</v>
      </c>
      <c r="M1981" t="s">
        <v>23</v>
      </c>
      <c r="N1981" t="s">
        <v>2507</v>
      </c>
      <c r="O1981" t="s">
        <v>1688</v>
      </c>
      <c r="P1981" t="s">
        <v>45</v>
      </c>
      <c r="Q1981">
        <v>1</v>
      </c>
      <c r="R1981" t="s">
        <v>121</v>
      </c>
      <c r="S1981" t="s">
        <v>122</v>
      </c>
      <c r="T1981" t="str">
        <f>VLOOKUP(S1981,'Mapa Oficinas'!$H$7:$I$16,2,FALSE)</f>
        <v>Otra Red Búsqueda</v>
      </c>
      <c r="U1981" t="s">
        <v>29</v>
      </c>
      <c r="V1981" t="str">
        <f>VLOOKUP($R1981,'Mapa Oficinas'!$A$7:$C$46,2,FALSE)</f>
        <v>Interior - Río Negro</v>
      </c>
      <c r="W1981" t="str">
        <f>VLOOKUP($R1981,'Mapa Oficinas'!$A$7:$C$46,3,FALSE)</f>
        <v>Bariloche</v>
      </c>
    </row>
    <row r="1982" spans="1:23" x14ac:dyDescent="0.2">
      <c r="A1982" s="1">
        <v>45852</v>
      </c>
      <c r="B1982" s="20">
        <f t="shared" si="60"/>
        <v>2025</v>
      </c>
      <c r="C1982" s="20">
        <f t="shared" si="61"/>
        <v>7</v>
      </c>
      <c r="D1982" t="s">
        <v>3012</v>
      </c>
      <c r="E1982" s="49">
        <v>1</v>
      </c>
      <c r="F1982" t="s">
        <v>3013</v>
      </c>
      <c r="G1982" t="s">
        <v>21</v>
      </c>
      <c r="H1982" t="s">
        <v>37</v>
      </c>
      <c r="I1982" s="13">
        <v>168000</v>
      </c>
      <c r="J1982" s="13">
        <v>168000</v>
      </c>
      <c r="K1982" s="13">
        <f>IF(J1982&lt;'Mapa Oficinas'!$I$21,0,IF(J1982&gt;'Mapa Oficinas'!$I$20,0,1))</f>
        <v>1</v>
      </c>
      <c r="L1982" t="s">
        <v>23</v>
      </c>
      <c r="M1982" t="s">
        <v>23</v>
      </c>
      <c r="O1982" t="s">
        <v>39</v>
      </c>
      <c r="P1982" t="s">
        <v>34</v>
      </c>
      <c r="Q1982">
        <v>1</v>
      </c>
      <c r="R1982" t="s">
        <v>495</v>
      </c>
      <c r="S1982" t="s">
        <v>122</v>
      </c>
      <c r="T1982" t="str">
        <f>VLOOKUP(S1982,'Mapa Oficinas'!$H$7:$I$16,2,FALSE)</f>
        <v>Otra Red Búsqueda</v>
      </c>
      <c r="U1982" t="s">
        <v>29</v>
      </c>
      <c r="V1982" t="str">
        <f>VLOOKUP($R1982,'Mapa Oficinas'!$A$7:$C$46,2,FALSE)</f>
        <v>Zona Norte (GBA)</v>
      </c>
      <c r="W1982" t="str">
        <f>VLOOKUP($R1982,'Mapa Oficinas'!$A$7:$C$46,3,FALSE)</f>
        <v>Escobar</v>
      </c>
    </row>
    <row r="1983" spans="1:23" x14ac:dyDescent="0.2">
      <c r="A1983" s="1">
        <v>45747</v>
      </c>
      <c r="B1983" s="20">
        <f t="shared" si="60"/>
        <v>2025</v>
      </c>
      <c r="C1983" s="20">
        <f t="shared" si="61"/>
        <v>3</v>
      </c>
      <c r="D1983" t="s">
        <v>168</v>
      </c>
      <c r="E1983" s="49">
        <v>1</v>
      </c>
      <c r="F1983" t="s">
        <v>1211</v>
      </c>
      <c r="G1983" t="s">
        <v>21</v>
      </c>
      <c r="H1983" t="s">
        <v>37</v>
      </c>
      <c r="I1983" s="13">
        <v>168000</v>
      </c>
      <c r="J1983" s="13">
        <v>168000</v>
      </c>
      <c r="K1983" s="13">
        <f>IF(J1983&lt;'Mapa Oficinas'!$I$21,0,IF(J1983&gt;'Mapa Oficinas'!$I$20,0,1))</f>
        <v>1</v>
      </c>
      <c r="L1983" t="s">
        <v>23</v>
      </c>
      <c r="M1983" t="s">
        <v>23</v>
      </c>
      <c r="N1983" t="s">
        <v>1212</v>
      </c>
      <c r="O1983" t="s">
        <v>190</v>
      </c>
      <c r="P1983" t="s">
        <v>45</v>
      </c>
      <c r="Q1983">
        <v>1</v>
      </c>
      <c r="R1983" t="s">
        <v>170</v>
      </c>
      <c r="S1983" t="s">
        <v>47</v>
      </c>
      <c r="T1983" t="str">
        <f>VLOOKUP(S1983,'Mapa Oficinas'!$H$7:$I$16,2,FALSE)</f>
        <v>Otra Red Búsqueda</v>
      </c>
      <c r="U1983" t="s">
        <v>29</v>
      </c>
      <c r="V1983" t="str">
        <f>VLOOKUP($R1983,'Mapa Oficinas'!$A$7:$C$46,2,FALSE)</f>
        <v>CABA</v>
      </c>
      <c r="W1983" t="str">
        <f>VLOOKUP($R1983,'Mapa Oficinas'!$A$7:$C$46,3,FALSE)</f>
        <v>Belgrano</v>
      </c>
    </row>
    <row r="1984" spans="1:23" x14ac:dyDescent="0.2">
      <c r="A1984" s="1">
        <v>46098</v>
      </c>
      <c r="B1984" s="20">
        <f t="shared" si="60"/>
        <v>2026</v>
      </c>
      <c r="C1984" s="20">
        <f t="shared" si="61"/>
        <v>3</v>
      </c>
      <c r="D1984" t="s">
        <v>7250</v>
      </c>
      <c r="E1984" s="49">
        <v>1</v>
      </c>
      <c r="F1984" t="s">
        <v>7251</v>
      </c>
      <c r="G1984" t="s">
        <v>21</v>
      </c>
      <c r="H1984" t="s">
        <v>37</v>
      </c>
      <c r="I1984" s="13">
        <v>168000</v>
      </c>
      <c r="J1984" s="13">
        <v>168000</v>
      </c>
      <c r="K1984" s="13">
        <f>IF(J1984&lt;'Mapa Oficinas'!$I$21,0,IF(J1984&gt;'Mapa Oficinas'!$I$20,0,1))</f>
        <v>1</v>
      </c>
      <c r="L1984" t="s">
        <v>23</v>
      </c>
      <c r="M1984" t="s">
        <v>23</v>
      </c>
      <c r="N1984" t="s">
        <v>7252</v>
      </c>
      <c r="O1984" t="s">
        <v>456</v>
      </c>
      <c r="P1984" t="s">
        <v>45</v>
      </c>
      <c r="Q1984">
        <v>2</v>
      </c>
      <c r="R1984" t="s">
        <v>135</v>
      </c>
      <c r="S1984" t="s">
        <v>200</v>
      </c>
      <c r="T1984" t="str">
        <f>VLOOKUP(S1984,'Mapa Oficinas'!$H$7:$I$16,2,FALSE)</f>
        <v>Otra Red Captación</v>
      </c>
      <c r="U1984" t="s">
        <v>29</v>
      </c>
      <c r="V1984" t="str">
        <f>VLOOKUP($R1984,'Mapa Oficinas'!$A$7:$C$46,2,FALSE)</f>
        <v>CABA</v>
      </c>
      <c r="W1984" t="str">
        <f>VLOOKUP($R1984,'Mapa Oficinas'!$A$7:$C$46,3,FALSE)</f>
        <v>Recoleta</v>
      </c>
    </row>
    <row r="1985" spans="1:23" x14ac:dyDescent="0.2">
      <c r="A1985" s="1">
        <v>45813</v>
      </c>
      <c r="B1985" s="20">
        <f t="shared" si="60"/>
        <v>2025</v>
      </c>
      <c r="C1985" s="20">
        <f t="shared" si="61"/>
        <v>6</v>
      </c>
      <c r="D1985" t="s">
        <v>2312</v>
      </c>
      <c r="E1985" s="49">
        <v>1</v>
      </c>
      <c r="F1985" t="s">
        <v>2313</v>
      </c>
      <c r="G1985" t="s">
        <v>21</v>
      </c>
      <c r="H1985" t="s">
        <v>76</v>
      </c>
      <c r="I1985" s="13">
        <v>170000</v>
      </c>
      <c r="J1985" s="13">
        <v>168000</v>
      </c>
      <c r="K1985" s="13">
        <f>IF(J1985&lt;'Mapa Oficinas'!$I$21,0,IF(J1985&gt;'Mapa Oficinas'!$I$20,0,1))</f>
        <v>1</v>
      </c>
      <c r="L1985" t="s">
        <v>23</v>
      </c>
      <c r="M1985" t="s">
        <v>23</v>
      </c>
      <c r="N1985" t="s">
        <v>2314</v>
      </c>
      <c r="O1985" t="s">
        <v>2315</v>
      </c>
      <c r="P1985" t="s">
        <v>45</v>
      </c>
      <c r="Q1985">
        <v>2</v>
      </c>
      <c r="R1985" t="s">
        <v>257</v>
      </c>
      <c r="S1985" t="s">
        <v>241</v>
      </c>
      <c r="T1985" t="str">
        <f>VLOOKUP(S1985,'Mapa Oficinas'!$H$7:$I$16,2,FALSE)</f>
        <v>CB</v>
      </c>
      <c r="U1985" t="s">
        <v>29</v>
      </c>
      <c r="V1985" t="str">
        <f>VLOOKUP($R1985,'Mapa Oficinas'!$A$7:$C$46,2,FALSE)</f>
        <v>Zona Norte (GBA)</v>
      </c>
      <c r="W1985" t="str">
        <f>VLOOKUP($R1985,'Mapa Oficinas'!$A$7:$C$46,3,FALSE)</f>
        <v>Pilar</v>
      </c>
    </row>
    <row r="1986" spans="1:23" x14ac:dyDescent="0.2">
      <c r="A1986" s="1">
        <v>45708</v>
      </c>
      <c r="B1986" s="20">
        <f t="shared" ref="B1986:B2049" si="62">YEAR($A1986)</f>
        <v>2025</v>
      </c>
      <c r="C1986" s="20">
        <f t="shared" ref="C1986:C2049" si="63">MONTH($A1986)</f>
        <v>2</v>
      </c>
      <c r="D1986">
        <v>10304</v>
      </c>
      <c r="E1986" s="49">
        <v>3</v>
      </c>
      <c r="F1986" t="s">
        <v>704</v>
      </c>
      <c r="G1986" t="s">
        <v>21</v>
      </c>
      <c r="H1986" t="s">
        <v>37</v>
      </c>
      <c r="I1986" s="13">
        <v>0</v>
      </c>
      <c r="J1986" s="13">
        <v>168000</v>
      </c>
      <c r="K1986" s="13">
        <f>IF(J1986&lt;'Mapa Oficinas'!$I$21,0,IF(J1986&gt;'Mapa Oficinas'!$I$20,0,1))</f>
        <v>1</v>
      </c>
      <c r="L1986" t="s">
        <v>23</v>
      </c>
      <c r="M1986" t="s">
        <v>23</v>
      </c>
      <c r="O1986" t="s">
        <v>114</v>
      </c>
      <c r="P1986" t="s">
        <v>45</v>
      </c>
      <c r="Q1986">
        <v>2</v>
      </c>
      <c r="R1986" t="s">
        <v>67</v>
      </c>
      <c r="S1986" t="s">
        <v>232</v>
      </c>
      <c r="T1986" t="str">
        <f>VLOOKUP(S1986,'Mapa Oficinas'!$H$7:$I$16,2,FALSE)</f>
        <v>CB</v>
      </c>
      <c r="U1986" t="s">
        <v>29</v>
      </c>
      <c r="V1986" t="str">
        <f>VLOOKUP($R1986,'Mapa Oficinas'!$A$7:$C$46,2,FALSE)</f>
        <v>CABA</v>
      </c>
      <c r="W1986" t="str">
        <f>VLOOKUP($R1986,'Mapa Oficinas'!$A$7:$C$46,3,FALSE)</f>
        <v>Barrio Parque</v>
      </c>
    </row>
    <row r="1987" spans="1:23" x14ac:dyDescent="0.2">
      <c r="A1987" s="1">
        <v>46057</v>
      </c>
      <c r="B1987" s="20">
        <f t="shared" si="62"/>
        <v>2026</v>
      </c>
      <c r="C1987" s="20">
        <f t="shared" si="63"/>
        <v>2</v>
      </c>
      <c r="D1987" t="s">
        <v>6527</v>
      </c>
      <c r="E1987" s="49">
        <v>1</v>
      </c>
      <c r="F1987" t="s">
        <v>6528</v>
      </c>
      <c r="G1987" t="s">
        <v>21</v>
      </c>
      <c r="H1987" t="s">
        <v>37</v>
      </c>
      <c r="I1987" s="13">
        <v>180000</v>
      </c>
      <c r="J1987" s="13">
        <v>168000</v>
      </c>
      <c r="K1987" s="13">
        <f>IF(J1987&lt;'Mapa Oficinas'!$I$21,0,IF(J1987&gt;'Mapa Oficinas'!$I$20,0,1))</f>
        <v>1</v>
      </c>
      <c r="L1987" t="s">
        <v>23</v>
      </c>
      <c r="M1987" t="s">
        <v>23</v>
      </c>
      <c r="N1987" t="s">
        <v>6529</v>
      </c>
      <c r="O1987" t="s">
        <v>190</v>
      </c>
      <c r="P1987" t="s">
        <v>45</v>
      </c>
      <c r="Q1987">
        <v>2</v>
      </c>
      <c r="R1987" t="s">
        <v>67</v>
      </c>
      <c r="S1987" t="s">
        <v>28</v>
      </c>
      <c r="T1987" t="str">
        <f>VLOOKUP(S1987,'Mapa Oficinas'!$H$7:$I$16,2,FALSE)</f>
        <v>CB</v>
      </c>
      <c r="U1987" t="s">
        <v>29</v>
      </c>
      <c r="V1987" t="str">
        <f>VLOOKUP($R1987,'Mapa Oficinas'!$A$7:$C$46,2,FALSE)</f>
        <v>CABA</v>
      </c>
      <c r="W1987" t="str">
        <f>VLOOKUP($R1987,'Mapa Oficinas'!$A$7:$C$46,3,FALSE)</f>
        <v>Barrio Parque</v>
      </c>
    </row>
    <row r="1988" spans="1:23" x14ac:dyDescent="0.2">
      <c r="A1988" s="1">
        <v>45996</v>
      </c>
      <c r="B1988" s="20">
        <f t="shared" si="62"/>
        <v>2025</v>
      </c>
      <c r="C1988" s="20">
        <f t="shared" si="63"/>
        <v>12</v>
      </c>
      <c r="D1988" t="s">
        <v>5654</v>
      </c>
      <c r="E1988" s="49">
        <v>1</v>
      </c>
      <c r="F1988" t="s">
        <v>5655</v>
      </c>
      <c r="G1988" t="s">
        <v>21</v>
      </c>
      <c r="H1988" t="s">
        <v>37</v>
      </c>
      <c r="I1988" s="13">
        <v>169000</v>
      </c>
      <c r="J1988" s="13">
        <v>168802</v>
      </c>
      <c r="K1988" s="13">
        <f>IF(J1988&lt;'Mapa Oficinas'!$I$21,0,IF(J1988&gt;'Mapa Oficinas'!$I$20,0,1))</f>
        <v>1</v>
      </c>
      <c r="L1988" t="s">
        <v>23</v>
      </c>
      <c r="M1988" t="s">
        <v>23</v>
      </c>
      <c r="N1988" t="s">
        <v>5656</v>
      </c>
      <c r="O1988" t="s">
        <v>105</v>
      </c>
      <c r="P1988" t="s">
        <v>45</v>
      </c>
      <c r="Q1988">
        <v>2</v>
      </c>
      <c r="R1988" t="s">
        <v>62</v>
      </c>
      <c r="S1988" t="s">
        <v>79</v>
      </c>
      <c r="T1988" t="str">
        <f>VLOOKUP(S1988,'Mapa Oficinas'!$H$7:$I$16,2,FALSE)</f>
        <v>CB</v>
      </c>
      <c r="U1988" t="s">
        <v>29</v>
      </c>
      <c r="V1988" t="str">
        <f>VLOOKUP($R1988,'Mapa Oficinas'!$A$7:$C$46,2,FALSE)</f>
        <v>CABA</v>
      </c>
      <c r="W1988" t="str">
        <f>VLOOKUP($R1988,'Mapa Oficinas'!$A$7:$C$46,3,FALSE)</f>
        <v>Villa Urquiza</v>
      </c>
    </row>
    <row r="1989" spans="1:23" x14ac:dyDescent="0.2">
      <c r="A1989" s="1">
        <v>45922</v>
      </c>
      <c r="B1989" s="20">
        <f t="shared" si="62"/>
        <v>2025</v>
      </c>
      <c r="C1989" s="20">
        <f t="shared" si="63"/>
        <v>9</v>
      </c>
      <c r="D1989" t="s">
        <v>4267</v>
      </c>
      <c r="E1989" s="49">
        <v>1</v>
      </c>
      <c r="F1989" t="s">
        <v>4268</v>
      </c>
      <c r="G1989" t="s">
        <v>21</v>
      </c>
      <c r="H1989" t="s">
        <v>22</v>
      </c>
      <c r="I1989" s="13">
        <v>175000</v>
      </c>
      <c r="J1989" s="13">
        <v>169000</v>
      </c>
      <c r="K1989" s="13">
        <f>IF(J1989&lt;'Mapa Oficinas'!$I$21,0,IF(J1989&gt;'Mapa Oficinas'!$I$20,0,1))</f>
        <v>1</v>
      </c>
      <c r="L1989" t="s">
        <v>23</v>
      </c>
      <c r="M1989" t="s">
        <v>23</v>
      </c>
      <c r="N1989" t="s">
        <v>4269</v>
      </c>
      <c r="O1989" t="s">
        <v>1105</v>
      </c>
      <c r="P1989" t="s">
        <v>45</v>
      </c>
      <c r="Q1989">
        <v>2</v>
      </c>
      <c r="R1989" t="s">
        <v>62</v>
      </c>
      <c r="S1989" t="s">
        <v>79</v>
      </c>
      <c r="T1989" t="str">
        <f>VLOOKUP(S1989,'Mapa Oficinas'!$H$7:$I$16,2,FALSE)</f>
        <v>CB</v>
      </c>
      <c r="U1989" t="s">
        <v>29</v>
      </c>
      <c r="V1989" t="str">
        <f>VLOOKUP($R1989,'Mapa Oficinas'!$A$7:$C$46,2,FALSE)</f>
        <v>CABA</v>
      </c>
      <c r="W1989" t="str">
        <f>VLOOKUP($R1989,'Mapa Oficinas'!$A$7:$C$46,3,FALSE)</f>
        <v>Villa Urquiza</v>
      </c>
    </row>
    <row r="1990" spans="1:23" x14ac:dyDescent="0.2">
      <c r="A1990" s="1">
        <v>45863</v>
      </c>
      <c r="B1990" s="20">
        <f t="shared" si="62"/>
        <v>2025</v>
      </c>
      <c r="C1990" s="20">
        <f t="shared" si="63"/>
        <v>7</v>
      </c>
      <c r="D1990">
        <v>10381</v>
      </c>
      <c r="E1990" s="49">
        <v>1</v>
      </c>
      <c r="F1990" t="s">
        <v>3232</v>
      </c>
      <c r="G1990" t="s">
        <v>21</v>
      </c>
      <c r="H1990" t="s">
        <v>37</v>
      </c>
      <c r="I1990" s="13">
        <v>0</v>
      </c>
      <c r="J1990" s="13">
        <v>169000</v>
      </c>
      <c r="K1990" s="13">
        <f>IF(J1990&lt;'Mapa Oficinas'!$I$21,0,IF(J1990&gt;'Mapa Oficinas'!$I$20,0,1))</f>
        <v>1</v>
      </c>
      <c r="L1990" t="s">
        <v>23</v>
      </c>
      <c r="M1990" t="s">
        <v>23</v>
      </c>
      <c r="O1990" t="s">
        <v>190</v>
      </c>
      <c r="P1990" t="s">
        <v>45</v>
      </c>
      <c r="Q1990">
        <v>1</v>
      </c>
      <c r="R1990" t="s">
        <v>67</v>
      </c>
      <c r="S1990" t="s">
        <v>47</v>
      </c>
      <c r="T1990" t="str">
        <f>VLOOKUP(S1990,'Mapa Oficinas'!$H$7:$I$16,2,FALSE)</f>
        <v>Otra Red Búsqueda</v>
      </c>
      <c r="U1990" t="s">
        <v>29</v>
      </c>
      <c r="V1990" t="str">
        <f>VLOOKUP($R1990,'Mapa Oficinas'!$A$7:$C$46,2,FALSE)</f>
        <v>CABA</v>
      </c>
      <c r="W1990" t="str">
        <f>VLOOKUP($R1990,'Mapa Oficinas'!$A$7:$C$46,3,FALSE)</f>
        <v>Barrio Parque</v>
      </c>
    </row>
    <row r="1991" spans="1:23" x14ac:dyDescent="0.2">
      <c r="A1991" s="1">
        <v>45911</v>
      </c>
      <c r="B1991" s="20">
        <f t="shared" si="62"/>
        <v>2025</v>
      </c>
      <c r="C1991" s="20">
        <f t="shared" si="63"/>
        <v>9</v>
      </c>
      <c r="D1991" t="s">
        <v>4089</v>
      </c>
      <c r="E1991" s="49">
        <v>1</v>
      </c>
      <c r="F1991" t="s">
        <v>4090</v>
      </c>
      <c r="G1991" t="s">
        <v>21</v>
      </c>
      <c r="H1991" t="s">
        <v>37</v>
      </c>
      <c r="I1991" s="13">
        <v>170000</v>
      </c>
      <c r="J1991" s="13">
        <v>169000</v>
      </c>
      <c r="K1991" s="13">
        <f>IF(J1991&lt;'Mapa Oficinas'!$I$21,0,IF(J1991&gt;'Mapa Oficinas'!$I$20,0,1))</f>
        <v>1</v>
      </c>
      <c r="L1991" t="s">
        <v>23</v>
      </c>
      <c r="M1991" t="s">
        <v>23</v>
      </c>
      <c r="N1991" t="s">
        <v>4091</v>
      </c>
      <c r="O1991" t="s">
        <v>4092</v>
      </c>
      <c r="P1991" t="s">
        <v>45</v>
      </c>
      <c r="Q1991">
        <v>2</v>
      </c>
      <c r="R1991" t="s">
        <v>135</v>
      </c>
      <c r="S1991" t="s">
        <v>200</v>
      </c>
      <c r="T1991" t="str">
        <f>VLOOKUP(S1991,'Mapa Oficinas'!$H$7:$I$16,2,FALSE)</f>
        <v>Otra Red Captación</v>
      </c>
      <c r="U1991" t="s">
        <v>29</v>
      </c>
      <c r="V1991" t="str">
        <f>VLOOKUP($R1991,'Mapa Oficinas'!$A$7:$C$46,2,FALSE)</f>
        <v>CABA</v>
      </c>
      <c r="W1991" t="str">
        <f>VLOOKUP($R1991,'Mapa Oficinas'!$A$7:$C$46,3,FALSE)</f>
        <v>Recoleta</v>
      </c>
    </row>
    <row r="1992" spans="1:23" x14ac:dyDescent="0.2">
      <c r="A1992" s="1">
        <v>45758</v>
      </c>
      <c r="B1992" s="20">
        <f t="shared" si="62"/>
        <v>2025</v>
      </c>
      <c r="C1992" s="20">
        <f t="shared" si="63"/>
        <v>4</v>
      </c>
      <c r="D1992">
        <v>10340</v>
      </c>
      <c r="E1992" s="49">
        <v>1</v>
      </c>
      <c r="F1992" t="s">
        <v>1396</v>
      </c>
      <c r="G1992" t="s">
        <v>21</v>
      </c>
      <c r="H1992" t="s">
        <v>81</v>
      </c>
      <c r="I1992" s="13">
        <v>169000</v>
      </c>
      <c r="J1992" s="13">
        <v>169000</v>
      </c>
      <c r="K1992" s="13">
        <f>IF(J1992&lt;'Mapa Oficinas'!$I$21,0,IF(J1992&gt;'Mapa Oficinas'!$I$20,0,1))</f>
        <v>1</v>
      </c>
      <c r="L1992" t="s">
        <v>23</v>
      </c>
      <c r="M1992" t="s">
        <v>23</v>
      </c>
      <c r="O1992" t="s">
        <v>837</v>
      </c>
      <c r="P1992" t="s">
        <v>34</v>
      </c>
      <c r="Q1992">
        <v>2</v>
      </c>
      <c r="R1992" t="s">
        <v>67</v>
      </c>
      <c r="S1992" t="s">
        <v>28</v>
      </c>
      <c r="T1992" t="str">
        <f>VLOOKUP(S1992,'Mapa Oficinas'!$H$7:$I$16,2,FALSE)</f>
        <v>CB</v>
      </c>
      <c r="U1992" t="s">
        <v>29</v>
      </c>
      <c r="V1992" t="str">
        <f>VLOOKUP($R1992,'Mapa Oficinas'!$A$7:$C$46,2,FALSE)</f>
        <v>CABA</v>
      </c>
      <c r="W1992" t="str">
        <f>VLOOKUP($R1992,'Mapa Oficinas'!$A$7:$C$46,3,FALSE)</f>
        <v>Barrio Parque</v>
      </c>
    </row>
    <row r="1993" spans="1:23" x14ac:dyDescent="0.2">
      <c r="A1993" s="1">
        <v>45758</v>
      </c>
      <c r="B1993" s="20">
        <f t="shared" si="62"/>
        <v>2025</v>
      </c>
      <c r="C1993" s="20">
        <f t="shared" si="63"/>
        <v>4</v>
      </c>
      <c r="D1993" t="s">
        <v>1397</v>
      </c>
      <c r="E1993" s="49">
        <v>1</v>
      </c>
      <c r="F1993" t="s">
        <v>1398</v>
      </c>
      <c r="G1993" t="s">
        <v>21</v>
      </c>
      <c r="H1993" t="s">
        <v>100</v>
      </c>
      <c r="I1993" s="13">
        <v>88600</v>
      </c>
      <c r="J1993" s="13">
        <v>170000</v>
      </c>
      <c r="K1993" s="13">
        <f>IF(J1993&lt;'Mapa Oficinas'!$I$21,0,IF(J1993&gt;'Mapa Oficinas'!$I$20,0,1))</f>
        <v>1</v>
      </c>
      <c r="L1993" t="s">
        <v>23</v>
      </c>
      <c r="M1993" t="s">
        <v>23</v>
      </c>
      <c r="N1993" t="s">
        <v>1399</v>
      </c>
      <c r="O1993" t="s">
        <v>1277</v>
      </c>
      <c r="P1993" t="s">
        <v>26</v>
      </c>
      <c r="Q1993">
        <v>1</v>
      </c>
      <c r="R1993" t="s">
        <v>121</v>
      </c>
      <c r="S1993" t="s">
        <v>122</v>
      </c>
      <c r="T1993" t="str">
        <f>VLOOKUP(S1993,'Mapa Oficinas'!$H$7:$I$16,2,FALSE)</f>
        <v>Otra Red Búsqueda</v>
      </c>
      <c r="U1993" t="s">
        <v>29</v>
      </c>
      <c r="V1993" t="str">
        <f>VLOOKUP($R1993,'Mapa Oficinas'!$A$7:$C$46,2,FALSE)</f>
        <v>Interior - Río Negro</v>
      </c>
      <c r="W1993" t="str">
        <f>VLOOKUP($R1993,'Mapa Oficinas'!$A$7:$C$46,3,FALSE)</f>
        <v>Bariloche</v>
      </c>
    </row>
    <row r="1994" spans="1:23" x14ac:dyDescent="0.2">
      <c r="A1994" s="1">
        <v>45982</v>
      </c>
      <c r="B1994" s="20">
        <f t="shared" si="62"/>
        <v>2025</v>
      </c>
      <c r="C1994" s="20">
        <f t="shared" si="63"/>
        <v>11</v>
      </c>
      <c r="D1994" t="s">
        <v>5354</v>
      </c>
      <c r="E1994" s="49">
        <v>1</v>
      </c>
      <c r="F1994" t="s">
        <v>5355</v>
      </c>
      <c r="G1994" t="s">
        <v>21</v>
      </c>
      <c r="H1994" t="s">
        <v>100</v>
      </c>
      <c r="I1994" s="13">
        <v>178100</v>
      </c>
      <c r="J1994" s="13">
        <v>170000</v>
      </c>
      <c r="K1994" s="13">
        <f>IF(J1994&lt;'Mapa Oficinas'!$I$21,0,IF(J1994&gt;'Mapa Oficinas'!$I$20,0,1))</f>
        <v>1</v>
      </c>
      <c r="L1994" t="s">
        <v>23</v>
      </c>
      <c r="M1994" t="s">
        <v>23</v>
      </c>
      <c r="N1994" t="s">
        <v>5356</v>
      </c>
      <c r="O1994" t="s">
        <v>209</v>
      </c>
      <c r="P1994" t="s">
        <v>45</v>
      </c>
      <c r="Q1994">
        <v>1</v>
      </c>
      <c r="R1994" t="s">
        <v>121</v>
      </c>
      <c r="S1994" t="s">
        <v>152</v>
      </c>
      <c r="T1994" t="str">
        <f>VLOOKUP(S1994,'Mapa Oficinas'!$H$7:$I$16,2,FALSE)</f>
        <v>Otra Red Captación</v>
      </c>
      <c r="U1994" t="s">
        <v>29</v>
      </c>
      <c r="V1994" t="str">
        <f>VLOOKUP($R1994,'Mapa Oficinas'!$A$7:$C$46,2,FALSE)</f>
        <v>Interior - Río Negro</v>
      </c>
      <c r="W1994" t="str">
        <f>VLOOKUP($R1994,'Mapa Oficinas'!$A$7:$C$46,3,FALSE)</f>
        <v>Bariloche</v>
      </c>
    </row>
    <row r="1995" spans="1:23" x14ac:dyDescent="0.2">
      <c r="A1995" s="1">
        <v>45837</v>
      </c>
      <c r="B1995" s="20">
        <f t="shared" si="62"/>
        <v>2025</v>
      </c>
      <c r="C1995" s="20">
        <f t="shared" si="63"/>
        <v>6</v>
      </c>
      <c r="D1995" t="s">
        <v>2744</v>
      </c>
      <c r="E1995" s="49">
        <v>1</v>
      </c>
      <c r="F1995" t="s">
        <v>2745</v>
      </c>
      <c r="G1995" t="s">
        <v>21</v>
      </c>
      <c r="H1995" t="s">
        <v>37</v>
      </c>
      <c r="I1995" s="13">
        <v>175000</v>
      </c>
      <c r="J1995" s="13">
        <v>170000</v>
      </c>
      <c r="K1995" s="13">
        <f>IF(J1995&lt;'Mapa Oficinas'!$I$21,0,IF(J1995&gt;'Mapa Oficinas'!$I$20,0,1))</f>
        <v>1</v>
      </c>
      <c r="L1995" t="s">
        <v>23</v>
      </c>
      <c r="M1995" t="s">
        <v>23</v>
      </c>
      <c r="N1995" t="s">
        <v>2746</v>
      </c>
      <c r="O1995" t="s">
        <v>653</v>
      </c>
      <c r="P1995" t="s">
        <v>26</v>
      </c>
      <c r="Q1995">
        <v>2</v>
      </c>
      <c r="R1995" t="s">
        <v>110</v>
      </c>
      <c r="S1995" t="s">
        <v>79</v>
      </c>
      <c r="T1995" t="str">
        <f>VLOOKUP(S1995,'Mapa Oficinas'!$H$7:$I$16,2,FALSE)</f>
        <v>CB</v>
      </c>
      <c r="U1995" t="s">
        <v>29</v>
      </c>
      <c r="V1995" t="str">
        <f>VLOOKUP($R1995,'Mapa Oficinas'!$A$7:$C$46,2,FALSE)</f>
        <v>Zona Norte (GBA)</v>
      </c>
      <c r="W1995" t="str">
        <f>VLOOKUP($R1995,'Mapa Oficinas'!$A$7:$C$46,3,FALSE)</f>
        <v>Nordelta</v>
      </c>
    </row>
    <row r="1996" spans="1:23" x14ac:dyDescent="0.2">
      <c r="A1996" s="1">
        <v>45755</v>
      </c>
      <c r="B1996" s="20">
        <f t="shared" si="62"/>
        <v>2025</v>
      </c>
      <c r="C1996" s="20">
        <f t="shared" si="63"/>
        <v>4</v>
      </c>
      <c r="D1996">
        <v>3</v>
      </c>
      <c r="E1996" s="49">
        <v>1</v>
      </c>
      <c r="F1996" t="s">
        <v>1338</v>
      </c>
      <c r="G1996" t="s">
        <v>21</v>
      </c>
      <c r="H1996" t="s">
        <v>70</v>
      </c>
      <c r="I1996" s="13">
        <v>170000</v>
      </c>
      <c r="J1996" s="13">
        <v>170000</v>
      </c>
      <c r="K1996" s="13">
        <f>IF(J1996&lt;'Mapa Oficinas'!$I$21,0,IF(J1996&gt;'Mapa Oficinas'!$I$20,0,1))</f>
        <v>1</v>
      </c>
      <c r="L1996" t="s">
        <v>23</v>
      </c>
      <c r="M1996" t="s">
        <v>23</v>
      </c>
      <c r="N1996" t="s">
        <v>1339</v>
      </c>
      <c r="O1996" t="s">
        <v>174</v>
      </c>
      <c r="P1996" t="s">
        <v>61</v>
      </c>
      <c r="Q1996">
        <v>1</v>
      </c>
      <c r="R1996" t="s">
        <v>1024</v>
      </c>
      <c r="S1996" t="s">
        <v>47</v>
      </c>
      <c r="T1996" t="str">
        <f>VLOOKUP(S1996,'Mapa Oficinas'!$H$7:$I$16,2,FALSE)</f>
        <v>Otra Red Búsqueda</v>
      </c>
      <c r="U1996" t="s">
        <v>29</v>
      </c>
      <c r="V1996" t="str">
        <f>VLOOKUP($R1996,'Mapa Oficinas'!$A$7:$C$46,2,FALSE)</f>
        <v>CABA</v>
      </c>
      <c r="W1996" t="str">
        <f>VLOOKUP($R1996,'Mapa Oficinas'!$A$7:$C$46,3,FALSE)</f>
        <v>Puerto Madero</v>
      </c>
    </row>
    <row r="1997" spans="1:23" x14ac:dyDescent="0.2">
      <c r="A1997" s="1">
        <v>45966</v>
      </c>
      <c r="B1997" s="20">
        <f t="shared" si="62"/>
        <v>2025</v>
      </c>
      <c r="C1997" s="20">
        <f t="shared" si="63"/>
        <v>11</v>
      </c>
      <c r="D1997" t="s">
        <v>5062</v>
      </c>
      <c r="E1997" s="49">
        <v>1</v>
      </c>
      <c r="F1997" t="s">
        <v>5063</v>
      </c>
      <c r="G1997" t="s">
        <v>21</v>
      </c>
      <c r="H1997" t="s">
        <v>37</v>
      </c>
      <c r="I1997" s="13">
        <v>170000</v>
      </c>
      <c r="J1997" s="13">
        <v>170000</v>
      </c>
      <c r="K1997" s="13">
        <f>IF(J1997&lt;'Mapa Oficinas'!$I$21,0,IF(J1997&gt;'Mapa Oficinas'!$I$20,0,1))</f>
        <v>1</v>
      </c>
      <c r="L1997" t="s">
        <v>23</v>
      </c>
      <c r="M1997" t="s">
        <v>23</v>
      </c>
      <c r="N1997" t="s">
        <v>5063</v>
      </c>
      <c r="O1997" t="s">
        <v>141</v>
      </c>
      <c r="P1997" t="s">
        <v>45</v>
      </c>
      <c r="Q1997">
        <v>1</v>
      </c>
      <c r="R1997" t="s">
        <v>46</v>
      </c>
      <c r="S1997" t="s">
        <v>47</v>
      </c>
      <c r="T1997" t="str">
        <f>VLOOKUP(S1997,'Mapa Oficinas'!$H$7:$I$16,2,FALSE)</f>
        <v>Otra Red Búsqueda</v>
      </c>
      <c r="U1997" t="s">
        <v>29</v>
      </c>
      <c r="V1997" t="str">
        <f>VLOOKUP($R1997,'Mapa Oficinas'!$A$7:$C$46,2,FALSE)</f>
        <v>CABA</v>
      </c>
      <c r="W1997" t="str">
        <f>VLOOKUP($R1997,'Mapa Oficinas'!$A$7:$C$46,3,FALSE)</f>
        <v>Palermo</v>
      </c>
    </row>
    <row r="1998" spans="1:23" x14ac:dyDescent="0.2">
      <c r="A1998" s="1">
        <v>46008</v>
      </c>
      <c r="B1998" s="20">
        <f t="shared" si="62"/>
        <v>2025</v>
      </c>
      <c r="C1998" s="20">
        <f t="shared" si="63"/>
        <v>12</v>
      </c>
      <c r="D1998">
        <v>220</v>
      </c>
      <c r="E1998" s="49">
        <v>1</v>
      </c>
      <c r="F1998" t="s">
        <v>5849</v>
      </c>
      <c r="G1998" t="s">
        <v>21</v>
      </c>
      <c r="H1998" t="s">
        <v>37</v>
      </c>
      <c r="I1998" s="13">
        <v>170000</v>
      </c>
      <c r="J1998" s="13">
        <v>170000</v>
      </c>
      <c r="K1998" s="13">
        <f>IF(J1998&lt;'Mapa Oficinas'!$I$21,0,IF(J1998&gt;'Mapa Oficinas'!$I$20,0,1))</f>
        <v>1</v>
      </c>
      <c r="L1998" t="s">
        <v>23</v>
      </c>
      <c r="M1998" t="s">
        <v>23</v>
      </c>
      <c r="N1998" t="s">
        <v>5849</v>
      </c>
      <c r="O1998" t="s">
        <v>380</v>
      </c>
      <c r="P1998" t="s">
        <v>45</v>
      </c>
      <c r="Q1998">
        <v>1</v>
      </c>
      <c r="R1998" t="s">
        <v>46</v>
      </c>
      <c r="S1998" t="s">
        <v>47</v>
      </c>
      <c r="T1998" t="str">
        <f>VLOOKUP(S1998,'Mapa Oficinas'!$H$7:$I$16,2,FALSE)</f>
        <v>Otra Red Búsqueda</v>
      </c>
      <c r="U1998" t="s">
        <v>29</v>
      </c>
      <c r="V1998" t="str">
        <f>VLOOKUP($R1998,'Mapa Oficinas'!$A$7:$C$46,2,FALSE)</f>
        <v>CABA</v>
      </c>
      <c r="W1998" t="str">
        <f>VLOOKUP($R1998,'Mapa Oficinas'!$A$7:$C$46,3,FALSE)</f>
        <v>Palermo</v>
      </c>
    </row>
    <row r="1999" spans="1:23" x14ac:dyDescent="0.2">
      <c r="A1999" s="1">
        <v>45761</v>
      </c>
      <c r="B1999" s="20">
        <f t="shared" si="62"/>
        <v>2025</v>
      </c>
      <c r="C1999" s="20">
        <f t="shared" si="63"/>
        <v>4</v>
      </c>
      <c r="D1999" t="s">
        <v>1426</v>
      </c>
      <c r="E1999" s="49">
        <v>1</v>
      </c>
      <c r="F1999" t="s">
        <v>1427</v>
      </c>
      <c r="G1999" t="s">
        <v>21</v>
      </c>
      <c r="H1999" t="s">
        <v>100</v>
      </c>
      <c r="I1999" s="13">
        <v>177000</v>
      </c>
      <c r="J1999" s="13">
        <v>170000</v>
      </c>
      <c r="K1999" s="13">
        <f>IF(J1999&lt;'Mapa Oficinas'!$I$21,0,IF(J1999&gt;'Mapa Oficinas'!$I$20,0,1))</f>
        <v>1</v>
      </c>
      <c r="L1999" t="s">
        <v>23</v>
      </c>
      <c r="M1999" t="s">
        <v>23</v>
      </c>
      <c r="N1999" t="s">
        <v>1428</v>
      </c>
      <c r="O1999" t="s">
        <v>1429</v>
      </c>
      <c r="P1999" t="s">
        <v>34</v>
      </c>
      <c r="Q1999">
        <v>2</v>
      </c>
      <c r="R1999" t="s">
        <v>1024</v>
      </c>
      <c r="S1999" t="s">
        <v>200</v>
      </c>
      <c r="T1999" t="str">
        <f>VLOOKUP(S1999,'Mapa Oficinas'!$H$7:$I$16,2,FALSE)</f>
        <v>Otra Red Captación</v>
      </c>
      <c r="U1999" t="s">
        <v>29</v>
      </c>
      <c r="V1999" t="str">
        <f>VLOOKUP($R1999,'Mapa Oficinas'!$A$7:$C$46,2,FALSE)</f>
        <v>CABA</v>
      </c>
      <c r="W1999" t="str">
        <f>VLOOKUP($R1999,'Mapa Oficinas'!$A$7:$C$46,3,FALSE)</f>
        <v>Puerto Madero</v>
      </c>
    </row>
    <row r="2000" spans="1:23" x14ac:dyDescent="0.2">
      <c r="A2000" s="1">
        <v>45894</v>
      </c>
      <c r="B2000" s="20">
        <f t="shared" si="62"/>
        <v>2025</v>
      </c>
      <c r="C2000" s="20">
        <f t="shared" si="63"/>
        <v>8</v>
      </c>
      <c r="D2000" t="s">
        <v>3754</v>
      </c>
      <c r="E2000" s="49">
        <v>1</v>
      </c>
      <c r="F2000" t="s">
        <v>3755</v>
      </c>
      <c r="G2000" t="s">
        <v>21</v>
      </c>
      <c r="H2000" t="s">
        <v>37</v>
      </c>
      <c r="I2000" s="13">
        <v>170000</v>
      </c>
      <c r="J2000" s="13">
        <v>170000</v>
      </c>
      <c r="K2000" s="13">
        <f>IF(J2000&lt;'Mapa Oficinas'!$I$21,0,IF(J2000&gt;'Mapa Oficinas'!$I$20,0,1))</f>
        <v>1</v>
      </c>
      <c r="L2000" t="s">
        <v>23</v>
      </c>
      <c r="M2000" t="s">
        <v>23</v>
      </c>
      <c r="N2000" t="s">
        <v>3756</v>
      </c>
      <c r="O2000" t="s">
        <v>3757</v>
      </c>
      <c r="P2000" t="s">
        <v>34</v>
      </c>
      <c r="Q2000">
        <v>2</v>
      </c>
      <c r="R2000" t="s">
        <v>110</v>
      </c>
      <c r="S2000" t="s">
        <v>200</v>
      </c>
      <c r="T2000" t="str">
        <f>VLOOKUP(S2000,'Mapa Oficinas'!$H$7:$I$16,2,FALSE)</f>
        <v>Otra Red Captación</v>
      </c>
      <c r="U2000" t="s">
        <v>29</v>
      </c>
      <c r="V2000" t="str">
        <f>VLOOKUP($R2000,'Mapa Oficinas'!$A$7:$C$46,2,FALSE)</f>
        <v>Zona Norte (GBA)</v>
      </c>
      <c r="W2000" t="str">
        <f>VLOOKUP($R2000,'Mapa Oficinas'!$A$7:$C$46,3,FALSE)</f>
        <v>Nordelta</v>
      </c>
    </row>
    <row r="2001" spans="1:23" x14ac:dyDescent="0.2">
      <c r="A2001" s="1">
        <v>45917</v>
      </c>
      <c r="B2001" s="20">
        <f t="shared" si="62"/>
        <v>2025</v>
      </c>
      <c r="C2001" s="20">
        <f t="shared" si="63"/>
        <v>9</v>
      </c>
      <c r="D2001" t="s">
        <v>4208</v>
      </c>
      <c r="E2001" s="49">
        <v>1</v>
      </c>
      <c r="F2001" t="s">
        <v>4209</v>
      </c>
      <c r="G2001" t="s">
        <v>21</v>
      </c>
      <c r="H2001" t="s">
        <v>37</v>
      </c>
      <c r="I2001" s="13">
        <v>175000</v>
      </c>
      <c r="J2001" s="13">
        <v>170000</v>
      </c>
      <c r="K2001" s="13">
        <f>IF(J2001&lt;'Mapa Oficinas'!$I$21,0,IF(J2001&gt;'Mapa Oficinas'!$I$20,0,1))</f>
        <v>1</v>
      </c>
      <c r="L2001" t="s">
        <v>23</v>
      </c>
      <c r="M2001" t="s">
        <v>23</v>
      </c>
      <c r="N2001" t="s">
        <v>4210</v>
      </c>
      <c r="O2001" t="s">
        <v>4211</v>
      </c>
      <c r="P2001" t="s">
        <v>34</v>
      </c>
      <c r="Q2001">
        <v>2</v>
      </c>
      <c r="R2001" t="s">
        <v>135</v>
      </c>
      <c r="S2001" t="s">
        <v>200</v>
      </c>
      <c r="T2001" t="str">
        <f>VLOOKUP(S2001,'Mapa Oficinas'!$H$7:$I$16,2,FALSE)</f>
        <v>Otra Red Captación</v>
      </c>
      <c r="U2001" t="s">
        <v>29</v>
      </c>
      <c r="V2001" t="str">
        <f>VLOOKUP($R2001,'Mapa Oficinas'!$A$7:$C$46,2,FALSE)</f>
        <v>CABA</v>
      </c>
      <c r="W2001" t="str">
        <f>VLOOKUP($R2001,'Mapa Oficinas'!$A$7:$C$46,3,FALSE)</f>
        <v>Recoleta</v>
      </c>
    </row>
    <row r="2002" spans="1:23" x14ac:dyDescent="0.2">
      <c r="A2002" s="1">
        <v>45939</v>
      </c>
      <c r="B2002" s="20">
        <f t="shared" si="62"/>
        <v>2025</v>
      </c>
      <c r="C2002" s="20">
        <f t="shared" si="63"/>
        <v>10</v>
      </c>
      <c r="D2002" t="s">
        <v>4623</v>
      </c>
      <c r="E2002" s="49">
        <v>1</v>
      </c>
      <c r="F2002" t="s">
        <v>4624</v>
      </c>
      <c r="G2002" t="s">
        <v>21</v>
      </c>
      <c r="H2002" t="s">
        <v>37</v>
      </c>
      <c r="I2002" s="13">
        <v>265000</v>
      </c>
      <c r="J2002" s="13">
        <v>170000</v>
      </c>
      <c r="K2002" s="13">
        <f>IF(J2002&lt;'Mapa Oficinas'!$I$21,0,IF(J2002&gt;'Mapa Oficinas'!$I$20,0,1))</f>
        <v>1</v>
      </c>
      <c r="L2002" t="s">
        <v>23</v>
      </c>
      <c r="M2002" t="s">
        <v>23</v>
      </c>
      <c r="N2002" t="s">
        <v>4625</v>
      </c>
      <c r="O2002" t="s">
        <v>470</v>
      </c>
      <c r="P2002" t="s">
        <v>45</v>
      </c>
      <c r="Q2002">
        <v>2</v>
      </c>
      <c r="R2002" t="s">
        <v>67</v>
      </c>
      <c r="S2002" t="s">
        <v>200</v>
      </c>
      <c r="T2002" t="str">
        <f>VLOOKUP(S2002,'Mapa Oficinas'!$H$7:$I$16,2,FALSE)</f>
        <v>Otra Red Captación</v>
      </c>
      <c r="U2002" t="s">
        <v>29</v>
      </c>
      <c r="V2002" t="str">
        <f>VLOOKUP($R2002,'Mapa Oficinas'!$A$7:$C$46,2,FALSE)</f>
        <v>CABA</v>
      </c>
      <c r="W2002" t="str">
        <f>VLOOKUP($R2002,'Mapa Oficinas'!$A$7:$C$46,3,FALSE)</f>
        <v>Barrio Parque</v>
      </c>
    </row>
    <row r="2003" spans="1:23" x14ac:dyDescent="0.2">
      <c r="A2003" s="1">
        <v>45812</v>
      </c>
      <c r="B2003" s="20">
        <f t="shared" si="62"/>
        <v>2025</v>
      </c>
      <c r="C2003" s="20">
        <f t="shared" si="63"/>
        <v>6</v>
      </c>
      <c r="D2003" t="s">
        <v>2312</v>
      </c>
      <c r="E2003" s="49">
        <v>0</v>
      </c>
      <c r="F2003" t="s">
        <v>2313</v>
      </c>
      <c r="G2003" t="s">
        <v>21</v>
      </c>
      <c r="H2003" t="s">
        <v>76</v>
      </c>
      <c r="I2003" s="13">
        <v>175000</v>
      </c>
      <c r="J2003" s="13">
        <v>170000</v>
      </c>
      <c r="K2003" s="13">
        <f>IF(J2003&lt;'Mapa Oficinas'!$I$21,0,IF(J2003&gt;'Mapa Oficinas'!$I$20,0,1))</f>
        <v>1</v>
      </c>
      <c r="L2003" t="s">
        <v>23</v>
      </c>
      <c r="M2003" t="s">
        <v>23</v>
      </c>
      <c r="N2003" t="s">
        <v>2314</v>
      </c>
      <c r="O2003" t="s">
        <v>2315</v>
      </c>
      <c r="P2003" t="s">
        <v>45</v>
      </c>
      <c r="Q2003">
        <v>2</v>
      </c>
      <c r="R2003" t="s">
        <v>257</v>
      </c>
      <c r="S2003" t="s">
        <v>241</v>
      </c>
      <c r="T2003" t="str">
        <f>VLOOKUP(S2003,'Mapa Oficinas'!$H$7:$I$16,2,FALSE)</f>
        <v>CB</v>
      </c>
      <c r="U2003" t="s">
        <v>29</v>
      </c>
      <c r="V2003" t="str">
        <f>VLOOKUP($R2003,'Mapa Oficinas'!$A$7:$C$46,2,FALSE)</f>
        <v>Zona Norte (GBA)</v>
      </c>
      <c r="W2003" t="str">
        <f>VLOOKUP($R2003,'Mapa Oficinas'!$A$7:$C$46,3,FALSE)</f>
        <v>Pilar</v>
      </c>
    </row>
    <row r="2004" spans="1:23" x14ac:dyDescent="0.2">
      <c r="A2004" s="1">
        <v>46076</v>
      </c>
      <c r="B2004" s="20">
        <f t="shared" si="62"/>
        <v>2026</v>
      </c>
      <c r="C2004" s="20">
        <f t="shared" si="63"/>
        <v>2</v>
      </c>
      <c r="D2004" t="s">
        <v>6821</v>
      </c>
      <c r="E2004" s="49">
        <v>0</v>
      </c>
      <c r="F2004" t="s">
        <v>6822</v>
      </c>
      <c r="G2004" t="s">
        <v>21</v>
      </c>
      <c r="H2004" t="s">
        <v>81</v>
      </c>
      <c r="I2004" s="13">
        <v>175000</v>
      </c>
      <c r="J2004" s="13">
        <v>170000</v>
      </c>
      <c r="K2004" s="13">
        <f>IF(J2004&lt;'Mapa Oficinas'!$I$21,0,IF(J2004&gt;'Mapa Oficinas'!$I$20,0,1))</f>
        <v>1</v>
      </c>
      <c r="L2004" t="s">
        <v>23</v>
      </c>
      <c r="M2004" t="s">
        <v>23</v>
      </c>
      <c r="N2004" t="s">
        <v>6823</v>
      </c>
      <c r="O2004" t="s">
        <v>4728</v>
      </c>
      <c r="P2004" t="s">
        <v>45</v>
      </c>
      <c r="Q2004">
        <v>2</v>
      </c>
      <c r="R2004" t="s">
        <v>130</v>
      </c>
      <c r="S2004" t="s">
        <v>241</v>
      </c>
      <c r="T2004" t="str">
        <f>VLOOKUP(S2004,'Mapa Oficinas'!$H$7:$I$16,2,FALSE)</f>
        <v>CB</v>
      </c>
      <c r="U2004" t="s">
        <v>29</v>
      </c>
      <c r="V2004" t="str">
        <f>VLOOKUP($R2004,'Mapa Oficinas'!$A$7:$C$46,2,FALSE)</f>
        <v>Interior - Neuquén</v>
      </c>
      <c r="W2004" t="str">
        <f>VLOOKUP($R2004,'Mapa Oficinas'!$A$7:$C$46,3,FALSE)</f>
        <v>San Martín de los Andes</v>
      </c>
    </row>
    <row r="2005" spans="1:23" x14ac:dyDescent="0.2">
      <c r="A2005" s="1">
        <v>46076</v>
      </c>
      <c r="B2005" s="20">
        <f t="shared" si="62"/>
        <v>2026</v>
      </c>
      <c r="C2005" s="20">
        <f t="shared" si="63"/>
        <v>2</v>
      </c>
      <c r="D2005" t="s">
        <v>6821</v>
      </c>
      <c r="E2005" s="49">
        <v>1</v>
      </c>
      <c r="F2005" t="s">
        <v>6822</v>
      </c>
      <c r="G2005" t="s">
        <v>21</v>
      </c>
      <c r="H2005" t="s">
        <v>362</v>
      </c>
      <c r="I2005" s="13">
        <v>175000</v>
      </c>
      <c r="J2005" s="13">
        <v>170000</v>
      </c>
      <c r="K2005" s="13">
        <f>IF(J2005&lt;'Mapa Oficinas'!$I$21,0,IF(J2005&gt;'Mapa Oficinas'!$I$20,0,1))</f>
        <v>1</v>
      </c>
      <c r="L2005" t="s">
        <v>23</v>
      </c>
      <c r="M2005" t="s">
        <v>23</v>
      </c>
      <c r="N2005" t="s">
        <v>6823</v>
      </c>
      <c r="O2005" t="s">
        <v>4728</v>
      </c>
      <c r="P2005" t="s">
        <v>45</v>
      </c>
      <c r="Q2005">
        <v>2</v>
      </c>
      <c r="R2005" t="s">
        <v>84</v>
      </c>
      <c r="S2005" t="s">
        <v>241</v>
      </c>
      <c r="T2005" t="str">
        <f>VLOOKUP(S2005,'Mapa Oficinas'!$H$7:$I$16,2,FALSE)</f>
        <v>CB</v>
      </c>
      <c r="U2005" t="s">
        <v>29</v>
      </c>
      <c r="V2005" t="str">
        <f>VLOOKUP($R2005,'Mapa Oficinas'!$A$7:$C$46,2,FALSE)</f>
        <v>Interior - Neuquén</v>
      </c>
      <c r="W2005" t="str">
        <f>VLOOKUP($R2005,'Mapa Oficinas'!$A$7:$C$46,3,FALSE)</f>
        <v>Villa La Angostura</v>
      </c>
    </row>
    <row r="2006" spans="1:23" x14ac:dyDescent="0.2">
      <c r="A2006" s="1">
        <v>45667</v>
      </c>
      <c r="B2006" s="20">
        <f t="shared" si="62"/>
        <v>2025</v>
      </c>
      <c r="C2006" s="20">
        <f t="shared" si="63"/>
        <v>1</v>
      </c>
      <c r="D2006" t="s">
        <v>175</v>
      </c>
      <c r="E2006" s="49">
        <v>1</v>
      </c>
      <c r="F2006" t="s">
        <v>176</v>
      </c>
      <c r="G2006" t="s">
        <v>21</v>
      </c>
      <c r="H2006" t="s">
        <v>37</v>
      </c>
      <c r="I2006" s="13">
        <v>179000</v>
      </c>
      <c r="J2006" s="13">
        <v>170000</v>
      </c>
      <c r="K2006" s="13">
        <f>IF(J2006&lt;'Mapa Oficinas'!$I$21,0,IF(J2006&gt;'Mapa Oficinas'!$I$20,0,1))</f>
        <v>1</v>
      </c>
      <c r="L2006" t="s">
        <v>23</v>
      </c>
      <c r="M2006" t="s">
        <v>23</v>
      </c>
      <c r="N2006" t="s">
        <v>177</v>
      </c>
      <c r="O2006" t="s">
        <v>178</v>
      </c>
      <c r="P2006" t="s">
        <v>45</v>
      </c>
      <c r="Q2006">
        <v>2</v>
      </c>
      <c r="R2006" t="s">
        <v>170</v>
      </c>
      <c r="S2006" t="s">
        <v>28</v>
      </c>
      <c r="T2006" t="str">
        <f>VLOOKUP(S2006,'Mapa Oficinas'!$H$7:$I$16,2,FALSE)</f>
        <v>CB</v>
      </c>
      <c r="U2006" t="s">
        <v>29</v>
      </c>
      <c r="V2006" t="str">
        <f>VLOOKUP($R2006,'Mapa Oficinas'!$A$7:$C$46,2,FALSE)</f>
        <v>CABA</v>
      </c>
      <c r="W2006" t="str">
        <f>VLOOKUP($R2006,'Mapa Oficinas'!$A$7:$C$46,3,FALSE)</f>
        <v>Belgrano</v>
      </c>
    </row>
    <row r="2007" spans="1:23" x14ac:dyDescent="0.2">
      <c r="A2007" s="1">
        <v>45667</v>
      </c>
      <c r="B2007" s="20">
        <f t="shared" si="62"/>
        <v>2025</v>
      </c>
      <c r="C2007" s="20">
        <f t="shared" si="63"/>
        <v>1</v>
      </c>
      <c r="D2007" t="s">
        <v>179</v>
      </c>
      <c r="E2007" s="49">
        <v>1</v>
      </c>
      <c r="F2007" t="s">
        <v>180</v>
      </c>
      <c r="G2007" t="s">
        <v>21</v>
      </c>
      <c r="H2007" t="s">
        <v>37</v>
      </c>
      <c r="I2007" s="13">
        <v>170000</v>
      </c>
      <c r="J2007" s="13">
        <v>170000</v>
      </c>
      <c r="K2007" s="13">
        <f>IF(J2007&lt;'Mapa Oficinas'!$I$21,0,IF(J2007&gt;'Mapa Oficinas'!$I$20,0,1))</f>
        <v>1</v>
      </c>
      <c r="L2007" t="s">
        <v>23</v>
      </c>
      <c r="M2007" t="s">
        <v>23</v>
      </c>
      <c r="N2007" t="s">
        <v>181</v>
      </c>
      <c r="O2007" t="s">
        <v>182</v>
      </c>
      <c r="P2007" t="s">
        <v>61</v>
      </c>
      <c r="Q2007">
        <v>2</v>
      </c>
      <c r="R2007" t="s">
        <v>183</v>
      </c>
      <c r="S2007" t="s">
        <v>28</v>
      </c>
      <c r="T2007" t="str">
        <f>VLOOKUP(S2007,'Mapa Oficinas'!$H$7:$I$16,2,FALSE)</f>
        <v>CB</v>
      </c>
      <c r="U2007" t="s">
        <v>29</v>
      </c>
      <c r="V2007" t="str">
        <f>VLOOKUP($R2007,'Mapa Oficinas'!$A$7:$C$46,2,FALSE)</f>
        <v>Interior - Neuquén</v>
      </c>
      <c r="W2007" t="str">
        <f>VLOOKUP($R2007,'Mapa Oficinas'!$A$7:$C$46,3,FALSE)</f>
        <v>Capital Neuquén</v>
      </c>
    </row>
    <row r="2008" spans="1:23" x14ac:dyDescent="0.2">
      <c r="A2008" s="1">
        <v>45730</v>
      </c>
      <c r="B2008" s="20">
        <f t="shared" si="62"/>
        <v>2025</v>
      </c>
      <c r="C2008" s="20">
        <f t="shared" si="63"/>
        <v>3</v>
      </c>
      <c r="D2008" t="s">
        <v>969</v>
      </c>
      <c r="E2008" s="49">
        <v>1</v>
      </c>
      <c r="F2008" t="s">
        <v>970</v>
      </c>
      <c r="G2008" t="s">
        <v>21</v>
      </c>
      <c r="H2008" t="s">
        <v>37</v>
      </c>
      <c r="I2008" s="13">
        <v>173000</v>
      </c>
      <c r="J2008" s="13">
        <v>170000</v>
      </c>
      <c r="K2008" s="13">
        <f>IF(J2008&lt;'Mapa Oficinas'!$I$21,0,IF(J2008&gt;'Mapa Oficinas'!$I$20,0,1))</f>
        <v>1</v>
      </c>
      <c r="L2008" t="s">
        <v>23</v>
      </c>
      <c r="M2008" t="s">
        <v>23</v>
      </c>
      <c r="N2008" t="s">
        <v>971</v>
      </c>
      <c r="O2008" t="s">
        <v>972</v>
      </c>
      <c r="P2008" t="s">
        <v>34</v>
      </c>
      <c r="Q2008">
        <v>2</v>
      </c>
      <c r="R2008" t="s">
        <v>823</v>
      </c>
      <c r="S2008" t="s">
        <v>28</v>
      </c>
      <c r="T2008" t="str">
        <f>VLOOKUP(S2008,'Mapa Oficinas'!$H$7:$I$16,2,FALSE)</f>
        <v>CB</v>
      </c>
      <c r="U2008" t="s">
        <v>29</v>
      </c>
      <c r="V2008" t="str">
        <f>VLOOKUP($R2008,'Mapa Oficinas'!$A$7:$C$46,2,FALSE)</f>
        <v>Zona Norte (GBA)</v>
      </c>
      <c r="W2008" t="str">
        <f>VLOOKUP($R2008,'Mapa Oficinas'!$A$7:$C$46,3,FALSE)</f>
        <v>Pilar</v>
      </c>
    </row>
    <row r="2009" spans="1:23" x14ac:dyDescent="0.2">
      <c r="A2009" s="1">
        <v>45763</v>
      </c>
      <c r="B2009" s="20">
        <f t="shared" si="62"/>
        <v>2025</v>
      </c>
      <c r="C2009" s="20">
        <f t="shared" si="63"/>
        <v>4</v>
      </c>
      <c r="D2009" t="s">
        <v>1490</v>
      </c>
      <c r="E2009" s="49">
        <v>1</v>
      </c>
      <c r="F2009" t="s">
        <v>1491</v>
      </c>
      <c r="G2009" t="s">
        <v>21</v>
      </c>
      <c r="H2009" t="s">
        <v>22</v>
      </c>
      <c r="I2009" s="13">
        <v>174000</v>
      </c>
      <c r="J2009" s="13">
        <v>170000</v>
      </c>
      <c r="K2009" s="13">
        <f>IF(J2009&lt;'Mapa Oficinas'!$I$21,0,IF(J2009&gt;'Mapa Oficinas'!$I$20,0,1))</f>
        <v>1</v>
      </c>
      <c r="L2009" t="s">
        <v>23</v>
      </c>
      <c r="M2009" t="s">
        <v>23</v>
      </c>
      <c r="O2009" t="s">
        <v>573</v>
      </c>
      <c r="P2009" t="s">
        <v>26</v>
      </c>
      <c r="Q2009">
        <v>2</v>
      </c>
      <c r="R2009" t="s">
        <v>321</v>
      </c>
      <c r="S2009" t="s">
        <v>28</v>
      </c>
      <c r="T2009" t="str">
        <f>VLOOKUP(S2009,'Mapa Oficinas'!$H$7:$I$16,2,FALSE)</f>
        <v>CB</v>
      </c>
      <c r="U2009" t="s">
        <v>29</v>
      </c>
      <c r="V2009" t="str">
        <f>VLOOKUP($R2009,'Mapa Oficinas'!$A$7:$C$46,2,FALSE)</f>
        <v>CABA</v>
      </c>
      <c r="W2009" t="str">
        <f>VLOOKUP($R2009,'Mapa Oficinas'!$A$7:$C$46,3,FALSE)</f>
        <v>Palermo</v>
      </c>
    </row>
    <row r="2010" spans="1:23" x14ac:dyDescent="0.2">
      <c r="A2010" s="1">
        <v>45798</v>
      </c>
      <c r="B2010" s="20">
        <f t="shared" si="62"/>
        <v>2025</v>
      </c>
      <c r="C2010" s="20">
        <f t="shared" si="63"/>
        <v>5</v>
      </c>
      <c r="D2010" t="s">
        <v>2071</v>
      </c>
      <c r="E2010" s="49">
        <v>1</v>
      </c>
      <c r="F2010" t="s">
        <v>2072</v>
      </c>
      <c r="G2010" t="s">
        <v>21</v>
      </c>
      <c r="H2010" t="s">
        <v>37</v>
      </c>
      <c r="I2010" s="13">
        <v>220000</v>
      </c>
      <c r="J2010" s="13">
        <v>170000</v>
      </c>
      <c r="K2010" s="13">
        <f>IF(J2010&lt;'Mapa Oficinas'!$I$21,0,IF(J2010&gt;'Mapa Oficinas'!$I$20,0,1))</f>
        <v>1</v>
      </c>
      <c r="L2010" t="s">
        <v>23</v>
      </c>
      <c r="M2010" t="s">
        <v>23</v>
      </c>
      <c r="N2010" t="s">
        <v>2072</v>
      </c>
      <c r="O2010" t="s">
        <v>2073</v>
      </c>
      <c r="P2010" t="s">
        <v>34</v>
      </c>
      <c r="Q2010">
        <v>2</v>
      </c>
      <c r="R2010" t="s">
        <v>110</v>
      </c>
      <c r="S2010" t="s">
        <v>28</v>
      </c>
      <c r="T2010" t="str">
        <f>VLOOKUP(S2010,'Mapa Oficinas'!$H$7:$I$16,2,FALSE)</f>
        <v>CB</v>
      </c>
      <c r="U2010" t="s">
        <v>29</v>
      </c>
      <c r="V2010" t="str">
        <f>VLOOKUP($R2010,'Mapa Oficinas'!$A$7:$C$46,2,FALSE)</f>
        <v>Zona Norte (GBA)</v>
      </c>
      <c r="W2010" t="str">
        <f>VLOOKUP($R2010,'Mapa Oficinas'!$A$7:$C$46,3,FALSE)</f>
        <v>Nordelta</v>
      </c>
    </row>
    <row r="2011" spans="1:23" x14ac:dyDescent="0.2">
      <c r="A2011" s="1">
        <v>45839</v>
      </c>
      <c r="B2011" s="20">
        <f t="shared" si="62"/>
        <v>2025</v>
      </c>
      <c r="C2011" s="20">
        <f t="shared" si="63"/>
        <v>7</v>
      </c>
      <c r="D2011" t="s">
        <v>2811</v>
      </c>
      <c r="E2011" s="49">
        <v>1</v>
      </c>
      <c r="F2011" t="s">
        <v>2812</v>
      </c>
      <c r="G2011" t="s">
        <v>21</v>
      </c>
      <c r="H2011" t="s">
        <v>37</v>
      </c>
      <c r="I2011" s="13">
        <v>180000</v>
      </c>
      <c r="J2011" s="13">
        <v>170000</v>
      </c>
      <c r="K2011" s="13">
        <f>IF(J2011&lt;'Mapa Oficinas'!$I$21,0,IF(J2011&gt;'Mapa Oficinas'!$I$20,0,1))</f>
        <v>1</v>
      </c>
      <c r="L2011" t="s">
        <v>23</v>
      </c>
      <c r="M2011" t="s">
        <v>23</v>
      </c>
      <c r="N2011" t="s">
        <v>2813</v>
      </c>
      <c r="O2011" t="s">
        <v>470</v>
      </c>
      <c r="P2011" t="s">
        <v>45</v>
      </c>
      <c r="Q2011">
        <v>2</v>
      </c>
      <c r="R2011" t="s">
        <v>46</v>
      </c>
      <c r="S2011" t="s">
        <v>28</v>
      </c>
      <c r="T2011" t="str">
        <f>VLOOKUP(S2011,'Mapa Oficinas'!$H$7:$I$16,2,FALSE)</f>
        <v>CB</v>
      </c>
      <c r="U2011" t="s">
        <v>29</v>
      </c>
      <c r="V2011" t="str">
        <f>VLOOKUP($R2011,'Mapa Oficinas'!$A$7:$C$46,2,FALSE)</f>
        <v>CABA</v>
      </c>
      <c r="W2011" t="str">
        <f>VLOOKUP($R2011,'Mapa Oficinas'!$A$7:$C$46,3,FALSE)</f>
        <v>Palermo</v>
      </c>
    </row>
    <row r="2012" spans="1:23" x14ac:dyDescent="0.2">
      <c r="A2012" s="1">
        <v>45846</v>
      </c>
      <c r="B2012" s="20">
        <f t="shared" si="62"/>
        <v>2025</v>
      </c>
      <c r="C2012" s="20">
        <f t="shared" si="63"/>
        <v>7</v>
      </c>
      <c r="D2012" t="s">
        <v>2928</v>
      </c>
      <c r="E2012" s="49">
        <v>1</v>
      </c>
      <c r="F2012" t="s">
        <v>2929</v>
      </c>
      <c r="G2012" t="s">
        <v>21</v>
      </c>
      <c r="H2012" t="s">
        <v>90</v>
      </c>
      <c r="I2012" s="13">
        <v>179900</v>
      </c>
      <c r="J2012" s="13">
        <v>170000</v>
      </c>
      <c r="K2012" s="13">
        <f>IF(J2012&lt;'Mapa Oficinas'!$I$21,0,IF(J2012&gt;'Mapa Oficinas'!$I$20,0,1))</f>
        <v>1</v>
      </c>
      <c r="L2012" t="s">
        <v>23</v>
      </c>
      <c r="M2012" t="s">
        <v>23</v>
      </c>
      <c r="N2012" t="s">
        <v>2930</v>
      </c>
      <c r="O2012" t="s">
        <v>965</v>
      </c>
      <c r="P2012" t="s">
        <v>61</v>
      </c>
      <c r="Q2012">
        <v>2</v>
      </c>
      <c r="R2012" t="s">
        <v>62</v>
      </c>
      <c r="S2012" t="s">
        <v>28</v>
      </c>
      <c r="T2012" t="str">
        <f>VLOOKUP(S2012,'Mapa Oficinas'!$H$7:$I$16,2,FALSE)</f>
        <v>CB</v>
      </c>
      <c r="U2012" t="s">
        <v>29</v>
      </c>
      <c r="V2012" t="str">
        <f>VLOOKUP($R2012,'Mapa Oficinas'!$A$7:$C$46,2,FALSE)</f>
        <v>CABA</v>
      </c>
      <c r="W2012" t="str">
        <f>VLOOKUP($R2012,'Mapa Oficinas'!$A$7:$C$46,3,FALSE)</f>
        <v>Villa Urquiza</v>
      </c>
    </row>
    <row r="2013" spans="1:23" x14ac:dyDescent="0.2">
      <c r="A2013" s="1">
        <v>45860</v>
      </c>
      <c r="B2013" s="20">
        <f t="shared" si="62"/>
        <v>2025</v>
      </c>
      <c r="C2013" s="20">
        <f t="shared" si="63"/>
        <v>7</v>
      </c>
      <c r="D2013" t="s">
        <v>3157</v>
      </c>
      <c r="E2013" s="49">
        <v>1</v>
      </c>
      <c r="F2013" t="s">
        <v>3158</v>
      </c>
      <c r="G2013" t="s">
        <v>21</v>
      </c>
      <c r="H2013" t="s">
        <v>70</v>
      </c>
      <c r="I2013" s="13">
        <v>180000</v>
      </c>
      <c r="J2013" s="13">
        <v>170000</v>
      </c>
      <c r="K2013" s="13">
        <f>IF(J2013&lt;'Mapa Oficinas'!$I$21,0,IF(J2013&gt;'Mapa Oficinas'!$I$20,0,1))</f>
        <v>1</v>
      </c>
      <c r="L2013" t="s">
        <v>23</v>
      </c>
      <c r="M2013" t="s">
        <v>23</v>
      </c>
      <c r="N2013" t="s">
        <v>3159</v>
      </c>
      <c r="O2013" t="s">
        <v>72</v>
      </c>
      <c r="P2013" t="s">
        <v>34</v>
      </c>
      <c r="Q2013">
        <v>2</v>
      </c>
      <c r="R2013" t="s">
        <v>73</v>
      </c>
      <c r="S2013" t="s">
        <v>28</v>
      </c>
      <c r="T2013" t="str">
        <f>VLOOKUP(S2013,'Mapa Oficinas'!$H$7:$I$16,2,FALSE)</f>
        <v>CB</v>
      </c>
      <c r="U2013" t="s">
        <v>29</v>
      </c>
      <c r="V2013" t="str">
        <f>VLOOKUP($R2013,'Mapa Oficinas'!$A$7:$C$46,2,FALSE)</f>
        <v>Interior - Salta</v>
      </c>
      <c r="W2013" t="str">
        <f>VLOOKUP($R2013,'Mapa Oficinas'!$A$7:$C$46,3,FALSE)</f>
        <v>San Lorenzo Chico</v>
      </c>
    </row>
    <row r="2014" spans="1:23" x14ac:dyDescent="0.2">
      <c r="A2014" s="1">
        <v>45996</v>
      </c>
      <c r="B2014" s="20">
        <f t="shared" si="62"/>
        <v>2025</v>
      </c>
      <c r="C2014" s="20">
        <f t="shared" si="63"/>
        <v>12</v>
      </c>
      <c r="D2014" t="s">
        <v>5657</v>
      </c>
      <c r="E2014" s="49">
        <v>1</v>
      </c>
      <c r="F2014" t="s">
        <v>5658</v>
      </c>
      <c r="G2014" t="s">
        <v>21</v>
      </c>
      <c r="H2014" t="s">
        <v>37</v>
      </c>
      <c r="I2014" s="13">
        <v>183000</v>
      </c>
      <c r="J2014" s="13">
        <v>170000</v>
      </c>
      <c r="K2014" s="13">
        <f>IF(J2014&lt;'Mapa Oficinas'!$I$21,0,IF(J2014&gt;'Mapa Oficinas'!$I$20,0,1))</f>
        <v>1</v>
      </c>
      <c r="L2014" t="s">
        <v>23</v>
      </c>
      <c r="M2014" t="s">
        <v>23</v>
      </c>
      <c r="N2014" t="s">
        <v>5659</v>
      </c>
      <c r="O2014" t="s">
        <v>1094</v>
      </c>
      <c r="P2014" t="s">
        <v>61</v>
      </c>
      <c r="Q2014">
        <v>2</v>
      </c>
      <c r="R2014" t="s">
        <v>523</v>
      </c>
      <c r="S2014" t="s">
        <v>28</v>
      </c>
      <c r="T2014" t="str">
        <f>VLOOKUP(S2014,'Mapa Oficinas'!$H$7:$I$16,2,FALSE)</f>
        <v>CB</v>
      </c>
      <c r="U2014" t="s">
        <v>29</v>
      </c>
      <c r="V2014" t="str">
        <f>VLOOKUP($R2014,'Mapa Oficinas'!$A$7:$C$46,2,FALSE)</f>
        <v>CABA</v>
      </c>
      <c r="W2014" t="str">
        <f>VLOOKUP($R2014,'Mapa Oficinas'!$A$7:$C$46,3,FALSE)</f>
        <v>Belgrano</v>
      </c>
    </row>
    <row r="2015" spans="1:23" x14ac:dyDescent="0.2">
      <c r="A2015" s="1">
        <v>46003</v>
      </c>
      <c r="B2015" s="20">
        <f t="shared" si="62"/>
        <v>2025</v>
      </c>
      <c r="C2015" s="20">
        <f t="shared" si="63"/>
        <v>12</v>
      </c>
      <c r="D2015" t="s">
        <v>5760</v>
      </c>
      <c r="E2015" s="49">
        <v>1</v>
      </c>
      <c r="F2015" t="s">
        <v>5761</v>
      </c>
      <c r="G2015" t="s">
        <v>21</v>
      </c>
      <c r="H2015" t="s">
        <v>100</v>
      </c>
      <c r="I2015" s="13">
        <v>220000</v>
      </c>
      <c r="J2015" s="13">
        <v>170000</v>
      </c>
      <c r="K2015" s="13">
        <f>IF(J2015&lt;'Mapa Oficinas'!$I$21,0,IF(J2015&gt;'Mapa Oficinas'!$I$20,0,1))</f>
        <v>1</v>
      </c>
      <c r="L2015" t="s">
        <v>23</v>
      </c>
      <c r="M2015" t="s">
        <v>23</v>
      </c>
      <c r="N2015" t="s">
        <v>5762</v>
      </c>
      <c r="O2015" t="s">
        <v>1435</v>
      </c>
      <c r="P2015" t="s">
        <v>34</v>
      </c>
      <c r="Q2015">
        <v>2</v>
      </c>
      <c r="R2015" t="s">
        <v>121</v>
      </c>
      <c r="S2015" t="s">
        <v>28</v>
      </c>
      <c r="T2015" t="str">
        <f>VLOOKUP(S2015,'Mapa Oficinas'!$H$7:$I$16,2,FALSE)</f>
        <v>CB</v>
      </c>
      <c r="U2015" t="s">
        <v>29</v>
      </c>
      <c r="V2015" t="str">
        <f>VLOOKUP($R2015,'Mapa Oficinas'!$A$7:$C$46,2,FALSE)</f>
        <v>Interior - Río Negro</v>
      </c>
      <c r="W2015" t="str">
        <f>VLOOKUP($R2015,'Mapa Oficinas'!$A$7:$C$46,3,FALSE)</f>
        <v>Bariloche</v>
      </c>
    </row>
    <row r="2016" spans="1:23" x14ac:dyDescent="0.2">
      <c r="A2016" s="1">
        <v>46066</v>
      </c>
      <c r="B2016" s="20">
        <f t="shared" si="62"/>
        <v>2026</v>
      </c>
      <c r="C2016" s="20">
        <f t="shared" si="63"/>
        <v>2</v>
      </c>
      <c r="D2016" t="s">
        <v>6717</v>
      </c>
      <c r="E2016" s="49">
        <v>1</v>
      </c>
      <c r="F2016" t="s">
        <v>6718</v>
      </c>
      <c r="G2016" t="s">
        <v>21</v>
      </c>
      <c r="H2016" t="s">
        <v>37</v>
      </c>
      <c r="I2016" s="13">
        <v>178000</v>
      </c>
      <c r="J2016" s="13">
        <v>170000</v>
      </c>
      <c r="K2016" s="13">
        <f>IF(J2016&lt;'Mapa Oficinas'!$I$21,0,IF(J2016&gt;'Mapa Oficinas'!$I$20,0,1))</f>
        <v>1</v>
      </c>
      <c r="L2016" t="s">
        <v>23</v>
      </c>
      <c r="M2016" t="s">
        <v>23</v>
      </c>
      <c r="N2016" t="s">
        <v>6719</v>
      </c>
      <c r="O2016" t="s">
        <v>141</v>
      </c>
      <c r="P2016" t="s">
        <v>45</v>
      </c>
      <c r="Q2016">
        <v>2</v>
      </c>
      <c r="R2016" t="s">
        <v>495</v>
      </c>
      <c r="S2016" t="s">
        <v>28</v>
      </c>
      <c r="T2016" t="str">
        <f>VLOOKUP(S2016,'Mapa Oficinas'!$H$7:$I$16,2,FALSE)</f>
        <v>CB</v>
      </c>
      <c r="U2016" t="s">
        <v>29</v>
      </c>
      <c r="V2016" t="str">
        <f>VLOOKUP($R2016,'Mapa Oficinas'!$A$7:$C$46,2,FALSE)</f>
        <v>Zona Norte (GBA)</v>
      </c>
      <c r="W2016" t="str">
        <f>VLOOKUP($R2016,'Mapa Oficinas'!$A$7:$C$46,3,FALSE)</f>
        <v>Escobar</v>
      </c>
    </row>
    <row r="2017" spans="1:23" x14ac:dyDescent="0.2">
      <c r="A2017" s="1">
        <v>46069</v>
      </c>
      <c r="B2017" s="20">
        <f t="shared" si="62"/>
        <v>2026</v>
      </c>
      <c r="C2017" s="20">
        <f t="shared" si="63"/>
        <v>2</v>
      </c>
      <c r="D2017" t="s">
        <v>6730</v>
      </c>
      <c r="E2017" s="49">
        <v>1</v>
      </c>
      <c r="F2017" t="s">
        <v>6731</v>
      </c>
      <c r="G2017" t="s">
        <v>21</v>
      </c>
      <c r="H2017" t="s">
        <v>37</v>
      </c>
      <c r="I2017" s="13">
        <v>175000</v>
      </c>
      <c r="J2017" s="13">
        <v>170000</v>
      </c>
      <c r="K2017" s="13">
        <f>IF(J2017&lt;'Mapa Oficinas'!$I$21,0,IF(J2017&gt;'Mapa Oficinas'!$I$20,0,1))</f>
        <v>1</v>
      </c>
      <c r="L2017" t="s">
        <v>23</v>
      </c>
      <c r="M2017" t="s">
        <v>23</v>
      </c>
      <c r="N2017" t="s">
        <v>6732</v>
      </c>
      <c r="O2017" t="s">
        <v>193</v>
      </c>
      <c r="P2017" t="s">
        <v>34</v>
      </c>
      <c r="Q2017">
        <v>2</v>
      </c>
      <c r="R2017" t="s">
        <v>110</v>
      </c>
      <c r="S2017" t="s">
        <v>28</v>
      </c>
      <c r="T2017" t="str">
        <f>VLOOKUP(S2017,'Mapa Oficinas'!$H$7:$I$16,2,FALSE)</f>
        <v>CB</v>
      </c>
      <c r="U2017" t="s">
        <v>29</v>
      </c>
      <c r="V2017" t="str">
        <f>VLOOKUP($R2017,'Mapa Oficinas'!$A$7:$C$46,2,FALSE)</f>
        <v>Zona Norte (GBA)</v>
      </c>
      <c r="W2017" t="str">
        <f>VLOOKUP($R2017,'Mapa Oficinas'!$A$7:$C$46,3,FALSE)</f>
        <v>Nordelta</v>
      </c>
    </row>
    <row r="2018" spans="1:23" x14ac:dyDescent="0.2">
      <c r="A2018" s="1">
        <v>46094</v>
      </c>
      <c r="B2018" s="20">
        <f t="shared" si="62"/>
        <v>2026</v>
      </c>
      <c r="C2018" s="20">
        <f t="shared" si="63"/>
        <v>3</v>
      </c>
      <c r="D2018" t="s">
        <v>7169</v>
      </c>
      <c r="E2018" s="49">
        <v>1</v>
      </c>
      <c r="F2018" t="s">
        <v>7170</v>
      </c>
      <c r="G2018" t="s">
        <v>21</v>
      </c>
      <c r="H2018" t="s">
        <v>22</v>
      </c>
      <c r="I2018" s="13">
        <v>175000</v>
      </c>
      <c r="J2018" s="13">
        <v>170000</v>
      </c>
      <c r="K2018" s="13">
        <f>IF(J2018&lt;'Mapa Oficinas'!$I$21,0,IF(J2018&gt;'Mapa Oficinas'!$I$20,0,1))</f>
        <v>1</v>
      </c>
      <c r="L2018" t="s">
        <v>23</v>
      </c>
      <c r="M2018" t="s">
        <v>23</v>
      </c>
      <c r="N2018" t="s">
        <v>7171</v>
      </c>
      <c r="O2018" t="s">
        <v>199</v>
      </c>
      <c r="P2018" t="s">
        <v>45</v>
      </c>
      <c r="Q2018">
        <v>2</v>
      </c>
      <c r="R2018" t="s">
        <v>62</v>
      </c>
      <c r="S2018" t="s">
        <v>28</v>
      </c>
      <c r="T2018" t="str">
        <f>VLOOKUP(S2018,'Mapa Oficinas'!$H$7:$I$16,2,FALSE)</f>
        <v>CB</v>
      </c>
      <c r="U2018" t="s">
        <v>29</v>
      </c>
      <c r="V2018" t="str">
        <f>VLOOKUP($R2018,'Mapa Oficinas'!$A$7:$C$46,2,FALSE)</f>
        <v>CABA</v>
      </c>
      <c r="W2018" t="str">
        <f>VLOOKUP($R2018,'Mapa Oficinas'!$A$7:$C$46,3,FALSE)</f>
        <v>Villa Urquiza</v>
      </c>
    </row>
    <row r="2019" spans="1:23" x14ac:dyDescent="0.2">
      <c r="A2019" s="1">
        <v>46080</v>
      </c>
      <c r="B2019" s="20">
        <f t="shared" si="62"/>
        <v>2026</v>
      </c>
      <c r="C2019" s="20">
        <f t="shared" si="63"/>
        <v>2</v>
      </c>
      <c r="D2019" t="s">
        <v>6912</v>
      </c>
      <c r="E2019" s="49">
        <v>1</v>
      </c>
      <c r="F2019" t="s">
        <v>6913</v>
      </c>
      <c r="G2019" t="s">
        <v>21</v>
      </c>
      <c r="H2019" t="s">
        <v>37</v>
      </c>
      <c r="I2019" s="13">
        <v>177000</v>
      </c>
      <c r="J2019" s="13">
        <v>170500</v>
      </c>
      <c r="K2019" s="13">
        <f>IF(J2019&lt;'Mapa Oficinas'!$I$21,0,IF(J2019&gt;'Mapa Oficinas'!$I$20,0,1))</f>
        <v>1</v>
      </c>
      <c r="L2019" t="s">
        <v>23</v>
      </c>
      <c r="M2019" t="s">
        <v>23</v>
      </c>
      <c r="N2019" t="s">
        <v>6914</v>
      </c>
      <c r="O2019" t="s">
        <v>50</v>
      </c>
      <c r="P2019" t="s">
        <v>45</v>
      </c>
      <c r="Q2019">
        <v>2</v>
      </c>
      <c r="R2019" t="s">
        <v>67</v>
      </c>
      <c r="S2019" t="s">
        <v>28</v>
      </c>
      <c r="T2019" t="str">
        <f>VLOOKUP(S2019,'Mapa Oficinas'!$H$7:$I$16,2,FALSE)</f>
        <v>CB</v>
      </c>
      <c r="U2019" t="s">
        <v>29</v>
      </c>
      <c r="V2019" t="str">
        <f>VLOOKUP($R2019,'Mapa Oficinas'!$A$7:$C$46,2,FALSE)</f>
        <v>CABA</v>
      </c>
      <c r="W2019" t="str">
        <f>VLOOKUP($R2019,'Mapa Oficinas'!$A$7:$C$46,3,FALSE)</f>
        <v>Barrio Parque</v>
      </c>
    </row>
    <row r="2020" spans="1:23" x14ac:dyDescent="0.2">
      <c r="A2020" s="1">
        <v>45897</v>
      </c>
      <c r="B2020" s="20">
        <f t="shared" si="62"/>
        <v>2025</v>
      </c>
      <c r="C2020" s="20">
        <f t="shared" si="63"/>
        <v>8</v>
      </c>
      <c r="D2020" t="s">
        <v>3839</v>
      </c>
      <c r="E2020" s="49">
        <v>1</v>
      </c>
      <c r="F2020" t="s">
        <v>3840</v>
      </c>
      <c r="G2020" t="s">
        <v>21</v>
      </c>
      <c r="H2020" t="s">
        <v>37</v>
      </c>
      <c r="I2020" s="13">
        <v>89700</v>
      </c>
      <c r="J2020" s="13">
        <v>171000</v>
      </c>
      <c r="K2020" s="13">
        <f>IF(J2020&lt;'Mapa Oficinas'!$I$21,0,IF(J2020&gt;'Mapa Oficinas'!$I$20,0,1))</f>
        <v>1</v>
      </c>
      <c r="L2020" t="s">
        <v>23</v>
      </c>
      <c r="M2020" t="s">
        <v>23</v>
      </c>
      <c r="N2020" t="s">
        <v>3841</v>
      </c>
      <c r="O2020" t="s">
        <v>3842</v>
      </c>
      <c r="P2020" t="s">
        <v>45</v>
      </c>
      <c r="Q2020">
        <v>2</v>
      </c>
      <c r="R2020" t="s">
        <v>110</v>
      </c>
      <c r="S2020" t="s">
        <v>28</v>
      </c>
      <c r="T2020" t="str">
        <f>VLOOKUP(S2020,'Mapa Oficinas'!$H$7:$I$16,2,FALSE)</f>
        <v>CB</v>
      </c>
      <c r="U2020" t="s">
        <v>29</v>
      </c>
      <c r="V2020" t="str">
        <f>VLOOKUP($R2020,'Mapa Oficinas'!$A$7:$C$46,2,FALSE)</f>
        <v>Zona Norte (GBA)</v>
      </c>
      <c r="W2020" t="str">
        <f>VLOOKUP($R2020,'Mapa Oficinas'!$A$7:$C$46,3,FALSE)</f>
        <v>Nordelta</v>
      </c>
    </row>
    <row r="2021" spans="1:23" x14ac:dyDescent="0.2">
      <c r="A2021" s="1">
        <v>45904</v>
      </c>
      <c r="B2021" s="20">
        <f t="shared" si="62"/>
        <v>2025</v>
      </c>
      <c r="C2021" s="20">
        <f t="shared" si="63"/>
        <v>9</v>
      </c>
      <c r="E2021" s="49">
        <v>1</v>
      </c>
      <c r="F2021" t="s">
        <v>3995</v>
      </c>
      <c r="G2021" t="s">
        <v>21</v>
      </c>
      <c r="H2021" t="s">
        <v>37</v>
      </c>
      <c r="I2021" s="13">
        <v>172000</v>
      </c>
      <c r="J2021" s="13">
        <v>172000</v>
      </c>
      <c r="K2021" s="13">
        <f>IF(J2021&lt;'Mapa Oficinas'!$I$21,0,IF(J2021&gt;'Mapa Oficinas'!$I$20,0,1))</f>
        <v>1</v>
      </c>
      <c r="L2021" t="s">
        <v>23</v>
      </c>
      <c r="M2021" t="s">
        <v>23</v>
      </c>
      <c r="N2021" t="s">
        <v>3996</v>
      </c>
      <c r="O2021" t="s">
        <v>50</v>
      </c>
      <c r="P2021" t="s">
        <v>45</v>
      </c>
      <c r="Q2021">
        <v>1</v>
      </c>
      <c r="R2021" t="s">
        <v>135</v>
      </c>
      <c r="S2021" t="s">
        <v>47</v>
      </c>
      <c r="T2021" t="str">
        <f>VLOOKUP(S2021,'Mapa Oficinas'!$H$7:$I$16,2,FALSE)</f>
        <v>Otra Red Búsqueda</v>
      </c>
      <c r="U2021" t="s">
        <v>29</v>
      </c>
      <c r="V2021" t="str">
        <f>VLOOKUP($R2021,'Mapa Oficinas'!$A$7:$C$46,2,FALSE)</f>
        <v>CABA</v>
      </c>
      <c r="W2021" t="str">
        <f>VLOOKUP($R2021,'Mapa Oficinas'!$A$7:$C$46,3,FALSE)</f>
        <v>Recoleta</v>
      </c>
    </row>
    <row r="2022" spans="1:23" x14ac:dyDescent="0.2">
      <c r="A2022" s="1">
        <v>45897</v>
      </c>
      <c r="B2022" s="20">
        <f t="shared" si="62"/>
        <v>2025</v>
      </c>
      <c r="C2022" s="20">
        <f t="shared" si="63"/>
        <v>8</v>
      </c>
      <c r="D2022" t="s">
        <v>3843</v>
      </c>
      <c r="E2022" s="49">
        <v>1</v>
      </c>
      <c r="F2022" t="s">
        <v>3844</v>
      </c>
      <c r="G2022" t="s">
        <v>21</v>
      </c>
      <c r="H2022" t="s">
        <v>37</v>
      </c>
      <c r="I2022" s="13">
        <v>185000</v>
      </c>
      <c r="J2022" s="13">
        <v>172000</v>
      </c>
      <c r="K2022" s="13">
        <f>IF(J2022&lt;'Mapa Oficinas'!$I$21,0,IF(J2022&gt;'Mapa Oficinas'!$I$20,0,1))</f>
        <v>1</v>
      </c>
      <c r="L2022" t="s">
        <v>23</v>
      </c>
      <c r="M2022" t="s">
        <v>23</v>
      </c>
      <c r="N2022" t="s">
        <v>3845</v>
      </c>
      <c r="O2022" t="s">
        <v>190</v>
      </c>
      <c r="P2022" t="s">
        <v>45</v>
      </c>
      <c r="Q2022">
        <v>2</v>
      </c>
      <c r="R2022" t="s">
        <v>429</v>
      </c>
      <c r="S2022" t="s">
        <v>200</v>
      </c>
      <c r="T2022" t="str">
        <f>VLOOKUP(S2022,'Mapa Oficinas'!$H$7:$I$16,2,FALSE)</f>
        <v>Otra Red Captación</v>
      </c>
      <c r="U2022" t="s">
        <v>29</v>
      </c>
      <c r="V2022" t="str">
        <f>VLOOKUP($R2022,'Mapa Oficinas'!$A$7:$C$46,2,FALSE)</f>
        <v>Zona Oeste (GBA)</v>
      </c>
      <c r="W2022" t="str">
        <f>VLOOKUP($R2022,'Mapa Oficinas'!$A$7:$C$46,3,FALSE)</f>
        <v>Parque Leloir</v>
      </c>
    </row>
    <row r="2023" spans="1:23" x14ac:dyDescent="0.2">
      <c r="A2023" s="1">
        <v>46099</v>
      </c>
      <c r="B2023" s="20">
        <f t="shared" si="62"/>
        <v>2026</v>
      </c>
      <c r="C2023" s="20">
        <f t="shared" si="63"/>
        <v>3</v>
      </c>
      <c r="D2023" t="s">
        <v>7280</v>
      </c>
      <c r="E2023" s="49">
        <v>3</v>
      </c>
      <c r="F2023" t="s">
        <v>7281</v>
      </c>
      <c r="G2023" t="s">
        <v>21</v>
      </c>
      <c r="H2023" t="s">
        <v>37</v>
      </c>
      <c r="I2023" s="13">
        <v>175000</v>
      </c>
      <c r="J2023" s="13">
        <v>172000</v>
      </c>
      <c r="K2023" s="13">
        <f>IF(J2023&lt;'Mapa Oficinas'!$I$21,0,IF(J2023&gt;'Mapa Oficinas'!$I$20,0,1))</f>
        <v>1</v>
      </c>
      <c r="L2023" t="s">
        <v>23</v>
      </c>
      <c r="M2023" t="s">
        <v>23</v>
      </c>
      <c r="O2023" t="s">
        <v>2500</v>
      </c>
      <c r="P2023" t="s">
        <v>34</v>
      </c>
      <c r="Q2023">
        <v>2</v>
      </c>
      <c r="R2023" t="s">
        <v>257</v>
      </c>
      <c r="S2023" t="s">
        <v>241</v>
      </c>
      <c r="T2023" t="str">
        <f>VLOOKUP(S2023,'Mapa Oficinas'!$H$7:$I$16,2,FALSE)</f>
        <v>CB</v>
      </c>
      <c r="U2023" t="s">
        <v>29</v>
      </c>
      <c r="V2023" t="str">
        <f>VLOOKUP($R2023,'Mapa Oficinas'!$A$7:$C$46,2,FALSE)</f>
        <v>Zona Norte (GBA)</v>
      </c>
      <c r="W2023" t="str">
        <f>VLOOKUP($R2023,'Mapa Oficinas'!$A$7:$C$46,3,FALSE)</f>
        <v>Pilar</v>
      </c>
    </row>
    <row r="2024" spans="1:23" x14ac:dyDescent="0.2">
      <c r="A2024" s="1">
        <v>45729</v>
      </c>
      <c r="B2024" s="20">
        <f t="shared" si="62"/>
        <v>2025</v>
      </c>
      <c r="C2024" s="20">
        <f t="shared" si="63"/>
        <v>3</v>
      </c>
      <c r="D2024" t="s">
        <v>944</v>
      </c>
      <c r="E2024" s="49">
        <v>1</v>
      </c>
      <c r="F2024" t="s">
        <v>945</v>
      </c>
      <c r="G2024" t="s">
        <v>21</v>
      </c>
      <c r="H2024" t="s">
        <v>37</v>
      </c>
      <c r="I2024" s="13">
        <v>900</v>
      </c>
      <c r="J2024" s="13">
        <v>172000</v>
      </c>
      <c r="K2024" s="13">
        <f>IF(J2024&lt;'Mapa Oficinas'!$I$21,0,IF(J2024&gt;'Mapa Oficinas'!$I$20,0,1))</f>
        <v>1</v>
      </c>
      <c r="L2024" t="s">
        <v>23</v>
      </c>
      <c r="M2024" t="s">
        <v>23</v>
      </c>
      <c r="N2024" t="s">
        <v>946</v>
      </c>
      <c r="O2024" t="s">
        <v>947</v>
      </c>
      <c r="P2024" t="s">
        <v>34</v>
      </c>
      <c r="Q2024">
        <v>2</v>
      </c>
      <c r="R2024" t="s">
        <v>40</v>
      </c>
      <c r="S2024" t="s">
        <v>28</v>
      </c>
      <c r="T2024" t="str">
        <f>VLOOKUP(S2024,'Mapa Oficinas'!$H$7:$I$16,2,FALSE)</f>
        <v>CB</v>
      </c>
      <c r="U2024" t="s">
        <v>29</v>
      </c>
      <c r="V2024" t="str">
        <f>VLOOKUP($R2024,'Mapa Oficinas'!$A$7:$C$46,2,FALSE)</f>
        <v>CABA</v>
      </c>
      <c r="W2024" t="str">
        <f>VLOOKUP($R2024,'Mapa Oficinas'!$A$7:$C$46,3,FALSE)</f>
        <v>Núñez</v>
      </c>
    </row>
    <row r="2025" spans="1:23" x14ac:dyDescent="0.2">
      <c r="A2025" s="1">
        <v>46112</v>
      </c>
      <c r="B2025" s="20">
        <f t="shared" si="62"/>
        <v>2026</v>
      </c>
      <c r="C2025" s="20">
        <f t="shared" si="63"/>
        <v>3</v>
      </c>
      <c r="D2025" t="s">
        <v>7585</v>
      </c>
      <c r="E2025" s="49">
        <v>1</v>
      </c>
      <c r="F2025" t="s">
        <v>7586</v>
      </c>
      <c r="G2025" t="s">
        <v>21</v>
      </c>
      <c r="H2025" t="s">
        <v>37</v>
      </c>
      <c r="I2025" s="13">
        <v>148665</v>
      </c>
      <c r="J2025" s="13">
        <v>172500</v>
      </c>
      <c r="K2025" s="13">
        <f>IF(J2025&lt;'Mapa Oficinas'!$I$21,0,IF(J2025&gt;'Mapa Oficinas'!$I$20,0,1))</f>
        <v>1</v>
      </c>
      <c r="L2025" t="s">
        <v>23</v>
      </c>
      <c r="M2025" t="s">
        <v>23</v>
      </c>
      <c r="N2025" t="s">
        <v>7587</v>
      </c>
      <c r="O2025" t="s">
        <v>380</v>
      </c>
      <c r="P2025" t="s">
        <v>45</v>
      </c>
      <c r="Q2025">
        <v>2</v>
      </c>
      <c r="R2025" t="s">
        <v>67</v>
      </c>
      <c r="S2025" t="s">
        <v>28</v>
      </c>
      <c r="T2025" t="str">
        <f>VLOOKUP(S2025,'Mapa Oficinas'!$H$7:$I$16,2,FALSE)</f>
        <v>CB</v>
      </c>
      <c r="U2025" t="s">
        <v>29</v>
      </c>
      <c r="V2025" t="str">
        <f>VLOOKUP($R2025,'Mapa Oficinas'!$A$7:$C$46,2,FALSE)</f>
        <v>CABA</v>
      </c>
      <c r="W2025" t="str">
        <f>VLOOKUP($R2025,'Mapa Oficinas'!$A$7:$C$46,3,FALSE)</f>
        <v>Barrio Parque</v>
      </c>
    </row>
    <row r="2026" spans="1:23" x14ac:dyDescent="0.2">
      <c r="A2026" s="1">
        <v>45917</v>
      </c>
      <c r="B2026" s="20">
        <f t="shared" si="62"/>
        <v>2025</v>
      </c>
      <c r="C2026" s="20">
        <f t="shared" si="63"/>
        <v>9</v>
      </c>
      <c r="D2026">
        <v>16512</v>
      </c>
      <c r="E2026" s="49">
        <v>1</v>
      </c>
      <c r="F2026" t="s">
        <v>4212</v>
      </c>
      <c r="G2026" t="s">
        <v>21</v>
      </c>
      <c r="H2026" t="s">
        <v>37</v>
      </c>
      <c r="I2026" s="13">
        <v>0</v>
      </c>
      <c r="J2026" s="13">
        <v>173000</v>
      </c>
      <c r="K2026" s="13">
        <f>IF(J2026&lt;'Mapa Oficinas'!$I$21,0,IF(J2026&gt;'Mapa Oficinas'!$I$20,0,1))</f>
        <v>1</v>
      </c>
      <c r="L2026" t="s">
        <v>23</v>
      </c>
      <c r="M2026" t="s">
        <v>23</v>
      </c>
      <c r="O2026" t="s">
        <v>50</v>
      </c>
      <c r="P2026" t="s">
        <v>45</v>
      </c>
      <c r="Q2026">
        <v>1</v>
      </c>
      <c r="R2026" t="s">
        <v>67</v>
      </c>
      <c r="S2026" t="s">
        <v>47</v>
      </c>
      <c r="T2026" t="str">
        <f>VLOOKUP(S2026,'Mapa Oficinas'!$H$7:$I$16,2,FALSE)</f>
        <v>Otra Red Búsqueda</v>
      </c>
      <c r="U2026" t="s">
        <v>29</v>
      </c>
      <c r="V2026" t="str">
        <f>VLOOKUP($R2026,'Mapa Oficinas'!$A$7:$C$46,2,FALSE)</f>
        <v>CABA</v>
      </c>
      <c r="W2026" t="str">
        <f>VLOOKUP($R2026,'Mapa Oficinas'!$A$7:$C$46,3,FALSE)</f>
        <v>Barrio Parque</v>
      </c>
    </row>
    <row r="2027" spans="1:23" x14ac:dyDescent="0.2">
      <c r="A2027" s="1">
        <v>45744</v>
      </c>
      <c r="B2027" s="20">
        <f t="shared" si="62"/>
        <v>2025</v>
      </c>
      <c r="C2027" s="20">
        <f t="shared" si="63"/>
        <v>3</v>
      </c>
      <c r="D2027">
        <v>10327</v>
      </c>
      <c r="E2027" s="49">
        <v>1</v>
      </c>
      <c r="F2027" t="s">
        <v>1176</v>
      </c>
      <c r="G2027" t="s">
        <v>21</v>
      </c>
      <c r="H2027" t="s">
        <v>37</v>
      </c>
      <c r="I2027" s="13">
        <v>0</v>
      </c>
      <c r="J2027" s="13">
        <v>173000</v>
      </c>
      <c r="K2027" s="13">
        <f>IF(J2027&lt;'Mapa Oficinas'!$I$21,0,IF(J2027&gt;'Mapa Oficinas'!$I$20,0,1))</f>
        <v>1</v>
      </c>
      <c r="L2027" t="s">
        <v>23</v>
      </c>
      <c r="M2027" t="s">
        <v>23</v>
      </c>
      <c r="O2027" t="s">
        <v>408</v>
      </c>
      <c r="P2027" t="s">
        <v>45</v>
      </c>
      <c r="Q2027">
        <v>2</v>
      </c>
      <c r="R2027" t="s">
        <v>67</v>
      </c>
      <c r="S2027" t="s">
        <v>28</v>
      </c>
      <c r="T2027" t="str">
        <f>VLOOKUP(S2027,'Mapa Oficinas'!$H$7:$I$16,2,FALSE)</f>
        <v>CB</v>
      </c>
      <c r="U2027" t="s">
        <v>29</v>
      </c>
      <c r="V2027" t="str">
        <f>VLOOKUP($R2027,'Mapa Oficinas'!$A$7:$C$46,2,FALSE)</f>
        <v>CABA</v>
      </c>
      <c r="W2027" t="str">
        <f>VLOOKUP($R2027,'Mapa Oficinas'!$A$7:$C$46,3,FALSE)</f>
        <v>Barrio Parque</v>
      </c>
    </row>
    <row r="2028" spans="1:23" x14ac:dyDescent="0.2">
      <c r="A2028" s="1">
        <v>45793</v>
      </c>
      <c r="B2028" s="20">
        <f t="shared" si="62"/>
        <v>2025</v>
      </c>
      <c r="C2028" s="20">
        <f t="shared" si="63"/>
        <v>5</v>
      </c>
      <c r="D2028" t="s">
        <v>1988</v>
      </c>
      <c r="E2028" s="49">
        <v>1</v>
      </c>
      <c r="F2028" t="s">
        <v>1989</v>
      </c>
      <c r="G2028" t="s">
        <v>21</v>
      </c>
      <c r="H2028" t="s">
        <v>90</v>
      </c>
      <c r="I2028" s="13">
        <v>179000</v>
      </c>
      <c r="J2028" s="13">
        <v>173000</v>
      </c>
      <c r="K2028" s="13">
        <f>IF(J2028&lt;'Mapa Oficinas'!$I$21,0,IF(J2028&gt;'Mapa Oficinas'!$I$20,0,1))</f>
        <v>1</v>
      </c>
      <c r="L2028" t="s">
        <v>23</v>
      </c>
      <c r="M2028" t="s">
        <v>23</v>
      </c>
      <c r="N2028" t="s">
        <v>1990</v>
      </c>
      <c r="O2028" t="s">
        <v>380</v>
      </c>
      <c r="P2028" t="s">
        <v>45</v>
      </c>
      <c r="Q2028">
        <v>2</v>
      </c>
      <c r="R2028" t="s">
        <v>62</v>
      </c>
      <c r="S2028" t="s">
        <v>28</v>
      </c>
      <c r="T2028" t="str">
        <f>VLOOKUP(S2028,'Mapa Oficinas'!$H$7:$I$16,2,FALSE)</f>
        <v>CB</v>
      </c>
      <c r="U2028" t="s">
        <v>29</v>
      </c>
      <c r="V2028" t="str">
        <f>VLOOKUP($R2028,'Mapa Oficinas'!$A$7:$C$46,2,FALSE)</f>
        <v>CABA</v>
      </c>
      <c r="W2028" t="str">
        <f>VLOOKUP($R2028,'Mapa Oficinas'!$A$7:$C$46,3,FALSE)</f>
        <v>Villa Urquiza</v>
      </c>
    </row>
    <row r="2029" spans="1:23" x14ac:dyDescent="0.2">
      <c r="A2029" s="1">
        <v>46077</v>
      </c>
      <c r="B2029" s="20">
        <f t="shared" si="62"/>
        <v>2026</v>
      </c>
      <c r="C2029" s="20">
        <f t="shared" si="63"/>
        <v>2</v>
      </c>
      <c r="D2029" t="s">
        <v>6837</v>
      </c>
      <c r="E2029" s="49">
        <v>1</v>
      </c>
      <c r="F2029" t="s">
        <v>6838</v>
      </c>
      <c r="G2029" t="s">
        <v>21</v>
      </c>
      <c r="H2029" t="s">
        <v>37</v>
      </c>
      <c r="I2029" s="13">
        <v>179000</v>
      </c>
      <c r="J2029" s="13">
        <v>173000</v>
      </c>
      <c r="K2029" s="13">
        <f>IF(J2029&lt;'Mapa Oficinas'!$I$21,0,IF(J2029&gt;'Mapa Oficinas'!$I$20,0,1))</f>
        <v>1</v>
      </c>
      <c r="L2029" t="s">
        <v>23</v>
      </c>
      <c r="M2029" t="s">
        <v>23</v>
      </c>
      <c r="N2029" t="s">
        <v>6839</v>
      </c>
      <c r="O2029" t="s">
        <v>992</v>
      </c>
      <c r="P2029" t="s">
        <v>45</v>
      </c>
      <c r="Q2029">
        <v>2</v>
      </c>
      <c r="R2029" t="s">
        <v>670</v>
      </c>
      <c r="S2029" t="s">
        <v>28</v>
      </c>
      <c r="T2029" t="str">
        <f>VLOOKUP(S2029,'Mapa Oficinas'!$H$7:$I$16,2,FALSE)</f>
        <v>CB</v>
      </c>
      <c r="U2029" t="s">
        <v>29</v>
      </c>
      <c r="V2029" t="str">
        <f>VLOOKUP($R2029,'Mapa Oficinas'!$A$7:$C$46,2,FALSE)</f>
        <v>CABA</v>
      </c>
      <c r="W2029" t="str">
        <f>VLOOKUP($R2029,'Mapa Oficinas'!$A$7:$C$46,3,FALSE)</f>
        <v>Recoleta</v>
      </c>
    </row>
    <row r="2030" spans="1:23" x14ac:dyDescent="0.2">
      <c r="A2030" s="1">
        <v>45805</v>
      </c>
      <c r="B2030" s="20">
        <f t="shared" si="62"/>
        <v>2025</v>
      </c>
      <c r="C2030" s="20">
        <f t="shared" si="63"/>
        <v>5</v>
      </c>
      <c r="D2030" t="s">
        <v>2170</v>
      </c>
      <c r="E2030" s="49">
        <v>1</v>
      </c>
      <c r="F2030" t="s">
        <v>2171</v>
      </c>
      <c r="G2030" t="s">
        <v>21</v>
      </c>
      <c r="H2030" t="s">
        <v>37</v>
      </c>
      <c r="I2030" s="13">
        <v>180000</v>
      </c>
      <c r="J2030" s="13">
        <v>174000</v>
      </c>
      <c r="K2030" s="13">
        <f>IF(J2030&lt;'Mapa Oficinas'!$I$21,0,IF(J2030&gt;'Mapa Oficinas'!$I$20,0,1))</f>
        <v>1</v>
      </c>
      <c r="L2030" t="s">
        <v>23</v>
      </c>
      <c r="M2030" t="s">
        <v>23</v>
      </c>
      <c r="N2030" t="s">
        <v>2172</v>
      </c>
      <c r="O2030" t="s">
        <v>105</v>
      </c>
      <c r="P2030" t="s">
        <v>45</v>
      </c>
      <c r="Q2030">
        <v>2</v>
      </c>
      <c r="R2030" t="s">
        <v>67</v>
      </c>
      <c r="S2030" t="s">
        <v>28</v>
      </c>
      <c r="T2030" t="str">
        <f>VLOOKUP(S2030,'Mapa Oficinas'!$H$7:$I$16,2,FALSE)</f>
        <v>CB</v>
      </c>
      <c r="U2030" t="s">
        <v>29</v>
      </c>
      <c r="V2030" t="str">
        <f>VLOOKUP($R2030,'Mapa Oficinas'!$A$7:$C$46,2,FALSE)</f>
        <v>CABA</v>
      </c>
      <c r="W2030" t="str">
        <f>VLOOKUP($R2030,'Mapa Oficinas'!$A$7:$C$46,3,FALSE)</f>
        <v>Barrio Parque</v>
      </c>
    </row>
    <row r="2031" spans="1:23" x14ac:dyDescent="0.2">
      <c r="A2031" s="1">
        <v>45737</v>
      </c>
      <c r="B2031" s="20">
        <f t="shared" si="62"/>
        <v>2025</v>
      </c>
      <c r="C2031" s="20">
        <f t="shared" si="63"/>
        <v>3</v>
      </c>
      <c r="D2031" t="s">
        <v>1051</v>
      </c>
      <c r="E2031" s="49">
        <v>1</v>
      </c>
      <c r="F2031" t="s">
        <v>1052</v>
      </c>
      <c r="G2031" t="s">
        <v>21</v>
      </c>
      <c r="H2031" t="s">
        <v>37</v>
      </c>
      <c r="I2031" s="13">
        <v>179000</v>
      </c>
      <c r="J2031" s="13">
        <v>174500</v>
      </c>
      <c r="K2031" s="13">
        <f>IF(J2031&lt;'Mapa Oficinas'!$I$21,0,IF(J2031&gt;'Mapa Oficinas'!$I$20,0,1))</f>
        <v>1</v>
      </c>
      <c r="L2031" t="s">
        <v>23</v>
      </c>
      <c r="M2031" t="s">
        <v>23</v>
      </c>
      <c r="N2031" t="s">
        <v>1053</v>
      </c>
      <c r="O2031" t="s">
        <v>196</v>
      </c>
      <c r="P2031" t="s">
        <v>34</v>
      </c>
      <c r="Q2031">
        <v>2</v>
      </c>
      <c r="R2031" t="s">
        <v>67</v>
      </c>
      <c r="S2031" t="s">
        <v>200</v>
      </c>
      <c r="T2031" t="str">
        <f>VLOOKUP(S2031,'Mapa Oficinas'!$H$7:$I$16,2,FALSE)</f>
        <v>Otra Red Captación</v>
      </c>
      <c r="U2031" t="s">
        <v>29</v>
      </c>
      <c r="V2031" t="str">
        <f>VLOOKUP($R2031,'Mapa Oficinas'!$A$7:$C$46,2,FALSE)</f>
        <v>CABA</v>
      </c>
      <c r="W2031" t="str">
        <f>VLOOKUP($R2031,'Mapa Oficinas'!$A$7:$C$46,3,FALSE)</f>
        <v>Barrio Parque</v>
      </c>
    </row>
    <row r="2032" spans="1:23" x14ac:dyDescent="0.2">
      <c r="A2032" s="1">
        <v>45726</v>
      </c>
      <c r="B2032" s="20">
        <f t="shared" si="62"/>
        <v>2025</v>
      </c>
      <c r="C2032" s="20">
        <f t="shared" si="63"/>
        <v>3</v>
      </c>
      <c r="D2032" t="s">
        <v>885</v>
      </c>
      <c r="E2032" s="49">
        <v>1</v>
      </c>
      <c r="F2032" t="s">
        <v>886</v>
      </c>
      <c r="G2032" t="s">
        <v>21</v>
      </c>
      <c r="H2032" t="s">
        <v>37</v>
      </c>
      <c r="I2032" s="13">
        <v>178000</v>
      </c>
      <c r="J2032" s="13">
        <v>175000</v>
      </c>
      <c r="K2032" s="13">
        <f>IF(J2032&lt;'Mapa Oficinas'!$I$21,0,IF(J2032&gt;'Mapa Oficinas'!$I$20,0,1))</f>
        <v>1</v>
      </c>
      <c r="L2032" t="s">
        <v>23</v>
      </c>
      <c r="M2032" t="s">
        <v>23</v>
      </c>
      <c r="N2032" t="s">
        <v>886</v>
      </c>
      <c r="O2032" t="s">
        <v>193</v>
      </c>
      <c r="P2032" t="s">
        <v>34</v>
      </c>
      <c r="Q2032">
        <v>2</v>
      </c>
      <c r="R2032" t="s">
        <v>110</v>
      </c>
      <c r="S2032" t="s">
        <v>79</v>
      </c>
      <c r="T2032" t="str">
        <f>VLOOKUP(S2032,'Mapa Oficinas'!$H$7:$I$16,2,FALSE)</f>
        <v>CB</v>
      </c>
      <c r="U2032" t="s">
        <v>29</v>
      </c>
      <c r="V2032" t="str">
        <f>VLOOKUP($R2032,'Mapa Oficinas'!$A$7:$C$46,2,FALSE)</f>
        <v>Zona Norte (GBA)</v>
      </c>
      <c r="W2032" t="str">
        <f>VLOOKUP($R2032,'Mapa Oficinas'!$A$7:$C$46,3,FALSE)</f>
        <v>Nordelta</v>
      </c>
    </row>
    <row r="2033" spans="1:23" x14ac:dyDescent="0.2">
      <c r="A2033" s="1">
        <v>45768</v>
      </c>
      <c r="B2033" s="20">
        <f t="shared" si="62"/>
        <v>2025</v>
      </c>
      <c r="C2033" s="20">
        <f t="shared" si="63"/>
        <v>4</v>
      </c>
      <c r="D2033" t="s">
        <v>1512</v>
      </c>
      <c r="E2033" s="49">
        <v>1</v>
      </c>
      <c r="F2033" t="s">
        <v>1513</v>
      </c>
      <c r="G2033" t="s">
        <v>21</v>
      </c>
      <c r="H2033" t="s">
        <v>76</v>
      </c>
      <c r="I2033" s="13">
        <v>180000</v>
      </c>
      <c r="J2033" s="13">
        <v>175000</v>
      </c>
      <c r="K2033" s="13">
        <f>IF(J2033&lt;'Mapa Oficinas'!$I$21,0,IF(J2033&gt;'Mapa Oficinas'!$I$20,0,1))</f>
        <v>1</v>
      </c>
      <c r="L2033" t="s">
        <v>23</v>
      </c>
      <c r="M2033" t="s">
        <v>23</v>
      </c>
      <c r="N2033" t="s">
        <v>1514</v>
      </c>
      <c r="O2033" t="s">
        <v>860</v>
      </c>
      <c r="P2033" t="s">
        <v>34</v>
      </c>
      <c r="Q2033">
        <v>2</v>
      </c>
      <c r="R2033" t="s">
        <v>84</v>
      </c>
      <c r="S2033" t="s">
        <v>79</v>
      </c>
      <c r="T2033" t="str">
        <f>VLOOKUP(S2033,'Mapa Oficinas'!$H$7:$I$16,2,FALSE)</f>
        <v>CB</v>
      </c>
      <c r="U2033" t="s">
        <v>29</v>
      </c>
      <c r="V2033" t="str">
        <f>VLOOKUP($R2033,'Mapa Oficinas'!$A$7:$C$46,2,FALSE)</f>
        <v>Interior - Neuquén</v>
      </c>
      <c r="W2033" t="str">
        <f>VLOOKUP($R2033,'Mapa Oficinas'!$A$7:$C$46,3,FALSE)</f>
        <v>Villa La Angostura</v>
      </c>
    </row>
    <row r="2034" spans="1:23" x14ac:dyDescent="0.2">
      <c r="A2034" s="1">
        <v>45888</v>
      </c>
      <c r="B2034" s="20">
        <f t="shared" si="62"/>
        <v>2025</v>
      </c>
      <c r="C2034" s="20">
        <f t="shared" si="63"/>
        <v>8</v>
      </c>
      <c r="D2034" t="s">
        <v>3648</v>
      </c>
      <c r="E2034" s="49">
        <v>1</v>
      </c>
      <c r="F2034" t="s">
        <v>3649</v>
      </c>
      <c r="G2034" t="s">
        <v>21</v>
      </c>
      <c r="H2034" t="s">
        <v>37</v>
      </c>
      <c r="I2034" s="13">
        <v>175000</v>
      </c>
      <c r="J2034" s="13">
        <v>175000</v>
      </c>
      <c r="K2034" s="13">
        <f>IF(J2034&lt;'Mapa Oficinas'!$I$21,0,IF(J2034&gt;'Mapa Oficinas'!$I$20,0,1))</f>
        <v>1</v>
      </c>
      <c r="L2034" t="s">
        <v>23</v>
      </c>
      <c r="M2034" t="s">
        <v>23</v>
      </c>
      <c r="N2034" t="s">
        <v>3649</v>
      </c>
      <c r="O2034" t="s">
        <v>2027</v>
      </c>
      <c r="P2034" t="s">
        <v>34</v>
      </c>
      <c r="Q2034">
        <v>2</v>
      </c>
      <c r="R2034" t="s">
        <v>110</v>
      </c>
      <c r="S2034" t="s">
        <v>79</v>
      </c>
      <c r="T2034" t="str">
        <f>VLOOKUP(S2034,'Mapa Oficinas'!$H$7:$I$16,2,FALSE)</f>
        <v>CB</v>
      </c>
      <c r="U2034" t="s">
        <v>29</v>
      </c>
      <c r="V2034" t="str">
        <f>VLOOKUP($R2034,'Mapa Oficinas'!$A$7:$C$46,2,FALSE)</f>
        <v>Zona Norte (GBA)</v>
      </c>
      <c r="W2034" t="str">
        <f>VLOOKUP($R2034,'Mapa Oficinas'!$A$7:$C$46,3,FALSE)</f>
        <v>Nordelta</v>
      </c>
    </row>
    <row r="2035" spans="1:23" x14ac:dyDescent="0.2">
      <c r="A2035" s="1">
        <v>46042</v>
      </c>
      <c r="B2035" s="20">
        <f t="shared" si="62"/>
        <v>2026</v>
      </c>
      <c r="C2035" s="20">
        <f t="shared" si="63"/>
        <v>1</v>
      </c>
      <c r="D2035" t="s">
        <v>6329</v>
      </c>
      <c r="E2035" s="49">
        <v>1</v>
      </c>
      <c r="F2035" t="s">
        <v>6330</v>
      </c>
      <c r="G2035" t="s">
        <v>21</v>
      </c>
      <c r="H2035" t="s">
        <v>81</v>
      </c>
      <c r="I2035" s="13">
        <v>195000</v>
      </c>
      <c r="J2035" s="13">
        <v>175000</v>
      </c>
      <c r="K2035" s="13">
        <f>IF(J2035&lt;'Mapa Oficinas'!$I$21,0,IF(J2035&gt;'Mapa Oficinas'!$I$20,0,1))</f>
        <v>1</v>
      </c>
      <c r="L2035" t="s">
        <v>23</v>
      </c>
      <c r="M2035" t="s">
        <v>23</v>
      </c>
      <c r="N2035" t="s">
        <v>6331</v>
      </c>
      <c r="O2035" t="s">
        <v>2852</v>
      </c>
      <c r="P2035" t="s">
        <v>34</v>
      </c>
      <c r="Q2035">
        <v>2</v>
      </c>
      <c r="R2035" t="s">
        <v>2003</v>
      </c>
      <c r="S2035" t="s">
        <v>79</v>
      </c>
      <c r="T2035" t="str">
        <f>VLOOKUP(S2035,'Mapa Oficinas'!$H$7:$I$16,2,FALSE)</f>
        <v>CB</v>
      </c>
      <c r="U2035" t="s">
        <v>29</v>
      </c>
      <c r="V2035" t="str">
        <f>VLOOKUP($R2035,'Mapa Oficinas'!$A$7:$C$46,2,FALSE)</f>
        <v>Interior - Mendoza</v>
      </c>
      <c r="W2035" t="str">
        <f>VLOOKUP($R2035,'Mapa Oficinas'!$A$7:$C$46,3,FALSE)</f>
        <v>San Rafael</v>
      </c>
    </row>
    <row r="2036" spans="1:23" x14ac:dyDescent="0.2">
      <c r="A2036" s="1">
        <v>46072</v>
      </c>
      <c r="B2036" s="20">
        <f t="shared" si="62"/>
        <v>2026</v>
      </c>
      <c r="C2036" s="20">
        <f t="shared" si="63"/>
        <v>2</v>
      </c>
      <c r="D2036" t="s">
        <v>6763</v>
      </c>
      <c r="E2036" s="49">
        <v>1</v>
      </c>
      <c r="F2036" t="s">
        <v>5896</v>
      </c>
      <c r="G2036" t="s">
        <v>21</v>
      </c>
      <c r="H2036" t="s">
        <v>81</v>
      </c>
      <c r="I2036" s="13">
        <v>180000</v>
      </c>
      <c r="J2036" s="13">
        <v>175000</v>
      </c>
      <c r="K2036" s="13">
        <f>IF(J2036&lt;'Mapa Oficinas'!$I$21,0,IF(J2036&gt;'Mapa Oficinas'!$I$20,0,1))</f>
        <v>1</v>
      </c>
      <c r="L2036" t="s">
        <v>23</v>
      </c>
      <c r="M2036" t="s">
        <v>23</v>
      </c>
      <c r="N2036" t="s">
        <v>6764</v>
      </c>
      <c r="O2036" t="s">
        <v>1629</v>
      </c>
      <c r="P2036" t="s">
        <v>34</v>
      </c>
      <c r="Q2036">
        <v>2</v>
      </c>
      <c r="R2036" t="s">
        <v>482</v>
      </c>
      <c r="S2036" t="s">
        <v>79</v>
      </c>
      <c r="T2036" t="str">
        <f>VLOOKUP(S2036,'Mapa Oficinas'!$H$7:$I$16,2,FALSE)</f>
        <v>CB</v>
      </c>
      <c r="U2036" t="s">
        <v>29</v>
      </c>
      <c r="V2036" t="str">
        <f>VLOOKUP($R2036,'Mapa Oficinas'!$A$7:$C$46,2,FALSE)</f>
        <v>Interior - Jujuy</v>
      </c>
      <c r="W2036" t="str">
        <f>VLOOKUP($R2036,'Mapa Oficinas'!$A$7:$C$46,3,FALSE)</f>
        <v>Capital Jujuy</v>
      </c>
    </row>
    <row r="2037" spans="1:23" x14ac:dyDescent="0.2">
      <c r="A2037" s="1">
        <v>45959</v>
      </c>
      <c r="B2037" s="20">
        <f t="shared" si="62"/>
        <v>2025</v>
      </c>
      <c r="C2037" s="20">
        <f t="shared" si="63"/>
        <v>10</v>
      </c>
      <c r="D2037" t="s">
        <v>4989</v>
      </c>
      <c r="E2037" s="49">
        <v>1</v>
      </c>
      <c r="F2037" t="s">
        <v>4990</v>
      </c>
      <c r="G2037" t="s">
        <v>21</v>
      </c>
      <c r="H2037" t="s">
        <v>37</v>
      </c>
      <c r="I2037" s="13">
        <v>175000</v>
      </c>
      <c r="J2037" s="13">
        <v>175000</v>
      </c>
      <c r="K2037" s="13">
        <f>IF(J2037&lt;'Mapa Oficinas'!$I$21,0,IF(J2037&gt;'Mapa Oficinas'!$I$20,0,1))</f>
        <v>1</v>
      </c>
      <c r="L2037" t="s">
        <v>23</v>
      </c>
      <c r="M2037" t="s">
        <v>23</v>
      </c>
      <c r="O2037" t="s">
        <v>199</v>
      </c>
      <c r="P2037" t="s">
        <v>34</v>
      </c>
      <c r="Q2037">
        <v>1</v>
      </c>
      <c r="R2037" t="s">
        <v>46</v>
      </c>
      <c r="S2037" t="s">
        <v>47</v>
      </c>
      <c r="T2037" t="str">
        <f>VLOOKUP(S2037,'Mapa Oficinas'!$H$7:$I$16,2,FALSE)</f>
        <v>Otra Red Búsqueda</v>
      </c>
      <c r="U2037" t="s">
        <v>29</v>
      </c>
      <c r="V2037" t="str">
        <f>VLOOKUP($R2037,'Mapa Oficinas'!$A$7:$C$46,2,FALSE)</f>
        <v>CABA</v>
      </c>
      <c r="W2037" t="str">
        <f>VLOOKUP($R2037,'Mapa Oficinas'!$A$7:$C$46,3,FALSE)</f>
        <v>Palermo</v>
      </c>
    </row>
    <row r="2038" spans="1:23" x14ac:dyDescent="0.2">
      <c r="A2038" s="1">
        <v>46043</v>
      </c>
      <c r="B2038" s="20">
        <f t="shared" si="62"/>
        <v>2026</v>
      </c>
      <c r="C2038" s="20">
        <f t="shared" si="63"/>
        <v>1</v>
      </c>
      <c r="D2038">
        <v>10658</v>
      </c>
      <c r="E2038" s="49">
        <v>1</v>
      </c>
      <c r="F2038" t="s">
        <v>6356</v>
      </c>
      <c r="G2038" t="s">
        <v>21</v>
      </c>
      <c r="H2038" t="s">
        <v>37</v>
      </c>
      <c r="I2038" s="13">
        <v>175000</v>
      </c>
      <c r="J2038" s="13">
        <v>175000</v>
      </c>
      <c r="K2038" s="13">
        <f>IF(J2038&lt;'Mapa Oficinas'!$I$21,0,IF(J2038&gt;'Mapa Oficinas'!$I$20,0,1))</f>
        <v>1</v>
      </c>
      <c r="L2038" t="s">
        <v>23</v>
      </c>
      <c r="M2038" t="s">
        <v>23</v>
      </c>
      <c r="N2038" t="s">
        <v>6356</v>
      </c>
      <c r="O2038" t="s">
        <v>1448</v>
      </c>
      <c r="P2038" t="s">
        <v>45</v>
      </c>
      <c r="Q2038">
        <v>1</v>
      </c>
      <c r="R2038" t="s">
        <v>67</v>
      </c>
      <c r="S2038" t="s">
        <v>47</v>
      </c>
      <c r="T2038" t="str">
        <f>VLOOKUP(S2038,'Mapa Oficinas'!$H$7:$I$16,2,FALSE)</f>
        <v>Otra Red Búsqueda</v>
      </c>
      <c r="U2038" t="s">
        <v>29</v>
      </c>
      <c r="V2038" t="str">
        <f>VLOOKUP($R2038,'Mapa Oficinas'!$A$7:$C$46,2,FALSE)</f>
        <v>CABA</v>
      </c>
      <c r="W2038" t="str">
        <f>VLOOKUP($R2038,'Mapa Oficinas'!$A$7:$C$46,3,FALSE)</f>
        <v>Barrio Parque</v>
      </c>
    </row>
    <row r="2039" spans="1:23" x14ac:dyDescent="0.2">
      <c r="A2039" s="1">
        <v>45775</v>
      </c>
      <c r="B2039" s="20">
        <f t="shared" si="62"/>
        <v>2025</v>
      </c>
      <c r="C2039" s="20">
        <f t="shared" si="63"/>
        <v>4</v>
      </c>
      <c r="D2039" t="s">
        <v>1664</v>
      </c>
      <c r="E2039" s="49">
        <v>1</v>
      </c>
      <c r="F2039" t="s">
        <v>1665</v>
      </c>
      <c r="G2039" t="s">
        <v>21</v>
      </c>
      <c r="H2039" t="s">
        <v>81</v>
      </c>
      <c r="I2039" s="13">
        <v>180000</v>
      </c>
      <c r="J2039" s="13">
        <v>175000</v>
      </c>
      <c r="K2039" s="13">
        <f>IF(J2039&lt;'Mapa Oficinas'!$I$21,0,IF(J2039&gt;'Mapa Oficinas'!$I$20,0,1))</f>
        <v>1</v>
      </c>
      <c r="L2039" t="s">
        <v>23</v>
      </c>
      <c r="M2039" t="s">
        <v>23</v>
      </c>
      <c r="N2039" t="s">
        <v>1666</v>
      </c>
      <c r="O2039" t="s">
        <v>150</v>
      </c>
      <c r="P2039" t="s">
        <v>34</v>
      </c>
      <c r="Q2039">
        <v>2</v>
      </c>
      <c r="R2039" t="s">
        <v>151</v>
      </c>
      <c r="S2039" t="s">
        <v>200</v>
      </c>
      <c r="T2039" t="str">
        <f>VLOOKUP(S2039,'Mapa Oficinas'!$H$7:$I$16,2,FALSE)</f>
        <v>Otra Red Captación</v>
      </c>
      <c r="U2039" t="s">
        <v>29</v>
      </c>
      <c r="V2039" t="str">
        <f>VLOOKUP($R2039,'Mapa Oficinas'!$A$7:$C$46,2,FALSE)</f>
        <v>Interior - Mendoza</v>
      </c>
      <c r="W2039" t="str">
        <f>VLOOKUP($R2039,'Mapa Oficinas'!$A$7:$C$46,3,FALSE)</f>
        <v>Capital Mendoza</v>
      </c>
    </row>
    <row r="2040" spans="1:23" x14ac:dyDescent="0.2">
      <c r="A2040" s="1">
        <v>46006</v>
      </c>
      <c r="B2040" s="20">
        <f t="shared" si="62"/>
        <v>2025</v>
      </c>
      <c r="C2040" s="20">
        <f t="shared" si="63"/>
        <v>12</v>
      </c>
      <c r="D2040" t="s">
        <v>5789</v>
      </c>
      <c r="E2040" s="49">
        <v>1</v>
      </c>
      <c r="F2040" t="s">
        <v>5790</v>
      </c>
      <c r="G2040" t="s">
        <v>21</v>
      </c>
      <c r="H2040" t="s">
        <v>37</v>
      </c>
      <c r="I2040" s="13">
        <v>179000</v>
      </c>
      <c r="J2040" s="13">
        <v>175000</v>
      </c>
      <c r="K2040" s="13">
        <f>IF(J2040&lt;'Mapa Oficinas'!$I$21,0,IF(J2040&gt;'Mapa Oficinas'!$I$20,0,1))</f>
        <v>1</v>
      </c>
      <c r="L2040" t="s">
        <v>23</v>
      </c>
      <c r="M2040" t="s">
        <v>23</v>
      </c>
      <c r="N2040" t="s">
        <v>5791</v>
      </c>
      <c r="O2040" t="s">
        <v>66</v>
      </c>
      <c r="P2040" t="s">
        <v>45</v>
      </c>
      <c r="Q2040">
        <v>2</v>
      </c>
      <c r="R2040" t="s">
        <v>67</v>
      </c>
      <c r="S2040" t="s">
        <v>200</v>
      </c>
      <c r="T2040" t="str">
        <f>VLOOKUP(S2040,'Mapa Oficinas'!$H$7:$I$16,2,FALSE)</f>
        <v>Otra Red Captación</v>
      </c>
      <c r="U2040" t="s">
        <v>29</v>
      </c>
      <c r="V2040" t="str">
        <f>VLOOKUP($R2040,'Mapa Oficinas'!$A$7:$C$46,2,FALSE)</f>
        <v>CABA</v>
      </c>
      <c r="W2040" t="str">
        <f>VLOOKUP($R2040,'Mapa Oficinas'!$A$7:$C$46,3,FALSE)</f>
        <v>Barrio Parque</v>
      </c>
    </row>
    <row r="2041" spans="1:23" x14ac:dyDescent="0.2">
      <c r="A2041" s="1">
        <v>46063</v>
      </c>
      <c r="B2041" s="20">
        <f t="shared" si="62"/>
        <v>2026</v>
      </c>
      <c r="C2041" s="20">
        <f t="shared" si="63"/>
        <v>2</v>
      </c>
      <c r="D2041" t="s">
        <v>6624</v>
      </c>
      <c r="E2041" s="49">
        <v>1</v>
      </c>
      <c r="F2041" t="s">
        <v>6625</v>
      </c>
      <c r="G2041" t="s">
        <v>21</v>
      </c>
      <c r="H2041" t="s">
        <v>22</v>
      </c>
      <c r="I2041" s="13">
        <v>185000</v>
      </c>
      <c r="J2041" s="13">
        <v>175000</v>
      </c>
      <c r="K2041" s="13">
        <f>IF(J2041&lt;'Mapa Oficinas'!$I$21,0,IF(J2041&gt;'Mapa Oficinas'!$I$20,0,1))</f>
        <v>1</v>
      </c>
      <c r="L2041" t="s">
        <v>23</v>
      </c>
      <c r="M2041" t="s">
        <v>23</v>
      </c>
      <c r="N2041" t="s">
        <v>6626</v>
      </c>
      <c r="O2041" t="s">
        <v>519</v>
      </c>
      <c r="P2041" t="s">
        <v>45</v>
      </c>
      <c r="Q2041">
        <v>2</v>
      </c>
      <c r="R2041" t="s">
        <v>670</v>
      </c>
      <c r="S2041" t="s">
        <v>200</v>
      </c>
      <c r="T2041" t="str">
        <f>VLOOKUP(S2041,'Mapa Oficinas'!$H$7:$I$16,2,FALSE)</f>
        <v>Otra Red Captación</v>
      </c>
      <c r="U2041" t="s">
        <v>29</v>
      </c>
      <c r="V2041" t="str">
        <f>VLOOKUP($R2041,'Mapa Oficinas'!$A$7:$C$46,2,FALSE)</f>
        <v>CABA</v>
      </c>
      <c r="W2041" t="str">
        <f>VLOOKUP($R2041,'Mapa Oficinas'!$A$7:$C$46,3,FALSE)</f>
        <v>Recoleta</v>
      </c>
    </row>
    <row r="2042" spans="1:23" x14ac:dyDescent="0.2">
      <c r="A2042" s="1">
        <v>45698</v>
      </c>
      <c r="B2042" s="20">
        <f t="shared" si="62"/>
        <v>2025</v>
      </c>
      <c r="C2042" s="20">
        <f t="shared" si="63"/>
        <v>2</v>
      </c>
      <c r="D2042" t="s">
        <v>538</v>
      </c>
      <c r="E2042" s="49">
        <v>1</v>
      </c>
      <c r="F2042" t="s">
        <v>539</v>
      </c>
      <c r="G2042" t="s">
        <v>21</v>
      </c>
      <c r="H2042" t="s">
        <v>76</v>
      </c>
      <c r="I2042" s="13">
        <v>180000</v>
      </c>
      <c r="J2042" s="13">
        <v>175000</v>
      </c>
      <c r="K2042" s="13">
        <f>IF(J2042&lt;'Mapa Oficinas'!$I$21,0,IF(J2042&gt;'Mapa Oficinas'!$I$20,0,1))</f>
        <v>1</v>
      </c>
      <c r="L2042" t="s">
        <v>23</v>
      </c>
      <c r="M2042" t="s">
        <v>23</v>
      </c>
      <c r="N2042" t="s">
        <v>540</v>
      </c>
      <c r="O2042" t="s">
        <v>541</v>
      </c>
      <c r="P2042" t="s">
        <v>34</v>
      </c>
      <c r="Q2042">
        <v>2</v>
      </c>
      <c r="R2042" t="s">
        <v>121</v>
      </c>
      <c r="S2042" t="s">
        <v>241</v>
      </c>
      <c r="T2042" t="str">
        <f>VLOOKUP(S2042,'Mapa Oficinas'!$H$7:$I$16,2,FALSE)</f>
        <v>CB</v>
      </c>
      <c r="U2042" t="s">
        <v>29</v>
      </c>
      <c r="V2042" t="str">
        <f>VLOOKUP($R2042,'Mapa Oficinas'!$A$7:$C$46,2,FALSE)</f>
        <v>Interior - Río Negro</v>
      </c>
      <c r="W2042" t="str">
        <f>VLOOKUP($R2042,'Mapa Oficinas'!$A$7:$C$46,3,FALSE)</f>
        <v>Bariloche</v>
      </c>
    </row>
    <row r="2043" spans="1:23" x14ac:dyDescent="0.2">
      <c r="A2043" s="1">
        <v>46080</v>
      </c>
      <c r="B2043" s="20">
        <f t="shared" si="62"/>
        <v>2026</v>
      </c>
      <c r="C2043" s="20">
        <f t="shared" si="63"/>
        <v>2</v>
      </c>
      <c r="D2043" t="s">
        <v>6915</v>
      </c>
      <c r="E2043" s="49">
        <v>1</v>
      </c>
      <c r="F2043" t="s">
        <v>6916</v>
      </c>
      <c r="G2043" t="s">
        <v>21</v>
      </c>
      <c r="H2043" t="s">
        <v>22</v>
      </c>
      <c r="I2043" s="13">
        <v>170000</v>
      </c>
      <c r="J2043" s="13">
        <v>175000</v>
      </c>
      <c r="K2043" s="13">
        <f>IF(J2043&lt;'Mapa Oficinas'!$I$21,0,IF(J2043&gt;'Mapa Oficinas'!$I$20,0,1))</f>
        <v>1</v>
      </c>
      <c r="L2043" t="s">
        <v>23</v>
      </c>
      <c r="M2043" t="s">
        <v>23</v>
      </c>
      <c r="N2043" t="s">
        <v>5263</v>
      </c>
      <c r="O2043" t="s">
        <v>5264</v>
      </c>
      <c r="P2043" t="s">
        <v>34</v>
      </c>
      <c r="Q2043">
        <v>2</v>
      </c>
      <c r="R2043" t="s">
        <v>257</v>
      </c>
      <c r="S2043" t="s">
        <v>241</v>
      </c>
      <c r="T2043" t="str">
        <f>VLOOKUP(S2043,'Mapa Oficinas'!$H$7:$I$16,2,FALSE)</f>
        <v>CB</v>
      </c>
      <c r="U2043" t="s">
        <v>29</v>
      </c>
      <c r="V2043" t="str">
        <f>VLOOKUP($R2043,'Mapa Oficinas'!$A$7:$C$46,2,FALSE)</f>
        <v>Zona Norte (GBA)</v>
      </c>
      <c r="W2043" t="str">
        <f>VLOOKUP($R2043,'Mapa Oficinas'!$A$7:$C$46,3,FALSE)</f>
        <v>Pilar</v>
      </c>
    </row>
    <row r="2044" spans="1:23" x14ac:dyDescent="0.2">
      <c r="A2044" s="1">
        <v>45726</v>
      </c>
      <c r="B2044" s="20">
        <f t="shared" si="62"/>
        <v>2025</v>
      </c>
      <c r="C2044" s="20">
        <f t="shared" si="63"/>
        <v>3</v>
      </c>
      <c r="D2044" t="s">
        <v>538</v>
      </c>
      <c r="E2044" s="49">
        <v>0</v>
      </c>
      <c r="F2044" t="s">
        <v>539</v>
      </c>
      <c r="G2044" t="s">
        <v>21</v>
      </c>
      <c r="H2044" t="s">
        <v>76</v>
      </c>
      <c r="I2044" s="13">
        <v>180000</v>
      </c>
      <c r="J2044" s="13">
        <v>175000</v>
      </c>
      <c r="K2044" s="13">
        <f>IF(J2044&lt;'Mapa Oficinas'!$I$21,0,IF(J2044&gt;'Mapa Oficinas'!$I$20,0,1))</f>
        <v>1</v>
      </c>
      <c r="L2044" t="s">
        <v>23</v>
      </c>
      <c r="M2044" t="s">
        <v>23</v>
      </c>
      <c r="N2044" t="s">
        <v>540</v>
      </c>
      <c r="O2044" t="s">
        <v>541</v>
      </c>
      <c r="P2044" t="s">
        <v>34</v>
      </c>
      <c r="Q2044">
        <v>2</v>
      </c>
      <c r="R2044" t="s">
        <v>84</v>
      </c>
      <c r="S2044" t="s">
        <v>404</v>
      </c>
      <c r="T2044" t="str">
        <f>VLOOKUP(S2044,'Mapa Oficinas'!$H$7:$I$16,2,FALSE)</f>
        <v>CB</v>
      </c>
      <c r="U2044" t="s">
        <v>29</v>
      </c>
      <c r="V2044" t="str">
        <f>VLOOKUP($R2044,'Mapa Oficinas'!$A$7:$C$46,2,FALSE)</f>
        <v>Interior - Neuquén</v>
      </c>
      <c r="W2044" t="str">
        <f>VLOOKUP($R2044,'Mapa Oficinas'!$A$7:$C$46,3,FALSE)</f>
        <v>Villa La Angostura</v>
      </c>
    </row>
    <row r="2045" spans="1:23" x14ac:dyDescent="0.2">
      <c r="A2045" s="1">
        <v>45909</v>
      </c>
      <c r="B2045" s="20">
        <f t="shared" si="62"/>
        <v>2025</v>
      </c>
      <c r="C2045" s="20">
        <f t="shared" si="63"/>
        <v>9</v>
      </c>
      <c r="D2045" t="s">
        <v>4051</v>
      </c>
      <c r="E2045" s="49">
        <v>1</v>
      </c>
      <c r="F2045" t="s">
        <v>4052</v>
      </c>
      <c r="G2045" t="s">
        <v>21</v>
      </c>
      <c r="H2045" t="s">
        <v>37</v>
      </c>
      <c r="I2045" s="13">
        <v>180000</v>
      </c>
      <c r="J2045" s="13">
        <v>175000</v>
      </c>
      <c r="K2045" s="13">
        <f>IF(J2045&lt;'Mapa Oficinas'!$I$21,0,IF(J2045&gt;'Mapa Oficinas'!$I$20,0,1))</f>
        <v>1</v>
      </c>
      <c r="L2045" t="s">
        <v>23</v>
      </c>
      <c r="M2045" t="s">
        <v>23</v>
      </c>
      <c r="N2045" t="s">
        <v>4052</v>
      </c>
      <c r="O2045" t="s">
        <v>4053</v>
      </c>
      <c r="P2045" t="s">
        <v>34</v>
      </c>
      <c r="Q2045">
        <v>2</v>
      </c>
      <c r="R2045" t="s">
        <v>130</v>
      </c>
      <c r="S2045" t="s">
        <v>1265</v>
      </c>
      <c r="T2045" t="str">
        <f>VLOOKUP(S2045,'Mapa Oficinas'!$H$7:$I$16,2,FALSE)</f>
        <v>CB</v>
      </c>
      <c r="U2045" t="s">
        <v>29</v>
      </c>
      <c r="V2045" t="str">
        <f>VLOOKUP($R2045,'Mapa Oficinas'!$A$7:$C$46,2,FALSE)</f>
        <v>Interior - Neuquén</v>
      </c>
      <c r="W2045" t="str">
        <f>VLOOKUP($R2045,'Mapa Oficinas'!$A$7:$C$46,3,FALSE)</f>
        <v>San Martín de los Andes</v>
      </c>
    </row>
    <row r="2046" spans="1:23" x14ac:dyDescent="0.2">
      <c r="A2046" s="1">
        <v>45669</v>
      </c>
      <c r="B2046" s="20">
        <f t="shared" si="62"/>
        <v>2025</v>
      </c>
      <c r="C2046" s="20">
        <f t="shared" si="63"/>
        <v>1</v>
      </c>
      <c r="D2046" t="s">
        <v>194</v>
      </c>
      <c r="E2046" s="49">
        <v>1</v>
      </c>
      <c r="F2046" t="s">
        <v>195</v>
      </c>
      <c r="G2046" t="s">
        <v>21</v>
      </c>
      <c r="H2046" t="s">
        <v>37</v>
      </c>
      <c r="I2046" s="13">
        <v>175000</v>
      </c>
      <c r="J2046" s="13">
        <v>175000</v>
      </c>
      <c r="K2046" s="13">
        <f>IF(J2046&lt;'Mapa Oficinas'!$I$21,0,IF(J2046&gt;'Mapa Oficinas'!$I$20,0,1))</f>
        <v>1</v>
      </c>
      <c r="L2046" t="s">
        <v>23</v>
      </c>
      <c r="M2046" t="s">
        <v>23</v>
      </c>
      <c r="N2046" t="s">
        <v>195</v>
      </c>
      <c r="O2046" t="s">
        <v>196</v>
      </c>
      <c r="P2046" t="s">
        <v>34</v>
      </c>
      <c r="Q2046">
        <v>2</v>
      </c>
      <c r="R2046" t="s">
        <v>110</v>
      </c>
      <c r="S2046" t="s">
        <v>28</v>
      </c>
      <c r="T2046" t="str">
        <f>VLOOKUP(S2046,'Mapa Oficinas'!$H$7:$I$16,2,FALSE)</f>
        <v>CB</v>
      </c>
      <c r="U2046" t="s">
        <v>29</v>
      </c>
      <c r="V2046" t="str">
        <f>VLOOKUP($R2046,'Mapa Oficinas'!$A$7:$C$46,2,FALSE)</f>
        <v>Zona Norte (GBA)</v>
      </c>
      <c r="W2046" t="str">
        <f>VLOOKUP($R2046,'Mapa Oficinas'!$A$7:$C$46,3,FALSE)</f>
        <v>Nordelta</v>
      </c>
    </row>
    <row r="2047" spans="1:23" x14ac:dyDescent="0.2">
      <c r="A2047" s="1">
        <v>45721</v>
      </c>
      <c r="B2047" s="20">
        <f t="shared" si="62"/>
        <v>2025</v>
      </c>
      <c r="C2047" s="20">
        <f t="shared" si="63"/>
        <v>3</v>
      </c>
      <c r="D2047" t="s">
        <v>843</v>
      </c>
      <c r="E2047" s="49">
        <v>1</v>
      </c>
      <c r="F2047" t="s">
        <v>844</v>
      </c>
      <c r="G2047" t="s">
        <v>21</v>
      </c>
      <c r="H2047" t="s">
        <v>22</v>
      </c>
      <c r="I2047" s="13">
        <v>175000</v>
      </c>
      <c r="J2047" s="13">
        <v>175000</v>
      </c>
      <c r="K2047" s="13">
        <f>IF(J2047&lt;'Mapa Oficinas'!$I$21,0,IF(J2047&gt;'Mapa Oficinas'!$I$20,0,1))</f>
        <v>1</v>
      </c>
      <c r="L2047" t="s">
        <v>23</v>
      </c>
      <c r="M2047" t="s">
        <v>23</v>
      </c>
      <c r="N2047" t="s">
        <v>845</v>
      </c>
      <c r="O2047" t="s">
        <v>39</v>
      </c>
      <c r="P2047" t="s">
        <v>34</v>
      </c>
      <c r="Q2047">
        <v>2</v>
      </c>
      <c r="R2047" t="s">
        <v>257</v>
      </c>
      <c r="S2047" t="s">
        <v>28</v>
      </c>
      <c r="T2047" t="str">
        <f>VLOOKUP(S2047,'Mapa Oficinas'!$H$7:$I$16,2,FALSE)</f>
        <v>CB</v>
      </c>
      <c r="U2047" t="s">
        <v>29</v>
      </c>
      <c r="V2047" t="str">
        <f>VLOOKUP($R2047,'Mapa Oficinas'!$A$7:$C$46,2,FALSE)</f>
        <v>Zona Norte (GBA)</v>
      </c>
      <c r="W2047" t="str">
        <f>VLOOKUP($R2047,'Mapa Oficinas'!$A$7:$C$46,3,FALSE)</f>
        <v>Pilar</v>
      </c>
    </row>
    <row r="2048" spans="1:23" x14ac:dyDescent="0.2">
      <c r="A2048" s="1">
        <v>45789</v>
      </c>
      <c r="B2048" s="20">
        <f t="shared" si="62"/>
        <v>2025</v>
      </c>
      <c r="C2048" s="20">
        <f t="shared" si="63"/>
        <v>5</v>
      </c>
      <c r="D2048" t="s">
        <v>1876</v>
      </c>
      <c r="E2048" s="49">
        <v>1</v>
      </c>
      <c r="F2048" t="s">
        <v>1877</v>
      </c>
      <c r="G2048" t="s">
        <v>21</v>
      </c>
      <c r="H2048" t="s">
        <v>37</v>
      </c>
      <c r="I2048" s="13">
        <v>180000</v>
      </c>
      <c r="J2048" s="13">
        <v>175000</v>
      </c>
      <c r="K2048" s="13">
        <f>IF(J2048&lt;'Mapa Oficinas'!$I$21,0,IF(J2048&gt;'Mapa Oficinas'!$I$20,0,1))</f>
        <v>1</v>
      </c>
      <c r="L2048" t="s">
        <v>23</v>
      </c>
      <c r="M2048" t="s">
        <v>23</v>
      </c>
      <c r="N2048" t="s">
        <v>1878</v>
      </c>
      <c r="O2048" t="s">
        <v>190</v>
      </c>
      <c r="P2048" t="s">
        <v>45</v>
      </c>
      <c r="Q2048">
        <v>2</v>
      </c>
      <c r="R2048" t="s">
        <v>110</v>
      </c>
      <c r="S2048" t="s">
        <v>28</v>
      </c>
      <c r="T2048" t="str">
        <f>VLOOKUP(S2048,'Mapa Oficinas'!$H$7:$I$16,2,FALSE)</f>
        <v>CB</v>
      </c>
      <c r="U2048" t="s">
        <v>29</v>
      </c>
      <c r="V2048" t="str">
        <f>VLOOKUP($R2048,'Mapa Oficinas'!$A$7:$C$46,2,FALSE)</f>
        <v>Zona Norte (GBA)</v>
      </c>
      <c r="W2048" t="str">
        <f>VLOOKUP($R2048,'Mapa Oficinas'!$A$7:$C$46,3,FALSE)</f>
        <v>Nordelta</v>
      </c>
    </row>
    <row r="2049" spans="1:23" x14ac:dyDescent="0.2">
      <c r="A2049" s="1">
        <v>45793</v>
      </c>
      <c r="B2049" s="20">
        <f t="shared" si="62"/>
        <v>2025</v>
      </c>
      <c r="C2049" s="20">
        <f t="shared" si="63"/>
        <v>5</v>
      </c>
      <c r="D2049" t="s">
        <v>1991</v>
      </c>
      <c r="E2049" s="49">
        <v>1</v>
      </c>
      <c r="F2049" t="s">
        <v>1992</v>
      </c>
      <c r="G2049" t="s">
        <v>21</v>
      </c>
      <c r="H2049" t="s">
        <v>90</v>
      </c>
      <c r="I2049" s="13">
        <v>180000</v>
      </c>
      <c r="J2049" s="13">
        <v>175000</v>
      </c>
      <c r="K2049" s="13">
        <f>IF(J2049&lt;'Mapa Oficinas'!$I$21,0,IF(J2049&gt;'Mapa Oficinas'!$I$20,0,1))</f>
        <v>1</v>
      </c>
      <c r="L2049" t="s">
        <v>23</v>
      </c>
      <c r="M2049" t="s">
        <v>23</v>
      </c>
      <c r="N2049" t="s">
        <v>1993</v>
      </c>
      <c r="O2049" t="s">
        <v>860</v>
      </c>
      <c r="P2049" t="s">
        <v>34</v>
      </c>
      <c r="Q2049">
        <v>2</v>
      </c>
      <c r="R2049" t="s">
        <v>84</v>
      </c>
      <c r="S2049" t="s">
        <v>28</v>
      </c>
      <c r="T2049" t="str">
        <f>VLOOKUP(S2049,'Mapa Oficinas'!$H$7:$I$16,2,FALSE)</f>
        <v>CB</v>
      </c>
      <c r="U2049" t="s">
        <v>29</v>
      </c>
      <c r="V2049" t="str">
        <f>VLOOKUP($R2049,'Mapa Oficinas'!$A$7:$C$46,2,FALSE)</f>
        <v>Interior - Neuquén</v>
      </c>
      <c r="W2049" t="str">
        <f>VLOOKUP($R2049,'Mapa Oficinas'!$A$7:$C$46,3,FALSE)</f>
        <v>Villa La Angostura</v>
      </c>
    </row>
    <row r="2050" spans="1:23" x14ac:dyDescent="0.2">
      <c r="A2050" s="1">
        <v>45833</v>
      </c>
      <c r="B2050" s="20">
        <f t="shared" ref="B2050:B2113" si="64">YEAR($A2050)</f>
        <v>2025</v>
      </c>
      <c r="C2050" s="20">
        <f t="shared" ref="C2050:C2113" si="65">MONTH($A2050)</f>
        <v>6</v>
      </c>
      <c r="D2050" t="s">
        <v>2641</v>
      </c>
      <c r="E2050" s="49">
        <v>1</v>
      </c>
      <c r="F2050" t="s">
        <v>2642</v>
      </c>
      <c r="G2050" t="s">
        <v>21</v>
      </c>
      <c r="H2050" t="s">
        <v>37</v>
      </c>
      <c r="I2050" s="13">
        <v>117000</v>
      </c>
      <c r="J2050" s="13">
        <v>175000</v>
      </c>
      <c r="K2050" s="13">
        <f>IF(J2050&lt;'Mapa Oficinas'!$I$21,0,IF(J2050&gt;'Mapa Oficinas'!$I$20,0,1))</f>
        <v>1</v>
      </c>
      <c r="L2050" t="s">
        <v>23</v>
      </c>
      <c r="M2050" t="s">
        <v>23</v>
      </c>
      <c r="N2050" t="s">
        <v>751</v>
      </c>
      <c r="O2050" t="s">
        <v>738</v>
      </c>
      <c r="P2050" t="s">
        <v>45</v>
      </c>
      <c r="Q2050">
        <v>2</v>
      </c>
      <c r="R2050" t="s">
        <v>670</v>
      </c>
      <c r="S2050" t="s">
        <v>28</v>
      </c>
      <c r="T2050" t="str">
        <f>VLOOKUP(S2050,'Mapa Oficinas'!$H$7:$I$16,2,FALSE)</f>
        <v>CB</v>
      </c>
      <c r="U2050" t="s">
        <v>29</v>
      </c>
      <c r="V2050" t="str">
        <f>VLOOKUP($R2050,'Mapa Oficinas'!$A$7:$C$46,2,FALSE)</f>
        <v>CABA</v>
      </c>
      <c r="W2050" t="str">
        <f>VLOOKUP($R2050,'Mapa Oficinas'!$A$7:$C$46,3,FALSE)</f>
        <v>Recoleta</v>
      </c>
    </row>
    <row r="2051" spans="1:23" x14ac:dyDescent="0.2">
      <c r="A2051" s="1">
        <v>45877</v>
      </c>
      <c r="B2051" s="20">
        <f t="shared" si="64"/>
        <v>2025</v>
      </c>
      <c r="C2051" s="20">
        <f t="shared" si="65"/>
        <v>8</v>
      </c>
      <c r="D2051" t="s">
        <v>3490</v>
      </c>
      <c r="E2051" s="49">
        <v>1</v>
      </c>
      <c r="F2051" t="s">
        <v>3491</v>
      </c>
      <c r="G2051" t="s">
        <v>21</v>
      </c>
      <c r="H2051" t="s">
        <v>37</v>
      </c>
      <c r="I2051" s="13">
        <v>175000</v>
      </c>
      <c r="J2051" s="13">
        <v>175000</v>
      </c>
      <c r="K2051" s="13">
        <f>IF(J2051&lt;'Mapa Oficinas'!$I$21,0,IF(J2051&gt;'Mapa Oficinas'!$I$20,0,1))</f>
        <v>1</v>
      </c>
      <c r="L2051" t="s">
        <v>23</v>
      </c>
      <c r="M2051" t="s">
        <v>23</v>
      </c>
      <c r="N2051" t="s">
        <v>3492</v>
      </c>
      <c r="O2051" t="s">
        <v>25</v>
      </c>
      <c r="P2051" t="s">
        <v>45</v>
      </c>
      <c r="Q2051">
        <v>2</v>
      </c>
      <c r="R2051" t="s">
        <v>67</v>
      </c>
      <c r="S2051" t="s">
        <v>28</v>
      </c>
      <c r="T2051" t="str">
        <f>VLOOKUP(S2051,'Mapa Oficinas'!$H$7:$I$16,2,FALSE)</f>
        <v>CB</v>
      </c>
      <c r="U2051" t="s">
        <v>29</v>
      </c>
      <c r="V2051" t="str">
        <f>VLOOKUP($R2051,'Mapa Oficinas'!$A$7:$C$46,2,FALSE)</f>
        <v>CABA</v>
      </c>
      <c r="W2051" t="str">
        <f>VLOOKUP($R2051,'Mapa Oficinas'!$A$7:$C$46,3,FALSE)</f>
        <v>Barrio Parque</v>
      </c>
    </row>
    <row r="2052" spans="1:23" x14ac:dyDescent="0.2">
      <c r="A2052" s="1">
        <v>46007</v>
      </c>
      <c r="B2052" s="20">
        <f t="shared" si="64"/>
        <v>2025</v>
      </c>
      <c r="C2052" s="20">
        <f t="shared" si="65"/>
        <v>12</v>
      </c>
      <c r="D2052" t="s">
        <v>5813</v>
      </c>
      <c r="E2052" s="49">
        <v>1</v>
      </c>
      <c r="F2052" t="s">
        <v>5814</v>
      </c>
      <c r="G2052" t="s">
        <v>21</v>
      </c>
      <c r="H2052" t="s">
        <v>37</v>
      </c>
      <c r="I2052" s="13">
        <v>230000</v>
      </c>
      <c r="J2052" s="13">
        <v>175000</v>
      </c>
      <c r="K2052" s="13">
        <f>IF(J2052&lt;'Mapa Oficinas'!$I$21,0,IF(J2052&gt;'Mapa Oficinas'!$I$20,0,1))</f>
        <v>1</v>
      </c>
      <c r="L2052" t="s">
        <v>23</v>
      </c>
      <c r="M2052" t="s">
        <v>23</v>
      </c>
      <c r="N2052" t="s">
        <v>5815</v>
      </c>
      <c r="O2052" t="s">
        <v>4565</v>
      </c>
      <c r="P2052" t="s">
        <v>45</v>
      </c>
      <c r="Q2052">
        <v>2</v>
      </c>
      <c r="R2052" t="s">
        <v>110</v>
      </c>
      <c r="S2052" t="s">
        <v>28</v>
      </c>
      <c r="T2052" t="str">
        <f>VLOOKUP(S2052,'Mapa Oficinas'!$H$7:$I$16,2,FALSE)</f>
        <v>CB</v>
      </c>
      <c r="U2052" t="s">
        <v>29</v>
      </c>
      <c r="V2052" t="str">
        <f>VLOOKUP($R2052,'Mapa Oficinas'!$A$7:$C$46,2,FALSE)</f>
        <v>Zona Norte (GBA)</v>
      </c>
      <c r="W2052" t="str">
        <f>VLOOKUP($R2052,'Mapa Oficinas'!$A$7:$C$46,3,FALSE)</f>
        <v>Nordelta</v>
      </c>
    </row>
    <row r="2053" spans="1:23" x14ac:dyDescent="0.2">
      <c r="A2053" s="1">
        <v>46057</v>
      </c>
      <c r="B2053" s="20">
        <f t="shared" si="64"/>
        <v>2026</v>
      </c>
      <c r="C2053" s="20">
        <f t="shared" si="65"/>
        <v>2</v>
      </c>
      <c r="D2053" t="s">
        <v>6530</v>
      </c>
      <c r="E2053" s="49">
        <v>1</v>
      </c>
      <c r="F2053" t="s">
        <v>6531</v>
      </c>
      <c r="G2053" t="s">
        <v>21</v>
      </c>
      <c r="H2053" t="s">
        <v>37</v>
      </c>
      <c r="I2053" s="13">
        <v>210000</v>
      </c>
      <c r="J2053" s="13">
        <v>175000</v>
      </c>
      <c r="K2053" s="13">
        <f>IF(J2053&lt;'Mapa Oficinas'!$I$21,0,IF(J2053&gt;'Mapa Oficinas'!$I$20,0,1))</f>
        <v>1</v>
      </c>
      <c r="L2053" t="s">
        <v>23</v>
      </c>
      <c r="M2053" t="s">
        <v>23</v>
      </c>
      <c r="N2053" t="s">
        <v>6532</v>
      </c>
      <c r="O2053" t="s">
        <v>1721</v>
      </c>
      <c r="P2053" t="s">
        <v>34</v>
      </c>
      <c r="Q2053">
        <v>2</v>
      </c>
      <c r="R2053" t="s">
        <v>103</v>
      </c>
      <c r="S2053" t="s">
        <v>28</v>
      </c>
      <c r="T2053" t="str">
        <f>VLOOKUP(S2053,'Mapa Oficinas'!$H$7:$I$16,2,FALSE)</f>
        <v>CB</v>
      </c>
      <c r="U2053" t="s">
        <v>29</v>
      </c>
      <c r="V2053" t="str">
        <f>VLOOKUP($R2053,'Mapa Oficinas'!$A$7:$C$46,2,FALSE)</f>
        <v>Zona Sur (GBA)</v>
      </c>
      <c r="W2053" t="str">
        <f>VLOOKUP($R2053,'Mapa Oficinas'!$A$7:$C$46,3,FALSE)</f>
        <v>La Plata</v>
      </c>
    </row>
    <row r="2054" spans="1:23" x14ac:dyDescent="0.2">
      <c r="A2054" s="1">
        <v>46059</v>
      </c>
      <c r="B2054" s="20">
        <f t="shared" si="64"/>
        <v>2026</v>
      </c>
      <c r="C2054" s="20">
        <f t="shared" si="65"/>
        <v>2</v>
      </c>
      <c r="D2054" t="s">
        <v>6572</v>
      </c>
      <c r="E2054" s="49">
        <v>1</v>
      </c>
      <c r="F2054" t="s">
        <v>6573</v>
      </c>
      <c r="G2054" t="s">
        <v>21</v>
      </c>
      <c r="H2054" t="s">
        <v>37</v>
      </c>
      <c r="I2054" s="13">
        <v>198000</v>
      </c>
      <c r="J2054" s="13">
        <v>175000</v>
      </c>
      <c r="K2054" s="13">
        <f>IF(J2054&lt;'Mapa Oficinas'!$I$21,0,IF(J2054&gt;'Mapa Oficinas'!$I$20,0,1))</f>
        <v>1</v>
      </c>
      <c r="L2054" t="s">
        <v>23</v>
      </c>
      <c r="M2054" t="s">
        <v>23</v>
      </c>
      <c r="N2054" t="s">
        <v>6574</v>
      </c>
      <c r="O2054" t="s">
        <v>1598</v>
      </c>
      <c r="P2054" t="s">
        <v>34</v>
      </c>
      <c r="Q2054">
        <v>2</v>
      </c>
      <c r="R2054" t="s">
        <v>135</v>
      </c>
      <c r="S2054" t="s">
        <v>28</v>
      </c>
      <c r="T2054" t="str">
        <f>VLOOKUP(S2054,'Mapa Oficinas'!$H$7:$I$16,2,FALSE)</f>
        <v>CB</v>
      </c>
      <c r="U2054" t="s">
        <v>29</v>
      </c>
      <c r="V2054" t="str">
        <f>VLOOKUP($R2054,'Mapa Oficinas'!$A$7:$C$46,2,FALSE)</f>
        <v>CABA</v>
      </c>
      <c r="W2054" t="str">
        <f>VLOOKUP($R2054,'Mapa Oficinas'!$A$7:$C$46,3,FALSE)</f>
        <v>Recoleta</v>
      </c>
    </row>
    <row r="2055" spans="1:23" x14ac:dyDescent="0.2">
      <c r="A2055" s="1">
        <v>46091</v>
      </c>
      <c r="B2055" s="20">
        <f t="shared" si="64"/>
        <v>2026</v>
      </c>
      <c r="C2055" s="20">
        <f t="shared" si="65"/>
        <v>3</v>
      </c>
      <c r="D2055" t="s">
        <v>6530</v>
      </c>
      <c r="E2055" s="49">
        <v>1</v>
      </c>
      <c r="F2055" t="s">
        <v>6531</v>
      </c>
      <c r="G2055" t="s">
        <v>21</v>
      </c>
      <c r="H2055" t="s">
        <v>37</v>
      </c>
      <c r="I2055" s="13">
        <v>210000</v>
      </c>
      <c r="J2055" s="13">
        <v>175000</v>
      </c>
      <c r="K2055" s="13">
        <f>IF(J2055&lt;'Mapa Oficinas'!$I$21,0,IF(J2055&gt;'Mapa Oficinas'!$I$20,0,1))</f>
        <v>1</v>
      </c>
      <c r="L2055" t="s">
        <v>23</v>
      </c>
      <c r="M2055" t="s">
        <v>23</v>
      </c>
      <c r="N2055" t="s">
        <v>6532</v>
      </c>
      <c r="O2055" t="s">
        <v>1721</v>
      </c>
      <c r="P2055" t="s">
        <v>34</v>
      </c>
      <c r="Q2055">
        <v>2</v>
      </c>
      <c r="R2055" t="s">
        <v>103</v>
      </c>
      <c r="S2055" t="s">
        <v>28</v>
      </c>
      <c r="T2055" t="str">
        <f>VLOOKUP(S2055,'Mapa Oficinas'!$H$7:$I$16,2,FALSE)</f>
        <v>CB</v>
      </c>
      <c r="U2055" t="s">
        <v>29</v>
      </c>
      <c r="V2055" t="str">
        <f>VLOOKUP($R2055,'Mapa Oficinas'!$A$7:$C$46,2,FALSE)</f>
        <v>Zona Sur (GBA)</v>
      </c>
      <c r="W2055" t="str">
        <f>VLOOKUP($R2055,'Mapa Oficinas'!$A$7:$C$46,3,FALSE)</f>
        <v>La Plata</v>
      </c>
    </row>
    <row r="2056" spans="1:23" x14ac:dyDescent="0.2">
      <c r="A2056" s="1">
        <v>45688</v>
      </c>
      <c r="B2056" s="20">
        <f t="shared" si="64"/>
        <v>2025</v>
      </c>
      <c r="C2056" s="20">
        <f t="shared" si="65"/>
        <v>1</v>
      </c>
      <c r="D2056" t="s">
        <v>460</v>
      </c>
      <c r="E2056" s="49">
        <v>3</v>
      </c>
      <c r="F2056" t="s">
        <v>461</v>
      </c>
      <c r="G2056" t="s">
        <v>21</v>
      </c>
      <c r="H2056" t="s">
        <v>37</v>
      </c>
      <c r="I2056" s="13">
        <v>175689</v>
      </c>
      <c r="J2056" s="13">
        <v>175689</v>
      </c>
      <c r="K2056" s="13">
        <f>IF(J2056&lt;'Mapa Oficinas'!$I$21,0,IF(J2056&gt;'Mapa Oficinas'!$I$20,0,1))</f>
        <v>1</v>
      </c>
      <c r="L2056" t="s">
        <v>23</v>
      </c>
      <c r="M2056" t="s">
        <v>23</v>
      </c>
      <c r="N2056" t="s">
        <v>462</v>
      </c>
      <c r="O2056" t="s">
        <v>50</v>
      </c>
      <c r="P2056" t="s">
        <v>45</v>
      </c>
      <c r="Q2056">
        <v>2</v>
      </c>
      <c r="R2056" t="s">
        <v>40</v>
      </c>
      <c r="S2056" t="s">
        <v>232</v>
      </c>
      <c r="T2056" t="str">
        <f>VLOOKUP(S2056,'Mapa Oficinas'!$H$7:$I$16,2,FALSE)</f>
        <v>CB</v>
      </c>
      <c r="U2056" t="s">
        <v>29</v>
      </c>
      <c r="V2056" t="str">
        <f>VLOOKUP($R2056,'Mapa Oficinas'!$A$7:$C$46,2,FALSE)</f>
        <v>CABA</v>
      </c>
      <c r="W2056" t="str">
        <f>VLOOKUP($R2056,'Mapa Oficinas'!$A$7:$C$46,3,FALSE)</f>
        <v>Núñez</v>
      </c>
    </row>
    <row r="2057" spans="1:23" x14ac:dyDescent="0.2">
      <c r="A2057" s="1">
        <v>45863</v>
      </c>
      <c r="B2057" s="20">
        <f t="shared" si="64"/>
        <v>2025</v>
      </c>
      <c r="C2057" s="20">
        <f t="shared" si="65"/>
        <v>7</v>
      </c>
      <c r="D2057" t="s">
        <v>3233</v>
      </c>
      <c r="E2057" s="49">
        <v>1</v>
      </c>
      <c r="F2057" t="s">
        <v>3234</v>
      </c>
      <c r="G2057" t="s">
        <v>21</v>
      </c>
      <c r="H2057" t="s">
        <v>37</v>
      </c>
      <c r="I2057" s="13">
        <v>176000</v>
      </c>
      <c r="J2057" s="13">
        <v>176000</v>
      </c>
      <c r="K2057" s="13">
        <f>IF(J2057&lt;'Mapa Oficinas'!$I$21,0,IF(J2057&gt;'Mapa Oficinas'!$I$20,0,1))</f>
        <v>1</v>
      </c>
      <c r="L2057" t="s">
        <v>23</v>
      </c>
      <c r="M2057" t="s">
        <v>23</v>
      </c>
      <c r="N2057" t="s">
        <v>3235</v>
      </c>
      <c r="O2057" t="s">
        <v>1006</v>
      </c>
      <c r="P2057" t="s">
        <v>61</v>
      </c>
      <c r="Q2057">
        <v>1</v>
      </c>
      <c r="R2057" t="s">
        <v>429</v>
      </c>
      <c r="S2057" t="s">
        <v>47</v>
      </c>
      <c r="T2057" t="str">
        <f>VLOOKUP(S2057,'Mapa Oficinas'!$H$7:$I$16,2,FALSE)</f>
        <v>Otra Red Búsqueda</v>
      </c>
      <c r="U2057" t="s">
        <v>29</v>
      </c>
      <c r="V2057" t="str">
        <f>VLOOKUP($R2057,'Mapa Oficinas'!$A$7:$C$46,2,FALSE)</f>
        <v>Zona Oeste (GBA)</v>
      </c>
      <c r="W2057" t="str">
        <f>VLOOKUP($R2057,'Mapa Oficinas'!$A$7:$C$46,3,FALSE)</f>
        <v>Parque Leloir</v>
      </c>
    </row>
    <row r="2058" spans="1:23" x14ac:dyDescent="0.2">
      <c r="A2058" s="1">
        <v>45706</v>
      </c>
      <c r="B2058" s="20">
        <f t="shared" si="64"/>
        <v>2025</v>
      </c>
      <c r="C2058" s="20">
        <f t="shared" si="65"/>
        <v>2</v>
      </c>
      <c r="D2058" t="s">
        <v>665</v>
      </c>
      <c r="E2058" s="49">
        <v>1</v>
      </c>
      <c r="F2058" t="s">
        <v>666</v>
      </c>
      <c r="G2058" t="s">
        <v>21</v>
      </c>
      <c r="H2058" t="s">
        <v>37</v>
      </c>
      <c r="I2058" s="13">
        <v>180000</v>
      </c>
      <c r="J2058" s="13">
        <v>177000</v>
      </c>
      <c r="K2058" s="13">
        <f>IF(J2058&lt;'Mapa Oficinas'!$I$21,0,IF(J2058&gt;'Mapa Oficinas'!$I$20,0,1))</f>
        <v>1</v>
      </c>
      <c r="L2058" t="s">
        <v>23</v>
      </c>
      <c r="M2058" t="s">
        <v>23</v>
      </c>
      <c r="N2058" t="s">
        <v>666</v>
      </c>
      <c r="O2058" t="s">
        <v>193</v>
      </c>
      <c r="P2058" t="s">
        <v>34</v>
      </c>
      <c r="Q2058">
        <v>2</v>
      </c>
      <c r="R2058" t="s">
        <v>110</v>
      </c>
      <c r="S2058" t="s">
        <v>79</v>
      </c>
      <c r="T2058" t="str">
        <f>VLOOKUP(S2058,'Mapa Oficinas'!$H$7:$I$16,2,FALSE)</f>
        <v>CB</v>
      </c>
      <c r="U2058" t="s">
        <v>29</v>
      </c>
      <c r="V2058" t="str">
        <f>VLOOKUP($R2058,'Mapa Oficinas'!$A$7:$C$46,2,FALSE)</f>
        <v>Zona Norte (GBA)</v>
      </c>
      <c r="W2058" t="str">
        <f>VLOOKUP($R2058,'Mapa Oficinas'!$A$7:$C$46,3,FALSE)</f>
        <v>Nordelta</v>
      </c>
    </row>
    <row r="2059" spans="1:23" x14ac:dyDescent="0.2">
      <c r="A2059" s="1">
        <v>45930</v>
      </c>
      <c r="B2059" s="20">
        <f t="shared" si="64"/>
        <v>2025</v>
      </c>
      <c r="C2059" s="20">
        <f t="shared" si="65"/>
        <v>9</v>
      </c>
      <c r="D2059" t="s">
        <v>4433</v>
      </c>
      <c r="E2059" s="49">
        <v>1</v>
      </c>
      <c r="F2059" t="s">
        <v>4434</v>
      </c>
      <c r="G2059" t="s">
        <v>21</v>
      </c>
      <c r="H2059" t="s">
        <v>37</v>
      </c>
      <c r="I2059" s="13">
        <v>177000</v>
      </c>
      <c r="J2059" s="13">
        <v>177000</v>
      </c>
      <c r="K2059" s="13">
        <f>IF(J2059&lt;'Mapa Oficinas'!$I$21,0,IF(J2059&gt;'Mapa Oficinas'!$I$20,0,1))</f>
        <v>1</v>
      </c>
      <c r="L2059" t="s">
        <v>23</v>
      </c>
      <c r="M2059" t="s">
        <v>23</v>
      </c>
      <c r="O2059" t="s">
        <v>380</v>
      </c>
      <c r="P2059" t="s">
        <v>45</v>
      </c>
      <c r="Q2059">
        <v>1</v>
      </c>
      <c r="R2059" t="s">
        <v>46</v>
      </c>
      <c r="S2059" t="s">
        <v>47</v>
      </c>
      <c r="T2059" t="str">
        <f>VLOOKUP(S2059,'Mapa Oficinas'!$H$7:$I$16,2,FALSE)</f>
        <v>Otra Red Búsqueda</v>
      </c>
      <c r="U2059" t="s">
        <v>29</v>
      </c>
      <c r="V2059" t="str">
        <f>VLOOKUP($R2059,'Mapa Oficinas'!$A$7:$C$46,2,FALSE)</f>
        <v>CABA</v>
      </c>
      <c r="W2059" t="str">
        <f>VLOOKUP($R2059,'Mapa Oficinas'!$A$7:$C$46,3,FALSE)</f>
        <v>Palermo</v>
      </c>
    </row>
    <row r="2060" spans="1:23" x14ac:dyDescent="0.2">
      <c r="A2060" s="1">
        <v>45699</v>
      </c>
      <c r="B2060" s="20">
        <f t="shared" si="64"/>
        <v>2025</v>
      </c>
      <c r="C2060" s="20">
        <f t="shared" si="65"/>
        <v>2</v>
      </c>
      <c r="D2060" t="s">
        <v>559</v>
      </c>
      <c r="E2060" s="49">
        <v>1</v>
      </c>
      <c r="F2060" t="s">
        <v>560</v>
      </c>
      <c r="G2060" t="s">
        <v>21</v>
      </c>
      <c r="H2060" t="s">
        <v>37</v>
      </c>
      <c r="I2060" s="13">
        <v>182000</v>
      </c>
      <c r="J2060" s="13">
        <v>177000</v>
      </c>
      <c r="K2060" s="13">
        <f>IF(J2060&lt;'Mapa Oficinas'!$I$21,0,IF(J2060&gt;'Mapa Oficinas'!$I$20,0,1))</f>
        <v>1</v>
      </c>
      <c r="L2060" t="s">
        <v>23</v>
      </c>
      <c r="M2060" t="s">
        <v>23</v>
      </c>
      <c r="N2060" t="s">
        <v>561</v>
      </c>
      <c r="O2060" t="s">
        <v>50</v>
      </c>
      <c r="P2060" t="s">
        <v>45</v>
      </c>
      <c r="Q2060">
        <v>2</v>
      </c>
      <c r="R2060" t="s">
        <v>67</v>
      </c>
      <c r="S2060" t="s">
        <v>200</v>
      </c>
      <c r="T2060" t="str">
        <f>VLOOKUP(S2060,'Mapa Oficinas'!$H$7:$I$16,2,FALSE)</f>
        <v>Otra Red Captación</v>
      </c>
      <c r="U2060" t="s">
        <v>29</v>
      </c>
      <c r="V2060" t="str">
        <f>VLOOKUP($R2060,'Mapa Oficinas'!$A$7:$C$46,2,FALSE)</f>
        <v>CABA</v>
      </c>
      <c r="W2060" t="str">
        <f>VLOOKUP($R2060,'Mapa Oficinas'!$A$7:$C$46,3,FALSE)</f>
        <v>Barrio Parque</v>
      </c>
    </row>
    <row r="2061" spans="1:23" x14ac:dyDescent="0.2">
      <c r="A2061" s="1">
        <v>46036</v>
      </c>
      <c r="B2061" s="20">
        <f t="shared" si="64"/>
        <v>2026</v>
      </c>
      <c r="C2061" s="20">
        <f t="shared" si="65"/>
        <v>1</v>
      </c>
      <c r="D2061" t="s">
        <v>6232</v>
      </c>
      <c r="E2061" s="49">
        <v>1</v>
      </c>
      <c r="F2061" t="s">
        <v>6233</v>
      </c>
      <c r="G2061" t="s">
        <v>21</v>
      </c>
      <c r="H2061" t="s">
        <v>37</v>
      </c>
      <c r="I2061" s="13">
        <v>185000</v>
      </c>
      <c r="J2061" s="13">
        <v>177000</v>
      </c>
      <c r="K2061" s="13">
        <f>IF(J2061&lt;'Mapa Oficinas'!$I$21,0,IF(J2061&gt;'Mapa Oficinas'!$I$20,0,1))</f>
        <v>1</v>
      </c>
      <c r="L2061" t="s">
        <v>23</v>
      </c>
      <c r="M2061" t="s">
        <v>23</v>
      </c>
      <c r="N2061" t="s">
        <v>6233</v>
      </c>
      <c r="O2061" t="s">
        <v>5691</v>
      </c>
      <c r="P2061" t="s">
        <v>34</v>
      </c>
      <c r="Q2061">
        <v>2</v>
      </c>
      <c r="R2061" t="s">
        <v>110</v>
      </c>
      <c r="S2061" t="s">
        <v>200</v>
      </c>
      <c r="T2061" t="str">
        <f>VLOOKUP(S2061,'Mapa Oficinas'!$H$7:$I$16,2,FALSE)</f>
        <v>Otra Red Captación</v>
      </c>
      <c r="U2061" t="s">
        <v>29</v>
      </c>
      <c r="V2061" t="str">
        <f>VLOOKUP($R2061,'Mapa Oficinas'!$A$7:$C$46,2,FALSE)</f>
        <v>Zona Norte (GBA)</v>
      </c>
      <c r="W2061" t="str">
        <f>VLOOKUP($R2061,'Mapa Oficinas'!$A$7:$C$46,3,FALSE)</f>
        <v>Nordelta</v>
      </c>
    </row>
    <row r="2062" spans="1:23" x14ac:dyDescent="0.2">
      <c r="A2062" s="1">
        <v>45912</v>
      </c>
      <c r="B2062" s="20">
        <f t="shared" si="64"/>
        <v>2025</v>
      </c>
      <c r="C2062" s="20">
        <f t="shared" si="65"/>
        <v>9</v>
      </c>
      <c r="D2062" t="s">
        <v>4117</v>
      </c>
      <c r="E2062" s="49">
        <v>1</v>
      </c>
      <c r="F2062" t="s">
        <v>4118</v>
      </c>
      <c r="G2062" t="s">
        <v>21</v>
      </c>
      <c r="H2062" t="s">
        <v>37</v>
      </c>
      <c r="I2062" s="13">
        <v>190000</v>
      </c>
      <c r="J2062" s="13">
        <v>177000</v>
      </c>
      <c r="K2062" s="13">
        <f>IF(J2062&lt;'Mapa Oficinas'!$I$21,0,IF(J2062&gt;'Mapa Oficinas'!$I$20,0,1))</f>
        <v>1</v>
      </c>
      <c r="L2062" t="s">
        <v>23</v>
      </c>
      <c r="M2062" t="s">
        <v>23</v>
      </c>
      <c r="N2062" t="s">
        <v>4119</v>
      </c>
      <c r="O2062" t="s">
        <v>675</v>
      </c>
      <c r="P2062" t="s">
        <v>45</v>
      </c>
      <c r="Q2062">
        <v>2</v>
      </c>
      <c r="R2062" t="s">
        <v>670</v>
      </c>
      <c r="S2062" t="s">
        <v>28</v>
      </c>
      <c r="T2062" t="str">
        <f>VLOOKUP(S2062,'Mapa Oficinas'!$H$7:$I$16,2,FALSE)</f>
        <v>CB</v>
      </c>
      <c r="U2062" t="s">
        <v>29</v>
      </c>
      <c r="V2062" t="str">
        <f>VLOOKUP($R2062,'Mapa Oficinas'!$A$7:$C$46,2,FALSE)</f>
        <v>CABA</v>
      </c>
      <c r="W2062" t="str">
        <f>VLOOKUP($R2062,'Mapa Oficinas'!$A$7:$C$46,3,FALSE)</f>
        <v>Recoleta</v>
      </c>
    </row>
    <row r="2063" spans="1:23" x14ac:dyDescent="0.2">
      <c r="A2063" s="1">
        <v>45978</v>
      </c>
      <c r="B2063" s="20">
        <f t="shared" si="64"/>
        <v>2025</v>
      </c>
      <c r="C2063" s="20">
        <f t="shared" si="65"/>
        <v>11</v>
      </c>
      <c r="D2063" t="s">
        <v>5261</v>
      </c>
      <c r="E2063" s="49">
        <v>3</v>
      </c>
      <c r="F2063" t="s">
        <v>5262</v>
      </c>
      <c r="G2063" t="s">
        <v>21</v>
      </c>
      <c r="H2063" t="s">
        <v>37</v>
      </c>
      <c r="I2063" s="13">
        <v>178000</v>
      </c>
      <c r="J2063" s="13">
        <v>178000</v>
      </c>
      <c r="K2063" s="13">
        <f>IF(J2063&lt;'Mapa Oficinas'!$I$21,0,IF(J2063&gt;'Mapa Oficinas'!$I$20,0,1))</f>
        <v>1</v>
      </c>
      <c r="L2063" t="s">
        <v>23</v>
      </c>
      <c r="M2063" t="s">
        <v>23</v>
      </c>
      <c r="N2063" t="s">
        <v>5263</v>
      </c>
      <c r="O2063" t="s">
        <v>5264</v>
      </c>
      <c r="P2063" t="s">
        <v>34</v>
      </c>
      <c r="Q2063">
        <v>2</v>
      </c>
      <c r="R2063" t="s">
        <v>257</v>
      </c>
      <c r="S2063" t="s">
        <v>241</v>
      </c>
      <c r="T2063" t="str">
        <f>VLOOKUP(S2063,'Mapa Oficinas'!$H$7:$I$16,2,FALSE)</f>
        <v>CB</v>
      </c>
      <c r="U2063" t="s">
        <v>29</v>
      </c>
      <c r="V2063" t="str">
        <f>VLOOKUP($R2063,'Mapa Oficinas'!$A$7:$C$46,2,FALSE)</f>
        <v>Zona Norte (GBA)</v>
      </c>
      <c r="W2063" t="str">
        <f>VLOOKUP($R2063,'Mapa Oficinas'!$A$7:$C$46,3,FALSE)</f>
        <v>Pilar</v>
      </c>
    </row>
    <row r="2064" spans="1:23" x14ac:dyDescent="0.2">
      <c r="A2064" s="1">
        <v>45971</v>
      </c>
      <c r="B2064" s="20">
        <f t="shared" si="64"/>
        <v>2025</v>
      </c>
      <c r="C2064" s="20">
        <f t="shared" si="65"/>
        <v>11</v>
      </c>
      <c r="D2064" t="s">
        <v>5115</v>
      </c>
      <c r="E2064" s="49">
        <v>1</v>
      </c>
      <c r="F2064" t="s">
        <v>5116</v>
      </c>
      <c r="G2064" t="s">
        <v>21</v>
      </c>
      <c r="H2064" t="s">
        <v>37</v>
      </c>
      <c r="I2064" s="13">
        <v>178000</v>
      </c>
      <c r="J2064" s="13">
        <v>178000</v>
      </c>
      <c r="K2064" s="13">
        <f>IF(J2064&lt;'Mapa Oficinas'!$I$21,0,IF(J2064&gt;'Mapa Oficinas'!$I$20,0,1))</f>
        <v>1</v>
      </c>
      <c r="L2064" t="s">
        <v>23</v>
      </c>
      <c r="M2064" t="s">
        <v>23</v>
      </c>
      <c r="N2064" t="s">
        <v>5117</v>
      </c>
      <c r="O2064" t="s">
        <v>105</v>
      </c>
      <c r="P2064" t="s">
        <v>45</v>
      </c>
      <c r="Q2064">
        <v>2</v>
      </c>
      <c r="R2064" t="s">
        <v>523</v>
      </c>
      <c r="S2064" t="s">
        <v>28</v>
      </c>
      <c r="T2064" t="str">
        <f>VLOOKUP(S2064,'Mapa Oficinas'!$H$7:$I$16,2,FALSE)</f>
        <v>CB</v>
      </c>
      <c r="U2064" t="s">
        <v>29</v>
      </c>
      <c r="V2064" t="str">
        <f>VLOOKUP($R2064,'Mapa Oficinas'!$A$7:$C$46,2,FALSE)</f>
        <v>CABA</v>
      </c>
      <c r="W2064" t="str">
        <f>VLOOKUP($R2064,'Mapa Oficinas'!$A$7:$C$46,3,FALSE)</f>
        <v>Belgrano</v>
      </c>
    </row>
    <row r="2065" spans="1:23" x14ac:dyDescent="0.2">
      <c r="A2065" s="1">
        <v>45953</v>
      </c>
      <c r="B2065" s="20">
        <f t="shared" si="64"/>
        <v>2025</v>
      </c>
      <c r="C2065" s="20">
        <f t="shared" si="65"/>
        <v>10</v>
      </c>
      <c r="D2065" t="s">
        <v>4876</v>
      </c>
      <c r="E2065" s="49">
        <v>1</v>
      </c>
      <c r="F2065" t="s">
        <v>4877</v>
      </c>
      <c r="G2065" t="s">
        <v>21</v>
      </c>
      <c r="H2065" t="s">
        <v>37</v>
      </c>
      <c r="I2065" s="13">
        <v>190000</v>
      </c>
      <c r="J2065" s="13">
        <v>179000</v>
      </c>
      <c r="K2065" s="13">
        <f>IF(J2065&lt;'Mapa Oficinas'!$I$21,0,IF(J2065&gt;'Mapa Oficinas'!$I$20,0,1))</f>
        <v>1</v>
      </c>
      <c r="L2065" t="s">
        <v>23</v>
      </c>
      <c r="M2065" t="s">
        <v>23</v>
      </c>
      <c r="N2065" t="s">
        <v>4878</v>
      </c>
      <c r="O2065" t="s">
        <v>190</v>
      </c>
      <c r="P2065" t="s">
        <v>45</v>
      </c>
      <c r="Q2065">
        <v>2</v>
      </c>
      <c r="R2065" t="s">
        <v>135</v>
      </c>
      <c r="S2065" t="s">
        <v>200</v>
      </c>
      <c r="T2065" t="str">
        <f>VLOOKUP(S2065,'Mapa Oficinas'!$H$7:$I$16,2,FALSE)</f>
        <v>Otra Red Captación</v>
      </c>
      <c r="U2065" t="s">
        <v>29</v>
      </c>
      <c r="V2065" t="str">
        <f>VLOOKUP($R2065,'Mapa Oficinas'!$A$7:$C$46,2,FALSE)</f>
        <v>CABA</v>
      </c>
      <c r="W2065" t="str">
        <f>VLOOKUP($R2065,'Mapa Oficinas'!$A$7:$C$46,3,FALSE)</f>
        <v>Recoleta</v>
      </c>
    </row>
    <row r="2066" spans="1:23" x14ac:dyDescent="0.2">
      <c r="A2066" s="1">
        <v>45925</v>
      </c>
      <c r="B2066" s="20">
        <f t="shared" si="64"/>
        <v>2025</v>
      </c>
      <c r="C2066" s="20">
        <f t="shared" si="65"/>
        <v>9</v>
      </c>
      <c r="D2066" t="s">
        <v>4357</v>
      </c>
      <c r="E2066" s="49">
        <v>1</v>
      </c>
      <c r="F2066" t="s">
        <v>4358</v>
      </c>
      <c r="G2066" t="s">
        <v>21</v>
      </c>
      <c r="H2066" t="s">
        <v>37</v>
      </c>
      <c r="I2066" s="13">
        <v>181700</v>
      </c>
      <c r="J2066" s="13">
        <v>179000</v>
      </c>
      <c r="K2066" s="13">
        <f>IF(J2066&lt;'Mapa Oficinas'!$I$21,0,IF(J2066&gt;'Mapa Oficinas'!$I$20,0,1))</f>
        <v>1</v>
      </c>
      <c r="L2066" t="s">
        <v>23</v>
      </c>
      <c r="M2066" t="s">
        <v>23</v>
      </c>
      <c r="N2066" t="s">
        <v>4359</v>
      </c>
      <c r="O2066" t="s">
        <v>452</v>
      </c>
      <c r="P2066" t="s">
        <v>45</v>
      </c>
      <c r="Q2066">
        <v>2</v>
      </c>
      <c r="R2066" t="s">
        <v>1605</v>
      </c>
      <c r="S2066" t="s">
        <v>28</v>
      </c>
      <c r="T2066" t="str">
        <f>VLOOKUP(S2066,'Mapa Oficinas'!$H$7:$I$16,2,FALSE)</f>
        <v>CB</v>
      </c>
      <c r="U2066" t="s">
        <v>29</v>
      </c>
      <c r="V2066" t="str">
        <f>VLOOKUP($R2066,'Mapa Oficinas'!$A$7:$C$46,2,FALSE)</f>
        <v>CABA</v>
      </c>
      <c r="W2066" t="str">
        <f>VLOOKUP($R2066,'Mapa Oficinas'!$A$7:$C$46,3,FALSE)</f>
        <v>Núñez</v>
      </c>
    </row>
    <row r="2067" spans="1:23" x14ac:dyDescent="0.2">
      <c r="A2067" s="1">
        <v>45961</v>
      </c>
      <c r="B2067" s="20">
        <f t="shared" si="64"/>
        <v>2025</v>
      </c>
      <c r="C2067" s="20">
        <f t="shared" si="65"/>
        <v>10</v>
      </c>
      <c r="D2067" t="s">
        <v>5035</v>
      </c>
      <c r="E2067" s="49">
        <v>1</v>
      </c>
      <c r="F2067" t="s">
        <v>5036</v>
      </c>
      <c r="G2067" t="s">
        <v>21</v>
      </c>
      <c r="H2067" t="s">
        <v>81</v>
      </c>
      <c r="I2067" s="13">
        <v>190000</v>
      </c>
      <c r="J2067" s="13">
        <v>180000</v>
      </c>
      <c r="K2067" s="13">
        <f>IF(J2067&lt;'Mapa Oficinas'!$I$21,0,IF(J2067&gt;'Mapa Oficinas'!$I$20,0,1))</f>
        <v>1</v>
      </c>
      <c r="L2067" t="s">
        <v>23</v>
      </c>
      <c r="M2067" t="s">
        <v>23</v>
      </c>
      <c r="N2067" t="s">
        <v>5037</v>
      </c>
      <c r="O2067" t="s">
        <v>223</v>
      </c>
      <c r="P2067" t="s">
        <v>45</v>
      </c>
      <c r="Q2067">
        <v>1</v>
      </c>
      <c r="R2067" t="s">
        <v>167</v>
      </c>
      <c r="S2067" t="s">
        <v>122</v>
      </c>
      <c r="T2067" t="str">
        <f>VLOOKUP(S2067,'Mapa Oficinas'!$H$7:$I$16,2,FALSE)</f>
        <v>Otra Red Búsqueda</v>
      </c>
      <c r="U2067" t="s">
        <v>29</v>
      </c>
      <c r="V2067" t="str">
        <f>VLOOKUP($R2067,'Mapa Oficinas'!$A$7:$C$46,2,FALSE)</f>
        <v>Interior - Santa Fe</v>
      </c>
      <c r="W2067" t="str">
        <f>VLOOKUP($R2067,'Mapa Oficinas'!$A$7:$C$46,3,FALSE)</f>
        <v>Capital Santa Fe</v>
      </c>
    </row>
    <row r="2068" spans="1:23" x14ac:dyDescent="0.2">
      <c r="A2068" s="1">
        <v>45710</v>
      </c>
      <c r="B2068" s="20">
        <f t="shared" si="64"/>
        <v>2025</v>
      </c>
      <c r="C2068" s="20">
        <f t="shared" si="65"/>
        <v>2</v>
      </c>
      <c r="D2068" t="s">
        <v>728</v>
      </c>
      <c r="E2068" s="49">
        <v>1</v>
      </c>
      <c r="F2068" t="s">
        <v>729</v>
      </c>
      <c r="G2068" t="s">
        <v>21</v>
      </c>
      <c r="H2068" t="s">
        <v>76</v>
      </c>
      <c r="I2068" s="13">
        <v>180000</v>
      </c>
      <c r="J2068" s="13">
        <v>180000</v>
      </c>
      <c r="K2068" s="13">
        <f>IF(J2068&lt;'Mapa Oficinas'!$I$21,0,IF(J2068&gt;'Mapa Oficinas'!$I$20,0,1))</f>
        <v>1</v>
      </c>
      <c r="L2068" t="s">
        <v>23</v>
      </c>
      <c r="M2068" t="s">
        <v>23</v>
      </c>
      <c r="N2068" t="s">
        <v>730</v>
      </c>
      <c r="O2068" t="s">
        <v>731</v>
      </c>
      <c r="P2068" t="s">
        <v>34</v>
      </c>
      <c r="Q2068">
        <v>1</v>
      </c>
      <c r="R2068" t="s">
        <v>167</v>
      </c>
      <c r="S2068" t="s">
        <v>152</v>
      </c>
      <c r="T2068" t="str">
        <f>VLOOKUP(S2068,'Mapa Oficinas'!$H$7:$I$16,2,FALSE)</f>
        <v>Otra Red Captación</v>
      </c>
      <c r="U2068" t="s">
        <v>29</v>
      </c>
      <c r="V2068" t="str">
        <f>VLOOKUP($R2068,'Mapa Oficinas'!$A$7:$C$46,2,FALSE)</f>
        <v>Interior - Santa Fe</v>
      </c>
      <c r="W2068" t="str">
        <f>VLOOKUP($R2068,'Mapa Oficinas'!$A$7:$C$46,3,FALSE)</f>
        <v>Capital Santa Fe</v>
      </c>
    </row>
    <row r="2069" spans="1:23" x14ac:dyDescent="0.2">
      <c r="A2069" s="1">
        <v>45825</v>
      </c>
      <c r="B2069" s="20">
        <f t="shared" si="64"/>
        <v>2025</v>
      </c>
      <c r="C2069" s="20">
        <f t="shared" si="65"/>
        <v>6</v>
      </c>
      <c r="D2069" t="s">
        <v>2535</v>
      </c>
      <c r="E2069" s="49">
        <v>1</v>
      </c>
      <c r="F2069" t="s">
        <v>2536</v>
      </c>
      <c r="G2069" t="s">
        <v>21</v>
      </c>
      <c r="H2069" t="s">
        <v>37</v>
      </c>
      <c r="I2069" s="13">
        <v>190000</v>
      </c>
      <c r="J2069" s="13">
        <v>180000</v>
      </c>
      <c r="K2069" s="13">
        <f>IF(J2069&lt;'Mapa Oficinas'!$I$21,0,IF(J2069&gt;'Mapa Oficinas'!$I$20,0,1))</f>
        <v>1</v>
      </c>
      <c r="L2069" t="s">
        <v>23</v>
      </c>
      <c r="M2069" t="s">
        <v>23</v>
      </c>
      <c r="N2069" t="s">
        <v>2536</v>
      </c>
      <c r="O2069" t="s">
        <v>2537</v>
      </c>
      <c r="P2069" t="s">
        <v>34</v>
      </c>
      <c r="Q2069">
        <v>2</v>
      </c>
      <c r="R2069" t="s">
        <v>110</v>
      </c>
      <c r="S2069" t="s">
        <v>79</v>
      </c>
      <c r="T2069" t="str">
        <f>VLOOKUP(S2069,'Mapa Oficinas'!$H$7:$I$16,2,FALSE)</f>
        <v>CB</v>
      </c>
      <c r="U2069" t="s">
        <v>29</v>
      </c>
      <c r="V2069" t="str">
        <f>VLOOKUP($R2069,'Mapa Oficinas'!$A$7:$C$46,2,FALSE)</f>
        <v>Zona Norte (GBA)</v>
      </c>
      <c r="W2069" t="str">
        <f>VLOOKUP($R2069,'Mapa Oficinas'!$A$7:$C$46,3,FALSE)</f>
        <v>Nordelta</v>
      </c>
    </row>
    <row r="2070" spans="1:23" x14ac:dyDescent="0.2">
      <c r="A2070" s="1">
        <v>45954</v>
      </c>
      <c r="B2070" s="20">
        <f t="shared" si="64"/>
        <v>2025</v>
      </c>
      <c r="C2070" s="20">
        <f t="shared" si="65"/>
        <v>10</v>
      </c>
      <c r="D2070">
        <v>24102025</v>
      </c>
      <c r="E2070" s="49">
        <v>1</v>
      </c>
      <c r="F2070" t="s">
        <v>4916</v>
      </c>
      <c r="G2070" t="s">
        <v>21</v>
      </c>
      <c r="H2070" t="s">
        <v>100</v>
      </c>
      <c r="I2070" s="13">
        <v>180000</v>
      </c>
      <c r="J2070" s="13">
        <v>180000</v>
      </c>
      <c r="K2070" s="13">
        <f>IF(J2070&lt;'Mapa Oficinas'!$I$21,0,IF(J2070&gt;'Mapa Oficinas'!$I$20,0,1))</f>
        <v>1</v>
      </c>
      <c r="L2070" t="s">
        <v>23</v>
      </c>
      <c r="M2070" t="s">
        <v>23</v>
      </c>
      <c r="N2070" t="s">
        <v>4917</v>
      </c>
      <c r="O2070" t="s">
        <v>609</v>
      </c>
      <c r="P2070" t="s">
        <v>34</v>
      </c>
      <c r="Q2070">
        <v>2</v>
      </c>
      <c r="R2070" t="s">
        <v>121</v>
      </c>
      <c r="S2070" t="s">
        <v>79</v>
      </c>
      <c r="T2070" t="str">
        <f>VLOOKUP(S2070,'Mapa Oficinas'!$H$7:$I$16,2,FALSE)</f>
        <v>CB</v>
      </c>
      <c r="U2070" t="s">
        <v>29</v>
      </c>
      <c r="V2070" t="str">
        <f>VLOOKUP($R2070,'Mapa Oficinas'!$A$7:$C$46,2,FALSE)</f>
        <v>Interior - Río Negro</v>
      </c>
      <c r="W2070" t="str">
        <f>VLOOKUP($R2070,'Mapa Oficinas'!$A$7:$C$46,3,FALSE)</f>
        <v>Bariloche</v>
      </c>
    </row>
    <row r="2071" spans="1:23" x14ac:dyDescent="0.2">
      <c r="A2071" s="1">
        <v>45972</v>
      </c>
      <c r="B2071" s="20">
        <f t="shared" si="64"/>
        <v>2025</v>
      </c>
      <c r="C2071" s="20">
        <f t="shared" si="65"/>
        <v>11</v>
      </c>
      <c r="D2071" t="s">
        <v>5139</v>
      </c>
      <c r="E2071" s="49">
        <v>1</v>
      </c>
      <c r="F2071" t="s">
        <v>5140</v>
      </c>
      <c r="G2071" t="s">
        <v>21</v>
      </c>
      <c r="H2071" t="s">
        <v>37</v>
      </c>
      <c r="I2071" s="13">
        <v>199000</v>
      </c>
      <c r="J2071" s="13">
        <v>180000</v>
      </c>
      <c r="K2071" s="13">
        <f>IF(J2071&lt;'Mapa Oficinas'!$I$21,0,IF(J2071&gt;'Mapa Oficinas'!$I$20,0,1))</f>
        <v>1</v>
      </c>
      <c r="L2071" t="s">
        <v>23</v>
      </c>
      <c r="M2071" t="s">
        <v>23</v>
      </c>
      <c r="N2071" t="s">
        <v>5140</v>
      </c>
      <c r="O2071" t="s">
        <v>459</v>
      </c>
      <c r="P2071" t="s">
        <v>45</v>
      </c>
      <c r="Q2071">
        <v>2</v>
      </c>
      <c r="R2071" t="s">
        <v>257</v>
      </c>
      <c r="S2071" t="s">
        <v>79</v>
      </c>
      <c r="T2071" t="str">
        <f>VLOOKUP(S2071,'Mapa Oficinas'!$H$7:$I$16,2,FALSE)</f>
        <v>CB</v>
      </c>
      <c r="U2071" t="s">
        <v>29</v>
      </c>
      <c r="V2071" t="str">
        <f>VLOOKUP($R2071,'Mapa Oficinas'!$A$7:$C$46,2,FALSE)</f>
        <v>Zona Norte (GBA)</v>
      </c>
      <c r="W2071" t="str">
        <f>VLOOKUP($R2071,'Mapa Oficinas'!$A$7:$C$46,3,FALSE)</f>
        <v>Pilar</v>
      </c>
    </row>
    <row r="2072" spans="1:23" x14ac:dyDescent="0.2">
      <c r="A2072" s="1">
        <v>45967</v>
      </c>
      <c r="B2072" s="20">
        <f t="shared" si="64"/>
        <v>2025</v>
      </c>
      <c r="C2072" s="20">
        <f t="shared" si="65"/>
        <v>11</v>
      </c>
      <c r="D2072" t="s">
        <v>5080</v>
      </c>
      <c r="E2072" s="49">
        <v>1</v>
      </c>
      <c r="F2072" t="s">
        <v>5081</v>
      </c>
      <c r="G2072" t="s">
        <v>21</v>
      </c>
      <c r="H2072" t="s">
        <v>37</v>
      </c>
      <c r="I2072" s="13">
        <v>117900</v>
      </c>
      <c r="J2072" s="13">
        <v>180000</v>
      </c>
      <c r="K2072" s="13">
        <f>IF(J2072&lt;'Mapa Oficinas'!$I$21,0,IF(J2072&gt;'Mapa Oficinas'!$I$20,0,1))</f>
        <v>1</v>
      </c>
      <c r="L2072" t="s">
        <v>23</v>
      </c>
      <c r="M2072" t="s">
        <v>23</v>
      </c>
      <c r="N2072" t="s">
        <v>5081</v>
      </c>
      <c r="O2072" t="s">
        <v>5082</v>
      </c>
      <c r="P2072" t="s">
        <v>45</v>
      </c>
      <c r="Q2072">
        <v>1</v>
      </c>
      <c r="R2072" t="s">
        <v>110</v>
      </c>
      <c r="S2072" t="s">
        <v>47</v>
      </c>
      <c r="T2072" t="str">
        <f>VLOOKUP(S2072,'Mapa Oficinas'!$H$7:$I$16,2,FALSE)</f>
        <v>Otra Red Búsqueda</v>
      </c>
      <c r="U2072" t="s">
        <v>29</v>
      </c>
      <c r="V2072" t="str">
        <f>VLOOKUP($R2072,'Mapa Oficinas'!$A$7:$C$46,2,FALSE)</f>
        <v>Zona Norte (GBA)</v>
      </c>
      <c r="W2072" t="str">
        <f>VLOOKUP($R2072,'Mapa Oficinas'!$A$7:$C$46,3,FALSE)</f>
        <v>Nordelta</v>
      </c>
    </row>
    <row r="2073" spans="1:23" x14ac:dyDescent="0.2">
      <c r="A2073" s="1">
        <v>46100</v>
      </c>
      <c r="B2073" s="20">
        <f t="shared" si="64"/>
        <v>2026</v>
      </c>
      <c r="C2073" s="20">
        <f t="shared" si="65"/>
        <v>3</v>
      </c>
      <c r="D2073">
        <v>10736</v>
      </c>
      <c r="E2073" s="49">
        <v>1</v>
      </c>
      <c r="F2073" t="s">
        <v>7320</v>
      </c>
      <c r="G2073" t="s">
        <v>21</v>
      </c>
      <c r="H2073" t="s">
        <v>37</v>
      </c>
      <c r="I2073" s="13">
        <v>180000</v>
      </c>
      <c r="J2073" s="13">
        <v>180000</v>
      </c>
      <c r="K2073" s="13">
        <f>IF(J2073&lt;'Mapa Oficinas'!$I$21,0,IF(J2073&gt;'Mapa Oficinas'!$I$20,0,1))</f>
        <v>1</v>
      </c>
      <c r="L2073" t="s">
        <v>23</v>
      </c>
      <c r="M2073" t="s">
        <v>23</v>
      </c>
      <c r="N2073" t="s">
        <v>7320</v>
      </c>
      <c r="O2073" t="s">
        <v>190</v>
      </c>
      <c r="P2073" t="s">
        <v>45</v>
      </c>
      <c r="Q2073">
        <v>1</v>
      </c>
      <c r="R2073" t="s">
        <v>67</v>
      </c>
      <c r="S2073" t="s">
        <v>47</v>
      </c>
      <c r="T2073" t="str">
        <f>VLOOKUP(S2073,'Mapa Oficinas'!$H$7:$I$16,2,FALSE)</f>
        <v>Otra Red Búsqueda</v>
      </c>
      <c r="U2073" t="s">
        <v>29</v>
      </c>
      <c r="V2073" t="str">
        <f>VLOOKUP($R2073,'Mapa Oficinas'!$A$7:$C$46,2,FALSE)</f>
        <v>CABA</v>
      </c>
      <c r="W2073" t="str">
        <f>VLOOKUP($R2073,'Mapa Oficinas'!$A$7:$C$46,3,FALSE)</f>
        <v>Barrio Parque</v>
      </c>
    </row>
    <row r="2074" spans="1:23" x14ac:dyDescent="0.2">
      <c r="A2074" s="1">
        <v>45687</v>
      </c>
      <c r="B2074" s="20">
        <f t="shared" si="64"/>
        <v>2025</v>
      </c>
      <c r="C2074" s="20">
        <f t="shared" si="65"/>
        <v>1</v>
      </c>
      <c r="D2074" t="s">
        <v>449</v>
      </c>
      <c r="E2074" s="49">
        <v>1</v>
      </c>
      <c r="F2074" t="s">
        <v>450</v>
      </c>
      <c r="G2074" t="s">
        <v>21</v>
      </c>
      <c r="H2074" t="s">
        <v>37</v>
      </c>
      <c r="I2074" s="13">
        <v>200000</v>
      </c>
      <c r="J2074" s="13">
        <v>180000</v>
      </c>
      <c r="K2074" s="13">
        <f>IF(J2074&lt;'Mapa Oficinas'!$I$21,0,IF(J2074&gt;'Mapa Oficinas'!$I$20,0,1))</f>
        <v>1</v>
      </c>
      <c r="L2074" t="s">
        <v>23</v>
      </c>
      <c r="M2074" t="s">
        <v>23</v>
      </c>
      <c r="N2074" t="s">
        <v>451</v>
      </c>
      <c r="O2074" t="s">
        <v>452</v>
      </c>
      <c r="P2074" t="s">
        <v>45</v>
      </c>
      <c r="Q2074">
        <v>2</v>
      </c>
      <c r="R2074" t="s">
        <v>67</v>
      </c>
      <c r="S2074" t="s">
        <v>200</v>
      </c>
      <c r="T2074" t="str">
        <f>VLOOKUP(S2074,'Mapa Oficinas'!$H$7:$I$16,2,FALSE)</f>
        <v>Otra Red Captación</v>
      </c>
      <c r="U2074" t="s">
        <v>29</v>
      </c>
      <c r="V2074" t="str">
        <f>VLOOKUP($R2074,'Mapa Oficinas'!$A$7:$C$46,2,FALSE)</f>
        <v>CABA</v>
      </c>
      <c r="W2074" t="str">
        <f>VLOOKUP($R2074,'Mapa Oficinas'!$A$7:$C$46,3,FALSE)</f>
        <v>Barrio Parque</v>
      </c>
    </row>
    <row r="2075" spans="1:23" x14ac:dyDescent="0.2">
      <c r="A2075" s="1">
        <v>45762</v>
      </c>
      <c r="B2075" s="20">
        <f t="shared" si="64"/>
        <v>2025</v>
      </c>
      <c r="C2075" s="20">
        <f t="shared" si="65"/>
        <v>4</v>
      </c>
      <c r="D2075" t="s">
        <v>1445</v>
      </c>
      <c r="E2075" s="49">
        <v>1</v>
      </c>
      <c r="F2075" t="s">
        <v>1446</v>
      </c>
      <c r="G2075" t="s">
        <v>21</v>
      </c>
      <c r="H2075" t="s">
        <v>37</v>
      </c>
      <c r="I2075" s="13">
        <v>185000</v>
      </c>
      <c r="J2075" s="13">
        <v>180000</v>
      </c>
      <c r="K2075" s="13">
        <f>IF(J2075&lt;'Mapa Oficinas'!$I$21,0,IF(J2075&gt;'Mapa Oficinas'!$I$20,0,1))</f>
        <v>1</v>
      </c>
      <c r="L2075" t="s">
        <v>23</v>
      </c>
      <c r="M2075" t="s">
        <v>23</v>
      </c>
      <c r="N2075" t="s">
        <v>1447</v>
      </c>
      <c r="O2075" t="s">
        <v>1448</v>
      </c>
      <c r="P2075" t="s">
        <v>61</v>
      </c>
      <c r="Q2075">
        <v>2</v>
      </c>
      <c r="R2075" t="s">
        <v>40</v>
      </c>
      <c r="S2075" t="s">
        <v>200</v>
      </c>
      <c r="T2075" t="str">
        <f>VLOOKUP(S2075,'Mapa Oficinas'!$H$7:$I$16,2,FALSE)</f>
        <v>Otra Red Captación</v>
      </c>
      <c r="U2075" t="s">
        <v>29</v>
      </c>
      <c r="V2075" t="str">
        <f>VLOOKUP($R2075,'Mapa Oficinas'!$A$7:$C$46,2,FALSE)</f>
        <v>CABA</v>
      </c>
      <c r="W2075" t="str">
        <f>VLOOKUP($R2075,'Mapa Oficinas'!$A$7:$C$46,3,FALSE)</f>
        <v>Núñez</v>
      </c>
    </row>
    <row r="2076" spans="1:23" x14ac:dyDescent="0.2">
      <c r="A2076" s="1">
        <v>45769</v>
      </c>
      <c r="B2076" s="20">
        <f t="shared" si="64"/>
        <v>2025</v>
      </c>
      <c r="C2076" s="20">
        <f t="shared" si="65"/>
        <v>4</v>
      </c>
      <c r="D2076" t="s">
        <v>1540</v>
      </c>
      <c r="E2076" s="49">
        <v>1</v>
      </c>
      <c r="F2076" t="s">
        <v>1541</v>
      </c>
      <c r="G2076" t="s">
        <v>21</v>
      </c>
      <c r="H2076" t="s">
        <v>37</v>
      </c>
      <c r="I2076" s="13">
        <v>185000</v>
      </c>
      <c r="J2076" s="13">
        <v>180000</v>
      </c>
      <c r="K2076" s="13">
        <f>IF(J2076&lt;'Mapa Oficinas'!$I$21,0,IF(J2076&gt;'Mapa Oficinas'!$I$20,0,1))</f>
        <v>1</v>
      </c>
      <c r="L2076" t="s">
        <v>23</v>
      </c>
      <c r="M2076" t="s">
        <v>23</v>
      </c>
      <c r="N2076" t="s">
        <v>1542</v>
      </c>
      <c r="O2076" t="s">
        <v>408</v>
      </c>
      <c r="P2076" t="s">
        <v>45</v>
      </c>
      <c r="Q2076">
        <v>2</v>
      </c>
      <c r="R2076" t="s">
        <v>67</v>
      </c>
      <c r="S2076" t="s">
        <v>200</v>
      </c>
      <c r="T2076" t="str">
        <f>VLOOKUP(S2076,'Mapa Oficinas'!$H$7:$I$16,2,FALSE)</f>
        <v>Otra Red Captación</v>
      </c>
      <c r="U2076" t="s">
        <v>29</v>
      </c>
      <c r="V2076" t="str">
        <f>VLOOKUP($R2076,'Mapa Oficinas'!$A$7:$C$46,2,FALSE)</f>
        <v>CABA</v>
      </c>
      <c r="W2076" t="str">
        <f>VLOOKUP($R2076,'Mapa Oficinas'!$A$7:$C$46,3,FALSE)</f>
        <v>Barrio Parque</v>
      </c>
    </row>
    <row r="2077" spans="1:23" x14ac:dyDescent="0.2">
      <c r="A2077" s="1">
        <v>45807</v>
      </c>
      <c r="B2077" s="20">
        <f t="shared" si="64"/>
        <v>2025</v>
      </c>
      <c r="C2077" s="20">
        <f t="shared" si="65"/>
        <v>5</v>
      </c>
      <c r="D2077">
        <v>10378</v>
      </c>
      <c r="E2077" s="49">
        <v>1</v>
      </c>
      <c r="F2077" t="s">
        <v>2248</v>
      </c>
      <c r="G2077" t="s">
        <v>21</v>
      </c>
      <c r="H2077" t="s">
        <v>37</v>
      </c>
      <c r="I2077" s="13">
        <v>0</v>
      </c>
      <c r="J2077" s="13">
        <v>180000</v>
      </c>
      <c r="K2077" s="13">
        <f>IF(J2077&lt;'Mapa Oficinas'!$I$21,0,IF(J2077&gt;'Mapa Oficinas'!$I$20,0,1))</f>
        <v>1</v>
      </c>
      <c r="L2077" t="s">
        <v>23</v>
      </c>
      <c r="M2077" t="s">
        <v>23</v>
      </c>
      <c r="O2077" t="s">
        <v>190</v>
      </c>
      <c r="P2077" t="s">
        <v>45</v>
      </c>
      <c r="Q2077">
        <v>2</v>
      </c>
      <c r="R2077" t="s">
        <v>67</v>
      </c>
      <c r="S2077" t="s">
        <v>200</v>
      </c>
      <c r="T2077" t="str">
        <f>VLOOKUP(S2077,'Mapa Oficinas'!$H$7:$I$16,2,FALSE)</f>
        <v>Otra Red Captación</v>
      </c>
      <c r="U2077" t="s">
        <v>29</v>
      </c>
      <c r="V2077" t="str">
        <f>VLOOKUP($R2077,'Mapa Oficinas'!$A$7:$C$46,2,FALSE)</f>
        <v>CABA</v>
      </c>
      <c r="W2077" t="str">
        <f>VLOOKUP($R2077,'Mapa Oficinas'!$A$7:$C$46,3,FALSE)</f>
        <v>Barrio Parque</v>
      </c>
    </row>
    <row r="2078" spans="1:23" x14ac:dyDescent="0.2">
      <c r="A2078" s="1">
        <v>45867</v>
      </c>
      <c r="B2078" s="20">
        <f t="shared" si="64"/>
        <v>2025</v>
      </c>
      <c r="C2078" s="20">
        <f t="shared" si="65"/>
        <v>7</v>
      </c>
      <c r="D2078" t="s">
        <v>3286</v>
      </c>
      <c r="E2078" s="49">
        <v>1</v>
      </c>
      <c r="F2078" t="s">
        <v>3287</v>
      </c>
      <c r="G2078" t="s">
        <v>21</v>
      </c>
      <c r="H2078" t="s">
        <v>37</v>
      </c>
      <c r="I2078" s="13">
        <v>195000</v>
      </c>
      <c r="J2078" s="13">
        <v>180000</v>
      </c>
      <c r="K2078" s="13">
        <f>IF(J2078&lt;'Mapa Oficinas'!$I$21,0,IF(J2078&gt;'Mapa Oficinas'!$I$20,0,1))</f>
        <v>1</v>
      </c>
      <c r="L2078" t="s">
        <v>23</v>
      </c>
      <c r="M2078" t="s">
        <v>23</v>
      </c>
      <c r="N2078" t="s">
        <v>3288</v>
      </c>
      <c r="O2078" t="s">
        <v>477</v>
      </c>
      <c r="P2078" t="s">
        <v>45</v>
      </c>
      <c r="Q2078">
        <v>2</v>
      </c>
      <c r="R2078" t="s">
        <v>142</v>
      </c>
      <c r="S2078" t="s">
        <v>200</v>
      </c>
      <c r="T2078" t="str">
        <f>VLOOKUP(S2078,'Mapa Oficinas'!$H$7:$I$16,2,FALSE)</f>
        <v>Otra Red Captación</v>
      </c>
      <c r="U2078" t="s">
        <v>29</v>
      </c>
      <c r="V2078" t="str">
        <f>VLOOKUP($R2078,'Mapa Oficinas'!$A$7:$C$46,2,FALSE)</f>
        <v>CABA</v>
      </c>
      <c r="W2078" t="str">
        <f>VLOOKUP($R2078,'Mapa Oficinas'!$A$7:$C$46,3,FALSE)</f>
        <v>Palermo</v>
      </c>
    </row>
    <row r="2079" spans="1:23" x14ac:dyDescent="0.2">
      <c r="A2079" s="1">
        <v>45842</v>
      </c>
      <c r="B2079" s="20">
        <f t="shared" si="64"/>
        <v>2025</v>
      </c>
      <c r="C2079" s="20">
        <f t="shared" si="65"/>
        <v>7</v>
      </c>
      <c r="D2079" t="s">
        <v>2312</v>
      </c>
      <c r="E2079" s="49">
        <v>3</v>
      </c>
      <c r="F2079" t="s">
        <v>2313</v>
      </c>
      <c r="G2079" t="s">
        <v>21</v>
      </c>
      <c r="H2079" t="s">
        <v>81</v>
      </c>
      <c r="I2079" s="13">
        <v>175000</v>
      </c>
      <c r="J2079" s="13">
        <v>180000</v>
      </c>
      <c r="K2079" s="13">
        <f>IF(J2079&lt;'Mapa Oficinas'!$I$21,0,IF(J2079&gt;'Mapa Oficinas'!$I$20,0,1))</f>
        <v>1</v>
      </c>
      <c r="L2079" t="s">
        <v>23</v>
      </c>
      <c r="M2079" t="s">
        <v>23</v>
      </c>
      <c r="N2079" t="s">
        <v>2314</v>
      </c>
      <c r="O2079" t="s">
        <v>2315</v>
      </c>
      <c r="P2079" t="s">
        <v>45</v>
      </c>
      <c r="Q2079">
        <v>2</v>
      </c>
      <c r="R2079" t="s">
        <v>257</v>
      </c>
      <c r="S2079" t="s">
        <v>241</v>
      </c>
      <c r="T2079" t="str">
        <f>VLOOKUP(S2079,'Mapa Oficinas'!$H$7:$I$16,2,FALSE)</f>
        <v>CB</v>
      </c>
      <c r="U2079" t="s">
        <v>29</v>
      </c>
      <c r="V2079" t="str">
        <f>VLOOKUP($R2079,'Mapa Oficinas'!$A$7:$C$46,2,FALSE)</f>
        <v>Zona Norte (GBA)</v>
      </c>
      <c r="W2079" t="str">
        <f>VLOOKUP($R2079,'Mapa Oficinas'!$A$7:$C$46,3,FALSE)</f>
        <v>Pilar</v>
      </c>
    </row>
    <row r="2080" spans="1:23" x14ac:dyDescent="0.2">
      <c r="A2080" s="1">
        <v>45716</v>
      </c>
      <c r="B2080" s="20">
        <f t="shared" si="64"/>
        <v>2025</v>
      </c>
      <c r="C2080" s="20">
        <f t="shared" si="65"/>
        <v>2</v>
      </c>
      <c r="D2080" t="s">
        <v>811</v>
      </c>
      <c r="E2080" s="49">
        <v>1</v>
      </c>
      <c r="F2080" t="s">
        <v>812</v>
      </c>
      <c r="G2080" t="s">
        <v>21</v>
      </c>
      <c r="H2080" t="s">
        <v>37</v>
      </c>
      <c r="I2080" s="13">
        <v>191000</v>
      </c>
      <c r="J2080" s="13">
        <v>180000</v>
      </c>
      <c r="K2080" s="13">
        <f>IF(J2080&lt;'Mapa Oficinas'!$I$21,0,IF(J2080&gt;'Mapa Oficinas'!$I$20,0,1))</f>
        <v>1</v>
      </c>
      <c r="L2080" t="s">
        <v>23</v>
      </c>
      <c r="M2080" t="s">
        <v>23</v>
      </c>
      <c r="N2080" t="s">
        <v>813</v>
      </c>
      <c r="O2080" t="s">
        <v>190</v>
      </c>
      <c r="P2080" t="s">
        <v>45</v>
      </c>
      <c r="Q2080">
        <v>2</v>
      </c>
      <c r="R2080" t="s">
        <v>62</v>
      </c>
      <c r="S2080" t="s">
        <v>28</v>
      </c>
      <c r="T2080" t="str">
        <f>VLOOKUP(S2080,'Mapa Oficinas'!$H$7:$I$16,2,FALSE)</f>
        <v>CB</v>
      </c>
      <c r="U2080" t="s">
        <v>29</v>
      </c>
      <c r="V2080" t="str">
        <f>VLOOKUP($R2080,'Mapa Oficinas'!$A$7:$C$46,2,FALSE)</f>
        <v>CABA</v>
      </c>
      <c r="W2080" t="str">
        <f>VLOOKUP($R2080,'Mapa Oficinas'!$A$7:$C$46,3,FALSE)</f>
        <v>Villa Urquiza</v>
      </c>
    </row>
    <row r="2081" spans="1:23" x14ac:dyDescent="0.2">
      <c r="A2081" s="1">
        <v>45726</v>
      </c>
      <c r="B2081" s="20">
        <f t="shared" si="64"/>
        <v>2025</v>
      </c>
      <c r="C2081" s="20">
        <f t="shared" si="65"/>
        <v>3</v>
      </c>
      <c r="D2081" t="s">
        <v>878</v>
      </c>
      <c r="E2081" s="49">
        <v>1</v>
      </c>
      <c r="F2081" t="s">
        <v>887</v>
      </c>
      <c r="G2081" t="s">
        <v>21</v>
      </c>
      <c r="H2081" t="s">
        <v>22</v>
      </c>
      <c r="I2081" s="13">
        <v>180000</v>
      </c>
      <c r="J2081" s="13">
        <v>180000</v>
      </c>
      <c r="K2081" s="13">
        <f>IF(J2081&lt;'Mapa Oficinas'!$I$21,0,IF(J2081&gt;'Mapa Oficinas'!$I$20,0,1))</f>
        <v>1</v>
      </c>
      <c r="L2081" t="s">
        <v>23</v>
      </c>
      <c r="M2081" t="s">
        <v>23</v>
      </c>
      <c r="O2081" t="s">
        <v>880</v>
      </c>
      <c r="P2081" t="s">
        <v>34</v>
      </c>
      <c r="Q2081">
        <v>2</v>
      </c>
      <c r="R2081" t="s">
        <v>257</v>
      </c>
      <c r="S2081" t="s">
        <v>28</v>
      </c>
      <c r="T2081" t="str">
        <f>VLOOKUP(S2081,'Mapa Oficinas'!$H$7:$I$16,2,FALSE)</f>
        <v>CB</v>
      </c>
      <c r="U2081" t="s">
        <v>29</v>
      </c>
      <c r="V2081" t="str">
        <f>VLOOKUP($R2081,'Mapa Oficinas'!$A$7:$C$46,2,FALSE)</f>
        <v>Zona Norte (GBA)</v>
      </c>
      <c r="W2081" t="str">
        <f>VLOOKUP($R2081,'Mapa Oficinas'!$A$7:$C$46,3,FALSE)</f>
        <v>Pilar</v>
      </c>
    </row>
    <row r="2082" spans="1:23" x14ac:dyDescent="0.2">
      <c r="A2082" s="1">
        <v>45751</v>
      </c>
      <c r="B2082" s="20">
        <f t="shared" si="64"/>
        <v>2025</v>
      </c>
      <c r="C2082" s="20">
        <f t="shared" si="65"/>
        <v>4</v>
      </c>
      <c r="D2082" t="s">
        <v>1285</v>
      </c>
      <c r="E2082" s="49">
        <v>1</v>
      </c>
      <c r="F2082" t="s">
        <v>1286</v>
      </c>
      <c r="G2082" t="s">
        <v>21</v>
      </c>
      <c r="H2082" t="s">
        <v>22</v>
      </c>
      <c r="I2082" s="13">
        <v>185000</v>
      </c>
      <c r="J2082" s="13">
        <v>180000</v>
      </c>
      <c r="K2082" s="13">
        <f>IF(J2082&lt;'Mapa Oficinas'!$I$21,0,IF(J2082&gt;'Mapa Oficinas'!$I$20,0,1))</f>
        <v>1</v>
      </c>
      <c r="L2082" t="s">
        <v>23</v>
      </c>
      <c r="M2082" t="s">
        <v>23</v>
      </c>
      <c r="N2082" t="s">
        <v>1287</v>
      </c>
      <c r="O2082" t="s">
        <v>1120</v>
      </c>
      <c r="P2082" t="s">
        <v>34</v>
      </c>
      <c r="Q2082">
        <v>2</v>
      </c>
      <c r="R2082" t="s">
        <v>257</v>
      </c>
      <c r="S2082" t="s">
        <v>28</v>
      </c>
      <c r="T2082" t="str">
        <f>VLOOKUP(S2082,'Mapa Oficinas'!$H$7:$I$16,2,FALSE)</f>
        <v>CB</v>
      </c>
      <c r="U2082" t="s">
        <v>29</v>
      </c>
      <c r="V2082" t="str">
        <f>VLOOKUP($R2082,'Mapa Oficinas'!$A$7:$C$46,2,FALSE)</f>
        <v>Zona Norte (GBA)</v>
      </c>
      <c r="W2082" t="str">
        <f>VLOOKUP($R2082,'Mapa Oficinas'!$A$7:$C$46,3,FALSE)</f>
        <v>Pilar</v>
      </c>
    </row>
    <row r="2083" spans="1:23" x14ac:dyDescent="0.2">
      <c r="A2083" s="1">
        <v>45805</v>
      </c>
      <c r="B2083" s="20">
        <f t="shared" si="64"/>
        <v>2025</v>
      </c>
      <c r="C2083" s="20">
        <f t="shared" si="65"/>
        <v>5</v>
      </c>
      <c r="D2083" t="s">
        <v>2173</v>
      </c>
      <c r="E2083" s="49">
        <v>1</v>
      </c>
      <c r="F2083" t="s">
        <v>2174</v>
      </c>
      <c r="G2083" t="s">
        <v>21</v>
      </c>
      <c r="H2083" t="s">
        <v>37</v>
      </c>
      <c r="I2083" s="13">
        <v>198000</v>
      </c>
      <c r="J2083" s="13">
        <v>180000</v>
      </c>
      <c r="K2083" s="13">
        <f>IF(J2083&lt;'Mapa Oficinas'!$I$21,0,IF(J2083&gt;'Mapa Oficinas'!$I$20,0,1))</f>
        <v>1</v>
      </c>
      <c r="L2083" t="s">
        <v>23</v>
      </c>
      <c r="M2083" t="s">
        <v>23</v>
      </c>
      <c r="N2083" t="s">
        <v>2175</v>
      </c>
      <c r="O2083" t="s">
        <v>54</v>
      </c>
      <c r="P2083" t="s">
        <v>45</v>
      </c>
      <c r="Q2083">
        <v>2</v>
      </c>
      <c r="R2083" t="s">
        <v>67</v>
      </c>
      <c r="S2083" t="s">
        <v>28</v>
      </c>
      <c r="T2083" t="str">
        <f>VLOOKUP(S2083,'Mapa Oficinas'!$H$7:$I$16,2,FALSE)</f>
        <v>CB</v>
      </c>
      <c r="U2083" t="s">
        <v>29</v>
      </c>
      <c r="V2083" t="str">
        <f>VLOOKUP($R2083,'Mapa Oficinas'!$A$7:$C$46,2,FALSE)</f>
        <v>CABA</v>
      </c>
      <c r="W2083" t="str">
        <f>VLOOKUP($R2083,'Mapa Oficinas'!$A$7:$C$46,3,FALSE)</f>
        <v>Barrio Parque</v>
      </c>
    </row>
    <row r="2084" spans="1:23" x14ac:dyDescent="0.2">
      <c r="A2084" s="1">
        <v>45817</v>
      </c>
      <c r="B2084" s="20">
        <f t="shared" si="64"/>
        <v>2025</v>
      </c>
      <c r="C2084" s="20">
        <f t="shared" si="65"/>
        <v>6</v>
      </c>
      <c r="D2084" t="s">
        <v>2395</v>
      </c>
      <c r="E2084" s="49">
        <v>1</v>
      </c>
      <c r="F2084" t="s">
        <v>2396</v>
      </c>
      <c r="G2084" t="s">
        <v>21</v>
      </c>
      <c r="H2084" t="s">
        <v>37</v>
      </c>
      <c r="I2084" s="13">
        <v>180000</v>
      </c>
      <c r="J2084" s="13">
        <v>180000</v>
      </c>
      <c r="K2084" s="13">
        <f>IF(J2084&lt;'Mapa Oficinas'!$I$21,0,IF(J2084&gt;'Mapa Oficinas'!$I$20,0,1))</f>
        <v>1</v>
      </c>
      <c r="L2084" t="s">
        <v>23</v>
      </c>
      <c r="M2084" t="s">
        <v>23</v>
      </c>
      <c r="N2084" t="s">
        <v>2397</v>
      </c>
      <c r="O2084" t="s">
        <v>976</v>
      </c>
      <c r="P2084" t="s">
        <v>61</v>
      </c>
      <c r="Q2084">
        <v>2</v>
      </c>
      <c r="R2084" t="s">
        <v>46</v>
      </c>
      <c r="S2084" t="s">
        <v>28</v>
      </c>
      <c r="T2084" t="str">
        <f>VLOOKUP(S2084,'Mapa Oficinas'!$H$7:$I$16,2,FALSE)</f>
        <v>CB</v>
      </c>
      <c r="U2084" t="s">
        <v>29</v>
      </c>
      <c r="V2084" t="str">
        <f>VLOOKUP($R2084,'Mapa Oficinas'!$A$7:$C$46,2,FALSE)</f>
        <v>CABA</v>
      </c>
      <c r="W2084" t="str">
        <f>VLOOKUP($R2084,'Mapa Oficinas'!$A$7:$C$46,3,FALSE)</f>
        <v>Palermo</v>
      </c>
    </row>
    <row r="2085" spans="1:23" x14ac:dyDescent="0.2">
      <c r="A2085" s="1">
        <v>45848</v>
      </c>
      <c r="B2085" s="20">
        <f t="shared" si="64"/>
        <v>2025</v>
      </c>
      <c r="C2085" s="20">
        <f t="shared" si="65"/>
        <v>7</v>
      </c>
      <c r="D2085" t="s">
        <v>2960</v>
      </c>
      <c r="E2085" s="49">
        <v>1</v>
      </c>
      <c r="F2085" t="s">
        <v>2961</v>
      </c>
      <c r="G2085" t="s">
        <v>21</v>
      </c>
      <c r="H2085" t="s">
        <v>37</v>
      </c>
      <c r="I2085" s="13">
        <v>180000</v>
      </c>
      <c r="J2085" s="13">
        <v>180000</v>
      </c>
      <c r="K2085" s="13">
        <f>IF(J2085&lt;'Mapa Oficinas'!$I$21,0,IF(J2085&gt;'Mapa Oficinas'!$I$20,0,1))</f>
        <v>1</v>
      </c>
      <c r="L2085" t="s">
        <v>23</v>
      </c>
      <c r="M2085" t="s">
        <v>23</v>
      </c>
      <c r="N2085" t="s">
        <v>2962</v>
      </c>
      <c r="O2085" t="s">
        <v>2963</v>
      </c>
      <c r="P2085" t="s">
        <v>45</v>
      </c>
      <c r="Q2085">
        <v>2</v>
      </c>
      <c r="R2085" t="s">
        <v>46</v>
      </c>
      <c r="S2085" t="s">
        <v>28</v>
      </c>
      <c r="T2085" t="str">
        <f>VLOOKUP(S2085,'Mapa Oficinas'!$H$7:$I$16,2,FALSE)</f>
        <v>CB</v>
      </c>
      <c r="U2085" t="s">
        <v>29</v>
      </c>
      <c r="V2085" t="str">
        <f>VLOOKUP($R2085,'Mapa Oficinas'!$A$7:$C$46,2,FALSE)</f>
        <v>CABA</v>
      </c>
      <c r="W2085" t="str">
        <f>VLOOKUP($R2085,'Mapa Oficinas'!$A$7:$C$46,3,FALSE)</f>
        <v>Palermo</v>
      </c>
    </row>
    <row r="2086" spans="1:23" x14ac:dyDescent="0.2">
      <c r="A2086" s="1">
        <v>45852</v>
      </c>
      <c r="B2086" s="20">
        <f t="shared" si="64"/>
        <v>2025</v>
      </c>
      <c r="C2086" s="20">
        <f t="shared" si="65"/>
        <v>7</v>
      </c>
      <c r="D2086" t="s">
        <v>3014</v>
      </c>
      <c r="E2086" s="49">
        <v>1</v>
      </c>
      <c r="F2086" t="s">
        <v>3015</v>
      </c>
      <c r="G2086" t="s">
        <v>21</v>
      </c>
      <c r="H2086" t="s">
        <v>37</v>
      </c>
      <c r="I2086" s="13">
        <v>180000</v>
      </c>
      <c r="J2086" s="13">
        <v>180000</v>
      </c>
      <c r="K2086" s="13">
        <f>IF(J2086&lt;'Mapa Oficinas'!$I$21,0,IF(J2086&gt;'Mapa Oficinas'!$I$20,0,1))</f>
        <v>1</v>
      </c>
      <c r="L2086" t="s">
        <v>23</v>
      </c>
      <c r="M2086" t="s">
        <v>23</v>
      </c>
      <c r="N2086" t="s">
        <v>3016</v>
      </c>
      <c r="O2086" t="s">
        <v>92</v>
      </c>
      <c r="P2086" t="s">
        <v>45</v>
      </c>
      <c r="Q2086">
        <v>2</v>
      </c>
      <c r="R2086" t="s">
        <v>429</v>
      </c>
      <c r="S2086" t="s">
        <v>28</v>
      </c>
      <c r="T2086" t="str">
        <f>VLOOKUP(S2086,'Mapa Oficinas'!$H$7:$I$16,2,FALSE)</f>
        <v>CB</v>
      </c>
      <c r="U2086" t="s">
        <v>29</v>
      </c>
      <c r="V2086" t="str">
        <f>VLOOKUP($R2086,'Mapa Oficinas'!$A$7:$C$46,2,FALSE)</f>
        <v>Zona Oeste (GBA)</v>
      </c>
      <c r="W2086" t="str">
        <f>VLOOKUP($R2086,'Mapa Oficinas'!$A$7:$C$46,3,FALSE)</f>
        <v>Parque Leloir</v>
      </c>
    </row>
    <row r="2087" spans="1:23" x14ac:dyDescent="0.2">
      <c r="A2087" s="1">
        <v>45898</v>
      </c>
      <c r="B2087" s="20">
        <f t="shared" si="64"/>
        <v>2025</v>
      </c>
      <c r="C2087" s="20">
        <f t="shared" si="65"/>
        <v>8</v>
      </c>
      <c r="D2087" t="s">
        <v>3894</v>
      </c>
      <c r="E2087" s="49">
        <v>1</v>
      </c>
      <c r="F2087" t="s">
        <v>3895</v>
      </c>
      <c r="G2087" t="s">
        <v>21</v>
      </c>
      <c r="H2087" t="s">
        <v>37</v>
      </c>
      <c r="I2087" s="13">
        <v>190000</v>
      </c>
      <c r="J2087" s="13">
        <v>180000</v>
      </c>
      <c r="K2087" s="13">
        <f>IF(J2087&lt;'Mapa Oficinas'!$I$21,0,IF(J2087&gt;'Mapa Oficinas'!$I$20,0,1))</f>
        <v>1</v>
      </c>
      <c r="L2087" t="s">
        <v>23</v>
      </c>
      <c r="M2087" t="s">
        <v>23</v>
      </c>
      <c r="N2087" t="s">
        <v>3896</v>
      </c>
      <c r="O2087" t="s">
        <v>66</v>
      </c>
      <c r="P2087" t="s">
        <v>45</v>
      </c>
      <c r="Q2087">
        <v>2</v>
      </c>
      <c r="R2087" t="s">
        <v>67</v>
      </c>
      <c r="S2087" t="s">
        <v>28</v>
      </c>
      <c r="T2087" t="str">
        <f>VLOOKUP(S2087,'Mapa Oficinas'!$H$7:$I$16,2,FALSE)</f>
        <v>CB</v>
      </c>
      <c r="U2087" t="s">
        <v>29</v>
      </c>
      <c r="V2087" t="str">
        <f>VLOOKUP($R2087,'Mapa Oficinas'!$A$7:$C$46,2,FALSE)</f>
        <v>CABA</v>
      </c>
      <c r="W2087" t="str">
        <f>VLOOKUP($R2087,'Mapa Oficinas'!$A$7:$C$46,3,FALSE)</f>
        <v>Barrio Parque</v>
      </c>
    </row>
    <row r="2088" spans="1:23" x14ac:dyDescent="0.2">
      <c r="A2088" s="1">
        <v>45909</v>
      </c>
      <c r="B2088" s="20">
        <f t="shared" si="64"/>
        <v>2025</v>
      </c>
      <c r="C2088" s="20">
        <f t="shared" si="65"/>
        <v>9</v>
      </c>
      <c r="D2088" t="s">
        <v>4054</v>
      </c>
      <c r="E2088" s="49">
        <v>1</v>
      </c>
      <c r="F2088" t="s">
        <v>4055</v>
      </c>
      <c r="G2088" t="s">
        <v>21</v>
      </c>
      <c r="H2088" t="s">
        <v>90</v>
      </c>
      <c r="I2088" s="13">
        <v>180000</v>
      </c>
      <c r="J2088" s="13">
        <v>180000</v>
      </c>
      <c r="K2088" s="13">
        <f>IF(J2088&lt;'Mapa Oficinas'!$I$21,0,IF(J2088&gt;'Mapa Oficinas'!$I$20,0,1))</f>
        <v>1</v>
      </c>
      <c r="L2088" t="s">
        <v>23</v>
      </c>
      <c r="M2088" t="s">
        <v>23</v>
      </c>
      <c r="N2088" t="s">
        <v>4056</v>
      </c>
      <c r="O2088" t="s">
        <v>2845</v>
      </c>
      <c r="P2088" t="s">
        <v>34</v>
      </c>
      <c r="Q2088">
        <v>2</v>
      </c>
      <c r="R2088" t="s">
        <v>62</v>
      </c>
      <c r="S2088" t="s">
        <v>28</v>
      </c>
      <c r="T2088" t="str">
        <f>VLOOKUP(S2088,'Mapa Oficinas'!$H$7:$I$16,2,FALSE)</f>
        <v>CB</v>
      </c>
      <c r="U2088" t="s">
        <v>29</v>
      </c>
      <c r="V2088" t="str">
        <f>VLOOKUP($R2088,'Mapa Oficinas'!$A$7:$C$46,2,FALSE)</f>
        <v>CABA</v>
      </c>
      <c r="W2088" t="str">
        <f>VLOOKUP($R2088,'Mapa Oficinas'!$A$7:$C$46,3,FALSE)</f>
        <v>Villa Urquiza</v>
      </c>
    </row>
    <row r="2089" spans="1:23" x14ac:dyDescent="0.2">
      <c r="A2089" s="1">
        <v>45954</v>
      </c>
      <c r="B2089" s="20">
        <f t="shared" si="64"/>
        <v>2025</v>
      </c>
      <c r="C2089" s="20">
        <f t="shared" si="65"/>
        <v>10</v>
      </c>
      <c r="D2089" t="s">
        <v>4918</v>
      </c>
      <c r="E2089" s="49">
        <v>1</v>
      </c>
      <c r="F2089" t="s">
        <v>4919</v>
      </c>
      <c r="G2089" t="s">
        <v>21</v>
      </c>
      <c r="H2089" t="s">
        <v>37</v>
      </c>
      <c r="I2089" s="13">
        <v>185000</v>
      </c>
      <c r="J2089" s="13">
        <v>180000</v>
      </c>
      <c r="K2089" s="13">
        <f>IF(J2089&lt;'Mapa Oficinas'!$I$21,0,IF(J2089&gt;'Mapa Oficinas'!$I$20,0,1))</f>
        <v>1</v>
      </c>
      <c r="L2089" t="s">
        <v>23</v>
      </c>
      <c r="M2089" t="s">
        <v>23</v>
      </c>
      <c r="N2089" t="s">
        <v>4920</v>
      </c>
      <c r="O2089" t="s">
        <v>976</v>
      </c>
      <c r="P2089" t="s">
        <v>45</v>
      </c>
      <c r="Q2089">
        <v>2</v>
      </c>
      <c r="R2089" t="s">
        <v>67</v>
      </c>
      <c r="S2089" t="s">
        <v>28</v>
      </c>
      <c r="T2089" t="str">
        <f>VLOOKUP(S2089,'Mapa Oficinas'!$H$7:$I$16,2,FALSE)</f>
        <v>CB</v>
      </c>
      <c r="U2089" t="s">
        <v>29</v>
      </c>
      <c r="V2089" t="str">
        <f>VLOOKUP($R2089,'Mapa Oficinas'!$A$7:$C$46,2,FALSE)</f>
        <v>CABA</v>
      </c>
      <c r="W2089" t="str">
        <f>VLOOKUP($R2089,'Mapa Oficinas'!$A$7:$C$46,3,FALSE)</f>
        <v>Barrio Parque</v>
      </c>
    </row>
    <row r="2090" spans="1:23" x14ac:dyDescent="0.2">
      <c r="A2090" s="1">
        <v>45954</v>
      </c>
      <c r="B2090" s="20">
        <f t="shared" si="64"/>
        <v>2025</v>
      </c>
      <c r="C2090" s="20">
        <f t="shared" si="65"/>
        <v>10</v>
      </c>
      <c r="D2090" t="s">
        <v>4921</v>
      </c>
      <c r="E2090" s="49">
        <v>1</v>
      </c>
      <c r="F2090" t="s">
        <v>4909</v>
      </c>
      <c r="G2090" t="s">
        <v>21</v>
      </c>
      <c r="H2090" t="s">
        <v>37</v>
      </c>
      <c r="I2090" s="13">
        <v>185000</v>
      </c>
      <c r="J2090" s="13">
        <v>180000</v>
      </c>
      <c r="K2090" s="13">
        <f>IF(J2090&lt;'Mapa Oficinas'!$I$21,0,IF(J2090&gt;'Mapa Oficinas'!$I$20,0,1))</f>
        <v>1</v>
      </c>
      <c r="L2090" t="s">
        <v>23</v>
      </c>
      <c r="M2090" t="s">
        <v>23</v>
      </c>
      <c r="N2090" t="s">
        <v>4910</v>
      </c>
      <c r="O2090" t="s">
        <v>92</v>
      </c>
      <c r="P2090" t="s">
        <v>45</v>
      </c>
      <c r="Q2090">
        <v>2</v>
      </c>
      <c r="R2090" t="s">
        <v>670</v>
      </c>
      <c r="S2090" t="s">
        <v>28</v>
      </c>
      <c r="T2090" t="str">
        <f>VLOOKUP(S2090,'Mapa Oficinas'!$H$7:$I$16,2,FALSE)</f>
        <v>CB</v>
      </c>
      <c r="U2090" t="s">
        <v>29</v>
      </c>
      <c r="V2090" t="str">
        <f>VLOOKUP($R2090,'Mapa Oficinas'!$A$7:$C$46,2,FALSE)</f>
        <v>CABA</v>
      </c>
      <c r="W2090" t="str">
        <f>VLOOKUP($R2090,'Mapa Oficinas'!$A$7:$C$46,3,FALSE)</f>
        <v>Recoleta</v>
      </c>
    </row>
    <row r="2091" spans="1:23" x14ac:dyDescent="0.2">
      <c r="A2091" s="1">
        <v>45968</v>
      </c>
      <c r="B2091" s="20">
        <f t="shared" si="64"/>
        <v>2025</v>
      </c>
      <c r="C2091" s="20">
        <f t="shared" si="65"/>
        <v>11</v>
      </c>
      <c r="D2091" t="s">
        <v>5093</v>
      </c>
      <c r="E2091" s="49">
        <v>1</v>
      </c>
      <c r="F2091" t="s">
        <v>5094</v>
      </c>
      <c r="G2091" t="s">
        <v>21</v>
      </c>
      <c r="H2091" t="s">
        <v>90</v>
      </c>
      <c r="I2091" s="13">
        <v>180000</v>
      </c>
      <c r="J2091" s="13">
        <v>180000</v>
      </c>
      <c r="K2091" s="13">
        <f>IF(J2091&lt;'Mapa Oficinas'!$I$21,0,IF(J2091&gt;'Mapa Oficinas'!$I$20,0,1))</f>
        <v>1</v>
      </c>
      <c r="L2091" t="s">
        <v>23</v>
      </c>
      <c r="M2091" t="s">
        <v>23</v>
      </c>
      <c r="N2091" t="s">
        <v>5095</v>
      </c>
      <c r="O2091" t="s">
        <v>440</v>
      </c>
      <c r="P2091" t="s">
        <v>55</v>
      </c>
      <c r="Q2091">
        <v>2</v>
      </c>
      <c r="R2091" t="s">
        <v>62</v>
      </c>
      <c r="S2091" t="s">
        <v>28</v>
      </c>
      <c r="T2091" t="str">
        <f>VLOOKUP(S2091,'Mapa Oficinas'!$H$7:$I$16,2,FALSE)</f>
        <v>CB</v>
      </c>
      <c r="U2091" t="s">
        <v>29</v>
      </c>
      <c r="V2091" t="str">
        <f>VLOOKUP($R2091,'Mapa Oficinas'!$A$7:$C$46,2,FALSE)</f>
        <v>CABA</v>
      </c>
      <c r="W2091" t="str">
        <f>VLOOKUP($R2091,'Mapa Oficinas'!$A$7:$C$46,3,FALSE)</f>
        <v>Villa Urquiza</v>
      </c>
    </row>
    <row r="2092" spans="1:23" x14ac:dyDescent="0.2">
      <c r="A2092" s="1">
        <v>46014</v>
      </c>
      <c r="B2092" s="20">
        <f t="shared" si="64"/>
        <v>2025</v>
      </c>
      <c r="C2092" s="20">
        <f t="shared" si="65"/>
        <v>12</v>
      </c>
      <c r="D2092" t="s">
        <v>5992</v>
      </c>
      <c r="E2092" s="49">
        <v>1</v>
      </c>
      <c r="F2092" t="s">
        <v>5993</v>
      </c>
      <c r="G2092" t="s">
        <v>21</v>
      </c>
      <c r="H2092" t="s">
        <v>22</v>
      </c>
      <c r="I2092" s="13">
        <v>187000</v>
      </c>
      <c r="J2092" s="13">
        <v>180000</v>
      </c>
      <c r="K2092" s="13">
        <f>IF(J2092&lt;'Mapa Oficinas'!$I$21,0,IF(J2092&gt;'Mapa Oficinas'!$I$20,0,1))</f>
        <v>1</v>
      </c>
      <c r="L2092" t="s">
        <v>23</v>
      </c>
      <c r="M2092" t="s">
        <v>23</v>
      </c>
      <c r="N2092" t="s">
        <v>5994</v>
      </c>
      <c r="O2092" t="s">
        <v>5995</v>
      </c>
      <c r="P2092" t="s">
        <v>34</v>
      </c>
      <c r="Q2092">
        <v>2</v>
      </c>
      <c r="R2092" t="s">
        <v>257</v>
      </c>
      <c r="S2092" t="s">
        <v>28</v>
      </c>
      <c r="T2092" t="str">
        <f>VLOOKUP(S2092,'Mapa Oficinas'!$H$7:$I$16,2,FALSE)</f>
        <v>CB</v>
      </c>
      <c r="U2092" t="s">
        <v>29</v>
      </c>
      <c r="V2092" t="str">
        <f>VLOOKUP($R2092,'Mapa Oficinas'!$A$7:$C$46,2,FALSE)</f>
        <v>Zona Norte (GBA)</v>
      </c>
      <c r="W2092" t="str">
        <f>VLOOKUP($R2092,'Mapa Oficinas'!$A$7:$C$46,3,FALSE)</f>
        <v>Pilar</v>
      </c>
    </row>
    <row r="2093" spans="1:23" x14ac:dyDescent="0.2">
      <c r="A2093" s="1">
        <v>46036</v>
      </c>
      <c r="B2093" s="20">
        <f t="shared" si="64"/>
        <v>2026</v>
      </c>
      <c r="C2093" s="20">
        <f t="shared" si="65"/>
        <v>1</v>
      </c>
      <c r="D2093" t="s">
        <v>6234</v>
      </c>
      <c r="E2093" s="49">
        <v>1</v>
      </c>
      <c r="F2093" t="s">
        <v>6235</v>
      </c>
      <c r="G2093" t="s">
        <v>21</v>
      </c>
      <c r="H2093" t="s">
        <v>37</v>
      </c>
      <c r="I2093" s="13">
        <v>185000</v>
      </c>
      <c r="J2093" s="13">
        <v>180000</v>
      </c>
      <c r="K2093" s="13">
        <f>IF(J2093&lt;'Mapa Oficinas'!$I$21,0,IF(J2093&gt;'Mapa Oficinas'!$I$20,0,1))</f>
        <v>1</v>
      </c>
      <c r="L2093" t="s">
        <v>23</v>
      </c>
      <c r="M2093" t="s">
        <v>23</v>
      </c>
      <c r="N2093" t="s">
        <v>6236</v>
      </c>
      <c r="O2093" t="s">
        <v>6237</v>
      </c>
      <c r="P2093" t="s">
        <v>34</v>
      </c>
      <c r="Q2093">
        <v>2</v>
      </c>
      <c r="R2093" t="s">
        <v>110</v>
      </c>
      <c r="S2093" t="s">
        <v>28</v>
      </c>
      <c r="T2093" t="str">
        <f>VLOOKUP(S2093,'Mapa Oficinas'!$H$7:$I$16,2,FALSE)</f>
        <v>CB</v>
      </c>
      <c r="U2093" t="s">
        <v>29</v>
      </c>
      <c r="V2093" t="str">
        <f>VLOOKUP($R2093,'Mapa Oficinas'!$A$7:$C$46,2,FALSE)</f>
        <v>Zona Norte (GBA)</v>
      </c>
      <c r="W2093" t="str">
        <f>VLOOKUP($R2093,'Mapa Oficinas'!$A$7:$C$46,3,FALSE)</f>
        <v>Nordelta</v>
      </c>
    </row>
    <row r="2094" spans="1:23" x14ac:dyDescent="0.2">
      <c r="A2094" s="1">
        <v>45944</v>
      </c>
      <c r="B2094" s="20">
        <f t="shared" si="64"/>
        <v>2025</v>
      </c>
      <c r="C2094" s="20">
        <f t="shared" si="65"/>
        <v>10</v>
      </c>
      <c r="D2094" t="s">
        <v>4674</v>
      </c>
      <c r="E2094" s="49">
        <v>0</v>
      </c>
      <c r="F2094" t="s">
        <v>4675</v>
      </c>
      <c r="G2094" t="s">
        <v>21</v>
      </c>
      <c r="H2094" t="s">
        <v>37</v>
      </c>
      <c r="I2094" s="13">
        <v>180468</v>
      </c>
      <c r="J2094" s="13">
        <v>180468</v>
      </c>
      <c r="K2094" s="13">
        <f>IF(J2094&lt;'Mapa Oficinas'!$I$21,0,IF(J2094&gt;'Mapa Oficinas'!$I$20,0,1))</f>
        <v>1</v>
      </c>
      <c r="L2094" t="s">
        <v>23</v>
      </c>
      <c r="M2094" t="s">
        <v>23</v>
      </c>
      <c r="N2094" t="s">
        <v>859</v>
      </c>
      <c r="O2094" t="s">
        <v>860</v>
      </c>
      <c r="P2094" t="s">
        <v>45</v>
      </c>
      <c r="Q2094">
        <v>2</v>
      </c>
      <c r="R2094" t="s">
        <v>84</v>
      </c>
      <c r="S2094" t="s">
        <v>79</v>
      </c>
      <c r="T2094" t="str">
        <f>VLOOKUP(S2094,'Mapa Oficinas'!$H$7:$I$16,2,FALSE)</f>
        <v>CB</v>
      </c>
      <c r="U2094" t="s">
        <v>29</v>
      </c>
      <c r="V2094" t="str">
        <f>VLOOKUP($R2094,'Mapa Oficinas'!$A$7:$C$46,2,FALSE)</f>
        <v>Interior - Neuquén</v>
      </c>
      <c r="W2094" t="str">
        <f>VLOOKUP($R2094,'Mapa Oficinas'!$A$7:$C$46,3,FALSE)</f>
        <v>Villa La Angostura</v>
      </c>
    </row>
    <row r="2095" spans="1:23" x14ac:dyDescent="0.2">
      <c r="A2095" s="1">
        <v>46029</v>
      </c>
      <c r="B2095" s="20">
        <f t="shared" si="64"/>
        <v>2026</v>
      </c>
      <c r="C2095" s="20">
        <f t="shared" si="65"/>
        <v>1</v>
      </c>
      <c r="D2095" t="s">
        <v>6126</v>
      </c>
      <c r="E2095" s="49">
        <v>1</v>
      </c>
      <c r="F2095" t="s">
        <v>6127</v>
      </c>
      <c r="G2095" t="s">
        <v>21</v>
      </c>
      <c r="H2095" t="s">
        <v>100</v>
      </c>
      <c r="I2095" s="13">
        <v>181000</v>
      </c>
      <c r="J2095" s="13">
        <v>181000</v>
      </c>
      <c r="K2095" s="13">
        <f>IF(J2095&lt;'Mapa Oficinas'!$I$21,0,IF(J2095&gt;'Mapa Oficinas'!$I$20,0,1))</f>
        <v>1</v>
      </c>
      <c r="L2095" t="s">
        <v>23</v>
      </c>
      <c r="M2095" t="s">
        <v>23</v>
      </c>
      <c r="N2095" t="s">
        <v>285</v>
      </c>
      <c r="O2095" t="s">
        <v>209</v>
      </c>
      <c r="P2095" t="s">
        <v>45</v>
      </c>
      <c r="Q2095">
        <v>1</v>
      </c>
      <c r="R2095" t="s">
        <v>121</v>
      </c>
      <c r="S2095" t="s">
        <v>152</v>
      </c>
      <c r="T2095" t="str">
        <f>VLOOKUP(S2095,'Mapa Oficinas'!$H$7:$I$16,2,FALSE)</f>
        <v>Otra Red Captación</v>
      </c>
      <c r="U2095" t="s">
        <v>29</v>
      </c>
      <c r="V2095" t="str">
        <f>VLOOKUP($R2095,'Mapa Oficinas'!$A$7:$C$46,2,FALSE)</f>
        <v>Interior - Río Negro</v>
      </c>
      <c r="W2095" t="str">
        <f>VLOOKUP($R2095,'Mapa Oficinas'!$A$7:$C$46,3,FALSE)</f>
        <v>Bariloche</v>
      </c>
    </row>
    <row r="2096" spans="1:23" x14ac:dyDescent="0.2">
      <c r="A2096" s="1">
        <v>46006</v>
      </c>
      <c r="B2096" s="20">
        <f t="shared" si="64"/>
        <v>2025</v>
      </c>
      <c r="C2096" s="20">
        <f t="shared" si="65"/>
        <v>12</v>
      </c>
      <c r="D2096" t="s">
        <v>5792</v>
      </c>
      <c r="E2096" s="49">
        <v>1</v>
      </c>
      <c r="F2096" t="s">
        <v>5793</v>
      </c>
      <c r="G2096" t="s">
        <v>21</v>
      </c>
      <c r="H2096" t="s">
        <v>37</v>
      </c>
      <c r="I2096" s="13">
        <v>205000</v>
      </c>
      <c r="J2096" s="13">
        <v>181000</v>
      </c>
      <c r="K2096" s="13">
        <f>IF(J2096&lt;'Mapa Oficinas'!$I$21,0,IF(J2096&gt;'Mapa Oficinas'!$I$20,0,1))</f>
        <v>1</v>
      </c>
      <c r="L2096" t="s">
        <v>23</v>
      </c>
      <c r="M2096" t="s">
        <v>23</v>
      </c>
      <c r="N2096" t="s">
        <v>5794</v>
      </c>
      <c r="O2096" t="s">
        <v>599</v>
      </c>
      <c r="P2096" t="s">
        <v>45</v>
      </c>
      <c r="Q2096">
        <v>2</v>
      </c>
      <c r="R2096" t="s">
        <v>46</v>
      </c>
      <c r="S2096" t="s">
        <v>79</v>
      </c>
      <c r="T2096" t="str">
        <f>VLOOKUP(S2096,'Mapa Oficinas'!$H$7:$I$16,2,FALSE)</f>
        <v>CB</v>
      </c>
      <c r="U2096" t="s">
        <v>29</v>
      </c>
      <c r="V2096" t="str">
        <f>VLOOKUP($R2096,'Mapa Oficinas'!$A$7:$C$46,2,FALSE)</f>
        <v>CABA</v>
      </c>
      <c r="W2096" t="str">
        <f>VLOOKUP($R2096,'Mapa Oficinas'!$A$7:$C$46,3,FALSE)</f>
        <v>Palermo</v>
      </c>
    </row>
    <row r="2097" spans="1:23" x14ac:dyDescent="0.2">
      <c r="A2097" s="1">
        <v>45894</v>
      </c>
      <c r="B2097" s="20">
        <f t="shared" si="64"/>
        <v>2025</v>
      </c>
      <c r="C2097" s="20">
        <f t="shared" si="65"/>
        <v>8</v>
      </c>
      <c r="E2097" s="49">
        <v>1</v>
      </c>
      <c r="F2097" t="s">
        <v>3758</v>
      </c>
      <c r="G2097" t="s">
        <v>21</v>
      </c>
      <c r="H2097" t="s">
        <v>37</v>
      </c>
      <c r="I2097" s="13">
        <v>182000</v>
      </c>
      <c r="J2097" s="13">
        <v>182000</v>
      </c>
      <c r="K2097" s="13">
        <f>IF(J2097&lt;'Mapa Oficinas'!$I$21,0,IF(J2097&gt;'Mapa Oficinas'!$I$20,0,1))</f>
        <v>1</v>
      </c>
      <c r="L2097" t="s">
        <v>23</v>
      </c>
      <c r="M2097" t="s">
        <v>23</v>
      </c>
      <c r="N2097" t="s">
        <v>3759</v>
      </c>
      <c r="O2097" t="s">
        <v>190</v>
      </c>
      <c r="P2097" t="s">
        <v>45</v>
      </c>
      <c r="Q2097">
        <v>1</v>
      </c>
      <c r="R2097" t="s">
        <v>135</v>
      </c>
      <c r="S2097" t="s">
        <v>47</v>
      </c>
      <c r="T2097" t="str">
        <f>VLOOKUP(S2097,'Mapa Oficinas'!$H$7:$I$16,2,FALSE)</f>
        <v>Otra Red Búsqueda</v>
      </c>
      <c r="U2097" t="s">
        <v>29</v>
      </c>
      <c r="V2097" t="str">
        <f>VLOOKUP($R2097,'Mapa Oficinas'!$A$7:$C$46,2,FALSE)</f>
        <v>CABA</v>
      </c>
      <c r="W2097" t="str">
        <f>VLOOKUP($R2097,'Mapa Oficinas'!$A$7:$C$46,3,FALSE)</f>
        <v>Recoleta</v>
      </c>
    </row>
    <row r="2098" spans="1:23" x14ac:dyDescent="0.2">
      <c r="A2098" s="1">
        <v>46086</v>
      </c>
      <c r="B2098" s="20">
        <f t="shared" si="64"/>
        <v>2026</v>
      </c>
      <c r="C2098" s="20">
        <f t="shared" si="65"/>
        <v>3</v>
      </c>
      <c r="D2098" t="s">
        <v>6980</v>
      </c>
      <c r="E2098" s="49">
        <v>1</v>
      </c>
      <c r="F2098" t="s">
        <v>6981</v>
      </c>
      <c r="G2098" t="s">
        <v>21</v>
      </c>
      <c r="H2098" t="s">
        <v>37</v>
      </c>
      <c r="I2098" s="13">
        <v>195000</v>
      </c>
      <c r="J2098" s="13">
        <v>182000</v>
      </c>
      <c r="K2098" s="13">
        <f>IF(J2098&lt;'Mapa Oficinas'!$I$21,0,IF(J2098&gt;'Mapa Oficinas'!$I$20,0,1))</f>
        <v>1</v>
      </c>
      <c r="L2098" t="s">
        <v>23</v>
      </c>
      <c r="M2098" t="s">
        <v>23</v>
      </c>
      <c r="N2098" t="s">
        <v>6982</v>
      </c>
      <c r="O2098" t="s">
        <v>50</v>
      </c>
      <c r="P2098" t="s">
        <v>45</v>
      </c>
      <c r="Q2098">
        <v>2</v>
      </c>
      <c r="R2098" t="s">
        <v>135</v>
      </c>
      <c r="S2098" t="s">
        <v>28</v>
      </c>
      <c r="T2098" t="str">
        <f>VLOOKUP(S2098,'Mapa Oficinas'!$H$7:$I$16,2,FALSE)</f>
        <v>CB</v>
      </c>
      <c r="U2098" t="s">
        <v>29</v>
      </c>
      <c r="V2098" t="str">
        <f>VLOOKUP($R2098,'Mapa Oficinas'!$A$7:$C$46,2,FALSE)</f>
        <v>CABA</v>
      </c>
      <c r="W2098" t="str">
        <f>VLOOKUP($R2098,'Mapa Oficinas'!$A$7:$C$46,3,FALSE)</f>
        <v>Recoleta</v>
      </c>
    </row>
    <row r="2099" spans="1:23" x14ac:dyDescent="0.2">
      <c r="A2099" s="1">
        <v>46101</v>
      </c>
      <c r="B2099" s="20">
        <f t="shared" si="64"/>
        <v>2026</v>
      </c>
      <c r="C2099" s="20">
        <f t="shared" si="65"/>
        <v>3</v>
      </c>
      <c r="D2099" t="s">
        <v>7366</v>
      </c>
      <c r="E2099" s="49">
        <v>1</v>
      </c>
      <c r="F2099" t="s">
        <v>7367</v>
      </c>
      <c r="G2099" t="s">
        <v>21</v>
      </c>
      <c r="H2099" t="s">
        <v>37</v>
      </c>
      <c r="I2099" s="13">
        <v>237000</v>
      </c>
      <c r="J2099" s="13">
        <v>182000</v>
      </c>
      <c r="K2099" s="13">
        <f>IF(J2099&lt;'Mapa Oficinas'!$I$21,0,IF(J2099&gt;'Mapa Oficinas'!$I$20,0,1))</f>
        <v>1</v>
      </c>
      <c r="L2099" t="s">
        <v>23</v>
      </c>
      <c r="M2099" t="s">
        <v>23</v>
      </c>
      <c r="N2099" t="s">
        <v>7368</v>
      </c>
      <c r="O2099" t="s">
        <v>390</v>
      </c>
      <c r="P2099" t="s">
        <v>26</v>
      </c>
      <c r="Q2099">
        <v>2</v>
      </c>
      <c r="R2099" t="s">
        <v>67</v>
      </c>
      <c r="S2099" t="s">
        <v>28</v>
      </c>
      <c r="T2099" t="str">
        <f>VLOOKUP(S2099,'Mapa Oficinas'!$H$7:$I$16,2,FALSE)</f>
        <v>CB</v>
      </c>
      <c r="U2099" t="s">
        <v>29</v>
      </c>
      <c r="V2099" t="str">
        <f>VLOOKUP($R2099,'Mapa Oficinas'!$A$7:$C$46,2,FALSE)</f>
        <v>CABA</v>
      </c>
      <c r="W2099" t="str">
        <f>VLOOKUP($R2099,'Mapa Oficinas'!$A$7:$C$46,3,FALSE)</f>
        <v>Barrio Parque</v>
      </c>
    </row>
    <row r="2100" spans="1:23" x14ac:dyDescent="0.2">
      <c r="A2100" s="1">
        <v>45915</v>
      </c>
      <c r="B2100" s="20">
        <f t="shared" si="64"/>
        <v>2025</v>
      </c>
      <c r="C2100" s="20">
        <f t="shared" si="65"/>
        <v>9</v>
      </c>
      <c r="D2100" t="s">
        <v>4168</v>
      </c>
      <c r="E2100" s="49">
        <v>1</v>
      </c>
      <c r="F2100" t="s">
        <v>4169</v>
      </c>
      <c r="G2100" t="s">
        <v>21</v>
      </c>
      <c r="H2100" t="s">
        <v>81</v>
      </c>
      <c r="I2100" s="13">
        <v>190000</v>
      </c>
      <c r="J2100" s="13">
        <v>183000</v>
      </c>
      <c r="K2100" s="13">
        <f>IF(J2100&lt;'Mapa Oficinas'!$I$21,0,IF(J2100&gt;'Mapa Oficinas'!$I$20,0,1))</f>
        <v>1</v>
      </c>
      <c r="L2100" t="s">
        <v>23</v>
      </c>
      <c r="M2100" t="s">
        <v>23</v>
      </c>
      <c r="N2100" t="s">
        <v>4170</v>
      </c>
      <c r="O2100" t="s">
        <v>3324</v>
      </c>
      <c r="P2100" t="s">
        <v>34</v>
      </c>
      <c r="Q2100">
        <v>1</v>
      </c>
      <c r="R2100" t="s">
        <v>167</v>
      </c>
      <c r="S2100" t="s">
        <v>122</v>
      </c>
      <c r="T2100" t="str">
        <f>VLOOKUP(S2100,'Mapa Oficinas'!$H$7:$I$16,2,FALSE)</f>
        <v>Otra Red Búsqueda</v>
      </c>
      <c r="U2100" t="s">
        <v>29</v>
      </c>
      <c r="V2100" t="str">
        <f>VLOOKUP($R2100,'Mapa Oficinas'!$A$7:$C$46,2,FALSE)</f>
        <v>Interior - Santa Fe</v>
      </c>
      <c r="W2100" t="str">
        <f>VLOOKUP($R2100,'Mapa Oficinas'!$A$7:$C$46,3,FALSE)</f>
        <v>Capital Santa Fe</v>
      </c>
    </row>
    <row r="2101" spans="1:23" x14ac:dyDescent="0.2">
      <c r="A2101" s="1">
        <v>45992</v>
      </c>
      <c r="B2101" s="20">
        <f t="shared" si="64"/>
        <v>2025</v>
      </c>
      <c r="C2101" s="20">
        <f t="shared" si="65"/>
        <v>12</v>
      </c>
      <c r="D2101" t="s">
        <v>5565</v>
      </c>
      <c r="E2101" s="49">
        <v>1</v>
      </c>
      <c r="F2101" t="s">
        <v>5566</v>
      </c>
      <c r="G2101" t="s">
        <v>21</v>
      </c>
      <c r="H2101" t="s">
        <v>37</v>
      </c>
      <c r="I2101" s="13">
        <v>185000</v>
      </c>
      <c r="J2101" s="13">
        <v>183000</v>
      </c>
      <c r="K2101" s="13">
        <f>IF(J2101&lt;'Mapa Oficinas'!$I$21,0,IF(J2101&gt;'Mapa Oficinas'!$I$20,0,1))</f>
        <v>1</v>
      </c>
      <c r="L2101" t="s">
        <v>23</v>
      </c>
      <c r="M2101" t="s">
        <v>23</v>
      </c>
      <c r="N2101" t="s">
        <v>5567</v>
      </c>
      <c r="O2101" t="s">
        <v>3192</v>
      </c>
      <c r="P2101" t="s">
        <v>45</v>
      </c>
      <c r="Q2101">
        <v>1</v>
      </c>
      <c r="R2101" t="s">
        <v>151</v>
      </c>
      <c r="S2101" t="s">
        <v>152</v>
      </c>
      <c r="T2101" t="str">
        <f>VLOOKUP(S2101,'Mapa Oficinas'!$H$7:$I$16,2,FALSE)</f>
        <v>Otra Red Captación</v>
      </c>
      <c r="U2101" t="s">
        <v>29</v>
      </c>
      <c r="V2101" t="str">
        <f>VLOOKUP($R2101,'Mapa Oficinas'!$A$7:$C$46,2,FALSE)</f>
        <v>Interior - Mendoza</v>
      </c>
      <c r="W2101" t="str">
        <f>VLOOKUP($R2101,'Mapa Oficinas'!$A$7:$C$46,3,FALSE)</f>
        <v>Capital Mendoza</v>
      </c>
    </row>
    <row r="2102" spans="1:23" x14ac:dyDescent="0.2">
      <c r="A2102" s="1">
        <v>45715</v>
      </c>
      <c r="B2102" s="20">
        <f t="shared" si="64"/>
        <v>2025</v>
      </c>
      <c r="C2102" s="20">
        <f t="shared" si="65"/>
        <v>2</v>
      </c>
      <c r="D2102" t="s">
        <v>772</v>
      </c>
      <c r="E2102" s="49">
        <v>1</v>
      </c>
      <c r="F2102" t="s">
        <v>773</v>
      </c>
      <c r="G2102" t="s">
        <v>21</v>
      </c>
      <c r="H2102" t="s">
        <v>100</v>
      </c>
      <c r="I2102" s="13">
        <v>183000</v>
      </c>
      <c r="J2102" s="13">
        <v>183000</v>
      </c>
      <c r="K2102" s="13">
        <f>IF(J2102&lt;'Mapa Oficinas'!$I$21,0,IF(J2102&gt;'Mapa Oficinas'!$I$20,0,1))</f>
        <v>1</v>
      </c>
      <c r="L2102" t="s">
        <v>23</v>
      </c>
      <c r="M2102" t="s">
        <v>23</v>
      </c>
      <c r="N2102" t="s">
        <v>774</v>
      </c>
      <c r="O2102" t="s">
        <v>775</v>
      </c>
      <c r="P2102" t="s">
        <v>34</v>
      </c>
      <c r="Q2102">
        <v>2</v>
      </c>
      <c r="R2102" t="s">
        <v>84</v>
      </c>
      <c r="S2102" t="s">
        <v>79</v>
      </c>
      <c r="T2102" t="str">
        <f>VLOOKUP(S2102,'Mapa Oficinas'!$H$7:$I$16,2,FALSE)</f>
        <v>CB</v>
      </c>
      <c r="U2102" t="s">
        <v>29</v>
      </c>
      <c r="V2102" t="str">
        <f>VLOOKUP($R2102,'Mapa Oficinas'!$A$7:$C$46,2,FALSE)</f>
        <v>Interior - Neuquén</v>
      </c>
      <c r="W2102" t="str">
        <f>VLOOKUP($R2102,'Mapa Oficinas'!$A$7:$C$46,3,FALSE)</f>
        <v>Villa La Angostura</v>
      </c>
    </row>
    <row r="2103" spans="1:23" x14ac:dyDescent="0.2">
      <c r="A2103" s="1">
        <v>46070</v>
      </c>
      <c r="B2103" s="20">
        <f t="shared" si="64"/>
        <v>2026</v>
      </c>
      <c r="C2103" s="20">
        <f t="shared" si="65"/>
        <v>2</v>
      </c>
      <c r="D2103" t="s">
        <v>6733</v>
      </c>
      <c r="E2103" s="49">
        <v>1</v>
      </c>
      <c r="F2103" t="s">
        <v>6733</v>
      </c>
      <c r="G2103" t="s">
        <v>21</v>
      </c>
      <c r="H2103" t="s">
        <v>37</v>
      </c>
      <c r="I2103" s="13">
        <v>183000</v>
      </c>
      <c r="J2103" s="13">
        <v>183000</v>
      </c>
      <c r="K2103" s="13">
        <f>IF(J2103&lt;'Mapa Oficinas'!$I$21,0,IF(J2103&gt;'Mapa Oficinas'!$I$20,0,1))</f>
        <v>1</v>
      </c>
      <c r="L2103" t="s">
        <v>23</v>
      </c>
      <c r="M2103" t="s">
        <v>23</v>
      </c>
      <c r="N2103" t="s">
        <v>6734</v>
      </c>
      <c r="O2103" t="s">
        <v>684</v>
      </c>
      <c r="P2103" t="s">
        <v>45</v>
      </c>
      <c r="Q2103">
        <v>2</v>
      </c>
      <c r="R2103" t="s">
        <v>110</v>
      </c>
      <c r="S2103" t="s">
        <v>79</v>
      </c>
      <c r="T2103" t="str">
        <f>VLOOKUP(S2103,'Mapa Oficinas'!$H$7:$I$16,2,FALSE)</f>
        <v>CB</v>
      </c>
      <c r="U2103" t="s">
        <v>29</v>
      </c>
      <c r="V2103" t="str">
        <f>VLOOKUP($R2103,'Mapa Oficinas'!$A$7:$C$46,2,FALSE)</f>
        <v>Zona Norte (GBA)</v>
      </c>
      <c r="W2103" t="str">
        <f>VLOOKUP($R2103,'Mapa Oficinas'!$A$7:$C$46,3,FALSE)</f>
        <v>Nordelta</v>
      </c>
    </row>
    <row r="2104" spans="1:23" x14ac:dyDescent="0.2">
      <c r="A2104" s="1">
        <v>46063</v>
      </c>
      <c r="B2104" s="20">
        <f t="shared" si="64"/>
        <v>2026</v>
      </c>
      <c r="C2104" s="20">
        <f t="shared" si="65"/>
        <v>2</v>
      </c>
      <c r="D2104" t="s">
        <v>6627</v>
      </c>
      <c r="E2104" s="49">
        <v>1</v>
      </c>
      <c r="F2104" t="s">
        <v>6628</v>
      </c>
      <c r="G2104" t="s">
        <v>21</v>
      </c>
      <c r="H2104" t="s">
        <v>37</v>
      </c>
      <c r="I2104" s="13">
        <v>195000</v>
      </c>
      <c r="J2104" s="13">
        <v>183000</v>
      </c>
      <c r="K2104" s="13">
        <f>IF(J2104&lt;'Mapa Oficinas'!$I$21,0,IF(J2104&gt;'Mapa Oficinas'!$I$20,0,1))</f>
        <v>1</v>
      </c>
      <c r="L2104" t="s">
        <v>23</v>
      </c>
      <c r="M2104" t="s">
        <v>23</v>
      </c>
      <c r="N2104" t="s">
        <v>6629</v>
      </c>
      <c r="O2104" t="s">
        <v>6630</v>
      </c>
      <c r="P2104" t="s">
        <v>34</v>
      </c>
      <c r="Q2104">
        <v>2</v>
      </c>
      <c r="R2104" t="s">
        <v>62</v>
      </c>
      <c r="S2104" t="s">
        <v>28</v>
      </c>
      <c r="T2104" t="str">
        <f>VLOOKUP(S2104,'Mapa Oficinas'!$H$7:$I$16,2,FALSE)</f>
        <v>CB</v>
      </c>
      <c r="U2104" t="s">
        <v>29</v>
      </c>
      <c r="V2104" t="str">
        <f>VLOOKUP($R2104,'Mapa Oficinas'!$A$7:$C$46,2,FALSE)</f>
        <v>CABA</v>
      </c>
      <c r="W2104" t="str">
        <f>VLOOKUP($R2104,'Mapa Oficinas'!$A$7:$C$46,3,FALSE)</f>
        <v>Villa Urquiza</v>
      </c>
    </row>
    <row r="2105" spans="1:23" x14ac:dyDescent="0.2">
      <c r="A2105" s="1">
        <v>46092</v>
      </c>
      <c r="B2105" s="20">
        <f t="shared" si="64"/>
        <v>2026</v>
      </c>
      <c r="C2105" s="20">
        <f t="shared" si="65"/>
        <v>3</v>
      </c>
      <c r="D2105" t="s">
        <v>7114</v>
      </c>
      <c r="E2105" s="49">
        <v>1</v>
      </c>
      <c r="F2105" t="s">
        <v>7115</v>
      </c>
      <c r="G2105" t="s">
        <v>21</v>
      </c>
      <c r="H2105" t="s">
        <v>37</v>
      </c>
      <c r="I2105" s="13">
        <v>199900</v>
      </c>
      <c r="J2105" s="13">
        <v>184000</v>
      </c>
      <c r="K2105" s="13">
        <f>IF(J2105&lt;'Mapa Oficinas'!$I$21,0,IF(J2105&gt;'Mapa Oficinas'!$I$20,0,1))</f>
        <v>1</v>
      </c>
      <c r="L2105" t="s">
        <v>23</v>
      </c>
      <c r="M2105" t="s">
        <v>23</v>
      </c>
      <c r="N2105" t="s">
        <v>7116</v>
      </c>
      <c r="O2105" t="s">
        <v>50</v>
      </c>
      <c r="P2105" t="s">
        <v>45</v>
      </c>
      <c r="Q2105">
        <v>2</v>
      </c>
      <c r="R2105" t="s">
        <v>67</v>
      </c>
      <c r="S2105" t="s">
        <v>200</v>
      </c>
      <c r="T2105" t="str">
        <f>VLOOKUP(S2105,'Mapa Oficinas'!$H$7:$I$16,2,FALSE)</f>
        <v>Otra Red Captación</v>
      </c>
      <c r="U2105" t="s">
        <v>29</v>
      </c>
      <c r="V2105" t="str">
        <f>VLOOKUP($R2105,'Mapa Oficinas'!$A$7:$C$46,2,FALSE)</f>
        <v>CABA</v>
      </c>
      <c r="W2105" t="str">
        <f>VLOOKUP($R2105,'Mapa Oficinas'!$A$7:$C$46,3,FALSE)</f>
        <v>Barrio Parque</v>
      </c>
    </row>
    <row r="2106" spans="1:23" x14ac:dyDescent="0.2">
      <c r="A2106" s="1">
        <v>45776</v>
      </c>
      <c r="B2106" s="20">
        <f t="shared" si="64"/>
        <v>2025</v>
      </c>
      <c r="C2106" s="20">
        <f t="shared" si="65"/>
        <v>4</v>
      </c>
      <c r="D2106" t="s">
        <v>1695</v>
      </c>
      <c r="E2106" s="49">
        <v>1</v>
      </c>
      <c r="F2106" t="s">
        <v>1696</v>
      </c>
      <c r="G2106" t="s">
        <v>21</v>
      </c>
      <c r="H2106" t="s">
        <v>37</v>
      </c>
      <c r="I2106" s="13">
        <v>190000</v>
      </c>
      <c r="J2106" s="13">
        <v>184000</v>
      </c>
      <c r="K2106" s="13">
        <f>IF(J2106&lt;'Mapa Oficinas'!$I$21,0,IF(J2106&gt;'Mapa Oficinas'!$I$20,0,1))</f>
        <v>1</v>
      </c>
      <c r="L2106" t="s">
        <v>23</v>
      </c>
      <c r="M2106" t="s">
        <v>23</v>
      </c>
      <c r="N2106" t="s">
        <v>1697</v>
      </c>
      <c r="O2106" t="s">
        <v>245</v>
      </c>
      <c r="P2106" t="s">
        <v>34</v>
      </c>
      <c r="Q2106">
        <v>2</v>
      </c>
      <c r="R2106" t="s">
        <v>183</v>
      </c>
      <c r="S2106" t="s">
        <v>28</v>
      </c>
      <c r="T2106" t="str">
        <f>VLOOKUP(S2106,'Mapa Oficinas'!$H$7:$I$16,2,FALSE)</f>
        <v>CB</v>
      </c>
      <c r="U2106" t="s">
        <v>29</v>
      </c>
      <c r="V2106" t="str">
        <f>VLOOKUP($R2106,'Mapa Oficinas'!$A$7:$C$46,2,FALSE)</f>
        <v>Interior - Neuquén</v>
      </c>
      <c r="W2106" t="str">
        <f>VLOOKUP($R2106,'Mapa Oficinas'!$A$7:$C$46,3,FALSE)</f>
        <v>Capital Neuquén</v>
      </c>
    </row>
    <row r="2107" spans="1:23" x14ac:dyDescent="0.2">
      <c r="A2107" s="1">
        <v>46058</v>
      </c>
      <c r="B2107" s="20">
        <f t="shared" si="64"/>
        <v>2026</v>
      </c>
      <c r="C2107" s="20">
        <f t="shared" si="65"/>
        <v>2</v>
      </c>
      <c r="D2107">
        <v>5022026</v>
      </c>
      <c r="E2107" s="49">
        <v>1</v>
      </c>
      <c r="F2107" t="s">
        <v>6557</v>
      </c>
      <c r="G2107" t="s">
        <v>21</v>
      </c>
      <c r="H2107" t="s">
        <v>100</v>
      </c>
      <c r="I2107" s="13">
        <v>185000</v>
      </c>
      <c r="J2107" s="13">
        <v>185000</v>
      </c>
      <c r="K2107" s="13">
        <f>IF(J2107&lt;'Mapa Oficinas'!$I$21,0,IF(J2107&gt;'Mapa Oficinas'!$I$20,0,1))</f>
        <v>1</v>
      </c>
      <c r="L2107" t="s">
        <v>23</v>
      </c>
      <c r="M2107" t="s">
        <v>23</v>
      </c>
      <c r="O2107" t="s">
        <v>403</v>
      </c>
      <c r="P2107" t="s">
        <v>34</v>
      </c>
      <c r="Q2107">
        <v>1</v>
      </c>
      <c r="R2107" t="s">
        <v>121</v>
      </c>
      <c r="S2107" t="s">
        <v>122</v>
      </c>
      <c r="T2107" t="str">
        <f>VLOOKUP(S2107,'Mapa Oficinas'!$H$7:$I$16,2,FALSE)</f>
        <v>Otra Red Búsqueda</v>
      </c>
      <c r="U2107" t="s">
        <v>29</v>
      </c>
      <c r="V2107" t="str">
        <f>VLOOKUP($R2107,'Mapa Oficinas'!$A$7:$C$46,2,FALSE)</f>
        <v>Interior - Río Negro</v>
      </c>
      <c r="W2107" t="str">
        <f>VLOOKUP($R2107,'Mapa Oficinas'!$A$7:$C$46,3,FALSE)</f>
        <v>Bariloche</v>
      </c>
    </row>
    <row r="2108" spans="1:23" x14ac:dyDescent="0.2">
      <c r="A2108" s="1">
        <v>45705</v>
      </c>
      <c r="B2108" s="20">
        <f t="shared" si="64"/>
        <v>2025</v>
      </c>
      <c r="C2108" s="20">
        <f t="shared" si="65"/>
        <v>2</v>
      </c>
      <c r="D2108" t="s">
        <v>647</v>
      </c>
      <c r="E2108" s="49">
        <v>1</v>
      </c>
      <c r="F2108" t="s">
        <v>648</v>
      </c>
      <c r="G2108" t="s">
        <v>21</v>
      </c>
      <c r="H2108" t="s">
        <v>81</v>
      </c>
      <c r="I2108" s="13">
        <v>195000</v>
      </c>
      <c r="J2108" s="13">
        <v>185000</v>
      </c>
      <c r="K2108" s="13">
        <f>IF(J2108&lt;'Mapa Oficinas'!$I$21,0,IF(J2108&gt;'Mapa Oficinas'!$I$20,0,1))</f>
        <v>1</v>
      </c>
      <c r="L2108" t="s">
        <v>23</v>
      </c>
      <c r="M2108" t="s">
        <v>23</v>
      </c>
      <c r="N2108" t="s">
        <v>649</v>
      </c>
      <c r="O2108" t="s">
        <v>650</v>
      </c>
      <c r="P2108" t="s">
        <v>34</v>
      </c>
      <c r="Q2108">
        <v>1</v>
      </c>
      <c r="R2108" t="s">
        <v>84</v>
      </c>
      <c r="S2108" t="s">
        <v>152</v>
      </c>
      <c r="T2108" t="str">
        <f>VLOOKUP(S2108,'Mapa Oficinas'!$H$7:$I$16,2,FALSE)</f>
        <v>Otra Red Captación</v>
      </c>
      <c r="U2108" t="s">
        <v>29</v>
      </c>
      <c r="V2108" t="str">
        <f>VLOOKUP($R2108,'Mapa Oficinas'!$A$7:$C$46,2,FALSE)</f>
        <v>Interior - Neuquén</v>
      </c>
      <c r="W2108" t="str">
        <f>VLOOKUP($R2108,'Mapa Oficinas'!$A$7:$C$46,3,FALSE)</f>
        <v>Villa La Angostura</v>
      </c>
    </row>
    <row r="2109" spans="1:23" x14ac:dyDescent="0.2">
      <c r="A2109" s="1">
        <v>45738</v>
      </c>
      <c r="B2109" s="20">
        <f t="shared" si="64"/>
        <v>2025</v>
      </c>
      <c r="C2109" s="20">
        <f t="shared" si="65"/>
        <v>3</v>
      </c>
      <c r="D2109" t="s">
        <v>1064</v>
      </c>
      <c r="E2109" s="49">
        <v>1</v>
      </c>
      <c r="F2109" t="s">
        <v>1065</v>
      </c>
      <c r="G2109" t="s">
        <v>21</v>
      </c>
      <c r="H2109" t="s">
        <v>81</v>
      </c>
      <c r="I2109" s="13">
        <v>195000</v>
      </c>
      <c r="J2109" s="13">
        <v>185000</v>
      </c>
      <c r="K2109" s="13">
        <f>IF(J2109&lt;'Mapa Oficinas'!$I$21,0,IF(J2109&gt;'Mapa Oficinas'!$I$20,0,1))</f>
        <v>1</v>
      </c>
      <c r="L2109" t="s">
        <v>23</v>
      </c>
      <c r="M2109" t="s">
        <v>23</v>
      </c>
      <c r="N2109" t="s">
        <v>1066</v>
      </c>
      <c r="O2109" t="s">
        <v>1067</v>
      </c>
      <c r="P2109" t="s">
        <v>34</v>
      </c>
      <c r="Q2109">
        <v>2</v>
      </c>
      <c r="R2109" t="s">
        <v>84</v>
      </c>
      <c r="S2109" t="s">
        <v>79</v>
      </c>
      <c r="T2109" t="str">
        <f>VLOOKUP(S2109,'Mapa Oficinas'!$H$7:$I$16,2,FALSE)</f>
        <v>CB</v>
      </c>
      <c r="U2109" t="s">
        <v>29</v>
      </c>
      <c r="V2109" t="str">
        <f>VLOOKUP($R2109,'Mapa Oficinas'!$A$7:$C$46,2,FALSE)</f>
        <v>Interior - Neuquén</v>
      </c>
      <c r="W2109" t="str">
        <f>VLOOKUP($R2109,'Mapa Oficinas'!$A$7:$C$46,3,FALSE)</f>
        <v>Villa La Angostura</v>
      </c>
    </row>
    <row r="2110" spans="1:23" x14ac:dyDescent="0.2">
      <c r="A2110" s="1">
        <v>45748</v>
      </c>
      <c r="B2110" s="20">
        <f t="shared" si="64"/>
        <v>2025</v>
      </c>
      <c r="C2110" s="20">
        <f t="shared" si="65"/>
        <v>4</v>
      </c>
      <c r="E2110" s="49">
        <v>1</v>
      </c>
      <c r="F2110" t="s">
        <v>1237</v>
      </c>
      <c r="G2110" t="s">
        <v>21</v>
      </c>
      <c r="H2110" t="s">
        <v>230</v>
      </c>
      <c r="I2110" s="13">
        <v>185000</v>
      </c>
      <c r="J2110" s="13">
        <v>185000</v>
      </c>
      <c r="K2110" s="13">
        <f>IF(J2110&lt;'Mapa Oficinas'!$I$21,0,IF(J2110&gt;'Mapa Oficinas'!$I$20,0,1))</f>
        <v>1</v>
      </c>
      <c r="L2110" t="s">
        <v>23</v>
      </c>
      <c r="M2110" t="s">
        <v>23</v>
      </c>
      <c r="N2110" t="s">
        <v>1238</v>
      </c>
      <c r="O2110" t="s">
        <v>1239</v>
      </c>
      <c r="P2110" t="s">
        <v>45</v>
      </c>
      <c r="Q2110">
        <v>2</v>
      </c>
      <c r="R2110" t="s">
        <v>130</v>
      </c>
      <c r="S2110" t="s">
        <v>79</v>
      </c>
      <c r="T2110" t="str">
        <f>VLOOKUP(S2110,'Mapa Oficinas'!$H$7:$I$16,2,FALSE)</f>
        <v>CB</v>
      </c>
      <c r="U2110" t="s">
        <v>29</v>
      </c>
      <c r="V2110" t="str">
        <f>VLOOKUP($R2110,'Mapa Oficinas'!$A$7:$C$46,2,FALSE)</f>
        <v>Interior - Neuquén</v>
      </c>
      <c r="W2110" t="str">
        <f>VLOOKUP($R2110,'Mapa Oficinas'!$A$7:$C$46,3,FALSE)</f>
        <v>San Martín de los Andes</v>
      </c>
    </row>
    <row r="2111" spans="1:23" x14ac:dyDescent="0.2">
      <c r="A2111" s="1">
        <v>45932</v>
      </c>
      <c r="B2111" s="20">
        <f t="shared" si="64"/>
        <v>2025</v>
      </c>
      <c r="C2111" s="20">
        <f t="shared" si="65"/>
        <v>10</v>
      </c>
      <c r="D2111" t="s">
        <v>4469</v>
      </c>
      <c r="E2111" s="49">
        <v>1</v>
      </c>
      <c r="F2111" t="s">
        <v>4470</v>
      </c>
      <c r="G2111" t="s">
        <v>21</v>
      </c>
      <c r="H2111" t="s">
        <v>37</v>
      </c>
      <c r="I2111" s="13">
        <v>220000</v>
      </c>
      <c r="J2111" s="13">
        <v>185000</v>
      </c>
      <c r="K2111" s="13">
        <f>IF(J2111&lt;'Mapa Oficinas'!$I$21,0,IF(J2111&gt;'Mapa Oficinas'!$I$20,0,1))</f>
        <v>1</v>
      </c>
      <c r="L2111" t="s">
        <v>23</v>
      </c>
      <c r="M2111" t="s">
        <v>23</v>
      </c>
      <c r="N2111" t="s">
        <v>4471</v>
      </c>
      <c r="O2111" t="s">
        <v>976</v>
      </c>
      <c r="P2111" t="s">
        <v>61</v>
      </c>
      <c r="Q2111">
        <v>2</v>
      </c>
      <c r="R2111" t="s">
        <v>135</v>
      </c>
      <c r="S2111" t="s">
        <v>79</v>
      </c>
      <c r="T2111" t="str">
        <f>VLOOKUP(S2111,'Mapa Oficinas'!$H$7:$I$16,2,FALSE)</f>
        <v>CB</v>
      </c>
      <c r="U2111" t="s">
        <v>29</v>
      </c>
      <c r="V2111" t="str">
        <f>VLOOKUP($R2111,'Mapa Oficinas'!$A$7:$C$46,2,FALSE)</f>
        <v>CABA</v>
      </c>
      <c r="W2111" t="str">
        <f>VLOOKUP($R2111,'Mapa Oficinas'!$A$7:$C$46,3,FALSE)</f>
        <v>Recoleta</v>
      </c>
    </row>
    <row r="2112" spans="1:23" x14ac:dyDescent="0.2">
      <c r="A2112" s="1">
        <v>45743</v>
      </c>
      <c r="B2112" s="20">
        <f t="shared" si="64"/>
        <v>2025</v>
      </c>
      <c r="C2112" s="20">
        <f t="shared" si="65"/>
        <v>3</v>
      </c>
      <c r="D2112" t="s">
        <v>1135</v>
      </c>
      <c r="E2112" s="49">
        <v>0</v>
      </c>
      <c r="F2112" t="s">
        <v>1136</v>
      </c>
      <c r="G2112" t="s">
        <v>21</v>
      </c>
      <c r="H2112" t="s">
        <v>37</v>
      </c>
      <c r="I2112" s="13">
        <v>189000</v>
      </c>
      <c r="J2112" s="13">
        <v>185000</v>
      </c>
      <c r="K2112" s="13">
        <f>IF(J2112&lt;'Mapa Oficinas'!$I$21,0,IF(J2112&gt;'Mapa Oficinas'!$I$20,0,1))</f>
        <v>1</v>
      </c>
      <c r="L2112" t="s">
        <v>23</v>
      </c>
      <c r="M2112" t="s">
        <v>23</v>
      </c>
      <c r="N2112" t="s">
        <v>1137</v>
      </c>
      <c r="O2112" t="s">
        <v>162</v>
      </c>
      <c r="P2112" t="s">
        <v>45</v>
      </c>
      <c r="Q2112">
        <v>2</v>
      </c>
      <c r="R2112" t="s">
        <v>46</v>
      </c>
      <c r="S2112" t="s">
        <v>232</v>
      </c>
      <c r="T2112" t="str">
        <f>VLOOKUP(S2112,'Mapa Oficinas'!$H$7:$I$16,2,FALSE)</f>
        <v>CB</v>
      </c>
      <c r="U2112" t="s">
        <v>29</v>
      </c>
      <c r="V2112" t="str">
        <f>VLOOKUP($R2112,'Mapa Oficinas'!$A$7:$C$46,2,FALSE)</f>
        <v>CABA</v>
      </c>
      <c r="W2112" t="str">
        <f>VLOOKUP($R2112,'Mapa Oficinas'!$A$7:$C$46,3,FALSE)</f>
        <v>Palermo</v>
      </c>
    </row>
    <row r="2113" spans="1:23" x14ac:dyDescent="0.2">
      <c r="A2113" s="1">
        <v>45743</v>
      </c>
      <c r="B2113" s="20">
        <f t="shared" si="64"/>
        <v>2025</v>
      </c>
      <c r="C2113" s="20">
        <f t="shared" si="65"/>
        <v>3</v>
      </c>
      <c r="D2113">
        <v>11</v>
      </c>
      <c r="E2113" s="49">
        <v>1</v>
      </c>
      <c r="F2113" t="s">
        <v>1133</v>
      </c>
      <c r="G2113" t="s">
        <v>21</v>
      </c>
      <c r="H2113" t="s">
        <v>90</v>
      </c>
      <c r="I2113" s="13">
        <v>185000</v>
      </c>
      <c r="J2113" s="13">
        <v>185000</v>
      </c>
      <c r="K2113" s="13">
        <f>IF(J2113&lt;'Mapa Oficinas'!$I$21,0,IF(J2113&gt;'Mapa Oficinas'!$I$20,0,1))</f>
        <v>1</v>
      </c>
      <c r="L2113" t="s">
        <v>23</v>
      </c>
      <c r="M2113" t="s">
        <v>23</v>
      </c>
      <c r="N2113" t="s">
        <v>1134</v>
      </c>
      <c r="O2113" t="s">
        <v>218</v>
      </c>
      <c r="P2113" t="s">
        <v>45</v>
      </c>
      <c r="Q2113">
        <v>2</v>
      </c>
      <c r="R2113" t="s">
        <v>372</v>
      </c>
      <c r="S2113" t="s">
        <v>232</v>
      </c>
      <c r="T2113" t="str">
        <f>VLOOKUP(S2113,'Mapa Oficinas'!$H$7:$I$16,2,FALSE)</f>
        <v>CB</v>
      </c>
      <c r="U2113" t="s">
        <v>29</v>
      </c>
      <c r="V2113" t="str">
        <f>VLOOKUP($R2113,'Mapa Oficinas'!$A$7:$C$46,2,FALSE)</f>
        <v>CABA</v>
      </c>
      <c r="W2113" t="str">
        <f>VLOOKUP($R2113,'Mapa Oficinas'!$A$7:$C$46,3,FALSE)</f>
        <v>Caballito</v>
      </c>
    </row>
    <row r="2114" spans="1:23" x14ac:dyDescent="0.2">
      <c r="A2114" s="1">
        <v>45678</v>
      </c>
      <c r="B2114" s="20">
        <f t="shared" ref="B2114:B2177" si="66">YEAR($A2114)</f>
        <v>2025</v>
      </c>
      <c r="C2114" s="20">
        <f t="shared" ref="C2114:C2177" si="67">MONTH($A2114)</f>
        <v>1</v>
      </c>
      <c r="D2114" t="s">
        <v>315</v>
      </c>
      <c r="E2114" s="49">
        <v>1</v>
      </c>
      <c r="F2114" t="s">
        <v>316</v>
      </c>
      <c r="G2114" t="s">
        <v>21</v>
      </c>
      <c r="H2114" t="s">
        <v>37</v>
      </c>
      <c r="I2114" s="13">
        <v>220000</v>
      </c>
      <c r="J2114" s="13">
        <v>185000</v>
      </c>
      <c r="K2114" s="13">
        <f>IF(J2114&lt;'Mapa Oficinas'!$I$21,0,IF(J2114&gt;'Mapa Oficinas'!$I$20,0,1))</f>
        <v>1</v>
      </c>
      <c r="L2114" t="s">
        <v>23</v>
      </c>
      <c r="M2114" t="s">
        <v>23</v>
      </c>
      <c r="N2114" t="s">
        <v>316</v>
      </c>
      <c r="O2114" t="s">
        <v>317</v>
      </c>
      <c r="P2114" t="s">
        <v>34</v>
      </c>
      <c r="Q2114">
        <v>1</v>
      </c>
      <c r="R2114" t="s">
        <v>142</v>
      </c>
      <c r="S2114" t="s">
        <v>47</v>
      </c>
      <c r="T2114" t="str">
        <f>VLOOKUP(S2114,'Mapa Oficinas'!$H$7:$I$16,2,FALSE)</f>
        <v>Otra Red Búsqueda</v>
      </c>
      <c r="U2114" t="s">
        <v>29</v>
      </c>
      <c r="V2114" t="str">
        <f>VLOOKUP($R2114,'Mapa Oficinas'!$A$7:$C$46,2,FALSE)</f>
        <v>CABA</v>
      </c>
      <c r="W2114" t="str">
        <f>VLOOKUP($R2114,'Mapa Oficinas'!$A$7:$C$46,3,FALSE)</f>
        <v>Palermo</v>
      </c>
    </row>
    <row r="2115" spans="1:23" x14ac:dyDescent="0.2">
      <c r="A2115" s="1">
        <v>45853</v>
      </c>
      <c r="B2115" s="20">
        <f t="shared" si="66"/>
        <v>2025</v>
      </c>
      <c r="C2115" s="20">
        <f t="shared" si="67"/>
        <v>7</v>
      </c>
      <c r="D2115">
        <v>10411</v>
      </c>
      <c r="E2115" s="49">
        <v>1</v>
      </c>
      <c r="F2115" t="s">
        <v>3054</v>
      </c>
      <c r="G2115" t="s">
        <v>21</v>
      </c>
      <c r="H2115" t="s">
        <v>37</v>
      </c>
      <c r="I2115" s="13">
        <v>0</v>
      </c>
      <c r="J2115" s="13">
        <v>185000</v>
      </c>
      <c r="K2115" s="13">
        <f>IF(J2115&lt;'Mapa Oficinas'!$I$21,0,IF(J2115&gt;'Mapa Oficinas'!$I$20,0,1))</f>
        <v>1</v>
      </c>
      <c r="L2115" t="s">
        <v>23</v>
      </c>
      <c r="M2115" t="s">
        <v>23</v>
      </c>
      <c r="O2115" t="s">
        <v>50</v>
      </c>
      <c r="P2115" t="s">
        <v>34</v>
      </c>
      <c r="Q2115">
        <v>1</v>
      </c>
      <c r="R2115" t="s">
        <v>67</v>
      </c>
      <c r="S2115" t="s">
        <v>47</v>
      </c>
      <c r="T2115" t="str">
        <f>VLOOKUP(S2115,'Mapa Oficinas'!$H$7:$I$16,2,FALSE)</f>
        <v>Otra Red Búsqueda</v>
      </c>
      <c r="U2115" t="s">
        <v>29</v>
      </c>
      <c r="V2115" t="str">
        <f>VLOOKUP($R2115,'Mapa Oficinas'!$A$7:$C$46,2,FALSE)</f>
        <v>CABA</v>
      </c>
      <c r="W2115" t="str">
        <f>VLOOKUP($R2115,'Mapa Oficinas'!$A$7:$C$46,3,FALSE)</f>
        <v>Barrio Parque</v>
      </c>
    </row>
    <row r="2116" spans="1:23" x14ac:dyDescent="0.2">
      <c r="A2116" s="1">
        <v>45939</v>
      </c>
      <c r="B2116" s="20">
        <f t="shared" si="66"/>
        <v>2025</v>
      </c>
      <c r="C2116" s="20">
        <f t="shared" si="67"/>
        <v>10</v>
      </c>
      <c r="D2116" t="s">
        <v>3496</v>
      </c>
      <c r="E2116" s="49">
        <v>1</v>
      </c>
      <c r="F2116" t="s">
        <v>3497</v>
      </c>
      <c r="G2116" t="s">
        <v>21</v>
      </c>
      <c r="H2116" t="s">
        <v>37</v>
      </c>
      <c r="I2116" s="13">
        <v>385000</v>
      </c>
      <c r="J2116" s="13">
        <v>185000</v>
      </c>
      <c r="K2116" s="13">
        <f>IF(J2116&lt;'Mapa Oficinas'!$I$21,0,IF(J2116&gt;'Mapa Oficinas'!$I$20,0,1))</f>
        <v>1</v>
      </c>
      <c r="L2116" t="s">
        <v>23</v>
      </c>
      <c r="M2116" t="s">
        <v>23</v>
      </c>
      <c r="N2116" t="s">
        <v>3498</v>
      </c>
      <c r="O2116" t="s">
        <v>66</v>
      </c>
      <c r="P2116" t="s">
        <v>45</v>
      </c>
      <c r="Q2116">
        <v>1</v>
      </c>
      <c r="R2116" t="s">
        <v>110</v>
      </c>
      <c r="S2116" t="s">
        <v>47</v>
      </c>
      <c r="T2116" t="str">
        <f>VLOOKUP(S2116,'Mapa Oficinas'!$H$7:$I$16,2,FALSE)</f>
        <v>Otra Red Búsqueda</v>
      </c>
      <c r="U2116" t="s">
        <v>29</v>
      </c>
      <c r="V2116" t="str">
        <f>VLOOKUP($R2116,'Mapa Oficinas'!$A$7:$C$46,2,FALSE)</f>
        <v>Zona Norte (GBA)</v>
      </c>
      <c r="W2116" t="str">
        <f>VLOOKUP($R2116,'Mapa Oficinas'!$A$7:$C$46,3,FALSE)</f>
        <v>Nordelta</v>
      </c>
    </row>
    <row r="2117" spans="1:23" x14ac:dyDescent="0.2">
      <c r="A2117" s="1">
        <v>45705</v>
      </c>
      <c r="B2117" s="20">
        <f t="shared" si="66"/>
        <v>2025</v>
      </c>
      <c r="C2117" s="20">
        <f t="shared" si="67"/>
        <v>2</v>
      </c>
      <c r="D2117" t="s">
        <v>651</v>
      </c>
      <c r="E2117" s="49">
        <v>1</v>
      </c>
      <c r="F2117" t="s">
        <v>652</v>
      </c>
      <c r="G2117" t="s">
        <v>21</v>
      </c>
      <c r="H2117" t="s">
        <v>37</v>
      </c>
      <c r="I2117" s="13">
        <v>195000</v>
      </c>
      <c r="J2117" s="13">
        <v>185000</v>
      </c>
      <c r="K2117" s="13">
        <f>IF(J2117&lt;'Mapa Oficinas'!$I$21,0,IF(J2117&gt;'Mapa Oficinas'!$I$20,0,1))</f>
        <v>1</v>
      </c>
      <c r="L2117" t="s">
        <v>23</v>
      </c>
      <c r="M2117" t="s">
        <v>23</v>
      </c>
      <c r="N2117" t="s">
        <v>652</v>
      </c>
      <c r="O2117" t="s">
        <v>653</v>
      </c>
      <c r="P2117" t="s">
        <v>26</v>
      </c>
      <c r="Q2117">
        <v>2</v>
      </c>
      <c r="R2117" t="s">
        <v>110</v>
      </c>
      <c r="S2117" t="s">
        <v>200</v>
      </c>
      <c r="T2117" t="str">
        <f>VLOOKUP(S2117,'Mapa Oficinas'!$H$7:$I$16,2,FALSE)</f>
        <v>Otra Red Captación</v>
      </c>
      <c r="U2117" t="s">
        <v>29</v>
      </c>
      <c r="V2117" t="str">
        <f>VLOOKUP($R2117,'Mapa Oficinas'!$A$7:$C$46,2,FALSE)</f>
        <v>Zona Norte (GBA)</v>
      </c>
      <c r="W2117" t="str">
        <f>VLOOKUP($R2117,'Mapa Oficinas'!$A$7:$C$46,3,FALSE)</f>
        <v>Nordelta</v>
      </c>
    </row>
    <row r="2118" spans="1:23" x14ac:dyDescent="0.2">
      <c r="A2118" s="1">
        <v>46100</v>
      </c>
      <c r="B2118" s="20">
        <f t="shared" si="66"/>
        <v>2026</v>
      </c>
      <c r="C2118" s="20">
        <f t="shared" si="67"/>
        <v>3</v>
      </c>
      <c r="D2118" t="s">
        <v>7321</v>
      </c>
      <c r="E2118" s="49">
        <v>1</v>
      </c>
      <c r="F2118" t="s">
        <v>7322</v>
      </c>
      <c r="G2118" t="s">
        <v>21</v>
      </c>
      <c r="H2118" t="s">
        <v>37</v>
      </c>
      <c r="I2118" s="13">
        <v>220000</v>
      </c>
      <c r="J2118" s="13">
        <v>185000</v>
      </c>
      <c r="K2118" s="13">
        <f>IF(J2118&lt;'Mapa Oficinas'!$I$21,0,IF(J2118&gt;'Mapa Oficinas'!$I$20,0,1))</f>
        <v>1</v>
      </c>
      <c r="L2118" t="s">
        <v>23</v>
      </c>
      <c r="M2118" t="s">
        <v>23</v>
      </c>
      <c r="N2118" t="s">
        <v>7323</v>
      </c>
      <c r="O2118" t="s">
        <v>684</v>
      </c>
      <c r="P2118" t="s">
        <v>45</v>
      </c>
      <c r="Q2118">
        <v>2</v>
      </c>
      <c r="R2118" t="s">
        <v>67</v>
      </c>
      <c r="S2118" t="s">
        <v>200</v>
      </c>
      <c r="T2118" t="str">
        <f>VLOOKUP(S2118,'Mapa Oficinas'!$H$7:$I$16,2,FALSE)</f>
        <v>Otra Red Captación</v>
      </c>
      <c r="U2118" t="s">
        <v>29</v>
      </c>
      <c r="V2118" t="str">
        <f>VLOOKUP($R2118,'Mapa Oficinas'!$A$7:$C$46,2,FALSE)</f>
        <v>CABA</v>
      </c>
      <c r="W2118" t="str">
        <f>VLOOKUP($R2118,'Mapa Oficinas'!$A$7:$C$46,3,FALSE)</f>
        <v>Barrio Parque</v>
      </c>
    </row>
    <row r="2119" spans="1:23" x14ac:dyDescent="0.2">
      <c r="A2119" s="1">
        <v>45688</v>
      </c>
      <c r="B2119" s="20">
        <f t="shared" si="66"/>
        <v>2025</v>
      </c>
      <c r="C2119" s="20">
        <f t="shared" si="67"/>
        <v>1</v>
      </c>
      <c r="D2119" t="s">
        <v>463</v>
      </c>
      <c r="E2119" s="49">
        <v>1</v>
      </c>
      <c r="F2119" t="s">
        <v>464</v>
      </c>
      <c r="G2119" t="s">
        <v>21</v>
      </c>
      <c r="H2119" t="s">
        <v>37</v>
      </c>
      <c r="I2119" s="13">
        <v>189000</v>
      </c>
      <c r="J2119" s="13">
        <v>185000</v>
      </c>
      <c r="K2119" s="13">
        <f>IF(J2119&lt;'Mapa Oficinas'!$I$21,0,IF(J2119&gt;'Mapa Oficinas'!$I$20,0,1))</f>
        <v>1</v>
      </c>
      <c r="L2119" t="s">
        <v>23</v>
      </c>
      <c r="M2119" t="s">
        <v>23</v>
      </c>
      <c r="N2119" t="s">
        <v>465</v>
      </c>
      <c r="O2119" t="s">
        <v>390</v>
      </c>
      <c r="P2119" t="s">
        <v>45</v>
      </c>
      <c r="Q2119">
        <v>2</v>
      </c>
      <c r="R2119" t="s">
        <v>67</v>
      </c>
      <c r="S2119" t="s">
        <v>28</v>
      </c>
      <c r="T2119" t="str">
        <f>VLOOKUP(S2119,'Mapa Oficinas'!$H$7:$I$16,2,FALSE)</f>
        <v>CB</v>
      </c>
      <c r="U2119" t="s">
        <v>29</v>
      </c>
      <c r="V2119" t="str">
        <f>VLOOKUP($R2119,'Mapa Oficinas'!$A$7:$C$46,2,FALSE)</f>
        <v>CABA</v>
      </c>
      <c r="W2119" t="str">
        <f>VLOOKUP($R2119,'Mapa Oficinas'!$A$7:$C$46,3,FALSE)</f>
        <v>Barrio Parque</v>
      </c>
    </row>
    <row r="2120" spans="1:23" x14ac:dyDescent="0.2">
      <c r="A2120" s="1">
        <v>45717</v>
      </c>
      <c r="B2120" s="20">
        <f t="shared" si="66"/>
        <v>2025</v>
      </c>
      <c r="C2120" s="20">
        <f t="shared" si="67"/>
        <v>3</v>
      </c>
      <c r="D2120" t="s">
        <v>831</v>
      </c>
      <c r="E2120" s="49">
        <v>1</v>
      </c>
      <c r="F2120" t="s">
        <v>832</v>
      </c>
      <c r="G2120" t="s">
        <v>21</v>
      </c>
      <c r="H2120" t="s">
        <v>37</v>
      </c>
      <c r="I2120" s="13">
        <v>200000</v>
      </c>
      <c r="J2120" s="13">
        <v>185000</v>
      </c>
      <c r="K2120" s="13">
        <f>IF(J2120&lt;'Mapa Oficinas'!$I$21,0,IF(J2120&gt;'Mapa Oficinas'!$I$20,0,1))</f>
        <v>1</v>
      </c>
      <c r="L2120" t="s">
        <v>23</v>
      </c>
      <c r="M2120" t="s">
        <v>23</v>
      </c>
      <c r="N2120" t="s">
        <v>833</v>
      </c>
      <c r="O2120" t="s">
        <v>190</v>
      </c>
      <c r="P2120" t="s">
        <v>45</v>
      </c>
      <c r="Q2120">
        <v>2</v>
      </c>
      <c r="R2120" t="s">
        <v>27</v>
      </c>
      <c r="S2120" t="s">
        <v>28</v>
      </c>
      <c r="T2120" t="str">
        <f>VLOOKUP(S2120,'Mapa Oficinas'!$H$7:$I$16,2,FALSE)</f>
        <v>CB</v>
      </c>
      <c r="U2120" t="s">
        <v>29</v>
      </c>
      <c r="V2120" t="str">
        <f>VLOOKUP($R2120,'Mapa Oficinas'!$A$7:$C$46,2,FALSE)</f>
        <v>Zona Norte (GBA)</v>
      </c>
      <c r="W2120" t="str">
        <f>VLOOKUP($R2120,'Mapa Oficinas'!$A$7:$C$46,3,FALSE)</f>
        <v>Tigre</v>
      </c>
    </row>
    <row r="2121" spans="1:23" x14ac:dyDescent="0.2">
      <c r="A2121" s="1">
        <v>45889</v>
      </c>
      <c r="B2121" s="20">
        <f t="shared" si="66"/>
        <v>2025</v>
      </c>
      <c r="C2121" s="20">
        <f t="shared" si="67"/>
        <v>8</v>
      </c>
      <c r="D2121" t="s">
        <v>3680</v>
      </c>
      <c r="E2121" s="49">
        <v>1</v>
      </c>
      <c r="F2121" t="s">
        <v>3681</v>
      </c>
      <c r="G2121" t="s">
        <v>21</v>
      </c>
      <c r="H2121" t="s">
        <v>37</v>
      </c>
      <c r="I2121" s="13">
        <v>185000</v>
      </c>
      <c r="J2121" s="13">
        <v>185000</v>
      </c>
      <c r="K2121" s="13">
        <f>IF(J2121&lt;'Mapa Oficinas'!$I$21,0,IF(J2121&gt;'Mapa Oficinas'!$I$20,0,1))</f>
        <v>1</v>
      </c>
      <c r="L2121" t="s">
        <v>23</v>
      </c>
      <c r="M2121" t="s">
        <v>23</v>
      </c>
      <c r="N2121" t="s">
        <v>3682</v>
      </c>
      <c r="O2121" t="s">
        <v>190</v>
      </c>
      <c r="P2121" t="s">
        <v>45</v>
      </c>
      <c r="Q2121">
        <v>2</v>
      </c>
      <c r="R2121" t="s">
        <v>67</v>
      </c>
      <c r="S2121" t="s">
        <v>28</v>
      </c>
      <c r="T2121" t="str">
        <f>VLOOKUP(S2121,'Mapa Oficinas'!$H$7:$I$16,2,FALSE)</f>
        <v>CB</v>
      </c>
      <c r="U2121" t="s">
        <v>29</v>
      </c>
      <c r="V2121" t="str">
        <f>VLOOKUP($R2121,'Mapa Oficinas'!$A$7:$C$46,2,FALSE)</f>
        <v>CABA</v>
      </c>
      <c r="W2121" t="str">
        <f>VLOOKUP($R2121,'Mapa Oficinas'!$A$7:$C$46,3,FALSE)</f>
        <v>Barrio Parque</v>
      </c>
    </row>
    <row r="2122" spans="1:23" x14ac:dyDescent="0.2">
      <c r="A2122" s="1">
        <v>45909</v>
      </c>
      <c r="B2122" s="20">
        <f t="shared" si="66"/>
        <v>2025</v>
      </c>
      <c r="C2122" s="20">
        <f t="shared" si="67"/>
        <v>9</v>
      </c>
      <c r="D2122" t="s">
        <v>2535</v>
      </c>
      <c r="E2122" s="49">
        <v>1</v>
      </c>
      <c r="F2122" t="s">
        <v>2536</v>
      </c>
      <c r="G2122" t="s">
        <v>21</v>
      </c>
      <c r="H2122" t="s">
        <v>37</v>
      </c>
      <c r="I2122" s="13">
        <v>190000</v>
      </c>
      <c r="J2122" s="13">
        <v>185000</v>
      </c>
      <c r="K2122" s="13">
        <f>IF(J2122&lt;'Mapa Oficinas'!$I$21,0,IF(J2122&gt;'Mapa Oficinas'!$I$20,0,1))</f>
        <v>1</v>
      </c>
      <c r="L2122" t="s">
        <v>23</v>
      </c>
      <c r="M2122" t="s">
        <v>23</v>
      </c>
      <c r="N2122" t="s">
        <v>2536</v>
      </c>
      <c r="O2122" t="s">
        <v>2537</v>
      </c>
      <c r="P2122" t="s">
        <v>34</v>
      </c>
      <c r="Q2122">
        <v>2</v>
      </c>
      <c r="R2122" t="s">
        <v>110</v>
      </c>
      <c r="S2122" t="s">
        <v>28</v>
      </c>
      <c r="T2122" t="str">
        <f>VLOOKUP(S2122,'Mapa Oficinas'!$H$7:$I$16,2,FALSE)</f>
        <v>CB</v>
      </c>
      <c r="U2122" t="s">
        <v>29</v>
      </c>
      <c r="V2122" t="str">
        <f>VLOOKUP($R2122,'Mapa Oficinas'!$A$7:$C$46,2,FALSE)</f>
        <v>Zona Norte (GBA)</v>
      </c>
      <c r="W2122" t="str">
        <f>VLOOKUP($R2122,'Mapa Oficinas'!$A$7:$C$46,3,FALSE)</f>
        <v>Nordelta</v>
      </c>
    </row>
    <row r="2123" spans="1:23" x14ac:dyDescent="0.2">
      <c r="A2123" s="1">
        <v>45950</v>
      </c>
      <c r="B2123" s="20">
        <f t="shared" si="66"/>
        <v>2025</v>
      </c>
      <c r="C2123" s="20">
        <f t="shared" si="67"/>
        <v>10</v>
      </c>
      <c r="D2123" t="s">
        <v>4795</v>
      </c>
      <c r="E2123" s="49">
        <v>1</v>
      </c>
      <c r="F2123" t="s">
        <v>4796</v>
      </c>
      <c r="G2123" t="s">
        <v>21</v>
      </c>
      <c r="H2123" t="s">
        <v>37</v>
      </c>
      <c r="I2123" s="13">
        <v>200000</v>
      </c>
      <c r="J2123" s="13">
        <v>185000</v>
      </c>
      <c r="K2123" s="13">
        <f>IF(J2123&lt;'Mapa Oficinas'!$I$21,0,IF(J2123&gt;'Mapa Oficinas'!$I$20,0,1))</f>
        <v>1</v>
      </c>
      <c r="L2123" t="s">
        <v>23</v>
      </c>
      <c r="M2123" t="s">
        <v>23</v>
      </c>
      <c r="N2123" t="s">
        <v>4797</v>
      </c>
      <c r="O2123" t="s">
        <v>1224</v>
      </c>
      <c r="P2123" t="s">
        <v>45</v>
      </c>
      <c r="Q2123">
        <v>2</v>
      </c>
      <c r="R2123" t="s">
        <v>110</v>
      </c>
      <c r="S2123" t="s">
        <v>28</v>
      </c>
      <c r="T2123" t="str">
        <f>VLOOKUP(S2123,'Mapa Oficinas'!$H$7:$I$16,2,FALSE)</f>
        <v>CB</v>
      </c>
      <c r="U2123" t="s">
        <v>29</v>
      </c>
      <c r="V2123" t="str">
        <f>VLOOKUP($R2123,'Mapa Oficinas'!$A$7:$C$46,2,FALSE)</f>
        <v>Zona Norte (GBA)</v>
      </c>
      <c r="W2123" t="str">
        <f>VLOOKUP($R2123,'Mapa Oficinas'!$A$7:$C$46,3,FALSE)</f>
        <v>Nordelta</v>
      </c>
    </row>
    <row r="2124" spans="1:23" x14ac:dyDescent="0.2">
      <c r="A2124" s="1">
        <v>46043</v>
      </c>
      <c r="B2124" s="20">
        <f t="shared" si="66"/>
        <v>2026</v>
      </c>
      <c r="C2124" s="20">
        <f t="shared" si="67"/>
        <v>1</v>
      </c>
      <c r="D2124" t="s">
        <v>6357</v>
      </c>
      <c r="E2124" s="49">
        <v>1</v>
      </c>
      <c r="F2124" t="s">
        <v>6358</v>
      </c>
      <c r="G2124" t="s">
        <v>21</v>
      </c>
      <c r="H2124" t="s">
        <v>22</v>
      </c>
      <c r="I2124" s="13">
        <v>1500</v>
      </c>
      <c r="J2124" s="13">
        <v>185000</v>
      </c>
      <c r="K2124" s="13">
        <f>IF(J2124&lt;'Mapa Oficinas'!$I$21,0,IF(J2124&gt;'Mapa Oficinas'!$I$20,0,1))</f>
        <v>1</v>
      </c>
      <c r="L2124" t="s">
        <v>23</v>
      </c>
      <c r="M2124" t="s">
        <v>23</v>
      </c>
      <c r="N2124" t="s">
        <v>6359</v>
      </c>
      <c r="O2124" t="s">
        <v>39</v>
      </c>
      <c r="P2124" t="s">
        <v>34</v>
      </c>
      <c r="Q2124">
        <v>2</v>
      </c>
      <c r="R2124" t="s">
        <v>257</v>
      </c>
      <c r="S2124" t="s">
        <v>28</v>
      </c>
      <c r="T2124" t="str">
        <f>VLOOKUP(S2124,'Mapa Oficinas'!$H$7:$I$16,2,FALSE)</f>
        <v>CB</v>
      </c>
      <c r="U2124" t="s">
        <v>29</v>
      </c>
      <c r="V2124" t="str">
        <f>VLOOKUP($R2124,'Mapa Oficinas'!$A$7:$C$46,2,FALSE)</f>
        <v>Zona Norte (GBA)</v>
      </c>
      <c r="W2124" t="str">
        <f>VLOOKUP($R2124,'Mapa Oficinas'!$A$7:$C$46,3,FALSE)</f>
        <v>Pilar</v>
      </c>
    </row>
    <row r="2125" spans="1:23" x14ac:dyDescent="0.2">
      <c r="A2125" s="1">
        <v>46008</v>
      </c>
      <c r="B2125" s="20">
        <f t="shared" si="66"/>
        <v>2025</v>
      </c>
      <c r="C2125" s="20">
        <f t="shared" si="67"/>
        <v>12</v>
      </c>
      <c r="D2125" t="s">
        <v>5850</v>
      </c>
      <c r="E2125" s="49">
        <v>1</v>
      </c>
      <c r="F2125" t="s">
        <v>5851</v>
      </c>
      <c r="G2125" t="s">
        <v>21</v>
      </c>
      <c r="H2125" t="s">
        <v>100</v>
      </c>
      <c r="I2125" s="13">
        <v>190000</v>
      </c>
      <c r="J2125" s="13">
        <v>187000</v>
      </c>
      <c r="K2125" s="13">
        <f>IF(J2125&lt;'Mapa Oficinas'!$I$21,0,IF(J2125&gt;'Mapa Oficinas'!$I$20,0,1))</f>
        <v>1</v>
      </c>
      <c r="L2125" t="s">
        <v>23</v>
      </c>
      <c r="M2125" t="s">
        <v>23</v>
      </c>
      <c r="N2125" t="s">
        <v>5852</v>
      </c>
      <c r="O2125" t="s">
        <v>5853</v>
      </c>
      <c r="P2125" t="s">
        <v>61</v>
      </c>
      <c r="Q2125">
        <v>1</v>
      </c>
      <c r="R2125" t="s">
        <v>121</v>
      </c>
      <c r="S2125" t="s">
        <v>152</v>
      </c>
      <c r="T2125" t="str">
        <f>VLOOKUP(S2125,'Mapa Oficinas'!$H$7:$I$16,2,FALSE)</f>
        <v>Otra Red Captación</v>
      </c>
      <c r="U2125" t="s">
        <v>29</v>
      </c>
      <c r="V2125" t="str">
        <f>VLOOKUP($R2125,'Mapa Oficinas'!$A$7:$C$46,2,FALSE)</f>
        <v>Interior - Río Negro</v>
      </c>
      <c r="W2125" t="str">
        <f>VLOOKUP($R2125,'Mapa Oficinas'!$A$7:$C$46,3,FALSE)</f>
        <v>Bariloche</v>
      </c>
    </row>
    <row r="2126" spans="1:23" x14ac:dyDescent="0.2">
      <c r="A2126" s="1">
        <v>45937</v>
      </c>
      <c r="B2126" s="20">
        <f t="shared" si="66"/>
        <v>2025</v>
      </c>
      <c r="C2126" s="20">
        <f t="shared" si="67"/>
        <v>10</v>
      </c>
      <c r="E2126" s="49">
        <v>1</v>
      </c>
      <c r="F2126" t="s">
        <v>4554</v>
      </c>
      <c r="G2126" t="s">
        <v>21</v>
      </c>
      <c r="H2126" t="s">
        <v>81</v>
      </c>
      <c r="I2126" s="13">
        <v>195000</v>
      </c>
      <c r="J2126" s="13">
        <v>187000</v>
      </c>
      <c r="K2126" s="13">
        <f>IF(J2126&lt;'Mapa Oficinas'!$I$21,0,IF(J2126&gt;'Mapa Oficinas'!$I$20,0,1))</f>
        <v>1</v>
      </c>
      <c r="L2126" t="s">
        <v>23</v>
      </c>
      <c r="M2126" t="s">
        <v>23</v>
      </c>
      <c r="N2126" t="s">
        <v>4555</v>
      </c>
      <c r="O2126" t="s">
        <v>1196</v>
      </c>
      <c r="P2126" t="s">
        <v>45</v>
      </c>
      <c r="Q2126">
        <v>1</v>
      </c>
      <c r="R2126" t="s">
        <v>523</v>
      </c>
      <c r="S2126" t="s">
        <v>47</v>
      </c>
      <c r="T2126" t="str">
        <f>VLOOKUP(S2126,'Mapa Oficinas'!$H$7:$I$16,2,FALSE)</f>
        <v>Otra Red Búsqueda</v>
      </c>
      <c r="U2126" t="s">
        <v>29</v>
      </c>
      <c r="V2126" t="str">
        <f>VLOOKUP($R2126,'Mapa Oficinas'!$A$7:$C$46,2,FALSE)</f>
        <v>CABA</v>
      </c>
      <c r="W2126" t="str">
        <f>VLOOKUP($R2126,'Mapa Oficinas'!$A$7:$C$46,3,FALSE)</f>
        <v>Belgrano</v>
      </c>
    </row>
    <row r="2127" spans="1:23" x14ac:dyDescent="0.2">
      <c r="A2127" s="1">
        <v>45707</v>
      </c>
      <c r="B2127" s="20">
        <f t="shared" si="66"/>
        <v>2025</v>
      </c>
      <c r="C2127" s="20">
        <f t="shared" si="67"/>
        <v>2</v>
      </c>
      <c r="D2127" t="s">
        <v>680</v>
      </c>
      <c r="E2127" s="49">
        <v>1</v>
      </c>
      <c r="F2127" t="s">
        <v>681</v>
      </c>
      <c r="G2127" t="s">
        <v>21</v>
      </c>
      <c r="H2127" t="s">
        <v>76</v>
      </c>
      <c r="I2127" s="13">
        <v>210000</v>
      </c>
      <c r="J2127" s="13">
        <v>187000</v>
      </c>
      <c r="K2127" s="13">
        <f>IF(J2127&lt;'Mapa Oficinas'!$I$21,0,IF(J2127&gt;'Mapa Oficinas'!$I$20,0,1))</f>
        <v>1</v>
      </c>
      <c r="L2127" t="s">
        <v>23</v>
      </c>
      <c r="M2127" t="s">
        <v>23</v>
      </c>
      <c r="N2127" t="s">
        <v>682</v>
      </c>
      <c r="O2127" t="s">
        <v>238</v>
      </c>
      <c r="P2127" t="s">
        <v>26</v>
      </c>
      <c r="Q2127">
        <v>2</v>
      </c>
      <c r="R2127" t="s">
        <v>27</v>
      </c>
      <c r="S2127" t="s">
        <v>200</v>
      </c>
      <c r="T2127" t="str">
        <f>VLOOKUP(S2127,'Mapa Oficinas'!$H$7:$I$16,2,FALSE)</f>
        <v>Otra Red Captación</v>
      </c>
      <c r="U2127" t="s">
        <v>29</v>
      </c>
      <c r="V2127" t="str">
        <f>VLOOKUP($R2127,'Mapa Oficinas'!$A$7:$C$46,2,FALSE)</f>
        <v>Zona Norte (GBA)</v>
      </c>
      <c r="W2127" t="str">
        <f>VLOOKUP($R2127,'Mapa Oficinas'!$A$7:$C$46,3,FALSE)</f>
        <v>Tigre</v>
      </c>
    </row>
    <row r="2128" spans="1:23" x14ac:dyDescent="0.2">
      <c r="A2128" s="1">
        <v>45995</v>
      </c>
      <c r="B2128" s="20">
        <f t="shared" si="66"/>
        <v>2025</v>
      </c>
      <c r="C2128" s="20">
        <f t="shared" si="67"/>
        <v>12</v>
      </c>
      <c r="D2128" t="s">
        <v>5625</v>
      </c>
      <c r="E2128" s="49">
        <v>1</v>
      </c>
      <c r="F2128" t="s">
        <v>5626</v>
      </c>
      <c r="G2128" t="s">
        <v>21</v>
      </c>
      <c r="H2128" t="s">
        <v>37</v>
      </c>
      <c r="I2128" s="13">
        <v>190000</v>
      </c>
      <c r="J2128" s="13">
        <v>187000</v>
      </c>
      <c r="K2128" s="13">
        <f>IF(J2128&lt;'Mapa Oficinas'!$I$21,0,IF(J2128&gt;'Mapa Oficinas'!$I$20,0,1))</f>
        <v>1</v>
      </c>
      <c r="L2128" t="s">
        <v>23</v>
      </c>
      <c r="M2128" t="s">
        <v>23</v>
      </c>
      <c r="N2128" t="s">
        <v>5627</v>
      </c>
      <c r="O2128" t="s">
        <v>1222</v>
      </c>
      <c r="P2128" t="s">
        <v>45</v>
      </c>
      <c r="Q2128">
        <v>2</v>
      </c>
      <c r="R2128" t="s">
        <v>46</v>
      </c>
      <c r="S2128" t="s">
        <v>200</v>
      </c>
      <c r="T2128" t="str">
        <f>VLOOKUP(S2128,'Mapa Oficinas'!$H$7:$I$16,2,FALSE)</f>
        <v>Otra Red Captación</v>
      </c>
      <c r="U2128" t="s">
        <v>29</v>
      </c>
      <c r="V2128" t="str">
        <f>VLOOKUP($R2128,'Mapa Oficinas'!$A$7:$C$46,2,FALSE)</f>
        <v>CABA</v>
      </c>
      <c r="W2128" t="str">
        <f>VLOOKUP($R2128,'Mapa Oficinas'!$A$7:$C$46,3,FALSE)</f>
        <v>Palermo</v>
      </c>
    </row>
    <row r="2129" spans="1:23" x14ac:dyDescent="0.2">
      <c r="A2129" s="1">
        <v>45706</v>
      </c>
      <c r="B2129" s="20">
        <f t="shared" si="66"/>
        <v>2025</v>
      </c>
      <c r="C2129" s="20">
        <f t="shared" si="67"/>
        <v>2</v>
      </c>
      <c r="D2129" t="s">
        <v>667</v>
      </c>
      <c r="E2129" s="49">
        <v>1</v>
      </c>
      <c r="F2129" t="s">
        <v>668</v>
      </c>
      <c r="G2129" t="s">
        <v>21</v>
      </c>
      <c r="H2129" t="s">
        <v>37</v>
      </c>
      <c r="I2129" s="13">
        <v>195000</v>
      </c>
      <c r="J2129" s="13">
        <v>187000</v>
      </c>
      <c r="K2129" s="13">
        <f>IF(J2129&lt;'Mapa Oficinas'!$I$21,0,IF(J2129&gt;'Mapa Oficinas'!$I$20,0,1))</f>
        <v>1</v>
      </c>
      <c r="L2129" t="s">
        <v>23</v>
      </c>
      <c r="M2129" t="s">
        <v>23</v>
      </c>
      <c r="N2129" t="s">
        <v>669</v>
      </c>
      <c r="O2129" t="s">
        <v>50</v>
      </c>
      <c r="P2129" t="s">
        <v>45</v>
      </c>
      <c r="Q2129">
        <v>2</v>
      </c>
      <c r="R2129" t="s">
        <v>670</v>
      </c>
      <c r="S2129" t="s">
        <v>28</v>
      </c>
      <c r="T2129" t="str">
        <f>VLOOKUP(S2129,'Mapa Oficinas'!$H$7:$I$16,2,FALSE)</f>
        <v>CB</v>
      </c>
      <c r="U2129" t="s">
        <v>29</v>
      </c>
      <c r="V2129" t="str">
        <f>VLOOKUP($R2129,'Mapa Oficinas'!$A$7:$C$46,2,FALSE)</f>
        <v>CABA</v>
      </c>
      <c r="W2129" t="str">
        <f>VLOOKUP($R2129,'Mapa Oficinas'!$A$7:$C$46,3,FALSE)</f>
        <v>Recoleta</v>
      </c>
    </row>
    <row r="2130" spans="1:23" x14ac:dyDescent="0.2">
      <c r="A2130" s="1">
        <v>45960</v>
      </c>
      <c r="B2130" s="20">
        <f t="shared" si="66"/>
        <v>2025</v>
      </c>
      <c r="C2130" s="20">
        <f t="shared" si="67"/>
        <v>10</v>
      </c>
      <c r="D2130" t="s">
        <v>5002</v>
      </c>
      <c r="E2130" s="49">
        <v>1</v>
      </c>
      <c r="F2130" t="s">
        <v>5003</v>
      </c>
      <c r="G2130" t="s">
        <v>21</v>
      </c>
      <c r="H2130" t="s">
        <v>37</v>
      </c>
      <c r="I2130" s="13">
        <v>160000</v>
      </c>
      <c r="J2130" s="13">
        <v>188500</v>
      </c>
      <c r="K2130" s="13">
        <f>IF(J2130&lt;'Mapa Oficinas'!$I$21,0,IF(J2130&gt;'Mapa Oficinas'!$I$20,0,1))</f>
        <v>1</v>
      </c>
      <c r="L2130" t="s">
        <v>23</v>
      </c>
      <c r="M2130" t="s">
        <v>23</v>
      </c>
      <c r="N2130" t="s">
        <v>5004</v>
      </c>
      <c r="O2130" t="s">
        <v>303</v>
      </c>
      <c r="P2130" t="s">
        <v>45</v>
      </c>
      <c r="Q2130">
        <v>2</v>
      </c>
      <c r="R2130" t="s">
        <v>183</v>
      </c>
      <c r="S2130" t="s">
        <v>28</v>
      </c>
      <c r="T2130" t="str">
        <f>VLOOKUP(S2130,'Mapa Oficinas'!$H$7:$I$16,2,FALSE)</f>
        <v>CB</v>
      </c>
      <c r="U2130" t="s">
        <v>29</v>
      </c>
      <c r="V2130" t="str">
        <f>VLOOKUP($R2130,'Mapa Oficinas'!$A$7:$C$46,2,FALSE)</f>
        <v>Interior - Neuquén</v>
      </c>
      <c r="W2130" t="str">
        <f>VLOOKUP($R2130,'Mapa Oficinas'!$A$7:$C$46,3,FALSE)</f>
        <v>Capital Neuquén</v>
      </c>
    </row>
    <row r="2131" spans="1:23" x14ac:dyDescent="0.2">
      <c r="A2131" s="1">
        <v>45966</v>
      </c>
      <c r="B2131" s="20">
        <f t="shared" si="66"/>
        <v>2025</v>
      </c>
      <c r="C2131" s="20">
        <f t="shared" si="67"/>
        <v>11</v>
      </c>
      <c r="D2131">
        <v>10568</v>
      </c>
      <c r="E2131" s="49">
        <v>3</v>
      </c>
      <c r="F2131" t="s">
        <v>5064</v>
      </c>
      <c r="G2131" t="s">
        <v>21</v>
      </c>
      <c r="H2131" t="s">
        <v>37</v>
      </c>
      <c r="I2131" s="13">
        <v>189000</v>
      </c>
      <c r="J2131" s="13">
        <v>189000</v>
      </c>
      <c r="K2131" s="13">
        <f>IF(J2131&lt;'Mapa Oficinas'!$I$21,0,IF(J2131&gt;'Mapa Oficinas'!$I$20,0,1))</f>
        <v>1</v>
      </c>
      <c r="L2131" t="s">
        <v>23</v>
      </c>
      <c r="M2131" t="s">
        <v>23</v>
      </c>
      <c r="N2131" t="s">
        <v>5065</v>
      </c>
      <c r="O2131" t="s">
        <v>976</v>
      </c>
      <c r="P2131" t="s">
        <v>45</v>
      </c>
      <c r="Q2131">
        <v>2</v>
      </c>
      <c r="R2131" t="s">
        <v>67</v>
      </c>
      <c r="S2131" t="s">
        <v>241</v>
      </c>
      <c r="T2131" t="str">
        <f>VLOOKUP(S2131,'Mapa Oficinas'!$H$7:$I$16,2,FALSE)</f>
        <v>CB</v>
      </c>
      <c r="U2131" t="s">
        <v>29</v>
      </c>
      <c r="V2131" t="str">
        <f>VLOOKUP($R2131,'Mapa Oficinas'!$A$7:$C$46,2,FALSE)</f>
        <v>CABA</v>
      </c>
      <c r="W2131" t="str">
        <f>VLOOKUP($R2131,'Mapa Oficinas'!$A$7:$C$46,3,FALSE)</f>
        <v>Barrio Parque</v>
      </c>
    </row>
    <row r="2132" spans="1:23" x14ac:dyDescent="0.2">
      <c r="A2132" s="1">
        <v>45894</v>
      </c>
      <c r="B2132" s="20">
        <f t="shared" si="66"/>
        <v>2025</v>
      </c>
      <c r="C2132" s="20">
        <f t="shared" si="67"/>
        <v>8</v>
      </c>
      <c r="D2132" t="s">
        <v>3760</v>
      </c>
      <c r="E2132" s="49">
        <v>1</v>
      </c>
      <c r="F2132" t="s">
        <v>3761</v>
      </c>
      <c r="G2132" t="s">
        <v>21</v>
      </c>
      <c r="H2132" t="s">
        <v>37</v>
      </c>
      <c r="I2132" s="13">
        <v>199000</v>
      </c>
      <c r="J2132" s="13">
        <v>189000</v>
      </c>
      <c r="K2132" s="13">
        <f>IF(J2132&lt;'Mapa Oficinas'!$I$21,0,IF(J2132&gt;'Mapa Oficinas'!$I$20,0,1))</f>
        <v>1</v>
      </c>
      <c r="L2132" t="s">
        <v>23</v>
      </c>
      <c r="M2132" t="s">
        <v>23</v>
      </c>
      <c r="N2132" t="s">
        <v>3762</v>
      </c>
      <c r="O2132" t="s">
        <v>1386</v>
      </c>
      <c r="P2132" t="s">
        <v>45</v>
      </c>
      <c r="Q2132">
        <v>2</v>
      </c>
      <c r="R2132" t="s">
        <v>135</v>
      </c>
      <c r="S2132" t="s">
        <v>28</v>
      </c>
      <c r="T2132" t="str">
        <f>VLOOKUP(S2132,'Mapa Oficinas'!$H$7:$I$16,2,FALSE)</f>
        <v>CB</v>
      </c>
      <c r="U2132" t="s">
        <v>29</v>
      </c>
      <c r="V2132" t="str">
        <f>VLOOKUP($R2132,'Mapa Oficinas'!$A$7:$C$46,2,FALSE)</f>
        <v>CABA</v>
      </c>
      <c r="W2132" t="str">
        <f>VLOOKUP($R2132,'Mapa Oficinas'!$A$7:$C$46,3,FALSE)</f>
        <v>Recoleta</v>
      </c>
    </row>
    <row r="2133" spans="1:23" x14ac:dyDescent="0.2">
      <c r="A2133" s="1">
        <v>46100</v>
      </c>
      <c r="B2133" s="20">
        <f t="shared" si="66"/>
        <v>2026</v>
      </c>
      <c r="C2133" s="20">
        <f t="shared" si="67"/>
        <v>3</v>
      </c>
      <c r="D2133" t="s">
        <v>7324</v>
      </c>
      <c r="E2133" s="49">
        <v>1</v>
      </c>
      <c r="F2133" t="s">
        <v>7325</v>
      </c>
      <c r="G2133" t="s">
        <v>21</v>
      </c>
      <c r="H2133" t="s">
        <v>37</v>
      </c>
      <c r="I2133" s="13">
        <v>196000</v>
      </c>
      <c r="J2133" s="13">
        <v>189000</v>
      </c>
      <c r="K2133" s="13">
        <f>IF(J2133&lt;'Mapa Oficinas'!$I$21,0,IF(J2133&gt;'Mapa Oficinas'!$I$20,0,1))</f>
        <v>1</v>
      </c>
      <c r="L2133" t="s">
        <v>23</v>
      </c>
      <c r="M2133" t="s">
        <v>23</v>
      </c>
      <c r="N2133" t="s">
        <v>7326</v>
      </c>
      <c r="O2133" t="s">
        <v>976</v>
      </c>
      <c r="P2133" t="s">
        <v>45</v>
      </c>
      <c r="Q2133">
        <v>2</v>
      </c>
      <c r="R2133" t="s">
        <v>67</v>
      </c>
      <c r="S2133" t="s">
        <v>28</v>
      </c>
      <c r="T2133" t="str">
        <f>VLOOKUP(S2133,'Mapa Oficinas'!$H$7:$I$16,2,FALSE)</f>
        <v>CB</v>
      </c>
      <c r="U2133" t="s">
        <v>29</v>
      </c>
      <c r="V2133" t="str">
        <f>VLOOKUP($R2133,'Mapa Oficinas'!$A$7:$C$46,2,FALSE)</f>
        <v>CABA</v>
      </c>
      <c r="W2133" t="str">
        <f>VLOOKUP($R2133,'Mapa Oficinas'!$A$7:$C$46,3,FALSE)</f>
        <v>Barrio Parque</v>
      </c>
    </row>
    <row r="2134" spans="1:23" x14ac:dyDescent="0.2">
      <c r="A2134" s="1">
        <v>45784</v>
      </c>
      <c r="B2134" s="20">
        <f t="shared" si="66"/>
        <v>2025</v>
      </c>
      <c r="C2134" s="20">
        <f t="shared" si="67"/>
        <v>5</v>
      </c>
      <c r="D2134" t="s">
        <v>1807</v>
      </c>
      <c r="E2134" s="49">
        <v>1</v>
      </c>
      <c r="F2134" t="s">
        <v>1808</v>
      </c>
      <c r="G2134" t="s">
        <v>21</v>
      </c>
      <c r="H2134" t="s">
        <v>76</v>
      </c>
      <c r="I2134" s="13">
        <v>195000</v>
      </c>
      <c r="J2134" s="13">
        <v>190000</v>
      </c>
      <c r="K2134" s="13">
        <f>IF(J2134&lt;'Mapa Oficinas'!$I$21,0,IF(J2134&gt;'Mapa Oficinas'!$I$20,0,1))</f>
        <v>1</v>
      </c>
      <c r="L2134" t="s">
        <v>23</v>
      </c>
      <c r="M2134" t="s">
        <v>23</v>
      </c>
      <c r="N2134" t="s">
        <v>1809</v>
      </c>
      <c r="O2134" t="s">
        <v>156</v>
      </c>
      <c r="P2134" t="s">
        <v>34</v>
      </c>
      <c r="Q2134">
        <v>1</v>
      </c>
      <c r="R2134" t="s">
        <v>73</v>
      </c>
      <c r="S2134" t="s">
        <v>122</v>
      </c>
      <c r="T2134" t="str">
        <f>VLOOKUP(S2134,'Mapa Oficinas'!$H$7:$I$16,2,FALSE)</f>
        <v>Otra Red Búsqueda</v>
      </c>
      <c r="U2134" t="s">
        <v>29</v>
      </c>
      <c r="V2134" t="str">
        <f>VLOOKUP($R2134,'Mapa Oficinas'!$A$7:$C$46,2,FALSE)</f>
        <v>Interior - Salta</v>
      </c>
      <c r="W2134" t="str">
        <f>VLOOKUP($R2134,'Mapa Oficinas'!$A$7:$C$46,3,FALSE)</f>
        <v>San Lorenzo Chico</v>
      </c>
    </row>
    <row r="2135" spans="1:23" x14ac:dyDescent="0.2">
      <c r="A2135" s="1">
        <v>45855</v>
      </c>
      <c r="B2135" s="20">
        <f t="shared" si="66"/>
        <v>2025</v>
      </c>
      <c r="C2135" s="20">
        <f t="shared" si="67"/>
        <v>7</v>
      </c>
      <c r="E2135" s="49">
        <v>1</v>
      </c>
      <c r="F2135" t="s">
        <v>3088</v>
      </c>
      <c r="G2135" t="s">
        <v>21</v>
      </c>
      <c r="H2135" t="s">
        <v>76</v>
      </c>
      <c r="I2135" s="13">
        <v>190000</v>
      </c>
      <c r="J2135" s="13">
        <v>190000</v>
      </c>
      <c r="K2135" s="13">
        <f>IF(J2135&lt;'Mapa Oficinas'!$I$21,0,IF(J2135&gt;'Mapa Oficinas'!$I$20,0,1))</f>
        <v>1</v>
      </c>
      <c r="L2135" t="s">
        <v>23</v>
      </c>
      <c r="M2135" t="s">
        <v>23</v>
      </c>
      <c r="N2135" t="s">
        <v>3089</v>
      </c>
      <c r="O2135" t="s">
        <v>78</v>
      </c>
      <c r="P2135" t="s">
        <v>34</v>
      </c>
      <c r="Q2135">
        <v>1</v>
      </c>
      <c r="R2135" t="s">
        <v>73</v>
      </c>
      <c r="S2135" t="s">
        <v>122</v>
      </c>
      <c r="T2135" t="str">
        <f>VLOOKUP(S2135,'Mapa Oficinas'!$H$7:$I$16,2,FALSE)</f>
        <v>Otra Red Búsqueda</v>
      </c>
      <c r="U2135" t="s">
        <v>29</v>
      </c>
      <c r="V2135" t="str">
        <f>VLOOKUP($R2135,'Mapa Oficinas'!$A$7:$C$46,2,FALSE)</f>
        <v>Interior - Salta</v>
      </c>
      <c r="W2135" t="str">
        <f>VLOOKUP($R2135,'Mapa Oficinas'!$A$7:$C$46,3,FALSE)</f>
        <v>San Lorenzo Chico</v>
      </c>
    </row>
    <row r="2136" spans="1:23" x14ac:dyDescent="0.2">
      <c r="A2136" s="1">
        <v>46091</v>
      </c>
      <c r="B2136" s="20">
        <f t="shared" si="66"/>
        <v>2026</v>
      </c>
      <c r="C2136" s="20">
        <f t="shared" si="67"/>
        <v>3</v>
      </c>
      <c r="D2136" t="s">
        <v>6558</v>
      </c>
      <c r="E2136" s="49">
        <v>1</v>
      </c>
      <c r="F2136" t="s">
        <v>6559</v>
      </c>
      <c r="G2136" t="s">
        <v>21</v>
      </c>
      <c r="H2136" t="s">
        <v>37</v>
      </c>
      <c r="I2136" s="13">
        <v>190000</v>
      </c>
      <c r="J2136" s="13">
        <v>190000</v>
      </c>
      <c r="K2136" s="13">
        <f>IF(J2136&lt;'Mapa Oficinas'!$I$21,0,IF(J2136&gt;'Mapa Oficinas'!$I$20,0,1))</f>
        <v>1</v>
      </c>
      <c r="L2136" t="s">
        <v>23</v>
      </c>
      <c r="M2136" t="s">
        <v>23</v>
      </c>
      <c r="N2136" t="s">
        <v>6560</v>
      </c>
      <c r="O2136" t="s">
        <v>6561</v>
      </c>
      <c r="P2136" t="s">
        <v>55</v>
      </c>
      <c r="Q2136">
        <v>1</v>
      </c>
      <c r="R2136" t="s">
        <v>151</v>
      </c>
      <c r="S2136" t="s">
        <v>122</v>
      </c>
      <c r="T2136" t="str">
        <f>VLOOKUP(S2136,'Mapa Oficinas'!$H$7:$I$16,2,FALSE)</f>
        <v>Otra Red Búsqueda</v>
      </c>
      <c r="U2136" t="s">
        <v>29</v>
      </c>
      <c r="V2136" t="str">
        <f>VLOOKUP($R2136,'Mapa Oficinas'!$A$7:$C$46,2,FALSE)</f>
        <v>Interior - Mendoza</v>
      </c>
      <c r="W2136" t="str">
        <f>VLOOKUP($R2136,'Mapa Oficinas'!$A$7:$C$46,3,FALSE)</f>
        <v>Capital Mendoza</v>
      </c>
    </row>
    <row r="2137" spans="1:23" x14ac:dyDescent="0.2">
      <c r="A2137" s="1">
        <v>46058</v>
      </c>
      <c r="B2137" s="20">
        <f t="shared" si="66"/>
        <v>2026</v>
      </c>
      <c r="C2137" s="20">
        <f t="shared" si="67"/>
        <v>2</v>
      </c>
      <c r="D2137" t="s">
        <v>6558</v>
      </c>
      <c r="E2137" s="49">
        <v>1</v>
      </c>
      <c r="F2137" t="s">
        <v>6559</v>
      </c>
      <c r="G2137" t="s">
        <v>21</v>
      </c>
      <c r="H2137" t="s">
        <v>37</v>
      </c>
      <c r="I2137" s="13">
        <v>190000</v>
      </c>
      <c r="J2137" s="13">
        <v>190000</v>
      </c>
      <c r="K2137" s="13">
        <f>IF(J2137&lt;'Mapa Oficinas'!$I$21,0,IF(J2137&gt;'Mapa Oficinas'!$I$20,0,1))</f>
        <v>1</v>
      </c>
      <c r="L2137" t="s">
        <v>23</v>
      </c>
      <c r="M2137" t="s">
        <v>23</v>
      </c>
      <c r="N2137" t="s">
        <v>6560</v>
      </c>
      <c r="O2137" t="s">
        <v>6561</v>
      </c>
      <c r="P2137" t="s">
        <v>55</v>
      </c>
      <c r="Q2137">
        <v>1</v>
      </c>
      <c r="R2137" t="s">
        <v>151</v>
      </c>
      <c r="S2137" t="s">
        <v>152</v>
      </c>
      <c r="T2137" t="str">
        <f>VLOOKUP(S2137,'Mapa Oficinas'!$H$7:$I$16,2,FALSE)</f>
        <v>Otra Red Captación</v>
      </c>
      <c r="U2137" t="s">
        <v>29</v>
      </c>
      <c r="V2137" t="str">
        <f>VLOOKUP($R2137,'Mapa Oficinas'!$A$7:$C$46,2,FALSE)</f>
        <v>Interior - Mendoza</v>
      </c>
      <c r="W2137" t="str">
        <f>VLOOKUP($R2137,'Mapa Oficinas'!$A$7:$C$46,3,FALSE)</f>
        <v>Capital Mendoza</v>
      </c>
    </row>
    <row r="2138" spans="1:23" x14ac:dyDescent="0.2">
      <c r="A2138" s="1">
        <v>45928</v>
      </c>
      <c r="B2138" s="20">
        <f t="shared" si="66"/>
        <v>2025</v>
      </c>
      <c r="C2138" s="20">
        <f t="shared" si="67"/>
        <v>9</v>
      </c>
      <c r="D2138" t="s">
        <v>4391</v>
      </c>
      <c r="E2138" s="49">
        <v>1</v>
      </c>
      <c r="F2138" t="s">
        <v>4392</v>
      </c>
      <c r="G2138" t="s">
        <v>21</v>
      </c>
      <c r="H2138" t="s">
        <v>37</v>
      </c>
      <c r="I2138" s="13">
        <v>195000</v>
      </c>
      <c r="J2138" s="13">
        <v>190000</v>
      </c>
      <c r="K2138" s="13">
        <f>IF(J2138&lt;'Mapa Oficinas'!$I$21,0,IF(J2138&gt;'Mapa Oficinas'!$I$20,0,1))</f>
        <v>1</v>
      </c>
      <c r="L2138" t="s">
        <v>23</v>
      </c>
      <c r="M2138" t="s">
        <v>23</v>
      </c>
      <c r="N2138" t="s">
        <v>4393</v>
      </c>
      <c r="O2138" t="s">
        <v>4394</v>
      </c>
      <c r="P2138" t="s">
        <v>34</v>
      </c>
      <c r="Q2138">
        <v>2</v>
      </c>
      <c r="R2138" t="s">
        <v>110</v>
      </c>
      <c r="S2138" t="s">
        <v>79</v>
      </c>
      <c r="T2138" t="str">
        <f>VLOOKUP(S2138,'Mapa Oficinas'!$H$7:$I$16,2,FALSE)</f>
        <v>CB</v>
      </c>
      <c r="U2138" t="s">
        <v>29</v>
      </c>
      <c r="V2138" t="str">
        <f>VLOOKUP($R2138,'Mapa Oficinas'!$A$7:$C$46,2,FALSE)</f>
        <v>Zona Norte (GBA)</v>
      </c>
      <c r="W2138" t="str">
        <f>VLOOKUP($R2138,'Mapa Oficinas'!$A$7:$C$46,3,FALSE)</f>
        <v>Nordelta</v>
      </c>
    </row>
    <row r="2139" spans="1:23" x14ac:dyDescent="0.2">
      <c r="A2139" s="1">
        <v>45721</v>
      </c>
      <c r="B2139" s="20">
        <f t="shared" si="66"/>
        <v>2025</v>
      </c>
      <c r="C2139" s="20">
        <f t="shared" si="67"/>
        <v>3</v>
      </c>
      <c r="D2139">
        <v>10307</v>
      </c>
      <c r="E2139" s="49">
        <v>1</v>
      </c>
      <c r="F2139" t="s">
        <v>846</v>
      </c>
      <c r="G2139" t="s">
        <v>21</v>
      </c>
      <c r="H2139" t="s">
        <v>37</v>
      </c>
      <c r="I2139" s="13">
        <v>0</v>
      </c>
      <c r="J2139" s="13">
        <v>190000</v>
      </c>
      <c r="K2139" s="13">
        <f>IF(J2139&lt;'Mapa Oficinas'!$I$21,0,IF(J2139&gt;'Mapa Oficinas'!$I$20,0,1))</f>
        <v>1</v>
      </c>
      <c r="L2139" t="s">
        <v>23</v>
      </c>
      <c r="M2139" t="s">
        <v>23</v>
      </c>
      <c r="O2139" t="s">
        <v>66</v>
      </c>
      <c r="P2139" t="s">
        <v>45</v>
      </c>
      <c r="Q2139">
        <v>1</v>
      </c>
      <c r="R2139" t="s">
        <v>67</v>
      </c>
      <c r="S2139" t="s">
        <v>47</v>
      </c>
      <c r="T2139" t="str">
        <f>VLOOKUP(S2139,'Mapa Oficinas'!$H$7:$I$16,2,FALSE)</f>
        <v>Otra Red Búsqueda</v>
      </c>
      <c r="U2139" t="s">
        <v>29</v>
      </c>
      <c r="V2139" t="str">
        <f>VLOOKUP($R2139,'Mapa Oficinas'!$A$7:$C$46,2,FALSE)</f>
        <v>CABA</v>
      </c>
      <c r="W2139" t="str">
        <f>VLOOKUP($R2139,'Mapa Oficinas'!$A$7:$C$46,3,FALSE)</f>
        <v>Barrio Parque</v>
      </c>
    </row>
    <row r="2140" spans="1:23" x14ac:dyDescent="0.2">
      <c r="A2140" s="1">
        <v>45898</v>
      </c>
      <c r="B2140" s="20">
        <f t="shared" si="66"/>
        <v>2025</v>
      </c>
      <c r="C2140" s="20">
        <f t="shared" si="67"/>
        <v>8</v>
      </c>
      <c r="D2140" t="s">
        <v>3897</v>
      </c>
      <c r="E2140" s="49">
        <v>1</v>
      </c>
      <c r="F2140" t="s">
        <v>3898</v>
      </c>
      <c r="G2140" t="s">
        <v>21</v>
      </c>
      <c r="H2140" t="s">
        <v>22</v>
      </c>
      <c r="I2140" s="13">
        <v>190000</v>
      </c>
      <c r="J2140" s="13">
        <v>190000</v>
      </c>
      <c r="K2140" s="13">
        <f>IF(J2140&lt;'Mapa Oficinas'!$I$21,0,IF(J2140&gt;'Mapa Oficinas'!$I$20,0,1))</f>
        <v>1</v>
      </c>
      <c r="L2140" t="s">
        <v>23</v>
      </c>
      <c r="M2140" t="s">
        <v>23</v>
      </c>
      <c r="N2140" t="s">
        <v>3899</v>
      </c>
      <c r="O2140" t="s">
        <v>50</v>
      </c>
      <c r="P2140" t="s">
        <v>45</v>
      </c>
      <c r="Q2140">
        <v>1</v>
      </c>
      <c r="R2140" t="s">
        <v>670</v>
      </c>
      <c r="S2140" t="s">
        <v>47</v>
      </c>
      <c r="T2140" t="str">
        <f>VLOOKUP(S2140,'Mapa Oficinas'!$H$7:$I$16,2,FALSE)</f>
        <v>Otra Red Búsqueda</v>
      </c>
      <c r="U2140" t="s">
        <v>29</v>
      </c>
      <c r="V2140" t="str">
        <f>VLOOKUP($R2140,'Mapa Oficinas'!$A$7:$C$46,2,FALSE)</f>
        <v>CABA</v>
      </c>
      <c r="W2140" t="str">
        <f>VLOOKUP($R2140,'Mapa Oficinas'!$A$7:$C$46,3,FALSE)</f>
        <v>Recoleta</v>
      </c>
    </row>
    <row r="2141" spans="1:23" x14ac:dyDescent="0.2">
      <c r="A2141" s="1">
        <v>45953</v>
      </c>
      <c r="B2141" s="20">
        <f t="shared" si="66"/>
        <v>2025</v>
      </c>
      <c r="C2141" s="20">
        <f t="shared" si="67"/>
        <v>10</v>
      </c>
      <c r="E2141" s="49">
        <v>1</v>
      </c>
      <c r="F2141" t="s">
        <v>4879</v>
      </c>
      <c r="G2141" t="s">
        <v>21</v>
      </c>
      <c r="H2141" t="s">
        <v>37</v>
      </c>
      <c r="I2141" s="13">
        <v>190000</v>
      </c>
      <c r="J2141" s="13">
        <v>190000</v>
      </c>
      <c r="K2141" s="13">
        <f>IF(J2141&lt;'Mapa Oficinas'!$I$21,0,IF(J2141&gt;'Mapa Oficinas'!$I$20,0,1))</f>
        <v>1</v>
      </c>
      <c r="L2141" t="s">
        <v>23</v>
      </c>
      <c r="M2141" t="s">
        <v>23</v>
      </c>
      <c r="N2141" t="s">
        <v>4880</v>
      </c>
      <c r="O2141" t="s">
        <v>50</v>
      </c>
      <c r="P2141" t="s">
        <v>45</v>
      </c>
      <c r="Q2141">
        <v>1</v>
      </c>
      <c r="R2141" t="s">
        <v>135</v>
      </c>
      <c r="S2141" t="s">
        <v>47</v>
      </c>
      <c r="T2141" t="str">
        <f>VLOOKUP(S2141,'Mapa Oficinas'!$H$7:$I$16,2,FALSE)</f>
        <v>Otra Red Búsqueda</v>
      </c>
      <c r="U2141" t="s">
        <v>29</v>
      </c>
      <c r="V2141" t="str">
        <f>VLOOKUP($R2141,'Mapa Oficinas'!$A$7:$C$46,2,FALSE)</f>
        <v>CABA</v>
      </c>
      <c r="W2141" t="str">
        <f>VLOOKUP($R2141,'Mapa Oficinas'!$A$7:$C$46,3,FALSE)</f>
        <v>Recoleta</v>
      </c>
    </row>
    <row r="2142" spans="1:23" x14ac:dyDescent="0.2">
      <c r="A2142" s="1">
        <v>45971</v>
      </c>
      <c r="B2142" s="20">
        <f t="shared" si="66"/>
        <v>2025</v>
      </c>
      <c r="C2142" s="20">
        <f t="shared" si="67"/>
        <v>11</v>
      </c>
      <c r="D2142">
        <v>10587</v>
      </c>
      <c r="E2142" s="49">
        <v>1</v>
      </c>
      <c r="F2142" t="s">
        <v>5118</v>
      </c>
      <c r="G2142" t="s">
        <v>21</v>
      </c>
      <c r="H2142" t="s">
        <v>37</v>
      </c>
      <c r="I2142" s="13">
        <v>0</v>
      </c>
      <c r="J2142" s="13">
        <v>190000</v>
      </c>
      <c r="K2142" s="13">
        <f>IF(J2142&lt;'Mapa Oficinas'!$I$21,0,IF(J2142&gt;'Mapa Oficinas'!$I$20,0,1))</f>
        <v>1</v>
      </c>
      <c r="L2142" t="s">
        <v>23</v>
      </c>
      <c r="M2142" t="s">
        <v>23</v>
      </c>
      <c r="N2142" t="s">
        <v>5118</v>
      </c>
      <c r="O2142" t="s">
        <v>50</v>
      </c>
      <c r="P2142" t="s">
        <v>45</v>
      </c>
      <c r="Q2142">
        <v>1</v>
      </c>
      <c r="R2142" t="s">
        <v>67</v>
      </c>
      <c r="S2142" t="s">
        <v>47</v>
      </c>
      <c r="T2142" t="str">
        <f>VLOOKUP(S2142,'Mapa Oficinas'!$H$7:$I$16,2,FALSE)</f>
        <v>Otra Red Búsqueda</v>
      </c>
      <c r="U2142" t="s">
        <v>29</v>
      </c>
      <c r="V2142" t="str">
        <f>VLOOKUP($R2142,'Mapa Oficinas'!$A$7:$C$46,2,FALSE)</f>
        <v>CABA</v>
      </c>
      <c r="W2142" t="str">
        <f>VLOOKUP($R2142,'Mapa Oficinas'!$A$7:$C$46,3,FALSE)</f>
        <v>Barrio Parque</v>
      </c>
    </row>
    <row r="2143" spans="1:23" x14ac:dyDescent="0.2">
      <c r="A2143" s="1">
        <v>45986</v>
      </c>
      <c r="B2143" s="20">
        <f t="shared" si="66"/>
        <v>2025</v>
      </c>
      <c r="C2143" s="20">
        <f t="shared" si="67"/>
        <v>11</v>
      </c>
      <c r="D2143">
        <v>10618</v>
      </c>
      <c r="E2143" s="49">
        <v>1</v>
      </c>
      <c r="F2143" t="s">
        <v>5374</v>
      </c>
      <c r="G2143" t="s">
        <v>21</v>
      </c>
      <c r="H2143" t="s">
        <v>37</v>
      </c>
      <c r="I2143" s="13">
        <v>190000</v>
      </c>
      <c r="J2143" s="13">
        <v>190000</v>
      </c>
      <c r="K2143" s="13">
        <f>IF(J2143&lt;'Mapa Oficinas'!$I$21,0,IF(J2143&gt;'Mapa Oficinas'!$I$20,0,1))</f>
        <v>1</v>
      </c>
      <c r="L2143" t="s">
        <v>23</v>
      </c>
      <c r="M2143" t="s">
        <v>23</v>
      </c>
      <c r="N2143" t="s">
        <v>5374</v>
      </c>
      <c r="O2143" t="s">
        <v>390</v>
      </c>
      <c r="P2143" t="s">
        <v>45</v>
      </c>
      <c r="Q2143">
        <v>1</v>
      </c>
      <c r="R2143" t="s">
        <v>67</v>
      </c>
      <c r="S2143" t="s">
        <v>47</v>
      </c>
      <c r="T2143" t="str">
        <f>VLOOKUP(S2143,'Mapa Oficinas'!$H$7:$I$16,2,FALSE)</f>
        <v>Otra Red Búsqueda</v>
      </c>
      <c r="U2143" t="s">
        <v>29</v>
      </c>
      <c r="V2143" t="str">
        <f>VLOOKUP($R2143,'Mapa Oficinas'!$A$7:$C$46,2,FALSE)</f>
        <v>CABA</v>
      </c>
      <c r="W2143" t="str">
        <f>VLOOKUP($R2143,'Mapa Oficinas'!$A$7:$C$46,3,FALSE)</f>
        <v>Barrio Parque</v>
      </c>
    </row>
    <row r="2144" spans="1:23" x14ac:dyDescent="0.2">
      <c r="A2144" s="1">
        <v>46080</v>
      </c>
      <c r="B2144" s="20">
        <f t="shared" si="66"/>
        <v>2026</v>
      </c>
      <c r="C2144" s="20">
        <f t="shared" si="67"/>
        <v>2</v>
      </c>
      <c r="E2144" s="49">
        <v>1</v>
      </c>
      <c r="F2144" t="s">
        <v>6917</v>
      </c>
      <c r="G2144" t="s">
        <v>21</v>
      </c>
      <c r="H2144" t="s">
        <v>37</v>
      </c>
      <c r="I2144" s="13">
        <v>0</v>
      </c>
      <c r="J2144" s="13">
        <v>190000</v>
      </c>
      <c r="K2144" s="13">
        <f>IF(J2144&lt;'Mapa Oficinas'!$I$21,0,IF(J2144&gt;'Mapa Oficinas'!$I$20,0,1))</f>
        <v>1</v>
      </c>
      <c r="L2144" t="s">
        <v>23</v>
      </c>
      <c r="M2144" t="s">
        <v>23</v>
      </c>
      <c r="N2144" t="s">
        <v>6918</v>
      </c>
      <c r="O2144" t="s">
        <v>141</v>
      </c>
      <c r="P2144" t="s">
        <v>45</v>
      </c>
      <c r="Q2144">
        <v>1</v>
      </c>
      <c r="R2144" t="s">
        <v>135</v>
      </c>
      <c r="S2144" t="s">
        <v>47</v>
      </c>
      <c r="T2144" t="str">
        <f>VLOOKUP(S2144,'Mapa Oficinas'!$H$7:$I$16,2,FALSE)</f>
        <v>Otra Red Búsqueda</v>
      </c>
      <c r="U2144" t="s">
        <v>29</v>
      </c>
      <c r="V2144" t="str">
        <f>VLOOKUP($R2144,'Mapa Oficinas'!$A$7:$C$46,2,FALSE)</f>
        <v>CABA</v>
      </c>
      <c r="W2144" t="str">
        <f>VLOOKUP($R2144,'Mapa Oficinas'!$A$7:$C$46,3,FALSE)</f>
        <v>Recoleta</v>
      </c>
    </row>
    <row r="2145" spans="1:23" x14ac:dyDescent="0.2">
      <c r="A2145" s="1">
        <v>45692</v>
      </c>
      <c r="B2145" s="20">
        <f t="shared" si="66"/>
        <v>2025</v>
      </c>
      <c r="C2145" s="20">
        <f t="shared" si="67"/>
        <v>2</v>
      </c>
      <c r="D2145" t="s">
        <v>483</v>
      </c>
      <c r="E2145" s="49">
        <v>1</v>
      </c>
      <c r="F2145" t="s">
        <v>484</v>
      </c>
      <c r="G2145" t="s">
        <v>21</v>
      </c>
      <c r="H2145" t="s">
        <v>37</v>
      </c>
      <c r="I2145" s="13">
        <v>185000</v>
      </c>
      <c r="J2145" s="13">
        <v>190000</v>
      </c>
      <c r="K2145" s="13">
        <f>IF(J2145&lt;'Mapa Oficinas'!$I$21,0,IF(J2145&gt;'Mapa Oficinas'!$I$20,0,1))</f>
        <v>1</v>
      </c>
      <c r="L2145" t="s">
        <v>23</v>
      </c>
      <c r="M2145" t="s">
        <v>23</v>
      </c>
      <c r="N2145" t="s">
        <v>485</v>
      </c>
      <c r="O2145" t="s">
        <v>193</v>
      </c>
      <c r="P2145" t="s">
        <v>45</v>
      </c>
      <c r="Q2145">
        <v>2</v>
      </c>
      <c r="R2145" t="s">
        <v>110</v>
      </c>
      <c r="S2145" t="s">
        <v>200</v>
      </c>
      <c r="T2145" t="str">
        <f>VLOOKUP(S2145,'Mapa Oficinas'!$H$7:$I$16,2,FALSE)</f>
        <v>Otra Red Captación</v>
      </c>
      <c r="U2145" t="s">
        <v>29</v>
      </c>
      <c r="V2145" t="str">
        <f>VLOOKUP($R2145,'Mapa Oficinas'!$A$7:$C$46,2,FALSE)</f>
        <v>Zona Norte (GBA)</v>
      </c>
      <c r="W2145" t="str">
        <f>VLOOKUP($R2145,'Mapa Oficinas'!$A$7:$C$46,3,FALSE)</f>
        <v>Nordelta</v>
      </c>
    </row>
    <row r="2146" spans="1:23" x14ac:dyDescent="0.2">
      <c r="A2146" s="1">
        <v>45769</v>
      </c>
      <c r="B2146" s="20">
        <f t="shared" si="66"/>
        <v>2025</v>
      </c>
      <c r="C2146" s="20">
        <f t="shared" si="67"/>
        <v>4</v>
      </c>
      <c r="D2146" t="s">
        <v>1543</v>
      </c>
      <c r="E2146" s="49">
        <v>1</v>
      </c>
      <c r="F2146" t="s">
        <v>1544</v>
      </c>
      <c r="G2146" t="s">
        <v>21</v>
      </c>
      <c r="H2146" t="s">
        <v>37</v>
      </c>
      <c r="I2146" s="13">
        <v>180000</v>
      </c>
      <c r="J2146" s="13">
        <v>190000</v>
      </c>
      <c r="K2146" s="13">
        <f>IF(J2146&lt;'Mapa Oficinas'!$I$21,0,IF(J2146&gt;'Mapa Oficinas'!$I$20,0,1))</f>
        <v>1</v>
      </c>
      <c r="L2146" t="s">
        <v>23</v>
      </c>
      <c r="M2146" t="s">
        <v>23</v>
      </c>
      <c r="N2146" t="s">
        <v>1545</v>
      </c>
      <c r="O2146" t="s">
        <v>196</v>
      </c>
      <c r="P2146" t="s">
        <v>34</v>
      </c>
      <c r="Q2146">
        <v>2</v>
      </c>
      <c r="R2146" t="s">
        <v>110</v>
      </c>
      <c r="S2146" t="s">
        <v>200</v>
      </c>
      <c r="T2146" t="str">
        <f>VLOOKUP(S2146,'Mapa Oficinas'!$H$7:$I$16,2,FALSE)</f>
        <v>Otra Red Captación</v>
      </c>
      <c r="U2146" t="s">
        <v>29</v>
      </c>
      <c r="V2146" t="str">
        <f>VLOOKUP($R2146,'Mapa Oficinas'!$A$7:$C$46,2,FALSE)</f>
        <v>Zona Norte (GBA)</v>
      </c>
      <c r="W2146" t="str">
        <f>VLOOKUP($R2146,'Mapa Oficinas'!$A$7:$C$46,3,FALSE)</f>
        <v>Nordelta</v>
      </c>
    </row>
    <row r="2147" spans="1:23" x14ac:dyDescent="0.2">
      <c r="A2147" s="1">
        <v>45770</v>
      </c>
      <c r="B2147" s="20">
        <f t="shared" si="66"/>
        <v>2025</v>
      </c>
      <c r="C2147" s="20">
        <f t="shared" si="67"/>
        <v>4</v>
      </c>
      <c r="D2147" t="s">
        <v>1580</v>
      </c>
      <c r="E2147" s="49">
        <v>1</v>
      </c>
      <c r="F2147" t="s">
        <v>1581</v>
      </c>
      <c r="G2147" t="s">
        <v>21</v>
      </c>
      <c r="H2147" t="s">
        <v>37</v>
      </c>
      <c r="I2147" s="13">
        <v>199000</v>
      </c>
      <c r="J2147" s="13">
        <v>190000</v>
      </c>
      <c r="K2147" s="13">
        <f>IF(J2147&lt;'Mapa Oficinas'!$I$21,0,IF(J2147&gt;'Mapa Oficinas'!$I$20,0,1))</f>
        <v>1</v>
      </c>
      <c r="L2147" t="s">
        <v>23</v>
      </c>
      <c r="M2147" t="s">
        <v>23</v>
      </c>
      <c r="N2147" t="s">
        <v>1582</v>
      </c>
      <c r="O2147" t="s">
        <v>190</v>
      </c>
      <c r="P2147" t="s">
        <v>45</v>
      </c>
      <c r="Q2147">
        <v>2</v>
      </c>
      <c r="R2147" t="s">
        <v>46</v>
      </c>
      <c r="S2147" t="s">
        <v>200</v>
      </c>
      <c r="T2147" t="str">
        <f>VLOOKUP(S2147,'Mapa Oficinas'!$H$7:$I$16,2,FALSE)</f>
        <v>Otra Red Captación</v>
      </c>
      <c r="U2147" t="s">
        <v>29</v>
      </c>
      <c r="V2147" t="str">
        <f>VLOOKUP($R2147,'Mapa Oficinas'!$A$7:$C$46,2,FALSE)</f>
        <v>CABA</v>
      </c>
      <c r="W2147" t="str">
        <f>VLOOKUP($R2147,'Mapa Oficinas'!$A$7:$C$46,3,FALSE)</f>
        <v>Palermo</v>
      </c>
    </row>
    <row r="2148" spans="1:23" x14ac:dyDescent="0.2">
      <c r="A2148" s="1">
        <v>45869</v>
      </c>
      <c r="B2148" s="20">
        <f t="shared" si="66"/>
        <v>2025</v>
      </c>
      <c r="C2148" s="20">
        <f t="shared" si="67"/>
        <v>7</v>
      </c>
      <c r="D2148">
        <v>10476</v>
      </c>
      <c r="E2148" s="49">
        <v>1</v>
      </c>
      <c r="F2148" t="s">
        <v>3363</v>
      </c>
      <c r="G2148" t="s">
        <v>21</v>
      </c>
      <c r="H2148" t="s">
        <v>37</v>
      </c>
      <c r="I2148" s="13">
        <v>0</v>
      </c>
      <c r="J2148" s="13">
        <v>190000</v>
      </c>
      <c r="K2148" s="13">
        <f>IF(J2148&lt;'Mapa Oficinas'!$I$21,0,IF(J2148&gt;'Mapa Oficinas'!$I$20,0,1))</f>
        <v>1</v>
      </c>
      <c r="L2148" t="s">
        <v>23</v>
      </c>
      <c r="M2148" t="s">
        <v>23</v>
      </c>
      <c r="O2148" t="s">
        <v>190</v>
      </c>
      <c r="P2148" t="s">
        <v>45</v>
      </c>
      <c r="Q2148">
        <v>2</v>
      </c>
      <c r="R2148" t="s">
        <v>67</v>
      </c>
      <c r="S2148" t="s">
        <v>200</v>
      </c>
      <c r="T2148" t="str">
        <f>VLOOKUP(S2148,'Mapa Oficinas'!$H$7:$I$16,2,FALSE)</f>
        <v>Otra Red Captación</v>
      </c>
      <c r="U2148" t="s">
        <v>29</v>
      </c>
      <c r="V2148" t="str">
        <f>VLOOKUP($R2148,'Mapa Oficinas'!$A$7:$C$46,2,FALSE)</f>
        <v>CABA</v>
      </c>
      <c r="W2148" t="str">
        <f>VLOOKUP($R2148,'Mapa Oficinas'!$A$7:$C$46,3,FALSE)</f>
        <v>Barrio Parque</v>
      </c>
    </row>
    <row r="2149" spans="1:23" x14ac:dyDescent="0.2">
      <c r="A2149" s="1">
        <v>45943</v>
      </c>
      <c r="B2149" s="20">
        <f t="shared" si="66"/>
        <v>2025</v>
      </c>
      <c r="C2149" s="20">
        <f t="shared" si="67"/>
        <v>10</v>
      </c>
      <c r="D2149" t="s">
        <v>4646</v>
      </c>
      <c r="E2149" s="49">
        <v>1</v>
      </c>
      <c r="F2149" t="s">
        <v>4647</v>
      </c>
      <c r="G2149" t="s">
        <v>21</v>
      </c>
      <c r="H2149" t="s">
        <v>37</v>
      </c>
      <c r="I2149" s="13">
        <v>195000</v>
      </c>
      <c r="J2149" s="13">
        <v>190000</v>
      </c>
      <c r="K2149" s="13">
        <f>IF(J2149&lt;'Mapa Oficinas'!$I$21,0,IF(J2149&gt;'Mapa Oficinas'!$I$20,0,1))</f>
        <v>1</v>
      </c>
      <c r="L2149" t="s">
        <v>23</v>
      </c>
      <c r="M2149" t="s">
        <v>23</v>
      </c>
      <c r="N2149" t="s">
        <v>4648</v>
      </c>
      <c r="O2149" t="s">
        <v>2084</v>
      </c>
      <c r="P2149" t="s">
        <v>34</v>
      </c>
      <c r="Q2149">
        <v>2</v>
      </c>
      <c r="R2149" t="s">
        <v>67</v>
      </c>
      <c r="S2149" t="s">
        <v>200</v>
      </c>
      <c r="T2149" t="str">
        <f>VLOOKUP(S2149,'Mapa Oficinas'!$H$7:$I$16,2,FALSE)</f>
        <v>Otra Red Captación</v>
      </c>
      <c r="U2149" t="s">
        <v>29</v>
      </c>
      <c r="V2149" t="str">
        <f>VLOOKUP($R2149,'Mapa Oficinas'!$A$7:$C$46,2,FALSE)</f>
        <v>CABA</v>
      </c>
      <c r="W2149" t="str">
        <f>VLOOKUP($R2149,'Mapa Oficinas'!$A$7:$C$46,3,FALSE)</f>
        <v>Barrio Parque</v>
      </c>
    </row>
    <row r="2150" spans="1:23" x14ac:dyDescent="0.2">
      <c r="A2150" s="1">
        <v>45952</v>
      </c>
      <c r="B2150" s="20">
        <f t="shared" si="66"/>
        <v>2025</v>
      </c>
      <c r="C2150" s="20">
        <f t="shared" si="67"/>
        <v>10</v>
      </c>
      <c r="D2150" t="s">
        <v>4861</v>
      </c>
      <c r="E2150" s="49">
        <v>1</v>
      </c>
      <c r="F2150" t="s">
        <v>4862</v>
      </c>
      <c r="G2150" t="s">
        <v>21</v>
      </c>
      <c r="H2150" t="s">
        <v>37</v>
      </c>
      <c r="I2150" s="13">
        <v>199900</v>
      </c>
      <c r="J2150" s="13">
        <v>190000</v>
      </c>
      <c r="K2150" s="13">
        <f>IF(J2150&lt;'Mapa Oficinas'!$I$21,0,IF(J2150&gt;'Mapa Oficinas'!$I$20,0,1))</f>
        <v>1</v>
      </c>
      <c r="L2150" t="s">
        <v>23</v>
      </c>
      <c r="M2150" t="s">
        <v>23</v>
      </c>
      <c r="N2150" t="s">
        <v>4863</v>
      </c>
      <c r="O2150" t="s">
        <v>265</v>
      </c>
      <c r="P2150" t="s">
        <v>45</v>
      </c>
      <c r="Q2150">
        <v>2</v>
      </c>
      <c r="R2150" t="s">
        <v>67</v>
      </c>
      <c r="S2150" t="s">
        <v>200</v>
      </c>
      <c r="T2150" t="str">
        <f>VLOOKUP(S2150,'Mapa Oficinas'!$H$7:$I$16,2,FALSE)</f>
        <v>Otra Red Captación</v>
      </c>
      <c r="U2150" t="s">
        <v>29</v>
      </c>
      <c r="V2150" t="str">
        <f>VLOOKUP($R2150,'Mapa Oficinas'!$A$7:$C$46,2,FALSE)</f>
        <v>CABA</v>
      </c>
      <c r="W2150" t="str">
        <f>VLOOKUP($R2150,'Mapa Oficinas'!$A$7:$C$46,3,FALSE)</f>
        <v>Barrio Parque</v>
      </c>
    </row>
    <row r="2151" spans="1:23" x14ac:dyDescent="0.2">
      <c r="A2151" s="1">
        <v>45952</v>
      </c>
      <c r="B2151" s="20">
        <f t="shared" si="66"/>
        <v>2025</v>
      </c>
      <c r="C2151" s="20">
        <f t="shared" si="67"/>
        <v>10</v>
      </c>
      <c r="D2151" t="s">
        <v>4864</v>
      </c>
      <c r="E2151" s="49">
        <v>1</v>
      </c>
      <c r="F2151" t="s">
        <v>4865</v>
      </c>
      <c r="G2151" t="s">
        <v>21</v>
      </c>
      <c r="H2151" t="s">
        <v>37</v>
      </c>
      <c r="I2151" s="13">
        <v>209000</v>
      </c>
      <c r="J2151" s="13">
        <v>190000</v>
      </c>
      <c r="K2151" s="13">
        <f>IF(J2151&lt;'Mapa Oficinas'!$I$21,0,IF(J2151&gt;'Mapa Oficinas'!$I$20,0,1))</f>
        <v>1</v>
      </c>
      <c r="L2151" t="s">
        <v>23</v>
      </c>
      <c r="M2151" t="s">
        <v>23</v>
      </c>
      <c r="N2151" t="s">
        <v>4866</v>
      </c>
      <c r="O2151" t="s">
        <v>534</v>
      </c>
      <c r="P2151" t="s">
        <v>61</v>
      </c>
      <c r="Q2151">
        <v>2</v>
      </c>
      <c r="R2151" t="s">
        <v>46</v>
      </c>
      <c r="S2151" t="s">
        <v>200</v>
      </c>
      <c r="T2151" t="str">
        <f>VLOOKUP(S2151,'Mapa Oficinas'!$H$7:$I$16,2,FALSE)</f>
        <v>Otra Red Captación</v>
      </c>
      <c r="U2151" t="s">
        <v>29</v>
      </c>
      <c r="V2151" t="str">
        <f>VLOOKUP($R2151,'Mapa Oficinas'!$A$7:$C$46,2,FALSE)</f>
        <v>CABA</v>
      </c>
      <c r="W2151" t="str">
        <f>VLOOKUP($R2151,'Mapa Oficinas'!$A$7:$C$46,3,FALSE)</f>
        <v>Palermo</v>
      </c>
    </row>
    <row r="2152" spans="1:23" x14ac:dyDescent="0.2">
      <c r="A2152" s="1">
        <v>45783</v>
      </c>
      <c r="B2152" s="20">
        <f t="shared" si="66"/>
        <v>2025</v>
      </c>
      <c r="C2152" s="20">
        <f t="shared" si="67"/>
        <v>5</v>
      </c>
      <c r="D2152" t="s">
        <v>1789</v>
      </c>
      <c r="E2152" s="49">
        <v>3</v>
      </c>
      <c r="F2152" t="s">
        <v>1790</v>
      </c>
      <c r="G2152" t="s">
        <v>21</v>
      </c>
      <c r="H2152" t="s">
        <v>81</v>
      </c>
      <c r="I2152" s="13">
        <v>199000</v>
      </c>
      <c r="J2152" s="13">
        <v>190000</v>
      </c>
      <c r="K2152" s="13">
        <f>IF(J2152&lt;'Mapa Oficinas'!$I$21,0,IF(J2152&gt;'Mapa Oficinas'!$I$20,0,1))</f>
        <v>1</v>
      </c>
      <c r="L2152" t="s">
        <v>23</v>
      </c>
      <c r="M2152" t="s">
        <v>23</v>
      </c>
      <c r="N2152" t="s">
        <v>1791</v>
      </c>
      <c r="O2152" t="s">
        <v>1792</v>
      </c>
      <c r="P2152" t="s">
        <v>34</v>
      </c>
      <c r="Q2152">
        <v>2</v>
      </c>
      <c r="R2152" t="s">
        <v>823</v>
      </c>
      <c r="S2152" t="s">
        <v>241</v>
      </c>
      <c r="T2152" t="str">
        <f>VLOOKUP(S2152,'Mapa Oficinas'!$H$7:$I$16,2,FALSE)</f>
        <v>CB</v>
      </c>
      <c r="U2152" t="s">
        <v>29</v>
      </c>
      <c r="V2152" t="str">
        <f>VLOOKUP($R2152,'Mapa Oficinas'!$A$7:$C$46,2,FALSE)</f>
        <v>Zona Norte (GBA)</v>
      </c>
      <c r="W2152" t="str">
        <f>VLOOKUP($R2152,'Mapa Oficinas'!$A$7:$C$46,3,FALSE)</f>
        <v>Pilar</v>
      </c>
    </row>
    <row r="2153" spans="1:23" x14ac:dyDescent="0.2">
      <c r="A2153" s="1">
        <v>45972</v>
      </c>
      <c r="B2153" s="20">
        <f t="shared" si="66"/>
        <v>2025</v>
      </c>
      <c r="C2153" s="20">
        <f t="shared" si="67"/>
        <v>11</v>
      </c>
      <c r="D2153" t="s">
        <v>5141</v>
      </c>
      <c r="E2153" s="49">
        <v>3</v>
      </c>
      <c r="F2153" t="s">
        <v>5142</v>
      </c>
      <c r="G2153" t="s">
        <v>21</v>
      </c>
      <c r="H2153" t="s">
        <v>76</v>
      </c>
      <c r="I2153" s="13">
        <v>195000</v>
      </c>
      <c r="J2153" s="13">
        <v>190000</v>
      </c>
      <c r="K2153" s="13">
        <f>IF(J2153&lt;'Mapa Oficinas'!$I$21,0,IF(J2153&gt;'Mapa Oficinas'!$I$20,0,1))</f>
        <v>1</v>
      </c>
      <c r="L2153" t="s">
        <v>23</v>
      </c>
      <c r="M2153" t="s">
        <v>23</v>
      </c>
      <c r="N2153" t="s">
        <v>5143</v>
      </c>
      <c r="O2153" t="s">
        <v>5144</v>
      </c>
      <c r="P2153" t="s">
        <v>26</v>
      </c>
      <c r="Q2153">
        <v>2</v>
      </c>
      <c r="R2153" t="s">
        <v>257</v>
      </c>
      <c r="S2153" t="s">
        <v>241</v>
      </c>
      <c r="T2153" t="str">
        <f>VLOOKUP(S2153,'Mapa Oficinas'!$H$7:$I$16,2,FALSE)</f>
        <v>CB</v>
      </c>
      <c r="U2153" t="s">
        <v>29</v>
      </c>
      <c r="V2153" t="str">
        <f>VLOOKUP($R2153,'Mapa Oficinas'!$A$7:$C$46,2,FALSE)</f>
        <v>Zona Norte (GBA)</v>
      </c>
      <c r="W2153" t="str">
        <f>VLOOKUP($R2153,'Mapa Oficinas'!$A$7:$C$46,3,FALSE)</f>
        <v>Pilar</v>
      </c>
    </row>
    <row r="2154" spans="1:23" x14ac:dyDescent="0.2">
      <c r="A2154" s="1">
        <v>45756</v>
      </c>
      <c r="B2154" s="20">
        <f t="shared" si="66"/>
        <v>2025</v>
      </c>
      <c r="C2154" s="20">
        <f t="shared" si="67"/>
        <v>4</v>
      </c>
      <c r="D2154" t="s">
        <v>1356</v>
      </c>
      <c r="E2154" s="49">
        <v>1</v>
      </c>
      <c r="F2154" t="s">
        <v>1357</v>
      </c>
      <c r="G2154" t="s">
        <v>21</v>
      </c>
      <c r="H2154" t="s">
        <v>37</v>
      </c>
      <c r="I2154" s="13">
        <v>200000</v>
      </c>
      <c r="J2154" s="13">
        <v>190000</v>
      </c>
      <c r="K2154" s="13">
        <f>IF(J2154&lt;'Mapa Oficinas'!$I$21,0,IF(J2154&gt;'Mapa Oficinas'!$I$20,0,1))</f>
        <v>1</v>
      </c>
      <c r="L2154" t="s">
        <v>23</v>
      </c>
      <c r="M2154" t="s">
        <v>23</v>
      </c>
      <c r="N2154" t="s">
        <v>1358</v>
      </c>
      <c r="O2154" t="s">
        <v>519</v>
      </c>
      <c r="P2154" t="s">
        <v>61</v>
      </c>
      <c r="Q2154">
        <v>2</v>
      </c>
      <c r="R2154" t="s">
        <v>170</v>
      </c>
      <c r="S2154" t="s">
        <v>28</v>
      </c>
      <c r="T2154" t="str">
        <f>VLOOKUP(S2154,'Mapa Oficinas'!$H$7:$I$16,2,FALSE)</f>
        <v>CB</v>
      </c>
      <c r="U2154" t="s">
        <v>29</v>
      </c>
      <c r="V2154" t="str">
        <f>VLOOKUP($R2154,'Mapa Oficinas'!$A$7:$C$46,2,FALSE)</f>
        <v>CABA</v>
      </c>
      <c r="W2154" t="str">
        <f>VLOOKUP($R2154,'Mapa Oficinas'!$A$7:$C$46,3,FALSE)</f>
        <v>Belgrano</v>
      </c>
    </row>
    <row r="2155" spans="1:23" x14ac:dyDescent="0.2">
      <c r="A2155" s="1">
        <v>45846</v>
      </c>
      <c r="B2155" s="20">
        <f t="shared" si="66"/>
        <v>2025</v>
      </c>
      <c r="C2155" s="20">
        <f t="shared" si="67"/>
        <v>7</v>
      </c>
      <c r="D2155" t="s">
        <v>2931</v>
      </c>
      <c r="E2155" s="49">
        <v>1</v>
      </c>
      <c r="F2155" t="s">
        <v>2932</v>
      </c>
      <c r="G2155" t="s">
        <v>21</v>
      </c>
      <c r="H2155" t="s">
        <v>37</v>
      </c>
      <c r="I2155" s="13">
        <v>240000</v>
      </c>
      <c r="J2155" s="13">
        <v>190000</v>
      </c>
      <c r="K2155" s="13">
        <f>IF(J2155&lt;'Mapa Oficinas'!$I$21,0,IF(J2155&gt;'Mapa Oficinas'!$I$20,0,1))</f>
        <v>1</v>
      </c>
      <c r="L2155" t="s">
        <v>23</v>
      </c>
      <c r="M2155" t="s">
        <v>23</v>
      </c>
      <c r="N2155" t="s">
        <v>2933</v>
      </c>
      <c r="O2155" t="s">
        <v>914</v>
      </c>
      <c r="P2155" t="s">
        <v>2934</v>
      </c>
      <c r="Q2155">
        <v>2</v>
      </c>
      <c r="R2155" t="s">
        <v>1024</v>
      </c>
      <c r="S2155" t="s">
        <v>28</v>
      </c>
      <c r="T2155" t="str">
        <f>VLOOKUP(S2155,'Mapa Oficinas'!$H$7:$I$16,2,FALSE)</f>
        <v>CB</v>
      </c>
      <c r="U2155" t="s">
        <v>29</v>
      </c>
      <c r="V2155" t="str">
        <f>VLOOKUP($R2155,'Mapa Oficinas'!$A$7:$C$46,2,FALSE)</f>
        <v>CABA</v>
      </c>
      <c r="W2155" t="str">
        <f>VLOOKUP($R2155,'Mapa Oficinas'!$A$7:$C$46,3,FALSE)</f>
        <v>Puerto Madero</v>
      </c>
    </row>
    <row r="2156" spans="1:23" x14ac:dyDescent="0.2">
      <c r="A2156" s="1">
        <v>45894</v>
      </c>
      <c r="B2156" s="20">
        <f t="shared" si="66"/>
        <v>2025</v>
      </c>
      <c r="C2156" s="20">
        <f t="shared" si="67"/>
        <v>8</v>
      </c>
      <c r="D2156" t="s">
        <v>3763</v>
      </c>
      <c r="E2156" s="49">
        <v>1</v>
      </c>
      <c r="F2156" t="s">
        <v>3764</v>
      </c>
      <c r="G2156" t="s">
        <v>21</v>
      </c>
      <c r="H2156" t="s">
        <v>90</v>
      </c>
      <c r="I2156" s="13">
        <v>224500</v>
      </c>
      <c r="J2156" s="13">
        <v>190000</v>
      </c>
      <c r="K2156" s="13">
        <f>IF(J2156&lt;'Mapa Oficinas'!$I$21,0,IF(J2156&gt;'Mapa Oficinas'!$I$20,0,1))</f>
        <v>1</v>
      </c>
      <c r="L2156" t="s">
        <v>23</v>
      </c>
      <c r="M2156" t="s">
        <v>23</v>
      </c>
      <c r="N2156" t="s">
        <v>3765</v>
      </c>
      <c r="O2156" t="s">
        <v>914</v>
      </c>
      <c r="P2156" t="s">
        <v>61</v>
      </c>
      <c r="Q2156">
        <v>2</v>
      </c>
      <c r="R2156" t="s">
        <v>62</v>
      </c>
      <c r="S2156" t="s">
        <v>28</v>
      </c>
      <c r="T2156" t="str">
        <f>VLOOKUP(S2156,'Mapa Oficinas'!$H$7:$I$16,2,FALSE)</f>
        <v>CB</v>
      </c>
      <c r="U2156" t="s">
        <v>29</v>
      </c>
      <c r="V2156" t="str">
        <f>VLOOKUP($R2156,'Mapa Oficinas'!$A$7:$C$46,2,FALSE)</f>
        <v>CABA</v>
      </c>
      <c r="W2156" t="str">
        <f>VLOOKUP($R2156,'Mapa Oficinas'!$A$7:$C$46,3,FALSE)</f>
        <v>Villa Urquiza</v>
      </c>
    </row>
    <row r="2157" spans="1:23" x14ac:dyDescent="0.2">
      <c r="A2157" s="1">
        <v>46006</v>
      </c>
      <c r="B2157" s="20">
        <f t="shared" si="66"/>
        <v>2025</v>
      </c>
      <c r="C2157" s="20">
        <f t="shared" si="67"/>
        <v>12</v>
      </c>
      <c r="E2157" s="49">
        <v>1</v>
      </c>
      <c r="F2157" t="s">
        <v>5795</v>
      </c>
      <c r="G2157" t="s">
        <v>21</v>
      </c>
      <c r="H2157" t="s">
        <v>76</v>
      </c>
      <c r="I2157" s="13">
        <v>219000</v>
      </c>
      <c r="J2157" s="13">
        <v>190000</v>
      </c>
      <c r="K2157" s="13">
        <f>IF(J2157&lt;'Mapa Oficinas'!$I$21,0,IF(J2157&gt;'Mapa Oficinas'!$I$20,0,1))</f>
        <v>1</v>
      </c>
      <c r="L2157" t="s">
        <v>23</v>
      </c>
      <c r="M2157" t="s">
        <v>23</v>
      </c>
      <c r="N2157" t="s">
        <v>5796</v>
      </c>
      <c r="O2157" t="s">
        <v>5797</v>
      </c>
      <c r="P2157" t="s">
        <v>34</v>
      </c>
      <c r="Q2157">
        <v>2</v>
      </c>
      <c r="R2157" t="s">
        <v>130</v>
      </c>
      <c r="S2157" t="s">
        <v>28</v>
      </c>
      <c r="T2157" t="str">
        <f>VLOOKUP(S2157,'Mapa Oficinas'!$H$7:$I$16,2,FALSE)</f>
        <v>CB</v>
      </c>
      <c r="U2157" t="s">
        <v>29</v>
      </c>
      <c r="V2157" t="str">
        <f>VLOOKUP($R2157,'Mapa Oficinas'!$A$7:$C$46,2,FALSE)</f>
        <v>Interior - Neuquén</v>
      </c>
      <c r="W2157" t="str">
        <f>VLOOKUP($R2157,'Mapa Oficinas'!$A$7:$C$46,3,FALSE)</f>
        <v>San Martín de los Andes</v>
      </c>
    </row>
    <row r="2158" spans="1:23" x14ac:dyDescent="0.2">
      <c r="A2158" s="1">
        <v>46038</v>
      </c>
      <c r="B2158" s="20">
        <f t="shared" si="66"/>
        <v>2026</v>
      </c>
      <c r="C2158" s="20">
        <f t="shared" si="67"/>
        <v>1</v>
      </c>
      <c r="D2158" t="s">
        <v>6291</v>
      </c>
      <c r="E2158" s="49">
        <v>1</v>
      </c>
      <c r="F2158" t="s">
        <v>6292</v>
      </c>
      <c r="G2158" t="s">
        <v>21</v>
      </c>
      <c r="H2158" t="s">
        <v>37</v>
      </c>
      <c r="I2158" s="13">
        <v>195000</v>
      </c>
      <c r="J2158" s="13">
        <v>190000</v>
      </c>
      <c r="K2158" s="13">
        <f>IF(J2158&lt;'Mapa Oficinas'!$I$21,0,IF(J2158&gt;'Mapa Oficinas'!$I$20,0,1))</f>
        <v>1</v>
      </c>
      <c r="L2158" t="s">
        <v>23</v>
      </c>
      <c r="M2158" t="s">
        <v>23</v>
      </c>
      <c r="N2158" t="s">
        <v>6293</v>
      </c>
      <c r="O2158" t="s">
        <v>1260</v>
      </c>
      <c r="P2158" t="s">
        <v>34</v>
      </c>
      <c r="Q2158">
        <v>2</v>
      </c>
      <c r="R2158" t="s">
        <v>4688</v>
      </c>
      <c r="S2158" t="s">
        <v>28</v>
      </c>
      <c r="T2158" t="str">
        <f>VLOOKUP(S2158,'Mapa Oficinas'!$H$7:$I$16,2,FALSE)</f>
        <v>CB</v>
      </c>
      <c r="U2158" t="s">
        <v>29</v>
      </c>
      <c r="V2158" t="str">
        <f>VLOOKUP($R2158,'Mapa Oficinas'!$A$7:$C$46,2,FALSE)</f>
        <v>Zona Norte (GBA)</v>
      </c>
      <c r="W2158" t="str">
        <f>VLOOKUP($R2158,'Mapa Oficinas'!$A$7:$C$46,3,FALSE)</f>
        <v>San Isidro</v>
      </c>
    </row>
    <row r="2159" spans="1:23" x14ac:dyDescent="0.2">
      <c r="A2159" s="1">
        <v>45925</v>
      </c>
      <c r="B2159" s="20">
        <f t="shared" si="66"/>
        <v>2025</v>
      </c>
      <c r="C2159" s="20">
        <f t="shared" si="67"/>
        <v>9</v>
      </c>
      <c r="D2159" t="s">
        <v>4360</v>
      </c>
      <c r="E2159" s="49">
        <v>1</v>
      </c>
      <c r="F2159" t="s">
        <v>4361</v>
      </c>
      <c r="G2159" t="s">
        <v>21</v>
      </c>
      <c r="H2159" t="s">
        <v>37</v>
      </c>
      <c r="I2159" s="13">
        <v>280000</v>
      </c>
      <c r="J2159" s="13">
        <v>191000</v>
      </c>
      <c r="K2159" s="13">
        <f>IF(J2159&lt;'Mapa Oficinas'!$I$21,0,IF(J2159&gt;'Mapa Oficinas'!$I$20,0,1))</f>
        <v>1</v>
      </c>
      <c r="L2159" t="s">
        <v>23</v>
      </c>
      <c r="M2159" t="s">
        <v>23</v>
      </c>
      <c r="O2159" t="s">
        <v>231</v>
      </c>
      <c r="P2159" t="s">
        <v>26</v>
      </c>
      <c r="Q2159">
        <v>2</v>
      </c>
      <c r="R2159" t="s">
        <v>110</v>
      </c>
      <c r="S2159" t="s">
        <v>79</v>
      </c>
      <c r="T2159" t="str">
        <f>VLOOKUP(S2159,'Mapa Oficinas'!$H$7:$I$16,2,FALSE)</f>
        <v>CB</v>
      </c>
      <c r="U2159" t="s">
        <v>29</v>
      </c>
      <c r="V2159" t="str">
        <f>VLOOKUP($R2159,'Mapa Oficinas'!$A$7:$C$46,2,FALSE)</f>
        <v>Zona Norte (GBA)</v>
      </c>
      <c r="W2159" t="str">
        <f>VLOOKUP($R2159,'Mapa Oficinas'!$A$7:$C$46,3,FALSE)</f>
        <v>Nordelta</v>
      </c>
    </row>
    <row r="2160" spans="1:23" x14ac:dyDescent="0.2">
      <c r="A2160" s="1">
        <v>45684</v>
      </c>
      <c r="B2160" s="20">
        <f t="shared" si="66"/>
        <v>2025</v>
      </c>
      <c r="C2160" s="20">
        <f t="shared" si="67"/>
        <v>1</v>
      </c>
      <c r="D2160" t="s">
        <v>387</v>
      </c>
      <c r="E2160" s="49">
        <v>1</v>
      </c>
      <c r="F2160" t="s">
        <v>388</v>
      </c>
      <c r="G2160" t="s">
        <v>21</v>
      </c>
      <c r="H2160" t="s">
        <v>37</v>
      </c>
      <c r="I2160" s="13">
        <v>199000</v>
      </c>
      <c r="J2160" s="13">
        <v>191000</v>
      </c>
      <c r="K2160" s="13">
        <f>IF(J2160&lt;'Mapa Oficinas'!$I$21,0,IF(J2160&gt;'Mapa Oficinas'!$I$20,0,1))</f>
        <v>1</v>
      </c>
      <c r="L2160" t="s">
        <v>23</v>
      </c>
      <c r="M2160" t="s">
        <v>23</v>
      </c>
      <c r="N2160" t="s">
        <v>389</v>
      </c>
      <c r="O2160" t="s">
        <v>390</v>
      </c>
      <c r="P2160" t="s">
        <v>61</v>
      </c>
      <c r="Q2160">
        <v>2</v>
      </c>
      <c r="R2160" t="s">
        <v>372</v>
      </c>
      <c r="S2160" t="s">
        <v>200</v>
      </c>
      <c r="T2160" t="str">
        <f>VLOOKUP(S2160,'Mapa Oficinas'!$H$7:$I$16,2,FALSE)</f>
        <v>Otra Red Captación</v>
      </c>
      <c r="U2160" t="s">
        <v>29</v>
      </c>
      <c r="V2160" t="str">
        <f>VLOOKUP($R2160,'Mapa Oficinas'!$A$7:$C$46,2,FALSE)</f>
        <v>CABA</v>
      </c>
      <c r="W2160" t="str">
        <f>VLOOKUP($R2160,'Mapa Oficinas'!$A$7:$C$46,3,FALSE)</f>
        <v>Caballito</v>
      </c>
    </row>
    <row r="2161" spans="1:23" x14ac:dyDescent="0.2">
      <c r="A2161" s="1">
        <v>45735</v>
      </c>
      <c r="B2161" s="20">
        <f t="shared" si="66"/>
        <v>2025</v>
      </c>
      <c r="C2161" s="20">
        <f t="shared" si="67"/>
        <v>3</v>
      </c>
      <c r="D2161" t="s">
        <v>1007</v>
      </c>
      <c r="E2161" s="49">
        <v>1</v>
      </c>
      <c r="F2161" t="s">
        <v>1008</v>
      </c>
      <c r="G2161" t="s">
        <v>21</v>
      </c>
      <c r="H2161" t="s">
        <v>37</v>
      </c>
      <c r="I2161" s="13">
        <v>195000</v>
      </c>
      <c r="J2161" s="13">
        <v>192000</v>
      </c>
      <c r="K2161" s="13">
        <f>IF(J2161&lt;'Mapa Oficinas'!$I$21,0,IF(J2161&gt;'Mapa Oficinas'!$I$20,0,1))</f>
        <v>1</v>
      </c>
      <c r="L2161" t="s">
        <v>23</v>
      </c>
      <c r="M2161" t="s">
        <v>23</v>
      </c>
      <c r="N2161" t="s">
        <v>1009</v>
      </c>
      <c r="O2161" t="s">
        <v>1010</v>
      </c>
      <c r="P2161" t="s">
        <v>45</v>
      </c>
      <c r="Q2161">
        <v>2</v>
      </c>
      <c r="R2161" t="s">
        <v>523</v>
      </c>
      <c r="S2161" t="s">
        <v>200</v>
      </c>
      <c r="T2161" t="str">
        <f>VLOOKUP(S2161,'Mapa Oficinas'!$H$7:$I$16,2,FALSE)</f>
        <v>Otra Red Captación</v>
      </c>
      <c r="U2161" t="s">
        <v>29</v>
      </c>
      <c r="V2161" t="str">
        <f>VLOOKUP($R2161,'Mapa Oficinas'!$A$7:$C$46,2,FALSE)</f>
        <v>CABA</v>
      </c>
      <c r="W2161" t="str">
        <f>VLOOKUP($R2161,'Mapa Oficinas'!$A$7:$C$46,3,FALSE)</f>
        <v>Belgrano</v>
      </c>
    </row>
    <row r="2162" spans="1:23" x14ac:dyDescent="0.2">
      <c r="A2162" s="1">
        <v>45751</v>
      </c>
      <c r="B2162" s="20">
        <f t="shared" si="66"/>
        <v>2025</v>
      </c>
      <c r="C2162" s="20">
        <f t="shared" si="67"/>
        <v>4</v>
      </c>
      <c r="D2162" t="s">
        <v>1288</v>
      </c>
      <c r="E2162" s="49">
        <v>1</v>
      </c>
      <c r="F2162" t="s">
        <v>1289</v>
      </c>
      <c r="G2162" t="s">
        <v>21</v>
      </c>
      <c r="H2162" t="s">
        <v>37</v>
      </c>
      <c r="I2162" s="13">
        <v>199000</v>
      </c>
      <c r="J2162" s="13">
        <v>192000</v>
      </c>
      <c r="K2162" s="13">
        <f>IF(J2162&lt;'Mapa Oficinas'!$I$21,0,IF(J2162&gt;'Mapa Oficinas'!$I$20,0,1))</f>
        <v>1</v>
      </c>
      <c r="L2162" t="s">
        <v>23</v>
      </c>
      <c r="M2162" t="s">
        <v>23</v>
      </c>
      <c r="N2162" t="s">
        <v>1290</v>
      </c>
      <c r="O2162" t="s">
        <v>408</v>
      </c>
      <c r="P2162" t="s">
        <v>45</v>
      </c>
      <c r="Q2162">
        <v>2</v>
      </c>
      <c r="R2162" t="s">
        <v>67</v>
      </c>
      <c r="S2162" t="s">
        <v>28</v>
      </c>
      <c r="T2162" t="str">
        <f>VLOOKUP(S2162,'Mapa Oficinas'!$H$7:$I$16,2,FALSE)</f>
        <v>CB</v>
      </c>
      <c r="U2162" t="s">
        <v>29</v>
      </c>
      <c r="V2162" t="str">
        <f>VLOOKUP($R2162,'Mapa Oficinas'!$A$7:$C$46,2,FALSE)</f>
        <v>CABA</v>
      </c>
      <c r="W2162" t="str">
        <f>VLOOKUP($R2162,'Mapa Oficinas'!$A$7:$C$46,3,FALSE)</f>
        <v>Barrio Parque</v>
      </c>
    </row>
    <row r="2163" spans="1:23" x14ac:dyDescent="0.2">
      <c r="A2163" s="1">
        <v>45755</v>
      </c>
      <c r="B2163" s="20">
        <f t="shared" si="66"/>
        <v>2025</v>
      </c>
      <c r="C2163" s="20">
        <f t="shared" si="67"/>
        <v>4</v>
      </c>
      <c r="D2163" t="s">
        <v>1340</v>
      </c>
      <c r="E2163" s="49">
        <v>1</v>
      </c>
      <c r="F2163" t="s">
        <v>1340</v>
      </c>
      <c r="G2163" t="s">
        <v>21</v>
      </c>
      <c r="H2163" t="s">
        <v>37</v>
      </c>
      <c r="I2163" s="13">
        <v>192000</v>
      </c>
      <c r="J2163" s="13">
        <v>192000</v>
      </c>
      <c r="K2163" s="13">
        <f>IF(J2163&lt;'Mapa Oficinas'!$I$21,0,IF(J2163&gt;'Mapa Oficinas'!$I$20,0,1))</f>
        <v>1</v>
      </c>
      <c r="L2163" t="s">
        <v>23</v>
      </c>
      <c r="M2163" t="s">
        <v>23</v>
      </c>
      <c r="N2163" t="s">
        <v>1340</v>
      </c>
      <c r="O2163" t="s">
        <v>162</v>
      </c>
      <c r="P2163" t="s">
        <v>45</v>
      </c>
      <c r="Q2163">
        <v>2</v>
      </c>
      <c r="R2163" t="s">
        <v>62</v>
      </c>
      <c r="S2163" t="s">
        <v>28</v>
      </c>
      <c r="T2163" t="str">
        <f>VLOOKUP(S2163,'Mapa Oficinas'!$H$7:$I$16,2,FALSE)</f>
        <v>CB</v>
      </c>
      <c r="U2163" t="s">
        <v>29</v>
      </c>
      <c r="V2163" t="str">
        <f>VLOOKUP($R2163,'Mapa Oficinas'!$A$7:$C$46,2,FALSE)</f>
        <v>CABA</v>
      </c>
      <c r="W2163" t="str">
        <f>VLOOKUP($R2163,'Mapa Oficinas'!$A$7:$C$46,3,FALSE)</f>
        <v>Villa Urquiza</v>
      </c>
    </row>
    <row r="2164" spans="1:23" x14ac:dyDescent="0.2">
      <c r="A2164" s="1">
        <v>45756</v>
      </c>
      <c r="B2164" s="20">
        <f t="shared" si="66"/>
        <v>2025</v>
      </c>
      <c r="C2164" s="20">
        <f t="shared" si="67"/>
        <v>4</v>
      </c>
      <c r="D2164">
        <v>10240</v>
      </c>
      <c r="E2164" s="49">
        <v>1</v>
      </c>
      <c r="F2164" t="s">
        <v>1359</v>
      </c>
      <c r="G2164" t="s">
        <v>21</v>
      </c>
      <c r="H2164" t="s">
        <v>37</v>
      </c>
      <c r="I2164" s="13">
        <v>0</v>
      </c>
      <c r="J2164" s="13">
        <v>192500</v>
      </c>
      <c r="K2164" s="13">
        <f>IF(J2164&lt;'Mapa Oficinas'!$I$21,0,IF(J2164&gt;'Mapa Oficinas'!$I$20,0,1))</f>
        <v>1</v>
      </c>
      <c r="L2164" t="s">
        <v>23</v>
      </c>
      <c r="M2164" t="s">
        <v>23</v>
      </c>
      <c r="O2164" t="s">
        <v>190</v>
      </c>
      <c r="P2164" t="s">
        <v>45</v>
      </c>
      <c r="Q2164">
        <v>2</v>
      </c>
      <c r="R2164" t="s">
        <v>67</v>
      </c>
      <c r="S2164" t="s">
        <v>200</v>
      </c>
      <c r="T2164" t="str">
        <f>VLOOKUP(S2164,'Mapa Oficinas'!$H$7:$I$16,2,FALSE)</f>
        <v>Otra Red Captación</v>
      </c>
      <c r="U2164" t="s">
        <v>29</v>
      </c>
      <c r="V2164" t="str">
        <f>VLOOKUP($R2164,'Mapa Oficinas'!$A$7:$C$46,2,FALSE)</f>
        <v>CABA</v>
      </c>
      <c r="W2164" t="str">
        <f>VLOOKUP($R2164,'Mapa Oficinas'!$A$7:$C$46,3,FALSE)</f>
        <v>Barrio Parque</v>
      </c>
    </row>
    <row r="2165" spans="1:23" x14ac:dyDescent="0.2">
      <c r="A2165" s="1">
        <v>45898</v>
      </c>
      <c r="B2165" s="20">
        <f t="shared" si="66"/>
        <v>2025</v>
      </c>
      <c r="C2165" s="20">
        <f t="shared" si="67"/>
        <v>8</v>
      </c>
      <c r="E2165" s="49">
        <v>1</v>
      </c>
      <c r="F2165" t="s">
        <v>3902</v>
      </c>
      <c r="G2165" t="s">
        <v>21</v>
      </c>
      <c r="H2165" t="s">
        <v>37</v>
      </c>
      <c r="I2165" s="13">
        <v>193000</v>
      </c>
      <c r="J2165" s="13">
        <v>193000</v>
      </c>
      <c r="K2165" s="13">
        <f>IF(J2165&lt;'Mapa Oficinas'!$I$21,0,IF(J2165&gt;'Mapa Oficinas'!$I$20,0,1))</f>
        <v>1</v>
      </c>
      <c r="L2165" t="s">
        <v>23</v>
      </c>
      <c r="M2165" t="s">
        <v>23</v>
      </c>
      <c r="N2165" t="s">
        <v>3903</v>
      </c>
      <c r="O2165" t="s">
        <v>66</v>
      </c>
      <c r="P2165" t="s">
        <v>26</v>
      </c>
      <c r="Q2165">
        <v>1</v>
      </c>
      <c r="R2165" t="s">
        <v>135</v>
      </c>
      <c r="S2165" t="s">
        <v>47</v>
      </c>
      <c r="T2165" t="str">
        <f>VLOOKUP(S2165,'Mapa Oficinas'!$H$7:$I$16,2,FALSE)</f>
        <v>Otra Red Búsqueda</v>
      </c>
      <c r="U2165" t="s">
        <v>29</v>
      </c>
      <c r="V2165" t="str">
        <f>VLOOKUP($R2165,'Mapa Oficinas'!$A$7:$C$46,2,FALSE)</f>
        <v>CABA</v>
      </c>
      <c r="W2165" t="str">
        <f>VLOOKUP($R2165,'Mapa Oficinas'!$A$7:$C$46,3,FALSE)</f>
        <v>Recoleta</v>
      </c>
    </row>
    <row r="2166" spans="1:23" x14ac:dyDescent="0.2">
      <c r="A2166" s="1">
        <v>45898</v>
      </c>
      <c r="B2166" s="20">
        <f t="shared" si="66"/>
        <v>2025</v>
      </c>
      <c r="C2166" s="20">
        <f t="shared" si="67"/>
        <v>8</v>
      </c>
      <c r="D2166" t="s">
        <v>3900</v>
      </c>
      <c r="E2166" s="49">
        <v>1</v>
      </c>
      <c r="F2166" t="s">
        <v>3901</v>
      </c>
      <c r="G2166" t="s">
        <v>21</v>
      </c>
      <c r="H2166" t="s">
        <v>37</v>
      </c>
      <c r="I2166" s="13">
        <v>193000</v>
      </c>
      <c r="J2166" s="13">
        <v>193000</v>
      </c>
      <c r="K2166" s="13">
        <f>IF(J2166&lt;'Mapa Oficinas'!$I$21,0,IF(J2166&gt;'Mapa Oficinas'!$I$20,0,1))</f>
        <v>1</v>
      </c>
      <c r="L2166" t="s">
        <v>23</v>
      </c>
      <c r="M2166" t="s">
        <v>23</v>
      </c>
      <c r="O2166" t="s">
        <v>303</v>
      </c>
      <c r="P2166" t="s">
        <v>61</v>
      </c>
      <c r="Q2166">
        <v>2</v>
      </c>
      <c r="R2166" t="s">
        <v>183</v>
      </c>
      <c r="S2166" t="s">
        <v>28</v>
      </c>
      <c r="T2166" t="str">
        <f>VLOOKUP(S2166,'Mapa Oficinas'!$H$7:$I$16,2,FALSE)</f>
        <v>CB</v>
      </c>
      <c r="U2166" t="s">
        <v>29</v>
      </c>
      <c r="V2166" t="str">
        <f>VLOOKUP($R2166,'Mapa Oficinas'!$A$7:$C$46,2,FALSE)</f>
        <v>Interior - Neuquén</v>
      </c>
      <c r="W2166" t="str">
        <f>VLOOKUP($R2166,'Mapa Oficinas'!$A$7:$C$46,3,FALSE)</f>
        <v>Capital Neuquén</v>
      </c>
    </row>
    <row r="2167" spans="1:23" x14ac:dyDescent="0.2">
      <c r="A2167" s="1">
        <v>45947</v>
      </c>
      <c r="B2167" s="20">
        <f t="shared" si="66"/>
        <v>2025</v>
      </c>
      <c r="C2167" s="20">
        <f t="shared" si="67"/>
        <v>10</v>
      </c>
      <c r="E2167" s="49">
        <v>1</v>
      </c>
      <c r="F2167" t="s">
        <v>4775</v>
      </c>
      <c r="G2167" t="s">
        <v>21</v>
      </c>
      <c r="H2167" t="s">
        <v>81</v>
      </c>
      <c r="I2167" s="13">
        <v>195000</v>
      </c>
      <c r="J2167" s="13">
        <v>195000</v>
      </c>
      <c r="K2167" s="13">
        <f>IF(J2167&lt;'Mapa Oficinas'!$I$21,0,IF(J2167&gt;'Mapa Oficinas'!$I$20,0,1))</f>
        <v>1</v>
      </c>
      <c r="L2167" t="s">
        <v>23</v>
      </c>
      <c r="M2167" t="s">
        <v>23</v>
      </c>
      <c r="N2167" t="s">
        <v>4775</v>
      </c>
      <c r="O2167" t="s">
        <v>1020</v>
      </c>
      <c r="P2167" t="s">
        <v>34</v>
      </c>
      <c r="Q2167">
        <v>1</v>
      </c>
      <c r="R2167" t="s">
        <v>84</v>
      </c>
      <c r="S2167" t="s">
        <v>122</v>
      </c>
      <c r="T2167" t="str">
        <f>VLOOKUP(S2167,'Mapa Oficinas'!$H$7:$I$16,2,FALSE)</f>
        <v>Otra Red Búsqueda</v>
      </c>
      <c r="U2167" t="s">
        <v>29</v>
      </c>
      <c r="V2167" t="str">
        <f>VLOOKUP($R2167,'Mapa Oficinas'!$A$7:$C$46,2,FALSE)</f>
        <v>Interior - Neuquén</v>
      </c>
      <c r="W2167" t="str">
        <f>VLOOKUP($R2167,'Mapa Oficinas'!$A$7:$C$46,3,FALSE)</f>
        <v>Villa La Angostura</v>
      </c>
    </row>
    <row r="2168" spans="1:23" x14ac:dyDescent="0.2">
      <c r="A2168" s="1">
        <v>46066</v>
      </c>
      <c r="B2168" s="20">
        <f t="shared" si="66"/>
        <v>2026</v>
      </c>
      <c r="C2168" s="20">
        <f t="shared" si="67"/>
        <v>2</v>
      </c>
      <c r="D2168" t="s">
        <v>6720</v>
      </c>
      <c r="E2168" s="49">
        <v>1</v>
      </c>
      <c r="F2168" t="s">
        <v>6720</v>
      </c>
      <c r="G2168" t="s">
        <v>21</v>
      </c>
      <c r="H2168" t="s">
        <v>81</v>
      </c>
      <c r="I2168" s="13">
        <v>195000</v>
      </c>
      <c r="J2168" s="13">
        <v>195000</v>
      </c>
      <c r="K2168" s="13">
        <f>IF(J2168&lt;'Mapa Oficinas'!$I$21,0,IF(J2168&gt;'Mapa Oficinas'!$I$20,0,1))</f>
        <v>1</v>
      </c>
      <c r="L2168" t="s">
        <v>23</v>
      </c>
      <c r="M2168" t="s">
        <v>23</v>
      </c>
      <c r="O2168" t="s">
        <v>2473</v>
      </c>
      <c r="P2168" t="s">
        <v>34</v>
      </c>
      <c r="Q2168">
        <v>1</v>
      </c>
      <c r="R2168" t="s">
        <v>183</v>
      </c>
      <c r="S2168" t="s">
        <v>122</v>
      </c>
      <c r="T2168" t="str">
        <f>VLOOKUP(S2168,'Mapa Oficinas'!$H$7:$I$16,2,FALSE)</f>
        <v>Otra Red Búsqueda</v>
      </c>
      <c r="U2168" t="s">
        <v>29</v>
      </c>
      <c r="V2168" t="str">
        <f>VLOOKUP($R2168,'Mapa Oficinas'!$A$7:$C$46,2,FALSE)</f>
        <v>Interior - Neuquén</v>
      </c>
      <c r="W2168" t="str">
        <f>VLOOKUP($R2168,'Mapa Oficinas'!$A$7:$C$46,3,FALSE)</f>
        <v>Capital Neuquén</v>
      </c>
    </row>
    <row r="2169" spans="1:23" x14ac:dyDescent="0.2">
      <c r="A2169" s="1">
        <v>45721</v>
      </c>
      <c r="B2169" s="20">
        <f t="shared" si="66"/>
        <v>2025</v>
      </c>
      <c r="C2169" s="20">
        <f t="shared" si="67"/>
        <v>3</v>
      </c>
      <c r="E2169" s="49">
        <v>1</v>
      </c>
      <c r="F2169" t="s">
        <v>847</v>
      </c>
      <c r="G2169" t="s">
        <v>21</v>
      </c>
      <c r="H2169" t="s">
        <v>37</v>
      </c>
      <c r="I2169" s="13">
        <v>195000</v>
      </c>
      <c r="J2169" s="13">
        <v>195000</v>
      </c>
      <c r="K2169" s="13">
        <f>IF(J2169&lt;'Mapa Oficinas'!$I$21,0,IF(J2169&gt;'Mapa Oficinas'!$I$20,0,1))</f>
        <v>1</v>
      </c>
      <c r="L2169" t="s">
        <v>23</v>
      </c>
      <c r="M2169" t="s">
        <v>23</v>
      </c>
      <c r="N2169" t="s">
        <v>848</v>
      </c>
      <c r="O2169" t="s">
        <v>190</v>
      </c>
      <c r="P2169" t="s">
        <v>45</v>
      </c>
      <c r="Q2169">
        <v>1</v>
      </c>
      <c r="R2169" t="s">
        <v>135</v>
      </c>
      <c r="S2169" t="s">
        <v>47</v>
      </c>
      <c r="T2169" t="str">
        <f>VLOOKUP(S2169,'Mapa Oficinas'!$H$7:$I$16,2,FALSE)</f>
        <v>Otra Red Búsqueda</v>
      </c>
      <c r="U2169" t="s">
        <v>29</v>
      </c>
      <c r="V2169" t="str">
        <f>VLOOKUP($R2169,'Mapa Oficinas'!$A$7:$C$46,2,FALSE)</f>
        <v>CABA</v>
      </c>
      <c r="W2169" t="str">
        <f>VLOOKUP($R2169,'Mapa Oficinas'!$A$7:$C$46,3,FALSE)</f>
        <v>Recoleta</v>
      </c>
    </row>
    <row r="2170" spans="1:23" x14ac:dyDescent="0.2">
      <c r="A2170" s="1">
        <v>45771</v>
      </c>
      <c r="B2170" s="20">
        <f t="shared" si="66"/>
        <v>2025</v>
      </c>
      <c r="C2170" s="20">
        <f t="shared" si="67"/>
        <v>4</v>
      </c>
      <c r="D2170" t="s">
        <v>1610</v>
      </c>
      <c r="E2170" s="49">
        <v>1</v>
      </c>
      <c r="F2170" t="s">
        <v>1611</v>
      </c>
      <c r="G2170" t="s">
        <v>21</v>
      </c>
      <c r="H2170" t="s">
        <v>81</v>
      </c>
      <c r="I2170" s="13">
        <v>195000</v>
      </c>
      <c r="J2170" s="13">
        <v>195000</v>
      </c>
      <c r="K2170" s="13">
        <f>IF(J2170&lt;'Mapa Oficinas'!$I$21,0,IF(J2170&gt;'Mapa Oficinas'!$I$20,0,1))</f>
        <v>1</v>
      </c>
      <c r="L2170" t="s">
        <v>23</v>
      </c>
      <c r="M2170" t="s">
        <v>23</v>
      </c>
      <c r="N2170" t="s">
        <v>1612</v>
      </c>
      <c r="P2170" t="s">
        <v>34</v>
      </c>
      <c r="Q2170">
        <v>1</v>
      </c>
      <c r="R2170" t="s">
        <v>103</v>
      </c>
      <c r="S2170" t="s">
        <v>47</v>
      </c>
      <c r="T2170" t="str">
        <f>VLOOKUP(S2170,'Mapa Oficinas'!$H$7:$I$16,2,FALSE)</f>
        <v>Otra Red Búsqueda</v>
      </c>
      <c r="U2170" t="s">
        <v>29</v>
      </c>
      <c r="V2170" t="str">
        <f>VLOOKUP($R2170,'Mapa Oficinas'!$A$7:$C$46,2,FALSE)</f>
        <v>Zona Sur (GBA)</v>
      </c>
      <c r="W2170" t="str">
        <f>VLOOKUP($R2170,'Mapa Oficinas'!$A$7:$C$46,3,FALSE)</f>
        <v>La Plata</v>
      </c>
    </row>
    <row r="2171" spans="1:23" x14ac:dyDescent="0.2">
      <c r="A2171" s="1">
        <v>45894</v>
      </c>
      <c r="B2171" s="20">
        <f t="shared" si="66"/>
        <v>2025</v>
      </c>
      <c r="C2171" s="20">
        <f t="shared" si="67"/>
        <v>8</v>
      </c>
      <c r="D2171" t="s">
        <v>3766</v>
      </c>
      <c r="E2171" s="49">
        <v>1</v>
      </c>
      <c r="F2171" t="s">
        <v>3767</v>
      </c>
      <c r="G2171" t="s">
        <v>21</v>
      </c>
      <c r="H2171" t="s">
        <v>37</v>
      </c>
      <c r="I2171" s="13">
        <v>158999</v>
      </c>
      <c r="J2171" s="13">
        <v>195000</v>
      </c>
      <c r="K2171" s="13">
        <f>IF(J2171&lt;'Mapa Oficinas'!$I$21,0,IF(J2171&gt;'Mapa Oficinas'!$I$20,0,1))</f>
        <v>1</v>
      </c>
      <c r="L2171" t="s">
        <v>23</v>
      </c>
      <c r="M2171" t="s">
        <v>23</v>
      </c>
      <c r="N2171" t="s">
        <v>3768</v>
      </c>
      <c r="O2171" t="s">
        <v>408</v>
      </c>
      <c r="P2171" t="s">
        <v>45</v>
      </c>
      <c r="Q2171">
        <v>1</v>
      </c>
      <c r="R2171" t="s">
        <v>110</v>
      </c>
      <c r="S2171" t="s">
        <v>47</v>
      </c>
      <c r="T2171" t="str">
        <f>VLOOKUP(S2171,'Mapa Oficinas'!$H$7:$I$16,2,FALSE)</f>
        <v>Otra Red Búsqueda</v>
      </c>
      <c r="U2171" t="s">
        <v>29</v>
      </c>
      <c r="V2171" t="str">
        <f>VLOOKUP($R2171,'Mapa Oficinas'!$A$7:$C$46,2,FALSE)</f>
        <v>Zona Norte (GBA)</v>
      </c>
      <c r="W2171" t="str">
        <f>VLOOKUP($R2171,'Mapa Oficinas'!$A$7:$C$46,3,FALSE)</f>
        <v>Nordelta</v>
      </c>
    </row>
    <row r="2172" spans="1:23" x14ac:dyDescent="0.2">
      <c r="A2172" s="1">
        <v>45717</v>
      </c>
      <c r="B2172" s="20">
        <f t="shared" si="66"/>
        <v>2025</v>
      </c>
      <c r="C2172" s="20">
        <f t="shared" si="67"/>
        <v>3</v>
      </c>
      <c r="D2172" t="s">
        <v>834</v>
      </c>
      <c r="E2172" s="49">
        <v>1</v>
      </c>
      <c r="F2172" t="s">
        <v>835</v>
      </c>
      <c r="G2172" t="s">
        <v>21</v>
      </c>
      <c r="H2172" t="s">
        <v>37</v>
      </c>
      <c r="I2172" s="13">
        <v>175000</v>
      </c>
      <c r="J2172" s="13">
        <v>195000</v>
      </c>
      <c r="K2172" s="13">
        <f>IF(J2172&lt;'Mapa Oficinas'!$I$21,0,IF(J2172&gt;'Mapa Oficinas'!$I$20,0,1))</f>
        <v>1</v>
      </c>
      <c r="L2172" t="s">
        <v>23</v>
      </c>
      <c r="M2172" t="s">
        <v>23</v>
      </c>
      <c r="N2172" t="s">
        <v>836</v>
      </c>
      <c r="O2172" t="s">
        <v>837</v>
      </c>
      <c r="P2172" t="s">
        <v>45</v>
      </c>
      <c r="Q2172">
        <v>2</v>
      </c>
      <c r="R2172" t="s">
        <v>110</v>
      </c>
      <c r="S2172" t="s">
        <v>200</v>
      </c>
      <c r="T2172" t="str">
        <f>VLOOKUP(S2172,'Mapa Oficinas'!$H$7:$I$16,2,FALSE)</f>
        <v>Otra Red Captación</v>
      </c>
      <c r="U2172" t="s">
        <v>29</v>
      </c>
      <c r="V2172" t="str">
        <f>VLOOKUP($R2172,'Mapa Oficinas'!$A$7:$C$46,2,FALSE)</f>
        <v>Zona Norte (GBA)</v>
      </c>
      <c r="W2172" t="str">
        <f>VLOOKUP($R2172,'Mapa Oficinas'!$A$7:$C$46,3,FALSE)</f>
        <v>Nordelta</v>
      </c>
    </row>
    <row r="2173" spans="1:23" x14ac:dyDescent="0.2">
      <c r="A2173" s="1">
        <v>45867</v>
      </c>
      <c r="B2173" s="20">
        <f t="shared" si="66"/>
        <v>2025</v>
      </c>
      <c r="C2173" s="20">
        <f t="shared" si="67"/>
        <v>7</v>
      </c>
      <c r="D2173" t="s">
        <v>3289</v>
      </c>
      <c r="E2173" s="49">
        <v>1</v>
      </c>
      <c r="F2173" t="s">
        <v>3290</v>
      </c>
      <c r="G2173" t="s">
        <v>21</v>
      </c>
      <c r="H2173" t="s">
        <v>37</v>
      </c>
      <c r="I2173" s="13">
        <v>185000</v>
      </c>
      <c r="J2173" s="13">
        <v>195000</v>
      </c>
      <c r="K2173" s="13">
        <f>IF(J2173&lt;'Mapa Oficinas'!$I$21,0,IF(J2173&gt;'Mapa Oficinas'!$I$20,0,1))</f>
        <v>1</v>
      </c>
      <c r="L2173" t="s">
        <v>23</v>
      </c>
      <c r="M2173" t="s">
        <v>23</v>
      </c>
      <c r="N2173" t="s">
        <v>3291</v>
      </c>
      <c r="O2173" t="s">
        <v>1196</v>
      </c>
      <c r="P2173" t="s">
        <v>45</v>
      </c>
      <c r="Q2173">
        <v>2</v>
      </c>
      <c r="R2173" t="s">
        <v>67</v>
      </c>
      <c r="S2173" t="s">
        <v>200</v>
      </c>
      <c r="T2173" t="str">
        <f>VLOOKUP(S2173,'Mapa Oficinas'!$H$7:$I$16,2,FALSE)</f>
        <v>Otra Red Captación</v>
      </c>
      <c r="U2173" t="s">
        <v>29</v>
      </c>
      <c r="V2173" t="str">
        <f>VLOOKUP($R2173,'Mapa Oficinas'!$A$7:$C$46,2,FALSE)</f>
        <v>CABA</v>
      </c>
      <c r="W2173" t="str">
        <f>VLOOKUP($R2173,'Mapa Oficinas'!$A$7:$C$46,3,FALSE)</f>
        <v>Barrio Parque</v>
      </c>
    </row>
    <row r="2174" spans="1:23" x14ac:dyDescent="0.2">
      <c r="A2174" s="1">
        <v>45908</v>
      </c>
      <c r="B2174" s="20">
        <f t="shared" si="66"/>
        <v>2025</v>
      </c>
      <c r="C2174" s="20">
        <f t="shared" si="67"/>
        <v>9</v>
      </c>
      <c r="D2174" t="s">
        <v>4033</v>
      </c>
      <c r="E2174" s="49">
        <v>1</v>
      </c>
      <c r="F2174" t="s">
        <v>4034</v>
      </c>
      <c r="G2174" t="s">
        <v>21</v>
      </c>
      <c r="H2174" t="s">
        <v>22</v>
      </c>
      <c r="I2174" s="13">
        <v>215000</v>
      </c>
      <c r="J2174" s="13">
        <v>195000</v>
      </c>
      <c r="K2174" s="13">
        <f>IF(J2174&lt;'Mapa Oficinas'!$I$21,0,IF(J2174&gt;'Mapa Oficinas'!$I$20,0,1))</f>
        <v>1</v>
      </c>
      <c r="L2174" t="s">
        <v>23</v>
      </c>
      <c r="M2174" t="s">
        <v>23</v>
      </c>
      <c r="N2174" t="s">
        <v>4035</v>
      </c>
      <c r="O2174" t="s">
        <v>1196</v>
      </c>
      <c r="P2174" t="s">
        <v>45</v>
      </c>
      <c r="Q2174">
        <v>2</v>
      </c>
      <c r="R2174" t="s">
        <v>823</v>
      </c>
      <c r="S2174" t="s">
        <v>200</v>
      </c>
      <c r="T2174" t="str">
        <f>VLOOKUP(S2174,'Mapa Oficinas'!$H$7:$I$16,2,FALSE)</f>
        <v>Otra Red Captación</v>
      </c>
      <c r="U2174" t="s">
        <v>29</v>
      </c>
      <c r="V2174" t="str">
        <f>VLOOKUP($R2174,'Mapa Oficinas'!$A$7:$C$46,2,FALSE)</f>
        <v>Zona Norte (GBA)</v>
      </c>
      <c r="W2174" t="str">
        <f>VLOOKUP($R2174,'Mapa Oficinas'!$A$7:$C$46,3,FALSE)</f>
        <v>Pilar</v>
      </c>
    </row>
    <row r="2175" spans="1:23" x14ac:dyDescent="0.2">
      <c r="A2175" s="1">
        <v>46036</v>
      </c>
      <c r="B2175" s="20">
        <f t="shared" si="66"/>
        <v>2026</v>
      </c>
      <c r="C2175" s="20">
        <f t="shared" si="67"/>
        <v>1</v>
      </c>
      <c r="D2175" t="s">
        <v>6238</v>
      </c>
      <c r="E2175" s="49">
        <v>1</v>
      </c>
      <c r="F2175" t="s">
        <v>6239</v>
      </c>
      <c r="G2175" t="s">
        <v>21</v>
      </c>
      <c r="H2175" t="s">
        <v>37</v>
      </c>
      <c r="I2175" s="13">
        <v>197000</v>
      </c>
      <c r="J2175" s="13">
        <v>195000</v>
      </c>
      <c r="K2175" s="13">
        <f>IF(J2175&lt;'Mapa Oficinas'!$I$21,0,IF(J2175&gt;'Mapa Oficinas'!$I$20,0,1))</f>
        <v>1</v>
      </c>
      <c r="L2175" t="s">
        <v>23</v>
      </c>
      <c r="M2175" t="s">
        <v>23</v>
      </c>
      <c r="N2175" t="s">
        <v>6240</v>
      </c>
      <c r="O2175" t="s">
        <v>50</v>
      </c>
      <c r="P2175" t="s">
        <v>45</v>
      </c>
      <c r="Q2175">
        <v>2</v>
      </c>
      <c r="R2175" t="s">
        <v>67</v>
      </c>
      <c r="S2175" t="s">
        <v>200</v>
      </c>
      <c r="T2175" t="str">
        <f>VLOOKUP(S2175,'Mapa Oficinas'!$H$7:$I$16,2,FALSE)</f>
        <v>Otra Red Captación</v>
      </c>
      <c r="U2175" t="s">
        <v>29</v>
      </c>
      <c r="V2175" t="str">
        <f>VLOOKUP($R2175,'Mapa Oficinas'!$A$7:$C$46,2,FALSE)</f>
        <v>CABA</v>
      </c>
      <c r="W2175" t="str">
        <f>VLOOKUP($R2175,'Mapa Oficinas'!$A$7:$C$46,3,FALSE)</f>
        <v>Barrio Parque</v>
      </c>
    </row>
    <row r="2176" spans="1:23" x14ac:dyDescent="0.2">
      <c r="A2176" s="1">
        <v>46044</v>
      </c>
      <c r="B2176" s="20">
        <f t="shared" si="66"/>
        <v>2026</v>
      </c>
      <c r="C2176" s="20">
        <f t="shared" si="67"/>
        <v>1</v>
      </c>
      <c r="D2176" t="s">
        <v>6375</v>
      </c>
      <c r="E2176" s="49">
        <v>1</v>
      </c>
      <c r="F2176" t="s">
        <v>6376</v>
      </c>
      <c r="G2176" t="s">
        <v>21</v>
      </c>
      <c r="H2176" t="s">
        <v>37</v>
      </c>
      <c r="I2176" s="13">
        <v>198000</v>
      </c>
      <c r="J2176" s="13">
        <v>195000</v>
      </c>
      <c r="K2176" s="13">
        <f>IF(J2176&lt;'Mapa Oficinas'!$I$21,0,IF(J2176&gt;'Mapa Oficinas'!$I$20,0,1))</f>
        <v>1</v>
      </c>
      <c r="L2176" t="s">
        <v>23</v>
      </c>
      <c r="M2176" t="s">
        <v>23</v>
      </c>
      <c r="N2176" t="s">
        <v>6377</v>
      </c>
      <c r="O2176" t="s">
        <v>66</v>
      </c>
      <c r="P2176" t="s">
        <v>61</v>
      </c>
      <c r="Q2176">
        <v>2</v>
      </c>
      <c r="R2176" t="s">
        <v>135</v>
      </c>
      <c r="S2176" t="s">
        <v>200</v>
      </c>
      <c r="T2176" t="str">
        <f>VLOOKUP(S2176,'Mapa Oficinas'!$H$7:$I$16,2,FALSE)</f>
        <v>Otra Red Captación</v>
      </c>
      <c r="U2176" t="s">
        <v>29</v>
      </c>
      <c r="V2176" t="str">
        <f>VLOOKUP($R2176,'Mapa Oficinas'!$A$7:$C$46,2,FALSE)</f>
        <v>CABA</v>
      </c>
      <c r="W2176" t="str">
        <f>VLOOKUP($R2176,'Mapa Oficinas'!$A$7:$C$46,3,FALSE)</f>
        <v>Recoleta</v>
      </c>
    </row>
    <row r="2177" spans="1:23" x14ac:dyDescent="0.2">
      <c r="A2177" s="1">
        <v>45933</v>
      </c>
      <c r="B2177" s="20">
        <f t="shared" si="66"/>
        <v>2025</v>
      </c>
      <c r="C2177" s="20">
        <f t="shared" si="67"/>
        <v>10</v>
      </c>
      <c r="D2177" t="s">
        <v>4487</v>
      </c>
      <c r="E2177" s="49">
        <v>1</v>
      </c>
      <c r="F2177" t="s">
        <v>4488</v>
      </c>
      <c r="G2177" t="s">
        <v>21</v>
      </c>
      <c r="H2177" t="s">
        <v>22</v>
      </c>
      <c r="I2177" s="13">
        <v>194900</v>
      </c>
      <c r="J2177" s="13">
        <v>195000</v>
      </c>
      <c r="K2177" s="13">
        <f>IF(J2177&lt;'Mapa Oficinas'!$I$21,0,IF(J2177&gt;'Mapa Oficinas'!$I$20,0,1))</f>
        <v>1</v>
      </c>
      <c r="L2177" t="s">
        <v>23</v>
      </c>
      <c r="M2177" t="s">
        <v>23</v>
      </c>
      <c r="N2177" t="s">
        <v>4489</v>
      </c>
      <c r="O2177" t="s">
        <v>914</v>
      </c>
      <c r="P2177" t="s">
        <v>45</v>
      </c>
      <c r="Q2177">
        <v>2</v>
      </c>
      <c r="R2177" t="s">
        <v>62</v>
      </c>
      <c r="S2177" t="s">
        <v>28</v>
      </c>
      <c r="T2177" t="str">
        <f>VLOOKUP(S2177,'Mapa Oficinas'!$H$7:$I$16,2,FALSE)</f>
        <v>CB</v>
      </c>
      <c r="U2177" t="s">
        <v>29</v>
      </c>
      <c r="V2177" t="str">
        <f>VLOOKUP($R2177,'Mapa Oficinas'!$A$7:$C$46,2,FALSE)</f>
        <v>CABA</v>
      </c>
      <c r="W2177" t="str">
        <f>VLOOKUP($R2177,'Mapa Oficinas'!$A$7:$C$46,3,FALSE)</f>
        <v>Villa Urquiza</v>
      </c>
    </row>
    <row r="2178" spans="1:23" x14ac:dyDescent="0.2">
      <c r="A2178" s="1">
        <v>45937</v>
      </c>
      <c r="B2178" s="20">
        <f t="shared" ref="B2178:B2241" si="68">YEAR($A2178)</f>
        <v>2025</v>
      </c>
      <c r="C2178" s="20">
        <f t="shared" ref="C2178:C2241" si="69">MONTH($A2178)</f>
        <v>10</v>
      </c>
      <c r="D2178" t="s">
        <v>4556</v>
      </c>
      <c r="E2178" s="49">
        <v>1</v>
      </c>
      <c r="F2178" t="s">
        <v>4557</v>
      </c>
      <c r="G2178" t="s">
        <v>21</v>
      </c>
      <c r="H2178" t="s">
        <v>22</v>
      </c>
      <c r="I2178" s="13">
        <v>229000</v>
      </c>
      <c r="J2178" s="13">
        <v>195000</v>
      </c>
      <c r="K2178" s="13">
        <f>IF(J2178&lt;'Mapa Oficinas'!$I$21,0,IF(J2178&gt;'Mapa Oficinas'!$I$20,0,1))</f>
        <v>1</v>
      </c>
      <c r="L2178" t="s">
        <v>23</v>
      </c>
      <c r="M2178" t="s">
        <v>23</v>
      </c>
      <c r="N2178" t="s">
        <v>4558</v>
      </c>
      <c r="O2178" t="s">
        <v>390</v>
      </c>
      <c r="P2178" t="s">
        <v>45</v>
      </c>
      <c r="Q2178">
        <v>2</v>
      </c>
      <c r="R2178" t="s">
        <v>62</v>
      </c>
      <c r="S2178" t="s">
        <v>28</v>
      </c>
      <c r="T2178" t="str">
        <f>VLOOKUP(S2178,'Mapa Oficinas'!$H$7:$I$16,2,FALSE)</f>
        <v>CB</v>
      </c>
      <c r="U2178" t="s">
        <v>29</v>
      </c>
      <c r="V2178" t="str">
        <f>VLOOKUP($R2178,'Mapa Oficinas'!$A$7:$C$46,2,FALSE)</f>
        <v>CABA</v>
      </c>
      <c r="W2178" t="str">
        <f>VLOOKUP($R2178,'Mapa Oficinas'!$A$7:$C$46,3,FALSE)</f>
        <v>Villa Urquiza</v>
      </c>
    </row>
    <row r="2179" spans="1:23" x14ac:dyDescent="0.2">
      <c r="A2179" s="1">
        <v>45990</v>
      </c>
      <c r="B2179" s="20">
        <f t="shared" si="68"/>
        <v>2025</v>
      </c>
      <c r="C2179" s="20">
        <f t="shared" si="69"/>
        <v>11</v>
      </c>
      <c r="D2179" t="s">
        <v>5439</v>
      </c>
      <c r="E2179" s="49">
        <v>1</v>
      </c>
      <c r="F2179" t="s">
        <v>5440</v>
      </c>
      <c r="G2179" t="s">
        <v>21</v>
      </c>
      <c r="H2179" t="s">
        <v>37</v>
      </c>
      <c r="I2179" s="13">
        <v>195000</v>
      </c>
      <c r="J2179" s="13">
        <v>195000</v>
      </c>
      <c r="K2179" s="13">
        <f>IF(J2179&lt;'Mapa Oficinas'!$I$21,0,IF(J2179&gt;'Mapa Oficinas'!$I$20,0,1))</f>
        <v>1</v>
      </c>
      <c r="L2179" t="s">
        <v>23</v>
      </c>
      <c r="M2179" t="s">
        <v>23</v>
      </c>
      <c r="N2179" t="s">
        <v>5441</v>
      </c>
      <c r="O2179" t="s">
        <v>50</v>
      </c>
      <c r="P2179" t="s">
        <v>45</v>
      </c>
      <c r="Q2179">
        <v>2</v>
      </c>
      <c r="R2179" t="s">
        <v>321</v>
      </c>
      <c r="S2179" t="s">
        <v>28</v>
      </c>
      <c r="T2179" t="str">
        <f>VLOOKUP(S2179,'Mapa Oficinas'!$H$7:$I$16,2,FALSE)</f>
        <v>CB</v>
      </c>
      <c r="U2179" t="s">
        <v>29</v>
      </c>
      <c r="V2179" t="str">
        <f>VLOOKUP($R2179,'Mapa Oficinas'!$A$7:$C$46,2,FALSE)</f>
        <v>CABA</v>
      </c>
      <c r="W2179" t="str">
        <f>VLOOKUP($R2179,'Mapa Oficinas'!$A$7:$C$46,3,FALSE)</f>
        <v>Palermo</v>
      </c>
    </row>
    <row r="2180" spans="1:23" x14ac:dyDescent="0.2">
      <c r="A2180" s="1">
        <v>45992</v>
      </c>
      <c r="B2180" s="20">
        <f t="shared" si="68"/>
        <v>2025</v>
      </c>
      <c r="C2180" s="20">
        <f t="shared" si="69"/>
        <v>12</v>
      </c>
      <c r="D2180" t="s">
        <v>5568</v>
      </c>
      <c r="E2180" s="49">
        <v>1</v>
      </c>
      <c r="F2180" t="s">
        <v>5569</v>
      </c>
      <c r="G2180" t="s">
        <v>21</v>
      </c>
      <c r="H2180" t="s">
        <v>37</v>
      </c>
      <c r="I2180" s="13">
        <v>220000</v>
      </c>
      <c r="J2180" s="13">
        <v>195000</v>
      </c>
      <c r="K2180" s="13">
        <f>IF(J2180&lt;'Mapa Oficinas'!$I$21,0,IF(J2180&gt;'Mapa Oficinas'!$I$20,0,1))</f>
        <v>1</v>
      </c>
      <c r="L2180" t="s">
        <v>23</v>
      </c>
      <c r="M2180" t="s">
        <v>23</v>
      </c>
      <c r="N2180" t="s">
        <v>5570</v>
      </c>
      <c r="O2180" t="s">
        <v>150</v>
      </c>
      <c r="P2180" t="s">
        <v>34</v>
      </c>
      <c r="Q2180">
        <v>2</v>
      </c>
      <c r="R2180" t="s">
        <v>151</v>
      </c>
      <c r="S2180" t="s">
        <v>28</v>
      </c>
      <c r="T2180" t="str">
        <f>VLOOKUP(S2180,'Mapa Oficinas'!$H$7:$I$16,2,FALSE)</f>
        <v>CB</v>
      </c>
      <c r="U2180" t="s">
        <v>29</v>
      </c>
      <c r="V2180" t="str">
        <f>VLOOKUP($R2180,'Mapa Oficinas'!$A$7:$C$46,2,FALSE)</f>
        <v>Interior - Mendoza</v>
      </c>
      <c r="W2180" t="str">
        <f>VLOOKUP($R2180,'Mapa Oficinas'!$A$7:$C$46,3,FALSE)</f>
        <v>Capital Mendoza</v>
      </c>
    </row>
    <row r="2181" spans="1:23" x14ac:dyDescent="0.2">
      <c r="A2181" s="1">
        <v>46037</v>
      </c>
      <c r="B2181" s="20">
        <f t="shared" si="68"/>
        <v>2026</v>
      </c>
      <c r="C2181" s="20">
        <f t="shared" si="69"/>
        <v>1</v>
      </c>
      <c r="D2181" t="s">
        <v>6261</v>
      </c>
      <c r="E2181" s="49">
        <v>1</v>
      </c>
      <c r="F2181" t="s">
        <v>6262</v>
      </c>
      <c r="G2181" t="s">
        <v>21</v>
      </c>
      <c r="H2181" t="s">
        <v>22</v>
      </c>
      <c r="I2181" s="13">
        <v>198000</v>
      </c>
      <c r="J2181" s="13">
        <v>195000</v>
      </c>
      <c r="K2181" s="13">
        <f>IF(J2181&lt;'Mapa Oficinas'!$I$21,0,IF(J2181&gt;'Mapa Oficinas'!$I$20,0,1))</f>
        <v>1</v>
      </c>
      <c r="L2181" t="s">
        <v>23</v>
      </c>
      <c r="M2181" t="s">
        <v>23</v>
      </c>
      <c r="N2181" t="s">
        <v>5217</v>
      </c>
      <c r="O2181" t="s">
        <v>1785</v>
      </c>
      <c r="P2181" t="s">
        <v>34</v>
      </c>
      <c r="Q2181">
        <v>2</v>
      </c>
      <c r="R2181" t="s">
        <v>257</v>
      </c>
      <c r="S2181" t="s">
        <v>28</v>
      </c>
      <c r="T2181" t="str">
        <f>VLOOKUP(S2181,'Mapa Oficinas'!$H$7:$I$16,2,FALSE)</f>
        <v>CB</v>
      </c>
      <c r="U2181" t="s">
        <v>29</v>
      </c>
      <c r="V2181" t="str">
        <f>VLOOKUP($R2181,'Mapa Oficinas'!$A$7:$C$46,2,FALSE)</f>
        <v>Zona Norte (GBA)</v>
      </c>
      <c r="W2181" t="str">
        <f>VLOOKUP($R2181,'Mapa Oficinas'!$A$7:$C$46,3,FALSE)</f>
        <v>Pilar</v>
      </c>
    </row>
    <row r="2182" spans="1:23" x14ac:dyDescent="0.2">
      <c r="A2182" s="1">
        <v>46080</v>
      </c>
      <c r="B2182" s="20">
        <f t="shared" si="68"/>
        <v>2026</v>
      </c>
      <c r="C2182" s="20">
        <f t="shared" si="69"/>
        <v>2</v>
      </c>
      <c r="D2182" t="s">
        <v>6919</v>
      </c>
      <c r="E2182" s="49">
        <v>1</v>
      </c>
      <c r="F2182" t="s">
        <v>6920</v>
      </c>
      <c r="G2182" t="s">
        <v>21</v>
      </c>
      <c r="H2182" t="s">
        <v>37</v>
      </c>
      <c r="I2182" s="13">
        <v>220000</v>
      </c>
      <c r="J2182" s="13">
        <v>195000</v>
      </c>
      <c r="K2182" s="13">
        <f>IF(J2182&lt;'Mapa Oficinas'!$I$21,0,IF(J2182&gt;'Mapa Oficinas'!$I$20,0,1))</f>
        <v>1</v>
      </c>
      <c r="L2182" t="s">
        <v>23</v>
      </c>
      <c r="M2182" t="s">
        <v>23</v>
      </c>
      <c r="N2182" t="s">
        <v>6921</v>
      </c>
      <c r="O2182" t="s">
        <v>390</v>
      </c>
      <c r="P2182" t="s">
        <v>61</v>
      </c>
      <c r="Q2182">
        <v>2</v>
      </c>
      <c r="R2182" t="s">
        <v>67</v>
      </c>
      <c r="S2182" t="s">
        <v>28</v>
      </c>
      <c r="T2182" t="str">
        <f>VLOOKUP(S2182,'Mapa Oficinas'!$H$7:$I$16,2,FALSE)</f>
        <v>CB</v>
      </c>
      <c r="U2182" t="s">
        <v>29</v>
      </c>
      <c r="V2182" t="str">
        <f>VLOOKUP($R2182,'Mapa Oficinas'!$A$7:$C$46,2,FALSE)</f>
        <v>CABA</v>
      </c>
      <c r="W2182" t="str">
        <f>VLOOKUP($R2182,'Mapa Oficinas'!$A$7:$C$46,3,FALSE)</f>
        <v>Barrio Parque</v>
      </c>
    </row>
    <row r="2183" spans="1:23" x14ac:dyDescent="0.2">
      <c r="A2183" s="1">
        <v>46088</v>
      </c>
      <c r="B2183" s="20">
        <f t="shared" si="68"/>
        <v>2026</v>
      </c>
      <c r="C2183" s="20">
        <f t="shared" si="69"/>
        <v>3</v>
      </c>
      <c r="D2183" t="s">
        <v>7020</v>
      </c>
      <c r="E2183" s="49">
        <v>1</v>
      </c>
      <c r="F2183" t="s">
        <v>7021</v>
      </c>
      <c r="G2183" t="s">
        <v>21</v>
      </c>
      <c r="H2183" t="s">
        <v>37</v>
      </c>
      <c r="I2183" s="13">
        <v>199900</v>
      </c>
      <c r="J2183" s="13">
        <v>195000</v>
      </c>
      <c r="K2183" s="13">
        <f>IF(J2183&lt;'Mapa Oficinas'!$I$21,0,IF(J2183&gt;'Mapa Oficinas'!$I$20,0,1))</f>
        <v>1</v>
      </c>
      <c r="L2183" t="s">
        <v>23</v>
      </c>
      <c r="M2183" t="s">
        <v>23</v>
      </c>
      <c r="N2183" t="s">
        <v>7022</v>
      </c>
      <c r="O2183" t="s">
        <v>7023</v>
      </c>
      <c r="P2183" t="s">
        <v>34</v>
      </c>
      <c r="Q2183">
        <v>2</v>
      </c>
      <c r="R2183" t="s">
        <v>429</v>
      </c>
      <c r="S2183" t="s">
        <v>28</v>
      </c>
      <c r="T2183" t="str">
        <f>VLOOKUP(S2183,'Mapa Oficinas'!$H$7:$I$16,2,FALSE)</f>
        <v>CB</v>
      </c>
      <c r="U2183" t="s">
        <v>29</v>
      </c>
      <c r="V2183" t="str">
        <f>VLOOKUP($R2183,'Mapa Oficinas'!$A$7:$C$46,2,FALSE)</f>
        <v>Zona Oeste (GBA)</v>
      </c>
      <c r="W2183" t="str">
        <f>VLOOKUP($R2183,'Mapa Oficinas'!$A$7:$C$46,3,FALSE)</f>
        <v>Parque Leloir</v>
      </c>
    </row>
    <row r="2184" spans="1:23" x14ac:dyDescent="0.2">
      <c r="A2184" s="1">
        <v>45726</v>
      </c>
      <c r="B2184" s="20">
        <f t="shared" si="68"/>
        <v>2025</v>
      </c>
      <c r="C2184" s="20">
        <f t="shared" si="69"/>
        <v>3</v>
      </c>
      <c r="D2184" t="s">
        <v>888</v>
      </c>
      <c r="E2184" s="49">
        <v>1</v>
      </c>
      <c r="F2184" t="s">
        <v>889</v>
      </c>
      <c r="G2184" t="s">
        <v>21</v>
      </c>
      <c r="H2184" t="s">
        <v>37</v>
      </c>
      <c r="I2184" s="13">
        <v>290000</v>
      </c>
      <c r="J2184" s="13">
        <v>195100</v>
      </c>
      <c r="K2184" s="13">
        <f>IF(J2184&lt;'Mapa Oficinas'!$I$21,0,IF(J2184&gt;'Mapa Oficinas'!$I$20,0,1))</f>
        <v>1</v>
      </c>
      <c r="L2184" t="s">
        <v>23</v>
      </c>
      <c r="M2184" t="s">
        <v>23</v>
      </c>
      <c r="N2184" t="s">
        <v>889</v>
      </c>
      <c r="O2184" t="s">
        <v>890</v>
      </c>
      <c r="P2184" t="s">
        <v>34</v>
      </c>
      <c r="Q2184">
        <v>2</v>
      </c>
      <c r="R2184" t="s">
        <v>110</v>
      </c>
      <c r="S2184" t="s">
        <v>79</v>
      </c>
      <c r="T2184" t="str">
        <f>VLOOKUP(S2184,'Mapa Oficinas'!$H$7:$I$16,2,FALSE)</f>
        <v>CB</v>
      </c>
      <c r="U2184" t="s">
        <v>29</v>
      </c>
      <c r="V2184" t="str">
        <f>VLOOKUP($R2184,'Mapa Oficinas'!$A$7:$C$46,2,FALSE)</f>
        <v>Zona Norte (GBA)</v>
      </c>
      <c r="W2184" t="str">
        <f>VLOOKUP($R2184,'Mapa Oficinas'!$A$7:$C$46,3,FALSE)</f>
        <v>Nordelta</v>
      </c>
    </row>
    <row r="2185" spans="1:23" x14ac:dyDescent="0.2">
      <c r="A2185" s="1">
        <v>45677</v>
      </c>
      <c r="B2185" s="20">
        <f t="shared" si="68"/>
        <v>2025</v>
      </c>
      <c r="C2185" s="20">
        <f t="shared" si="69"/>
        <v>1</v>
      </c>
      <c r="D2185" t="s">
        <v>300</v>
      </c>
      <c r="E2185" s="49">
        <v>1</v>
      </c>
      <c r="F2185" t="s">
        <v>301</v>
      </c>
      <c r="G2185" t="s">
        <v>21</v>
      </c>
      <c r="H2185" t="s">
        <v>37</v>
      </c>
      <c r="I2185" s="13">
        <v>196000</v>
      </c>
      <c r="J2185" s="13">
        <v>196000</v>
      </c>
      <c r="K2185" s="13">
        <f>IF(J2185&lt;'Mapa Oficinas'!$I$21,0,IF(J2185&gt;'Mapa Oficinas'!$I$20,0,1))</f>
        <v>1</v>
      </c>
      <c r="L2185" t="s">
        <v>23</v>
      </c>
      <c r="M2185" t="s">
        <v>23</v>
      </c>
      <c r="N2185" t="s">
        <v>302</v>
      </c>
      <c r="O2185" t="s">
        <v>303</v>
      </c>
      <c r="P2185" t="s">
        <v>61</v>
      </c>
      <c r="Q2185">
        <v>2</v>
      </c>
      <c r="R2185" t="s">
        <v>183</v>
      </c>
      <c r="S2185" t="s">
        <v>28</v>
      </c>
      <c r="T2185" t="str">
        <f>VLOOKUP(S2185,'Mapa Oficinas'!$H$7:$I$16,2,FALSE)</f>
        <v>CB</v>
      </c>
      <c r="U2185" t="s">
        <v>29</v>
      </c>
      <c r="V2185" t="str">
        <f>VLOOKUP($R2185,'Mapa Oficinas'!$A$7:$C$46,2,FALSE)</f>
        <v>Interior - Neuquén</v>
      </c>
      <c r="W2185" t="str">
        <f>VLOOKUP($R2185,'Mapa Oficinas'!$A$7:$C$46,3,FALSE)</f>
        <v>Capital Neuquén</v>
      </c>
    </row>
    <row r="2186" spans="1:23" x14ac:dyDescent="0.2">
      <c r="A2186" s="1">
        <v>45770</v>
      </c>
      <c r="B2186" s="20">
        <f t="shared" si="68"/>
        <v>2025</v>
      </c>
      <c r="C2186" s="20">
        <f t="shared" si="69"/>
        <v>4</v>
      </c>
      <c r="D2186" t="s">
        <v>1583</v>
      </c>
      <c r="E2186" s="49">
        <v>1</v>
      </c>
      <c r="F2186" t="s">
        <v>1584</v>
      </c>
      <c r="G2186" t="s">
        <v>21</v>
      </c>
      <c r="H2186" t="s">
        <v>37</v>
      </c>
      <c r="I2186" s="13">
        <v>210000</v>
      </c>
      <c r="J2186" s="13">
        <v>197000</v>
      </c>
      <c r="K2186" s="13">
        <f>IF(J2186&lt;'Mapa Oficinas'!$I$21,0,IF(J2186&gt;'Mapa Oficinas'!$I$20,0,1))</f>
        <v>1</v>
      </c>
      <c r="L2186" t="s">
        <v>23</v>
      </c>
      <c r="M2186" t="s">
        <v>23</v>
      </c>
      <c r="N2186" t="s">
        <v>1585</v>
      </c>
      <c r="O2186" t="s">
        <v>1010</v>
      </c>
      <c r="P2186" t="s">
        <v>45</v>
      </c>
      <c r="Q2186">
        <v>2</v>
      </c>
      <c r="R2186" t="s">
        <v>523</v>
      </c>
      <c r="S2186" t="s">
        <v>28</v>
      </c>
      <c r="T2186" t="str">
        <f>VLOOKUP(S2186,'Mapa Oficinas'!$H$7:$I$16,2,FALSE)</f>
        <v>CB</v>
      </c>
      <c r="U2186" t="s">
        <v>29</v>
      </c>
      <c r="V2186" t="str">
        <f>VLOOKUP($R2186,'Mapa Oficinas'!$A$7:$C$46,2,FALSE)</f>
        <v>CABA</v>
      </c>
      <c r="W2186" t="str">
        <f>VLOOKUP($R2186,'Mapa Oficinas'!$A$7:$C$46,3,FALSE)</f>
        <v>Belgrano</v>
      </c>
    </row>
    <row r="2187" spans="1:23" x14ac:dyDescent="0.2">
      <c r="A2187" s="1">
        <v>45939</v>
      </c>
      <c r="B2187" s="20">
        <f t="shared" si="68"/>
        <v>2025</v>
      </c>
      <c r="C2187" s="20">
        <f t="shared" si="69"/>
        <v>10</v>
      </c>
      <c r="D2187" t="s">
        <v>4626</v>
      </c>
      <c r="E2187" s="49">
        <v>1</v>
      </c>
      <c r="F2187" t="s">
        <v>4627</v>
      </c>
      <c r="G2187" t="s">
        <v>21</v>
      </c>
      <c r="H2187" t="s">
        <v>22</v>
      </c>
      <c r="I2187" s="13">
        <v>182600</v>
      </c>
      <c r="J2187" s="13">
        <v>197800</v>
      </c>
      <c r="K2187" s="13">
        <f>IF(J2187&lt;'Mapa Oficinas'!$I$21,0,IF(J2187&gt;'Mapa Oficinas'!$I$20,0,1))</f>
        <v>1</v>
      </c>
      <c r="L2187" t="s">
        <v>23</v>
      </c>
      <c r="M2187" t="s">
        <v>23</v>
      </c>
      <c r="N2187" t="s">
        <v>3933</v>
      </c>
      <c r="O2187" t="s">
        <v>384</v>
      </c>
      <c r="P2187" t="s">
        <v>45</v>
      </c>
      <c r="Q2187">
        <v>2</v>
      </c>
      <c r="R2187" t="s">
        <v>62</v>
      </c>
      <c r="S2187" t="s">
        <v>28</v>
      </c>
      <c r="T2187" t="str">
        <f>VLOOKUP(S2187,'Mapa Oficinas'!$H$7:$I$16,2,FALSE)</f>
        <v>CB</v>
      </c>
      <c r="U2187" t="s">
        <v>29</v>
      </c>
      <c r="V2187" t="str">
        <f>VLOOKUP($R2187,'Mapa Oficinas'!$A$7:$C$46,2,FALSE)</f>
        <v>CABA</v>
      </c>
      <c r="W2187" t="str">
        <f>VLOOKUP($R2187,'Mapa Oficinas'!$A$7:$C$46,3,FALSE)</f>
        <v>Villa Urquiza</v>
      </c>
    </row>
    <row r="2188" spans="1:23" x14ac:dyDescent="0.2">
      <c r="A2188" s="1">
        <v>45988</v>
      </c>
      <c r="B2188" s="20">
        <f t="shared" si="68"/>
        <v>2025</v>
      </c>
      <c r="C2188" s="20">
        <f t="shared" si="69"/>
        <v>11</v>
      </c>
      <c r="D2188" t="s">
        <v>5401</v>
      </c>
      <c r="E2188" s="49">
        <v>1</v>
      </c>
      <c r="F2188" t="s">
        <v>5402</v>
      </c>
      <c r="G2188" t="s">
        <v>21</v>
      </c>
      <c r="H2188" t="s">
        <v>37</v>
      </c>
      <c r="I2188" s="13">
        <v>200000</v>
      </c>
      <c r="J2188" s="13">
        <v>198000</v>
      </c>
      <c r="K2188" s="13">
        <f>IF(J2188&lt;'Mapa Oficinas'!$I$21,0,IF(J2188&gt;'Mapa Oficinas'!$I$20,0,1))</f>
        <v>1</v>
      </c>
      <c r="L2188" t="s">
        <v>23</v>
      </c>
      <c r="M2188" t="s">
        <v>23</v>
      </c>
      <c r="N2188" t="s">
        <v>5403</v>
      </c>
      <c r="O2188" t="s">
        <v>1196</v>
      </c>
      <c r="P2188" t="s">
        <v>34</v>
      </c>
      <c r="Q2188">
        <v>2</v>
      </c>
      <c r="R2188" t="s">
        <v>67</v>
      </c>
      <c r="S2188" t="s">
        <v>200</v>
      </c>
      <c r="T2188" t="str">
        <f>VLOOKUP(S2188,'Mapa Oficinas'!$H$7:$I$16,2,FALSE)</f>
        <v>Otra Red Captación</v>
      </c>
      <c r="U2188" t="s">
        <v>29</v>
      </c>
      <c r="V2188" t="str">
        <f>VLOOKUP($R2188,'Mapa Oficinas'!$A$7:$C$46,2,FALSE)</f>
        <v>CABA</v>
      </c>
      <c r="W2188" t="str">
        <f>VLOOKUP($R2188,'Mapa Oficinas'!$A$7:$C$46,3,FALSE)</f>
        <v>Barrio Parque</v>
      </c>
    </row>
    <row r="2189" spans="1:23" x14ac:dyDescent="0.2">
      <c r="A2189" s="1">
        <v>45747</v>
      </c>
      <c r="B2189" s="20">
        <f t="shared" si="68"/>
        <v>2025</v>
      </c>
      <c r="C2189" s="20">
        <f t="shared" si="69"/>
        <v>3</v>
      </c>
      <c r="D2189" t="s">
        <v>1213</v>
      </c>
      <c r="E2189" s="49">
        <v>1</v>
      </c>
      <c r="F2189" t="s">
        <v>1214</v>
      </c>
      <c r="G2189" t="s">
        <v>21</v>
      </c>
      <c r="H2189" t="s">
        <v>37</v>
      </c>
      <c r="I2189" s="13">
        <v>229000</v>
      </c>
      <c r="J2189" s="13">
        <v>199000</v>
      </c>
      <c r="K2189" s="13">
        <f>IF(J2189&lt;'Mapa Oficinas'!$I$21,0,IF(J2189&gt;'Mapa Oficinas'!$I$20,0,1))</f>
        <v>1</v>
      </c>
      <c r="L2189" t="s">
        <v>23</v>
      </c>
      <c r="M2189" t="s">
        <v>23</v>
      </c>
      <c r="N2189" t="s">
        <v>1215</v>
      </c>
      <c r="O2189" t="s">
        <v>141</v>
      </c>
      <c r="P2189" t="s">
        <v>45</v>
      </c>
      <c r="Q2189">
        <v>2</v>
      </c>
      <c r="R2189" t="s">
        <v>46</v>
      </c>
      <c r="S2189" t="s">
        <v>28</v>
      </c>
      <c r="T2189" t="str">
        <f>VLOOKUP(S2189,'Mapa Oficinas'!$H$7:$I$16,2,FALSE)</f>
        <v>CB</v>
      </c>
      <c r="U2189" t="s">
        <v>29</v>
      </c>
      <c r="V2189" t="str">
        <f>VLOOKUP($R2189,'Mapa Oficinas'!$A$7:$C$46,2,FALSE)</f>
        <v>CABA</v>
      </c>
      <c r="W2189" t="str">
        <f>VLOOKUP($R2189,'Mapa Oficinas'!$A$7:$C$46,3,FALSE)</f>
        <v>Palermo</v>
      </c>
    </row>
    <row r="2190" spans="1:23" x14ac:dyDescent="0.2">
      <c r="A2190" s="1">
        <v>46091</v>
      </c>
      <c r="B2190" s="20">
        <f t="shared" si="68"/>
        <v>2026</v>
      </c>
      <c r="C2190" s="20">
        <f t="shared" si="69"/>
        <v>3</v>
      </c>
      <c r="D2190" t="s">
        <v>7076</v>
      </c>
      <c r="E2190" s="49">
        <v>1</v>
      </c>
      <c r="F2190" t="s">
        <v>7077</v>
      </c>
      <c r="G2190" t="s">
        <v>21</v>
      </c>
      <c r="H2190" t="s">
        <v>37</v>
      </c>
      <c r="I2190" s="13">
        <v>199000</v>
      </c>
      <c r="J2190" s="13">
        <v>199000</v>
      </c>
      <c r="K2190" s="13">
        <f>IF(J2190&lt;'Mapa Oficinas'!$I$21,0,IF(J2190&gt;'Mapa Oficinas'!$I$20,0,1))</f>
        <v>1</v>
      </c>
      <c r="L2190" t="s">
        <v>23</v>
      </c>
      <c r="M2190" t="s">
        <v>23</v>
      </c>
      <c r="N2190" t="s">
        <v>7078</v>
      </c>
      <c r="O2190" t="s">
        <v>162</v>
      </c>
      <c r="P2190" t="s">
        <v>61</v>
      </c>
      <c r="Q2190">
        <v>2</v>
      </c>
      <c r="R2190" t="s">
        <v>135</v>
      </c>
      <c r="S2190" t="s">
        <v>28</v>
      </c>
      <c r="T2190" t="str">
        <f>VLOOKUP(S2190,'Mapa Oficinas'!$H$7:$I$16,2,FALSE)</f>
        <v>CB</v>
      </c>
      <c r="U2190" t="s">
        <v>29</v>
      </c>
      <c r="V2190" t="str">
        <f>VLOOKUP($R2190,'Mapa Oficinas'!$A$7:$C$46,2,FALSE)</f>
        <v>CABA</v>
      </c>
      <c r="W2190" t="str">
        <f>VLOOKUP($R2190,'Mapa Oficinas'!$A$7:$C$46,3,FALSE)</f>
        <v>Recoleta</v>
      </c>
    </row>
    <row r="2191" spans="1:23" x14ac:dyDescent="0.2">
      <c r="A2191" s="1">
        <v>45946</v>
      </c>
      <c r="B2191" s="20">
        <f t="shared" si="68"/>
        <v>2025</v>
      </c>
      <c r="C2191" s="20">
        <f t="shared" si="69"/>
        <v>10</v>
      </c>
      <c r="D2191" t="s">
        <v>4742</v>
      </c>
      <c r="E2191" s="49">
        <v>1</v>
      </c>
      <c r="F2191" t="s">
        <v>4743</v>
      </c>
      <c r="G2191" t="s">
        <v>21</v>
      </c>
      <c r="H2191" t="s">
        <v>22</v>
      </c>
      <c r="I2191" s="13">
        <v>200000</v>
      </c>
      <c r="J2191" s="13">
        <v>200000</v>
      </c>
      <c r="K2191" s="13">
        <f>IF(J2191&lt;'Mapa Oficinas'!$I$21,0,IF(J2191&gt;'Mapa Oficinas'!$I$20,0,1))</f>
        <v>1</v>
      </c>
      <c r="L2191" t="s">
        <v>23</v>
      </c>
      <c r="M2191" t="s">
        <v>23</v>
      </c>
      <c r="N2191" t="s">
        <v>4744</v>
      </c>
      <c r="O2191" t="s">
        <v>66</v>
      </c>
      <c r="P2191" t="s">
        <v>45</v>
      </c>
      <c r="Q2191">
        <v>2</v>
      </c>
      <c r="R2191" t="s">
        <v>110</v>
      </c>
      <c r="S2191" t="s">
        <v>79</v>
      </c>
      <c r="T2191" t="str">
        <f>VLOOKUP(S2191,'Mapa Oficinas'!$H$7:$I$16,2,FALSE)</f>
        <v>CB</v>
      </c>
      <c r="U2191" t="s">
        <v>29</v>
      </c>
      <c r="V2191" t="str">
        <f>VLOOKUP($R2191,'Mapa Oficinas'!$A$7:$C$46,2,FALSE)</f>
        <v>Zona Norte (GBA)</v>
      </c>
      <c r="W2191" t="str">
        <f>VLOOKUP($R2191,'Mapa Oficinas'!$A$7:$C$46,3,FALSE)</f>
        <v>Nordelta</v>
      </c>
    </row>
    <row r="2192" spans="1:23" x14ac:dyDescent="0.2">
      <c r="A2192" s="1">
        <v>45979</v>
      </c>
      <c r="B2192" s="20">
        <f t="shared" si="68"/>
        <v>2025</v>
      </c>
      <c r="C2192" s="20">
        <f t="shared" si="69"/>
        <v>11</v>
      </c>
      <c r="D2192" t="s">
        <v>5297</v>
      </c>
      <c r="E2192" s="49">
        <v>1</v>
      </c>
      <c r="F2192" t="s">
        <v>5298</v>
      </c>
      <c r="G2192" t="s">
        <v>21</v>
      </c>
      <c r="H2192" t="s">
        <v>37</v>
      </c>
      <c r="I2192" s="13">
        <v>260000</v>
      </c>
      <c r="J2192" s="13">
        <v>200000</v>
      </c>
      <c r="K2192" s="13">
        <f>IF(J2192&lt;'Mapa Oficinas'!$I$21,0,IF(J2192&gt;'Mapa Oficinas'!$I$20,0,1))</f>
        <v>1</v>
      </c>
      <c r="L2192" t="s">
        <v>23</v>
      </c>
      <c r="M2192" t="s">
        <v>23</v>
      </c>
      <c r="N2192" t="s">
        <v>5298</v>
      </c>
      <c r="O2192" t="s">
        <v>621</v>
      </c>
      <c r="P2192" t="s">
        <v>34</v>
      </c>
      <c r="Q2192">
        <v>2</v>
      </c>
      <c r="R2192" t="s">
        <v>110</v>
      </c>
      <c r="S2192" t="s">
        <v>79</v>
      </c>
      <c r="T2192" t="str">
        <f>VLOOKUP(S2192,'Mapa Oficinas'!$H$7:$I$16,2,FALSE)</f>
        <v>CB</v>
      </c>
      <c r="U2192" t="s">
        <v>29</v>
      </c>
      <c r="V2192" t="str">
        <f>VLOOKUP($R2192,'Mapa Oficinas'!$A$7:$C$46,2,FALSE)</f>
        <v>Zona Norte (GBA)</v>
      </c>
      <c r="W2192" t="str">
        <f>VLOOKUP($R2192,'Mapa Oficinas'!$A$7:$C$46,3,FALSE)</f>
        <v>Nordelta</v>
      </c>
    </row>
    <row r="2193" spans="1:23" x14ac:dyDescent="0.2">
      <c r="A2193" s="1">
        <v>46057</v>
      </c>
      <c r="B2193" s="20">
        <f t="shared" si="68"/>
        <v>2026</v>
      </c>
      <c r="C2193" s="20">
        <f t="shared" si="69"/>
        <v>2</v>
      </c>
      <c r="D2193" t="s">
        <v>6533</v>
      </c>
      <c r="E2193" s="49">
        <v>1</v>
      </c>
      <c r="F2193" t="s">
        <v>6534</v>
      </c>
      <c r="G2193" t="s">
        <v>21</v>
      </c>
      <c r="H2193" t="s">
        <v>37</v>
      </c>
      <c r="I2193" s="13">
        <v>210000</v>
      </c>
      <c r="J2193" s="13">
        <v>200000</v>
      </c>
      <c r="K2193" s="13">
        <f>IF(J2193&lt;'Mapa Oficinas'!$I$21,0,IF(J2193&gt;'Mapa Oficinas'!$I$20,0,1))</f>
        <v>1</v>
      </c>
      <c r="L2193" t="s">
        <v>23</v>
      </c>
      <c r="M2193" t="s">
        <v>23</v>
      </c>
      <c r="N2193" t="s">
        <v>6535</v>
      </c>
      <c r="O2193" t="s">
        <v>50</v>
      </c>
      <c r="P2193" t="s">
        <v>45</v>
      </c>
      <c r="Q2193">
        <v>2</v>
      </c>
      <c r="R2193" t="s">
        <v>135</v>
      </c>
      <c r="S2193" t="s">
        <v>79</v>
      </c>
      <c r="T2193" t="str">
        <f>VLOOKUP(S2193,'Mapa Oficinas'!$H$7:$I$16,2,FALSE)</f>
        <v>CB</v>
      </c>
      <c r="U2193" t="s">
        <v>29</v>
      </c>
      <c r="V2193" t="str">
        <f>VLOOKUP($R2193,'Mapa Oficinas'!$A$7:$C$46,2,FALSE)</f>
        <v>CABA</v>
      </c>
      <c r="W2193" t="str">
        <f>VLOOKUP($R2193,'Mapa Oficinas'!$A$7:$C$46,3,FALSE)</f>
        <v>Recoleta</v>
      </c>
    </row>
    <row r="2194" spans="1:23" x14ac:dyDescent="0.2">
      <c r="A2194" s="1">
        <v>46098</v>
      </c>
      <c r="B2194" s="20">
        <f t="shared" si="68"/>
        <v>2026</v>
      </c>
      <c r="C2194" s="20">
        <f t="shared" si="69"/>
        <v>3</v>
      </c>
      <c r="D2194" t="s">
        <v>7253</v>
      </c>
      <c r="E2194" s="49">
        <v>1</v>
      </c>
      <c r="F2194" t="s">
        <v>7254</v>
      </c>
      <c r="G2194" t="s">
        <v>21</v>
      </c>
      <c r="H2194" t="s">
        <v>37</v>
      </c>
      <c r="I2194" s="13">
        <v>179000</v>
      </c>
      <c r="J2194" s="13">
        <v>200000</v>
      </c>
      <c r="K2194" s="13">
        <f>IF(J2194&lt;'Mapa Oficinas'!$I$21,0,IF(J2194&gt;'Mapa Oficinas'!$I$20,0,1))</f>
        <v>1</v>
      </c>
      <c r="L2194" t="s">
        <v>23</v>
      </c>
      <c r="M2194" t="s">
        <v>23</v>
      </c>
      <c r="N2194" t="s">
        <v>7255</v>
      </c>
      <c r="O2194" t="s">
        <v>39</v>
      </c>
      <c r="P2194" t="s">
        <v>34</v>
      </c>
      <c r="Q2194">
        <v>2</v>
      </c>
      <c r="R2194" t="s">
        <v>110</v>
      </c>
      <c r="S2194" t="s">
        <v>79</v>
      </c>
      <c r="T2194" t="str">
        <f>VLOOKUP(S2194,'Mapa Oficinas'!$H$7:$I$16,2,FALSE)</f>
        <v>CB</v>
      </c>
      <c r="U2194" t="s">
        <v>29</v>
      </c>
      <c r="V2194" t="str">
        <f>VLOOKUP($R2194,'Mapa Oficinas'!$A$7:$C$46,2,FALSE)</f>
        <v>Zona Norte (GBA)</v>
      </c>
      <c r="W2194" t="str">
        <f>VLOOKUP($R2194,'Mapa Oficinas'!$A$7:$C$46,3,FALSE)</f>
        <v>Nordelta</v>
      </c>
    </row>
    <row r="2195" spans="1:23" x14ac:dyDescent="0.2">
      <c r="A2195" s="1">
        <v>45716</v>
      </c>
      <c r="B2195" s="20">
        <f t="shared" si="68"/>
        <v>2025</v>
      </c>
      <c r="C2195" s="20">
        <f t="shared" si="69"/>
        <v>2</v>
      </c>
      <c r="D2195" t="s">
        <v>814</v>
      </c>
      <c r="E2195" s="49">
        <v>1</v>
      </c>
      <c r="F2195" t="s">
        <v>815</v>
      </c>
      <c r="G2195" t="s">
        <v>21</v>
      </c>
      <c r="H2195" t="s">
        <v>37</v>
      </c>
      <c r="I2195" s="13">
        <v>200000</v>
      </c>
      <c r="J2195" s="13">
        <v>200000</v>
      </c>
      <c r="K2195" s="13">
        <f>IF(J2195&lt;'Mapa Oficinas'!$I$21,0,IF(J2195&gt;'Mapa Oficinas'!$I$20,0,1))</f>
        <v>1</v>
      </c>
      <c r="L2195" t="s">
        <v>23</v>
      </c>
      <c r="M2195" t="s">
        <v>23</v>
      </c>
      <c r="O2195" t="s">
        <v>303</v>
      </c>
      <c r="P2195" t="s">
        <v>45</v>
      </c>
      <c r="Q2195">
        <v>1</v>
      </c>
      <c r="R2195" t="s">
        <v>183</v>
      </c>
      <c r="S2195" t="s">
        <v>47</v>
      </c>
      <c r="T2195" t="str">
        <f>VLOOKUP(S2195,'Mapa Oficinas'!$H$7:$I$16,2,FALSE)</f>
        <v>Otra Red Búsqueda</v>
      </c>
      <c r="U2195" t="s">
        <v>29</v>
      </c>
      <c r="V2195" t="str">
        <f>VLOOKUP($R2195,'Mapa Oficinas'!$A$7:$C$46,2,FALSE)</f>
        <v>Interior - Neuquén</v>
      </c>
      <c r="W2195" t="str">
        <f>VLOOKUP($R2195,'Mapa Oficinas'!$A$7:$C$46,3,FALSE)</f>
        <v>Capital Neuquén</v>
      </c>
    </row>
    <row r="2196" spans="1:23" x14ac:dyDescent="0.2">
      <c r="A2196" s="1">
        <v>45996</v>
      </c>
      <c r="B2196" s="20">
        <f t="shared" si="68"/>
        <v>2025</v>
      </c>
      <c r="C2196" s="20">
        <f t="shared" si="69"/>
        <v>12</v>
      </c>
      <c r="D2196" t="s">
        <v>5660</v>
      </c>
      <c r="E2196" s="49">
        <v>1</v>
      </c>
      <c r="F2196" t="s">
        <v>5661</v>
      </c>
      <c r="G2196" t="s">
        <v>21</v>
      </c>
      <c r="H2196" t="s">
        <v>37</v>
      </c>
      <c r="I2196" s="13">
        <v>200000</v>
      </c>
      <c r="J2196" s="13">
        <v>200000</v>
      </c>
      <c r="K2196" s="13">
        <f>IF(J2196&lt;'Mapa Oficinas'!$I$21,0,IF(J2196&gt;'Mapa Oficinas'!$I$20,0,1))</f>
        <v>1</v>
      </c>
      <c r="L2196" t="s">
        <v>23</v>
      </c>
      <c r="M2196" t="s">
        <v>23</v>
      </c>
      <c r="N2196" t="s">
        <v>5662</v>
      </c>
      <c r="O2196" t="s">
        <v>380</v>
      </c>
      <c r="P2196" t="s">
        <v>45</v>
      </c>
      <c r="Q2196">
        <v>1</v>
      </c>
      <c r="R2196" t="s">
        <v>670</v>
      </c>
      <c r="S2196" t="s">
        <v>47</v>
      </c>
      <c r="T2196" t="str">
        <f>VLOOKUP(S2196,'Mapa Oficinas'!$H$7:$I$16,2,FALSE)</f>
        <v>Otra Red Búsqueda</v>
      </c>
      <c r="U2196" t="s">
        <v>29</v>
      </c>
      <c r="V2196" t="str">
        <f>VLOOKUP($R2196,'Mapa Oficinas'!$A$7:$C$46,2,FALSE)</f>
        <v>CABA</v>
      </c>
      <c r="W2196" t="str">
        <f>VLOOKUP($R2196,'Mapa Oficinas'!$A$7:$C$46,3,FALSE)</f>
        <v>Recoleta</v>
      </c>
    </row>
    <row r="2197" spans="1:23" x14ac:dyDescent="0.2">
      <c r="A2197" s="1">
        <v>46100</v>
      </c>
      <c r="B2197" s="20">
        <f t="shared" si="68"/>
        <v>2026</v>
      </c>
      <c r="C2197" s="20">
        <f t="shared" si="69"/>
        <v>3</v>
      </c>
      <c r="D2197">
        <v>10727</v>
      </c>
      <c r="E2197" s="49">
        <v>1</v>
      </c>
      <c r="F2197" t="s">
        <v>7327</v>
      </c>
      <c r="G2197" t="s">
        <v>21</v>
      </c>
      <c r="H2197" t="s">
        <v>37</v>
      </c>
      <c r="I2197" s="13">
        <v>0</v>
      </c>
      <c r="J2197" s="13">
        <v>200000</v>
      </c>
      <c r="K2197" s="13">
        <f>IF(J2197&lt;'Mapa Oficinas'!$I$21,0,IF(J2197&gt;'Mapa Oficinas'!$I$20,0,1))</f>
        <v>1</v>
      </c>
      <c r="L2197" t="s">
        <v>23</v>
      </c>
      <c r="M2197" t="s">
        <v>23</v>
      </c>
      <c r="N2197" t="s">
        <v>7327</v>
      </c>
      <c r="O2197" t="s">
        <v>66</v>
      </c>
      <c r="P2197" t="s">
        <v>45</v>
      </c>
      <c r="Q2197">
        <v>1</v>
      </c>
      <c r="R2197" t="s">
        <v>67</v>
      </c>
      <c r="S2197" t="s">
        <v>47</v>
      </c>
      <c r="T2197" t="str">
        <f>VLOOKUP(S2197,'Mapa Oficinas'!$H$7:$I$16,2,FALSE)</f>
        <v>Otra Red Búsqueda</v>
      </c>
      <c r="U2197" t="s">
        <v>29</v>
      </c>
      <c r="V2197" t="str">
        <f>VLOOKUP($R2197,'Mapa Oficinas'!$A$7:$C$46,2,FALSE)</f>
        <v>CABA</v>
      </c>
      <c r="W2197" t="str">
        <f>VLOOKUP($R2197,'Mapa Oficinas'!$A$7:$C$46,3,FALSE)</f>
        <v>Barrio Parque</v>
      </c>
    </row>
    <row r="2198" spans="1:23" x14ac:dyDescent="0.2">
      <c r="A2198" s="1">
        <v>46020</v>
      </c>
      <c r="B2198" s="20">
        <f t="shared" si="68"/>
        <v>2025</v>
      </c>
      <c r="C2198" s="20">
        <f t="shared" si="69"/>
        <v>12</v>
      </c>
      <c r="D2198" t="s">
        <v>6063</v>
      </c>
      <c r="E2198" s="49">
        <v>1</v>
      </c>
      <c r="F2198" t="s">
        <v>6064</v>
      </c>
      <c r="G2198" t="s">
        <v>21</v>
      </c>
      <c r="H2198" t="s">
        <v>37</v>
      </c>
      <c r="I2198" s="13">
        <v>240000</v>
      </c>
      <c r="J2198" s="13">
        <v>200000</v>
      </c>
      <c r="K2198" s="13">
        <f>IF(J2198&lt;'Mapa Oficinas'!$I$21,0,IF(J2198&gt;'Mapa Oficinas'!$I$20,0,1))</f>
        <v>1</v>
      </c>
      <c r="L2198" t="s">
        <v>23</v>
      </c>
      <c r="M2198" t="s">
        <v>23</v>
      </c>
      <c r="N2198" t="s">
        <v>6065</v>
      </c>
      <c r="O2198" t="s">
        <v>114</v>
      </c>
      <c r="P2198" t="s">
        <v>45</v>
      </c>
      <c r="Q2198">
        <v>2</v>
      </c>
      <c r="R2198" t="s">
        <v>1024</v>
      </c>
      <c r="S2198" t="s">
        <v>200</v>
      </c>
      <c r="T2198" t="str">
        <f>VLOOKUP(S2198,'Mapa Oficinas'!$H$7:$I$16,2,FALSE)</f>
        <v>Otra Red Captación</v>
      </c>
      <c r="U2198" t="s">
        <v>29</v>
      </c>
      <c r="V2198" t="str">
        <f>VLOOKUP($R2198,'Mapa Oficinas'!$A$7:$C$46,2,FALSE)</f>
        <v>CABA</v>
      </c>
      <c r="W2198" t="str">
        <f>VLOOKUP($R2198,'Mapa Oficinas'!$A$7:$C$46,3,FALSE)</f>
        <v>Puerto Madero</v>
      </c>
    </row>
    <row r="2199" spans="1:23" x14ac:dyDescent="0.2">
      <c r="A2199" s="1">
        <v>45667</v>
      </c>
      <c r="B2199" s="20">
        <f t="shared" si="68"/>
        <v>2025</v>
      </c>
      <c r="C2199" s="20">
        <f t="shared" si="69"/>
        <v>1</v>
      </c>
      <c r="D2199" t="s">
        <v>184</v>
      </c>
      <c r="E2199" s="49">
        <v>1</v>
      </c>
      <c r="F2199" t="s">
        <v>185</v>
      </c>
      <c r="G2199" t="s">
        <v>21</v>
      </c>
      <c r="H2199" t="s">
        <v>37</v>
      </c>
      <c r="I2199" s="13">
        <v>215000</v>
      </c>
      <c r="J2199" s="13">
        <v>200000</v>
      </c>
      <c r="K2199" s="13">
        <f>IF(J2199&lt;'Mapa Oficinas'!$I$21,0,IF(J2199&gt;'Mapa Oficinas'!$I$20,0,1))</f>
        <v>1</v>
      </c>
      <c r="L2199" t="s">
        <v>23</v>
      </c>
      <c r="M2199" t="s">
        <v>23</v>
      </c>
      <c r="N2199" t="s">
        <v>186</v>
      </c>
      <c r="O2199" t="s">
        <v>50</v>
      </c>
      <c r="P2199" t="s">
        <v>45</v>
      </c>
      <c r="Q2199">
        <v>2</v>
      </c>
      <c r="R2199" t="s">
        <v>135</v>
      </c>
      <c r="S2199" t="s">
        <v>28</v>
      </c>
      <c r="T2199" t="str">
        <f>VLOOKUP(S2199,'Mapa Oficinas'!$H$7:$I$16,2,FALSE)</f>
        <v>CB</v>
      </c>
      <c r="U2199" t="s">
        <v>29</v>
      </c>
      <c r="V2199" t="str">
        <f>VLOOKUP($R2199,'Mapa Oficinas'!$A$7:$C$46,2,FALSE)</f>
        <v>CABA</v>
      </c>
      <c r="W2199" t="str">
        <f>VLOOKUP($R2199,'Mapa Oficinas'!$A$7:$C$46,3,FALSE)</f>
        <v>Recoleta</v>
      </c>
    </row>
    <row r="2200" spans="1:23" x14ac:dyDescent="0.2">
      <c r="A2200" s="1">
        <v>45685</v>
      </c>
      <c r="B2200" s="20">
        <f t="shared" si="68"/>
        <v>2025</v>
      </c>
      <c r="C2200" s="20">
        <f t="shared" si="69"/>
        <v>1</v>
      </c>
      <c r="D2200" t="s">
        <v>399</v>
      </c>
      <c r="E2200" s="49">
        <v>1</v>
      </c>
      <c r="F2200" t="s">
        <v>399</v>
      </c>
      <c r="G2200" t="s">
        <v>21</v>
      </c>
      <c r="H2200" t="s">
        <v>37</v>
      </c>
      <c r="I2200" s="13">
        <v>200000</v>
      </c>
      <c r="J2200" s="13">
        <v>200000</v>
      </c>
      <c r="K2200" s="13">
        <f>IF(J2200&lt;'Mapa Oficinas'!$I$21,0,IF(J2200&gt;'Mapa Oficinas'!$I$20,0,1))</f>
        <v>1</v>
      </c>
      <c r="L2200" t="s">
        <v>23</v>
      </c>
      <c r="M2200" t="s">
        <v>23</v>
      </c>
      <c r="N2200" t="s">
        <v>400</v>
      </c>
      <c r="O2200" t="s">
        <v>401</v>
      </c>
      <c r="P2200" t="s">
        <v>34</v>
      </c>
      <c r="Q2200">
        <v>2</v>
      </c>
      <c r="R2200" t="s">
        <v>56</v>
      </c>
      <c r="S2200" t="s">
        <v>28</v>
      </c>
      <c r="T2200" t="str">
        <f>VLOOKUP(S2200,'Mapa Oficinas'!$H$7:$I$16,2,FALSE)</f>
        <v>CB</v>
      </c>
      <c r="U2200" t="s">
        <v>29</v>
      </c>
      <c r="V2200" t="str">
        <f>VLOOKUP($R2200,'Mapa Oficinas'!$A$7:$C$46,2,FALSE)</f>
        <v>Zona Norte (GBA)</v>
      </c>
      <c r="W2200" t="str">
        <f>VLOOKUP($R2200,'Mapa Oficinas'!$A$7:$C$46,3,FALSE)</f>
        <v>Vicente López</v>
      </c>
    </row>
    <row r="2201" spans="1:23" x14ac:dyDescent="0.2">
      <c r="A2201" s="1">
        <v>45694</v>
      </c>
      <c r="B2201" s="20">
        <f t="shared" si="68"/>
        <v>2025</v>
      </c>
      <c r="C2201" s="20">
        <f t="shared" si="69"/>
        <v>2</v>
      </c>
      <c r="D2201" t="s">
        <v>509</v>
      </c>
      <c r="E2201" s="49">
        <v>1</v>
      </c>
      <c r="F2201" t="s">
        <v>510</v>
      </c>
      <c r="G2201" t="s">
        <v>21</v>
      </c>
      <c r="H2201" t="s">
        <v>37</v>
      </c>
      <c r="I2201" s="13">
        <v>209900</v>
      </c>
      <c r="J2201" s="13">
        <v>200000</v>
      </c>
      <c r="K2201" s="13">
        <f>IF(J2201&lt;'Mapa Oficinas'!$I$21,0,IF(J2201&gt;'Mapa Oficinas'!$I$20,0,1))</f>
        <v>1</v>
      </c>
      <c r="L2201" t="s">
        <v>23</v>
      </c>
      <c r="M2201" t="s">
        <v>23</v>
      </c>
      <c r="N2201" t="s">
        <v>511</v>
      </c>
      <c r="O2201" t="s">
        <v>190</v>
      </c>
      <c r="P2201" t="s">
        <v>45</v>
      </c>
      <c r="Q2201">
        <v>2</v>
      </c>
      <c r="R2201" t="s">
        <v>67</v>
      </c>
      <c r="S2201" t="s">
        <v>28</v>
      </c>
      <c r="T2201" t="str">
        <f>VLOOKUP(S2201,'Mapa Oficinas'!$H$7:$I$16,2,FALSE)</f>
        <v>CB</v>
      </c>
      <c r="U2201" t="s">
        <v>29</v>
      </c>
      <c r="V2201" t="str">
        <f>VLOOKUP($R2201,'Mapa Oficinas'!$A$7:$C$46,2,FALSE)</f>
        <v>CABA</v>
      </c>
      <c r="W2201" t="str">
        <f>VLOOKUP($R2201,'Mapa Oficinas'!$A$7:$C$46,3,FALSE)</f>
        <v>Barrio Parque</v>
      </c>
    </row>
    <row r="2202" spans="1:23" x14ac:dyDescent="0.2">
      <c r="A2202" s="1">
        <v>45705</v>
      </c>
      <c r="B2202" s="20">
        <f t="shared" si="68"/>
        <v>2025</v>
      </c>
      <c r="C2202" s="20">
        <f t="shared" si="69"/>
        <v>2</v>
      </c>
      <c r="D2202" t="s">
        <v>654</v>
      </c>
      <c r="E2202" s="49">
        <v>1</v>
      </c>
      <c r="F2202" t="s">
        <v>655</v>
      </c>
      <c r="G2202" t="s">
        <v>21</v>
      </c>
      <c r="H2202" t="s">
        <v>90</v>
      </c>
      <c r="I2202" s="13">
        <v>214900</v>
      </c>
      <c r="J2202" s="13">
        <v>200000</v>
      </c>
      <c r="K2202" s="13">
        <f>IF(J2202&lt;'Mapa Oficinas'!$I$21,0,IF(J2202&gt;'Mapa Oficinas'!$I$20,0,1))</f>
        <v>1</v>
      </c>
      <c r="L2202" t="s">
        <v>23</v>
      </c>
      <c r="M2202" t="s">
        <v>23</v>
      </c>
      <c r="N2202" t="s">
        <v>656</v>
      </c>
      <c r="O2202" t="s">
        <v>50</v>
      </c>
      <c r="P2202" t="s">
        <v>45</v>
      </c>
      <c r="Q2202">
        <v>2</v>
      </c>
      <c r="R2202" t="s">
        <v>62</v>
      </c>
      <c r="S2202" t="s">
        <v>28</v>
      </c>
      <c r="T2202" t="str">
        <f>VLOOKUP(S2202,'Mapa Oficinas'!$H$7:$I$16,2,FALSE)</f>
        <v>CB</v>
      </c>
      <c r="U2202" t="s">
        <v>29</v>
      </c>
      <c r="V2202" t="str">
        <f>VLOOKUP($R2202,'Mapa Oficinas'!$A$7:$C$46,2,FALSE)</f>
        <v>CABA</v>
      </c>
      <c r="W2202" t="str">
        <f>VLOOKUP($R2202,'Mapa Oficinas'!$A$7:$C$46,3,FALSE)</f>
        <v>Villa Urquiza</v>
      </c>
    </row>
    <row r="2203" spans="1:23" x14ac:dyDescent="0.2">
      <c r="A2203" s="1">
        <v>45726</v>
      </c>
      <c r="B2203" s="20">
        <f t="shared" si="68"/>
        <v>2025</v>
      </c>
      <c r="C2203" s="20">
        <f t="shared" si="69"/>
        <v>3</v>
      </c>
      <c r="D2203" t="s">
        <v>891</v>
      </c>
      <c r="E2203" s="49">
        <v>1</v>
      </c>
      <c r="F2203" t="s">
        <v>892</v>
      </c>
      <c r="G2203" t="s">
        <v>21</v>
      </c>
      <c r="H2203" t="s">
        <v>37</v>
      </c>
      <c r="I2203" s="13">
        <v>200000</v>
      </c>
      <c r="J2203" s="13">
        <v>200000</v>
      </c>
      <c r="K2203" s="13">
        <f>IF(J2203&lt;'Mapa Oficinas'!$I$21,0,IF(J2203&gt;'Mapa Oficinas'!$I$20,0,1))</f>
        <v>1</v>
      </c>
      <c r="L2203" t="s">
        <v>23</v>
      </c>
      <c r="M2203" t="s">
        <v>23</v>
      </c>
      <c r="N2203" t="s">
        <v>893</v>
      </c>
      <c r="O2203" t="s">
        <v>238</v>
      </c>
      <c r="P2203" t="s">
        <v>45</v>
      </c>
      <c r="Q2203">
        <v>2</v>
      </c>
      <c r="R2203" t="s">
        <v>110</v>
      </c>
      <c r="S2203" t="s">
        <v>28</v>
      </c>
      <c r="T2203" t="str">
        <f>VLOOKUP(S2203,'Mapa Oficinas'!$H$7:$I$16,2,FALSE)</f>
        <v>CB</v>
      </c>
      <c r="U2203" t="s">
        <v>29</v>
      </c>
      <c r="V2203" t="str">
        <f>VLOOKUP($R2203,'Mapa Oficinas'!$A$7:$C$46,2,FALSE)</f>
        <v>Zona Norte (GBA)</v>
      </c>
      <c r="W2203" t="str">
        <f>VLOOKUP($R2203,'Mapa Oficinas'!$A$7:$C$46,3,FALSE)</f>
        <v>Nordelta</v>
      </c>
    </row>
    <row r="2204" spans="1:23" x14ac:dyDescent="0.2">
      <c r="A2204" s="1">
        <v>45950</v>
      </c>
      <c r="B2204" s="20">
        <f t="shared" si="68"/>
        <v>2025</v>
      </c>
      <c r="C2204" s="20">
        <f t="shared" si="69"/>
        <v>10</v>
      </c>
      <c r="D2204" t="s">
        <v>4798</v>
      </c>
      <c r="E2204" s="49">
        <v>1</v>
      </c>
      <c r="F2204" t="s">
        <v>4799</v>
      </c>
      <c r="G2204" t="s">
        <v>21</v>
      </c>
      <c r="H2204" t="s">
        <v>70</v>
      </c>
      <c r="I2204" s="13">
        <v>210000</v>
      </c>
      <c r="J2204" s="13">
        <v>200000</v>
      </c>
      <c r="K2204" s="13">
        <f>IF(J2204&lt;'Mapa Oficinas'!$I$21,0,IF(J2204&gt;'Mapa Oficinas'!$I$20,0,1))</f>
        <v>1</v>
      </c>
      <c r="L2204" t="s">
        <v>23</v>
      </c>
      <c r="M2204" t="s">
        <v>23</v>
      </c>
      <c r="N2204" t="s">
        <v>4800</v>
      </c>
      <c r="O2204" t="s">
        <v>4801</v>
      </c>
      <c r="P2204" t="s">
        <v>3560</v>
      </c>
      <c r="Q2204">
        <v>2</v>
      </c>
      <c r="R2204" t="s">
        <v>73</v>
      </c>
      <c r="S2204" t="s">
        <v>28</v>
      </c>
      <c r="T2204" t="str">
        <f>VLOOKUP(S2204,'Mapa Oficinas'!$H$7:$I$16,2,FALSE)</f>
        <v>CB</v>
      </c>
      <c r="U2204" t="s">
        <v>29</v>
      </c>
      <c r="V2204" t="str">
        <f>VLOOKUP($R2204,'Mapa Oficinas'!$A$7:$C$46,2,FALSE)</f>
        <v>Interior - Salta</v>
      </c>
      <c r="W2204" t="str">
        <f>VLOOKUP($R2204,'Mapa Oficinas'!$A$7:$C$46,3,FALSE)</f>
        <v>San Lorenzo Chico</v>
      </c>
    </row>
    <row r="2205" spans="1:23" x14ac:dyDescent="0.2">
      <c r="A2205" s="1">
        <v>46042</v>
      </c>
      <c r="B2205" s="20">
        <f t="shared" si="68"/>
        <v>2026</v>
      </c>
      <c r="C2205" s="20">
        <f t="shared" si="69"/>
        <v>1</v>
      </c>
      <c r="D2205" t="s">
        <v>6332</v>
      </c>
      <c r="E2205" s="49">
        <v>1</v>
      </c>
      <c r="F2205" t="s">
        <v>6333</v>
      </c>
      <c r="G2205" t="s">
        <v>21</v>
      </c>
      <c r="H2205" t="s">
        <v>22</v>
      </c>
      <c r="I2205" s="13">
        <v>205000</v>
      </c>
      <c r="J2205" s="13">
        <v>200000</v>
      </c>
      <c r="K2205" s="13">
        <f>IF(J2205&lt;'Mapa Oficinas'!$I$21,0,IF(J2205&gt;'Mapa Oficinas'!$I$20,0,1))</f>
        <v>1</v>
      </c>
      <c r="L2205" t="s">
        <v>23</v>
      </c>
      <c r="M2205" t="s">
        <v>23</v>
      </c>
      <c r="N2205" t="s">
        <v>2221</v>
      </c>
      <c r="O2205" t="s">
        <v>162</v>
      </c>
      <c r="P2205" t="s">
        <v>45</v>
      </c>
      <c r="Q2205">
        <v>2</v>
      </c>
      <c r="R2205" t="s">
        <v>62</v>
      </c>
      <c r="S2205" t="s">
        <v>28</v>
      </c>
      <c r="T2205" t="str">
        <f>VLOOKUP(S2205,'Mapa Oficinas'!$H$7:$I$16,2,FALSE)</f>
        <v>CB</v>
      </c>
      <c r="U2205" t="s">
        <v>29</v>
      </c>
      <c r="V2205" t="str">
        <f>VLOOKUP($R2205,'Mapa Oficinas'!$A$7:$C$46,2,FALSE)</f>
        <v>CABA</v>
      </c>
      <c r="W2205" t="str">
        <f>VLOOKUP($R2205,'Mapa Oficinas'!$A$7:$C$46,3,FALSE)</f>
        <v>Villa Urquiza</v>
      </c>
    </row>
    <row r="2206" spans="1:23" x14ac:dyDescent="0.2">
      <c r="A2206" s="1">
        <v>46078</v>
      </c>
      <c r="B2206" s="20">
        <f t="shared" si="68"/>
        <v>2026</v>
      </c>
      <c r="C2206" s="20">
        <f t="shared" si="69"/>
        <v>2</v>
      </c>
      <c r="D2206" t="s">
        <v>6848</v>
      </c>
      <c r="E2206" s="49">
        <v>1</v>
      </c>
      <c r="F2206" t="s">
        <v>6849</v>
      </c>
      <c r="G2206" t="s">
        <v>21</v>
      </c>
      <c r="H2206" t="s">
        <v>37</v>
      </c>
      <c r="I2206" s="13">
        <v>207000</v>
      </c>
      <c r="J2206" s="13">
        <v>200000</v>
      </c>
      <c r="K2206" s="13">
        <f>IF(J2206&lt;'Mapa Oficinas'!$I$21,0,IF(J2206&gt;'Mapa Oficinas'!$I$20,0,1))</f>
        <v>1</v>
      </c>
      <c r="L2206" t="s">
        <v>23</v>
      </c>
      <c r="M2206" t="s">
        <v>23</v>
      </c>
      <c r="N2206" t="s">
        <v>6850</v>
      </c>
      <c r="O2206" t="s">
        <v>190</v>
      </c>
      <c r="P2206" t="s">
        <v>45</v>
      </c>
      <c r="Q2206">
        <v>2</v>
      </c>
      <c r="R2206" t="s">
        <v>67</v>
      </c>
      <c r="S2206" t="s">
        <v>28</v>
      </c>
      <c r="T2206" t="str">
        <f>VLOOKUP(S2206,'Mapa Oficinas'!$H$7:$I$16,2,FALSE)</f>
        <v>CB</v>
      </c>
      <c r="U2206" t="s">
        <v>29</v>
      </c>
      <c r="V2206" t="str">
        <f>VLOOKUP($R2206,'Mapa Oficinas'!$A$7:$C$46,2,FALSE)</f>
        <v>CABA</v>
      </c>
      <c r="W2206" t="str">
        <f>VLOOKUP($R2206,'Mapa Oficinas'!$A$7:$C$46,3,FALSE)</f>
        <v>Barrio Parque</v>
      </c>
    </row>
    <row r="2207" spans="1:23" x14ac:dyDescent="0.2">
      <c r="A2207" s="1">
        <v>46101</v>
      </c>
      <c r="B2207" s="20">
        <f t="shared" si="68"/>
        <v>2026</v>
      </c>
      <c r="C2207" s="20">
        <f t="shared" si="69"/>
        <v>3</v>
      </c>
      <c r="D2207" t="s">
        <v>7369</v>
      </c>
      <c r="E2207" s="49">
        <v>1</v>
      </c>
      <c r="F2207" t="s">
        <v>7370</v>
      </c>
      <c r="G2207" t="s">
        <v>21</v>
      </c>
      <c r="H2207" t="s">
        <v>37</v>
      </c>
      <c r="I2207" s="13">
        <v>210000</v>
      </c>
      <c r="J2207" s="13">
        <v>200000</v>
      </c>
      <c r="K2207" s="13">
        <f>IF(J2207&lt;'Mapa Oficinas'!$I$21,0,IF(J2207&gt;'Mapa Oficinas'!$I$20,0,1))</f>
        <v>1</v>
      </c>
      <c r="L2207" t="s">
        <v>23</v>
      </c>
      <c r="M2207" t="s">
        <v>23</v>
      </c>
      <c r="N2207" t="s">
        <v>7371</v>
      </c>
      <c r="O2207" t="s">
        <v>745</v>
      </c>
      <c r="P2207" t="s">
        <v>34</v>
      </c>
      <c r="Q2207">
        <v>2</v>
      </c>
      <c r="R2207" t="s">
        <v>4688</v>
      </c>
      <c r="S2207" t="s">
        <v>28</v>
      </c>
      <c r="T2207" t="str">
        <f>VLOOKUP(S2207,'Mapa Oficinas'!$H$7:$I$16,2,FALSE)</f>
        <v>CB</v>
      </c>
      <c r="U2207" t="s">
        <v>29</v>
      </c>
      <c r="V2207" t="str">
        <f>VLOOKUP($R2207,'Mapa Oficinas'!$A$7:$C$46,2,FALSE)</f>
        <v>Zona Norte (GBA)</v>
      </c>
      <c r="W2207" t="str">
        <f>VLOOKUP($R2207,'Mapa Oficinas'!$A$7:$C$46,3,FALSE)</f>
        <v>San Isidro</v>
      </c>
    </row>
    <row r="2208" spans="1:23" x14ac:dyDescent="0.2">
      <c r="A2208" s="1">
        <v>45974</v>
      </c>
      <c r="B2208" s="20">
        <f t="shared" si="68"/>
        <v>2025</v>
      </c>
      <c r="C2208" s="20">
        <f t="shared" si="69"/>
        <v>11</v>
      </c>
      <c r="D2208">
        <v>10271</v>
      </c>
      <c r="E2208" s="49">
        <v>1</v>
      </c>
      <c r="F2208" t="s">
        <v>5215</v>
      </c>
      <c r="G2208" t="s">
        <v>21</v>
      </c>
      <c r="H2208" t="s">
        <v>37</v>
      </c>
      <c r="I2208" s="13">
        <v>201000</v>
      </c>
      <c r="J2208" s="13">
        <v>201000</v>
      </c>
      <c r="K2208" s="13">
        <f>IF(J2208&lt;'Mapa Oficinas'!$I$21,0,IF(J2208&gt;'Mapa Oficinas'!$I$20,0,1))</f>
        <v>1</v>
      </c>
      <c r="L2208" t="s">
        <v>23</v>
      </c>
      <c r="M2208" t="s">
        <v>23</v>
      </c>
      <c r="N2208" t="s">
        <v>5215</v>
      </c>
      <c r="O2208" t="s">
        <v>238</v>
      </c>
      <c r="P2208" t="s">
        <v>34</v>
      </c>
      <c r="Q2208">
        <v>1</v>
      </c>
      <c r="R2208" t="s">
        <v>67</v>
      </c>
      <c r="S2208" t="s">
        <v>47</v>
      </c>
      <c r="T2208" t="str">
        <f>VLOOKUP(S2208,'Mapa Oficinas'!$H$7:$I$16,2,FALSE)</f>
        <v>Otra Red Búsqueda</v>
      </c>
      <c r="U2208" t="s">
        <v>29</v>
      </c>
      <c r="V2208" t="str">
        <f>VLOOKUP($R2208,'Mapa Oficinas'!$A$7:$C$46,2,FALSE)</f>
        <v>CABA</v>
      </c>
      <c r="W2208" t="str">
        <f>VLOOKUP($R2208,'Mapa Oficinas'!$A$7:$C$46,3,FALSE)</f>
        <v>Barrio Parque</v>
      </c>
    </row>
    <row r="2209" spans="1:23" x14ac:dyDescent="0.2">
      <c r="A2209" s="1">
        <v>46111</v>
      </c>
      <c r="B2209" s="20">
        <f t="shared" si="68"/>
        <v>2026</v>
      </c>
      <c r="C2209" s="20">
        <f t="shared" si="69"/>
        <v>3</v>
      </c>
      <c r="D2209" t="s">
        <v>7538</v>
      </c>
      <c r="E2209" s="49">
        <v>1</v>
      </c>
      <c r="F2209" t="s">
        <v>7539</v>
      </c>
      <c r="G2209" t="s">
        <v>21</v>
      </c>
      <c r="H2209" t="s">
        <v>81</v>
      </c>
      <c r="I2209" s="13">
        <v>210000</v>
      </c>
      <c r="J2209" s="13">
        <v>201800</v>
      </c>
      <c r="K2209" s="13">
        <f>IF(J2209&lt;'Mapa Oficinas'!$I$21,0,IF(J2209&gt;'Mapa Oficinas'!$I$20,0,1))</f>
        <v>1</v>
      </c>
      <c r="L2209" t="s">
        <v>23</v>
      </c>
      <c r="M2209" t="s">
        <v>23</v>
      </c>
      <c r="N2209" t="s">
        <v>7540</v>
      </c>
      <c r="O2209" t="s">
        <v>679</v>
      </c>
      <c r="P2209" t="s">
        <v>26</v>
      </c>
      <c r="Q2209">
        <v>2</v>
      </c>
      <c r="R2209" t="s">
        <v>183</v>
      </c>
      <c r="S2209" t="s">
        <v>28</v>
      </c>
      <c r="T2209" t="str">
        <f>VLOOKUP(S2209,'Mapa Oficinas'!$H$7:$I$16,2,FALSE)</f>
        <v>CB</v>
      </c>
      <c r="U2209" t="s">
        <v>29</v>
      </c>
      <c r="V2209" t="str">
        <f>VLOOKUP($R2209,'Mapa Oficinas'!$A$7:$C$46,2,FALSE)</f>
        <v>Interior - Neuquén</v>
      </c>
      <c r="W2209" t="str">
        <f>VLOOKUP($R2209,'Mapa Oficinas'!$A$7:$C$46,3,FALSE)</f>
        <v>Capital Neuquén</v>
      </c>
    </row>
    <row r="2210" spans="1:23" x14ac:dyDescent="0.2">
      <c r="A2210" s="1">
        <v>45770</v>
      </c>
      <c r="B2210" s="20">
        <f t="shared" si="68"/>
        <v>2025</v>
      </c>
      <c r="C2210" s="20">
        <f t="shared" si="69"/>
        <v>4</v>
      </c>
      <c r="D2210" t="s">
        <v>1586</v>
      </c>
      <c r="E2210" s="49">
        <v>1</v>
      </c>
      <c r="F2210" t="s">
        <v>1587</v>
      </c>
      <c r="G2210" t="s">
        <v>21</v>
      </c>
      <c r="H2210" t="s">
        <v>37</v>
      </c>
      <c r="I2210" s="13">
        <v>229000</v>
      </c>
      <c r="J2210" s="13">
        <v>202000</v>
      </c>
      <c r="K2210" s="13">
        <f>IF(J2210&lt;'Mapa Oficinas'!$I$21,0,IF(J2210&gt;'Mapa Oficinas'!$I$20,0,1))</f>
        <v>1</v>
      </c>
      <c r="L2210" t="s">
        <v>23</v>
      </c>
      <c r="M2210" t="s">
        <v>23</v>
      </c>
      <c r="N2210" t="s">
        <v>1588</v>
      </c>
      <c r="O2210" t="s">
        <v>39</v>
      </c>
      <c r="P2210" t="s">
        <v>34</v>
      </c>
      <c r="Q2210">
        <v>2</v>
      </c>
      <c r="R2210" t="s">
        <v>110</v>
      </c>
      <c r="S2210" t="s">
        <v>200</v>
      </c>
      <c r="T2210" t="str">
        <f>VLOOKUP(S2210,'Mapa Oficinas'!$H$7:$I$16,2,FALSE)</f>
        <v>Otra Red Captación</v>
      </c>
      <c r="U2210" t="s">
        <v>29</v>
      </c>
      <c r="V2210" t="str">
        <f>VLOOKUP($R2210,'Mapa Oficinas'!$A$7:$C$46,2,FALSE)</f>
        <v>Zona Norte (GBA)</v>
      </c>
      <c r="W2210" t="str">
        <f>VLOOKUP($R2210,'Mapa Oficinas'!$A$7:$C$46,3,FALSE)</f>
        <v>Nordelta</v>
      </c>
    </row>
    <row r="2211" spans="1:23" x14ac:dyDescent="0.2">
      <c r="A2211" s="1">
        <v>45784</v>
      </c>
      <c r="B2211" s="20">
        <f t="shared" si="68"/>
        <v>2025</v>
      </c>
      <c r="C2211" s="20">
        <f t="shared" si="69"/>
        <v>5</v>
      </c>
      <c r="D2211" t="s">
        <v>1810</v>
      </c>
      <c r="E2211" s="49">
        <v>1</v>
      </c>
      <c r="F2211" t="s">
        <v>1811</v>
      </c>
      <c r="G2211" t="s">
        <v>21</v>
      </c>
      <c r="H2211" t="s">
        <v>37</v>
      </c>
      <c r="I2211" s="13">
        <v>210000</v>
      </c>
      <c r="J2211" s="13">
        <v>202000</v>
      </c>
      <c r="K2211" s="13">
        <f>IF(J2211&lt;'Mapa Oficinas'!$I$21,0,IF(J2211&gt;'Mapa Oficinas'!$I$20,0,1))</f>
        <v>1</v>
      </c>
      <c r="L2211" t="s">
        <v>23</v>
      </c>
      <c r="M2211" t="s">
        <v>23</v>
      </c>
      <c r="N2211" t="s">
        <v>1812</v>
      </c>
      <c r="O2211" t="s">
        <v>408</v>
      </c>
      <c r="P2211" t="s">
        <v>45</v>
      </c>
      <c r="Q2211">
        <v>2</v>
      </c>
      <c r="R2211" t="s">
        <v>46</v>
      </c>
      <c r="S2211" t="s">
        <v>200</v>
      </c>
      <c r="T2211" t="str">
        <f>VLOOKUP(S2211,'Mapa Oficinas'!$H$7:$I$16,2,FALSE)</f>
        <v>Otra Red Captación</v>
      </c>
      <c r="U2211" t="s">
        <v>29</v>
      </c>
      <c r="V2211" t="str">
        <f>VLOOKUP($R2211,'Mapa Oficinas'!$A$7:$C$46,2,FALSE)</f>
        <v>CABA</v>
      </c>
      <c r="W2211" t="str">
        <f>VLOOKUP($R2211,'Mapa Oficinas'!$A$7:$C$46,3,FALSE)</f>
        <v>Palermo</v>
      </c>
    </row>
    <row r="2212" spans="1:23" x14ac:dyDescent="0.2">
      <c r="A2212" s="1">
        <v>46100</v>
      </c>
      <c r="B2212" s="20">
        <f t="shared" si="68"/>
        <v>2026</v>
      </c>
      <c r="C2212" s="20">
        <f t="shared" si="69"/>
        <v>3</v>
      </c>
      <c r="D2212" t="s">
        <v>7328</v>
      </c>
      <c r="E2212" s="49">
        <v>1</v>
      </c>
      <c r="F2212" t="s">
        <v>7329</v>
      </c>
      <c r="G2212" t="s">
        <v>21</v>
      </c>
      <c r="H2212" t="s">
        <v>22</v>
      </c>
      <c r="I2212" s="13">
        <v>207000</v>
      </c>
      <c r="J2212" s="13">
        <v>202000</v>
      </c>
      <c r="K2212" s="13">
        <f>IF(J2212&lt;'Mapa Oficinas'!$I$21,0,IF(J2212&gt;'Mapa Oficinas'!$I$20,0,1))</f>
        <v>1</v>
      </c>
      <c r="L2212" t="s">
        <v>23</v>
      </c>
      <c r="M2212" t="s">
        <v>23</v>
      </c>
      <c r="N2212" t="s">
        <v>5263</v>
      </c>
      <c r="O2212" t="s">
        <v>5264</v>
      </c>
      <c r="P2212" t="s">
        <v>34</v>
      </c>
      <c r="Q2212">
        <v>2</v>
      </c>
      <c r="R2212" t="s">
        <v>257</v>
      </c>
      <c r="S2212" t="s">
        <v>28</v>
      </c>
      <c r="T2212" t="str">
        <f>VLOOKUP(S2212,'Mapa Oficinas'!$H$7:$I$16,2,FALSE)</f>
        <v>CB</v>
      </c>
      <c r="U2212" t="s">
        <v>29</v>
      </c>
      <c r="V2212" t="str">
        <f>VLOOKUP($R2212,'Mapa Oficinas'!$A$7:$C$46,2,FALSE)</f>
        <v>Zona Norte (GBA)</v>
      </c>
      <c r="W2212" t="str">
        <f>VLOOKUP($R2212,'Mapa Oficinas'!$A$7:$C$46,3,FALSE)</f>
        <v>Pilar</v>
      </c>
    </row>
    <row r="2213" spans="1:23" x14ac:dyDescent="0.2">
      <c r="A2213" s="1">
        <v>45924</v>
      </c>
      <c r="B2213" s="20">
        <f t="shared" si="68"/>
        <v>2025</v>
      </c>
      <c r="C2213" s="20">
        <f t="shared" si="69"/>
        <v>9</v>
      </c>
      <c r="D2213" t="s">
        <v>1302</v>
      </c>
      <c r="E2213" s="49">
        <v>3</v>
      </c>
      <c r="F2213" t="s">
        <v>4323</v>
      </c>
      <c r="G2213" t="s">
        <v>21</v>
      </c>
      <c r="H2213" t="s">
        <v>76</v>
      </c>
      <c r="I2213" s="13">
        <v>210000</v>
      </c>
      <c r="J2213" s="13">
        <v>203000</v>
      </c>
      <c r="K2213" s="13">
        <f>IF(J2213&lt;'Mapa Oficinas'!$I$21,0,IF(J2213&gt;'Mapa Oficinas'!$I$20,0,1))</f>
        <v>1</v>
      </c>
      <c r="L2213" t="s">
        <v>23</v>
      </c>
      <c r="M2213" t="s">
        <v>23</v>
      </c>
      <c r="N2213" t="s">
        <v>1304</v>
      </c>
      <c r="O2213" t="s">
        <v>1305</v>
      </c>
      <c r="P2213" t="s">
        <v>26</v>
      </c>
      <c r="Q2213">
        <v>2</v>
      </c>
      <c r="R2213" t="s">
        <v>257</v>
      </c>
      <c r="S2213" t="s">
        <v>241</v>
      </c>
      <c r="T2213" t="str">
        <f>VLOOKUP(S2213,'Mapa Oficinas'!$H$7:$I$16,2,FALSE)</f>
        <v>CB</v>
      </c>
      <c r="U2213" t="s">
        <v>29</v>
      </c>
      <c r="V2213" t="str">
        <f>VLOOKUP($R2213,'Mapa Oficinas'!$A$7:$C$46,2,FALSE)</f>
        <v>Zona Norte (GBA)</v>
      </c>
      <c r="W2213" t="str">
        <f>VLOOKUP($R2213,'Mapa Oficinas'!$A$7:$C$46,3,FALSE)</f>
        <v>Pilar</v>
      </c>
    </row>
    <row r="2214" spans="1:23" x14ac:dyDescent="0.2">
      <c r="A2214" s="1">
        <v>45685</v>
      </c>
      <c r="B2214" s="20">
        <f t="shared" si="68"/>
        <v>2025</v>
      </c>
      <c r="C2214" s="20">
        <f t="shared" si="69"/>
        <v>1</v>
      </c>
      <c r="D2214">
        <v>10284</v>
      </c>
      <c r="E2214" s="49">
        <v>1</v>
      </c>
      <c r="F2214" t="s">
        <v>402</v>
      </c>
      <c r="G2214" t="s">
        <v>21</v>
      </c>
      <c r="H2214" t="s">
        <v>76</v>
      </c>
      <c r="I2214" s="13">
        <v>0</v>
      </c>
      <c r="J2214" s="13">
        <v>203000</v>
      </c>
      <c r="K2214" s="13">
        <f>IF(J2214&lt;'Mapa Oficinas'!$I$21,0,IF(J2214&gt;'Mapa Oficinas'!$I$20,0,1))</f>
        <v>1</v>
      </c>
      <c r="L2214" t="s">
        <v>23</v>
      </c>
      <c r="M2214" t="s">
        <v>23</v>
      </c>
      <c r="O2214" t="s">
        <v>403</v>
      </c>
      <c r="P2214" t="s">
        <v>34</v>
      </c>
      <c r="Q2214">
        <v>2</v>
      </c>
      <c r="R2214" t="s">
        <v>67</v>
      </c>
      <c r="S2214" t="s">
        <v>404</v>
      </c>
      <c r="T2214" t="str">
        <f>VLOOKUP(S2214,'Mapa Oficinas'!$H$7:$I$16,2,FALSE)</f>
        <v>CB</v>
      </c>
      <c r="U2214" t="s">
        <v>29</v>
      </c>
      <c r="V2214" t="str">
        <f>VLOOKUP($R2214,'Mapa Oficinas'!$A$7:$C$46,2,FALSE)</f>
        <v>CABA</v>
      </c>
      <c r="W2214" t="str">
        <f>VLOOKUP($R2214,'Mapa Oficinas'!$A$7:$C$46,3,FALSE)</f>
        <v>Barrio Parque</v>
      </c>
    </row>
    <row r="2215" spans="1:23" x14ac:dyDescent="0.2">
      <c r="A2215" s="1">
        <v>46020</v>
      </c>
      <c r="B2215" s="20">
        <f t="shared" si="68"/>
        <v>2025</v>
      </c>
      <c r="C2215" s="20">
        <f t="shared" si="69"/>
        <v>12</v>
      </c>
      <c r="D2215" t="s">
        <v>6066</v>
      </c>
      <c r="E2215" s="49">
        <v>1</v>
      </c>
      <c r="F2215" t="s">
        <v>6067</v>
      </c>
      <c r="G2215" t="s">
        <v>21</v>
      </c>
      <c r="H2215" t="s">
        <v>37</v>
      </c>
      <c r="I2215" s="13">
        <v>215000</v>
      </c>
      <c r="J2215" s="13">
        <v>203000</v>
      </c>
      <c r="K2215" s="13">
        <f>IF(J2215&lt;'Mapa Oficinas'!$I$21,0,IF(J2215&gt;'Mapa Oficinas'!$I$20,0,1))</f>
        <v>1</v>
      </c>
      <c r="L2215" t="s">
        <v>23</v>
      </c>
      <c r="M2215" t="s">
        <v>23</v>
      </c>
      <c r="N2215" t="s">
        <v>6068</v>
      </c>
      <c r="O2215" t="s">
        <v>66</v>
      </c>
      <c r="P2215" t="s">
        <v>45</v>
      </c>
      <c r="Q2215">
        <v>2</v>
      </c>
      <c r="R2215" t="s">
        <v>135</v>
      </c>
      <c r="S2215" t="s">
        <v>28</v>
      </c>
      <c r="T2215" t="str">
        <f>VLOOKUP(S2215,'Mapa Oficinas'!$H$7:$I$16,2,FALSE)</f>
        <v>CB</v>
      </c>
      <c r="U2215" t="s">
        <v>29</v>
      </c>
      <c r="V2215" t="str">
        <f>VLOOKUP($R2215,'Mapa Oficinas'!$A$7:$C$46,2,FALSE)</f>
        <v>CABA</v>
      </c>
      <c r="W2215" t="str">
        <f>VLOOKUP($R2215,'Mapa Oficinas'!$A$7:$C$46,3,FALSE)</f>
        <v>Recoleta</v>
      </c>
    </row>
    <row r="2216" spans="1:23" x14ac:dyDescent="0.2">
      <c r="A2216" s="1">
        <v>45789</v>
      </c>
      <c r="B2216" s="20">
        <f t="shared" si="68"/>
        <v>2025</v>
      </c>
      <c r="C2216" s="20">
        <f t="shared" si="69"/>
        <v>5</v>
      </c>
      <c r="D2216" t="s">
        <v>1879</v>
      </c>
      <c r="E2216" s="49">
        <v>1</v>
      </c>
      <c r="F2216" t="s">
        <v>1880</v>
      </c>
      <c r="G2216" t="s">
        <v>21</v>
      </c>
      <c r="H2216" t="s">
        <v>37</v>
      </c>
      <c r="I2216" s="13">
        <v>210000</v>
      </c>
      <c r="J2216" s="13">
        <v>204000</v>
      </c>
      <c r="K2216" s="13">
        <f>IF(J2216&lt;'Mapa Oficinas'!$I$21,0,IF(J2216&gt;'Mapa Oficinas'!$I$20,0,1))</f>
        <v>1</v>
      </c>
      <c r="L2216" t="s">
        <v>23</v>
      </c>
      <c r="M2216" t="s">
        <v>23</v>
      </c>
      <c r="N2216" t="s">
        <v>1881</v>
      </c>
      <c r="O2216" t="s">
        <v>1882</v>
      </c>
      <c r="P2216" t="s">
        <v>34</v>
      </c>
      <c r="Q2216">
        <v>2</v>
      </c>
      <c r="R2216" t="s">
        <v>110</v>
      </c>
      <c r="S2216" t="s">
        <v>79</v>
      </c>
      <c r="T2216" t="str">
        <f>VLOOKUP(S2216,'Mapa Oficinas'!$H$7:$I$16,2,FALSE)</f>
        <v>CB</v>
      </c>
      <c r="U2216" t="s">
        <v>29</v>
      </c>
      <c r="V2216" t="str">
        <f>VLOOKUP($R2216,'Mapa Oficinas'!$A$7:$C$46,2,FALSE)</f>
        <v>Zona Norte (GBA)</v>
      </c>
      <c r="W2216" t="str">
        <f>VLOOKUP($R2216,'Mapa Oficinas'!$A$7:$C$46,3,FALSE)</f>
        <v>Nordelta</v>
      </c>
    </row>
    <row r="2217" spans="1:23" x14ac:dyDescent="0.2">
      <c r="A2217" s="1">
        <v>45922</v>
      </c>
      <c r="B2217" s="20">
        <f t="shared" si="68"/>
        <v>2025</v>
      </c>
      <c r="C2217" s="20">
        <f t="shared" si="69"/>
        <v>9</v>
      </c>
      <c r="D2217" t="s">
        <v>4270</v>
      </c>
      <c r="E2217" s="49">
        <v>1</v>
      </c>
      <c r="F2217" t="s">
        <v>4271</v>
      </c>
      <c r="G2217" t="s">
        <v>21</v>
      </c>
      <c r="H2217" t="s">
        <v>37</v>
      </c>
      <c r="I2217" s="13">
        <v>279000</v>
      </c>
      <c r="J2217" s="13">
        <v>204000</v>
      </c>
      <c r="K2217" s="13">
        <f>IF(J2217&lt;'Mapa Oficinas'!$I$21,0,IF(J2217&gt;'Mapa Oficinas'!$I$20,0,1))</f>
        <v>1</v>
      </c>
      <c r="L2217" t="s">
        <v>23</v>
      </c>
      <c r="M2217" t="s">
        <v>23</v>
      </c>
      <c r="N2217" t="s">
        <v>4272</v>
      </c>
      <c r="O2217" t="s">
        <v>33</v>
      </c>
      <c r="P2217" t="s">
        <v>34</v>
      </c>
      <c r="Q2217">
        <v>1</v>
      </c>
      <c r="R2217" t="s">
        <v>110</v>
      </c>
      <c r="S2217" t="s">
        <v>47</v>
      </c>
      <c r="T2217" t="str">
        <f>VLOOKUP(S2217,'Mapa Oficinas'!$H$7:$I$16,2,FALSE)</f>
        <v>Otra Red Búsqueda</v>
      </c>
      <c r="U2217" t="s">
        <v>29</v>
      </c>
      <c r="V2217" t="str">
        <f>VLOOKUP($R2217,'Mapa Oficinas'!$A$7:$C$46,2,FALSE)</f>
        <v>Zona Norte (GBA)</v>
      </c>
      <c r="W2217" t="str">
        <f>VLOOKUP($R2217,'Mapa Oficinas'!$A$7:$C$46,3,FALSE)</f>
        <v>Nordelta</v>
      </c>
    </row>
    <row r="2218" spans="1:23" x14ac:dyDescent="0.2">
      <c r="A2218" s="1">
        <v>45898</v>
      </c>
      <c r="B2218" s="20">
        <f t="shared" si="68"/>
        <v>2025</v>
      </c>
      <c r="C2218" s="20">
        <f t="shared" si="69"/>
        <v>8</v>
      </c>
      <c r="D2218" t="s">
        <v>3904</v>
      </c>
      <c r="E2218" s="49">
        <v>1</v>
      </c>
      <c r="F2218" t="s">
        <v>3905</v>
      </c>
      <c r="G2218" t="s">
        <v>21</v>
      </c>
      <c r="H2218" t="s">
        <v>37</v>
      </c>
      <c r="I2218" s="13">
        <v>210000</v>
      </c>
      <c r="J2218" s="13">
        <v>204000</v>
      </c>
      <c r="K2218" s="13">
        <f>IF(J2218&lt;'Mapa Oficinas'!$I$21,0,IF(J2218&gt;'Mapa Oficinas'!$I$20,0,1))</f>
        <v>1</v>
      </c>
      <c r="L2218" t="s">
        <v>23</v>
      </c>
      <c r="M2218" t="s">
        <v>23</v>
      </c>
      <c r="N2218" t="s">
        <v>3906</v>
      </c>
      <c r="O2218" t="s">
        <v>199</v>
      </c>
      <c r="P2218" t="s">
        <v>45</v>
      </c>
      <c r="Q2218">
        <v>2</v>
      </c>
      <c r="R2218" t="s">
        <v>110</v>
      </c>
      <c r="S2218" t="s">
        <v>28</v>
      </c>
      <c r="T2218" t="str">
        <f>VLOOKUP(S2218,'Mapa Oficinas'!$H$7:$I$16,2,FALSE)</f>
        <v>CB</v>
      </c>
      <c r="U2218" t="s">
        <v>29</v>
      </c>
      <c r="V2218" t="str">
        <f>VLOOKUP($R2218,'Mapa Oficinas'!$A$7:$C$46,2,FALSE)</f>
        <v>Zona Norte (GBA)</v>
      </c>
      <c r="W2218" t="str">
        <f>VLOOKUP($R2218,'Mapa Oficinas'!$A$7:$C$46,3,FALSE)</f>
        <v>Nordelta</v>
      </c>
    </row>
    <row r="2219" spans="1:23" x14ac:dyDescent="0.2">
      <c r="A2219" s="1">
        <v>45930</v>
      </c>
      <c r="B2219" s="20">
        <f t="shared" si="68"/>
        <v>2025</v>
      </c>
      <c r="C2219" s="20">
        <f t="shared" si="69"/>
        <v>9</v>
      </c>
      <c r="D2219" t="s">
        <v>4435</v>
      </c>
      <c r="E2219" s="49">
        <v>1</v>
      </c>
      <c r="F2219" t="s">
        <v>4436</v>
      </c>
      <c r="G2219" t="s">
        <v>21</v>
      </c>
      <c r="H2219" t="s">
        <v>76</v>
      </c>
      <c r="I2219" s="13">
        <v>219000</v>
      </c>
      <c r="J2219" s="13">
        <v>205000</v>
      </c>
      <c r="K2219" s="13">
        <f>IF(J2219&lt;'Mapa Oficinas'!$I$21,0,IF(J2219&gt;'Mapa Oficinas'!$I$20,0,1))</f>
        <v>1</v>
      </c>
      <c r="L2219" t="s">
        <v>23</v>
      </c>
      <c r="M2219" t="s">
        <v>23</v>
      </c>
      <c r="N2219" t="s">
        <v>4437</v>
      </c>
      <c r="O2219" t="s">
        <v>1222</v>
      </c>
      <c r="P2219" t="s">
        <v>45</v>
      </c>
      <c r="Q2219">
        <v>2</v>
      </c>
      <c r="R2219" t="s">
        <v>257</v>
      </c>
      <c r="S2219" t="s">
        <v>79</v>
      </c>
      <c r="T2219" t="str">
        <f>VLOOKUP(S2219,'Mapa Oficinas'!$H$7:$I$16,2,FALSE)</f>
        <v>CB</v>
      </c>
      <c r="U2219" t="s">
        <v>29</v>
      </c>
      <c r="V2219" t="str">
        <f>VLOOKUP($R2219,'Mapa Oficinas'!$A$7:$C$46,2,FALSE)</f>
        <v>Zona Norte (GBA)</v>
      </c>
      <c r="W2219" t="str">
        <f>VLOOKUP($R2219,'Mapa Oficinas'!$A$7:$C$46,3,FALSE)</f>
        <v>Pilar</v>
      </c>
    </row>
    <row r="2220" spans="1:23" x14ac:dyDescent="0.2">
      <c r="A2220" s="1">
        <v>46021</v>
      </c>
      <c r="B2220" s="20">
        <f t="shared" si="68"/>
        <v>2025</v>
      </c>
      <c r="C2220" s="20">
        <f t="shared" si="69"/>
        <v>12</v>
      </c>
      <c r="D2220" t="s">
        <v>6078</v>
      </c>
      <c r="E2220" s="49">
        <v>1</v>
      </c>
      <c r="F2220" t="s">
        <v>6079</v>
      </c>
      <c r="G2220" t="s">
        <v>21</v>
      </c>
      <c r="H2220" t="s">
        <v>37</v>
      </c>
      <c r="I2220" s="13">
        <v>220000</v>
      </c>
      <c r="J2220" s="13">
        <v>205000</v>
      </c>
      <c r="K2220" s="13">
        <f>IF(J2220&lt;'Mapa Oficinas'!$I$21,0,IF(J2220&gt;'Mapa Oficinas'!$I$20,0,1))</f>
        <v>1</v>
      </c>
      <c r="L2220" t="s">
        <v>23</v>
      </c>
      <c r="M2220" t="s">
        <v>23</v>
      </c>
      <c r="N2220" t="s">
        <v>6080</v>
      </c>
      <c r="O2220" t="s">
        <v>193</v>
      </c>
      <c r="P2220" t="s">
        <v>34</v>
      </c>
      <c r="Q2220">
        <v>1</v>
      </c>
      <c r="R2220" t="s">
        <v>110</v>
      </c>
      <c r="S2220" t="s">
        <v>47</v>
      </c>
      <c r="T2220" t="str">
        <f>VLOOKUP(S2220,'Mapa Oficinas'!$H$7:$I$16,2,FALSE)</f>
        <v>Otra Red Búsqueda</v>
      </c>
      <c r="U2220" t="s">
        <v>29</v>
      </c>
      <c r="V2220" t="str">
        <f>VLOOKUP($R2220,'Mapa Oficinas'!$A$7:$C$46,2,FALSE)</f>
        <v>Zona Norte (GBA)</v>
      </c>
      <c r="W2220" t="str">
        <f>VLOOKUP($R2220,'Mapa Oficinas'!$A$7:$C$46,3,FALSE)</f>
        <v>Nordelta</v>
      </c>
    </row>
    <row r="2221" spans="1:23" x14ac:dyDescent="0.2">
      <c r="A2221" s="1">
        <v>45891</v>
      </c>
      <c r="B2221" s="20">
        <f t="shared" si="68"/>
        <v>2025</v>
      </c>
      <c r="C2221" s="20">
        <f t="shared" si="69"/>
        <v>8</v>
      </c>
      <c r="D2221" t="s">
        <v>3727</v>
      </c>
      <c r="E2221" s="49">
        <v>1</v>
      </c>
      <c r="F2221" t="s">
        <v>3728</v>
      </c>
      <c r="G2221" t="s">
        <v>21</v>
      </c>
      <c r="H2221" t="s">
        <v>37</v>
      </c>
      <c r="I2221" s="13">
        <v>215000</v>
      </c>
      <c r="J2221" s="13">
        <v>205000</v>
      </c>
      <c r="K2221" s="13">
        <f>IF(J2221&lt;'Mapa Oficinas'!$I$21,0,IF(J2221&gt;'Mapa Oficinas'!$I$20,0,1))</f>
        <v>1</v>
      </c>
      <c r="L2221" t="s">
        <v>23</v>
      </c>
      <c r="M2221" t="s">
        <v>23</v>
      </c>
      <c r="N2221" t="s">
        <v>3729</v>
      </c>
      <c r="O2221" t="s">
        <v>1196</v>
      </c>
      <c r="P2221" t="s">
        <v>45</v>
      </c>
      <c r="Q2221">
        <v>2</v>
      </c>
      <c r="R2221" t="s">
        <v>67</v>
      </c>
      <c r="S2221" t="s">
        <v>200</v>
      </c>
      <c r="T2221" t="str">
        <f>VLOOKUP(S2221,'Mapa Oficinas'!$H$7:$I$16,2,FALSE)</f>
        <v>Otra Red Captación</v>
      </c>
      <c r="U2221" t="s">
        <v>29</v>
      </c>
      <c r="V2221" t="str">
        <f>VLOOKUP($R2221,'Mapa Oficinas'!$A$7:$C$46,2,FALSE)</f>
        <v>CABA</v>
      </c>
      <c r="W2221" t="str">
        <f>VLOOKUP($R2221,'Mapa Oficinas'!$A$7:$C$46,3,FALSE)</f>
        <v>Barrio Parque</v>
      </c>
    </row>
    <row r="2222" spans="1:23" x14ac:dyDescent="0.2">
      <c r="A2222" s="1">
        <v>46017</v>
      </c>
      <c r="B2222" s="20">
        <f t="shared" si="68"/>
        <v>2025</v>
      </c>
      <c r="C2222" s="20">
        <f t="shared" si="69"/>
        <v>12</v>
      </c>
      <c r="D2222" t="s">
        <v>6032</v>
      </c>
      <c r="E2222" s="49">
        <v>1</v>
      </c>
      <c r="F2222" t="s">
        <v>6033</v>
      </c>
      <c r="G2222" t="s">
        <v>21</v>
      </c>
      <c r="H2222" t="s">
        <v>37</v>
      </c>
      <c r="I2222" s="13">
        <v>215000</v>
      </c>
      <c r="J2222" s="13">
        <v>205000</v>
      </c>
      <c r="K2222" s="13">
        <f>IF(J2222&lt;'Mapa Oficinas'!$I$21,0,IF(J2222&gt;'Mapa Oficinas'!$I$20,0,1))</f>
        <v>1</v>
      </c>
      <c r="L2222" t="s">
        <v>23</v>
      </c>
      <c r="M2222" t="s">
        <v>23</v>
      </c>
      <c r="N2222" t="s">
        <v>6034</v>
      </c>
      <c r="O2222" t="s">
        <v>50</v>
      </c>
      <c r="P2222" t="s">
        <v>45</v>
      </c>
      <c r="Q2222">
        <v>2</v>
      </c>
      <c r="R2222" t="s">
        <v>170</v>
      </c>
      <c r="S2222" t="s">
        <v>200</v>
      </c>
      <c r="T2222" t="str">
        <f>VLOOKUP(S2222,'Mapa Oficinas'!$H$7:$I$16,2,FALSE)</f>
        <v>Otra Red Captación</v>
      </c>
      <c r="U2222" t="s">
        <v>29</v>
      </c>
      <c r="V2222" t="str">
        <f>VLOOKUP($R2222,'Mapa Oficinas'!$A$7:$C$46,2,FALSE)</f>
        <v>CABA</v>
      </c>
      <c r="W2222" t="str">
        <f>VLOOKUP($R2222,'Mapa Oficinas'!$A$7:$C$46,3,FALSE)</f>
        <v>Belgrano</v>
      </c>
    </row>
    <row r="2223" spans="1:23" x14ac:dyDescent="0.2">
      <c r="A2223" s="1">
        <v>45771</v>
      </c>
      <c r="B2223" s="20">
        <f t="shared" si="68"/>
        <v>2025</v>
      </c>
      <c r="C2223" s="20">
        <f t="shared" si="69"/>
        <v>4</v>
      </c>
      <c r="D2223" t="s">
        <v>1613</v>
      </c>
      <c r="E2223" s="49">
        <v>3</v>
      </c>
      <c r="F2223" t="s">
        <v>1614</v>
      </c>
      <c r="G2223" t="s">
        <v>21</v>
      </c>
      <c r="H2223" t="s">
        <v>37</v>
      </c>
      <c r="I2223" s="13">
        <v>220000</v>
      </c>
      <c r="J2223" s="13">
        <v>205000</v>
      </c>
      <c r="K2223" s="13">
        <f>IF(J2223&lt;'Mapa Oficinas'!$I$21,0,IF(J2223&gt;'Mapa Oficinas'!$I$20,0,1))</f>
        <v>1</v>
      </c>
      <c r="L2223" t="s">
        <v>23</v>
      </c>
      <c r="M2223" t="s">
        <v>23</v>
      </c>
      <c r="N2223" t="s">
        <v>1615</v>
      </c>
      <c r="O2223" t="s">
        <v>190</v>
      </c>
      <c r="P2223" t="s">
        <v>45</v>
      </c>
      <c r="Q2223">
        <v>2</v>
      </c>
      <c r="R2223" t="s">
        <v>110</v>
      </c>
      <c r="S2223" t="s">
        <v>232</v>
      </c>
      <c r="T2223" t="str">
        <f>VLOOKUP(S2223,'Mapa Oficinas'!$H$7:$I$16,2,FALSE)</f>
        <v>CB</v>
      </c>
      <c r="U2223" t="s">
        <v>29</v>
      </c>
      <c r="V2223" t="str">
        <f>VLOOKUP($R2223,'Mapa Oficinas'!$A$7:$C$46,2,FALSE)</f>
        <v>Zona Norte (GBA)</v>
      </c>
      <c r="W2223" t="str">
        <f>VLOOKUP($R2223,'Mapa Oficinas'!$A$7:$C$46,3,FALSE)</f>
        <v>Nordelta</v>
      </c>
    </row>
    <row r="2224" spans="1:23" x14ac:dyDescent="0.2">
      <c r="A2224" s="1">
        <v>46063</v>
      </c>
      <c r="B2224" s="20">
        <f t="shared" si="68"/>
        <v>2026</v>
      </c>
      <c r="C2224" s="20">
        <f t="shared" si="69"/>
        <v>2</v>
      </c>
      <c r="D2224" t="s">
        <v>6631</v>
      </c>
      <c r="E2224" s="49">
        <v>3</v>
      </c>
      <c r="F2224" t="s">
        <v>6632</v>
      </c>
      <c r="G2224" t="s">
        <v>21</v>
      </c>
      <c r="H2224" t="s">
        <v>76</v>
      </c>
      <c r="I2224" s="13">
        <v>210000</v>
      </c>
      <c r="J2224" s="13">
        <v>205000</v>
      </c>
      <c r="K2224" s="13">
        <f>IF(J2224&lt;'Mapa Oficinas'!$I$21,0,IF(J2224&gt;'Mapa Oficinas'!$I$20,0,1))</f>
        <v>1</v>
      </c>
      <c r="L2224" t="s">
        <v>23</v>
      </c>
      <c r="M2224" t="s">
        <v>23</v>
      </c>
      <c r="N2224" t="s">
        <v>1349</v>
      </c>
      <c r="O2224" t="s">
        <v>727</v>
      </c>
      <c r="P2224" t="s">
        <v>26</v>
      </c>
      <c r="Q2224">
        <v>2</v>
      </c>
      <c r="R2224" t="s">
        <v>257</v>
      </c>
      <c r="S2224" t="s">
        <v>241</v>
      </c>
      <c r="T2224" t="str">
        <f>VLOOKUP(S2224,'Mapa Oficinas'!$H$7:$I$16,2,FALSE)</f>
        <v>CB</v>
      </c>
      <c r="U2224" t="s">
        <v>29</v>
      </c>
      <c r="V2224" t="str">
        <f>VLOOKUP($R2224,'Mapa Oficinas'!$A$7:$C$46,2,FALSE)</f>
        <v>Zona Norte (GBA)</v>
      </c>
      <c r="W2224" t="str">
        <f>VLOOKUP($R2224,'Mapa Oficinas'!$A$7:$C$46,3,FALSE)</f>
        <v>Pilar</v>
      </c>
    </row>
    <row r="2225" spans="1:23" x14ac:dyDescent="0.2">
      <c r="A2225" s="1">
        <v>45741</v>
      </c>
      <c r="B2225" s="20">
        <f t="shared" si="68"/>
        <v>2025</v>
      </c>
      <c r="C2225" s="20">
        <f t="shared" si="69"/>
        <v>3</v>
      </c>
      <c r="D2225" t="s">
        <v>1091</v>
      </c>
      <c r="E2225" s="49">
        <v>1</v>
      </c>
      <c r="F2225" t="s">
        <v>1092</v>
      </c>
      <c r="G2225" t="s">
        <v>21</v>
      </c>
      <c r="H2225" t="s">
        <v>90</v>
      </c>
      <c r="I2225" s="13">
        <v>215000</v>
      </c>
      <c r="J2225" s="13">
        <v>205000</v>
      </c>
      <c r="K2225" s="13">
        <f>IF(J2225&lt;'Mapa Oficinas'!$I$21,0,IF(J2225&gt;'Mapa Oficinas'!$I$20,0,1))</f>
        <v>1</v>
      </c>
      <c r="L2225" t="s">
        <v>23</v>
      </c>
      <c r="M2225" t="s">
        <v>23</v>
      </c>
      <c r="N2225" t="s">
        <v>1093</v>
      </c>
      <c r="O2225" t="s">
        <v>1094</v>
      </c>
      <c r="P2225" t="s">
        <v>45</v>
      </c>
      <c r="Q2225">
        <v>2</v>
      </c>
      <c r="R2225" t="s">
        <v>62</v>
      </c>
      <c r="S2225" t="s">
        <v>28</v>
      </c>
      <c r="T2225" t="str">
        <f>VLOOKUP(S2225,'Mapa Oficinas'!$H$7:$I$16,2,FALSE)</f>
        <v>CB</v>
      </c>
      <c r="U2225" t="s">
        <v>29</v>
      </c>
      <c r="V2225" t="str">
        <f>VLOOKUP($R2225,'Mapa Oficinas'!$A$7:$C$46,2,FALSE)</f>
        <v>CABA</v>
      </c>
      <c r="W2225" t="str">
        <f>VLOOKUP($R2225,'Mapa Oficinas'!$A$7:$C$46,3,FALSE)</f>
        <v>Villa Urquiza</v>
      </c>
    </row>
    <row r="2226" spans="1:23" x14ac:dyDescent="0.2">
      <c r="A2226" s="1">
        <v>45750</v>
      </c>
      <c r="B2226" s="20">
        <f t="shared" si="68"/>
        <v>2025</v>
      </c>
      <c r="C2226" s="20">
        <f t="shared" si="69"/>
        <v>4</v>
      </c>
      <c r="D2226" t="s">
        <v>1268</v>
      </c>
      <c r="E2226" s="49">
        <v>1</v>
      </c>
      <c r="F2226" t="s">
        <v>1269</v>
      </c>
      <c r="G2226" t="s">
        <v>21</v>
      </c>
      <c r="H2226" t="s">
        <v>37</v>
      </c>
      <c r="I2226" s="13">
        <v>225000</v>
      </c>
      <c r="J2226" s="13">
        <v>205000</v>
      </c>
      <c r="K2226" s="13">
        <f>IF(J2226&lt;'Mapa Oficinas'!$I$21,0,IF(J2226&gt;'Mapa Oficinas'!$I$20,0,1))</f>
        <v>1</v>
      </c>
      <c r="L2226" t="s">
        <v>23</v>
      </c>
      <c r="M2226" t="s">
        <v>23</v>
      </c>
      <c r="N2226" t="s">
        <v>1270</v>
      </c>
      <c r="O2226" t="s">
        <v>50</v>
      </c>
      <c r="P2226" t="s">
        <v>45</v>
      </c>
      <c r="Q2226">
        <v>2</v>
      </c>
      <c r="R2226" t="s">
        <v>135</v>
      </c>
      <c r="S2226" t="s">
        <v>28</v>
      </c>
      <c r="T2226" t="str">
        <f>VLOOKUP(S2226,'Mapa Oficinas'!$H$7:$I$16,2,FALSE)</f>
        <v>CB</v>
      </c>
      <c r="U2226" t="s">
        <v>29</v>
      </c>
      <c r="V2226" t="str">
        <f>VLOOKUP($R2226,'Mapa Oficinas'!$A$7:$C$46,2,FALSE)</f>
        <v>CABA</v>
      </c>
      <c r="W2226" t="str">
        <f>VLOOKUP($R2226,'Mapa Oficinas'!$A$7:$C$46,3,FALSE)</f>
        <v>Recoleta</v>
      </c>
    </row>
    <row r="2227" spans="1:23" x14ac:dyDescent="0.2">
      <c r="A2227" s="1">
        <v>45846</v>
      </c>
      <c r="B2227" s="20">
        <f t="shared" si="68"/>
        <v>2025</v>
      </c>
      <c r="C2227" s="20">
        <f t="shared" si="69"/>
        <v>7</v>
      </c>
      <c r="D2227" t="s">
        <v>2935</v>
      </c>
      <c r="E2227" s="49">
        <v>1</v>
      </c>
      <c r="F2227" t="s">
        <v>2936</v>
      </c>
      <c r="G2227" t="s">
        <v>21</v>
      </c>
      <c r="H2227" t="s">
        <v>37</v>
      </c>
      <c r="I2227" s="13">
        <v>1200</v>
      </c>
      <c r="J2227" s="13">
        <v>205000</v>
      </c>
      <c r="K2227" s="13">
        <f>IF(J2227&lt;'Mapa Oficinas'!$I$21,0,IF(J2227&gt;'Mapa Oficinas'!$I$20,0,1))</f>
        <v>1</v>
      </c>
      <c r="L2227" t="s">
        <v>23</v>
      </c>
      <c r="M2227" t="s">
        <v>23</v>
      </c>
      <c r="N2227" t="s">
        <v>2937</v>
      </c>
      <c r="O2227" t="s">
        <v>1316</v>
      </c>
      <c r="P2227" t="s">
        <v>34</v>
      </c>
      <c r="Q2227">
        <v>2</v>
      </c>
      <c r="R2227" t="s">
        <v>110</v>
      </c>
      <c r="S2227" t="s">
        <v>28</v>
      </c>
      <c r="T2227" t="str">
        <f>VLOOKUP(S2227,'Mapa Oficinas'!$H$7:$I$16,2,FALSE)</f>
        <v>CB</v>
      </c>
      <c r="U2227" t="s">
        <v>29</v>
      </c>
      <c r="V2227" t="str">
        <f>VLOOKUP($R2227,'Mapa Oficinas'!$A$7:$C$46,2,FALSE)</f>
        <v>Zona Norte (GBA)</v>
      </c>
      <c r="W2227" t="str">
        <f>VLOOKUP($R2227,'Mapa Oficinas'!$A$7:$C$46,3,FALSE)</f>
        <v>Nordelta</v>
      </c>
    </row>
    <row r="2228" spans="1:23" x14ac:dyDescent="0.2">
      <c r="A2228" s="1">
        <v>45951</v>
      </c>
      <c r="B2228" s="20">
        <f t="shared" si="68"/>
        <v>2025</v>
      </c>
      <c r="C2228" s="20">
        <f t="shared" si="69"/>
        <v>10</v>
      </c>
      <c r="D2228" t="s">
        <v>4822</v>
      </c>
      <c r="E2228" s="49">
        <v>1</v>
      </c>
      <c r="F2228" t="s">
        <v>4823</v>
      </c>
      <c r="G2228" t="s">
        <v>21</v>
      </c>
      <c r="H2228" t="s">
        <v>37</v>
      </c>
      <c r="I2228" s="13">
        <v>220000</v>
      </c>
      <c r="J2228" s="13">
        <v>205000</v>
      </c>
      <c r="K2228" s="13">
        <f>IF(J2228&lt;'Mapa Oficinas'!$I$21,0,IF(J2228&gt;'Mapa Oficinas'!$I$20,0,1))</f>
        <v>1</v>
      </c>
      <c r="L2228" t="s">
        <v>23</v>
      </c>
      <c r="M2228" t="s">
        <v>23</v>
      </c>
      <c r="N2228" t="s">
        <v>4824</v>
      </c>
      <c r="O2228" t="s">
        <v>2222</v>
      </c>
      <c r="P2228" t="s">
        <v>45</v>
      </c>
      <c r="Q2228">
        <v>2</v>
      </c>
      <c r="R2228" t="s">
        <v>56</v>
      </c>
      <c r="S2228" t="s">
        <v>28</v>
      </c>
      <c r="T2228" t="str">
        <f>VLOOKUP(S2228,'Mapa Oficinas'!$H$7:$I$16,2,FALSE)</f>
        <v>CB</v>
      </c>
      <c r="U2228" t="s">
        <v>29</v>
      </c>
      <c r="V2228" t="str">
        <f>VLOOKUP($R2228,'Mapa Oficinas'!$A$7:$C$46,2,FALSE)</f>
        <v>Zona Norte (GBA)</v>
      </c>
      <c r="W2228" t="str">
        <f>VLOOKUP($R2228,'Mapa Oficinas'!$A$7:$C$46,3,FALSE)</f>
        <v>Vicente López</v>
      </c>
    </row>
    <row r="2229" spans="1:23" x14ac:dyDescent="0.2">
      <c r="A2229" s="1">
        <v>46006</v>
      </c>
      <c r="B2229" s="20">
        <f t="shared" si="68"/>
        <v>2025</v>
      </c>
      <c r="C2229" s="20">
        <f t="shared" si="69"/>
        <v>12</v>
      </c>
      <c r="D2229" t="s">
        <v>5798</v>
      </c>
      <c r="E2229" s="49">
        <v>1</v>
      </c>
      <c r="F2229" t="s">
        <v>5799</v>
      </c>
      <c r="G2229" t="s">
        <v>21</v>
      </c>
      <c r="H2229" t="s">
        <v>37</v>
      </c>
      <c r="I2229" s="13">
        <v>219000</v>
      </c>
      <c r="J2229" s="13">
        <v>205000</v>
      </c>
      <c r="K2229" s="13">
        <f>IF(J2229&lt;'Mapa Oficinas'!$I$21,0,IF(J2229&gt;'Mapa Oficinas'!$I$20,0,1))</f>
        <v>1</v>
      </c>
      <c r="L2229" t="s">
        <v>23</v>
      </c>
      <c r="M2229" t="s">
        <v>23</v>
      </c>
      <c r="N2229" t="s">
        <v>5800</v>
      </c>
      <c r="O2229" t="s">
        <v>141</v>
      </c>
      <c r="P2229" t="s">
        <v>45</v>
      </c>
      <c r="Q2229">
        <v>2</v>
      </c>
      <c r="R2229" t="s">
        <v>46</v>
      </c>
      <c r="S2229" t="s">
        <v>28</v>
      </c>
      <c r="T2229" t="str">
        <f>VLOOKUP(S2229,'Mapa Oficinas'!$H$7:$I$16,2,FALSE)</f>
        <v>CB</v>
      </c>
      <c r="U2229" t="s">
        <v>29</v>
      </c>
      <c r="V2229" t="str">
        <f>VLOOKUP($R2229,'Mapa Oficinas'!$A$7:$C$46,2,FALSE)</f>
        <v>CABA</v>
      </c>
      <c r="W2229" t="str">
        <f>VLOOKUP($R2229,'Mapa Oficinas'!$A$7:$C$46,3,FALSE)</f>
        <v>Palermo</v>
      </c>
    </row>
    <row r="2230" spans="1:23" x14ac:dyDescent="0.2">
      <c r="A2230" s="1">
        <v>46051</v>
      </c>
      <c r="B2230" s="20">
        <f t="shared" si="68"/>
        <v>2026</v>
      </c>
      <c r="C2230" s="20">
        <f t="shared" si="69"/>
        <v>1</v>
      </c>
      <c r="D2230" t="s">
        <v>6459</v>
      </c>
      <c r="E2230" s="49">
        <v>1</v>
      </c>
      <c r="F2230" t="s">
        <v>6460</v>
      </c>
      <c r="G2230" t="s">
        <v>21</v>
      </c>
      <c r="H2230" t="s">
        <v>37</v>
      </c>
      <c r="I2230" s="13">
        <v>198000</v>
      </c>
      <c r="J2230" s="13">
        <v>205000</v>
      </c>
      <c r="K2230" s="13">
        <f>IF(J2230&lt;'Mapa Oficinas'!$I$21,0,IF(J2230&gt;'Mapa Oficinas'!$I$20,0,1))</f>
        <v>1</v>
      </c>
      <c r="L2230" t="s">
        <v>23</v>
      </c>
      <c r="M2230" t="s">
        <v>23</v>
      </c>
      <c r="N2230" t="s">
        <v>4088</v>
      </c>
      <c r="O2230" t="s">
        <v>265</v>
      </c>
      <c r="P2230" t="s">
        <v>45</v>
      </c>
      <c r="Q2230">
        <v>2</v>
      </c>
      <c r="R2230" t="s">
        <v>67</v>
      </c>
      <c r="S2230" t="s">
        <v>28</v>
      </c>
      <c r="T2230" t="str">
        <f>VLOOKUP(S2230,'Mapa Oficinas'!$H$7:$I$16,2,FALSE)</f>
        <v>CB</v>
      </c>
      <c r="U2230" t="s">
        <v>29</v>
      </c>
      <c r="V2230" t="str">
        <f>VLOOKUP($R2230,'Mapa Oficinas'!$A$7:$C$46,2,FALSE)</f>
        <v>CABA</v>
      </c>
      <c r="W2230" t="str">
        <f>VLOOKUP($R2230,'Mapa Oficinas'!$A$7:$C$46,3,FALSE)</f>
        <v>Barrio Parque</v>
      </c>
    </row>
    <row r="2231" spans="1:23" x14ac:dyDescent="0.2">
      <c r="A2231" s="1">
        <v>46059</v>
      </c>
      <c r="B2231" s="20">
        <f t="shared" si="68"/>
        <v>2026</v>
      </c>
      <c r="C2231" s="20">
        <f t="shared" si="69"/>
        <v>2</v>
      </c>
      <c r="D2231" t="s">
        <v>6575</v>
      </c>
      <c r="E2231" s="49">
        <v>1</v>
      </c>
      <c r="F2231" t="s">
        <v>6576</v>
      </c>
      <c r="G2231" t="s">
        <v>21</v>
      </c>
      <c r="H2231" t="s">
        <v>37</v>
      </c>
      <c r="I2231" s="13">
        <v>219000</v>
      </c>
      <c r="J2231" s="13">
        <v>205000</v>
      </c>
      <c r="K2231" s="13">
        <f>IF(J2231&lt;'Mapa Oficinas'!$I$21,0,IF(J2231&gt;'Mapa Oficinas'!$I$20,0,1))</f>
        <v>1</v>
      </c>
      <c r="L2231" t="s">
        <v>23</v>
      </c>
      <c r="M2231" t="s">
        <v>23</v>
      </c>
      <c r="N2231" t="s">
        <v>6577</v>
      </c>
      <c r="O2231" t="s">
        <v>66</v>
      </c>
      <c r="P2231" t="s">
        <v>45</v>
      </c>
      <c r="Q2231">
        <v>2</v>
      </c>
      <c r="R2231" t="s">
        <v>257</v>
      </c>
      <c r="S2231" t="s">
        <v>28</v>
      </c>
      <c r="T2231" t="str">
        <f>VLOOKUP(S2231,'Mapa Oficinas'!$H$7:$I$16,2,FALSE)</f>
        <v>CB</v>
      </c>
      <c r="U2231" t="s">
        <v>29</v>
      </c>
      <c r="V2231" t="str">
        <f>VLOOKUP($R2231,'Mapa Oficinas'!$A$7:$C$46,2,FALSE)</f>
        <v>Zona Norte (GBA)</v>
      </c>
      <c r="W2231" t="str">
        <f>VLOOKUP($R2231,'Mapa Oficinas'!$A$7:$C$46,3,FALSE)</f>
        <v>Pilar</v>
      </c>
    </row>
    <row r="2232" spans="1:23" x14ac:dyDescent="0.2">
      <c r="A2232" s="1">
        <v>46107</v>
      </c>
      <c r="B2232" s="20">
        <f t="shared" si="68"/>
        <v>2026</v>
      </c>
      <c r="C2232" s="20">
        <f t="shared" si="69"/>
        <v>3</v>
      </c>
      <c r="D2232" t="s">
        <v>7444</v>
      </c>
      <c r="E2232" s="49">
        <v>1</v>
      </c>
      <c r="F2232" t="s">
        <v>7445</v>
      </c>
      <c r="G2232" t="s">
        <v>21</v>
      </c>
      <c r="H2232" t="s">
        <v>37</v>
      </c>
      <c r="I2232" s="13">
        <v>215000</v>
      </c>
      <c r="J2232" s="13">
        <v>205000</v>
      </c>
      <c r="K2232" s="13">
        <f>IF(J2232&lt;'Mapa Oficinas'!$I$21,0,IF(J2232&gt;'Mapa Oficinas'!$I$20,0,1))</f>
        <v>1</v>
      </c>
      <c r="L2232" t="s">
        <v>23</v>
      </c>
      <c r="M2232" t="s">
        <v>23</v>
      </c>
      <c r="N2232" t="s">
        <v>7446</v>
      </c>
      <c r="O2232" t="s">
        <v>1196</v>
      </c>
      <c r="P2232" t="s">
        <v>61</v>
      </c>
      <c r="Q2232">
        <v>2</v>
      </c>
      <c r="R2232" t="s">
        <v>67</v>
      </c>
      <c r="S2232" t="s">
        <v>28</v>
      </c>
      <c r="T2232" t="str">
        <f>VLOOKUP(S2232,'Mapa Oficinas'!$H$7:$I$16,2,FALSE)</f>
        <v>CB</v>
      </c>
      <c r="U2232" t="s">
        <v>29</v>
      </c>
      <c r="V2232" t="str">
        <f>VLOOKUP($R2232,'Mapa Oficinas'!$A$7:$C$46,2,FALSE)</f>
        <v>CABA</v>
      </c>
      <c r="W2232" t="str">
        <f>VLOOKUP($R2232,'Mapa Oficinas'!$A$7:$C$46,3,FALSE)</f>
        <v>Barrio Parque</v>
      </c>
    </row>
    <row r="2233" spans="1:23" x14ac:dyDescent="0.2">
      <c r="A2233" s="1">
        <v>45996</v>
      </c>
      <c r="B2233" s="20">
        <f t="shared" si="68"/>
        <v>2025</v>
      </c>
      <c r="C2233" s="20">
        <f t="shared" si="69"/>
        <v>12</v>
      </c>
      <c r="D2233" t="s">
        <v>5663</v>
      </c>
      <c r="E2233" s="49">
        <v>1</v>
      </c>
      <c r="F2233" t="s">
        <v>5664</v>
      </c>
      <c r="G2233" t="s">
        <v>21</v>
      </c>
      <c r="H2233" t="s">
        <v>100</v>
      </c>
      <c r="I2233" s="13">
        <v>203773</v>
      </c>
      <c r="J2233" s="13">
        <v>205985</v>
      </c>
      <c r="K2233" s="13">
        <f>IF(J2233&lt;'Mapa Oficinas'!$I$21,0,IF(J2233&gt;'Mapa Oficinas'!$I$20,0,1))</f>
        <v>1</v>
      </c>
      <c r="L2233" t="s">
        <v>23</v>
      </c>
      <c r="M2233" t="s">
        <v>23</v>
      </c>
      <c r="N2233" t="s">
        <v>288</v>
      </c>
      <c r="O2233" t="s">
        <v>209</v>
      </c>
      <c r="P2233" t="s">
        <v>45</v>
      </c>
      <c r="Q2233">
        <v>2</v>
      </c>
      <c r="R2233" t="s">
        <v>121</v>
      </c>
      <c r="S2233" t="s">
        <v>28</v>
      </c>
      <c r="T2233" t="str">
        <f>VLOOKUP(S2233,'Mapa Oficinas'!$H$7:$I$16,2,FALSE)</f>
        <v>CB</v>
      </c>
      <c r="U2233" t="s">
        <v>29</v>
      </c>
      <c r="V2233" t="str">
        <f>VLOOKUP($R2233,'Mapa Oficinas'!$A$7:$C$46,2,FALSE)</f>
        <v>Interior - Río Negro</v>
      </c>
      <c r="W2233" t="str">
        <f>VLOOKUP($R2233,'Mapa Oficinas'!$A$7:$C$46,3,FALSE)</f>
        <v>Bariloche</v>
      </c>
    </row>
    <row r="2234" spans="1:23" x14ac:dyDescent="0.2">
      <c r="A2234" s="1">
        <v>45814</v>
      </c>
      <c r="B2234" s="20">
        <f t="shared" si="68"/>
        <v>2025</v>
      </c>
      <c r="C2234" s="20">
        <f t="shared" si="69"/>
        <v>6</v>
      </c>
      <c r="D2234" t="s">
        <v>2371</v>
      </c>
      <c r="E2234" s="49">
        <v>1</v>
      </c>
      <c r="F2234" t="s">
        <v>2372</v>
      </c>
      <c r="G2234" t="s">
        <v>21</v>
      </c>
      <c r="H2234" t="s">
        <v>37</v>
      </c>
      <c r="I2234" s="13">
        <v>206000</v>
      </c>
      <c r="J2234" s="13">
        <v>206000</v>
      </c>
      <c r="K2234" s="13">
        <f>IF(J2234&lt;'Mapa Oficinas'!$I$21,0,IF(J2234&gt;'Mapa Oficinas'!$I$20,0,1))</f>
        <v>1</v>
      </c>
      <c r="L2234" t="s">
        <v>23</v>
      </c>
      <c r="M2234" t="s">
        <v>23</v>
      </c>
      <c r="N2234" t="s">
        <v>1290</v>
      </c>
      <c r="O2234" t="s">
        <v>408</v>
      </c>
      <c r="P2234" t="s">
        <v>45</v>
      </c>
      <c r="Q2234">
        <v>2</v>
      </c>
      <c r="R2234" t="s">
        <v>67</v>
      </c>
      <c r="S2234" t="s">
        <v>200</v>
      </c>
      <c r="T2234" t="str">
        <f>VLOOKUP(S2234,'Mapa Oficinas'!$H$7:$I$16,2,FALSE)</f>
        <v>Otra Red Captación</v>
      </c>
      <c r="U2234" t="s">
        <v>29</v>
      </c>
      <c r="V2234" t="str">
        <f>VLOOKUP($R2234,'Mapa Oficinas'!$A$7:$C$46,2,FALSE)</f>
        <v>CABA</v>
      </c>
      <c r="W2234" t="str">
        <f>VLOOKUP($R2234,'Mapa Oficinas'!$A$7:$C$46,3,FALSE)</f>
        <v>Barrio Parque</v>
      </c>
    </row>
    <row r="2235" spans="1:23" x14ac:dyDescent="0.2">
      <c r="A2235" s="1">
        <v>45669</v>
      </c>
      <c r="B2235" s="20">
        <f t="shared" si="68"/>
        <v>2025</v>
      </c>
      <c r="C2235" s="20">
        <f t="shared" si="69"/>
        <v>1</v>
      </c>
      <c r="D2235" t="s">
        <v>197</v>
      </c>
      <c r="E2235" s="49">
        <v>1</v>
      </c>
      <c r="F2235" t="s">
        <v>197</v>
      </c>
      <c r="G2235" t="s">
        <v>21</v>
      </c>
      <c r="H2235" t="s">
        <v>37</v>
      </c>
      <c r="I2235" s="13">
        <v>307200</v>
      </c>
      <c r="J2235" s="13">
        <v>206700</v>
      </c>
      <c r="K2235" s="13">
        <f>IF(J2235&lt;'Mapa Oficinas'!$I$21,0,IF(J2235&gt;'Mapa Oficinas'!$I$20,0,1))</f>
        <v>1</v>
      </c>
      <c r="L2235" t="s">
        <v>23</v>
      </c>
      <c r="M2235" t="s">
        <v>23</v>
      </c>
      <c r="N2235" t="s">
        <v>198</v>
      </c>
      <c r="O2235" t="s">
        <v>199</v>
      </c>
      <c r="P2235" t="s">
        <v>45</v>
      </c>
      <c r="Q2235">
        <v>2</v>
      </c>
      <c r="R2235" t="s">
        <v>110</v>
      </c>
      <c r="S2235" t="s">
        <v>200</v>
      </c>
      <c r="T2235" t="str">
        <f>VLOOKUP(S2235,'Mapa Oficinas'!$H$7:$I$16,2,FALSE)</f>
        <v>Otra Red Captación</v>
      </c>
      <c r="U2235" t="s">
        <v>29</v>
      </c>
      <c r="V2235" t="str">
        <f>VLOOKUP($R2235,'Mapa Oficinas'!$A$7:$C$46,2,FALSE)</f>
        <v>Zona Norte (GBA)</v>
      </c>
      <c r="W2235" t="str">
        <f>VLOOKUP($R2235,'Mapa Oficinas'!$A$7:$C$46,3,FALSE)</f>
        <v>Nordelta</v>
      </c>
    </row>
    <row r="2236" spans="1:23" x14ac:dyDescent="0.2">
      <c r="A2236" s="1">
        <v>46050</v>
      </c>
      <c r="B2236" s="20">
        <f t="shared" si="68"/>
        <v>2026</v>
      </c>
      <c r="C2236" s="20">
        <f t="shared" si="69"/>
        <v>1</v>
      </c>
      <c r="D2236" t="s">
        <v>1302</v>
      </c>
      <c r="E2236" s="49">
        <v>3</v>
      </c>
      <c r="F2236" t="s">
        <v>6447</v>
      </c>
      <c r="G2236" t="s">
        <v>21</v>
      </c>
      <c r="H2236" t="s">
        <v>76</v>
      </c>
      <c r="I2236" s="13">
        <v>210000</v>
      </c>
      <c r="J2236" s="13">
        <v>207500</v>
      </c>
      <c r="K2236" s="13">
        <f>IF(J2236&lt;'Mapa Oficinas'!$I$21,0,IF(J2236&gt;'Mapa Oficinas'!$I$20,0,1))</f>
        <v>1</v>
      </c>
      <c r="L2236" t="s">
        <v>23</v>
      </c>
      <c r="M2236" t="s">
        <v>23</v>
      </c>
      <c r="N2236" t="s">
        <v>1304</v>
      </c>
      <c r="O2236" t="s">
        <v>1305</v>
      </c>
      <c r="P2236" t="s">
        <v>26</v>
      </c>
      <c r="Q2236">
        <v>2</v>
      </c>
      <c r="R2236" t="s">
        <v>257</v>
      </c>
      <c r="S2236" t="s">
        <v>241</v>
      </c>
      <c r="T2236" t="str">
        <f>VLOOKUP(S2236,'Mapa Oficinas'!$H$7:$I$16,2,FALSE)</f>
        <v>CB</v>
      </c>
      <c r="U2236" t="s">
        <v>29</v>
      </c>
      <c r="V2236" t="str">
        <f>VLOOKUP($R2236,'Mapa Oficinas'!$A$7:$C$46,2,FALSE)</f>
        <v>Zona Norte (GBA)</v>
      </c>
      <c r="W2236" t="str">
        <f>VLOOKUP($R2236,'Mapa Oficinas'!$A$7:$C$46,3,FALSE)</f>
        <v>Pilar</v>
      </c>
    </row>
    <row r="2237" spans="1:23" x14ac:dyDescent="0.2">
      <c r="A2237" s="1">
        <v>45960</v>
      </c>
      <c r="B2237" s="20">
        <f t="shared" si="68"/>
        <v>2025</v>
      </c>
      <c r="C2237" s="20">
        <f t="shared" si="69"/>
        <v>10</v>
      </c>
      <c r="D2237" t="s">
        <v>5005</v>
      </c>
      <c r="E2237" s="49">
        <v>1</v>
      </c>
      <c r="F2237" t="s">
        <v>5006</v>
      </c>
      <c r="G2237" t="s">
        <v>21</v>
      </c>
      <c r="H2237" t="s">
        <v>22</v>
      </c>
      <c r="I2237" s="13">
        <v>210000</v>
      </c>
      <c r="J2237" s="13">
        <v>208000</v>
      </c>
      <c r="K2237" s="13">
        <f>IF(J2237&lt;'Mapa Oficinas'!$I$21,0,IF(J2237&gt;'Mapa Oficinas'!$I$20,0,1))</f>
        <v>1</v>
      </c>
      <c r="L2237" t="s">
        <v>23</v>
      </c>
      <c r="M2237" t="s">
        <v>23</v>
      </c>
      <c r="N2237" t="s">
        <v>5007</v>
      </c>
      <c r="O2237" t="s">
        <v>621</v>
      </c>
      <c r="P2237" t="s">
        <v>34</v>
      </c>
      <c r="Q2237">
        <v>1</v>
      </c>
      <c r="R2237" t="s">
        <v>110</v>
      </c>
      <c r="S2237" t="s">
        <v>47</v>
      </c>
      <c r="T2237" t="str">
        <f>VLOOKUP(S2237,'Mapa Oficinas'!$H$7:$I$16,2,FALSE)</f>
        <v>Otra Red Búsqueda</v>
      </c>
      <c r="U2237" t="s">
        <v>29</v>
      </c>
      <c r="V2237" t="str">
        <f>VLOOKUP($R2237,'Mapa Oficinas'!$A$7:$C$46,2,FALSE)</f>
        <v>Zona Norte (GBA)</v>
      </c>
      <c r="W2237" t="str">
        <f>VLOOKUP($R2237,'Mapa Oficinas'!$A$7:$C$46,3,FALSE)</f>
        <v>Nordelta</v>
      </c>
    </row>
    <row r="2238" spans="1:23" x14ac:dyDescent="0.2">
      <c r="A2238" s="1">
        <v>45706</v>
      </c>
      <c r="B2238" s="20">
        <f t="shared" si="68"/>
        <v>2025</v>
      </c>
      <c r="C2238" s="20">
        <f t="shared" si="69"/>
        <v>2</v>
      </c>
      <c r="D2238">
        <v>10298</v>
      </c>
      <c r="E2238" s="49">
        <v>1</v>
      </c>
      <c r="F2238" t="s">
        <v>671</v>
      </c>
      <c r="G2238" t="s">
        <v>21</v>
      </c>
      <c r="H2238" t="s">
        <v>37</v>
      </c>
      <c r="I2238" s="13">
        <v>0</v>
      </c>
      <c r="J2238" s="13">
        <v>210000</v>
      </c>
      <c r="K2238" s="13">
        <f>IF(J2238&lt;'Mapa Oficinas'!$I$21,0,IF(J2238&gt;'Mapa Oficinas'!$I$20,0,1))</f>
        <v>1</v>
      </c>
      <c r="L2238" t="s">
        <v>23</v>
      </c>
      <c r="M2238" t="s">
        <v>23</v>
      </c>
      <c r="O2238" t="s">
        <v>174</v>
      </c>
      <c r="P2238" t="s">
        <v>45</v>
      </c>
      <c r="Q2238">
        <v>1</v>
      </c>
      <c r="R2238" t="s">
        <v>67</v>
      </c>
      <c r="S2238" t="s">
        <v>47</v>
      </c>
      <c r="T2238" t="str">
        <f>VLOOKUP(S2238,'Mapa Oficinas'!$H$7:$I$16,2,FALSE)</f>
        <v>Otra Red Búsqueda</v>
      </c>
      <c r="U2238" t="s">
        <v>29</v>
      </c>
      <c r="V2238" t="str">
        <f>VLOOKUP($R2238,'Mapa Oficinas'!$A$7:$C$46,2,FALSE)</f>
        <v>CABA</v>
      </c>
      <c r="W2238" t="str">
        <f>VLOOKUP($R2238,'Mapa Oficinas'!$A$7:$C$46,3,FALSE)</f>
        <v>Barrio Parque</v>
      </c>
    </row>
    <row r="2239" spans="1:23" x14ac:dyDescent="0.2">
      <c r="A2239" s="1">
        <v>45706</v>
      </c>
      <c r="B2239" s="20">
        <f t="shared" si="68"/>
        <v>2025</v>
      </c>
      <c r="C2239" s="20">
        <f t="shared" si="69"/>
        <v>2</v>
      </c>
      <c r="D2239">
        <v>10298</v>
      </c>
      <c r="E2239" s="49">
        <v>1</v>
      </c>
      <c r="F2239" t="s">
        <v>671</v>
      </c>
      <c r="G2239" t="s">
        <v>21</v>
      </c>
      <c r="H2239" t="s">
        <v>37</v>
      </c>
      <c r="I2239" s="13">
        <v>0</v>
      </c>
      <c r="J2239" s="13">
        <v>210000</v>
      </c>
      <c r="K2239" s="13">
        <f>IF(J2239&lt;'Mapa Oficinas'!$I$21,0,IF(J2239&gt;'Mapa Oficinas'!$I$20,0,1))</f>
        <v>1</v>
      </c>
      <c r="L2239" t="s">
        <v>23</v>
      </c>
      <c r="M2239" t="s">
        <v>23</v>
      </c>
      <c r="O2239" t="s">
        <v>174</v>
      </c>
      <c r="P2239" t="s">
        <v>45</v>
      </c>
      <c r="Q2239">
        <v>1</v>
      </c>
      <c r="R2239" t="s">
        <v>67</v>
      </c>
      <c r="S2239" t="s">
        <v>47</v>
      </c>
      <c r="T2239" t="str">
        <f>VLOOKUP(S2239,'Mapa Oficinas'!$H$7:$I$16,2,FALSE)</f>
        <v>Otra Red Búsqueda</v>
      </c>
      <c r="U2239" t="s">
        <v>29</v>
      </c>
      <c r="V2239" t="str">
        <f>VLOOKUP($R2239,'Mapa Oficinas'!$A$7:$C$46,2,FALSE)</f>
        <v>CABA</v>
      </c>
      <c r="W2239" t="str">
        <f>VLOOKUP($R2239,'Mapa Oficinas'!$A$7:$C$46,3,FALSE)</f>
        <v>Barrio Parque</v>
      </c>
    </row>
    <row r="2240" spans="1:23" x14ac:dyDescent="0.2">
      <c r="A2240" s="1">
        <v>45835</v>
      </c>
      <c r="B2240" s="20">
        <f t="shared" si="68"/>
        <v>2025</v>
      </c>
      <c r="C2240" s="20">
        <f t="shared" si="69"/>
        <v>6</v>
      </c>
      <c r="E2240" s="49">
        <v>1</v>
      </c>
      <c r="F2240" t="s">
        <v>2718</v>
      </c>
      <c r="G2240" t="s">
        <v>21</v>
      </c>
      <c r="H2240" t="s">
        <v>37</v>
      </c>
      <c r="I2240" s="13">
        <v>210000</v>
      </c>
      <c r="J2240" s="13">
        <v>210000</v>
      </c>
      <c r="K2240" s="13">
        <f>IF(J2240&lt;'Mapa Oficinas'!$I$21,0,IF(J2240&gt;'Mapa Oficinas'!$I$20,0,1))</f>
        <v>1</v>
      </c>
      <c r="L2240" t="s">
        <v>23</v>
      </c>
      <c r="M2240" t="s">
        <v>23</v>
      </c>
      <c r="O2240" t="s">
        <v>577</v>
      </c>
      <c r="P2240" t="s">
        <v>45</v>
      </c>
      <c r="Q2240">
        <v>1</v>
      </c>
      <c r="R2240" t="s">
        <v>151</v>
      </c>
      <c r="S2240" t="s">
        <v>47</v>
      </c>
      <c r="T2240" t="str">
        <f>VLOOKUP(S2240,'Mapa Oficinas'!$H$7:$I$16,2,FALSE)</f>
        <v>Otra Red Búsqueda</v>
      </c>
      <c r="U2240" t="s">
        <v>29</v>
      </c>
      <c r="V2240" t="str">
        <f>VLOOKUP($R2240,'Mapa Oficinas'!$A$7:$C$46,2,FALSE)</f>
        <v>Interior - Mendoza</v>
      </c>
      <c r="W2240" t="str">
        <f>VLOOKUP($R2240,'Mapa Oficinas'!$A$7:$C$46,3,FALSE)</f>
        <v>Capital Mendoza</v>
      </c>
    </row>
    <row r="2241" spans="1:23" x14ac:dyDescent="0.2">
      <c r="A2241" s="1">
        <v>45712</v>
      </c>
      <c r="B2241" s="20">
        <f t="shared" si="68"/>
        <v>2025</v>
      </c>
      <c r="C2241" s="20">
        <f t="shared" si="69"/>
        <v>2</v>
      </c>
      <c r="D2241" t="s">
        <v>742</v>
      </c>
      <c r="E2241" s="49">
        <v>1</v>
      </c>
      <c r="F2241" t="s">
        <v>743</v>
      </c>
      <c r="G2241" t="s">
        <v>21</v>
      </c>
      <c r="H2241" t="s">
        <v>37</v>
      </c>
      <c r="I2241" s="13">
        <v>230000</v>
      </c>
      <c r="J2241" s="13">
        <v>210000</v>
      </c>
      <c r="K2241" s="13">
        <f>IF(J2241&lt;'Mapa Oficinas'!$I$21,0,IF(J2241&gt;'Mapa Oficinas'!$I$20,0,1))</f>
        <v>1</v>
      </c>
      <c r="L2241" t="s">
        <v>23</v>
      </c>
      <c r="M2241" t="s">
        <v>23</v>
      </c>
      <c r="N2241" t="s">
        <v>744</v>
      </c>
      <c r="O2241" t="s">
        <v>745</v>
      </c>
      <c r="P2241" t="s">
        <v>34</v>
      </c>
      <c r="Q2241">
        <v>2</v>
      </c>
      <c r="R2241" t="s">
        <v>46</v>
      </c>
      <c r="S2241" t="s">
        <v>200</v>
      </c>
      <c r="T2241" t="str">
        <f>VLOOKUP(S2241,'Mapa Oficinas'!$H$7:$I$16,2,FALSE)</f>
        <v>Otra Red Captación</v>
      </c>
      <c r="U2241" t="s">
        <v>29</v>
      </c>
      <c r="V2241" t="str">
        <f>VLOOKUP($R2241,'Mapa Oficinas'!$A$7:$C$46,2,FALSE)</f>
        <v>CABA</v>
      </c>
      <c r="W2241" t="str">
        <f>VLOOKUP($R2241,'Mapa Oficinas'!$A$7:$C$46,3,FALSE)</f>
        <v>Palermo</v>
      </c>
    </row>
    <row r="2242" spans="1:23" x14ac:dyDescent="0.2">
      <c r="A2242" s="1">
        <v>45752</v>
      </c>
      <c r="B2242" s="20">
        <f t="shared" ref="B2242:B2305" si="70">YEAR($A2242)</f>
        <v>2025</v>
      </c>
      <c r="C2242" s="20">
        <f t="shared" ref="C2242:C2305" si="71">MONTH($A2242)</f>
        <v>4</v>
      </c>
      <c r="D2242" t="s">
        <v>1306</v>
      </c>
      <c r="E2242" s="49">
        <v>1</v>
      </c>
      <c r="F2242" t="s">
        <v>1307</v>
      </c>
      <c r="G2242" t="s">
        <v>21</v>
      </c>
      <c r="H2242" t="s">
        <v>37</v>
      </c>
      <c r="I2242" s="13">
        <v>251487</v>
      </c>
      <c r="J2242" s="13">
        <v>210000</v>
      </c>
      <c r="K2242" s="13">
        <f>IF(J2242&lt;'Mapa Oficinas'!$I$21,0,IF(J2242&gt;'Mapa Oficinas'!$I$20,0,1))</f>
        <v>1</v>
      </c>
      <c r="L2242" t="s">
        <v>23</v>
      </c>
      <c r="M2242" t="s">
        <v>23</v>
      </c>
      <c r="N2242" t="s">
        <v>1308</v>
      </c>
      <c r="O2242" t="s">
        <v>1309</v>
      </c>
      <c r="P2242" t="s">
        <v>45</v>
      </c>
      <c r="Q2242">
        <v>2</v>
      </c>
      <c r="R2242" t="s">
        <v>110</v>
      </c>
      <c r="S2242" t="s">
        <v>200</v>
      </c>
      <c r="T2242" t="str">
        <f>VLOOKUP(S2242,'Mapa Oficinas'!$H$7:$I$16,2,FALSE)</f>
        <v>Otra Red Captación</v>
      </c>
      <c r="U2242" t="s">
        <v>29</v>
      </c>
      <c r="V2242" t="str">
        <f>VLOOKUP($R2242,'Mapa Oficinas'!$A$7:$C$46,2,FALSE)</f>
        <v>Zona Norte (GBA)</v>
      </c>
      <c r="W2242" t="str">
        <f>VLOOKUP($R2242,'Mapa Oficinas'!$A$7:$C$46,3,FALSE)</f>
        <v>Nordelta</v>
      </c>
    </row>
    <row r="2243" spans="1:23" x14ac:dyDescent="0.2">
      <c r="A2243" s="1">
        <v>45932</v>
      </c>
      <c r="B2243" s="20">
        <f t="shared" si="70"/>
        <v>2025</v>
      </c>
      <c r="C2243" s="20">
        <f t="shared" si="71"/>
        <v>10</v>
      </c>
      <c r="D2243" t="s">
        <v>4472</v>
      </c>
      <c r="E2243" s="49">
        <v>1</v>
      </c>
      <c r="F2243" t="s">
        <v>668</v>
      </c>
      <c r="G2243" t="s">
        <v>21</v>
      </c>
      <c r="H2243" t="s">
        <v>37</v>
      </c>
      <c r="I2243" s="13">
        <v>240000</v>
      </c>
      <c r="J2243" s="13">
        <v>210000</v>
      </c>
      <c r="K2243" s="13">
        <f>IF(J2243&lt;'Mapa Oficinas'!$I$21,0,IF(J2243&gt;'Mapa Oficinas'!$I$20,0,1))</f>
        <v>1</v>
      </c>
      <c r="L2243" t="s">
        <v>23</v>
      </c>
      <c r="M2243" t="s">
        <v>23</v>
      </c>
      <c r="N2243" t="s">
        <v>4473</v>
      </c>
      <c r="O2243" t="s">
        <v>50</v>
      </c>
      <c r="P2243" t="s">
        <v>45</v>
      </c>
      <c r="Q2243">
        <v>2</v>
      </c>
      <c r="R2243" t="s">
        <v>135</v>
      </c>
      <c r="S2243" t="s">
        <v>200</v>
      </c>
      <c r="T2243" t="str">
        <f>VLOOKUP(S2243,'Mapa Oficinas'!$H$7:$I$16,2,FALSE)</f>
        <v>Otra Red Captación</v>
      </c>
      <c r="U2243" t="s">
        <v>29</v>
      </c>
      <c r="V2243" t="str">
        <f>VLOOKUP($R2243,'Mapa Oficinas'!$A$7:$C$46,2,FALSE)</f>
        <v>CABA</v>
      </c>
      <c r="W2243" t="str">
        <f>VLOOKUP($R2243,'Mapa Oficinas'!$A$7:$C$46,3,FALSE)</f>
        <v>Recoleta</v>
      </c>
    </row>
    <row r="2244" spans="1:23" x14ac:dyDescent="0.2">
      <c r="A2244" s="1">
        <v>45852</v>
      </c>
      <c r="B2244" s="20">
        <f t="shared" si="70"/>
        <v>2025</v>
      </c>
      <c r="C2244" s="20">
        <f t="shared" si="71"/>
        <v>7</v>
      </c>
      <c r="D2244" t="s">
        <v>3017</v>
      </c>
      <c r="E2244" s="49">
        <v>0</v>
      </c>
      <c r="F2244" t="s">
        <v>3018</v>
      </c>
      <c r="G2244" t="s">
        <v>21</v>
      </c>
      <c r="H2244" t="s">
        <v>76</v>
      </c>
      <c r="I2244" s="13">
        <v>246900</v>
      </c>
      <c r="J2244" s="13">
        <v>210000</v>
      </c>
      <c r="K2244" s="13">
        <f>IF(J2244&lt;'Mapa Oficinas'!$I$21,0,IF(J2244&gt;'Mapa Oficinas'!$I$20,0,1))</f>
        <v>1</v>
      </c>
      <c r="L2244" t="s">
        <v>23</v>
      </c>
      <c r="M2244" t="s">
        <v>23</v>
      </c>
      <c r="N2244" t="s">
        <v>3019</v>
      </c>
      <c r="O2244" t="s">
        <v>3020</v>
      </c>
      <c r="P2244" t="s">
        <v>34</v>
      </c>
      <c r="Q2244">
        <v>2</v>
      </c>
      <c r="R2244" t="s">
        <v>27</v>
      </c>
      <c r="S2244" t="s">
        <v>404</v>
      </c>
      <c r="T2244" t="str">
        <f>VLOOKUP(S2244,'Mapa Oficinas'!$H$7:$I$16,2,FALSE)</f>
        <v>CB</v>
      </c>
      <c r="U2244" t="s">
        <v>29</v>
      </c>
      <c r="V2244" t="str">
        <f>VLOOKUP($R2244,'Mapa Oficinas'!$A$7:$C$46,2,FALSE)</f>
        <v>Zona Norte (GBA)</v>
      </c>
      <c r="W2244" t="str">
        <f>VLOOKUP($R2244,'Mapa Oficinas'!$A$7:$C$46,3,FALSE)</f>
        <v>Tigre</v>
      </c>
    </row>
    <row r="2245" spans="1:23" x14ac:dyDescent="0.2">
      <c r="A2245" s="1">
        <v>45852</v>
      </c>
      <c r="B2245" s="20">
        <f t="shared" si="70"/>
        <v>2025</v>
      </c>
      <c r="C2245" s="20">
        <f t="shared" si="71"/>
        <v>7</v>
      </c>
      <c r="D2245" t="s">
        <v>3017</v>
      </c>
      <c r="E2245" s="49">
        <v>1</v>
      </c>
      <c r="F2245" t="s">
        <v>3018</v>
      </c>
      <c r="G2245" t="s">
        <v>21</v>
      </c>
      <c r="H2245" t="s">
        <v>76</v>
      </c>
      <c r="I2245" s="13">
        <v>246900</v>
      </c>
      <c r="J2245" s="13">
        <v>210000</v>
      </c>
      <c r="K2245" s="13">
        <f>IF(J2245&lt;'Mapa Oficinas'!$I$21,0,IF(J2245&gt;'Mapa Oficinas'!$I$20,0,1))</f>
        <v>1</v>
      </c>
      <c r="L2245" t="s">
        <v>23</v>
      </c>
      <c r="M2245" t="s">
        <v>23</v>
      </c>
      <c r="N2245" t="s">
        <v>3019</v>
      </c>
      <c r="O2245" t="s">
        <v>3020</v>
      </c>
      <c r="P2245" t="s">
        <v>34</v>
      </c>
      <c r="Q2245">
        <v>2</v>
      </c>
      <c r="R2245" t="s">
        <v>121</v>
      </c>
      <c r="S2245" t="s">
        <v>1265</v>
      </c>
      <c r="T2245" t="str">
        <f>VLOOKUP(S2245,'Mapa Oficinas'!$H$7:$I$16,2,FALSE)</f>
        <v>CB</v>
      </c>
      <c r="U2245" t="s">
        <v>29</v>
      </c>
      <c r="V2245" t="str">
        <f>VLOOKUP($R2245,'Mapa Oficinas'!$A$7:$C$46,2,FALSE)</f>
        <v>Interior - Río Negro</v>
      </c>
      <c r="W2245" t="str">
        <f>VLOOKUP($R2245,'Mapa Oficinas'!$A$7:$C$46,3,FALSE)</f>
        <v>Bariloche</v>
      </c>
    </row>
    <row r="2246" spans="1:23" x14ac:dyDescent="0.2">
      <c r="A2246" s="1">
        <v>45762</v>
      </c>
      <c r="B2246" s="20">
        <f t="shared" si="70"/>
        <v>2025</v>
      </c>
      <c r="C2246" s="20">
        <f t="shared" si="71"/>
        <v>4</v>
      </c>
      <c r="D2246" t="s">
        <v>1449</v>
      </c>
      <c r="E2246" s="49">
        <v>1</v>
      </c>
      <c r="F2246" t="s">
        <v>1450</v>
      </c>
      <c r="G2246" t="s">
        <v>21</v>
      </c>
      <c r="H2246" t="s">
        <v>76</v>
      </c>
      <c r="I2246" s="13">
        <v>950</v>
      </c>
      <c r="J2246" s="13">
        <v>210000</v>
      </c>
      <c r="K2246" s="13">
        <f>IF(J2246&lt;'Mapa Oficinas'!$I$21,0,IF(J2246&gt;'Mapa Oficinas'!$I$20,0,1))</f>
        <v>1</v>
      </c>
      <c r="L2246" t="s">
        <v>23</v>
      </c>
      <c r="M2246" t="s">
        <v>23</v>
      </c>
      <c r="N2246" t="s">
        <v>1451</v>
      </c>
      <c r="O2246" t="s">
        <v>459</v>
      </c>
      <c r="P2246" t="s">
        <v>45</v>
      </c>
      <c r="Q2246">
        <v>2</v>
      </c>
      <c r="R2246" t="s">
        <v>257</v>
      </c>
      <c r="S2246" t="s">
        <v>28</v>
      </c>
      <c r="T2246" t="str">
        <f>VLOOKUP(S2246,'Mapa Oficinas'!$H$7:$I$16,2,FALSE)</f>
        <v>CB</v>
      </c>
      <c r="U2246" t="s">
        <v>29</v>
      </c>
      <c r="V2246" t="str">
        <f>VLOOKUP($R2246,'Mapa Oficinas'!$A$7:$C$46,2,FALSE)</f>
        <v>Zona Norte (GBA)</v>
      </c>
      <c r="W2246" t="str">
        <f>VLOOKUP($R2246,'Mapa Oficinas'!$A$7:$C$46,3,FALSE)</f>
        <v>Pilar</v>
      </c>
    </row>
    <row r="2247" spans="1:23" x14ac:dyDescent="0.2">
      <c r="A2247" s="1">
        <v>45776</v>
      </c>
      <c r="B2247" s="20">
        <f t="shared" si="70"/>
        <v>2025</v>
      </c>
      <c r="C2247" s="20">
        <f t="shared" si="71"/>
        <v>4</v>
      </c>
      <c r="D2247" t="s">
        <v>1698</v>
      </c>
      <c r="E2247" s="49">
        <v>1</v>
      </c>
      <c r="F2247" t="s">
        <v>1699</v>
      </c>
      <c r="G2247" t="s">
        <v>21</v>
      </c>
      <c r="H2247" t="s">
        <v>37</v>
      </c>
      <c r="I2247" s="13">
        <v>215000</v>
      </c>
      <c r="J2247" s="13">
        <v>210000</v>
      </c>
      <c r="K2247" s="13">
        <f>IF(J2247&lt;'Mapa Oficinas'!$I$21,0,IF(J2247&gt;'Mapa Oficinas'!$I$20,0,1))</f>
        <v>1</v>
      </c>
      <c r="L2247" t="s">
        <v>23</v>
      </c>
      <c r="M2247" t="s">
        <v>23</v>
      </c>
      <c r="N2247" t="s">
        <v>1700</v>
      </c>
      <c r="O2247" t="s">
        <v>265</v>
      </c>
      <c r="P2247" t="s">
        <v>45</v>
      </c>
      <c r="Q2247">
        <v>2</v>
      </c>
      <c r="R2247" t="s">
        <v>523</v>
      </c>
      <c r="S2247" t="s">
        <v>28</v>
      </c>
      <c r="T2247" t="str">
        <f>VLOOKUP(S2247,'Mapa Oficinas'!$H$7:$I$16,2,FALSE)</f>
        <v>CB</v>
      </c>
      <c r="U2247" t="s">
        <v>29</v>
      </c>
      <c r="V2247" t="str">
        <f>VLOOKUP($R2247,'Mapa Oficinas'!$A$7:$C$46,2,FALSE)</f>
        <v>CABA</v>
      </c>
      <c r="W2247" t="str">
        <f>VLOOKUP($R2247,'Mapa Oficinas'!$A$7:$C$46,3,FALSE)</f>
        <v>Belgrano</v>
      </c>
    </row>
    <row r="2248" spans="1:23" x14ac:dyDescent="0.2">
      <c r="A2248" s="1">
        <v>45800</v>
      </c>
      <c r="B2248" s="20">
        <f t="shared" si="70"/>
        <v>2025</v>
      </c>
      <c r="C2248" s="20">
        <f t="shared" si="71"/>
        <v>5</v>
      </c>
      <c r="D2248" t="s">
        <v>2125</v>
      </c>
      <c r="E2248" s="49">
        <v>1</v>
      </c>
      <c r="F2248" t="s">
        <v>2126</v>
      </c>
      <c r="G2248" t="s">
        <v>21</v>
      </c>
      <c r="H2248" t="s">
        <v>37</v>
      </c>
      <c r="I2248" s="13">
        <v>215000</v>
      </c>
      <c r="J2248" s="13">
        <v>210000</v>
      </c>
      <c r="K2248" s="13">
        <f>IF(J2248&lt;'Mapa Oficinas'!$I$21,0,IF(J2248&gt;'Mapa Oficinas'!$I$20,0,1))</f>
        <v>1</v>
      </c>
      <c r="L2248" t="s">
        <v>23</v>
      </c>
      <c r="M2248" t="s">
        <v>23</v>
      </c>
      <c r="N2248" t="s">
        <v>2127</v>
      </c>
      <c r="O2248" t="s">
        <v>162</v>
      </c>
      <c r="P2248" t="s">
        <v>45</v>
      </c>
      <c r="Q2248">
        <v>2</v>
      </c>
      <c r="R2248" t="s">
        <v>62</v>
      </c>
      <c r="S2248" t="s">
        <v>28</v>
      </c>
      <c r="T2248" t="str">
        <f>VLOOKUP(S2248,'Mapa Oficinas'!$H$7:$I$16,2,FALSE)</f>
        <v>CB</v>
      </c>
      <c r="U2248" t="s">
        <v>29</v>
      </c>
      <c r="V2248" t="str">
        <f>VLOOKUP($R2248,'Mapa Oficinas'!$A$7:$C$46,2,FALSE)</f>
        <v>CABA</v>
      </c>
      <c r="W2248" t="str">
        <f>VLOOKUP($R2248,'Mapa Oficinas'!$A$7:$C$46,3,FALSE)</f>
        <v>Villa Urquiza</v>
      </c>
    </row>
    <row r="2249" spans="1:23" x14ac:dyDescent="0.2">
      <c r="A2249" s="1">
        <v>45805</v>
      </c>
      <c r="B2249" s="20">
        <f t="shared" si="70"/>
        <v>2025</v>
      </c>
      <c r="C2249" s="20">
        <f t="shared" si="71"/>
        <v>5</v>
      </c>
      <c r="D2249" t="s">
        <v>2176</v>
      </c>
      <c r="E2249" s="49">
        <v>1</v>
      </c>
      <c r="F2249" t="s">
        <v>2177</v>
      </c>
      <c r="G2249" t="s">
        <v>21</v>
      </c>
      <c r="H2249" t="s">
        <v>37</v>
      </c>
      <c r="I2249" s="13">
        <v>219000</v>
      </c>
      <c r="J2249" s="13">
        <v>210000</v>
      </c>
      <c r="K2249" s="13">
        <f>IF(J2249&lt;'Mapa Oficinas'!$I$21,0,IF(J2249&gt;'Mapa Oficinas'!$I$20,0,1))</f>
        <v>1</v>
      </c>
      <c r="L2249" t="s">
        <v>23</v>
      </c>
      <c r="M2249" t="s">
        <v>23</v>
      </c>
      <c r="N2249" t="s">
        <v>2178</v>
      </c>
      <c r="O2249" t="s">
        <v>2179</v>
      </c>
      <c r="P2249" t="s">
        <v>34</v>
      </c>
      <c r="Q2249">
        <v>2</v>
      </c>
      <c r="R2249" t="s">
        <v>429</v>
      </c>
      <c r="S2249" t="s">
        <v>28</v>
      </c>
      <c r="T2249" t="str">
        <f>VLOOKUP(S2249,'Mapa Oficinas'!$H$7:$I$16,2,FALSE)</f>
        <v>CB</v>
      </c>
      <c r="U2249" t="s">
        <v>29</v>
      </c>
      <c r="V2249" t="str">
        <f>VLOOKUP($R2249,'Mapa Oficinas'!$A$7:$C$46,2,FALSE)</f>
        <v>Zona Oeste (GBA)</v>
      </c>
      <c r="W2249" t="str">
        <f>VLOOKUP($R2249,'Mapa Oficinas'!$A$7:$C$46,3,FALSE)</f>
        <v>Parque Leloir</v>
      </c>
    </row>
    <row r="2250" spans="1:23" x14ac:dyDescent="0.2">
      <c r="A2250" s="1">
        <v>45958</v>
      </c>
      <c r="B2250" s="20">
        <f t="shared" si="70"/>
        <v>2025</v>
      </c>
      <c r="C2250" s="20">
        <f t="shared" si="71"/>
        <v>10</v>
      </c>
      <c r="D2250" t="s">
        <v>4960</v>
      </c>
      <c r="E2250" s="49">
        <v>1</v>
      </c>
      <c r="F2250" t="s">
        <v>4961</v>
      </c>
      <c r="G2250" t="s">
        <v>21</v>
      </c>
      <c r="H2250" t="s">
        <v>37</v>
      </c>
      <c r="I2250" s="13">
        <v>230000</v>
      </c>
      <c r="J2250" s="13">
        <v>210000</v>
      </c>
      <c r="K2250" s="13">
        <f>IF(J2250&lt;'Mapa Oficinas'!$I$21,0,IF(J2250&gt;'Mapa Oficinas'!$I$20,0,1))</f>
        <v>1</v>
      </c>
      <c r="L2250" t="s">
        <v>23</v>
      </c>
      <c r="M2250" t="s">
        <v>23</v>
      </c>
      <c r="N2250" t="s">
        <v>4962</v>
      </c>
      <c r="O2250" t="s">
        <v>4963</v>
      </c>
      <c r="P2250" t="s">
        <v>34</v>
      </c>
      <c r="Q2250">
        <v>2</v>
      </c>
      <c r="R2250" t="s">
        <v>110</v>
      </c>
      <c r="S2250" t="s">
        <v>28</v>
      </c>
      <c r="T2250" t="str">
        <f>VLOOKUP(S2250,'Mapa Oficinas'!$H$7:$I$16,2,FALSE)</f>
        <v>CB</v>
      </c>
      <c r="U2250" t="s">
        <v>29</v>
      </c>
      <c r="V2250" t="str">
        <f>VLOOKUP($R2250,'Mapa Oficinas'!$A$7:$C$46,2,FALSE)</f>
        <v>Zona Norte (GBA)</v>
      </c>
      <c r="W2250" t="str">
        <f>VLOOKUP($R2250,'Mapa Oficinas'!$A$7:$C$46,3,FALSE)</f>
        <v>Nordelta</v>
      </c>
    </row>
    <row r="2251" spans="1:23" x14ac:dyDescent="0.2">
      <c r="A2251" s="1">
        <v>45922</v>
      </c>
      <c r="B2251" s="20">
        <f t="shared" si="70"/>
        <v>2025</v>
      </c>
      <c r="C2251" s="20">
        <f t="shared" si="71"/>
        <v>9</v>
      </c>
      <c r="D2251" t="s">
        <v>4273</v>
      </c>
      <c r="E2251" s="49">
        <v>1</v>
      </c>
      <c r="F2251" t="s">
        <v>4274</v>
      </c>
      <c r="G2251" t="s">
        <v>21</v>
      </c>
      <c r="H2251" t="s">
        <v>100</v>
      </c>
      <c r="I2251" s="13">
        <v>215000</v>
      </c>
      <c r="J2251" s="13">
        <v>212000</v>
      </c>
      <c r="K2251" s="13">
        <f>IF(J2251&lt;'Mapa Oficinas'!$I$21,0,IF(J2251&gt;'Mapa Oficinas'!$I$20,0,1))</f>
        <v>1</v>
      </c>
      <c r="L2251" t="s">
        <v>23</v>
      </c>
      <c r="M2251" t="s">
        <v>23</v>
      </c>
      <c r="N2251" t="s">
        <v>285</v>
      </c>
      <c r="O2251" t="s">
        <v>120</v>
      </c>
      <c r="P2251" t="s">
        <v>45</v>
      </c>
      <c r="Q2251">
        <v>1</v>
      </c>
      <c r="R2251" t="s">
        <v>121</v>
      </c>
      <c r="S2251" t="s">
        <v>152</v>
      </c>
      <c r="T2251" t="str">
        <f>VLOOKUP(S2251,'Mapa Oficinas'!$H$7:$I$16,2,FALSE)</f>
        <v>Otra Red Captación</v>
      </c>
      <c r="U2251" t="s">
        <v>29</v>
      </c>
      <c r="V2251" t="str">
        <f>VLOOKUP($R2251,'Mapa Oficinas'!$A$7:$C$46,2,FALSE)</f>
        <v>Interior - Río Negro</v>
      </c>
      <c r="W2251" t="str">
        <f>VLOOKUP($R2251,'Mapa Oficinas'!$A$7:$C$46,3,FALSE)</f>
        <v>Bariloche</v>
      </c>
    </row>
    <row r="2252" spans="1:23" x14ac:dyDescent="0.2">
      <c r="A2252" s="1">
        <v>45813</v>
      </c>
      <c r="B2252" s="20">
        <f t="shared" si="70"/>
        <v>2025</v>
      </c>
      <c r="C2252" s="20">
        <f t="shared" si="71"/>
        <v>6</v>
      </c>
      <c r="D2252" t="s">
        <v>2343</v>
      </c>
      <c r="E2252" s="49">
        <v>1</v>
      </c>
      <c r="F2252" t="s">
        <v>2344</v>
      </c>
      <c r="G2252" t="s">
        <v>21</v>
      </c>
      <c r="H2252" t="s">
        <v>37</v>
      </c>
      <c r="I2252" s="13">
        <v>220000</v>
      </c>
      <c r="J2252" s="13">
        <v>212000</v>
      </c>
      <c r="K2252" s="13">
        <f>IF(J2252&lt;'Mapa Oficinas'!$I$21,0,IF(J2252&gt;'Mapa Oficinas'!$I$20,0,1))</f>
        <v>1</v>
      </c>
      <c r="L2252" t="s">
        <v>23</v>
      </c>
      <c r="M2252" t="s">
        <v>23</v>
      </c>
      <c r="N2252" t="s">
        <v>2345</v>
      </c>
      <c r="O2252" t="s">
        <v>2346</v>
      </c>
      <c r="P2252" t="s">
        <v>34</v>
      </c>
      <c r="Q2252">
        <v>2</v>
      </c>
      <c r="R2252" t="s">
        <v>151</v>
      </c>
      <c r="S2252" t="s">
        <v>28</v>
      </c>
      <c r="T2252" t="str">
        <f>VLOOKUP(S2252,'Mapa Oficinas'!$H$7:$I$16,2,FALSE)</f>
        <v>CB</v>
      </c>
      <c r="U2252" t="s">
        <v>29</v>
      </c>
      <c r="V2252" t="str">
        <f>VLOOKUP($R2252,'Mapa Oficinas'!$A$7:$C$46,2,FALSE)</f>
        <v>Interior - Mendoza</v>
      </c>
      <c r="W2252" t="str">
        <f>VLOOKUP($R2252,'Mapa Oficinas'!$A$7:$C$46,3,FALSE)</f>
        <v>Capital Mendoza</v>
      </c>
    </row>
    <row r="2253" spans="1:23" x14ac:dyDescent="0.2">
      <c r="A2253" s="1">
        <v>46090</v>
      </c>
      <c r="B2253" s="20">
        <f t="shared" si="70"/>
        <v>2026</v>
      </c>
      <c r="C2253" s="20">
        <f t="shared" si="71"/>
        <v>3</v>
      </c>
      <c r="D2253">
        <v>10689</v>
      </c>
      <c r="E2253" s="49">
        <v>1</v>
      </c>
      <c r="F2253" t="s">
        <v>7051</v>
      </c>
      <c r="G2253" t="s">
        <v>21</v>
      </c>
      <c r="H2253" t="s">
        <v>37</v>
      </c>
      <c r="I2253" s="13">
        <v>212500</v>
      </c>
      <c r="J2253" s="13">
        <v>212500</v>
      </c>
      <c r="K2253" s="13">
        <f>IF(J2253&lt;'Mapa Oficinas'!$I$21,0,IF(J2253&gt;'Mapa Oficinas'!$I$20,0,1))</f>
        <v>1</v>
      </c>
      <c r="L2253" t="s">
        <v>23</v>
      </c>
      <c r="M2253" t="s">
        <v>23</v>
      </c>
      <c r="N2253" t="s">
        <v>7051</v>
      </c>
      <c r="O2253" t="s">
        <v>2194</v>
      </c>
      <c r="P2253" t="s">
        <v>45</v>
      </c>
      <c r="Q2253">
        <v>1</v>
      </c>
      <c r="R2253" t="s">
        <v>67</v>
      </c>
      <c r="S2253" t="s">
        <v>47</v>
      </c>
      <c r="T2253" t="str">
        <f>VLOOKUP(S2253,'Mapa Oficinas'!$H$7:$I$16,2,FALSE)</f>
        <v>Otra Red Búsqueda</v>
      </c>
      <c r="U2253" t="s">
        <v>29</v>
      </c>
      <c r="V2253" t="str">
        <f>VLOOKUP($R2253,'Mapa Oficinas'!$A$7:$C$46,2,FALSE)</f>
        <v>CABA</v>
      </c>
      <c r="W2253" t="str">
        <f>VLOOKUP($R2253,'Mapa Oficinas'!$A$7:$C$46,3,FALSE)</f>
        <v>Barrio Parque</v>
      </c>
    </row>
    <row r="2254" spans="1:23" x14ac:dyDescent="0.2">
      <c r="A2254" s="1">
        <v>45897</v>
      </c>
      <c r="B2254" s="20">
        <f t="shared" si="70"/>
        <v>2025</v>
      </c>
      <c r="C2254" s="20">
        <f t="shared" si="71"/>
        <v>8</v>
      </c>
      <c r="D2254" t="s">
        <v>3846</v>
      </c>
      <c r="E2254" s="49">
        <v>1</v>
      </c>
      <c r="F2254" t="s">
        <v>3847</v>
      </c>
      <c r="G2254" t="s">
        <v>21</v>
      </c>
      <c r="H2254" t="s">
        <v>76</v>
      </c>
      <c r="I2254" s="13">
        <v>220000</v>
      </c>
      <c r="J2254" s="13">
        <v>213000</v>
      </c>
      <c r="K2254" s="13">
        <f>IF(J2254&lt;'Mapa Oficinas'!$I$21,0,IF(J2254&gt;'Mapa Oficinas'!$I$20,0,1))</f>
        <v>1</v>
      </c>
      <c r="L2254" t="s">
        <v>23</v>
      </c>
      <c r="M2254" t="s">
        <v>23</v>
      </c>
      <c r="N2254" t="s">
        <v>3847</v>
      </c>
      <c r="O2254" t="s">
        <v>3848</v>
      </c>
      <c r="P2254" t="s">
        <v>45</v>
      </c>
      <c r="Q2254">
        <v>2</v>
      </c>
      <c r="R2254" t="s">
        <v>823</v>
      </c>
      <c r="S2254" t="s">
        <v>200</v>
      </c>
      <c r="T2254" t="str">
        <f>VLOOKUP(S2254,'Mapa Oficinas'!$H$7:$I$16,2,FALSE)</f>
        <v>Otra Red Captación</v>
      </c>
      <c r="U2254" t="s">
        <v>29</v>
      </c>
      <c r="V2254" t="str">
        <f>VLOOKUP($R2254,'Mapa Oficinas'!$A$7:$C$46,2,FALSE)</f>
        <v>Zona Norte (GBA)</v>
      </c>
      <c r="W2254" t="str">
        <f>VLOOKUP($R2254,'Mapa Oficinas'!$A$7:$C$46,3,FALSE)</f>
        <v>Pilar</v>
      </c>
    </row>
    <row r="2255" spans="1:23" x14ac:dyDescent="0.2">
      <c r="A2255" s="14">
        <v>45672</v>
      </c>
      <c r="B2255" s="20">
        <f t="shared" si="70"/>
        <v>2025</v>
      </c>
      <c r="C2255" s="20">
        <f t="shared" si="71"/>
        <v>1</v>
      </c>
      <c r="D2255" s="15"/>
      <c r="E2255" s="51">
        <v>0</v>
      </c>
      <c r="F2255" s="15" t="s">
        <v>239</v>
      </c>
      <c r="G2255" s="15" t="s">
        <v>21</v>
      </c>
      <c r="H2255" s="15" t="s">
        <v>37</v>
      </c>
      <c r="I2255" s="16">
        <v>213000</v>
      </c>
      <c r="J2255" s="16">
        <v>213000</v>
      </c>
      <c r="K2255" s="13">
        <f>IF(J2255&lt;'Mapa Oficinas'!$I$21,0,IF(J2255&gt;'Mapa Oficinas'!$I$20,0,1))</f>
        <v>1</v>
      </c>
      <c r="L2255" s="15" t="s">
        <v>23</v>
      </c>
      <c r="M2255" s="15" t="s">
        <v>23</v>
      </c>
      <c r="N2255" s="15"/>
      <c r="O2255" s="15" t="s">
        <v>240</v>
      </c>
      <c r="P2255" s="15" t="s">
        <v>45</v>
      </c>
      <c r="Q2255" s="15">
        <v>2</v>
      </c>
      <c r="R2255" s="15" t="s">
        <v>130</v>
      </c>
      <c r="S2255" s="15" t="s">
        <v>241</v>
      </c>
      <c r="T2255" t="str">
        <f>VLOOKUP(S2255,'Mapa Oficinas'!$H$7:$I$16,2,FALSE)</f>
        <v>CB</v>
      </c>
      <c r="U2255" s="15" t="s">
        <v>29</v>
      </c>
      <c r="V2255" t="str">
        <f>VLOOKUP($R2255,'Mapa Oficinas'!$A$7:$C$46,2,FALSE)</f>
        <v>Interior - Neuquén</v>
      </c>
      <c r="W2255" t="str">
        <f>VLOOKUP($R2255,'Mapa Oficinas'!$A$7:$C$46,3,FALSE)</f>
        <v>San Martín de los Andes</v>
      </c>
    </row>
    <row r="2256" spans="1:23" x14ac:dyDescent="0.2">
      <c r="A2256" s="14">
        <v>45672</v>
      </c>
      <c r="B2256" s="20">
        <f t="shared" si="70"/>
        <v>2025</v>
      </c>
      <c r="C2256" s="20">
        <f t="shared" si="71"/>
        <v>1</v>
      </c>
      <c r="D2256" s="15"/>
      <c r="E2256" s="51">
        <v>1</v>
      </c>
      <c r="F2256" s="15" t="s">
        <v>239</v>
      </c>
      <c r="G2256" s="15" t="s">
        <v>21</v>
      </c>
      <c r="H2256" s="15" t="s">
        <v>81</v>
      </c>
      <c r="I2256" s="16">
        <v>213000</v>
      </c>
      <c r="J2256" s="16">
        <v>213000</v>
      </c>
      <c r="K2256" s="13">
        <f>IF(J2256&lt;'Mapa Oficinas'!$I$21,0,IF(J2256&gt;'Mapa Oficinas'!$I$20,0,1))</f>
        <v>1</v>
      </c>
      <c r="L2256" s="15" t="s">
        <v>23</v>
      </c>
      <c r="M2256" s="15" t="s">
        <v>23</v>
      </c>
      <c r="N2256" s="15"/>
      <c r="O2256" s="15" t="s">
        <v>240</v>
      </c>
      <c r="P2256" s="15" t="s">
        <v>45</v>
      </c>
      <c r="Q2256" s="15">
        <v>2</v>
      </c>
      <c r="R2256" s="15" t="s">
        <v>84</v>
      </c>
      <c r="S2256" s="15" t="s">
        <v>241</v>
      </c>
      <c r="T2256" t="str">
        <f>VLOOKUP(S2256,'Mapa Oficinas'!$H$7:$I$16,2,FALSE)</f>
        <v>CB</v>
      </c>
      <c r="U2256" s="15" t="s">
        <v>29</v>
      </c>
      <c r="V2256" t="str">
        <f>VLOOKUP($R2256,'Mapa Oficinas'!$A$7:$C$46,2,FALSE)</f>
        <v>Interior - Neuquén</v>
      </c>
      <c r="W2256" t="str">
        <f>VLOOKUP($R2256,'Mapa Oficinas'!$A$7:$C$46,3,FALSE)</f>
        <v>Villa La Angostura</v>
      </c>
    </row>
    <row r="2257" spans="1:23" x14ac:dyDescent="0.2">
      <c r="A2257" s="1">
        <v>45957</v>
      </c>
      <c r="B2257" s="20">
        <f t="shared" si="70"/>
        <v>2025</v>
      </c>
      <c r="C2257" s="20">
        <f t="shared" si="71"/>
        <v>10</v>
      </c>
      <c r="D2257" t="s">
        <v>4943</v>
      </c>
      <c r="E2257" s="49">
        <v>1</v>
      </c>
      <c r="F2257" t="s">
        <v>4944</v>
      </c>
      <c r="G2257" t="s">
        <v>21</v>
      </c>
      <c r="H2257" t="s">
        <v>100</v>
      </c>
      <c r="I2257" s="13">
        <v>216000</v>
      </c>
      <c r="J2257" s="13">
        <v>214000</v>
      </c>
      <c r="K2257" s="13">
        <f>IF(J2257&lt;'Mapa Oficinas'!$I$21,0,IF(J2257&gt;'Mapa Oficinas'!$I$20,0,1))</f>
        <v>1</v>
      </c>
      <c r="L2257" t="s">
        <v>23</v>
      </c>
      <c r="M2257" t="s">
        <v>23</v>
      </c>
      <c r="N2257" t="s">
        <v>4945</v>
      </c>
      <c r="O2257" t="s">
        <v>4946</v>
      </c>
      <c r="P2257" t="s">
        <v>34</v>
      </c>
      <c r="Q2257">
        <v>2</v>
      </c>
      <c r="R2257" t="s">
        <v>121</v>
      </c>
      <c r="S2257" t="s">
        <v>79</v>
      </c>
      <c r="T2257" t="str">
        <f>VLOOKUP(S2257,'Mapa Oficinas'!$H$7:$I$16,2,FALSE)</f>
        <v>CB</v>
      </c>
      <c r="U2257" t="s">
        <v>29</v>
      </c>
      <c r="V2257" t="str">
        <f>VLOOKUP($R2257,'Mapa Oficinas'!$A$7:$C$46,2,FALSE)</f>
        <v>Interior - Río Negro</v>
      </c>
      <c r="W2257" t="str">
        <f>VLOOKUP($R2257,'Mapa Oficinas'!$A$7:$C$46,3,FALSE)</f>
        <v>Bariloche</v>
      </c>
    </row>
    <row r="2258" spans="1:23" x14ac:dyDescent="0.2">
      <c r="A2258" s="1">
        <v>46045</v>
      </c>
      <c r="B2258" s="20">
        <f t="shared" si="70"/>
        <v>2026</v>
      </c>
      <c r="C2258" s="20">
        <f t="shared" si="71"/>
        <v>1</v>
      </c>
      <c r="D2258" t="s">
        <v>6392</v>
      </c>
      <c r="E2258" s="49">
        <v>1</v>
      </c>
      <c r="F2258" t="s">
        <v>6393</v>
      </c>
      <c r="G2258" t="s">
        <v>21</v>
      </c>
      <c r="H2258" t="s">
        <v>37</v>
      </c>
      <c r="I2258" s="13">
        <v>245000</v>
      </c>
      <c r="J2258" s="13">
        <v>215000</v>
      </c>
      <c r="K2258" s="13">
        <f>IF(J2258&lt;'Mapa Oficinas'!$I$21,0,IF(J2258&gt;'Mapa Oficinas'!$I$20,0,1))</f>
        <v>1</v>
      </c>
      <c r="L2258" t="s">
        <v>23</v>
      </c>
      <c r="M2258" t="s">
        <v>23</v>
      </c>
      <c r="N2258" t="s">
        <v>6394</v>
      </c>
      <c r="O2258" t="s">
        <v>456</v>
      </c>
      <c r="P2258" t="s">
        <v>45</v>
      </c>
      <c r="Q2258">
        <v>2</v>
      </c>
      <c r="R2258" t="s">
        <v>110</v>
      </c>
      <c r="S2258" t="s">
        <v>79</v>
      </c>
      <c r="T2258" t="str">
        <f>VLOOKUP(S2258,'Mapa Oficinas'!$H$7:$I$16,2,FALSE)</f>
        <v>CB</v>
      </c>
      <c r="U2258" t="s">
        <v>29</v>
      </c>
      <c r="V2258" t="str">
        <f>VLOOKUP($R2258,'Mapa Oficinas'!$A$7:$C$46,2,FALSE)</f>
        <v>Zona Norte (GBA)</v>
      </c>
      <c r="W2258" t="str">
        <f>VLOOKUP($R2258,'Mapa Oficinas'!$A$7:$C$46,3,FALSE)</f>
        <v>Nordelta</v>
      </c>
    </row>
    <row r="2259" spans="1:23" x14ac:dyDescent="0.2">
      <c r="A2259" s="1">
        <v>46105</v>
      </c>
      <c r="B2259" s="20">
        <f t="shared" si="70"/>
        <v>2026</v>
      </c>
      <c r="C2259" s="20">
        <f t="shared" si="71"/>
        <v>3</v>
      </c>
      <c r="D2259" t="s">
        <v>7383</v>
      </c>
      <c r="E2259" s="49">
        <v>1</v>
      </c>
      <c r="F2259" t="s">
        <v>7384</v>
      </c>
      <c r="G2259" t="s">
        <v>21</v>
      </c>
      <c r="H2259" t="s">
        <v>22</v>
      </c>
      <c r="I2259" s="13">
        <v>850</v>
      </c>
      <c r="J2259" s="13">
        <v>215000</v>
      </c>
      <c r="K2259" s="13">
        <f>IF(J2259&lt;'Mapa Oficinas'!$I$21,0,IF(J2259&gt;'Mapa Oficinas'!$I$20,0,1))</f>
        <v>1</v>
      </c>
      <c r="L2259" t="s">
        <v>23</v>
      </c>
      <c r="M2259" t="s">
        <v>23</v>
      </c>
      <c r="N2259" t="s">
        <v>7385</v>
      </c>
      <c r="O2259" t="s">
        <v>7386</v>
      </c>
      <c r="P2259" t="s">
        <v>45</v>
      </c>
      <c r="Q2259">
        <v>1</v>
      </c>
      <c r="R2259" t="s">
        <v>110</v>
      </c>
      <c r="S2259" t="s">
        <v>47</v>
      </c>
      <c r="T2259" t="str">
        <f>VLOOKUP(S2259,'Mapa Oficinas'!$H$7:$I$16,2,FALSE)</f>
        <v>Otra Red Búsqueda</v>
      </c>
      <c r="U2259" t="s">
        <v>29</v>
      </c>
      <c r="V2259" t="str">
        <f>VLOOKUP($R2259,'Mapa Oficinas'!$A$7:$C$46,2,FALSE)</f>
        <v>Zona Norte (GBA)</v>
      </c>
      <c r="W2259" t="str">
        <f>VLOOKUP($R2259,'Mapa Oficinas'!$A$7:$C$46,3,FALSE)</f>
        <v>Nordelta</v>
      </c>
    </row>
    <row r="2260" spans="1:23" x14ac:dyDescent="0.2">
      <c r="A2260" s="1">
        <v>45805</v>
      </c>
      <c r="B2260" s="20">
        <f t="shared" si="70"/>
        <v>2025</v>
      </c>
      <c r="C2260" s="20">
        <f t="shared" si="71"/>
        <v>5</v>
      </c>
      <c r="D2260" t="s">
        <v>2180</v>
      </c>
      <c r="E2260" s="49">
        <v>1</v>
      </c>
      <c r="F2260" t="s">
        <v>2181</v>
      </c>
      <c r="G2260" t="s">
        <v>21</v>
      </c>
      <c r="H2260" t="s">
        <v>37</v>
      </c>
      <c r="I2260" s="13">
        <v>295000</v>
      </c>
      <c r="J2260" s="13">
        <v>215000</v>
      </c>
      <c r="K2260" s="13">
        <f>IF(J2260&lt;'Mapa Oficinas'!$I$21,0,IF(J2260&gt;'Mapa Oficinas'!$I$20,0,1))</f>
        <v>1</v>
      </c>
      <c r="L2260" t="s">
        <v>23</v>
      </c>
      <c r="M2260" t="s">
        <v>23</v>
      </c>
      <c r="N2260" t="s">
        <v>2182</v>
      </c>
      <c r="O2260" t="s">
        <v>1744</v>
      </c>
      <c r="P2260" t="s">
        <v>34</v>
      </c>
      <c r="Q2260">
        <v>2</v>
      </c>
      <c r="R2260" t="s">
        <v>110</v>
      </c>
      <c r="S2260" t="s">
        <v>200</v>
      </c>
      <c r="T2260" t="str">
        <f>VLOOKUP(S2260,'Mapa Oficinas'!$H$7:$I$16,2,FALSE)</f>
        <v>Otra Red Captación</v>
      </c>
      <c r="U2260" t="s">
        <v>29</v>
      </c>
      <c r="V2260" t="str">
        <f>VLOOKUP($R2260,'Mapa Oficinas'!$A$7:$C$46,2,FALSE)</f>
        <v>Zona Norte (GBA)</v>
      </c>
      <c r="W2260" t="str">
        <f>VLOOKUP($R2260,'Mapa Oficinas'!$A$7:$C$46,3,FALSE)</f>
        <v>Nordelta</v>
      </c>
    </row>
    <row r="2261" spans="1:23" x14ac:dyDescent="0.2">
      <c r="A2261" s="1">
        <v>45833</v>
      </c>
      <c r="B2261" s="20">
        <f t="shared" si="70"/>
        <v>2025</v>
      </c>
      <c r="C2261" s="20">
        <f t="shared" si="71"/>
        <v>6</v>
      </c>
      <c r="D2261" t="s">
        <v>2643</v>
      </c>
      <c r="E2261" s="49">
        <v>1</v>
      </c>
      <c r="F2261" t="s">
        <v>2644</v>
      </c>
      <c r="G2261" t="s">
        <v>21</v>
      </c>
      <c r="H2261" t="s">
        <v>37</v>
      </c>
      <c r="I2261" s="13">
        <v>255000</v>
      </c>
      <c r="J2261" s="13">
        <v>215000</v>
      </c>
      <c r="K2261" s="13">
        <f>IF(J2261&lt;'Mapa Oficinas'!$I$21,0,IF(J2261&gt;'Mapa Oficinas'!$I$20,0,1))</f>
        <v>1</v>
      </c>
      <c r="L2261" t="s">
        <v>23</v>
      </c>
      <c r="M2261" t="s">
        <v>23</v>
      </c>
      <c r="N2261" t="s">
        <v>2645</v>
      </c>
      <c r="O2261" t="s">
        <v>1222</v>
      </c>
      <c r="P2261" t="s">
        <v>45</v>
      </c>
      <c r="Q2261">
        <v>2</v>
      </c>
      <c r="R2261" t="s">
        <v>135</v>
      </c>
      <c r="S2261" t="s">
        <v>28</v>
      </c>
      <c r="T2261" t="str">
        <f>VLOOKUP(S2261,'Mapa Oficinas'!$H$7:$I$16,2,FALSE)</f>
        <v>CB</v>
      </c>
      <c r="U2261" t="s">
        <v>29</v>
      </c>
      <c r="V2261" t="str">
        <f>VLOOKUP($R2261,'Mapa Oficinas'!$A$7:$C$46,2,FALSE)</f>
        <v>CABA</v>
      </c>
      <c r="W2261" t="str">
        <f>VLOOKUP($R2261,'Mapa Oficinas'!$A$7:$C$46,3,FALSE)</f>
        <v>Recoleta</v>
      </c>
    </row>
    <row r="2262" spans="1:23" x14ac:dyDescent="0.2">
      <c r="A2262" s="1">
        <v>45873</v>
      </c>
      <c r="B2262" s="20">
        <f t="shared" si="70"/>
        <v>2025</v>
      </c>
      <c r="C2262" s="20">
        <f t="shared" si="71"/>
        <v>8</v>
      </c>
      <c r="D2262" t="s">
        <v>3401</v>
      </c>
      <c r="E2262" s="49">
        <v>1</v>
      </c>
      <c r="F2262" t="s">
        <v>3402</v>
      </c>
      <c r="G2262" t="s">
        <v>21</v>
      </c>
      <c r="H2262" t="s">
        <v>37</v>
      </c>
      <c r="I2262" s="13">
        <v>230000</v>
      </c>
      <c r="J2262" s="13">
        <v>215000</v>
      </c>
      <c r="K2262" s="13">
        <f>IF(J2262&lt;'Mapa Oficinas'!$I$21,0,IF(J2262&gt;'Mapa Oficinas'!$I$20,0,1))</f>
        <v>1</v>
      </c>
      <c r="L2262" t="s">
        <v>23</v>
      </c>
      <c r="M2262" t="s">
        <v>23</v>
      </c>
      <c r="N2262" t="s">
        <v>3403</v>
      </c>
      <c r="O2262" t="s">
        <v>92</v>
      </c>
      <c r="P2262" t="s">
        <v>45</v>
      </c>
      <c r="Q2262">
        <v>2</v>
      </c>
      <c r="R2262" t="s">
        <v>823</v>
      </c>
      <c r="S2262" t="s">
        <v>28</v>
      </c>
      <c r="T2262" t="str">
        <f>VLOOKUP(S2262,'Mapa Oficinas'!$H$7:$I$16,2,FALSE)</f>
        <v>CB</v>
      </c>
      <c r="U2262" t="s">
        <v>29</v>
      </c>
      <c r="V2262" t="str">
        <f>VLOOKUP($R2262,'Mapa Oficinas'!$A$7:$C$46,2,FALSE)</f>
        <v>Zona Norte (GBA)</v>
      </c>
      <c r="W2262" t="str">
        <f>VLOOKUP($R2262,'Mapa Oficinas'!$A$7:$C$46,3,FALSE)</f>
        <v>Pilar</v>
      </c>
    </row>
    <row r="2263" spans="1:23" x14ac:dyDescent="0.2">
      <c r="A2263" s="1">
        <v>45874</v>
      </c>
      <c r="B2263" s="20">
        <f t="shared" si="70"/>
        <v>2025</v>
      </c>
      <c r="C2263" s="20">
        <f t="shared" si="71"/>
        <v>8</v>
      </c>
      <c r="D2263" t="s">
        <v>3431</v>
      </c>
      <c r="E2263" s="49">
        <v>1</v>
      </c>
      <c r="F2263" t="s">
        <v>3432</v>
      </c>
      <c r="G2263" t="s">
        <v>21</v>
      </c>
      <c r="H2263" t="s">
        <v>90</v>
      </c>
      <c r="I2263" s="13">
        <v>290000</v>
      </c>
      <c r="J2263" s="13">
        <v>215000</v>
      </c>
      <c r="K2263" s="13">
        <f>IF(J2263&lt;'Mapa Oficinas'!$I$21,0,IF(J2263&gt;'Mapa Oficinas'!$I$20,0,1))</f>
        <v>1</v>
      </c>
      <c r="L2263" t="s">
        <v>23</v>
      </c>
      <c r="M2263" t="s">
        <v>23</v>
      </c>
      <c r="N2263" t="s">
        <v>3433</v>
      </c>
      <c r="O2263" t="s">
        <v>976</v>
      </c>
      <c r="P2263" t="s">
        <v>34</v>
      </c>
      <c r="Q2263">
        <v>2</v>
      </c>
      <c r="R2263" t="s">
        <v>62</v>
      </c>
      <c r="S2263" t="s">
        <v>28</v>
      </c>
      <c r="T2263" t="str">
        <f>VLOOKUP(S2263,'Mapa Oficinas'!$H$7:$I$16,2,FALSE)</f>
        <v>CB</v>
      </c>
      <c r="U2263" t="s">
        <v>29</v>
      </c>
      <c r="V2263" t="str">
        <f>VLOOKUP($R2263,'Mapa Oficinas'!$A$7:$C$46,2,FALSE)</f>
        <v>CABA</v>
      </c>
      <c r="W2263" t="str">
        <f>VLOOKUP($R2263,'Mapa Oficinas'!$A$7:$C$46,3,FALSE)</f>
        <v>Villa Urquiza</v>
      </c>
    </row>
    <row r="2264" spans="1:23" x14ac:dyDescent="0.2">
      <c r="A2264" s="1">
        <v>45937</v>
      </c>
      <c r="B2264" s="20">
        <f t="shared" si="70"/>
        <v>2025</v>
      </c>
      <c r="C2264" s="20">
        <f t="shared" si="71"/>
        <v>10</v>
      </c>
      <c r="D2264" t="s">
        <v>4559</v>
      </c>
      <c r="E2264" s="49">
        <v>1</v>
      </c>
      <c r="F2264" t="s">
        <v>4560</v>
      </c>
      <c r="G2264" t="s">
        <v>21</v>
      </c>
      <c r="H2264" t="s">
        <v>37</v>
      </c>
      <c r="I2264" s="13">
        <v>219000</v>
      </c>
      <c r="J2264" s="13">
        <v>215000</v>
      </c>
      <c r="K2264" s="13">
        <f>IF(J2264&lt;'Mapa Oficinas'!$I$21,0,IF(J2264&gt;'Mapa Oficinas'!$I$20,0,1))</f>
        <v>1</v>
      </c>
      <c r="L2264" t="s">
        <v>23</v>
      </c>
      <c r="M2264" t="s">
        <v>23</v>
      </c>
      <c r="N2264" t="s">
        <v>4561</v>
      </c>
      <c r="O2264" t="s">
        <v>477</v>
      </c>
      <c r="P2264" t="s">
        <v>45</v>
      </c>
      <c r="Q2264">
        <v>2</v>
      </c>
      <c r="R2264" t="s">
        <v>523</v>
      </c>
      <c r="S2264" t="s">
        <v>28</v>
      </c>
      <c r="T2264" t="str">
        <f>VLOOKUP(S2264,'Mapa Oficinas'!$H$7:$I$16,2,FALSE)</f>
        <v>CB</v>
      </c>
      <c r="U2264" t="s">
        <v>29</v>
      </c>
      <c r="V2264" t="str">
        <f>VLOOKUP($R2264,'Mapa Oficinas'!$A$7:$C$46,2,FALSE)</f>
        <v>CABA</v>
      </c>
      <c r="W2264" t="str">
        <f>VLOOKUP($R2264,'Mapa Oficinas'!$A$7:$C$46,3,FALSE)</f>
        <v>Belgrano</v>
      </c>
    </row>
    <row r="2265" spans="1:23" x14ac:dyDescent="0.2">
      <c r="A2265" s="1">
        <v>45944</v>
      </c>
      <c r="B2265" s="20">
        <f t="shared" si="70"/>
        <v>2025</v>
      </c>
      <c r="C2265" s="20">
        <f t="shared" si="71"/>
        <v>10</v>
      </c>
      <c r="D2265" t="s">
        <v>4676</v>
      </c>
      <c r="E2265" s="49">
        <v>1</v>
      </c>
      <c r="F2265" t="s">
        <v>4677</v>
      </c>
      <c r="G2265" t="s">
        <v>21</v>
      </c>
      <c r="H2265" t="s">
        <v>37</v>
      </c>
      <c r="I2265" s="13">
        <v>220000</v>
      </c>
      <c r="J2265" s="13">
        <v>215000</v>
      </c>
      <c r="K2265" s="13">
        <f>IF(J2265&lt;'Mapa Oficinas'!$I$21,0,IF(J2265&gt;'Mapa Oficinas'!$I$20,0,1))</f>
        <v>1</v>
      </c>
      <c r="L2265" t="s">
        <v>23</v>
      </c>
      <c r="M2265" t="s">
        <v>23</v>
      </c>
      <c r="N2265" t="s">
        <v>4678</v>
      </c>
      <c r="O2265" t="s">
        <v>261</v>
      </c>
      <c r="P2265" t="s">
        <v>61</v>
      </c>
      <c r="Q2265">
        <v>2</v>
      </c>
      <c r="R2265" t="s">
        <v>1024</v>
      </c>
      <c r="S2265" t="s">
        <v>28</v>
      </c>
      <c r="T2265" t="str">
        <f>VLOOKUP(S2265,'Mapa Oficinas'!$H$7:$I$16,2,FALSE)</f>
        <v>CB</v>
      </c>
      <c r="U2265" t="s">
        <v>29</v>
      </c>
      <c r="V2265" t="str">
        <f>VLOOKUP($R2265,'Mapa Oficinas'!$A$7:$C$46,2,FALSE)</f>
        <v>CABA</v>
      </c>
      <c r="W2265" t="str">
        <f>VLOOKUP($R2265,'Mapa Oficinas'!$A$7:$C$46,3,FALSE)</f>
        <v>Puerto Madero</v>
      </c>
    </row>
    <row r="2266" spans="1:23" x14ac:dyDescent="0.2">
      <c r="A2266" s="1">
        <v>45947</v>
      </c>
      <c r="B2266" s="20">
        <f t="shared" si="70"/>
        <v>2025</v>
      </c>
      <c r="C2266" s="20">
        <f t="shared" si="71"/>
        <v>10</v>
      </c>
      <c r="D2266" t="s">
        <v>4776</v>
      </c>
      <c r="E2266" s="49">
        <v>1</v>
      </c>
      <c r="F2266" t="s">
        <v>4777</v>
      </c>
      <c r="G2266" t="s">
        <v>21</v>
      </c>
      <c r="H2266" t="s">
        <v>37</v>
      </c>
      <c r="I2266" s="13">
        <v>225000</v>
      </c>
      <c r="J2266" s="13">
        <v>215000</v>
      </c>
      <c r="K2266" s="13">
        <f>IF(J2266&lt;'Mapa Oficinas'!$I$21,0,IF(J2266&gt;'Mapa Oficinas'!$I$20,0,1))</f>
        <v>1</v>
      </c>
      <c r="L2266" t="s">
        <v>23</v>
      </c>
      <c r="M2266" t="s">
        <v>23</v>
      </c>
      <c r="N2266" t="s">
        <v>4778</v>
      </c>
      <c r="O2266" t="s">
        <v>245</v>
      </c>
      <c r="P2266" t="s">
        <v>34</v>
      </c>
      <c r="Q2266">
        <v>2</v>
      </c>
      <c r="R2266" t="s">
        <v>183</v>
      </c>
      <c r="S2266" t="s">
        <v>28</v>
      </c>
      <c r="T2266" t="str">
        <f>VLOOKUP(S2266,'Mapa Oficinas'!$H$7:$I$16,2,FALSE)</f>
        <v>CB</v>
      </c>
      <c r="U2266" t="s">
        <v>29</v>
      </c>
      <c r="V2266" t="str">
        <f>VLOOKUP($R2266,'Mapa Oficinas'!$A$7:$C$46,2,FALSE)</f>
        <v>Interior - Neuquén</v>
      </c>
      <c r="W2266" t="str">
        <f>VLOOKUP($R2266,'Mapa Oficinas'!$A$7:$C$46,3,FALSE)</f>
        <v>Capital Neuquén</v>
      </c>
    </row>
    <row r="2267" spans="1:23" x14ac:dyDescent="0.2">
      <c r="A2267" s="1">
        <v>46035</v>
      </c>
      <c r="B2267" s="20">
        <f t="shared" si="70"/>
        <v>2026</v>
      </c>
      <c r="C2267" s="20">
        <f t="shared" si="71"/>
        <v>1</v>
      </c>
      <c r="D2267" t="s">
        <v>6210</v>
      </c>
      <c r="E2267" s="49">
        <v>1</v>
      </c>
      <c r="F2267" t="s">
        <v>6211</v>
      </c>
      <c r="G2267" t="s">
        <v>21</v>
      </c>
      <c r="H2267" t="s">
        <v>37</v>
      </c>
      <c r="I2267" s="13">
        <v>219000</v>
      </c>
      <c r="J2267" s="13">
        <v>215000</v>
      </c>
      <c r="K2267" s="13">
        <f>IF(J2267&lt;'Mapa Oficinas'!$I$21,0,IF(J2267&gt;'Mapa Oficinas'!$I$20,0,1))</f>
        <v>1</v>
      </c>
      <c r="L2267" t="s">
        <v>23</v>
      </c>
      <c r="M2267" t="s">
        <v>23</v>
      </c>
      <c r="N2267" t="s">
        <v>6212</v>
      </c>
      <c r="O2267" t="s">
        <v>50</v>
      </c>
      <c r="P2267" t="s">
        <v>45</v>
      </c>
      <c r="Q2267">
        <v>2</v>
      </c>
      <c r="R2267" t="s">
        <v>135</v>
      </c>
      <c r="S2267" t="s">
        <v>28</v>
      </c>
      <c r="T2267" t="str">
        <f>VLOOKUP(S2267,'Mapa Oficinas'!$H$7:$I$16,2,FALSE)</f>
        <v>CB</v>
      </c>
      <c r="U2267" t="s">
        <v>29</v>
      </c>
      <c r="V2267" t="str">
        <f>VLOOKUP($R2267,'Mapa Oficinas'!$A$7:$C$46,2,FALSE)</f>
        <v>CABA</v>
      </c>
      <c r="W2267" t="str">
        <f>VLOOKUP($R2267,'Mapa Oficinas'!$A$7:$C$46,3,FALSE)</f>
        <v>Recoleta</v>
      </c>
    </row>
    <row r="2268" spans="1:23" x14ac:dyDescent="0.2">
      <c r="A2268" s="1">
        <v>46104</v>
      </c>
      <c r="B2268" s="20">
        <f t="shared" si="70"/>
        <v>2026</v>
      </c>
      <c r="C2268" s="20">
        <f t="shared" si="71"/>
        <v>3</v>
      </c>
      <c r="D2268" t="s">
        <v>7375</v>
      </c>
      <c r="E2268" s="49">
        <v>1</v>
      </c>
      <c r="F2268" t="s">
        <v>7376</v>
      </c>
      <c r="G2268" t="s">
        <v>21</v>
      </c>
      <c r="H2268" t="s">
        <v>37</v>
      </c>
      <c r="I2268" s="13">
        <v>230000</v>
      </c>
      <c r="J2268" s="13">
        <v>215000</v>
      </c>
      <c r="K2268" s="13">
        <f>IF(J2268&lt;'Mapa Oficinas'!$I$21,0,IF(J2268&gt;'Mapa Oficinas'!$I$20,0,1))</f>
        <v>1</v>
      </c>
      <c r="L2268" t="s">
        <v>23</v>
      </c>
      <c r="M2268" t="s">
        <v>23</v>
      </c>
      <c r="N2268" t="s">
        <v>7377</v>
      </c>
      <c r="O2268" t="s">
        <v>7378</v>
      </c>
      <c r="P2268" t="s">
        <v>45</v>
      </c>
      <c r="Q2268">
        <v>2</v>
      </c>
      <c r="R2268" t="s">
        <v>110</v>
      </c>
      <c r="S2268" t="s">
        <v>28</v>
      </c>
      <c r="T2268" t="str">
        <f>VLOOKUP(S2268,'Mapa Oficinas'!$H$7:$I$16,2,FALSE)</f>
        <v>CB</v>
      </c>
      <c r="U2268" t="s">
        <v>29</v>
      </c>
      <c r="V2268" t="str">
        <f>VLOOKUP($R2268,'Mapa Oficinas'!$A$7:$C$46,2,FALSE)</f>
        <v>Zona Norte (GBA)</v>
      </c>
      <c r="W2268" t="str">
        <f>VLOOKUP($R2268,'Mapa Oficinas'!$A$7:$C$46,3,FALSE)</f>
        <v>Nordelta</v>
      </c>
    </row>
    <row r="2269" spans="1:23" x14ac:dyDescent="0.2">
      <c r="A2269" s="1">
        <v>45741</v>
      </c>
      <c r="B2269" s="20">
        <f t="shared" si="70"/>
        <v>2025</v>
      </c>
      <c r="C2269" s="20">
        <f t="shared" si="71"/>
        <v>3</v>
      </c>
      <c r="E2269" s="49">
        <v>1</v>
      </c>
      <c r="F2269" t="s">
        <v>1095</v>
      </c>
      <c r="G2269" t="s">
        <v>21</v>
      </c>
      <c r="H2269" t="s">
        <v>97</v>
      </c>
      <c r="I2269" s="13">
        <v>216000</v>
      </c>
      <c r="J2269" s="13">
        <v>216000</v>
      </c>
      <c r="K2269" s="13">
        <f>IF(J2269&lt;'Mapa Oficinas'!$I$21,0,IF(J2269&gt;'Mapa Oficinas'!$I$20,0,1))</f>
        <v>1</v>
      </c>
      <c r="L2269" t="s">
        <v>23</v>
      </c>
      <c r="M2269" t="s">
        <v>23</v>
      </c>
      <c r="N2269" t="s">
        <v>1096</v>
      </c>
      <c r="O2269" t="s">
        <v>92</v>
      </c>
      <c r="P2269" t="s">
        <v>45</v>
      </c>
      <c r="Q2269">
        <v>1</v>
      </c>
      <c r="R2269" t="s">
        <v>429</v>
      </c>
      <c r="S2269" t="s">
        <v>47</v>
      </c>
      <c r="T2269" t="str">
        <f>VLOOKUP(S2269,'Mapa Oficinas'!$H$7:$I$16,2,FALSE)</f>
        <v>Otra Red Búsqueda</v>
      </c>
      <c r="U2269" t="s">
        <v>29</v>
      </c>
      <c r="V2269" t="str">
        <f>VLOOKUP($R2269,'Mapa Oficinas'!$A$7:$C$46,2,FALSE)</f>
        <v>Zona Oeste (GBA)</v>
      </c>
      <c r="W2269" t="str">
        <f>VLOOKUP($R2269,'Mapa Oficinas'!$A$7:$C$46,3,FALSE)</f>
        <v>Parque Leloir</v>
      </c>
    </row>
    <row r="2270" spans="1:23" x14ac:dyDescent="0.2">
      <c r="A2270" s="1">
        <v>45798</v>
      </c>
      <c r="B2270" s="20">
        <f t="shared" si="70"/>
        <v>2025</v>
      </c>
      <c r="C2270" s="20">
        <f t="shared" si="71"/>
        <v>5</v>
      </c>
      <c r="D2270" t="s">
        <v>2074</v>
      </c>
      <c r="E2270" s="49">
        <v>1</v>
      </c>
      <c r="F2270" t="s">
        <v>2075</v>
      </c>
      <c r="G2270" t="s">
        <v>21</v>
      </c>
      <c r="H2270" t="s">
        <v>37</v>
      </c>
      <c r="I2270" s="13">
        <v>230000</v>
      </c>
      <c r="J2270" s="13">
        <v>216500</v>
      </c>
      <c r="K2270" s="13">
        <f>IF(J2270&lt;'Mapa Oficinas'!$I$21,0,IF(J2270&gt;'Mapa Oficinas'!$I$20,0,1))</f>
        <v>1</v>
      </c>
      <c r="L2270" t="s">
        <v>23</v>
      </c>
      <c r="M2270" t="s">
        <v>23</v>
      </c>
      <c r="N2270" t="s">
        <v>2076</v>
      </c>
      <c r="O2270" t="s">
        <v>2077</v>
      </c>
      <c r="P2270" t="s">
        <v>34</v>
      </c>
      <c r="Q2270">
        <v>2</v>
      </c>
      <c r="R2270" t="s">
        <v>110</v>
      </c>
      <c r="S2270" t="s">
        <v>200</v>
      </c>
      <c r="T2270" t="str">
        <f>VLOOKUP(S2270,'Mapa Oficinas'!$H$7:$I$16,2,FALSE)</f>
        <v>Otra Red Captación</v>
      </c>
      <c r="U2270" t="s">
        <v>29</v>
      </c>
      <c r="V2270" t="str">
        <f>VLOOKUP($R2270,'Mapa Oficinas'!$A$7:$C$46,2,FALSE)</f>
        <v>Zona Norte (GBA)</v>
      </c>
      <c r="W2270" t="str">
        <f>VLOOKUP($R2270,'Mapa Oficinas'!$A$7:$C$46,3,FALSE)</f>
        <v>Nordelta</v>
      </c>
    </row>
    <row r="2271" spans="1:23" x14ac:dyDescent="0.2">
      <c r="A2271" s="1">
        <v>46052</v>
      </c>
      <c r="B2271" s="20">
        <f t="shared" si="70"/>
        <v>2026</v>
      </c>
      <c r="C2271" s="20">
        <f t="shared" si="71"/>
        <v>1</v>
      </c>
      <c r="D2271" t="s">
        <v>6485</v>
      </c>
      <c r="E2271" s="49">
        <v>1</v>
      </c>
      <c r="F2271" t="s">
        <v>6486</v>
      </c>
      <c r="G2271" t="s">
        <v>21</v>
      </c>
      <c r="H2271" t="s">
        <v>37</v>
      </c>
      <c r="I2271" s="13">
        <v>240000</v>
      </c>
      <c r="J2271" s="13">
        <v>217000</v>
      </c>
      <c r="K2271" s="13">
        <f>IF(J2271&lt;'Mapa Oficinas'!$I$21,0,IF(J2271&gt;'Mapa Oficinas'!$I$20,0,1))</f>
        <v>1</v>
      </c>
      <c r="L2271" t="s">
        <v>23</v>
      </c>
      <c r="M2271" t="s">
        <v>23</v>
      </c>
      <c r="N2271" t="s">
        <v>6487</v>
      </c>
      <c r="O2271" t="s">
        <v>162</v>
      </c>
      <c r="P2271" t="s">
        <v>34</v>
      </c>
      <c r="Q2271">
        <v>2</v>
      </c>
      <c r="R2271" t="s">
        <v>46</v>
      </c>
      <c r="S2271" t="s">
        <v>28</v>
      </c>
      <c r="T2271" t="str">
        <f>VLOOKUP(S2271,'Mapa Oficinas'!$H$7:$I$16,2,FALSE)</f>
        <v>CB</v>
      </c>
      <c r="U2271" t="s">
        <v>29</v>
      </c>
      <c r="V2271" t="str">
        <f>VLOOKUP($R2271,'Mapa Oficinas'!$A$7:$C$46,2,FALSE)</f>
        <v>CABA</v>
      </c>
      <c r="W2271" t="str">
        <f>VLOOKUP($R2271,'Mapa Oficinas'!$A$7:$C$46,3,FALSE)</f>
        <v>Palermo</v>
      </c>
    </row>
    <row r="2272" spans="1:23" x14ac:dyDescent="0.2">
      <c r="A2272" s="1">
        <v>46010</v>
      </c>
      <c r="B2272" s="20">
        <f t="shared" si="70"/>
        <v>2025</v>
      </c>
      <c r="C2272" s="20">
        <f t="shared" si="71"/>
        <v>12</v>
      </c>
      <c r="E2272" s="49">
        <v>1</v>
      </c>
      <c r="F2272" t="s">
        <v>5912</v>
      </c>
      <c r="G2272" t="s">
        <v>21</v>
      </c>
      <c r="H2272" t="s">
        <v>37</v>
      </c>
      <c r="I2272" s="13">
        <v>0</v>
      </c>
      <c r="J2272" s="13">
        <v>218000</v>
      </c>
      <c r="K2272" s="13">
        <f>IF(J2272&lt;'Mapa Oficinas'!$I$21,0,IF(J2272&gt;'Mapa Oficinas'!$I$20,0,1))</f>
        <v>1</v>
      </c>
      <c r="L2272" t="s">
        <v>23</v>
      </c>
      <c r="M2272" t="s">
        <v>23</v>
      </c>
      <c r="N2272" t="s">
        <v>5913</v>
      </c>
      <c r="P2272" t="s">
        <v>45</v>
      </c>
      <c r="Q2272">
        <v>1</v>
      </c>
      <c r="R2272" t="s">
        <v>46</v>
      </c>
      <c r="S2272" t="s">
        <v>47</v>
      </c>
      <c r="T2272" t="str">
        <f>VLOOKUP(S2272,'Mapa Oficinas'!$H$7:$I$16,2,FALSE)</f>
        <v>Otra Red Búsqueda</v>
      </c>
      <c r="U2272" t="s">
        <v>29</v>
      </c>
      <c r="V2272" t="str">
        <f>VLOOKUP($R2272,'Mapa Oficinas'!$A$7:$C$46,2,FALSE)</f>
        <v>CABA</v>
      </c>
      <c r="W2272" t="str">
        <f>VLOOKUP($R2272,'Mapa Oficinas'!$A$7:$C$46,3,FALSE)</f>
        <v>Palermo</v>
      </c>
    </row>
    <row r="2273" spans="1:23" x14ac:dyDescent="0.2">
      <c r="A2273" s="1">
        <v>45729</v>
      </c>
      <c r="B2273" s="20">
        <f t="shared" si="70"/>
        <v>2025</v>
      </c>
      <c r="C2273" s="20">
        <f t="shared" si="71"/>
        <v>3</v>
      </c>
      <c r="D2273" t="s">
        <v>948</v>
      </c>
      <c r="E2273" s="49">
        <v>1</v>
      </c>
      <c r="F2273" t="s">
        <v>949</v>
      </c>
      <c r="G2273" t="s">
        <v>21</v>
      </c>
      <c r="H2273" t="s">
        <v>76</v>
      </c>
      <c r="I2273" s="13">
        <v>230000</v>
      </c>
      <c r="J2273" s="13">
        <v>218000</v>
      </c>
      <c r="K2273" s="13">
        <f>IF(J2273&lt;'Mapa Oficinas'!$I$21,0,IF(J2273&gt;'Mapa Oficinas'!$I$20,0,1))</f>
        <v>1</v>
      </c>
      <c r="L2273" t="s">
        <v>23</v>
      </c>
      <c r="M2273" t="s">
        <v>23</v>
      </c>
      <c r="N2273" t="s">
        <v>950</v>
      </c>
      <c r="O2273" t="s">
        <v>413</v>
      </c>
      <c r="P2273" t="s">
        <v>45</v>
      </c>
      <c r="Q2273">
        <v>2</v>
      </c>
      <c r="R2273" t="s">
        <v>27</v>
      </c>
      <c r="S2273" t="s">
        <v>200</v>
      </c>
      <c r="T2273" t="str">
        <f>VLOOKUP(S2273,'Mapa Oficinas'!$H$7:$I$16,2,FALSE)</f>
        <v>Otra Red Captación</v>
      </c>
      <c r="U2273" t="s">
        <v>29</v>
      </c>
      <c r="V2273" t="str">
        <f>VLOOKUP($R2273,'Mapa Oficinas'!$A$7:$C$46,2,FALSE)</f>
        <v>Zona Norte (GBA)</v>
      </c>
      <c r="W2273" t="str">
        <f>VLOOKUP($R2273,'Mapa Oficinas'!$A$7:$C$46,3,FALSE)</f>
        <v>Tigre</v>
      </c>
    </row>
    <row r="2274" spans="1:23" x14ac:dyDescent="0.2">
      <c r="A2274" s="1">
        <v>45777</v>
      </c>
      <c r="B2274" s="20">
        <f t="shared" si="70"/>
        <v>2025</v>
      </c>
      <c r="C2274" s="20">
        <f t="shared" si="71"/>
        <v>4</v>
      </c>
      <c r="D2274" t="s">
        <v>1754</v>
      </c>
      <c r="E2274" s="49">
        <v>1</v>
      </c>
      <c r="F2274" t="s">
        <v>1755</v>
      </c>
      <c r="G2274" t="s">
        <v>21</v>
      </c>
      <c r="H2274" t="s">
        <v>37</v>
      </c>
      <c r="I2274" s="13">
        <v>229000</v>
      </c>
      <c r="J2274" s="13">
        <v>218000</v>
      </c>
      <c r="K2274" s="13">
        <f>IF(J2274&lt;'Mapa Oficinas'!$I$21,0,IF(J2274&gt;'Mapa Oficinas'!$I$20,0,1))</f>
        <v>1</v>
      </c>
      <c r="L2274" t="s">
        <v>23</v>
      </c>
      <c r="M2274" t="s">
        <v>23</v>
      </c>
      <c r="N2274" t="s">
        <v>1756</v>
      </c>
      <c r="O2274" t="s">
        <v>390</v>
      </c>
      <c r="P2274" t="s">
        <v>61</v>
      </c>
      <c r="Q2274">
        <v>2</v>
      </c>
      <c r="R2274" t="s">
        <v>67</v>
      </c>
      <c r="S2274" t="s">
        <v>200</v>
      </c>
      <c r="T2274" t="str">
        <f>VLOOKUP(S2274,'Mapa Oficinas'!$H$7:$I$16,2,FALSE)</f>
        <v>Otra Red Captación</v>
      </c>
      <c r="U2274" t="s">
        <v>29</v>
      </c>
      <c r="V2274" t="str">
        <f>VLOOKUP($R2274,'Mapa Oficinas'!$A$7:$C$46,2,FALSE)</f>
        <v>CABA</v>
      </c>
      <c r="W2274" t="str">
        <f>VLOOKUP($R2274,'Mapa Oficinas'!$A$7:$C$46,3,FALSE)</f>
        <v>Barrio Parque</v>
      </c>
    </row>
    <row r="2275" spans="1:23" x14ac:dyDescent="0.2">
      <c r="A2275" s="1">
        <v>45992</v>
      </c>
      <c r="B2275" s="20">
        <f t="shared" si="70"/>
        <v>2025</v>
      </c>
      <c r="C2275" s="20">
        <f t="shared" si="71"/>
        <v>12</v>
      </c>
      <c r="D2275" t="s">
        <v>5571</v>
      </c>
      <c r="E2275" s="49">
        <v>1</v>
      </c>
      <c r="F2275" t="s">
        <v>5572</v>
      </c>
      <c r="G2275" t="s">
        <v>21</v>
      </c>
      <c r="H2275" t="s">
        <v>37</v>
      </c>
      <c r="I2275" s="13">
        <v>215000</v>
      </c>
      <c r="J2275" s="13">
        <v>218000</v>
      </c>
      <c r="K2275" s="13">
        <f>IF(J2275&lt;'Mapa Oficinas'!$I$21,0,IF(J2275&gt;'Mapa Oficinas'!$I$20,0,1))</f>
        <v>1</v>
      </c>
      <c r="L2275" t="s">
        <v>23</v>
      </c>
      <c r="M2275" t="s">
        <v>23</v>
      </c>
      <c r="N2275" t="s">
        <v>5573</v>
      </c>
      <c r="O2275" t="s">
        <v>92</v>
      </c>
      <c r="P2275" t="s">
        <v>45</v>
      </c>
      <c r="Q2275">
        <v>2</v>
      </c>
      <c r="R2275" t="s">
        <v>670</v>
      </c>
      <c r="S2275" t="s">
        <v>200</v>
      </c>
      <c r="T2275" t="str">
        <f>VLOOKUP(S2275,'Mapa Oficinas'!$H$7:$I$16,2,FALSE)</f>
        <v>Otra Red Captación</v>
      </c>
      <c r="U2275" t="s">
        <v>29</v>
      </c>
      <c r="V2275" t="str">
        <f>VLOOKUP($R2275,'Mapa Oficinas'!$A$7:$C$46,2,FALSE)</f>
        <v>CABA</v>
      </c>
      <c r="W2275" t="str">
        <f>VLOOKUP($R2275,'Mapa Oficinas'!$A$7:$C$46,3,FALSE)</f>
        <v>Recoleta</v>
      </c>
    </row>
    <row r="2276" spans="1:23" x14ac:dyDescent="0.2">
      <c r="A2276" s="1">
        <v>45664</v>
      </c>
      <c r="B2276" s="20">
        <f t="shared" si="70"/>
        <v>2025</v>
      </c>
      <c r="C2276" s="20">
        <f t="shared" si="71"/>
        <v>1</v>
      </c>
      <c r="D2276" t="s">
        <v>115</v>
      </c>
      <c r="E2276" s="49">
        <v>1</v>
      </c>
      <c r="F2276" t="s">
        <v>115</v>
      </c>
      <c r="G2276" t="s">
        <v>21</v>
      </c>
      <c r="H2276" t="s">
        <v>22</v>
      </c>
      <c r="I2276" s="13">
        <v>218000</v>
      </c>
      <c r="J2276" s="13">
        <v>218000</v>
      </c>
      <c r="K2276" s="13">
        <f>IF(J2276&lt;'Mapa Oficinas'!$I$21,0,IF(J2276&gt;'Mapa Oficinas'!$I$20,0,1))</f>
        <v>1</v>
      </c>
      <c r="L2276" t="s">
        <v>23</v>
      </c>
      <c r="M2276" t="s">
        <v>23</v>
      </c>
      <c r="N2276" t="s">
        <v>115</v>
      </c>
      <c r="O2276" t="s">
        <v>116</v>
      </c>
      <c r="P2276" t="s">
        <v>34</v>
      </c>
      <c r="Q2276">
        <v>2</v>
      </c>
      <c r="R2276" t="s">
        <v>62</v>
      </c>
      <c r="S2276" t="s">
        <v>28</v>
      </c>
      <c r="T2276" t="str">
        <f>VLOOKUP(S2276,'Mapa Oficinas'!$H$7:$I$16,2,FALSE)</f>
        <v>CB</v>
      </c>
      <c r="U2276" t="s">
        <v>29</v>
      </c>
      <c r="V2276" t="str">
        <f>VLOOKUP($R2276,'Mapa Oficinas'!$A$7:$C$46,2,FALSE)</f>
        <v>CABA</v>
      </c>
      <c r="W2276" t="str">
        <f>VLOOKUP($R2276,'Mapa Oficinas'!$A$7:$C$46,3,FALSE)</f>
        <v>Villa Urquiza</v>
      </c>
    </row>
    <row r="2277" spans="1:23" x14ac:dyDescent="0.2">
      <c r="A2277" s="1">
        <v>45936</v>
      </c>
      <c r="B2277" s="20">
        <f t="shared" si="70"/>
        <v>2025</v>
      </c>
      <c r="C2277" s="20">
        <f t="shared" si="71"/>
        <v>10</v>
      </c>
      <c r="D2277" t="s">
        <v>4530</v>
      </c>
      <c r="E2277" s="49">
        <v>1</v>
      </c>
      <c r="F2277" t="s">
        <v>4531</v>
      </c>
      <c r="G2277" t="s">
        <v>21</v>
      </c>
      <c r="H2277" t="s">
        <v>37</v>
      </c>
      <c r="I2277" s="13">
        <v>239000</v>
      </c>
      <c r="J2277" s="13">
        <v>218000</v>
      </c>
      <c r="K2277" s="13">
        <f>IF(J2277&lt;'Mapa Oficinas'!$I$21,0,IF(J2277&gt;'Mapa Oficinas'!$I$20,0,1))</f>
        <v>1</v>
      </c>
      <c r="L2277" t="s">
        <v>23</v>
      </c>
      <c r="M2277" t="s">
        <v>23</v>
      </c>
      <c r="N2277" t="s">
        <v>4532</v>
      </c>
      <c r="O2277" t="s">
        <v>976</v>
      </c>
      <c r="P2277" t="s">
        <v>45</v>
      </c>
      <c r="Q2277">
        <v>2</v>
      </c>
      <c r="R2277" t="s">
        <v>46</v>
      </c>
      <c r="S2277" t="s">
        <v>28</v>
      </c>
      <c r="T2277" t="str">
        <f>VLOOKUP(S2277,'Mapa Oficinas'!$H$7:$I$16,2,FALSE)</f>
        <v>CB</v>
      </c>
      <c r="U2277" t="s">
        <v>29</v>
      </c>
      <c r="V2277" t="str">
        <f>VLOOKUP($R2277,'Mapa Oficinas'!$A$7:$C$46,2,FALSE)</f>
        <v>CABA</v>
      </c>
      <c r="W2277" t="str">
        <f>VLOOKUP($R2277,'Mapa Oficinas'!$A$7:$C$46,3,FALSE)</f>
        <v>Palermo</v>
      </c>
    </row>
    <row r="2278" spans="1:23" x14ac:dyDescent="0.2">
      <c r="A2278" s="1">
        <v>45691</v>
      </c>
      <c r="B2278" s="20">
        <f t="shared" si="70"/>
        <v>2025</v>
      </c>
      <c r="C2278" s="20">
        <f t="shared" si="71"/>
        <v>2</v>
      </c>
      <c r="D2278" t="s">
        <v>474</v>
      </c>
      <c r="E2278" s="49">
        <v>1</v>
      </c>
      <c r="F2278" t="s">
        <v>475</v>
      </c>
      <c r="G2278" t="s">
        <v>21</v>
      </c>
      <c r="H2278" t="s">
        <v>37</v>
      </c>
      <c r="I2278" s="13">
        <v>240000</v>
      </c>
      <c r="J2278" s="13">
        <v>219000</v>
      </c>
      <c r="K2278" s="13">
        <f>IF(J2278&lt;'Mapa Oficinas'!$I$21,0,IF(J2278&gt;'Mapa Oficinas'!$I$20,0,1))</f>
        <v>1</v>
      </c>
      <c r="L2278" t="s">
        <v>23</v>
      </c>
      <c r="M2278" t="s">
        <v>23</v>
      </c>
      <c r="N2278" t="s">
        <v>476</v>
      </c>
      <c r="O2278" t="s">
        <v>477</v>
      </c>
      <c r="P2278" t="s">
        <v>45</v>
      </c>
      <c r="Q2278">
        <v>2</v>
      </c>
      <c r="R2278" t="s">
        <v>46</v>
      </c>
      <c r="S2278" t="s">
        <v>200</v>
      </c>
      <c r="T2278" t="str">
        <f>VLOOKUP(S2278,'Mapa Oficinas'!$H$7:$I$16,2,FALSE)</f>
        <v>Otra Red Captación</v>
      </c>
      <c r="U2278" t="s">
        <v>29</v>
      </c>
      <c r="V2278" t="str">
        <f>VLOOKUP($R2278,'Mapa Oficinas'!$A$7:$C$46,2,FALSE)</f>
        <v>CABA</v>
      </c>
      <c r="W2278" t="str">
        <f>VLOOKUP($R2278,'Mapa Oficinas'!$A$7:$C$46,3,FALSE)</f>
        <v>Palermo</v>
      </c>
    </row>
    <row r="2279" spans="1:23" x14ac:dyDescent="0.2">
      <c r="A2279" s="1">
        <v>45855</v>
      </c>
      <c r="B2279" s="20">
        <f t="shared" si="70"/>
        <v>2025</v>
      </c>
      <c r="C2279" s="20">
        <f t="shared" si="71"/>
        <v>7</v>
      </c>
      <c r="D2279" t="s">
        <v>3090</v>
      </c>
      <c r="E2279" s="49">
        <v>1</v>
      </c>
      <c r="F2279" t="s">
        <v>3091</v>
      </c>
      <c r="G2279" t="s">
        <v>21</v>
      </c>
      <c r="H2279" t="s">
        <v>37</v>
      </c>
      <c r="I2279" s="13">
        <v>225000</v>
      </c>
      <c r="J2279" s="13">
        <v>220000</v>
      </c>
      <c r="K2279" s="13">
        <f>IF(J2279&lt;'Mapa Oficinas'!$I$21,0,IF(J2279&gt;'Mapa Oficinas'!$I$20,0,1))</f>
        <v>1</v>
      </c>
      <c r="L2279" t="s">
        <v>23</v>
      </c>
      <c r="M2279" t="s">
        <v>23</v>
      </c>
      <c r="N2279" t="s">
        <v>3092</v>
      </c>
      <c r="O2279" t="s">
        <v>1180</v>
      </c>
      <c r="P2279" t="s">
        <v>45</v>
      </c>
      <c r="Q2279">
        <v>2</v>
      </c>
      <c r="R2279" t="s">
        <v>46</v>
      </c>
      <c r="S2279" t="s">
        <v>79</v>
      </c>
      <c r="T2279" t="str">
        <f>VLOOKUP(S2279,'Mapa Oficinas'!$H$7:$I$16,2,FALSE)</f>
        <v>CB</v>
      </c>
      <c r="U2279" t="s">
        <v>29</v>
      </c>
      <c r="V2279" t="str">
        <f>VLOOKUP($R2279,'Mapa Oficinas'!$A$7:$C$46,2,FALSE)</f>
        <v>CABA</v>
      </c>
      <c r="W2279" t="str">
        <f>VLOOKUP($R2279,'Mapa Oficinas'!$A$7:$C$46,3,FALSE)</f>
        <v>Palermo</v>
      </c>
    </row>
    <row r="2280" spans="1:23" x14ac:dyDescent="0.2">
      <c r="A2280" s="1">
        <v>46097</v>
      </c>
      <c r="B2280" s="20">
        <f t="shared" si="70"/>
        <v>2026</v>
      </c>
      <c r="C2280" s="20">
        <f t="shared" si="71"/>
        <v>3</v>
      </c>
      <c r="D2280" t="s">
        <v>7219</v>
      </c>
      <c r="E2280" s="49">
        <v>1</v>
      </c>
      <c r="F2280" t="s">
        <v>7220</v>
      </c>
      <c r="G2280" t="s">
        <v>21</v>
      </c>
      <c r="H2280" t="s">
        <v>37</v>
      </c>
      <c r="I2280" s="13">
        <v>240000</v>
      </c>
      <c r="J2280" s="13">
        <v>220000</v>
      </c>
      <c r="K2280" s="13">
        <f>IF(J2280&lt;'Mapa Oficinas'!$I$21,0,IF(J2280&gt;'Mapa Oficinas'!$I$20,0,1))</f>
        <v>1</v>
      </c>
      <c r="L2280" t="s">
        <v>23</v>
      </c>
      <c r="M2280" t="s">
        <v>23</v>
      </c>
      <c r="N2280" t="s">
        <v>7221</v>
      </c>
      <c r="O2280" t="s">
        <v>240</v>
      </c>
      <c r="P2280" t="s">
        <v>26</v>
      </c>
      <c r="Q2280">
        <v>2</v>
      </c>
      <c r="R2280" t="s">
        <v>84</v>
      </c>
      <c r="S2280" t="s">
        <v>79</v>
      </c>
      <c r="T2280" t="str">
        <f>VLOOKUP(S2280,'Mapa Oficinas'!$H$7:$I$16,2,FALSE)</f>
        <v>CB</v>
      </c>
      <c r="U2280" t="s">
        <v>29</v>
      </c>
      <c r="V2280" t="str">
        <f>VLOOKUP($R2280,'Mapa Oficinas'!$A$7:$C$46,2,FALSE)</f>
        <v>Interior - Neuquén</v>
      </c>
      <c r="W2280" t="str">
        <f>VLOOKUP($R2280,'Mapa Oficinas'!$A$7:$C$46,3,FALSE)</f>
        <v>Villa La Angostura</v>
      </c>
    </row>
    <row r="2281" spans="1:23" x14ac:dyDescent="0.2">
      <c r="A2281" s="1">
        <v>46094</v>
      </c>
      <c r="B2281" s="20">
        <f t="shared" si="70"/>
        <v>2026</v>
      </c>
      <c r="C2281" s="20">
        <f t="shared" si="71"/>
        <v>3</v>
      </c>
      <c r="D2281" t="s">
        <v>7172</v>
      </c>
      <c r="E2281" s="49">
        <v>0</v>
      </c>
      <c r="F2281" t="s">
        <v>7173</v>
      </c>
      <c r="G2281" t="s">
        <v>21</v>
      </c>
      <c r="H2281" t="s">
        <v>37</v>
      </c>
      <c r="I2281" s="13">
        <v>224900</v>
      </c>
      <c r="J2281" s="13">
        <v>220000</v>
      </c>
      <c r="K2281" s="13">
        <f>IF(J2281&lt;'Mapa Oficinas'!$I$21,0,IF(J2281&gt;'Mapa Oficinas'!$I$20,0,1))</f>
        <v>1</v>
      </c>
      <c r="L2281" t="s">
        <v>23</v>
      </c>
      <c r="M2281" t="s">
        <v>23</v>
      </c>
      <c r="N2281" t="s">
        <v>7174</v>
      </c>
      <c r="O2281" t="s">
        <v>5264</v>
      </c>
      <c r="P2281" t="s">
        <v>34</v>
      </c>
      <c r="Q2281">
        <v>2</v>
      </c>
      <c r="R2281" t="s">
        <v>495</v>
      </c>
      <c r="S2281" t="s">
        <v>232</v>
      </c>
      <c r="T2281" t="str">
        <f>VLOOKUP(S2281,'Mapa Oficinas'!$H$7:$I$16,2,FALSE)</f>
        <v>CB</v>
      </c>
      <c r="U2281" t="s">
        <v>29</v>
      </c>
      <c r="V2281" t="str">
        <f>VLOOKUP($R2281,'Mapa Oficinas'!$A$7:$C$46,2,FALSE)</f>
        <v>Zona Norte (GBA)</v>
      </c>
      <c r="W2281" t="str">
        <f>VLOOKUP($R2281,'Mapa Oficinas'!$A$7:$C$46,3,FALSE)</f>
        <v>Escobar</v>
      </c>
    </row>
    <row r="2282" spans="1:23" x14ac:dyDescent="0.2">
      <c r="A2282" s="1">
        <v>45799</v>
      </c>
      <c r="B2282" s="20">
        <f t="shared" si="70"/>
        <v>2025</v>
      </c>
      <c r="C2282" s="20">
        <f t="shared" si="71"/>
        <v>5</v>
      </c>
      <c r="D2282">
        <v>10355</v>
      </c>
      <c r="E2282" s="49">
        <v>1</v>
      </c>
      <c r="F2282" t="s">
        <v>2099</v>
      </c>
      <c r="G2282" t="s">
        <v>21</v>
      </c>
      <c r="H2282" t="s">
        <v>37</v>
      </c>
      <c r="I2282" s="13">
        <v>0</v>
      </c>
      <c r="J2282" s="13">
        <v>220000</v>
      </c>
      <c r="K2282" s="13">
        <f>IF(J2282&lt;'Mapa Oficinas'!$I$21,0,IF(J2282&gt;'Mapa Oficinas'!$I$20,0,1))</f>
        <v>1</v>
      </c>
      <c r="L2282" t="s">
        <v>23</v>
      </c>
      <c r="M2282" t="s">
        <v>23</v>
      </c>
      <c r="N2282" t="s">
        <v>2100</v>
      </c>
      <c r="O2282" t="s">
        <v>190</v>
      </c>
      <c r="P2282" t="s">
        <v>45</v>
      </c>
      <c r="Q2282">
        <v>1</v>
      </c>
      <c r="R2282" t="s">
        <v>67</v>
      </c>
      <c r="S2282" t="s">
        <v>47</v>
      </c>
      <c r="T2282" t="str">
        <f>VLOOKUP(S2282,'Mapa Oficinas'!$H$7:$I$16,2,FALSE)</f>
        <v>Otra Red Búsqueda</v>
      </c>
      <c r="U2282" t="s">
        <v>29</v>
      </c>
      <c r="V2282" t="str">
        <f>VLOOKUP($R2282,'Mapa Oficinas'!$A$7:$C$46,2,FALSE)</f>
        <v>CABA</v>
      </c>
      <c r="W2282" t="str">
        <f>VLOOKUP($R2282,'Mapa Oficinas'!$A$7:$C$46,3,FALSE)</f>
        <v>Barrio Parque</v>
      </c>
    </row>
    <row r="2283" spans="1:23" x14ac:dyDescent="0.2">
      <c r="A2283" s="1">
        <v>45890</v>
      </c>
      <c r="B2283" s="20">
        <f t="shared" si="70"/>
        <v>2025</v>
      </c>
      <c r="C2283" s="20">
        <f t="shared" si="71"/>
        <v>8</v>
      </c>
      <c r="D2283" t="s">
        <v>3703</v>
      </c>
      <c r="E2283" s="49">
        <v>1</v>
      </c>
      <c r="F2283" t="s">
        <v>3704</v>
      </c>
      <c r="G2283" t="s">
        <v>21</v>
      </c>
      <c r="H2283" t="s">
        <v>37</v>
      </c>
      <c r="I2283" s="13">
        <v>225000</v>
      </c>
      <c r="J2283" s="13">
        <v>220000</v>
      </c>
      <c r="K2283" s="13">
        <f>IF(J2283&lt;'Mapa Oficinas'!$I$21,0,IF(J2283&gt;'Mapa Oficinas'!$I$20,0,1))</f>
        <v>1</v>
      </c>
      <c r="L2283" t="s">
        <v>23</v>
      </c>
      <c r="M2283" t="s">
        <v>23</v>
      </c>
      <c r="N2283" t="s">
        <v>3704</v>
      </c>
      <c r="O2283" t="s">
        <v>102</v>
      </c>
      <c r="P2283" t="s">
        <v>2934</v>
      </c>
      <c r="Q2283">
        <v>1</v>
      </c>
      <c r="R2283" t="s">
        <v>103</v>
      </c>
      <c r="S2283" t="s">
        <v>47</v>
      </c>
      <c r="T2283" t="str">
        <f>VLOOKUP(S2283,'Mapa Oficinas'!$H$7:$I$16,2,FALSE)</f>
        <v>Otra Red Búsqueda</v>
      </c>
      <c r="U2283" t="s">
        <v>29</v>
      </c>
      <c r="V2283" t="str">
        <f>VLOOKUP($R2283,'Mapa Oficinas'!$A$7:$C$46,2,FALSE)</f>
        <v>Zona Sur (GBA)</v>
      </c>
      <c r="W2283" t="str">
        <f>VLOOKUP($R2283,'Mapa Oficinas'!$A$7:$C$46,3,FALSE)</f>
        <v>La Plata</v>
      </c>
    </row>
    <row r="2284" spans="1:23" x14ac:dyDescent="0.2">
      <c r="A2284" s="1">
        <v>45903</v>
      </c>
      <c r="B2284" s="20">
        <f t="shared" si="70"/>
        <v>2025</v>
      </c>
      <c r="C2284" s="20">
        <f t="shared" si="71"/>
        <v>9</v>
      </c>
      <c r="D2284" t="s">
        <v>3973</v>
      </c>
      <c r="E2284" s="49">
        <v>1</v>
      </c>
      <c r="F2284" t="s">
        <v>3973</v>
      </c>
      <c r="G2284" t="s">
        <v>21</v>
      </c>
      <c r="H2284" t="s">
        <v>37</v>
      </c>
      <c r="I2284" s="13">
        <v>220000</v>
      </c>
      <c r="J2284" s="13">
        <v>220000</v>
      </c>
      <c r="K2284" s="13">
        <f>IF(J2284&lt;'Mapa Oficinas'!$I$21,0,IF(J2284&gt;'Mapa Oficinas'!$I$20,0,1))</f>
        <v>1</v>
      </c>
      <c r="L2284" t="s">
        <v>23</v>
      </c>
      <c r="M2284" t="s">
        <v>23</v>
      </c>
      <c r="O2284" t="s">
        <v>199</v>
      </c>
      <c r="P2284" t="s">
        <v>45</v>
      </c>
      <c r="Q2284">
        <v>1</v>
      </c>
      <c r="R2284" t="s">
        <v>46</v>
      </c>
      <c r="S2284" t="s">
        <v>47</v>
      </c>
      <c r="T2284" t="str">
        <f>VLOOKUP(S2284,'Mapa Oficinas'!$H$7:$I$16,2,FALSE)</f>
        <v>Otra Red Búsqueda</v>
      </c>
      <c r="U2284" t="s">
        <v>29</v>
      </c>
      <c r="V2284" t="str">
        <f>VLOOKUP($R2284,'Mapa Oficinas'!$A$7:$C$46,2,FALSE)</f>
        <v>CABA</v>
      </c>
      <c r="W2284" t="str">
        <f>VLOOKUP($R2284,'Mapa Oficinas'!$A$7:$C$46,3,FALSE)</f>
        <v>Palermo</v>
      </c>
    </row>
    <row r="2285" spans="1:23" x14ac:dyDescent="0.2">
      <c r="A2285" s="1">
        <v>46065</v>
      </c>
      <c r="B2285" s="20">
        <f t="shared" si="70"/>
        <v>2026</v>
      </c>
      <c r="C2285" s="20">
        <f t="shared" si="71"/>
        <v>2</v>
      </c>
      <c r="D2285">
        <v>10640</v>
      </c>
      <c r="E2285" s="49">
        <v>1</v>
      </c>
      <c r="F2285" t="s">
        <v>6690</v>
      </c>
      <c r="G2285" t="s">
        <v>21</v>
      </c>
      <c r="H2285" t="s">
        <v>37</v>
      </c>
      <c r="I2285" s="13">
        <v>220000</v>
      </c>
      <c r="J2285" s="13">
        <v>220000</v>
      </c>
      <c r="K2285" s="13">
        <f>IF(J2285&lt;'Mapa Oficinas'!$I$21,0,IF(J2285&gt;'Mapa Oficinas'!$I$20,0,1))</f>
        <v>1</v>
      </c>
      <c r="L2285" t="s">
        <v>23</v>
      </c>
      <c r="M2285" t="s">
        <v>23</v>
      </c>
      <c r="N2285" t="s">
        <v>6691</v>
      </c>
      <c r="O2285" t="s">
        <v>1196</v>
      </c>
      <c r="P2285" t="s">
        <v>45</v>
      </c>
      <c r="Q2285">
        <v>1</v>
      </c>
      <c r="R2285" t="s">
        <v>67</v>
      </c>
      <c r="S2285" t="s">
        <v>47</v>
      </c>
      <c r="T2285" t="str">
        <f>VLOOKUP(S2285,'Mapa Oficinas'!$H$7:$I$16,2,FALSE)</f>
        <v>Otra Red Búsqueda</v>
      </c>
      <c r="U2285" t="s">
        <v>29</v>
      </c>
      <c r="V2285" t="str">
        <f>VLOOKUP($R2285,'Mapa Oficinas'!$A$7:$C$46,2,FALSE)</f>
        <v>CABA</v>
      </c>
      <c r="W2285" t="str">
        <f>VLOOKUP($R2285,'Mapa Oficinas'!$A$7:$C$46,3,FALSE)</f>
        <v>Barrio Parque</v>
      </c>
    </row>
    <row r="2286" spans="1:23" x14ac:dyDescent="0.2">
      <c r="A2286" s="1">
        <v>45778</v>
      </c>
      <c r="B2286" s="20">
        <f t="shared" si="70"/>
        <v>2025</v>
      </c>
      <c r="C2286" s="20">
        <f t="shared" si="71"/>
        <v>5</v>
      </c>
      <c r="D2286" t="s">
        <v>1775</v>
      </c>
      <c r="E2286" s="49">
        <v>1</v>
      </c>
      <c r="F2286" t="s">
        <v>1776</v>
      </c>
      <c r="G2286" t="s">
        <v>21</v>
      </c>
      <c r="H2286" t="s">
        <v>37</v>
      </c>
      <c r="I2286" s="13">
        <v>229000</v>
      </c>
      <c r="J2286" s="13">
        <v>220000</v>
      </c>
      <c r="K2286" s="13">
        <f>IF(J2286&lt;'Mapa Oficinas'!$I$21,0,IF(J2286&gt;'Mapa Oficinas'!$I$20,0,1))</f>
        <v>1</v>
      </c>
      <c r="L2286" t="s">
        <v>23</v>
      </c>
      <c r="M2286" t="s">
        <v>23</v>
      </c>
      <c r="N2286" t="s">
        <v>1777</v>
      </c>
      <c r="O2286" t="s">
        <v>1721</v>
      </c>
      <c r="P2286" t="s">
        <v>34</v>
      </c>
      <c r="Q2286">
        <v>2</v>
      </c>
      <c r="R2286" t="s">
        <v>103</v>
      </c>
      <c r="S2286" t="s">
        <v>200</v>
      </c>
      <c r="T2286" t="str">
        <f>VLOOKUP(S2286,'Mapa Oficinas'!$H$7:$I$16,2,FALSE)</f>
        <v>Otra Red Captación</v>
      </c>
      <c r="U2286" t="s">
        <v>29</v>
      </c>
      <c r="V2286" t="str">
        <f>VLOOKUP($R2286,'Mapa Oficinas'!$A$7:$C$46,2,FALSE)</f>
        <v>Zona Sur (GBA)</v>
      </c>
      <c r="W2286" t="str">
        <f>VLOOKUP($R2286,'Mapa Oficinas'!$A$7:$C$46,3,FALSE)</f>
        <v>La Plata</v>
      </c>
    </row>
    <row r="2287" spans="1:23" x14ac:dyDescent="0.2">
      <c r="A2287" s="1">
        <v>46038</v>
      </c>
      <c r="B2287" s="20">
        <f t="shared" si="70"/>
        <v>2026</v>
      </c>
      <c r="C2287" s="20">
        <f t="shared" si="71"/>
        <v>1</v>
      </c>
      <c r="D2287" t="s">
        <v>6294</v>
      </c>
      <c r="E2287" s="49">
        <v>1</v>
      </c>
      <c r="F2287" t="s">
        <v>6295</v>
      </c>
      <c r="G2287" t="s">
        <v>21</v>
      </c>
      <c r="H2287" t="s">
        <v>37</v>
      </c>
      <c r="I2287" s="13">
        <v>240000</v>
      </c>
      <c r="J2287" s="13">
        <v>220000</v>
      </c>
      <c r="K2287" s="13">
        <f>IF(J2287&lt;'Mapa Oficinas'!$I$21,0,IF(J2287&gt;'Mapa Oficinas'!$I$20,0,1))</f>
        <v>1</v>
      </c>
      <c r="L2287" t="s">
        <v>23</v>
      </c>
      <c r="M2287" t="s">
        <v>23</v>
      </c>
      <c r="N2287" t="s">
        <v>6295</v>
      </c>
      <c r="O2287" t="s">
        <v>6296</v>
      </c>
      <c r="P2287" t="s">
        <v>34</v>
      </c>
      <c r="Q2287">
        <v>2</v>
      </c>
      <c r="R2287" t="s">
        <v>321</v>
      </c>
      <c r="S2287" t="s">
        <v>200</v>
      </c>
      <c r="T2287" t="str">
        <f>VLOOKUP(S2287,'Mapa Oficinas'!$H$7:$I$16,2,FALSE)</f>
        <v>Otra Red Captación</v>
      </c>
      <c r="U2287" t="s">
        <v>29</v>
      </c>
      <c r="V2287" t="str">
        <f>VLOOKUP($R2287,'Mapa Oficinas'!$A$7:$C$46,2,FALSE)</f>
        <v>CABA</v>
      </c>
      <c r="W2287" t="str">
        <f>VLOOKUP($R2287,'Mapa Oficinas'!$A$7:$C$46,3,FALSE)</f>
        <v>Palermo</v>
      </c>
    </row>
    <row r="2288" spans="1:23" x14ac:dyDescent="0.2">
      <c r="A2288" s="1">
        <v>45946</v>
      </c>
      <c r="B2288" s="20">
        <f t="shared" si="70"/>
        <v>2025</v>
      </c>
      <c r="C2288" s="20">
        <f t="shared" si="71"/>
        <v>10</v>
      </c>
      <c r="D2288" t="s">
        <v>4745</v>
      </c>
      <c r="E2288" s="49">
        <v>3</v>
      </c>
      <c r="F2288" t="s">
        <v>4746</v>
      </c>
      <c r="G2288" t="s">
        <v>21</v>
      </c>
      <c r="H2288" t="s">
        <v>37</v>
      </c>
      <c r="I2288" s="13">
        <v>239000</v>
      </c>
      <c r="J2288" s="13">
        <v>220000</v>
      </c>
      <c r="K2288" s="13">
        <f>IF(J2288&lt;'Mapa Oficinas'!$I$21,0,IF(J2288&gt;'Mapa Oficinas'!$I$20,0,1))</f>
        <v>1</v>
      </c>
      <c r="L2288" t="s">
        <v>23</v>
      </c>
      <c r="M2288" t="s">
        <v>23</v>
      </c>
      <c r="N2288" t="s">
        <v>4747</v>
      </c>
      <c r="O2288" t="s">
        <v>456</v>
      </c>
      <c r="P2288" t="s">
        <v>45</v>
      </c>
      <c r="Q2288">
        <v>2</v>
      </c>
      <c r="R2288" t="s">
        <v>40</v>
      </c>
      <c r="S2288" t="s">
        <v>241</v>
      </c>
      <c r="T2288" t="str">
        <f>VLOOKUP(S2288,'Mapa Oficinas'!$H$7:$I$16,2,FALSE)</f>
        <v>CB</v>
      </c>
      <c r="U2288" t="s">
        <v>29</v>
      </c>
      <c r="V2288" t="str">
        <f>VLOOKUP($R2288,'Mapa Oficinas'!$A$7:$C$46,2,FALSE)</f>
        <v>CABA</v>
      </c>
      <c r="W2288" t="str">
        <f>VLOOKUP($R2288,'Mapa Oficinas'!$A$7:$C$46,3,FALSE)</f>
        <v>Núñez</v>
      </c>
    </row>
    <row r="2289" spans="1:23" x14ac:dyDescent="0.2">
      <c r="A2289" s="1">
        <v>45958</v>
      </c>
      <c r="B2289" s="20">
        <f t="shared" si="70"/>
        <v>2025</v>
      </c>
      <c r="C2289" s="20">
        <f t="shared" si="71"/>
        <v>10</v>
      </c>
      <c r="D2289" t="s">
        <v>4964</v>
      </c>
      <c r="E2289" s="49">
        <v>3</v>
      </c>
      <c r="F2289" t="s">
        <v>4965</v>
      </c>
      <c r="G2289" t="s">
        <v>21</v>
      </c>
      <c r="H2289" t="s">
        <v>37</v>
      </c>
      <c r="I2289" s="13">
        <v>202000</v>
      </c>
      <c r="J2289" s="13">
        <v>220000</v>
      </c>
      <c r="K2289" s="13">
        <f>IF(J2289&lt;'Mapa Oficinas'!$I$21,0,IF(J2289&gt;'Mapa Oficinas'!$I$20,0,1))</f>
        <v>1</v>
      </c>
      <c r="L2289" t="s">
        <v>23</v>
      </c>
      <c r="M2289" t="s">
        <v>23</v>
      </c>
      <c r="N2289" t="s">
        <v>4966</v>
      </c>
      <c r="O2289" t="s">
        <v>1196</v>
      </c>
      <c r="P2289" t="s">
        <v>45</v>
      </c>
      <c r="Q2289">
        <v>2</v>
      </c>
      <c r="R2289" t="s">
        <v>67</v>
      </c>
      <c r="S2289" t="s">
        <v>241</v>
      </c>
      <c r="T2289" t="str">
        <f>VLOOKUP(S2289,'Mapa Oficinas'!$H$7:$I$16,2,FALSE)</f>
        <v>CB</v>
      </c>
      <c r="U2289" t="s">
        <v>29</v>
      </c>
      <c r="V2289" t="str">
        <f>VLOOKUP($R2289,'Mapa Oficinas'!$A$7:$C$46,2,FALSE)</f>
        <v>CABA</v>
      </c>
      <c r="W2289" t="str">
        <f>VLOOKUP($R2289,'Mapa Oficinas'!$A$7:$C$46,3,FALSE)</f>
        <v>Barrio Parque</v>
      </c>
    </row>
    <row r="2290" spans="1:23" x14ac:dyDescent="0.2">
      <c r="A2290" s="1">
        <v>46093</v>
      </c>
      <c r="B2290" s="20">
        <f t="shared" si="70"/>
        <v>2026</v>
      </c>
      <c r="C2290" s="20">
        <f t="shared" si="71"/>
        <v>3</v>
      </c>
      <c r="D2290" t="s">
        <v>7148</v>
      </c>
      <c r="E2290" s="49">
        <v>3</v>
      </c>
      <c r="F2290" t="s">
        <v>7149</v>
      </c>
      <c r="G2290" t="s">
        <v>21</v>
      </c>
      <c r="H2290" t="s">
        <v>76</v>
      </c>
      <c r="I2290" s="13">
        <v>230000</v>
      </c>
      <c r="J2290" s="13">
        <v>220000</v>
      </c>
      <c r="K2290" s="13">
        <f>IF(J2290&lt;'Mapa Oficinas'!$I$21,0,IF(J2290&gt;'Mapa Oficinas'!$I$20,0,1))</f>
        <v>1</v>
      </c>
      <c r="L2290" t="s">
        <v>23</v>
      </c>
      <c r="M2290" t="s">
        <v>23</v>
      </c>
      <c r="N2290" t="s">
        <v>5217</v>
      </c>
      <c r="O2290" t="s">
        <v>5264</v>
      </c>
      <c r="P2290" t="s">
        <v>34</v>
      </c>
      <c r="Q2290">
        <v>2</v>
      </c>
      <c r="R2290" t="s">
        <v>257</v>
      </c>
      <c r="S2290" t="s">
        <v>241</v>
      </c>
      <c r="T2290" t="str">
        <f>VLOOKUP(S2290,'Mapa Oficinas'!$H$7:$I$16,2,FALSE)</f>
        <v>CB</v>
      </c>
      <c r="U2290" t="s">
        <v>29</v>
      </c>
      <c r="V2290" t="str">
        <f>VLOOKUP($R2290,'Mapa Oficinas'!$A$7:$C$46,2,FALSE)</f>
        <v>Zona Norte (GBA)</v>
      </c>
      <c r="W2290" t="str">
        <f>VLOOKUP($R2290,'Mapa Oficinas'!$A$7:$C$46,3,FALSE)</f>
        <v>Pilar</v>
      </c>
    </row>
    <row r="2291" spans="1:23" x14ac:dyDescent="0.2">
      <c r="A2291" s="1">
        <v>45994</v>
      </c>
      <c r="B2291" s="20">
        <f t="shared" si="70"/>
        <v>2025</v>
      </c>
      <c r="C2291" s="20">
        <f t="shared" si="71"/>
        <v>12</v>
      </c>
      <c r="D2291">
        <v>3122025</v>
      </c>
      <c r="E2291" s="49">
        <v>1</v>
      </c>
      <c r="F2291" t="s">
        <v>5607</v>
      </c>
      <c r="G2291" t="s">
        <v>21</v>
      </c>
      <c r="H2291" t="s">
        <v>76</v>
      </c>
      <c r="I2291" s="13">
        <v>220000</v>
      </c>
      <c r="J2291" s="13">
        <v>220000</v>
      </c>
      <c r="K2291" s="13">
        <f>IF(J2291&lt;'Mapa Oficinas'!$I$21,0,IF(J2291&gt;'Mapa Oficinas'!$I$20,0,1))</f>
        <v>1</v>
      </c>
      <c r="L2291" t="s">
        <v>23</v>
      </c>
      <c r="M2291" t="s">
        <v>23</v>
      </c>
      <c r="O2291" t="s">
        <v>190</v>
      </c>
      <c r="P2291" t="s">
        <v>45</v>
      </c>
      <c r="Q2291">
        <v>2</v>
      </c>
      <c r="R2291" t="s">
        <v>121</v>
      </c>
      <c r="S2291" t="s">
        <v>404</v>
      </c>
      <c r="T2291" t="str">
        <f>VLOOKUP(S2291,'Mapa Oficinas'!$H$7:$I$16,2,FALSE)</f>
        <v>CB</v>
      </c>
      <c r="U2291" t="s">
        <v>29</v>
      </c>
      <c r="V2291" t="str">
        <f>VLOOKUP($R2291,'Mapa Oficinas'!$A$7:$C$46,2,FALSE)</f>
        <v>Interior - Río Negro</v>
      </c>
      <c r="W2291" t="str">
        <f>VLOOKUP($R2291,'Mapa Oficinas'!$A$7:$C$46,3,FALSE)</f>
        <v>Bariloche</v>
      </c>
    </row>
    <row r="2292" spans="1:23" x14ac:dyDescent="0.2">
      <c r="A2292" s="1">
        <v>45994</v>
      </c>
      <c r="B2292" s="20">
        <f t="shared" si="70"/>
        <v>2025</v>
      </c>
      <c r="C2292" s="20">
        <f t="shared" si="71"/>
        <v>12</v>
      </c>
      <c r="D2292" t="s">
        <v>5608</v>
      </c>
      <c r="E2292" s="49">
        <v>0</v>
      </c>
      <c r="F2292" t="s">
        <v>5609</v>
      </c>
      <c r="G2292" t="s">
        <v>21</v>
      </c>
      <c r="H2292" t="s">
        <v>90</v>
      </c>
      <c r="I2292" s="13">
        <v>270000</v>
      </c>
      <c r="J2292" s="13">
        <v>220000</v>
      </c>
      <c r="K2292" s="13">
        <f>IF(J2292&lt;'Mapa Oficinas'!$I$21,0,IF(J2292&gt;'Mapa Oficinas'!$I$20,0,1))</f>
        <v>1</v>
      </c>
      <c r="L2292" t="s">
        <v>23</v>
      </c>
      <c r="M2292" t="s">
        <v>23</v>
      </c>
      <c r="N2292" t="s">
        <v>5610</v>
      </c>
      <c r="O2292" t="s">
        <v>190</v>
      </c>
      <c r="P2292" t="s">
        <v>45</v>
      </c>
      <c r="Q2292">
        <v>2</v>
      </c>
      <c r="R2292" t="s">
        <v>62</v>
      </c>
      <c r="S2292" t="s">
        <v>1265</v>
      </c>
      <c r="T2292" t="str">
        <f>VLOOKUP(S2292,'Mapa Oficinas'!$H$7:$I$16,2,FALSE)</f>
        <v>CB</v>
      </c>
      <c r="U2292" t="s">
        <v>29</v>
      </c>
      <c r="V2292" t="str">
        <f>VLOOKUP($R2292,'Mapa Oficinas'!$A$7:$C$46,2,FALSE)</f>
        <v>CABA</v>
      </c>
      <c r="W2292" t="str">
        <f>VLOOKUP($R2292,'Mapa Oficinas'!$A$7:$C$46,3,FALSE)</f>
        <v>Villa Urquiza</v>
      </c>
    </row>
    <row r="2293" spans="1:23" x14ac:dyDescent="0.2">
      <c r="A2293" s="1">
        <v>45678</v>
      </c>
      <c r="B2293" s="20">
        <f t="shared" si="70"/>
        <v>2025</v>
      </c>
      <c r="C2293" s="20">
        <f t="shared" si="71"/>
        <v>1</v>
      </c>
      <c r="D2293" t="s">
        <v>318</v>
      </c>
      <c r="E2293" s="49">
        <v>1</v>
      </c>
      <c r="F2293" t="s">
        <v>319</v>
      </c>
      <c r="G2293" t="s">
        <v>21</v>
      </c>
      <c r="H2293" t="s">
        <v>37</v>
      </c>
      <c r="I2293" s="13">
        <v>220000</v>
      </c>
      <c r="J2293" s="13">
        <v>220000</v>
      </c>
      <c r="K2293" s="13">
        <f>IF(J2293&lt;'Mapa Oficinas'!$I$21,0,IF(J2293&gt;'Mapa Oficinas'!$I$20,0,1))</f>
        <v>1</v>
      </c>
      <c r="L2293" t="s">
        <v>23</v>
      </c>
      <c r="M2293" t="s">
        <v>23</v>
      </c>
      <c r="O2293" t="s">
        <v>320</v>
      </c>
      <c r="P2293" t="s">
        <v>34</v>
      </c>
      <c r="Q2293">
        <v>2</v>
      </c>
      <c r="R2293" t="s">
        <v>321</v>
      </c>
      <c r="S2293" t="s">
        <v>28</v>
      </c>
      <c r="T2293" t="str">
        <f>VLOOKUP(S2293,'Mapa Oficinas'!$H$7:$I$16,2,FALSE)</f>
        <v>CB</v>
      </c>
      <c r="U2293" t="s">
        <v>29</v>
      </c>
      <c r="V2293" t="str">
        <f>VLOOKUP($R2293,'Mapa Oficinas'!$A$7:$C$46,2,FALSE)</f>
        <v>CABA</v>
      </c>
      <c r="W2293" t="str">
        <f>VLOOKUP($R2293,'Mapa Oficinas'!$A$7:$C$46,3,FALSE)</f>
        <v>Palermo</v>
      </c>
    </row>
    <row r="2294" spans="1:23" x14ac:dyDescent="0.2">
      <c r="A2294" s="1">
        <v>45726</v>
      </c>
      <c r="B2294" s="20">
        <f t="shared" si="70"/>
        <v>2025</v>
      </c>
      <c r="C2294" s="20">
        <f t="shared" si="71"/>
        <v>3</v>
      </c>
      <c r="D2294" t="s">
        <v>894</v>
      </c>
      <c r="E2294" s="49">
        <v>1</v>
      </c>
      <c r="F2294" t="s">
        <v>895</v>
      </c>
      <c r="G2294" t="s">
        <v>21</v>
      </c>
      <c r="H2294" t="s">
        <v>90</v>
      </c>
      <c r="I2294" s="13">
        <v>235000</v>
      </c>
      <c r="J2294" s="13">
        <v>220000</v>
      </c>
      <c r="K2294" s="13">
        <f>IF(J2294&lt;'Mapa Oficinas'!$I$21,0,IF(J2294&gt;'Mapa Oficinas'!$I$20,0,1))</f>
        <v>1</v>
      </c>
      <c r="L2294" t="s">
        <v>23</v>
      </c>
      <c r="M2294" t="s">
        <v>23</v>
      </c>
      <c r="N2294" t="s">
        <v>896</v>
      </c>
      <c r="O2294" t="s">
        <v>897</v>
      </c>
      <c r="P2294" t="s">
        <v>45</v>
      </c>
      <c r="Q2294">
        <v>2</v>
      </c>
      <c r="R2294" t="s">
        <v>523</v>
      </c>
      <c r="S2294" t="s">
        <v>28</v>
      </c>
      <c r="T2294" t="str">
        <f>VLOOKUP(S2294,'Mapa Oficinas'!$H$7:$I$16,2,FALSE)</f>
        <v>CB</v>
      </c>
      <c r="U2294" t="s">
        <v>29</v>
      </c>
      <c r="V2294" t="str">
        <f>VLOOKUP($R2294,'Mapa Oficinas'!$A$7:$C$46,2,FALSE)</f>
        <v>CABA</v>
      </c>
      <c r="W2294" t="str">
        <f>VLOOKUP($R2294,'Mapa Oficinas'!$A$7:$C$46,3,FALSE)</f>
        <v>Belgrano</v>
      </c>
    </row>
    <row r="2295" spans="1:23" x14ac:dyDescent="0.2">
      <c r="A2295" s="1">
        <v>45754</v>
      </c>
      <c r="B2295" s="20">
        <f t="shared" si="70"/>
        <v>2025</v>
      </c>
      <c r="C2295" s="20">
        <f t="shared" si="71"/>
        <v>4</v>
      </c>
      <c r="D2295" t="s">
        <v>1322</v>
      </c>
      <c r="E2295" s="49">
        <v>1</v>
      </c>
      <c r="F2295" t="s">
        <v>1323</v>
      </c>
      <c r="G2295" t="s">
        <v>21</v>
      </c>
      <c r="H2295" t="s">
        <v>81</v>
      </c>
      <c r="I2295" s="13">
        <v>225000</v>
      </c>
      <c r="J2295" s="13">
        <v>220000</v>
      </c>
      <c r="K2295" s="13">
        <f>IF(J2295&lt;'Mapa Oficinas'!$I$21,0,IF(J2295&gt;'Mapa Oficinas'!$I$20,0,1))</f>
        <v>1</v>
      </c>
      <c r="L2295" t="s">
        <v>23</v>
      </c>
      <c r="M2295" t="s">
        <v>23</v>
      </c>
      <c r="N2295" t="s">
        <v>1324</v>
      </c>
      <c r="O2295" t="s">
        <v>1321</v>
      </c>
      <c r="P2295" t="s">
        <v>45</v>
      </c>
      <c r="Q2295">
        <v>2</v>
      </c>
      <c r="R2295" t="s">
        <v>151</v>
      </c>
      <c r="S2295" t="s">
        <v>28</v>
      </c>
      <c r="T2295" t="str">
        <f>VLOOKUP(S2295,'Mapa Oficinas'!$H$7:$I$16,2,FALSE)</f>
        <v>CB</v>
      </c>
      <c r="U2295" t="s">
        <v>29</v>
      </c>
      <c r="V2295" t="str">
        <f>VLOOKUP($R2295,'Mapa Oficinas'!$A$7:$C$46,2,FALSE)</f>
        <v>Interior - Mendoza</v>
      </c>
      <c r="W2295" t="str">
        <f>VLOOKUP($R2295,'Mapa Oficinas'!$A$7:$C$46,3,FALSE)</f>
        <v>Capital Mendoza</v>
      </c>
    </row>
    <row r="2296" spans="1:23" x14ac:dyDescent="0.2">
      <c r="A2296" s="1">
        <v>45772</v>
      </c>
      <c r="B2296" s="20">
        <f t="shared" si="70"/>
        <v>2025</v>
      </c>
      <c r="C2296" s="20">
        <f t="shared" si="71"/>
        <v>4</v>
      </c>
      <c r="E2296" s="49">
        <v>1</v>
      </c>
      <c r="F2296" t="s">
        <v>1636</v>
      </c>
      <c r="G2296" t="s">
        <v>21</v>
      </c>
      <c r="H2296" t="s">
        <v>37</v>
      </c>
      <c r="I2296" s="13">
        <v>220000</v>
      </c>
      <c r="J2296" s="13">
        <v>220000</v>
      </c>
      <c r="K2296" s="13">
        <f>IF(J2296&lt;'Mapa Oficinas'!$I$21,0,IF(J2296&gt;'Mapa Oficinas'!$I$20,0,1))</f>
        <v>1</v>
      </c>
      <c r="L2296" t="s">
        <v>23</v>
      </c>
      <c r="M2296" t="s">
        <v>23</v>
      </c>
      <c r="N2296" t="s">
        <v>1637</v>
      </c>
      <c r="O2296" t="s">
        <v>371</v>
      </c>
      <c r="P2296" t="s">
        <v>45</v>
      </c>
      <c r="Q2296">
        <v>2</v>
      </c>
      <c r="R2296" t="s">
        <v>135</v>
      </c>
      <c r="S2296" t="s">
        <v>28</v>
      </c>
      <c r="T2296" t="str">
        <f>VLOOKUP(S2296,'Mapa Oficinas'!$H$7:$I$16,2,FALSE)</f>
        <v>CB</v>
      </c>
      <c r="U2296" t="s">
        <v>29</v>
      </c>
      <c r="V2296" t="str">
        <f>VLOOKUP($R2296,'Mapa Oficinas'!$A$7:$C$46,2,FALSE)</f>
        <v>CABA</v>
      </c>
      <c r="W2296" t="str">
        <f>VLOOKUP($R2296,'Mapa Oficinas'!$A$7:$C$46,3,FALSE)</f>
        <v>Recoleta</v>
      </c>
    </row>
    <row r="2297" spans="1:23" x14ac:dyDescent="0.2">
      <c r="A2297" s="1">
        <v>45807</v>
      </c>
      <c r="B2297" s="20">
        <f t="shared" si="70"/>
        <v>2025</v>
      </c>
      <c r="C2297" s="20">
        <f t="shared" si="71"/>
        <v>5</v>
      </c>
      <c r="D2297" t="s">
        <v>2249</v>
      </c>
      <c r="E2297" s="49">
        <v>1</v>
      </c>
      <c r="F2297" t="s">
        <v>2250</v>
      </c>
      <c r="G2297" t="s">
        <v>21</v>
      </c>
      <c r="H2297" t="s">
        <v>90</v>
      </c>
      <c r="I2297" s="13">
        <v>235000</v>
      </c>
      <c r="J2297" s="13">
        <v>220000</v>
      </c>
      <c r="K2297" s="13">
        <f>IF(J2297&lt;'Mapa Oficinas'!$I$21,0,IF(J2297&gt;'Mapa Oficinas'!$I$20,0,1))</f>
        <v>1</v>
      </c>
      <c r="L2297" t="s">
        <v>23</v>
      </c>
      <c r="M2297" t="s">
        <v>23</v>
      </c>
      <c r="N2297" t="s">
        <v>2251</v>
      </c>
      <c r="O2297" t="s">
        <v>190</v>
      </c>
      <c r="P2297" t="s">
        <v>45</v>
      </c>
      <c r="Q2297">
        <v>2</v>
      </c>
      <c r="R2297" t="s">
        <v>62</v>
      </c>
      <c r="S2297" t="s">
        <v>28</v>
      </c>
      <c r="T2297" t="str">
        <f>VLOOKUP(S2297,'Mapa Oficinas'!$H$7:$I$16,2,FALSE)</f>
        <v>CB</v>
      </c>
      <c r="U2297" t="s">
        <v>29</v>
      </c>
      <c r="V2297" t="str">
        <f>VLOOKUP($R2297,'Mapa Oficinas'!$A$7:$C$46,2,FALSE)</f>
        <v>CABA</v>
      </c>
      <c r="W2297" t="str">
        <f>VLOOKUP($R2297,'Mapa Oficinas'!$A$7:$C$46,3,FALSE)</f>
        <v>Villa Urquiza</v>
      </c>
    </row>
    <row r="2298" spans="1:23" x14ac:dyDescent="0.2">
      <c r="A2298" s="1">
        <v>45937</v>
      </c>
      <c r="B2298" s="20">
        <f t="shared" si="70"/>
        <v>2025</v>
      </c>
      <c r="C2298" s="20">
        <f t="shared" si="71"/>
        <v>10</v>
      </c>
      <c r="D2298" t="s">
        <v>4562</v>
      </c>
      <c r="E2298" s="49">
        <v>1</v>
      </c>
      <c r="F2298" t="s">
        <v>4563</v>
      </c>
      <c r="G2298" t="s">
        <v>21</v>
      </c>
      <c r="H2298" t="s">
        <v>37</v>
      </c>
      <c r="I2298" s="13">
        <v>225000</v>
      </c>
      <c r="J2298" s="13">
        <v>220000</v>
      </c>
      <c r="K2298" s="13">
        <f>IF(J2298&lt;'Mapa Oficinas'!$I$21,0,IF(J2298&gt;'Mapa Oficinas'!$I$20,0,1))</f>
        <v>1</v>
      </c>
      <c r="L2298" t="s">
        <v>23</v>
      </c>
      <c r="M2298" t="s">
        <v>23</v>
      </c>
      <c r="N2298" t="s">
        <v>4564</v>
      </c>
      <c r="O2298" t="s">
        <v>4565</v>
      </c>
      <c r="P2298" t="s">
        <v>45</v>
      </c>
      <c r="Q2298">
        <v>2</v>
      </c>
      <c r="R2298" t="s">
        <v>110</v>
      </c>
      <c r="S2298" t="s">
        <v>28</v>
      </c>
      <c r="T2298" t="str">
        <f>VLOOKUP(S2298,'Mapa Oficinas'!$H$7:$I$16,2,FALSE)</f>
        <v>CB</v>
      </c>
      <c r="U2298" t="s">
        <v>29</v>
      </c>
      <c r="V2298" t="str">
        <f>VLOOKUP($R2298,'Mapa Oficinas'!$A$7:$C$46,2,FALSE)</f>
        <v>Zona Norte (GBA)</v>
      </c>
      <c r="W2298" t="str">
        <f>VLOOKUP($R2298,'Mapa Oficinas'!$A$7:$C$46,3,FALSE)</f>
        <v>Nordelta</v>
      </c>
    </row>
    <row r="2299" spans="1:23" x14ac:dyDescent="0.2">
      <c r="A2299" s="1">
        <v>45937</v>
      </c>
      <c r="B2299" s="20">
        <f t="shared" si="70"/>
        <v>2025</v>
      </c>
      <c r="C2299" s="20">
        <f t="shared" si="71"/>
        <v>10</v>
      </c>
      <c r="D2299" t="s">
        <v>4566</v>
      </c>
      <c r="E2299" s="49">
        <v>1</v>
      </c>
      <c r="F2299" t="s">
        <v>4567</v>
      </c>
      <c r="G2299" t="s">
        <v>21</v>
      </c>
      <c r="H2299" t="s">
        <v>90</v>
      </c>
      <c r="I2299" s="13">
        <v>229000</v>
      </c>
      <c r="J2299" s="13">
        <v>220000</v>
      </c>
      <c r="K2299" s="13">
        <f>IF(J2299&lt;'Mapa Oficinas'!$I$21,0,IF(J2299&gt;'Mapa Oficinas'!$I$20,0,1))</f>
        <v>1</v>
      </c>
      <c r="L2299" t="s">
        <v>23</v>
      </c>
      <c r="M2299" t="s">
        <v>23</v>
      </c>
      <c r="N2299" t="s">
        <v>4568</v>
      </c>
      <c r="O2299" t="s">
        <v>4569</v>
      </c>
      <c r="P2299" t="s">
        <v>34</v>
      </c>
      <c r="Q2299">
        <v>2</v>
      </c>
      <c r="R2299" t="s">
        <v>62</v>
      </c>
      <c r="S2299" t="s">
        <v>28</v>
      </c>
      <c r="T2299" t="str">
        <f>VLOOKUP(S2299,'Mapa Oficinas'!$H$7:$I$16,2,FALSE)</f>
        <v>CB</v>
      </c>
      <c r="U2299" t="s">
        <v>29</v>
      </c>
      <c r="V2299" t="str">
        <f>VLOOKUP($R2299,'Mapa Oficinas'!$A$7:$C$46,2,FALSE)</f>
        <v>CABA</v>
      </c>
      <c r="W2299" t="str">
        <f>VLOOKUP($R2299,'Mapa Oficinas'!$A$7:$C$46,3,FALSE)</f>
        <v>Villa Urquiza</v>
      </c>
    </row>
    <row r="2300" spans="1:23" x14ac:dyDescent="0.2">
      <c r="A2300" s="1">
        <v>46099</v>
      </c>
      <c r="B2300" s="20">
        <f t="shared" si="70"/>
        <v>2026</v>
      </c>
      <c r="C2300" s="20">
        <f t="shared" si="71"/>
        <v>3</v>
      </c>
      <c r="D2300" t="s">
        <v>7282</v>
      </c>
      <c r="E2300" s="49">
        <v>1</v>
      </c>
      <c r="F2300" t="s">
        <v>7283</v>
      </c>
      <c r="G2300" t="s">
        <v>21</v>
      </c>
      <c r="H2300" t="s">
        <v>37</v>
      </c>
      <c r="I2300" s="13">
        <v>229000</v>
      </c>
      <c r="J2300" s="13">
        <v>220000</v>
      </c>
      <c r="K2300" s="13">
        <f>IF(J2300&lt;'Mapa Oficinas'!$I$21,0,IF(J2300&gt;'Mapa Oficinas'!$I$20,0,1))</f>
        <v>1</v>
      </c>
      <c r="L2300" t="s">
        <v>23</v>
      </c>
      <c r="M2300" t="s">
        <v>23</v>
      </c>
      <c r="N2300" t="s">
        <v>7284</v>
      </c>
      <c r="O2300" t="s">
        <v>92</v>
      </c>
      <c r="P2300" t="s">
        <v>45</v>
      </c>
      <c r="Q2300">
        <v>2</v>
      </c>
      <c r="R2300" t="s">
        <v>56</v>
      </c>
      <c r="S2300" t="s">
        <v>28</v>
      </c>
      <c r="T2300" t="str">
        <f>VLOOKUP(S2300,'Mapa Oficinas'!$H$7:$I$16,2,FALSE)</f>
        <v>CB</v>
      </c>
      <c r="U2300" t="s">
        <v>29</v>
      </c>
      <c r="V2300" t="str">
        <f>VLOOKUP($R2300,'Mapa Oficinas'!$A$7:$C$46,2,FALSE)</f>
        <v>Zona Norte (GBA)</v>
      </c>
      <c r="W2300" t="str">
        <f>VLOOKUP($R2300,'Mapa Oficinas'!$A$7:$C$46,3,FALSE)</f>
        <v>Vicente López</v>
      </c>
    </row>
    <row r="2301" spans="1:23" x14ac:dyDescent="0.2">
      <c r="A2301" s="1">
        <v>45805</v>
      </c>
      <c r="B2301" s="20">
        <f t="shared" si="70"/>
        <v>2025</v>
      </c>
      <c r="C2301" s="20">
        <f t="shared" si="71"/>
        <v>5</v>
      </c>
      <c r="D2301" t="s">
        <v>2183</v>
      </c>
      <c r="E2301" s="49">
        <v>1</v>
      </c>
      <c r="F2301" t="s">
        <v>2184</v>
      </c>
      <c r="G2301" t="s">
        <v>21</v>
      </c>
      <c r="H2301" t="s">
        <v>37</v>
      </c>
      <c r="I2301" s="13">
        <v>280000</v>
      </c>
      <c r="J2301" s="13">
        <v>220122</v>
      </c>
      <c r="K2301" s="13">
        <f>IF(J2301&lt;'Mapa Oficinas'!$I$21,0,IF(J2301&gt;'Mapa Oficinas'!$I$20,0,1))</f>
        <v>1</v>
      </c>
      <c r="L2301" t="s">
        <v>23</v>
      </c>
      <c r="M2301" t="s">
        <v>23</v>
      </c>
      <c r="N2301" t="s">
        <v>1977</v>
      </c>
      <c r="O2301" t="s">
        <v>1343</v>
      </c>
      <c r="P2301" t="s">
        <v>45</v>
      </c>
      <c r="Q2301">
        <v>2</v>
      </c>
      <c r="R2301" t="s">
        <v>110</v>
      </c>
      <c r="S2301" t="s">
        <v>200</v>
      </c>
      <c r="T2301" t="str">
        <f>VLOOKUP(S2301,'Mapa Oficinas'!$H$7:$I$16,2,FALSE)</f>
        <v>Otra Red Captación</v>
      </c>
      <c r="U2301" t="s">
        <v>29</v>
      </c>
      <c r="V2301" t="str">
        <f>VLOOKUP($R2301,'Mapa Oficinas'!$A$7:$C$46,2,FALSE)</f>
        <v>Zona Norte (GBA)</v>
      </c>
      <c r="W2301" t="str">
        <f>VLOOKUP($R2301,'Mapa Oficinas'!$A$7:$C$46,3,FALSE)</f>
        <v>Nordelta</v>
      </c>
    </row>
    <row r="2302" spans="1:23" x14ac:dyDescent="0.2">
      <c r="A2302" s="1">
        <v>45814</v>
      </c>
      <c r="B2302" s="20">
        <f t="shared" si="70"/>
        <v>2025</v>
      </c>
      <c r="C2302" s="20">
        <f t="shared" si="71"/>
        <v>6</v>
      </c>
      <c r="D2302" t="s">
        <v>2373</v>
      </c>
      <c r="E2302" s="49">
        <v>1</v>
      </c>
      <c r="F2302" t="s">
        <v>2374</v>
      </c>
      <c r="G2302" t="s">
        <v>21</v>
      </c>
      <c r="H2302" t="s">
        <v>76</v>
      </c>
      <c r="I2302" s="13">
        <v>230000</v>
      </c>
      <c r="J2302" s="13">
        <v>223000</v>
      </c>
      <c r="K2302" s="13">
        <f>IF(J2302&lt;'Mapa Oficinas'!$I$21,0,IF(J2302&gt;'Mapa Oficinas'!$I$20,0,1))</f>
        <v>1</v>
      </c>
      <c r="L2302" t="s">
        <v>23</v>
      </c>
      <c r="M2302" t="s">
        <v>23</v>
      </c>
      <c r="N2302" t="s">
        <v>2375</v>
      </c>
      <c r="O2302" t="s">
        <v>2376</v>
      </c>
      <c r="P2302" t="s">
        <v>34</v>
      </c>
      <c r="Q2302">
        <v>2</v>
      </c>
      <c r="R2302" t="s">
        <v>257</v>
      </c>
      <c r="S2302" t="s">
        <v>28</v>
      </c>
      <c r="T2302" t="str">
        <f>VLOOKUP(S2302,'Mapa Oficinas'!$H$7:$I$16,2,FALSE)</f>
        <v>CB</v>
      </c>
      <c r="U2302" t="s">
        <v>29</v>
      </c>
      <c r="V2302" t="str">
        <f>VLOOKUP($R2302,'Mapa Oficinas'!$A$7:$C$46,2,FALSE)</f>
        <v>Zona Norte (GBA)</v>
      </c>
      <c r="W2302" t="str">
        <f>VLOOKUP($R2302,'Mapa Oficinas'!$A$7:$C$46,3,FALSE)</f>
        <v>Pilar</v>
      </c>
    </row>
    <row r="2303" spans="1:23" x14ac:dyDescent="0.2">
      <c r="A2303" s="1">
        <v>46099</v>
      </c>
      <c r="B2303" s="20">
        <f t="shared" si="70"/>
        <v>2026</v>
      </c>
      <c r="C2303" s="20">
        <f t="shared" si="71"/>
        <v>3</v>
      </c>
      <c r="D2303" t="s">
        <v>7285</v>
      </c>
      <c r="E2303" s="49">
        <v>1</v>
      </c>
      <c r="F2303" t="s">
        <v>7286</v>
      </c>
      <c r="G2303" t="s">
        <v>21</v>
      </c>
      <c r="H2303" t="s">
        <v>100</v>
      </c>
      <c r="I2303" s="13">
        <v>91370</v>
      </c>
      <c r="J2303" s="13">
        <v>224430</v>
      </c>
      <c r="K2303" s="13">
        <f>IF(J2303&lt;'Mapa Oficinas'!$I$21,0,IF(J2303&gt;'Mapa Oficinas'!$I$20,0,1))</f>
        <v>1</v>
      </c>
      <c r="L2303" t="s">
        <v>23</v>
      </c>
      <c r="M2303" t="s">
        <v>23</v>
      </c>
      <c r="N2303" t="s">
        <v>7287</v>
      </c>
      <c r="O2303" t="s">
        <v>7288</v>
      </c>
      <c r="P2303" t="s">
        <v>26</v>
      </c>
      <c r="Q2303">
        <v>2</v>
      </c>
      <c r="R2303" t="s">
        <v>121</v>
      </c>
      <c r="S2303" t="s">
        <v>79</v>
      </c>
      <c r="T2303" t="str">
        <f>VLOOKUP(S2303,'Mapa Oficinas'!$H$7:$I$16,2,FALSE)</f>
        <v>CB</v>
      </c>
      <c r="U2303" t="s">
        <v>29</v>
      </c>
      <c r="V2303" t="str">
        <f>VLOOKUP($R2303,'Mapa Oficinas'!$A$7:$C$46,2,FALSE)</f>
        <v>Interior - Río Negro</v>
      </c>
      <c r="W2303" t="str">
        <f>VLOOKUP($R2303,'Mapa Oficinas'!$A$7:$C$46,3,FALSE)</f>
        <v>Bariloche</v>
      </c>
    </row>
    <row r="2304" spans="1:23" x14ac:dyDescent="0.2">
      <c r="A2304" s="1">
        <v>45992</v>
      </c>
      <c r="B2304" s="20">
        <f t="shared" si="70"/>
        <v>2025</v>
      </c>
      <c r="C2304" s="20">
        <f t="shared" si="71"/>
        <v>12</v>
      </c>
      <c r="D2304" t="s">
        <v>5574</v>
      </c>
      <c r="E2304" s="49">
        <v>1</v>
      </c>
      <c r="F2304" t="s">
        <v>5575</v>
      </c>
      <c r="G2304" t="s">
        <v>21</v>
      </c>
      <c r="H2304" t="s">
        <v>81</v>
      </c>
      <c r="I2304" s="13">
        <v>225000</v>
      </c>
      <c r="J2304" s="13">
        <v>225000</v>
      </c>
      <c r="K2304" s="13">
        <f>IF(J2304&lt;'Mapa Oficinas'!$I$21,0,IF(J2304&gt;'Mapa Oficinas'!$I$20,0,1))</f>
        <v>1</v>
      </c>
      <c r="L2304" t="s">
        <v>23</v>
      </c>
      <c r="M2304" t="s">
        <v>23</v>
      </c>
      <c r="O2304" t="s">
        <v>5576</v>
      </c>
      <c r="P2304" t="s">
        <v>34</v>
      </c>
      <c r="Q2304">
        <v>1</v>
      </c>
      <c r="R2304" t="s">
        <v>151</v>
      </c>
      <c r="S2304" t="s">
        <v>122</v>
      </c>
      <c r="T2304" t="str">
        <f>VLOOKUP(S2304,'Mapa Oficinas'!$H$7:$I$16,2,FALSE)</f>
        <v>Otra Red Búsqueda</v>
      </c>
      <c r="U2304" t="s">
        <v>29</v>
      </c>
      <c r="V2304" t="str">
        <f>VLOOKUP($R2304,'Mapa Oficinas'!$A$7:$C$46,2,FALSE)</f>
        <v>Interior - Mendoza</v>
      </c>
      <c r="W2304" t="str">
        <f>VLOOKUP($R2304,'Mapa Oficinas'!$A$7:$C$46,3,FALSE)</f>
        <v>Capital Mendoza</v>
      </c>
    </row>
    <row r="2305" spans="1:23" x14ac:dyDescent="0.2">
      <c r="A2305" s="1">
        <v>45930</v>
      </c>
      <c r="B2305" s="20">
        <f t="shared" si="70"/>
        <v>2025</v>
      </c>
      <c r="C2305" s="20">
        <f t="shared" si="71"/>
        <v>9</v>
      </c>
      <c r="D2305" t="s">
        <v>4438</v>
      </c>
      <c r="E2305" s="49">
        <v>0</v>
      </c>
      <c r="F2305" t="s">
        <v>4439</v>
      </c>
      <c r="G2305" t="s">
        <v>21</v>
      </c>
      <c r="H2305" t="s">
        <v>100</v>
      </c>
      <c r="I2305" s="13">
        <v>240000</v>
      </c>
      <c r="J2305" s="13">
        <v>225000</v>
      </c>
      <c r="K2305" s="13">
        <f>IF(J2305&lt;'Mapa Oficinas'!$I$21,0,IF(J2305&gt;'Mapa Oficinas'!$I$20,0,1))</f>
        <v>1</v>
      </c>
      <c r="L2305" t="s">
        <v>23</v>
      </c>
      <c r="M2305" t="s">
        <v>23</v>
      </c>
      <c r="N2305" t="s">
        <v>4440</v>
      </c>
      <c r="O2305" t="s">
        <v>1435</v>
      </c>
      <c r="P2305" t="s">
        <v>34</v>
      </c>
      <c r="Q2305">
        <v>2</v>
      </c>
      <c r="R2305" t="s">
        <v>121</v>
      </c>
      <c r="S2305" t="s">
        <v>79</v>
      </c>
      <c r="T2305" t="str">
        <f>VLOOKUP(S2305,'Mapa Oficinas'!$H$7:$I$16,2,FALSE)</f>
        <v>CB</v>
      </c>
      <c r="U2305" t="s">
        <v>29</v>
      </c>
      <c r="V2305" t="str">
        <f>VLOOKUP($R2305,'Mapa Oficinas'!$A$7:$C$46,2,FALSE)</f>
        <v>Interior - Río Negro</v>
      </c>
      <c r="W2305" t="str">
        <f>VLOOKUP($R2305,'Mapa Oficinas'!$A$7:$C$46,3,FALSE)</f>
        <v>Bariloche</v>
      </c>
    </row>
    <row r="2306" spans="1:23" x14ac:dyDescent="0.2">
      <c r="A2306" s="1">
        <v>45695</v>
      </c>
      <c r="B2306" s="20">
        <f t="shared" ref="B2306:B2369" si="72">YEAR($A2306)</f>
        <v>2025</v>
      </c>
      <c r="C2306" s="20">
        <f t="shared" ref="C2306:C2369" si="73">MONTH($A2306)</f>
        <v>2</v>
      </c>
      <c r="D2306" t="s">
        <v>524</v>
      </c>
      <c r="E2306" s="49">
        <v>1</v>
      </c>
      <c r="F2306" t="s">
        <v>525</v>
      </c>
      <c r="G2306" t="s">
        <v>21</v>
      </c>
      <c r="H2306" t="s">
        <v>37</v>
      </c>
      <c r="I2306" s="13">
        <v>7</v>
      </c>
      <c r="J2306" s="13">
        <v>225000</v>
      </c>
      <c r="K2306" s="13">
        <f>IF(J2306&lt;'Mapa Oficinas'!$I$21,0,IF(J2306&gt;'Mapa Oficinas'!$I$20,0,1))</f>
        <v>1</v>
      </c>
      <c r="L2306" t="s">
        <v>23</v>
      </c>
      <c r="M2306" t="s">
        <v>23</v>
      </c>
      <c r="N2306" t="s">
        <v>526</v>
      </c>
      <c r="O2306" t="s">
        <v>50</v>
      </c>
      <c r="P2306" t="s">
        <v>45</v>
      </c>
      <c r="Q2306">
        <v>2</v>
      </c>
      <c r="R2306" t="s">
        <v>135</v>
      </c>
      <c r="S2306" t="s">
        <v>79</v>
      </c>
      <c r="T2306" t="str">
        <f>VLOOKUP(S2306,'Mapa Oficinas'!$H$7:$I$16,2,FALSE)</f>
        <v>CB</v>
      </c>
      <c r="U2306" t="s">
        <v>29</v>
      </c>
      <c r="V2306" t="str">
        <f>VLOOKUP($R2306,'Mapa Oficinas'!$A$7:$C$46,2,FALSE)</f>
        <v>CABA</v>
      </c>
      <c r="W2306" t="str">
        <f>VLOOKUP($R2306,'Mapa Oficinas'!$A$7:$C$46,3,FALSE)</f>
        <v>Recoleta</v>
      </c>
    </row>
    <row r="2307" spans="1:23" x14ac:dyDescent="0.2">
      <c r="A2307" s="1">
        <v>45930</v>
      </c>
      <c r="B2307" s="20">
        <f t="shared" si="72"/>
        <v>2025</v>
      </c>
      <c r="C2307" s="20">
        <f t="shared" si="73"/>
        <v>9</v>
      </c>
      <c r="D2307" t="s">
        <v>4438</v>
      </c>
      <c r="E2307" s="49">
        <v>1</v>
      </c>
      <c r="F2307" t="s">
        <v>4439</v>
      </c>
      <c r="G2307" t="s">
        <v>21</v>
      </c>
      <c r="H2307" t="s">
        <v>100</v>
      </c>
      <c r="I2307" s="13">
        <v>240000</v>
      </c>
      <c r="J2307" s="13">
        <v>225000</v>
      </c>
      <c r="K2307" s="13">
        <f>IF(J2307&lt;'Mapa Oficinas'!$I$21,0,IF(J2307&gt;'Mapa Oficinas'!$I$20,0,1))</f>
        <v>1</v>
      </c>
      <c r="L2307" t="s">
        <v>23</v>
      </c>
      <c r="M2307" t="s">
        <v>23</v>
      </c>
      <c r="N2307" t="s">
        <v>4440</v>
      </c>
      <c r="O2307" t="s">
        <v>1435</v>
      </c>
      <c r="P2307" t="s">
        <v>34</v>
      </c>
      <c r="Q2307">
        <v>2</v>
      </c>
      <c r="R2307" t="s">
        <v>121</v>
      </c>
      <c r="S2307" t="s">
        <v>79</v>
      </c>
      <c r="T2307" t="str">
        <f>VLOOKUP(S2307,'Mapa Oficinas'!$H$7:$I$16,2,FALSE)</f>
        <v>CB</v>
      </c>
      <c r="U2307" t="s">
        <v>29</v>
      </c>
      <c r="V2307" t="str">
        <f>VLOOKUP($R2307,'Mapa Oficinas'!$A$7:$C$46,2,FALSE)</f>
        <v>Interior - Río Negro</v>
      </c>
      <c r="W2307" t="str">
        <f>VLOOKUP($R2307,'Mapa Oficinas'!$A$7:$C$46,3,FALSE)</f>
        <v>Bariloche</v>
      </c>
    </row>
    <row r="2308" spans="1:23" x14ac:dyDescent="0.2">
      <c r="A2308" s="1">
        <v>45979</v>
      </c>
      <c r="B2308" s="20">
        <f t="shared" si="72"/>
        <v>2025</v>
      </c>
      <c r="C2308" s="20">
        <f t="shared" si="73"/>
        <v>11</v>
      </c>
      <c r="D2308" t="s">
        <v>5299</v>
      </c>
      <c r="E2308" s="49">
        <v>1</v>
      </c>
      <c r="F2308" t="s">
        <v>5300</v>
      </c>
      <c r="G2308" t="s">
        <v>21</v>
      </c>
      <c r="H2308" t="s">
        <v>22</v>
      </c>
      <c r="I2308" s="13">
        <v>230000</v>
      </c>
      <c r="J2308" s="13">
        <v>225000</v>
      </c>
      <c r="K2308" s="13">
        <f>IF(J2308&lt;'Mapa Oficinas'!$I$21,0,IF(J2308&gt;'Mapa Oficinas'!$I$20,0,1))</f>
        <v>1</v>
      </c>
      <c r="L2308" t="s">
        <v>23</v>
      </c>
      <c r="M2308" t="s">
        <v>23</v>
      </c>
      <c r="N2308" t="s">
        <v>5301</v>
      </c>
      <c r="O2308" t="s">
        <v>5302</v>
      </c>
      <c r="P2308" t="s">
        <v>34</v>
      </c>
      <c r="Q2308">
        <v>2</v>
      </c>
      <c r="R2308" t="s">
        <v>110</v>
      </c>
      <c r="S2308" t="s">
        <v>79</v>
      </c>
      <c r="T2308" t="str">
        <f>VLOOKUP(S2308,'Mapa Oficinas'!$H$7:$I$16,2,FALSE)</f>
        <v>CB</v>
      </c>
      <c r="U2308" t="s">
        <v>29</v>
      </c>
      <c r="V2308" t="str">
        <f>VLOOKUP($R2308,'Mapa Oficinas'!$A$7:$C$46,2,FALSE)</f>
        <v>Zona Norte (GBA)</v>
      </c>
      <c r="W2308" t="str">
        <f>VLOOKUP($R2308,'Mapa Oficinas'!$A$7:$C$46,3,FALSE)</f>
        <v>Nordelta</v>
      </c>
    </row>
    <row r="2309" spans="1:23" x14ac:dyDescent="0.2">
      <c r="A2309" s="1">
        <v>46036</v>
      </c>
      <c r="B2309" s="20">
        <f t="shared" si="72"/>
        <v>2026</v>
      </c>
      <c r="C2309" s="20">
        <f t="shared" si="73"/>
        <v>1</v>
      </c>
      <c r="D2309" t="s">
        <v>6244</v>
      </c>
      <c r="E2309" s="49">
        <v>1</v>
      </c>
      <c r="F2309" t="s">
        <v>6245</v>
      </c>
      <c r="G2309" t="s">
        <v>21</v>
      </c>
      <c r="H2309" t="s">
        <v>37</v>
      </c>
      <c r="I2309" s="13">
        <v>240000</v>
      </c>
      <c r="J2309" s="13">
        <v>225000</v>
      </c>
      <c r="K2309" s="13">
        <f>IF(J2309&lt;'Mapa Oficinas'!$I$21,0,IF(J2309&gt;'Mapa Oficinas'!$I$20,0,1))</f>
        <v>1</v>
      </c>
      <c r="L2309" t="s">
        <v>23</v>
      </c>
      <c r="M2309" t="s">
        <v>23</v>
      </c>
      <c r="N2309" t="s">
        <v>6246</v>
      </c>
      <c r="O2309" t="s">
        <v>1194</v>
      </c>
      <c r="P2309" t="s">
        <v>34</v>
      </c>
      <c r="Q2309">
        <v>2</v>
      </c>
      <c r="R2309" t="s">
        <v>183</v>
      </c>
      <c r="S2309" t="s">
        <v>79</v>
      </c>
      <c r="T2309" t="str">
        <f>VLOOKUP(S2309,'Mapa Oficinas'!$H$7:$I$16,2,FALSE)</f>
        <v>CB</v>
      </c>
      <c r="U2309" t="s">
        <v>29</v>
      </c>
      <c r="V2309" t="str">
        <f>VLOOKUP($R2309,'Mapa Oficinas'!$A$7:$C$46,2,FALSE)</f>
        <v>Interior - Neuquén</v>
      </c>
      <c r="W2309" t="str">
        <f>VLOOKUP($R2309,'Mapa Oficinas'!$A$7:$C$46,3,FALSE)</f>
        <v>Capital Neuquén</v>
      </c>
    </row>
    <row r="2310" spans="1:23" x14ac:dyDescent="0.2">
      <c r="A2310" s="1">
        <v>46042</v>
      </c>
      <c r="B2310" s="20">
        <f t="shared" si="72"/>
        <v>2026</v>
      </c>
      <c r="C2310" s="20">
        <f t="shared" si="73"/>
        <v>1</v>
      </c>
      <c r="D2310" t="s">
        <v>6334</v>
      </c>
      <c r="E2310" s="49">
        <v>0</v>
      </c>
      <c r="F2310" t="s">
        <v>6335</v>
      </c>
      <c r="G2310" t="s">
        <v>21</v>
      </c>
      <c r="H2310" t="s">
        <v>97</v>
      </c>
      <c r="I2310" s="13">
        <v>245000</v>
      </c>
      <c r="J2310" s="13">
        <v>225000</v>
      </c>
      <c r="K2310" s="13">
        <f>IF(J2310&lt;'Mapa Oficinas'!$I$21,0,IF(J2310&gt;'Mapa Oficinas'!$I$20,0,1))</f>
        <v>1</v>
      </c>
      <c r="L2310" t="s">
        <v>23</v>
      </c>
      <c r="M2310" t="s">
        <v>23</v>
      </c>
      <c r="N2310" t="s">
        <v>6336</v>
      </c>
      <c r="O2310" t="s">
        <v>6337</v>
      </c>
      <c r="P2310" t="s">
        <v>45</v>
      </c>
      <c r="Q2310">
        <v>2</v>
      </c>
      <c r="R2310" t="s">
        <v>130</v>
      </c>
      <c r="S2310" t="s">
        <v>232</v>
      </c>
      <c r="T2310" t="str">
        <f>VLOOKUP(S2310,'Mapa Oficinas'!$H$7:$I$16,2,FALSE)</f>
        <v>CB</v>
      </c>
      <c r="U2310" t="s">
        <v>29</v>
      </c>
      <c r="V2310" t="str">
        <f>VLOOKUP($R2310,'Mapa Oficinas'!$A$7:$C$46,2,FALSE)</f>
        <v>Interior - Neuquén</v>
      </c>
      <c r="W2310" t="str">
        <f>VLOOKUP($R2310,'Mapa Oficinas'!$A$7:$C$46,3,FALSE)</f>
        <v>San Martín de los Andes</v>
      </c>
    </row>
    <row r="2311" spans="1:23" x14ac:dyDescent="0.2">
      <c r="A2311" s="1">
        <v>46042</v>
      </c>
      <c r="B2311" s="20">
        <f t="shared" si="72"/>
        <v>2026</v>
      </c>
      <c r="C2311" s="20">
        <f t="shared" si="73"/>
        <v>1</v>
      </c>
      <c r="D2311" t="s">
        <v>6334</v>
      </c>
      <c r="E2311" s="49">
        <v>1</v>
      </c>
      <c r="F2311" t="s">
        <v>6335</v>
      </c>
      <c r="G2311" t="s">
        <v>21</v>
      </c>
      <c r="H2311" t="s">
        <v>97</v>
      </c>
      <c r="I2311" s="13">
        <v>245000</v>
      </c>
      <c r="J2311" s="13">
        <v>225000</v>
      </c>
      <c r="K2311" s="13">
        <f>IF(J2311&lt;'Mapa Oficinas'!$I$21,0,IF(J2311&gt;'Mapa Oficinas'!$I$20,0,1))</f>
        <v>1</v>
      </c>
      <c r="L2311" t="s">
        <v>23</v>
      </c>
      <c r="M2311" t="s">
        <v>23</v>
      </c>
      <c r="N2311" t="s">
        <v>6336</v>
      </c>
      <c r="O2311" t="s">
        <v>6337</v>
      </c>
      <c r="P2311" t="s">
        <v>45</v>
      </c>
      <c r="Q2311">
        <v>2</v>
      </c>
      <c r="R2311" t="s">
        <v>84</v>
      </c>
      <c r="S2311" t="s">
        <v>232</v>
      </c>
      <c r="T2311" t="str">
        <f>VLOOKUP(S2311,'Mapa Oficinas'!$H$7:$I$16,2,FALSE)</f>
        <v>CB</v>
      </c>
      <c r="U2311" t="s">
        <v>29</v>
      </c>
      <c r="V2311" t="str">
        <f>VLOOKUP($R2311,'Mapa Oficinas'!$A$7:$C$46,2,FALSE)</f>
        <v>Interior - Neuquén</v>
      </c>
      <c r="W2311" t="str">
        <f>VLOOKUP($R2311,'Mapa Oficinas'!$A$7:$C$46,3,FALSE)</f>
        <v>Villa La Angostura</v>
      </c>
    </row>
    <row r="2312" spans="1:23" x14ac:dyDescent="0.2">
      <c r="A2312" s="1">
        <v>45751</v>
      </c>
      <c r="B2312" s="20">
        <f t="shared" si="72"/>
        <v>2025</v>
      </c>
      <c r="C2312" s="20">
        <f t="shared" si="73"/>
        <v>4</v>
      </c>
      <c r="D2312">
        <v>10336</v>
      </c>
      <c r="E2312" s="49">
        <v>1</v>
      </c>
      <c r="F2312">
        <v>10336</v>
      </c>
      <c r="G2312" t="s">
        <v>21</v>
      </c>
      <c r="H2312" t="s">
        <v>37</v>
      </c>
      <c r="I2312" s="13">
        <v>0</v>
      </c>
      <c r="J2312" s="13">
        <v>225000</v>
      </c>
      <c r="K2312" s="13">
        <f>IF(J2312&lt;'Mapa Oficinas'!$I$21,0,IF(J2312&gt;'Mapa Oficinas'!$I$20,0,1))</f>
        <v>1</v>
      </c>
      <c r="L2312" t="s">
        <v>23</v>
      </c>
      <c r="M2312" t="s">
        <v>23</v>
      </c>
      <c r="O2312" t="s">
        <v>162</v>
      </c>
      <c r="P2312" t="s">
        <v>45</v>
      </c>
      <c r="Q2312">
        <v>1</v>
      </c>
      <c r="R2312" t="s">
        <v>67</v>
      </c>
      <c r="S2312" t="s">
        <v>47</v>
      </c>
      <c r="T2312" t="str">
        <f>VLOOKUP(S2312,'Mapa Oficinas'!$H$7:$I$16,2,FALSE)</f>
        <v>Otra Red Búsqueda</v>
      </c>
      <c r="U2312" t="s">
        <v>29</v>
      </c>
      <c r="V2312" t="str">
        <f>VLOOKUP($R2312,'Mapa Oficinas'!$A$7:$C$46,2,FALSE)</f>
        <v>CABA</v>
      </c>
      <c r="W2312" t="str">
        <f>VLOOKUP($R2312,'Mapa Oficinas'!$A$7:$C$46,3,FALSE)</f>
        <v>Barrio Parque</v>
      </c>
    </row>
    <row r="2313" spans="1:23" x14ac:dyDescent="0.2">
      <c r="A2313" s="1">
        <v>45933</v>
      </c>
      <c r="B2313" s="20">
        <f t="shared" si="72"/>
        <v>2025</v>
      </c>
      <c r="C2313" s="20">
        <f t="shared" si="73"/>
        <v>10</v>
      </c>
      <c r="E2313" s="49">
        <v>1</v>
      </c>
      <c r="F2313" t="s">
        <v>4490</v>
      </c>
      <c r="G2313" t="s">
        <v>21</v>
      </c>
      <c r="H2313" t="s">
        <v>37</v>
      </c>
      <c r="I2313" s="13">
        <v>250000</v>
      </c>
      <c r="J2313" s="13">
        <v>225000</v>
      </c>
      <c r="K2313" s="13">
        <f>IF(J2313&lt;'Mapa Oficinas'!$I$21,0,IF(J2313&gt;'Mapa Oficinas'!$I$20,0,1))</f>
        <v>1</v>
      </c>
      <c r="L2313" t="s">
        <v>23</v>
      </c>
      <c r="M2313" t="s">
        <v>23</v>
      </c>
      <c r="N2313" t="s">
        <v>4491</v>
      </c>
      <c r="O2313" t="s">
        <v>116</v>
      </c>
      <c r="P2313" t="s">
        <v>45</v>
      </c>
      <c r="Q2313">
        <v>1</v>
      </c>
      <c r="R2313" t="s">
        <v>523</v>
      </c>
      <c r="S2313" t="s">
        <v>47</v>
      </c>
      <c r="T2313" t="str">
        <f>VLOOKUP(S2313,'Mapa Oficinas'!$H$7:$I$16,2,FALSE)</f>
        <v>Otra Red Búsqueda</v>
      </c>
      <c r="U2313" t="s">
        <v>29</v>
      </c>
      <c r="V2313" t="str">
        <f>VLOOKUP($R2313,'Mapa Oficinas'!$A$7:$C$46,2,FALSE)</f>
        <v>CABA</v>
      </c>
      <c r="W2313" t="str">
        <f>VLOOKUP($R2313,'Mapa Oficinas'!$A$7:$C$46,3,FALSE)</f>
        <v>Belgrano</v>
      </c>
    </row>
    <row r="2314" spans="1:23" x14ac:dyDescent="0.2">
      <c r="A2314" s="1">
        <v>45887</v>
      </c>
      <c r="B2314" s="20">
        <f t="shared" si="72"/>
        <v>2025</v>
      </c>
      <c r="C2314" s="20">
        <f t="shared" si="73"/>
        <v>8</v>
      </c>
      <c r="D2314" t="s">
        <v>3621</v>
      </c>
      <c r="E2314" s="49">
        <v>1</v>
      </c>
      <c r="F2314" t="s">
        <v>3622</v>
      </c>
      <c r="G2314" t="s">
        <v>21</v>
      </c>
      <c r="H2314" t="s">
        <v>37</v>
      </c>
      <c r="I2314" s="13">
        <v>235000</v>
      </c>
      <c r="J2314" s="13">
        <v>225000</v>
      </c>
      <c r="K2314" s="13">
        <f>IF(J2314&lt;'Mapa Oficinas'!$I$21,0,IF(J2314&gt;'Mapa Oficinas'!$I$20,0,1))</f>
        <v>1</v>
      </c>
      <c r="L2314" t="s">
        <v>23</v>
      </c>
      <c r="M2314" t="s">
        <v>23</v>
      </c>
      <c r="N2314" t="s">
        <v>2962</v>
      </c>
      <c r="O2314" t="s">
        <v>2963</v>
      </c>
      <c r="P2314" t="s">
        <v>45</v>
      </c>
      <c r="Q2314">
        <v>2</v>
      </c>
      <c r="R2314" t="s">
        <v>46</v>
      </c>
      <c r="S2314" t="s">
        <v>200</v>
      </c>
      <c r="T2314" t="str">
        <f>VLOOKUP(S2314,'Mapa Oficinas'!$H$7:$I$16,2,FALSE)</f>
        <v>Otra Red Captación</v>
      </c>
      <c r="U2314" t="s">
        <v>29</v>
      </c>
      <c r="V2314" t="str">
        <f>VLOOKUP($R2314,'Mapa Oficinas'!$A$7:$C$46,2,FALSE)</f>
        <v>CABA</v>
      </c>
      <c r="W2314" t="str">
        <f>VLOOKUP($R2314,'Mapa Oficinas'!$A$7:$C$46,3,FALSE)</f>
        <v>Palermo</v>
      </c>
    </row>
    <row r="2315" spans="1:23" x14ac:dyDescent="0.2">
      <c r="A2315" s="1">
        <v>45939</v>
      </c>
      <c r="B2315" s="20">
        <f t="shared" si="72"/>
        <v>2025</v>
      </c>
      <c r="C2315" s="20">
        <f t="shared" si="73"/>
        <v>10</v>
      </c>
      <c r="D2315" t="s">
        <v>4628</v>
      </c>
      <c r="E2315" s="49">
        <v>1</v>
      </c>
      <c r="F2315" t="s">
        <v>4629</v>
      </c>
      <c r="G2315" t="s">
        <v>21</v>
      </c>
      <c r="H2315" t="s">
        <v>37</v>
      </c>
      <c r="I2315" s="13">
        <v>249500</v>
      </c>
      <c r="J2315" s="13">
        <v>225000</v>
      </c>
      <c r="K2315" s="13">
        <f>IF(J2315&lt;'Mapa Oficinas'!$I$21,0,IF(J2315&gt;'Mapa Oficinas'!$I$20,0,1))</f>
        <v>1</v>
      </c>
      <c r="L2315" t="s">
        <v>23</v>
      </c>
      <c r="M2315" t="s">
        <v>23</v>
      </c>
      <c r="N2315" t="s">
        <v>4630</v>
      </c>
      <c r="O2315" t="s">
        <v>477</v>
      </c>
      <c r="P2315" t="s">
        <v>45</v>
      </c>
      <c r="Q2315">
        <v>2</v>
      </c>
      <c r="R2315" t="s">
        <v>67</v>
      </c>
      <c r="S2315" t="s">
        <v>200</v>
      </c>
      <c r="T2315" t="str">
        <f>VLOOKUP(S2315,'Mapa Oficinas'!$H$7:$I$16,2,FALSE)</f>
        <v>Otra Red Captación</v>
      </c>
      <c r="U2315" t="s">
        <v>29</v>
      </c>
      <c r="V2315" t="str">
        <f>VLOOKUP($R2315,'Mapa Oficinas'!$A$7:$C$46,2,FALSE)</f>
        <v>CABA</v>
      </c>
      <c r="W2315" t="str">
        <f>VLOOKUP($R2315,'Mapa Oficinas'!$A$7:$C$46,3,FALSE)</f>
        <v>Barrio Parque</v>
      </c>
    </row>
    <row r="2316" spans="1:23" x14ac:dyDescent="0.2">
      <c r="A2316" s="1">
        <v>46036</v>
      </c>
      <c r="B2316" s="20">
        <f t="shared" si="72"/>
        <v>2026</v>
      </c>
      <c r="C2316" s="20">
        <f t="shared" si="73"/>
        <v>1</v>
      </c>
      <c r="D2316" t="s">
        <v>6241</v>
      </c>
      <c r="E2316" s="49">
        <v>1</v>
      </c>
      <c r="F2316" t="s">
        <v>6242</v>
      </c>
      <c r="G2316" t="s">
        <v>21</v>
      </c>
      <c r="H2316" t="s">
        <v>37</v>
      </c>
      <c r="I2316" s="13">
        <v>235000</v>
      </c>
      <c r="J2316" s="13">
        <v>225000</v>
      </c>
      <c r="K2316" s="13">
        <f>IF(J2316&lt;'Mapa Oficinas'!$I$21,0,IF(J2316&gt;'Mapa Oficinas'!$I$20,0,1))</f>
        <v>1</v>
      </c>
      <c r="L2316" t="s">
        <v>23</v>
      </c>
      <c r="M2316" t="s">
        <v>23</v>
      </c>
      <c r="N2316" t="s">
        <v>6243</v>
      </c>
      <c r="O2316" t="s">
        <v>66</v>
      </c>
      <c r="P2316" t="s">
        <v>45</v>
      </c>
      <c r="Q2316">
        <v>2</v>
      </c>
      <c r="R2316" t="s">
        <v>1024</v>
      </c>
      <c r="S2316" t="s">
        <v>200</v>
      </c>
      <c r="T2316" t="str">
        <f>VLOOKUP(S2316,'Mapa Oficinas'!$H$7:$I$16,2,FALSE)</f>
        <v>Otra Red Captación</v>
      </c>
      <c r="U2316" t="s">
        <v>29</v>
      </c>
      <c r="V2316" t="str">
        <f>VLOOKUP($R2316,'Mapa Oficinas'!$A$7:$C$46,2,FALSE)</f>
        <v>CABA</v>
      </c>
      <c r="W2316" t="str">
        <f>VLOOKUP($R2316,'Mapa Oficinas'!$A$7:$C$46,3,FALSE)</f>
        <v>Puerto Madero</v>
      </c>
    </row>
    <row r="2317" spans="1:23" x14ac:dyDescent="0.2">
      <c r="A2317" s="1">
        <v>45918</v>
      </c>
      <c r="B2317" s="20">
        <f t="shared" si="72"/>
        <v>2025</v>
      </c>
      <c r="C2317" s="20">
        <f t="shared" si="73"/>
        <v>9</v>
      </c>
      <c r="D2317" t="s">
        <v>4228</v>
      </c>
      <c r="E2317" s="49">
        <v>3</v>
      </c>
      <c r="F2317" t="s">
        <v>4229</v>
      </c>
      <c r="G2317" t="s">
        <v>21</v>
      </c>
      <c r="H2317" t="s">
        <v>37</v>
      </c>
      <c r="I2317" s="13">
        <v>236000</v>
      </c>
      <c r="J2317" s="13">
        <v>225000</v>
      </c>
      <c r="K2317" s="13">
        <f>IF(J2317&lt;'Mapa Oficinas'!$I$21,0,IF(J2317&gt;'Mapa Oficinas'!$I$20,0,1))</f>
        <v>1</v>
      </c>
      <c r="L2317" t="s">
        <v>23</v>
      </c>
      <c r="M2317" t="s">
        <v>23</v>
      </c>
      <c r="N2317" t="s">
        <v>4230</v>
      </c>
      <c r="O2317" t="s">
        <v>4231</v>
      </c>
      <c r="P2317" t="s">
        <v>34</v>
      </c>
      <c r="Q2317">
        <v>2</v>
      </c>
      <c r="R2317" t="s">
        <v>67</v>
      </c>
      <c r="S2317" t="s">
        <v>241</v>
      </c>
      <c r="T2317" t="str">
        <f>VLOOKUP(S2317,'Mapa Oficinas'!$H$7:$I$16,2,FALSE)</f>
        <v>CB</v>
      </c>
      <c r="U2317" t="s">
        <v>29</v>
      </c>
      <c r="V2317" t="str">
        <f>VLOOKUP($R2317,'Mapa Oficinas'!$A$7:$C$46,2,FALSE)</f>
        <v>CABA</v>
      </c>
      <c r="W2317" t="str">
        <f>VLOOKUP($R2317,'Mapa Oficinas'!$A$7:$C$46,3,FALSE)</f>
        <v>Barrio Parque</v>
      </c>
    </row>
    <row r="2318" spans="1:23" x14ac:dyDescent="0.2">
      <c r="A2318" s="1">
        <v>46049</v>
      </c>
      <c r="B2318" s="20">
        <f t="shared" si="72"/>
        <v>2026</v>
      </c>
      <c r="C2318" s="20">
        <f t="shared" si="73"/>
        <v>1</v>
      </c>
      <c r="D2318" t="s">
        <v>6419</v>
      </c>
      <c r="E2318" s="49">
        <v>3</v>
      </c>
      <c r="F2318" t="s">
        <v>6420</v>
      </c>
      <c r="G2318" t="s">
        <v>21</v>
      </c>
      <c r="H2318" t="s">
        <v>37</v>
      </c>
      <c r="I2318" s="13">
        <v>235000</v>
      </c>
      <c r="J2318" s="13">
        <v>225000</v>
      </c>
      <c r="K2318" s="13">
        <f>IF(J2318&lt;'Mapa Oficinas'!$I$21,0,IF(J2318&gt;'Mapa Oficinas'!$I$20,0,1))</f>
        <v>1</v>
      </c>
      <c r="L2318" t="s">
        <v>23</v>
      </c>
      <c r="M2318" t="s">
        <v>23</v>
      </c>
      <c r="N2318" t="s">
        <v>6421</v>
      </c>
      <c r="O2318" t="s">
        <v>190</v>
      </c>
      <c r="P2318" t="s">
        <v>45</v>
      </c>
      <c r="Q2318">
        <v>2</v>
      </c>
      <c r="R2318" t="s">
        <v>67</v>
      </c>
      <c r="S2318" t="s">
        <v>241</v>
      </c>
      <c r="T2318" t="str">
        <f>VLOOKUP(S2318,'Mapa Oficinas'!$H$7:$I$16,2,FALSE)</f>
        <v>CB</v>
      </c>
      <c r="U2318" t="s">
        <v>29</v>
      </c>
      <c r="V2318" t="str">
        <f>VLOOKUP($R2318,'Mapa Oficinas'!$A$7:$C$46,2,FALSE)</f>
        <v>CABA</v>
      </c>
      <c r="W2318" t="str">
        <f>VLOOKUP($R2318,'Mapa Oficinas'!$A$7:$C$46,3,FALSE)</f>
        <v>Barrio Parque</v>
      </c>
    </row>
    <row r="2319" spans="1:23" x14ac:dyDescent="0.2">
      <c r="A2319" s="1">
        <v>45870</v>
      </c>
      <c r="B2319" s="20">
        <f t="shared" si="72"/>
        <v>2025</v>
      </c>
      <c r="C2319" s="20">
        <f t="shared" si="73"/>
        <v>8</v>
      </c>
      <c r="D2319" t="s">
        <v>3377</v>
      </c>
      <c r="E2319" s="49">
        <v>1</v>
      </c>
      <c r="F2319" t="s">
        <v>3378</v>
      </c>
      <c r="G2319" t="s">
        <v>21</v>
      </c>
      <c r="H2319" t="s">
        <v>37</v>
      </c>
      <c r="I2319" s="13">
        <v>249000</v>
      </c>
      <c r="J2319" s="13">
        <v>225000</v>
      </c>
      <c r="K2319" s="13">
        <f>IF(J2319&lt;'Mapa Oficinas'!$I$21,0,IF(J2319&gt;'Mapa Oficinas'!$I$20,0,1))</f>
        <v>1</v>
      </c>
      <c r="L2319" t="s">
        <v>23</v>
      </c>
      <c r="M2319" t="s">
        <v>23</v>
      </c>
      <c r="N2319" t="s">
        <v>3379</v>
      </c>
      <c r="O2319" t="s">
        <v>190</v>
      </c>
      <c r="P2319" t="s">
        <v>45</v>
      </c>
      <c r="Q2319">
        <v>2</v>
      </c>
      <c r="R2319" t="s">
        <v>523</v>
      </c>
      <c r="S2319" t="s">
        <v>28</v>
      </c>
      <c r="T2319" t="str">
        <f>VLOOKUP(S2319,'Mapa Oficinas'!$H$7:$I$16,2,FALSE)</f>
        <v>CB</v>
      </c>
      <c r="U2319" t="s">
        <v>29</v>
      </c>
      <c r="V2319" t="str">
        <f>VLOOKUP($R2319,'Mapa Oficinas'!$A$7:$C$46,2,FALSE)</f>
        <v>CABA</v>
      </c>
      <c r="W2319" t="str">
        <f>VLOOKUP($R2319,'Mapa Oficinas'!$A$7:$C$46,3,FALSE)</f>
        <v>Belgrano</v>
      </c>
    </row>
    <row r="2320" spans="1:23" x14ac:dyDescent="0.2">
      <c r="A2320" s="1">
        <v>46014</v>
      </c>
      <c r="B2320" s="20">
        <f t="shared" si="72"/>
        <v>2025</v>
      </c>
      <c r="C2320" s="20">
        <f t="shared" si="73"/>
        <v>12</v>
      </c>
      <c r="D2320" t="s">
        <v>5996</v>
      </c>
      <c r="E2320" s="49">
        <v>1</v>
      </c>
      <c r="F2320" t="s">
        <v>5997</v>
      </c>
      <c r="G2320" t="s">
        <v>21</v>
      </c>
      <c r="H2320" t="s">
        <v>37</v>
      </c>
      <c r="I2320" s="13">
        <v>250000</v>
      </c>
      <c r="J2320" s="13">
        <v>225000</v>
      </c>
      <c r="K2320" s="13">
        <f>IF(J2320&lt;'Mapa Oficinas'!$I$21,0,IF(J2320&gt;'Mapa Oficinas'!$I$20,0,1))</f>
        <v>1</v>
      </c>
      <c r="L2320" t="s">
        <v>23</v>
      </c>
      <c r="M2320" t="s">
        <v>23</v>
      </c>
      <c r="N2320" t="s">
        <v>5998</v>
      </c>
      <c r="O2320" t="s">
        <v>66</v>
      </c>
      <c r="P2320" t="s">
        <v>45</v>
      </c>
      <c r="Q2320">
        <v>2</v>
      </c>
      <c r="R2320" t="s">
        <v>523</v>
      </c>
      <c r="S2320" t="s">
        <v>28</v>
      </c>
      <c r="T2320" t="str">
        <f>VLOOKUP(S2320,'Mapa Oficinas'!$H$7:$I$16,2,FALSE)</f>
        <v>CB</v>
      </c>
      <c r="U2320" t="s">
        <v>29</v>
      </c>
      <c r="V2320" t="str">
        <f>VLOOKUP($R2320,'Mapa Oficinas'!$A$7:$C$46,2,FALSE)</f>
        <v>CABA</v>
      </c>
      <c r="W2320" t="str">
        <f>VLOOKUP($R2320,'Mapa Oficinas'!$A$7:$C$46,3,FALSE)</f>
        <v>Belgrano</v>
      </c>
    </row>
    <row r="2321" spans="1:23" x14ac:dyDescent="0.2">
      <c r="A2321" s="1">
        <v>46052</v>
      </c>
      <c r="B2321" s="20">
        <f t="shared" si="72"/>
        <v>2026</v>
      </c>
      <c r="C2321" s="20">
        <f t="shared" si="73"/>
        <v>1</v>
      </c>
      <c r="D2321" t="s">
        <v>6488</v>
      </c>
      <c r="E2321" s="49">
        <v>1</v>
      </c>
      <c r="F2321" t="s">
        <v>6489</v>
      </c>
      <c r="G2321" t="s">
        <v>21</v>
      </c>
      <c r="H2321" t="s">
        <v>37</v>
      </c>
      <c r="I2321" s="13">
        <v>230000</v>
      </c>
      <c r="J2321" s="13">
        <v>225000</v>
      </c>
      <c r="K2321" s="13">
        <f>IF(J2321&lt;'Mapa Oficinas'!$I$21,0,IF(J2321&gt;'Mapa Oficinas'!$I$20,0,1))</f>
        <v>1</v>
      </c>
      <c r="L2321" t="s">
        <v>23</v>
      </c>
      <c r="M2321" t="s">
        <v>23</v>
      </c>
      <c r="N2321" t="s">
        <v>6490</v>
      </c>
      <c r="O2321" t="s">
        <v>2222</v>
      </c>
      <c r="P2321" t="s">
        <v>45</v>
      </c>
      <c r="Q2321">
        <v>2</v>
      </c>
      <c r="R2321" t="s">
        <v>56</v>
      </c>
      <c r="S2321" t="s">
        <v>28</v>
      </c>
      <c r="T2321" t="str">
        <f>VLOOKUP(S2321,'Mapa Oficinas'!$H$7:$I$16,2,FALSE)</f>
        <v>CB</v>
      </c>
      <c r="U2321" t="s">
        <v>29</v>
      </c>
      <c r="V2321" t="str">
        <f>VLOOKUP($R2321,'Mapa Oficinas'!$A$7:$C$46,2,FALSE)</f>
        <v>Zona Norte (GBA)</v>
      </c>
      <c r="W2321" t="str">
        <f>VLOOKUP($R2321,'Mapa Oficinas'!$A$7:$C$46,3,FALSE)</f>
        <v>Vicente López</v>
      </c>
    </row>
    <row r="2322" spans="1:23" x14ac:dyDescent="0.2">
      <c r="A2322" s="1">
        <v>45754</v>
      </c>
      <c r="B2322" s="20">
        <f t="shared" si="72"/>
        <v>2025</v>
      </c>
      <c r="C2322" s="20">
        <f t="shared" si="73"/>
        <v>4</v>
      </c>
      <c r="D2322" t="s">
        <v>1325</v>
      </c>
      <c r="E2322" s="49">
        <v>1</v>
      </c>
      <c r="F2322" t="s">
        <v>1326</v>
      </c>
      <c r="G2322" t="s">
        <v>21</v>
      </c>
      <c r="H2322" t="s">
        <v>37</v>
      </c>
      <c r="I2322" s="13">
        <v>229000</v>
      </c>
      <c r="J2322" s="13">
        <v>226000</v>
      </c>
      <c r="K2322" s="13">
        <f>IF(J2322&lt;'Mapa Oficinas'!$I$21,0,IF(J2322&gt;'Mapa Oficinas'!$I$20,0,1))</f>
        <v>1</v>
      </c>
      <c r="L2322" t="s">
        <v>23</v>
      </c>
      <c r="M2322" t="s">
        <v>23</v>
      </c>
      <c r="N2322" t="s">
        <v>1327</v>
      </c>
      <c r="O2322" t="s">
        <v>390</v>
      </c>
      <c r="P2322" t="s">
        <v>34</v>
      </c>
      <c r="Q2322">
        <v>2</v>
      </c>
      <c r="R2322" t="s">
        <v>67</v>
      </c>
      <c r="S2322" t="s">
        <v>28</v>
      </c>
      <c r="T2322" t="str">
        <f>VLOOKUP(S2322,'Mapa Oficinas'!$H$7:$I$16,2,FALSE)</f>
        <v>CB</v>
      </c>
      <c r="U2322" t="s">
        <v>29</v>
      </c>
      <c r="V2322" t="str">
        <f>VLOOKUP($R2322,'Mapa Oficinas'!$A$7:$C$46,2,FALSE)</f>
        <v>CABA</v>
      </c>
      <c r="W2322" t="str">
        <f>VLOOKUP($R2322,'Mapa Oficinas'!$A$7:$C$46,3,FALSE)</f>
        <v>Barrio Parque</v>
      </c>
    </row>
    <row r="2323" spans="1:23" x14ac:dyDescent="0.2">
      <c r="A2323" s="1">
        <v>45944</v>
      </c>
      <c r="B2323" s="20">
        <f t="shared" si="72"/>
        <v>2025</v>
      </c>
      <c r="C2323" s="20">
        <f t="shared" si="73"/>
        <v>10</v>
      </c>
      <c r="D2323" t="s">
        <v>4679</v>
      </c>
      <c r="E2323" s="49">
        <v>1</v>
      </c>
      <c r="F2323" t="s">
        <v>4680</v>
      </c>
      <c r="G2323" t="s">
        <v>21</v>
      </c>
      <c r="H2323" t="s">
        <v>97</v>
      </c>
      <c r="I2323" s="13">
        <v>178000</v>
      </c>
      <c r="J2323" s="13">
        <v>227000</v>
      </c>
      <c r="K2323" s="13">
        <f>IF(J2323&lt;'Mapa Oficinas'!$I$21,0,IF(J2323&gt;'Mapa Oficinas'!$I$20,0,1))</f>
        <v>1</v>
      </c>
      <c r="L2323" t="s">
        <v>23</v>
      </c>
      <c r="M2323" t="s">
        <v>23</v>
      </c>
      <c r="N2323" t="s">
        <v>4681</v>
      </c>
      <c r="O2323" t="s">
        <v>1239</v>
      </c>
      <c r="P2323" t="s">
        <v>34</v>
      </c>
      <c r="Q2323">
        <v>2</v>
      </c>
      <c r="R2323" t="s">
        <v>130</v>
      </c>
      <c r="S2323" t="s">
        <v>79</v>
      </c>
      <c r="T2323" t="str">
        <f>VLOOKUP(S2323,'Mapa Oficinas'!$H$7:$I$16,2,FALSE)</f>
        <v>CB</v>
      </c>
      <c r="U2323" t="s">
        <v>29</v>
      </c>
      <c r="V2323" t="str">
        <f>VLOOKUP($R2323,'Mapa Oficinas'!$A$7:$C$46,2,FALSE)</f>
        <v>Interior - Neuquén</v>
      </c>
      <c r="W2323" t="str">
        <f>VLOOKUP($R2323,'Mapa Oficinas'!$A$7:$C$46,3,FALSE)</f>
        <v>San Martín de los Andes</v>
      </c>
    </row>
    <row r="2324" spans="1:23" x14ac:dyDescent="0.2">
      <c r="A2324" s="1">
        <v>45951</v>
      </c>
      <c r="B2324" s="20">
        <f t="shared" si="72"/>
        <v>2025</v>
      </c>
      <c r="C2324" s="20">
        <f t="shared" si="73"/>
        <v>10</v>
      </c>
      <c r="E2324" s="49">
        <v>1</v>
      </c>
      <c r="F2324" t="s">
        <v>4825</v>
      </c>
      <c r="G2324" t="s">
        <v>21</v>
      </c>
      <c r="H2324" t="s">
        <v>37</v>
      </c>
      <c r="I2324" s="13">
        <v>0</v>
      </c>
      <c r="J2324" s="13">
        <v>228000</v>
      </c>
      <c r="K2324" s="13">
        <f>IF(J2324&lt;'Mapa Oficinas'!$I$21,0,IF(J2324&gt;'Mapa Oficinas'!$I$20,0,1))</f>
        <v>1</v>
      </c>
      <c r="L2324" t="s">
        <v>23</v>
      </c>
      <c r="M2324" t="s">
        <v>23</v>
      </c>
      <c r="N2324" t="s">
        <v>4826</v>
      </c>
      <c r="O2324" t="s">
        <v>236</v>
      </c>
      <c r="P2324" t="s">
        <v>45</v>
      </c>
      <c r="Q2324">
        <v>1</v>
      </c>
      <c r="R2324" t="s">
        <v>67</v>
      </c>
      <c r="S2324" t="s">
        <v>47</v>
      </c>
      <c r="T2324" t="str">
        <f>VLOOKUP(S2324,'Mapa Oficinas'!$H$7:$I$16,2,FALSE)</f>
        <v>Otra Red Búsqueda</v>
      </c>
      <c r="U2324" t="s">
        <v>29</v>
      </c>
      <c r="V2324" t="str">
        <f>VLOOKUP($R2324,'Mapa Oficinas'!$A$7:$C$46,2,FALSE)</f>
        <v>CABA</v>
      </c>
      <c r="W2324" t="str">
        <f>VLOOKUP($R2324,'Mapa Oficinas'!$A$7:$C$46,3,FALSE)</f>
        <v>Barrio Parque</v>
      </c>
    </row>
    <row r="2325" spans="1:23" x14ac:dyDescent="0.2">
      <c r="A2325" s="1">
        <v>45933</v>
      </c>
      <c r="B2325" s="20">
        <f t="shared" si="72"/>
        <v>2025</v>
      </c>
      <c r="C2325" s="20">
        <f t="shared" si="73"/>
        <v>10</v>
      </c>
      <c r="D2325" t="s">
        <v>4492</v>
      </c>
      <c r="E2325" s="49">
        <v>1</v>
      </c>
      <c r="F2325" t="s">
        <v>4493</v>
      </c>
      <c r="G2325" t="s">
        <v>21</v>
      </c>
      <c r="H2325" t="s">
        <v>81</v>
      </c>
      <c r="I2325" s="13">
        <v>228000</v>
      </c>
      <c r="J2325" s="13">
        <v>228000</v>
      </c>
      <c r="K2325" s="13">
        <f>IF(J2325&lt;'Mapa Oficinas'!$I$21,0,IF(J2325&gt;'Mapa Oficinas'!$I$20,0,1))</f>
        <v>1</v>
      </c>
      <c r="L2325" t="s">
        <v>23</v>
      </c>
      <c r="M2325" t="s">
        <v>23</v>
      </c>
      <c r="N2325" t="s">
        <v>4494</v>
      </c>
      <c r="O2325" t="s">
        <v>2852</v>
      </c>
      <c r="P2325" t="s">
        <v>34</v>
      </c>
      <c r="Q2325">
        <v>2</v>
      </c>
      <c r="R2325" t="s">
        <v>2003</v>
      </c>
      <c r="S2325" t="s">
        <v>28</v>
      </c>
      <c r="T2325" t="str">
        <f>VLOOKUP(S2325,'Mapa Oficinas'!$H$7:$I$16,2,FALSE)</f>
        <v>CB</v>
      </c>
      <c r="U2325" t="s">
        <v>29</v>
      </c>
      <c r="V2325" t="str">
        <f>VLOOKUP($R2325,'Mapa Oficinas'!$A$7:$C$46,2,FALSE)</f>
        <v>Interior - Mendoza</v>
      </c>
      <c r="W2325" t="str">
        <f>VLOOKUP($R2325,'Mapa Oficinas'!$A$7:$C$46,3,FALSE)</f>
        <v>San Rafael</v>
      </c>
    </row>
    <row r="2326" spans="1:23" x14ac:dyDescent="0.2">
      <c r="A2326" s="1">
        <v>46093</v>
      </c>
      <c r="B2326" s="20">
        <f t="shared" si="72"/>
        <v>2026</v>
      </c>
      <c r="C2326" s="20">
        <f t="shared" si="73"/>
        <v>3</v>
      </c>
      <c r="D2326" t="s">
        <v>7150</v>
      </c>
      <c r="E2326" s="49">
        <v>1</v>
      </c>
      <c r="F2326" t="s">
        <v>7151</v>
      </c>
      <c r="G2326" t="s">
        <v>21</v>
      </c>
      <c r="H2326" t="s">
        <v>37</v>
      </c>
      <c r="I2326" s="13">
        <v>237000</v>
      </c>
      <c r="J2326" s="13">
        <v>228000</v>
      </c>
      <c r="K2326" s="13">
        <f>IF(J2326&lt;'Mapa Oficinas'!$I$21,0,IF(J2326&gt;'Mapa Oficinas'!$I$20,0,1))</f>
        <v>1</v>
      </c>
      <c r="L2326" t="s">
        <v>23</v>
      </c>
      <c r="M2326" t="s">
        <v>23</v>
      </c>
      <c r="N2326" t="s">
        <v>7152</v>
      </c>
      <c r="O2326" t="s">
        <v>199</v>
      </c>
      <c r="P2326" t="s">
        <v>45</v>
      </c>
      <c r="Q2326">
        <v>2</v>
      </c>
      <c r="R2326" t="s">
        <v>670</v>
      </c>
      <c r="S2326" t="s">
        <v>28</v>
      </c>
      <c r="T2326" t="str">
        <f>VLOOKUP(S2326,'Mapa Oficinas'!$H$7:$I$16,2,FALSE)</f>
        <v>CB</v>
      </c>
      <c r="U2326" t="s">
        <v>29</v>
      </c>
      <c r="V2326" t="str">
        <f>VLOOKUP($R2326,'Mapa Oficinas'!$A$7:$C$46,2,FALSE)</f>
        <v>CABA</v>
      </c>
      <c r="W2326" t="str">
        <f>VLOOKUP($R2326,'Mapa Oficinas'!$A$7:$C$46,3,FALSE)</f>
        <v>Recoleta</v>
      </c>
    </row>
    <row r="2327" spans="1:23" x14ac:dyDescent="0.2">
      <c r="A2327" s="1">
        <v>45762</v>
      </c>
      <c r="B2327" s="20">
        <f t="shared" si="72"/>
        <v>2025</v>
      </c>
      <c r="C2327" s="20">
        <f t="shared" si="73"/>
        <v>4</v>
      </c>
      <c r="D2327" t="s">
        <v>1452</v>
      </c>
      <c r="E2327" s="49">
        <v>1</v>
      </c>
      <c r="F2327" t="s">
        <v>1453</v>
      </c>
      <c r="G2327" t="s">
        <v>21</v>
      </c>
      <c r="H2327" t="s">
        <v>37</v>
      </c>
      <c r="I2327" s="13">
        <v>229900</v>
      </c>
      <c r="J2327" s="13">
        <v>229000</v>
      </c>
      <c r="K2327" s="13">
        <f>IF(J2327&lt;'Mapa Oficinas'!$I$21,0,IF(J2327&gt;'Mapa Oficinas'!$I$20,0,1))</f>
        <v>1</v>
      </c>
      <c r="L2327" t="s">
        <v>23</v>
      </c>
      <c r="M2327" t="s">
        <v>23</v>
      </c>
      <c r="N2327" t="s">
        <v>1454</v>
      </c>
      <c r="O2327" t="s">
        <v>1455</v>
      </c>
      <c r="P2327" t="s">
        <v>2934</v>
      </c>
      <c r="Q2327">
        <v>2</v>
      </c>
      <c r="R2327" t="s">
        <v>62</v>
      </c>
      <c r="S2327" t="s">
        <v>28</v>
      </c>
      <c r="T2327" t="str">
        <f>VLOOKUP(S2327,'Mapa Oficinas'!$H$7:$I$16,2,FALSE)</f>
        <v>CB</v>
      </c>
      <c r="U2327" t="s">
        <v>29</v>
      </c>
      <c r="V2327" t="str">
        <f>VLOOKUP($R2327,'Mapa Oficinas'!$A$7:$C$46,2,FALSE)</f>
        <v>CABA</v>
      </c>
      <c r="W2327" t="str">
        <f>VLOOKUP($R2327,'Mapa Oficinas'!$A$7:$C$46,3,FALSE)</f>
        <v>Villa Urquiza</v>
      </c>
    </row>
    <row r="2328" spans="1:23" x14ac:dyDescent="0.2">
      <c r="A2328" s="1">
        <v>45845</v>
      </c>
      <c r="B2328" s="20">
        <f t="shared" si="72"/>
        <v>2025</v>
      </c>
      <c r="C2328" s="20">
        <f t="shared" si="73"/>
        <v>7</v>
      </c>
      <c r="D2328" t="s">
        <v>2907</v>
      </c>
      <c r="E2328" s="49">
        <v>1</v>
      </c>
      <c r="F2328" t="s">
        <v>2908</v>
      </c>
      <c r="G2328" t="s">
        <v>21</v>
      </c>
      <c r="H2328" t="s">
        <v>90</v>
      </c>
      <c r="I2328" s="13">
        <v>240000</v>
      </c>
      <c r="J2328" s="13">
        <v>230000</v>
      </c>
      <c r="K2328" s="13">
        <f>IF(J2328&lt;'Mapa Oficinas'!$I$21,0,IF(J2328&gt;'Mapa Oficinas'!$I$20,0,1))</f>
        <v>1</v>
      </c>
      <c r="L2328" t="s">
        <v>23</v>
      </c>
      <c r="M2328" t="s">
        <v>23</v>
      </c>
      <c r="N2328" t="s">
        <v>2909</v>
      </c>
      <c r="O2328" t="s">
        <v>470</v>
      </c>
      <c r="P2328" t="s">
        <v>45</v>
      </c>
      <c r="Q2328">
        <v>2</v>
      </c>
      <c r="R2328" t="s">
        <v>62</v>
      </c>
      <c r="S2328" t="s">
        <v>79</v>
      </c>
      <c r="T2328" t="str">
        <f>VLOOKUP(S2328,'Mapa Oficinas'!$H$7:$I$16,2,FALSE)</f>
        <v>CB</v>
      </c>
      <c r="U2328" t="s">
        <v>29</v>
      </c>
      <c r="V2328" t="str">
        <f>VLOOKUP($R2328,'Mapa Oficinas'!$A$7:$C$46,2,FALSE)</f>
        <v>CABA</v>
      </c>
      <c r="W2328" t="str">
        <f>VLOOKUP($R2328,'Mapa Oficinas'!$A$7:$C$46,3,FALSE)</f>
        <v>Villa Urquiza</v>
      </c>
    </row>
    <row r="2329" spans="1:23" x14ac:dyDescent="0.2">
      <c r="A2329" s="1">
        <v>45919</v>
      </c>
      <c r="B2329" s="20">
        <f t="shared" si="72"/>
        <v>2025</v>
      </c>
      <c r="C2329" s="20">
        <f t="shared" si="73"/>
        <v>9</v>
      </c>
      <c r="D2329" t="s">
        <v>4252</v>
      </c>
      <c r="E2329" s="49">
        <v>1</v>
      </c>
      <c r="F2329" t="s">
        <v>4253</v>
      </c>
      <c r="G2329" t="s">
        <v>21</v>
      </c>
      <c r="H2329" t="s">
        <v>76</v>
      </c>
      <c r="I2329" s="13">
        <v>1700000</v>
      </c>
      <c r="J2329" s="13">
        <v>230000</v>
      </c>
      <c r="K2329" s="13">
        <f>IF(J2329&lt;'Mapa Oficinas'!$I$21,0,IF(J2329&gt;'Mapa Oficinas'!$I$20,0,1))</f>
        <v>1</v>
      </c>
      <c r="L2329" t="s">
        <v>23</v>
      </c>
      <c r="M2329" t="s">
        <v>1927</v>
      </c>
      <c r="N2329" t="s">
        <v>4254</v>
      </c>
      <c r="O2329" t="s">
        <v>4255</v>
      </c>
      <c r="P2329" t="s">
        <v>14</v>
      </c>
      <c r="Q2329">
        <v>2</v>
      </c>
      <c r="R2329" t="s">
        <v>167</v>
      </c>
      <c r="S2329" t="s">
        <v>79</v>
      </c>
      <c r="T2329" t="str">
        <f>VLOOKUP(S2329,'Mapa Oficinas'!$H$7:$I$16,2,FALSE)</f>
        <v>CB</v>
      </c>
      <c r="U2329" t="s">
        <v>29</v>
      </c>
      <c r="V2329" t="str">
        <f>VLOOKUP($R2329,'Mapa Oficinas'!$A$7:$C$46,2,FALSE)</f>
        <v>Interior - Santa Fe</v>
      </c>
      <c r="W2329" t="str">
        <f>VLOOKUP($R2329,'Mapa Oficinas'!$A$7:$C$46,3,FALSE)</f>
        <v>Capital Santa Fe</v>
      </c>
    </row>
    <row r="2330" spans="1:23" x14ac:dyDescent="0.2">
      <c r="A2330" s="1">
        <v>46049</v>
      </c>
      <c r="B2330" s="20">
        <f t="shared" si="72"/>
        <v>2026</v>
      </c>
      <c r="C2330" s="20">
        <f t="shared" si="73"/>
        <v>1</v>
      </c>
      <c r="D2330" t="s">
        <v>6422</v>
      </c>
      <c r="E2330" s="49">
        <v>1</v>
      </c>
      <c r="F2330" t="s">
        <v>6423</v>
      </c>
      <c r="G2330" t="s">
        <v>21</v>
      </c>
      <c r="H2330" t="s">
        <v>230</v>
      </c>
      <c r="I2330" s="13">
        <v>230000</v>
      </c>
      <c r="J2330" s="13">
        <v>230000</v>
      </c>
      <c r="K2330" s="13">
        <f>IF(J2330&lt;'Mapa Oficinas'!$I$21,0,IF(J2330&gt;'Mapa Oficinas'!$I$20,0,1))</f>
        <v>1</v>
      </c>
      <c r="L2330" t="s">
        <v>23</v>
      </c>
      <c r="M2330" t="s">
        <v>23</v>
      </c>
      <c r="N2330" t="s">
        <v>6424</v>
      </c>
      <c r="O2330" t="s">
        <v>1239</v>
      </c>
      <c r="P2330" t="s">
        <v>34</v>
      </c>
      <c r="Q2330">
        <v>2</v>
      </c>
      <c r="R2330" t="s">
        <v>130</v>
      </c>
      <c r="S2330" t="s">
        <v>79</v>
      </c>
      <c r="T2330" t="str">
        <f>VLOOKUP(S2330,'Mapa Oficinas'!$H$7:$I$16,2,FALSE)</f>
        <v>CB</v>
      </c>
      <c r="U2330" t="s">
        <v>29</v>
      </c>
      <c r="V2330" t="str">
        <f>VLOOKUP($R2330,'Mapa Oficinas'!$A$7:$C$46,2,FALSE)</f>
        <v>Interior - Neuquén</v>
      </c>
      <c r="W2330" t="str">
        <f>VLOOKUP($R2330,'Mapa Oficinas'!$A$7:$C$46,3,FALSE)</f>
        <v>San Martín de los Andes</v>
      </c>
    </row>
    <row r="2331" spans="1:23" x14ac:dyDescent="0.2">
      <c r="A2331" s="1">
        <v>45708</v>
      </c>
      <c r="B2331" s="20">
        <f t="shared" si="72"/>
        <v>2025</v>
      </c>
      <c r="C2331" s="20">
        <f t="shared" si="73"/>
        <v>2</v>
      </c>
      <c r="D2331">
        <v>10301</v>
      </c>
      <c r="E2331" s="49">
        <v>1</v>
      </c>
      <c r="F2331" t="s">
        <v>705</v>
      </c>
      <c r="G2331" t="s">
        <v>21</v>
      </c>
      <c r="H2331" t="s">
        <v>37</v>
      </c>
      <c r="I2331" s="13">
        <v>0</v>
      </c>
      <c r="J2331" s="13">
        <v>230000</v>
      </c>
      <c r="K2331" s="13">
        <f>IF(J2331&lt;'Mapa Oficinas'!$I$21,0,IF(J2331&gt;'Mapa Oficinas'!$I$20,0,1))</f>
        <v>1</v>
      </c>
      <c r="L2331" t="s">
        <v>23</v>
      </c>
      <c r="M2331" t="s">
        <v>23</v>
      </c>
      <c r="O2331" t="s">
        <v>105</v>
      </c>
      <c r="P2331" t="s">
        <v>45</v>
      </c>
      <c r="Q2331">
        <v>1</v>
      </c>
      <c r="R2331" t="s">
        <v>67</v>
      </c>
      <c r="S2331" t="s">
        <v>47</v>
      </c>
      <c r="T2331" t="str">
        <f>VLOOKUP(S2331,'Mapa Oficinas'!$H$7:$I$16,2,FALSE)</f>
        <v>Otra Red Búsqueda</v>
      </c>
      <c r="U2331" t="s">
        <v>29</v>
      </c>
      <c r="V2331" t="str">
        <f>VLOOKUP($R2331,'Mapa Oficinas'!$A$7:$C$46,2,FALSE)</f>
        <v>CABA</v>
      </c>
      <c r="W2331" t="str">
        <f>VLOOKUP($R2331,'Mapa Oficinas'!$A$7:$C$46,3,FALSE)</f>
        <v>Barrio Parque</v>
      </c>
    </row>
    <row r="2332" spans="1:23" x14ac:dyDescent="0.2">
      <c r="A2332" s="1">
        <v>45741</v>
      </c>
      <c r="B2332" s="20">
        <f t="shared" si="72"/>
        <v>2025</v>
      </c>
      <c r="C2332" s="20">
        <f t="shared" si="73"/>
        <v>3</v>
      </c>
      <c r="D2332" t="s">
        <v>1097</v>
      </c>
      <c r="E2332" s="49">
        <v>1</v>
      </c>
      <c r="F2332" t="s">
        <v>1098</v>
      </c>
      <c r="G2332" t="s">
        <v>21</v>
      </c>
      <c r="H2332" t="s">
        <v>37</v>
      </c>
      <c r="I2332" s="13">
        <v>230000</v>
      </c>
      <c r="J2332" s="13">
        <v>230000</v>
      </c>
      <c r="K2332" s="13">
        <f>IF(J2332&lt;'Mapa Oficinas'!$I$21,0,IF(J2332&gt;'Mapa Oficinas'!$I$20,0,1))</f>
        <v>1</v>
      </c>
      <c r="L2332" t="s">
        <v>23</v>
      </c>
      <c r="M2332" t="s">
        <v>23</v>
      </c>
      <c r="N2332" t="s">
        <v>1099</v>
      </c>
      <c r="O2332" t="s">
        <v>675</v>
      </c>
      <c r="P2332" t="s">
        <v>45</v>
      </c>
      <c r="Q2332">
        <v>1</v>
      </c>
      <c r="R2332" t="s">
        <v>46</v>
      </c>
      <c r="S2332" t="s">
        <v>47</v>
      </c>
      <c r="T2332" t="str">
        <f>VLOOKUP(S2332,'Mapa Oficinas'!$H$7:$I$16,2,FALSE)</f>
        <v>Otra Red Búsqueda</v>
      </c>
      <c r="U2332" t="s">
        <v>29</v>
      </c>
      <c r="V2332" t="str">
        <f>VLOOKUP($R2332,'Mapa Oficinas'!$A$7:$C$46,2,FALSE)</f>
        <v>CABA</v>
      </c>
      <c r="W2332" t="str">
        <f>VLOOKUP($R2332,'Mapa Oficinas'!$A$7:$C$46,3,FALSE)</f>
        <v>Palermo</v>
      </c>
    </row>
    <row r="2333" spans="1:23" x14ac:dyDescent="0.2">
      <c r="A2333" s="1">
        <v>45938</v>
      </c>
      <c r="B2333" s="20">
        <f t="shared" si="72"/>
        <v>2025</v>
      </c>
      <c r="C2333" s="20">
        <f t="shared" si="73"/>
        <v>10</v>
      </c>
      <c r="D2333">
        <v>32</v>
      </c>
      <c r="E2333" s="49">
        <v>1</v>
      </c>
      <c r="F2333" t="s">
        <v>4600</v>
      </c>
      <c r="G2333" t="s">
        <v>21</v>
      </c>
      <c r="H2333" t="s">
        <v>37</v>
      </c>
      <c r="I2333" s="13">
        <v>230000</v>
      </c>
      <c r="J2333" s="13">
        <v>230000</v>
      </c>
      <c r="K2333" s="13">
        <f>IF(J2333&lt;'Mapa Oficinas'!$I$21,0,IF(J2333&gt;'Mapa Oficinas'!$I$20,0,1))</f>
        <v>1</v>
      </c>
      <c r="L2333" t="s">
        <v>23</v>
      </c>
      <c r="M2333" t="s">
        <v>23</v>
      </c>
      <c r="N2333" t="s">
        <v>4601</v>
      </c>
      <c r="O2333" t="s">
        <v>60</v>
      </c>
      <c r="P2333" t="s">
        <v>26</v>
      </c>
      <c r="Q2333">
        <v>1</v>
      </c>
      <c r="R2333" t="s">
        <v>1024</v>
      </c>
      <c r="S2333" t="s">
        <v>47</v>
      </c>
      <c r="T2333" t="str">
        <f>VLOOKUP(S2333,'Mapa Oficinas'!$H$7:$I$16,2,FALSE)</f>
        <v>Otra Red Búsqueda</v>
      </c>
      <c r="U2333" t="s">
        <v>29</v>
      </c>
      <c r="V2333" t="str">
        <f>VLOOKUP($R2333,'Mapa Oficinas'!$A$7:$C$46,2,FALSE)</f>
        <v>CABA</v>
      </c>
      <c r="W2333" t="str">
        <f>VLOOKUP($R2333,'Mapa Oficinas'!$A$7:$C$46,3,FALSE)</f>
        <v>Puerto Madero</v>
      </c>
    </row>
    <row r="2334" spans="1:23" x14ac:dyDescent="0.2">
      <c r="A2334" s="1">
        <v>46037</v>
      </c>
      <c r="B2334" s="20">
        <f t="shared" si="72"/>
        <v>2026</v>
      </c>
      <c r="C2334" s="20">
        <f t="shared" si="73"/>
        <v>1</v>
      </c>
      <c r="E2334" s="49">
        <v>1</v>
      </c>
      <c r="F2334" t="s">
        <v>6263</v>
      </c>
      <c r="G2334" t="s">
        <v>21</v>
      </c>
      <c r="H2334" t="s">
        <v>37</v>
      </c>
      <c r="I2334" s="13">
        <v>230000</v>
      </c>
      <c r="J2334" s="13">
        <v>230000</v>
      </c>
      <c r="K2334" s="13">
        <f>IF(J2334&lt;'Mapa Oficinas'!$I$21,0,IF(J2334&gt;'Mapa Oficinas'!$I$20,0,1))</f>
        <v>1</v>
      </c>
      <c r="L2334" t="s">
        <v>23</v>
      </c>
      <c r="M2334" t="s">
        <v>23</v>
      </c>
      <c r="N2334" t="s">
        <v>6264</v>
      </c>
      <c r="O2334" t="s">
        <v>66</v>
      </c>
      <c r="P2334" t="s">
        <v>45</v>
      </c>
      <c r="Q2334">
        <v>1</v>
      </c>
      <c r="R2334" t="s">
        <v>135</v>
      </c>
      <c r="S2334" t="s">
        <v>47</v>
      </c>
      <c r="T2334" t="str">
        <f>VLOOKUP(S2334,'Mapa Oficinas'!$H$7:$I$16,2,FALSE)</f>
        <v>Otra Red Búsqueda</v>
      </c>
      <c r="U2334" t="s">
        <v>29</v>
      </c>
      <c r="V2334" t="str">
        <f>VLOOKUP($R2334,'Mapa Oficinas'!$A$7:$C$46,2,FALSE)</f>
        <v>CABA</v>
      </c>
      <c r="W2334" t="str">
        <f>VLOOKUP($R2334,'Mapa Oficinas'!$A$7:$C$46,3,FALSE)</f>
        <v>Recoleta</v>
      </c>
    </row>
    <row r="2335" spans="1:23" x14ac:dyDescent="0.2">
      <c r="A2335" s="1">
        <v>45798</v>
      </c>
      <c r="B2335" s="20">
        <f t="shared" si="72"/>
        <v>2025</v>
      </c>
      <c r="C2335" s="20">
        <f t="shared" si="73"/>
        <v>5</v>
      </c>
      <c r="D2335" t="s">
        <v>2078</v>
      </c>
      <c r="E2335" s="49">
        <v>1</v>
      </c>
      <c r="F2335" t="s">
        <v>2079</v>
      </c>
      <c r="G2335" t="s">
        <v>21</v>
      </c>
      <c r="H2335" t="s">
        <v>37</v>
      </c>
      <c r="I2335" s="13">
        <v>242000</v>
      </c>
      <c r="J2335" s="13">
        <v>230000</v>
      </c>
      <c r="K2335" s="13">
        <f>IF(J2335&lt;'Mapa Oficinas'!$I$21,0,IF(J2335&gt;'Mapa Oficinas'!$I$20,0,1))</f>
        <v>1</v>
      </c>
      <c r="L2335" t="s">
        <v>23</v>
      </c>
      <c r="M2335" t="s">
        <v>23</v>
      </c>
      <c r="N2335" t="s">
        <v>2080</v>
      </c>
      <c r="O2335" t="s">
        <v>390</v>
      </c>
      <c r="P2335" t="s">
        <v>45</v>
      </c>
      <c r="Q2335">
        <v>2</v>
      </c>
      <c r="R2335" t="s">
        <v>110</v>
      </c>
      <c r="S2335" t="s">
        <v>200</v>
      </c>
      <c r="T2335" t="str">
        <f>VLOOKUP(S2335,'Mapa Oficinas'!$H$7:$I$16,2,FALSE)</f>
        <v>Otra Red Captación</v>
      </c>
      <c r="U2335" t="s">
        <v>29</v>
      </c>
      <c r="V2335" t="str">
        <f>VLOOKUP($R2335,'Mapa Oficinas'!$A$7:$C$46,2,FALSE)</f>
        <v>Zona Norte (GBA)</v>
      </c>
      <c r="W2335" t="str">
        <f>VLOOKUP($R2335,'Mapa Oficinas'!$A$7:$C$46,3,FALSE)</f>
        <v>Nordelta</v>
      </c>
    </row>
    <row r="2336" spans="1:23" x14ac:dyDescent="0.2">
      <c r="A2336" s="1">
        <v>45790</v>
      </c>
      <c r="B2336" s="20">
        <f t="shared" si="72"/>
        <v>2025</v>
      </c>
      <c r="C2336" s="20">
        <f t="shared" si="73"/>
        <v>5</v>
      </c>
      <c r="D2336" t="s">
        <v>1901</v>
      </c>
      <c r="E2336" s="49">
        <v>1</v>
      </c>
      <c r="F2336" t="s">
        <v>1902</v>
      </c>
      <c r="G2336" t="s">
        <v>21</v>
      </c>
      <c r="H2336" t="s">
        <v>37</v>
      </c>
      <c r="I2336" s="13">
        <v>245000</v>
      </c>
      <c r="J2336" s="13">
        <v>230000</v>
      </c>
      <c r="K2336" s="13">
        <f>IF(J2336&lt;'Mapa Oficinas'!$I$21,0,IF(J2336&gt;'Mapa Oficinas'!$I$20,0,1))</f>
        <v>1</v>
      </c>
      <c r="L2336" t="s">
        <v>23</v>
      </c>
      <c r="M2336" t="s">
        <v>23</v>
      </c>
      <c r="N2336" t="s">
        <v>1903</v>
      </c>
      <c r="O2336" t="s">
        <v>470</v>
      </c>
      <c r="P2336" t="s">
        <v>45</v>
      </c>
      <c r="Q2336">
        <v>2</v>
      </c>
      <c r="R2336" t="s">
        <v>67</v>
      </c>
      <c r="S2336" t="s">
        <v>28</v>
      </c>
      <c r="T2336" t="str">
        <f>VLOOKUP(S2336,'Mapa Oficinas'!$H$7:$I$16,2,FALSE)</f>
        <v>CB</v>
      </c>
      <c r="U2336" t="s">
        <v>29</v>
      </c>
      <c r="V2336" t="str">
        <f>VLOOKUP($R2336,'Mapa Oficinas'!$A$7:$C$46,2,FALSE)</f>
        <v>CABA</v>
      </c>
      <c r="W2336" t="str">
        <f>VLOOKUP($R2336,'Mapa Oficinas'!$A$7:$C$46,3,FALSE)</f>
        <v>Barrio Parque</v>
      </c>
    </row>
    <row r="2337" spans="1:23" x14ac:dyDescent="0.2">
      <c r="A2337" s="1">
        <v>45819</v>
      </c>
      <c r="B2337" s="20">
        <f t="shared" si="72"/>
        <v>2025</v>
      </c>
      <c r="C2337" s="20">
        <f t="shared" si="73"/>
        <v>6</v>
      </c>
      <c r="D2337" t="s">
        <v>2437</v>
      </c>
      <c r="E2337" s="49">
        <v>1</v>
      </c>
      <c r="F2337" t="s">
        <v>2438</v>
      </c>
      <c r="G2337" t="s">
        <v>21</v>
      </c>
      <c r="H2337" t="s">
        <v>37</v>
      </c>
      <c r="I2337" s="13">
        <v>259000</v>
      </c>
      <c r="J2337" s="13">
        <v>230000</v>
      </c>
      <c r="K2337" s="13">
        <f>IF(J2337&lt;'Mapa Oficinas'!$I$21,0,IF(J2337&gt;'Mapa Oficinas'!$I$20,0,1))</f>
        <v>1</v>
      </c>
      <c r="L2337" t="s">
        <v>23</v>
      </c>
      <c r="M2337" t="s">
        <v>23</v>
      </c>
      <c r="N2337" t="s">
        <v>2439</v>
      </c>
      <c r="O2337" t="s">
        <v>50</v>
      </c>
      <c r="P2337" t="s">
        <v>45</v>
      </c>
      <c r="Q2337">
        <v>2</v>
      </c>
      <c r="R2337" t="s">
        <v>56</v>
      </c>
      <c r="S2337" t="s">
        <v>28</v>
      </c>
      <c r="T2337" t="str">
        <f>VLOOKUP(S2337,'Mapa Oficinas'!$H$7:$I$16,2,FALSE)</f>
        <v>CB</v>
      </c>
      <c r="U2337" t="s">
        <v>29</v>
      </c>
      <c r="V2337" t="str">
        <f>VLOOKUP($R2337,'Mapa Oficinas'!$A$7:$C$46,2,FALSE)</f>
        <v>Zona Norte (GBA)</v>
      </c>
      <c r="W2337" t="str">
        <f>VLOOKUP($R2337,'Mapa Oficinas'!$A$7:$C$46,3,FALSE)</f>
        <v>Vicente López</v>
      </c>
    </row>
    <row r="2338" spans="1:23" x14ac:dyDescent="0.2">
      <c r="A2338" s="1">
        <v>45852</v>
      </c>
      <c r="B2338" s="20">
        <f t="shared" si="72"/>
        <v>2025</v>
      </c>
      <c r="C2338" s="20">
        <f t="shared" si="73"/>
        <v>7</v>
      </c>
      <c r="D2338" t="s">
        <v>3021</v>
      </c>
      <c r="E2338" s="49">
        <v>1</v>
      </c>
      <c r="F2338" t="s">
        <v>3022</v>
      </c>
      <c r="G2338" t="s">
        <v>21</v>
      </c>
      <c r="H2338" t="s">
        <v>100</v>
      </c>
      <c r="I2338" s="13">
        <v>249000</v>
      </c>
      <c r="J2338" s="13">
        <v>230000</v>
      </c>
      <c r="K2338" s="13">
        <f>IF(J2338&lt;'Mapa Oficinas'!$I$21,0,IF(J2338&gt;'Mapa Oficinas'!$I$20,0,1))</f>
        <v>1</v>
      </c>
      <c r="L2338" t="s">
        <v>23</v>
      </c>
      <c r="M2338" t="s">
        <v>23</v>
      </c>
      <c r="N2338" t="s">
        <v>3023</v>
      </c>
      <c r="O2338" t="s">
        <v>3024</v>
      </c>
      <c r="P2338" t="s">
        <v>34</v>
      </c>
      <c r="Q2338">
        <v>2</v>
      </c>
      <c r="R2338" t="s">
        <v>121</v>
      </c>
      <c r="S2338" t="s">
        <v>28</v>
      </c>
      <c r="T2338" t="str">
        <f>VLOOKUP(S2338,'Mapa Oficinas'!$H$7:$I$16,2,FALSE)</f>
        <v>CB</v>
      </c>
      <c r="U2338" t="s">
        <v>29</v>
      </c>
      <c r="V2338" t="str">
        <f>VLOOKUP($R2338,'Mapa Oficinas'!$A$7:$C$46,2,FALSE)</f>
        <v>Interior - Río Negro</v>
      </c>
      <c r="W2338" t="str">
        <f>VLOOKUP($R2338,'Mapa Oficinas'!$A$7:$C$46,3,FALSE)</f>
        <v>Bariloche</v>
      </c>
    </row>
    <row r="2339" spans="1:23" x14ac:dyDescent="0.2">
      <c r="A2339" s="1">
        <v>45915</v>
      </c>
      <c r="B2339" s="20">
        <f t="shared" si="72"/>
        <v>2025</v>
      </c>
      <c r="C2339" s="20">
        <f t="shared" si="73"/>
        <v>9</v>
      </c>
      <c r="D2339" t="s">
        <v>4171</v>
      </c>
      <c r="E2339" s="49">
        <v>1</v>
      </c>
      <c r="F2339" t="s">
        <v>4172</v>
      </c>
      <c r="G2339" t="s">
        <v>21</v>
      </c>
      <c r="H2339" t="s">
        <v>37</v>
      </c>
      <c r="I2339" s="13">
        <v>245000</v>
      </c>
      <c r="J2339" s="13">
        <v>230000</v>
      </c>
      <c r="K2339" s="13">
        <f>IF(J2339&lt;'Mapa Oficinas'!$I$21,0,IF(J2339&gt;'Mapa Oficinas'!$I$20,0,1))</f>
        <v>1</v>
      </c>
      <c r="L2339" t="s">
        <v>23</v>
      </c>
      <c r="M2339" t="s">
        <v>23</v>
      </c>
      <c r="N2339" t="s">
        <v>4173</v>
      </c>
      <c r="O2339" t="s">
        <v>105</v>
      </c>
      <c r="P2339" t="s">
        <v>45</v>
      </c>
      <c r="Q2339">
        <v>2</v>
      </c>
      <c r="R2339" t="s">
        <v>110</v>
      </c>
      <c r="S2339" t="s">
        <v>28</v>
      </c>
      <c r="T2339" t="str">
        <f>VLOOKUP(S2339,'Mapa Oficinas'!$H$7:$I$16,2,FALSE)</f>
        <v>CB</v>
      </c>
      <c r="U2339" t="s">
        <v>29</v>
      </c>
      <c r="V2339" t="str">
        <f>VLOOKUP($R2339,'Mapa Oficinas'!$A$7:$C$46,2,FALSE)</f>
        <v>Zona Norte (GBA)</v>
      </c>
      <c r="W2339" t="str">
        <f>VLOOKUP($R2339,'Mapa Oficinas'!$A$7:$C$46,3,FALSE)</f>
        <v>Nordelta</v>
      </c>
    </row>
    <row r="2340" spans="1:23" x14ac:dyDescent="0.2">
      <c r="A2340" s="1">
        <v>45944</v>
      </c>
      <c r="B2340" s="20">
        <f t="shared" si="72"/>
        <v>2025</v>
      </c>
      <c r="C2340" s="20">
        <f t="shared" si="73"/>
        <v>10</v>
      </c>
      <c r="D2340" t="s">
        <v>4682</v>
      </c>
      <c r="E2340" s="49">
        <v>1</v>
      </c>
      <c r="F2340" t="s">
        <v>4683</v>
      </c>
      <c r="G2340" t="s">
        <v>21</v>
      </c>
      <c r="H2340" t="s">
        <v>37</v>
      </c>
      <c r="I2340" s="13">
        <v>279000</v>
      </c>
      <c r="J2340" s="13">
        <v>230000</v>
      </c>
      <c r="K2340" s="13">
        <f>IF(J2340&lt;'Mapa Oficinas'!$I$21,0,IF(J2340&gt;'Mapa Oficinas'!$I$20,0,1))</f>
        <v>1</v>
      </c>
      <c r="L2340" t="s">
        <v>23</v>
      </c>
      <c r="M2340" t="s">
        <v>23</v>
      </c>
      <c r="N2340" t="s">
        <v>4684</v>
      </c>
      <c r="O2340" t="s">
        <v>141</v>
      </c>
      <c r="P2340" t="s">
        <v>34</v>
      </c>
      <c r="Q2340">
        <v>2</v>
      </c>
      <c r="R2340" t="s">
        <v>170</v>
      </c>
      <c r="S2340" t="s">
        <v>28</v>
      </c>
      <c r="T2340" t="str">
        <f>VLOOKUP(S2340,'Mapa Oficinas'!$H$7:$I$16,2,FALSE)</f>
        <v>CB</v>
      </c>
      <c r="U2340" t="s">
        <v>29</v>
      </c>
      <c r="V2340" t="str">
        <f>VLOOKUP($R2340,'Mapa Oficinas'!$A$7:$C$46,2,FALSE)</f>
        <v>CABA</v>
      </c>
      <c r="W2340" t="str">
        <f>VLOOKUP($R2340,'Mapa Oficinas'!$A$7:$C$46,3,FALSE)</f>
        <v>Belgrano</v>
      </c>
    </row>
    <row r="2341" spans="1:23" x14ac:dyDescent="0.2">
      <c r="A2341" s="1">
        <v>45971</v>
      </c>
      <c r="B2341" s="20">
        <f t="shared" si="72"/>
        <v>2025</v>
      </c>
      <c r="C2341" s="20">
        <f t="shared" si="73"/>
        <v>11</v>
      </c>
      <c r="D2341" t="s">
        <v>5119</v>
      </c>
      <c r="E2341" s="49">
        <v>1</v>
      </c>
      <c r="F2341" t="s">
        <v>5120</v>
      </c>
      <c r="G2341" t="s">
        <v>21</v>
      </c>
      <c r="H2341" t="s">
        <v>37</v>
      </c>
      <c r="I2341" s="13">
        <v>240000</v>
      </c>
      <c r="J2341" s="13">
        <v>230000</v>
      </c>
      <c r="K2341" s="13">
        <f>IF(J2341&lt;'Mapa Oficinas'!$I$21,0,IF(J2341&gt;'Mapa Oficinas'!$I$20,0,1))</f>
        <v>1</v>
      </c>
      <c r="L2341" t="s">
        <v>23</v>
      </c>
      <c r="M2341" t="s">
        <v>23</v>
      </c>
      <c r="N2341" t="s">
        <v>5121</v>
      </c>
      <c r="O2341" t="s">
        <v>3362</v>
      </c>
      <c r="P2341" t="s">
        <v>61</v>
      </c>
      <c r="Q2341">
        <v>2</v>
      </c>
      <c r="R2341" t="s">
        <v>62</v>
      </c>
      <c r="S2341" t="s">
        <v>28</v>
      </c>
      <c r="T2341" t="str">
        <f>VLOOKUP(S2341,'Mapa Oficinas'!$H$7:$I$16,2,FALSE)</f>
        <v>CB</v>
      </c>
      <c r="U2341" t="s">
        <v>29</v>
      </c>
      <c r="V2341" t="str">
        <f>VLOOKUP($R2341,'Mapa Oficinas'!$A$7:$C$46,2,FALSE)</f>
        <v>CABA</v>
      </c>
      <c r="W2341" t="str">
        <f>VLOOKUP($R2341,'Mapa Oficinas'!$A$7:$C$46,3,FALSE)</f>
        <v>Villa Urquiza</v>
      </c>
    </row>
    <row r="2342" spans="1:23" x14ac:dyDescent="0.2">
      <c r="A2342" s="1">
        <v>45989</v>
      </c>
      <c r="B2342" s="20">
        <f t="shared" si="72"/>
        <v>2025</v>
      </c>
      <c r="C2342" s="20">
        <f t="shared" si="73"/>
        <v>11</v>
      </c>
      <c r="D2342" t="s">
        <v>5436</v>
      </c>
      <c r="E2342" s="49">
        <v>1</v>
      </c>
      <c r="F2342" t="s">
        <v>5437</v>
      </c>
      <c r="G2342" t="s">
        <v>21</v>
      </c>
      <c r="H2342" t="s">
        <v>37</v>
      </c>
      <c r="I2342" s="13">
        <v>246000</v>
      </c>
      <c r="J2342" s="13">
        <v>230000</v>
      </c>
      <c r="K2342" s="13">
        <f>IF(J2342&lt;'Mapa Oficinas'!$I$21,0,IF(J2342&gt;'Mapa Oficinas'!$I$20,0,1))</f>
        <v>1</v>
      </c>
      <c r="L2342" t="s">
        <v>23</v>
      </c>
      <c r="M2342" t="s">
        <v>23</v>
      </c>
      <c r="N2342" t="s">
        <v>5438</v>
      </c>
      <c r="O2342" t="s">
        <v>1222</v>
      </c>
      <c r="P2342" t="s">
        <v>45</v>
      </c>
      <c r="Q2342">
        <v>2</v>
      </c>
      <c r="R2342" t="s">
        <v>67</v>
      </c>
      <c r="S2342" t="s">
        <v>28</v>
      </c>
      <c r="T2342" t="str">
        <f>VLOOKUP(S2342,'Mapa Oficinas'!$H$7:$I$16,2,FALSE)</f>
        <v>CB</v>
      </c>
      <c r="U2342" t="s">
        <v>29</v>
      </c>
      <c r="V2342" t="str">
        <f>VLOOKUP($R2342,'Mapa Oficinas'!$A$7:$C$46,2,FALSE)</f>
        <v>CABA</v>
      </c>
      <c r="W2342" t="str">
        <f>VLOOKUP($R2342,'Mapa Oficinas'!$A$7:$C$46,3,FALSE)</f>
        <v>Barrio Parque</v>
      </c>
    </row>
    <row r="2343" spans="1:23" x14ac:dyDescent="0.2">
      <c r="A2343" s="1">
        <v>46073</v>
      </c>
      <c r="B2343" s="20">
        <f t="shared" si="72"/>
        <v>2026</v>
      </c>
      <c r="C2343" s="20">
        <f t="shared" si="73"/>
        <v>2</v>
      </c>
      <c r="D2343" t="s">
        <v>6781</v>
      </c>
      <c r="E2343" s="49">
        <v>1</v>
      </c>
      <c r="F2343" t="s">
        <v>6782</v>
      </c>
      <c r="G2343" t="s">
        <v>21</v>
      </c>
      <c r="H2343" t="s">
        <v>76</v>
      </c>
      <c r="I2343" s="13">
        <v>235000</v>
      </c>
      <c r="J2343" s="13">
        <v>230000</v>
      </c>
      <c r="K2343" s="13">
        <f>IF(J2343&lt;'Mapa Oficinas'!$I$21,0,IF(J2343&gt;'Mapa Oficinas'!$I$20,0,1))</f>
        <v>1</v>
      </c>
      <c r="L2343" t="s">
        <v>23</v>
      </c>
      <c r="M2343" t="s">
        <v>23</v>
      </c>
      <c r="N2343" t="s">
        <v>6783</v>
      </c>
      <c r="O2343" t="s">
        <v>6784</v>
      </c>
      <c r="P2343" t="s">
        <v>45</v>
      </c>
      <c r="Q2343">
        <v>2</v>
      </c>
      <c r="R2343" t="s">
        <v>257</v>
      </c>
      <c r="S2343" t="s">
        <v>28</v>
      </c>
      <c r="T2343" t="str">
        <f>VLOOKUP(S2343,'Mapa Oficinas'!$H$7:$I$16,2,FALSE)</f>
        <v>CB</v>
      </c>
      <c r="U2343" t="s">
        <v>29</v>
      </c>
      <c r="V2343" t="str">
        <f>VLOOKUP($R2343,'Mapa Oficinas'!$A$7:$C$46,2,FALSE)</f>
        <v>Zona Norte (GBA)</v>
      </c>
      <c r="W2343" t="str">
        <f>VLOOKUP($R2343,'Mapa Oficinas'!$A$7:$C$46,3,FALSE)</f>
        <v>Pilar</v>
      </c>
    </row>
    <row r="2344" spans="1:23" x14ac:dyDescent="0.2">
      <c r="A2344" s="1">
        <v>46087</v>
      </c>
      <c r="B2344" s="20">
        <f t="shared" si="72"/>
        <v>2026</v>
      </c>
      <c r="C2344" s="20">
        <f t="shared" si="73"/>
        <v>3</v>
      </c>
      <c r="D2344" t="s">
        <v>7014</v>
      </c>
      <c r="E2344" s="49">
        <v>1</v>
      </c>
      <c r="F2344" t="s">
        <v>7015</v>
      </c>
      <c r="G2344" t="s">
        <v>21</v>
      </c>
      <c r="H2344" t="s">
        <v>37</v>
      </c>
      <c r="I2344" s="13">
        <v>240000</v>
      </c>
      <c r="J2344" s="13">
        <v>230000</v>
      </c>
      <c r="K2344" s="13">
        <f>IF(J2344&lt;'Mapa Oficinas'!$I$21,0,IF(J2344&gt;'Mapa Oficinas'!$I$20,0,1))</f>
        <v>1</v>
      </c>
      <c r="L2344" t="s">
        <v>23</v>
      </c>
      <c r="M2344" t="s">
        <v>23</v>
      </c>
      <c r="N2344" t="s">
        <v>7016</v>
      </c>
      <c r="O2344" t="s">
        <v>456</v>
      </c>
      <c r="P2344" t="s">
        <v>61</v>
      </c>
      <c r="Q2344">
        <v>2</v>
      </c>
      <c r="R2344" t="s">
        <v>142</v>
      </c>
      <c r="S2344" t="s">
        <v>28</v>
      </c>
      <c r="T2344" t="str">
        <f>VLOOKUP(S2344,'Mapa Oficinas'!$H$7:$I$16,2,FALSE)</f>
        <v>CB</v>
      </c>
      <c r="U2344" t="s">
        <v>29</v>
      </c>
      <c r="V2344" t="str">
        <f>VLOOKUP($R2344,'Mapa Oficinas'!$A$7:$C$46,2,FALSE)</f>
        <v>CABA</v>
      </c>
      <c r="W2344" t="str">
        <f>VLOOKUP($R2344,'Mapa Oficinas'!$A$7:$C$46,3,FALSE)</f>
        <v>Palermo</v>
      </c>
    </row>
    <row r="2345" spans="1:23" x14ac:dyDescent="0.2">
      <c r="A2345" s="1">
        <v>46100</v>
      </c>
      <c r="B2345" s="20">
        <f t="shared" si="72"/>
        <v>2026</v>
      </c>
      <c r="C2345" s="20">
        <f t="shared" si="73"/>
        <v>3</v>
      </c>
      <c r="D2345">
        <v>19032026</v>
      </c>
      <c r="E2345" s="49">
        <v>1</v>
      </c>
      <c r="F2345" t="s">
        <v>7330</v>
      </c>
      <c r="G2345" t="s">
        <v>21</v>
      </c>
      <c r="H2345" t="s">
        <v>100</v>
      </c>
      <c r="I2345" s="13">
        <v>231446</v>
      </c>
      <c r="J2345" s="13">
        <v>231446</v>
      </c>
      <c r="K2345" s="13">
        <f>IF(J2345&lt;'Mapa Oficinas'!$I$21,0,IF(J2345&gt;'Mapa Oficinas'!$I$20,0,1))</f>
        <v>1</v>
      </c>
      <c r="L2345" t="s">
        <v>23</v>
      </c>
      <c r="M2345" t="s">
        <v>23</v>
      </c>
      <c r="N2345" t="s">
        <v>7331</v>
      </c>
      <c r="O2345" t="s">
        <v>120</v>
      </c>
      <c r="P2345" t="s">
        <v>45</v>
      </c>
      <c r="Q2345">
        <v>2</v>
      </c>
      <c r="R2345" t="s">
        <v>121</v>
      </c>
      <c r="S2345" t="s">
        <v>28</v>
      </c>
      <c r="T2345" t="str">
        <f>VLOOKUP(S2345,'Mapa Oficinas'!$H$7:$I$16,2,FALSE)</f>
        <v>CB</v>
      </c>
      <c r="U2345" t="s">
        <v>29</v>
      </c>
      <c r="V2345" t="str">
        <f>VLOOKUP($R2345,'Mapa Oficinas'!$A$7:$C$46,2,FALSE)</f>
        <v>Interior - Río Negro</v>
      </c>
      <c r="W2345" t="str">
        <f>VLOOKUP($R2345,'Mapa Oficinas'!$A$7:$C$46,3,FALSE)</f>
        <v>Bariloche</v>
      </c>
    </row>
    <row r="2346" spans="1:23" x14ac:dyDescent="0.2">
      <c r="A2346" s="1">
        <v>45953</v>
      </c>
      <c r="B2346" s="20">
        <f t="shared" si="72"/>
        <v>2025</v>
      </c>
      <c r="C2346" s="20">
        <f t="shared" si="73"/>
        <v>10</v>
      </c>
      <c r="E2346" s="49">
        <v>1</v>
      </c>
      <c r="F2346" t="s">
        <v>4881</v>
      </c>
      <c r="G2346" t="s">
        <v>21</v>
      </c>
      <c r="H2346" t="s">
        <v>119</v>
      </c>
      <c r="I2346" s="13">
        <v>235000</v>
      </c>
      <c r="J2346" s="13">
        <v>235000</v>
      </c>
      <c r="K2346" s="13">
        <f>IF(J2346&lt;'Mapa Oficinas'!$I$21,0,IF(J2346&gt;'Mapa Oficinas'!$I$20,0,1))</f>
        <v>1</v>
      </c>
      <c r="L2346" t="s">
        <v>23</v>
      </c>
      <c r="M2346" t="s">
        <v>23</v>
      </c>
      <c r="N2346" t="s">
        <v>4882</v>
      </c>
      <c r="O2346" t="s">
        <v>240</v>
      </c>
      <c r="P2346" t="s">
        <v>26</v>
      </c>
      <c r="Q2346">
        <v>1</v>
      </c>
      <c r="R2346" t="s">
        <v>84</v>
      </c>
      <c r="S2346" t="s">
        <v>122</v>
      </c>
      <c r="T2346" t="str">
        <f>VLOOKUP(S2346,'Mapa Oficinas'!$H$7:$I$16,2,FALSE)</f>
        <v>Otra Red Búsqueda</v>
      </c>
      <c r="U2346" t="s">
        <v>29</v>
      </c>
      <c r="V2346" t="str">
        <f>VLOOKUP($R2346,'Mapa Oficinas'!$A$7:$C$46,2,FALSE)</f>
        <v>Interior - Neuquén</v>
      </c>
      <c r="W2346" t="str">
        <f>VLOOKUP($R2346,'Mapa Oficinas'!$A$7:$C$46,3,FALSE)</f>
        <v>Villa La Angostura</v>
      </c>
    </row>
    <row r="2347" spans="1:23" x14ac:dyDescent="0.2">
      <c r="A2347" s="1">
        <v>46041</v>
      </c>
      <c r="B2347" s="20">
        <f t="shared" si="72"/>
        <v>2026</v>
      </c>
      <c r="C2347" s="20">
        <f t="shared" si="73"/>
        <v>1</v>
      </c>
      <c r="D2347" t="s">
        <v>6312</v>
      </c>
      <c r="E2347" s="49">
        <v>1</v>
      </c>
      <c r="F2347" t="s">
        <v>6312</v>
      </c>
      <c r="G2347" t="s">
        <v>21</v>
      </c>
      <c r="H2347" t="s">
        <v>37</v>
      </c>
      <c r="I2347" s="13">
        <v>235000</v>
      </c>
      <c r="J2347" s="13">
        <v>235000</v>
      </c>
      <c r="K2347" s="13">
        <f>IF(J2347&lt;'Mapa Oficinas'!$I$21,0,IF(J2347&gt;'Mapa Oficinas'!$I$20,0,1))</f>
        <v>1</v>
      </c>
      <c r="L2347" t="s">
        <v>23</v>
      </c>
      <c r="M2347" t="s">
        <v>23</v>
      </c>
      <c r="O2347" t="s">
        <v>1190</v>
      </c>
      <c r="P2347" t="s">
        <v>34</v>
      </c>
      <c r="Q2347">
        <v>1</v>
      </c>
      <c r="R2347" t="s">
        <v>183</v>
      </c>
      <c r="S2347" t="s">
        <v>122</v>
      </c>
      <c r="T2347" t="str">
        <f>VLOOKUP(S2347,'Mapa Oficinas'!$H$7:$I$16,2,FALSE)</f>
        <v>Otra Red Búsqueda</v>
      </c>
      <c r="U2347" t="s">
        <v>29</v>
      </c>
      <c r="V2347" t="str">
        <f>VLOOKUP($R2347,'Mapa Oficinas'!$A$7:$C$46,2,FALSE)</f>
        <v>Interior - Neuquén</v>
      </c>
      <c r="W2347" t="str">
        <f>VLOOKUP($R2347,'Mapa Oficinas'!$A$7:$C$46,3,FALSE)</f>
        <v>Capital Neuquén</v>
      </c>
    </row>
    <row r="2348" spans="1:23" x14ac:dyDescent="0.2">
      <c r="A2348" s="1">
        <v>45992</v>
      </c>
      <c r="B2348" s="20">
        <f t="shared" si="72"/>
        <v>2025</v>
      </c>
      <c r="C2348" s="20">
        <f t="shared" si="73"/>
        <v>12</v>
      </c>
      <c r="D2348" t="s">
        <v>5577</v>
      </c>
      <c r="E2348" s="49">
        <v>1</v>
      </c>
      <c r="F2348" t="s">
        <v>5578</v>
      </c>
      <c r="G2348" t="s">
        <v>21</v>
      </c>
      <c r="H2348" t="s">
        <v>90</v>
      </c>
      <c r="I2348" s="13">
        <v>249500</v>
      </c>
      <c r="J2348" s="13">
        <v>235000</v>
      </c>
      <c r="K2348" s="13">
        <f>IF(J2348&lt;'Mapa Oficinas'!$I$21,0,IF(J2348&gt;'Mapa Oficinas'!$I$20,0,1))</f>
        <v>1</v>
      </c>
      <c r="L2348" t="s">
        <v>23</v>
      </c>
      <c r="M2348" t="s">
        <v>23</v>
      </c>
      <c r="N2348" t="s">
        <v>5579</v>
      </c>
      <c r="O2348" t="s">
        <v>519</v>
      </c>
      <c r="P2348" t="s">
        <v>45</v>
      </c>
      <c r="Q2348">
        <v>2</v>
      </c>
      <c r="R2348" t="s">
        <v>670</v>
      </c>
      <c r="S2348" t="s">
        <v>79</v>
      </c>
      <c r="T2348" t="str">
        <f>VLOOKUP(S2348,'Mapa Oficinas'!$H$7:$I$16,2,FALSE)</f>
        <v>CB</v>
      </c>
      <c r="U2348" t="s">
        <v>29</v>
      </c>
      <c r="V2348" t="str">
        <f>VLOOKUP($R2348,'Mapa Oficinas'!$A$7:$C$46,2,FALSE)</f>
        <v>CABA</v>
      </c>
      <c r="W2348" t="str">
        <f>VLOOKUP($R2348,'Mapa Oficinas'!$A$7:$C$46,3,FALSE)</f>
        <v>Recoleta</v>
      </c>
    </row>
    <row r="2349" spans="1:23" x14ac:dyDescent="0.2">
      <c r="A2349" s="1">
        <v>45944</v>
      </c>
      <c r="B2349" s="20">
        <f t="shared" si="72"/>
        <v>2025</v>
      </c>
      <c r="C2349" s="20">
        <f t="shared" si="73"/>
        <v>10</v>
      </c>
      <c r="D2349" t="s">
        <v>4685</v>
      </c>
      <c r="E2349" s="49">
        <v>1</v>
      </c>
      <c r="F2349" t="s">
        <v>4686</v>
      </c>
      <c r="G2349" t="s">
        <v>21</v>
      </c>
      <c r="H2349" t="s">
        <v>37</v>
      </c>
      <c r="I2349" s="13">
        <v>235000</v>
      </c>
      <c r="J2349" s="13">
        <v>235000</v>
      </c>
      <c r="K2349" s="13">
        <f>IF(J2349&lt;'Mapa Oficinas'!$I$21,0,IF(J2349&gt;'Mapa Oficinas'!$I$20,0,1))</f>
        <v>1</v>
      </c>
      <c r="L2349" t="s">
        <v>23</v>
      </c>
      <c r="M2349" t="s">
        <v>23</v>
      </c>
      <c r="N2349" t="s">
        <v>4687</v>
      </c>
      <c r="O2349" t="s">
        <v>174</v>
      </c>
      <c r="P2349" t="s">
        <v>45</v>
      </c>
      <c r="Q2349">
        <v>1</v>
      </c>
      <c r="R2349" t="s">
        <v>4688</v>
      </c>
      <c r="S2349" t="s">
        <v>47</v>
      </c>
      <c r="T2349" t="str">
        <f>VLOOKUP(S2349,'Mapa Oficinas'!$H$7:$I$16,2,FALSE)</f>
        <v>Otra Red Búsqueda</v>
      </c>
      <c r="U2349" t="s">
        <v>29</v>
      </c>
      <c r="V2349" t="str">
        <f>VLOOKUP($R2349,'Mapa Oficinas'!$A$7:$C$46,2,FALSE)</f>
        <v>Zona Norte (GBA)</v>
      </c>
      <c r="W2349" t="str">
        <f>VLOOKUP($R2349,'Mapa Oficinas'!$A$7:$C$46,3,FALSE)</f>
        <v>San Isidro</v>
      </c>
    </row>
    <row r="2350" spans="1:23" x14ac:dyDescent="0.2">
      <c r="A2350" s="1">
        <v>46078</v>
      </c>
      <c r="B2350" s="20">
        <f t="shared" si="72"/>
        <v>2026</v>
      </c>
      <c r="C2350" s="20">
        <f t="shared" si="73"/>
        <v>2</v>
      </c>
      <c r="D2350" t="s">
        <v>6851</v>
      </c>
      <c r="E2350" s="49">
        <v>1</v>
      </c>
      <c r="F2350" t="s">
        <v>6852</v>
      </c>
      <c r="G2350" t="s">
        <v>21</v>
      </c>
      <c r="H2350" t="s">
        <v>37</v>
      </c>
      <c r="I2350" s="13">
        <v>235000</v>
      </c>
      <c r="J2350" s="13">
        <v>235000</v>
      </c>
      <c r="K2350" s="13">
        <f>IF(J2350&lt;'Mapa Oficinas'!$I$21,0,IF(J2350&gt;'Mapa Oficinas'!$I$20,0,1))</f>
        <v>1</v>
      </c>
      <c r="L2350" t="s">
        <v>23</v>
      </c>
      <c r="M2350" t="s">
        <v>23</v>
      </c>
      <c r="N2350" t="s">
        <v>6853</v>
      </c>
      <c r="O2350" t="s">
        <v>66</v>
      </c>
      <c r="P2350" t="s">
        <v>45</v>
      </c>
      <c r="Q2350">
        <v>1</v>
      </c>
      <c r="R2350" t="s">
        <v>110</v>
      </c>
      <c r="S2350" t="s">
        <v>47</v>
      </c>
      <c r="T2350" t="str">
        <f>VLOOKUP(S2350,'Mapa Oficinas'!$H$7:$I$16,2,FALSE)</f>
        <v>Otra Red Búsqueda</v>
      </c>
      <c r="U2350" t="s">
        <v>29</v>
      </c>
      <c r="V2350" t="str">
        <f>VLOOKUP($R2350,'Mapa Oficinas'!$A$7:$C$46,2,FALSE)</f>
        <v>Zona Norte (GBA)</v>
      </c>
      <c r="W2350" t="str">
        <f>VLOOKUP($R2350,'Mapa Oficinas'!$A$7:$C$46,3,FALSE)</f>
        <v>Nordelta</v>
      </c>
    </row>
    <row r="2351" spans="1:23" x14ac:dyDescent="0.2">
      <c r="A2351" s="1">
        <v>46079</v>
      </c>
      <c r="B2351" s="20">
        <f t="shared" si="72"/>
        <v>2026</v>
      </c>
      <c r="C2351" s="20">
        <f t="shared" si="73"/>
        <v>2</v>
      </c>
      <c r="D2351" t="s">
        <v>6868</v>
      </c>
      <c r="E2351" s="49">
        <v>3</v>
      </c>
      <c r="F2351" t="s">
        <v>6869</v>
      </c>
      <c r="G2351" t="s">
        <v>21</v>
      </c>
      <c r="H2351" t="s">
        <v>76</v>
      </c>
      <c r="I2351" s="13">
        <v>240000</v>
      </c>
      <c r="J2351" s="13">
        <v>235000</v>
      </c>
      <c r="K2351" s="13">
        <f>IF(J2351&lt;'Mapa Oficinas'!$I$21,0,IF(J2351&gt;'Mapa Oficinas'!$I$20,0,1))</f>
        <v>1</v>
      </c>
      <c r="L2351" t="s">
        <v>23</v>
      </c>
      <c r="M2351" t="s">
        <v>23</v>
      </c>
      <c r="N2351" t="s">
        <v>6870</v>
      </c>
      <c r="O2351" t="s">
        <v>2227</v>
      </c>
      <c r="P2351" t="s">
        <v>34</v>
      </c>
      <c r="Q2351">
        <v>2</v>
      </c>
      <c r="R2351" t="s">
        <v>257</v>
      </c>
      <c r="S2351" t="s">
        <v>241</v>
      </c>
      <c r="T2351" t="str">
        <f>VLOOKUP(S2351,'Mapa Oficinas'!$H$7:$I$16,2,FALSE)</f>
        <v>CB</v>
      </c>
      <c r="U2351" t="s">
        <v>29</v>
      </c>
      <c r="V2351" t="str">
        <f>VLOOKUP($R2351,'Mapa Oficinas'!$A$7:$C$46,2,FALSE)</f>
        <v>Zona Norte (GBA)</v>
      </c>
      <c r="W2351" t="str">
        <f>VLOOKUP($R2351,'Mapa Oficinas'!$A$7:$C$46,3,FALSE)</f>
        <v>Pilar</v>
      </c>
    </row>
    <row r="2352" spans="1:23" x14ac:dyDescent="0.2">
      <c r="A2352" s="1">
        <v>45842</v>
      </c>
      <c r="B2352" s="20">
        <f t="shared" si="72"/>
        <v>2025</v>
      </c>
      <c r="C2352" s="20">
        <f t="shared" si="73"/>
        <v>7</v>
      </c>
      <c r="D2352" t="s">
        <v>2889</v>
      </c>
      <c r="E2352" s="49">
        <v>1</v>
      </c>
      <c r="F2352" t="s">
        <v>2890</v>
      </c>
      <c r="G2352" t="s">
        <v>21</v>
      </c>
      <c r="H2352" t="s">
        <v>37</v>
      </c>
      <c r="I2352" s="13">
        <v>235000</v>
      </c>
      <c r="J2352" s="13">
        <v>235000</v>
      </c>
      <c r="K2352" s="13">
        <f>IF(J2352&lt;'Mapa Oficinas'!$I$21,0,IF(J2352&gt;'Mapa Oficinas'!$I$20,0,1))</f>
        <v>1</v>
      </c>
      <c r="L2352" t="s">
        <v>23</v>
      </c>
      <c r="M2352" t="s">
        <v>23</v>
      </c>
      <c r="N2352" t="s">
        <v>2891</v>
      </c>
      <c r="O2352" t="s">
        <v>66</v>
      </c>
      <c r="P2352" t="s">
        <v>45</v>
      </c>
      <c r="Q2352">
        <v>2</v>
      </c>
      <c r="R2352" t="s">
        <v>56</v>
      </c>
      <c r="S2352" t="s">
        <v>28</v>
      </c>
      <c r="T2352" t="str">
        <f>VLOOKUP(S2352,'Mapa Oficinas'!$H$7:$I$16,2,FALSE)</f>
        <v>CB</v>
      </c>
      <c r="U2352" t="s">
        <v>29</v>
      </c>
      <c r="V2352" t="str">
        <f>VLOOKUP($R2352,'Mapa Oficinas'!$A$7:$C$46,2,FALSE)</f>
        <v>Zona Norte (GBA)</v>
      </c>
      <c r="W2352" t="str">
        <f>VLOOKUP($R2352,'Mapa Oficinas'!$A$7:$C$46,3,FALSE)</f>
        <v>Vicente López</v>
      </c>
    </row>
    <row r="2353" spans="1:23" x14ac:dyDescent="0.2">
      <c r="A2353" s="1">
        <v>45971</v>
      </c>
      <c r="B2353" s="20">
        <f t="shared" si="72"/>
        <v>2025</v>
      </c>
      <c r="C2353" s="20">
        <f t="shared" si="73"/>
        <v>11</v>
      </c>
      <c r="D2353" t="s">
        <v>5122</v>
      </c>
      <c r="E2353" s="49">
        <v>1</v>
      </c>
      <c r="F2353" t="s">
        <v>5123</v>
      </c>
      <c r="G2353" t="s">
        <v>21</v>
      </c>
      <c r="H2353" t="s">
        <v>22</v>
      </c>
      <c r="I2353" s="13">
        <v>98000</v>
      </c>
      <c r="J2353" s="13">
        <v>235000</v>
      </c>
      <c r="K2353" s="13">
        <f>IF(J2353&lt;'Mapa Oficinas'!$I$21,0,IF(J2353&gt;'Mapa Oficinas'!$I$20,0,1))</f>
        <v>1</v>
      </c>
      <c r="L2353" t="s">
        <v>23</v>
      </c>
      <c r="M2353" t="s">
        <v>23</v>
      </c>
      <c r="N2353" t="s">
        <v>5124</v>
      </c>
      <c r="O2353" t="s">
        <v>92</v>
      </c>
      <c r="P2353" t="s">
        <v>45</v>
      </c>
      <c r="Q2353">
        <v>2</v>
      </c>
      <c r="R2353" t="s">
        <v>62</v>
      </c>
      <c r="S2353" t="s">
        <v>28</v>
      </c>
      <c r="T2353" t="str">
        <f>VLOOKUP(S2353,'Mapa Oficinas'!$H$7:$I$16,2,FALSE)</f>
        <v>CB</v>
      </c>
      <c r="U2353" t="s">
        <v>29</v>
      </c>
      <c r="V2353" t="str">
        <f>VLOOKUP($R2353,'Mapa Oficinas'!$A$7:$C$46,2,FALSE)</f>
        <v>CABA</v>
      </c>
      <c r="W2353" t="str">
        <f>VLOOKUP($R2353,'Mapa Oficinas'!$A$7:$C$46,3,FALSE)</f>
        <v>Villa Urquiza</v>
      </c>
    </row>
    <row r="2354" spans="1:23" x14ac:dyDescent="0.2">
      <c r="A2354" s="1">
        <v>46003</v>
      </c>
      <c r="B2354" s="20">
        <f t="shared" si="72"/>
        <v>2025</v>
      </c>
      <c r="C2354" s="20">
        <f t="shared" si="73"/>
        <v>12</v>
      </c>
      <c r="D2354" t="s">
        <v>5763</v>
      </c>
      <c r="E2354" s="49">
        <v>1</v>
      </c>
      <c r="F2354" t="s">
        <v>5764</v>
      </c>
      <c r="G2354" t="s">
        <v>21</v>
      </c>
      <c r="H2354" t="s">
        <v>37</v>
      </c>
      <c r="I2354" s="13">
        <v>245000</v>
      </c>
      <c r="J2354" s="13">
        <v>235000</v>
      </c>
      <c r="K2354" s="13">
        <f>IF(J2354&lt;'Mapa Oficinas'!$I$21,0,IF(J2354&gt;'Mapa Oficinas'!$I$20,0,1))</f>
        <v>1</v>
      </c>
      <c r="L2354" t="s">
        <v>23</v>
      </c>
      <c r="M2354" t="s">
        <v>23</v>
      </c>
      <c r="N2354" t="s">
        <v>5765</v>
      </c>
      <c r="O2354" t="s">
        <v>190</v>
      </c>
      <c r="P2354" t="s">
        <v>45</v>
      </c>
      <c r="Q2354">
        <v>2</v>
      </c>
      <c r="R2354" t="s">
        <v>56</v>
      </c>
      <c r="S2354" t="s">
        <v>28</v>
      </c>
      <c r="T2354" t="str">
        <f>VLOOKUP(S2354,'Mapa Oficinas'!$H$7:$I$16,2,FALSE)</f>
        <v>CB</v>
      </c>
      <c r="U2354" t="s">
        <v>29</v>
      </c>
      <c r="V2354" t="str">
        <f>VLOOKUP($R2354,'Mapa Oficinas'!$A$7:$C$46,2,FALSE)</f>
        <v>Zona Norte (GBA)</v>
      </c>
      <c r="W2354" t="str">
        <f>VLOOKUP($R2354,'Mapa Oficinas'!$A$7:$C$46,3,FALSE)</f>
        <v>Vicente López</v>
      </c>
    </row>
    <row r="2355" spans="1:23" x14ac:dyDescent="0.2">
      <c r="A2355" s="1">
        <v>46059</v>
      </c>
      <c r="B2355" s="20">
        <f t="shared" si="72"/>
        <v>2026</v>
      </c>
      <c r="C2355" s="20">
        <f t="shared" si="73"/>
        <v>2</v>
      </c>
      <c r="D2355" t="s">
        <v>6578</v>
      </c>
      <c r="E2355" s="49">
        <v>1</v>
      </c>
      <c r="F2355" t="s">
        <v>6579</v>
      </c>
      <c r="G2355" t="s">
        <v>21</v>
      </c>
      <c r="H2355" t="s">
        <v>37</v>
      </c>
      <c r="I2355" s="13">
        <v>235000</v>
      </c>
      <c r="J2355" s="13">
        <v>235000</v>
      </c>
      <c r="K2355" s="13">
        <f>IF(J2355&lt;'Mapa Oficinas'!$I$21,0,IF(J2355&gt;'Mapa Oficinas'!$I$20,0,1))</f>
        <v>1</v>
      </c>
      <c r="L2355" t="s">
        <v>23</v>
      </c>
      <c r="M2355" t="s">
        <v>23</v>
      </c>
      <c r="N2355" t="s">
        <v>6580</v>
      </c>
      <c r="O2355" t="s">
        <v>4153</v>
      </c>
      <c r="P2355" t="s">
        <v>34</v>
      </c>
      <c r="Q2355">
        <v>2</v>
      </c>
      <c r="R2355" t="s">
        <v>151</v>
      </c>
      <c r="S2355" t="s">
        <v>28</v>
      </c>
      <c r="T2355" t="str">
        <f>VLOOKUP(S2355,'Mapa Oficinas'!$H$7:$I$16,2,FALSE)</f>
        <v>CB</v>
      </c>
      <c r="U2355" t="s">
        <v>29</v>
      </c>
      <c r="V2355" t="str">
        <f>VLOOKUP($R2355,'Mapa Oficinas'!$A$7:$C$46,2,FALSE)</f>
        <v>Interior - Mendoza</v>
      </c>
      <c r="W2355" t="str">
        <f>VLOOKUP($R2355,'Mapa Oficinas'!$A$7:$C$46,3,FALSE)</f>
        <v>Capital Mendoza</v>
      </c>
    </row>
    <row r="2356" spans="1:23" x14ac:dyDescent="0.2">
      <c r="A2356" s="1">
        <v>45772</v>
      </c>
      <c r="B2356" s="20">
        <f t="shared" si="72"/>
        <v>2025</v>
      </c>
      <c r="C2356" s="20">
        <f t="shared" si="73"/>
        <v>4</v>
      </c>
      <c r="D2356" t="s">
        <v>1638</v>
      </c>
      <c r="E2356" s="49">
        <v>1</v>
      </c>
      <c r="F2356" t="s">
        <v>1639</v>
      </c>
      <c r="G2356" t="s">
        <v>21</v>
      </c>
      <c r="H2356" t="s">
        <v>37</v>
      </c>
      <c r="I2356" s="13">
        <v>250000</v>
      </c>
      <c r="J2356" s="13">
        <v>236000</v>
      </c>
      <c r="K2356" s="13">
        <f>IF(J2356&lt;'Mapa Oficinas'!$I$21,0,IF(J2356&gt;'Mapa Oficinas'!$I$20,0,1))</f>
        <v>1</v>
      </c>
      <c r="L2356" t="s">
        <v>23</v>
      </c>
      <c r="M2356" t="s">
        <v>23</v>
      </c>
      <c r="N2356" t="s">
        <v>1640</v>
      </c>
      <c r="O2356" t="s">
        <v>329</v>
      </c>
      <c r="P2356" t="s">
        <v>26</v>
      </c>
      <c r="Q2356">
        <v>2</v>
      </c>
      <c r="R2356" t="s">
        <v>183</v>
      </c>
      <c r="S2356" t="s">
        <v>28</v>
      </c>
      <c r="T2356" t="str">
        <f>VLOOKUP(S2356,'Mapa Oficinas'!$H$7:$I$16,2,FALSE)</f>
        <v>CB</v>
      </c>
      <c r="U2356" t="s">
        <v>29</v>
      </c>
      <c r="V2356" t="str">
        <f>VLOOKUP($R2356,'Mapa Oficinas'!$A$7:$C$46,2,FALSE)</f>
        <v>Interior - Neuquén</v>
      </c>
      <c r="W2356" t="str">
        <f>VLOOKUP($R2356,'Mapa Oficinas'!$A$7:$C$46,3,FALSE)</f>
        <v>Capital Neuquén</v>
      </c>
    </row>
    <row r="2357" spans="1:23" x14ac:dyDescent="0.2">
      <c r="A2357" s="1">
        <v>45922</v>
      </c>
      <c r="B2357" s="20">
        <f t="shared" si="72"/>
        <v>2025</v>
      </c>
      <c r="C2357" s="20">
        <f t="shared" si="73"/>
        <v>9</v>
      </c>
      <c r="D2357" t="s">
        <v>4275</v>
      </c>
      <c r="E2357" s="49">
        <v>1</v>
      </c>
      <c r="F2357" t="s">
        <v>4276</v>
      </c>
      <c r="G2357" t="s">
        <v>21</v>
      </c>
      <c r="H2357" t="s">
        <v>37</v>
      </c>
      <c r="I2357" s="13">
        <v>237000</v>
      </c>
      <c r="J2357" s="13">
        <v>237000</v>
      </c>
      <c r="K2357" s="13">
        <f>IF(J2357&lt;'Mapa Oficinas'!$I$21,0,IF(J2357&gt;'Mapa Oficinas'!$I$20,0,1))</f>
        <v>1</v>
      </c>
      <c r="L2357" t="s">
        <v>23</v>
      </c>
      <c r="M2357" t="s">
        <v>23</v>
      </c>
      <c r="O2357" t="s">
        <v>199</v>
      </c>
      <c r="P2357" t="s">
        <v>45</v>
      </c>
      <c r="Q2357">
        <v>1</v>
      </c>
      <c r="R2357" t="s">
        <v>46</v>
      </c>
      <c r="S2357" t="s">
        <v>47</v>
      </c>
      <c r="T2357" t="str">
        <f>VLOOKUP(S2357,'Mapa Oficinas'!$H$7:$I$16,2,FALSE)</f>
        <v>Otra Red Búsqueda</v>
      </c>
      <c r="U2357" t="s">
        <v>29</v>
      </c>
      <c r="V2357" t="str">
        <f>VLOOKUP($R2357,'Mapa Oficinas'!$A$7:$C$46,2,FALSE)</f>
        <v>CABA</v>
      </c>
      <c r="W2357" t="str">
        <f>VLOOKUP($R2357,'Mapa Oficinas'!$A$7:$C$46,3,FALSE)</f>
        <v>Palermo</v>
      </c>
    </row>
    <row r="2358" spans="1:23" x14ac:dyDescent="0.2">
      <c r="A2358" s="1">
        <v>45785</v>
      </c>
      <c r="B2358" s="20">
        <f t="shared" si="72"/>
        <v>2025</v>
      </c>
      <c r="C2358" s="20">
        <f t="shared" si="73"/>
        <v>5</v>
      </c>
      <c r="D2358" t="s">
        <v>1831</v>
      </c>
      <c r="E2358" s="49">
        <v>1</v>
      </c>
      <c r="F2358" t="s">
        <v>1832</v>
      </c>
      <c r="G2358" t="s">
        <v>21</v>
      </c>
      <c r="H2358" t="s">
        <v>100</v>
      </c>
      <c r="I2358" s="13">
        <v>240000</v>
      </c>
      <c r="J2358" s="13">
        <v>237000</v>
      </c>
      <c r="K2358" s="13">
        <f>IF(J2358&lt;'Mapa Oficinas'!$I$21,0,IF(J2358&gt;'Mapa Oficinas'!$I$20,0,1))</f>
        <v>1</v>
      </c>
      <c r="L2358" t="s">
        <v>23</v>
      </c>
      <c r="M2358" t="s">
        <v>23</v>
      </c>
      <c r="N2358" t="s">
        <v>1833</v>
      </c>
      <c r="O2358" t="s">
        <v>1834</v>
      </c>
      <c r="P2358" t="s">
        <v>34</v>
      </c>
      <c r="Q2358">
        <v>2</v>
      </c>
      <c r="R2358" t="s">
        <v>103</v>
      </c>
      <c r="S2358" t="s">
        <v>28</v>
      </c>
      <c r="T2358" t="str">
        <f>VLOOKUP(S2358,'Mapa Oficinas'!$H$7:$I$16,2,FALSE)</f>
        <v>CB</v>
      </c>
      <c r="U2358" t="s">
        <v>29</v>
      </c>
      <c r="V2358" t="str">
        <f>VLOOKUP($R2358,'Mapa Oficinas'!$A$7:$C$46,2,FALSE)</f>
        <v>Zona Sur (GBA)</v>
      </c>
      <c r="W2358" t="str">
        <f>VLOOKUP($R2358,'Mapa Oficinas'!$A$7:$C$46,3,FALSE)</f>
        <v>La Plata</v>
      </c>
    </row>
    <row r="2359" spans="1:23" x14ac:dyDescent="0.2">
      <c r="A2359" s="1">
        <v>45867</v>
      </c>
      <c r="B2359" s="20">
        <f t="shared" si="72"/>
        <v>2025</v>
      </c>
      <c r="C2359" s="20">
        <f t="shared" si="73"/>
        <v>7</v>
      </c>
      <c r="D2359" t="s">
        <v>3292</v>
      </c>
      <c r="E2359" s="49">
        <v>1</v>
      </c>
      <c r="F2359" t="s">
        <v>3293</v>
      </c>
      <c r="G2359" t="s">
        <v>21</v>
      </c>
      <c r="H2359" t="s">
        <v>37</v>
      </c>
      <c r="I2359" s="13">
        <v>280000</v>
      </c>
      <c r="J2359" s="13">
        <v>238000</v>
      </c>
      <c r="K2359" s="13">
        <f>IF(J2359&lt;'Mapa Oficinas'!$I$21,0,IF(J2359&gt;'Mapa Oficinas'!$I$20,0,1))</f>
        <v>1</v>
      </c>
      <c r="L2359" t="s">
        <v>23</v>
      </c>
      <c r="M2359" t="s">
        <v>23</v>
      </c>
      <c r="N2359" t="s">
        <v>3294</v>
      </c>
      <c r="O2359" t="s">
        <v>2793</v>
      </c>
      <c r="P2359" t="s">
        <v>34</v>
      </c>
      <c r="Q2359">
        <v>1</v>
      </c>
      <c r="R2359" t="s">
        <v>110</v>
      </c>
      <c r="S2359" t="s">
        <v>47</v>
      </c>
      <c r="T2359" t="str">
        <f>VLOOKUP(S2359,'Mapa Oficinas'!$H$7:$I$16,2,FALSE)</f>
        <v>Otra Red Búsqueda</v>
      </c>
      <c r="U2359" t="s">
        <v>29</v>
      </c>
      <c r="V2359" t="str">
        <f>VLOOKUP($R2359,'Mapa Oficinas'!$A$7:$C$46,2,FALSE)</f>
        <v>Zona Norte (GBA)</v>
      </c>
      <c r="W2359" t="str">
        <f>VLOOKUP($R2359,'Mapa Oficinas'!$A$7:$C$46,3,FALSE)</f>
        <v>Nordelta</v>
      </c>
    </row>
    <row r="2360" spans="1:23" x14ac:dyDescent="0.2">
      <c r="A2360" s="1">
        <v>46010</v>
      </c>
      <c r="B2360" s="20">
        <f t="shared" si="72"/>
        <v>2025</v>
      </c>
      <c r="C2360" s="20">
        <f t="shared" si="73"/>
        <v>12</v>
      </c>
      <c r="E2360" s="49">
        <v>1</v>
      </c>
      <c r="F2360" t="s">
        <v>5914</v>
      </c>
      <c r="G2360" t="s">
        <v>21</v>
      </c>
      <c r="H2360" t="s">
        <v>37</v>
      </c>
      <c r="I2360" s="13">
        <v>238000</v>
      </c>
      <c r="J2360" s="13">
        <v>238000</v>
      </c>
      <c r="K2360" s="13">
        <f>IF(J2360&lt;'Mapa Oficinas'!$I$21,0,IF(J2360&gt;'Mapa Oficinas'!$I$20,0,1))</f>
        <v>1</v>
      </c>
      <c r="L2360" t="s">
        <v>23</v>
      </c>
      <c r="M2360" t="s">
        <v>23</v>
      </c>
      <c r="N2360" t="s">
        <v>5915</v>
      </c>
      <c r="O2360" t="s">
        <v>66</v>
      </c>
      <c r="P2360" t="s">
        <v>45</v>
      </c>
      <c r="Q2360">
        <v>1</v>
      </c>
      <c r="R2360" t="s">
        <v>46</v>
      </c>
      <c r="S2360" t="s">
        <v>47</v>
      </c>
      <c r="T2360" t="str">
        <f>VLOOKUP(S2360,'Mapa Oficinas'!$H$7:$I$16,2,FALSE)</f>
        <v>Otra Red Búsqueda</v>
      </c>
      <c r="U2360" t="s">
        <v>29</v>
      </c>
      <c r="V2360" t="str">
        <f>VLOOKUP($R2360,'Mapa Oficinas'!$A$7:$C$46,2,FALSE)</f>
        <v>CABA</v>
      </c>
      <c r="W2360" t="str">
        <f>VLOOKUP($R2360,'Mapa Oficinas'!$A$7:$C$46,3,FALSE)</f>
        <v>Palermo</v>
      </c>
    </row>
    <row r="2361" spans="1:23" x14ac:dyDescent="0.2">
      <c r="A2361" s="1">
        <v>45729</v>
      </c>
      <c r="B2361" s="20">
        <f t="shared" si="72"/>
        <v>2025</v>
      </c>
      <c r="C2361" s="20">
        <f t="shared" si="73"/>
        <v>3</v>
      </c>
      <c r="D2361" t="s">
        <v>951</v>
      </c>
      <c r="E2361" s="49">
        <v>1</v>
      </c>
      <c r="F2361" t="s">
        <v>952</v>
      </c>
      <c r="G2361" t="s">
        <v>21</v>
      </c>
      <c r="H2361" t="s">
        <v>37</v>
      </c>
      <c r="I2361" s="13">
        <v>250000</v>
      </c>
      <c r="J2361" s="13">
        <v>238000</v>
      </c>
      <c r="K2361" s="13">
        <f>IF(J2361&lt;'Mapa Oficinas'!$I$21,0,IF(J2361&gt;'Mapa Oficinas'!$I$20,0,1))</f>
        <v>1</v>
      </c>
      <c r="L2361" t="s">
        <v>23</v>
      </c>
      <c r="M2361" t="s">
        <v>23</v>
      </c>
      <c r="N2361" t="s">
        <v>953</v>
      </c>
      <c r="O2361" t="s">
        <v>380</v>
      </c>
      <c r="P2361" t="s">
        <v>45</v>
      </c>
      <c r="Q2361">
        <v>2</v>
      </c>
      <c r="R2361" t="s">
        <v>110</v>
      </c>
      <c r="S2361" t="s">
        <v>28</v>
      </c>
      <c r="T2361" t="str">
        <f>VLOOKUP(S2361,'Mapa Oficinas'!$H$7:$I$16,2,FALSE)</f>
        <v>CB</v>
      </c>
      <c r="U2361" t="s">
        <v>29</v>
      </c>
      <c r="V2361" t="str">
        <f>VLOOKUP($R2361,'Mapa Oficinas'!$A$7:$C$46,2,FALSE)</f>
        <v>Zona Norte (GBA)</v>
      </c>
      <c r="W2361" t="str">
        <f>VLOOKUP($R2361,'Mapa Oficinas'!$A$7:$C$46,3,FALSE)</f>
        <v>Nordelta</v>
      </c>
    </row>
    <row r="2362" spans="1:23" x14ac:dyDescent="0.2">
      <c r="A2362" s="1">
        <v>45846</v>
      </c>
      <c r="B2362" s="20">
        <f t="shared" si="72"/>
        <v>2025</v>
      </c>
      <c r="C2362" s="20">
        <f t="shared" si="73"/>
        <v>7</v>
      </c>
      <c r="D2362">
        <v>10424</v>
      </c>
      <c r="E2362" s="49">
        <v>0</v>
      </c>
      <c r="F2362" t="s">
        <v>2938</v>
      </c>
      <c r="G2362" t="s">
        <v>21</v>
      </c>
      <c r="H2362" t="s">
        <v>230</v>
      </c>
      <c r="I2362" s="13">
        <v>0</v>
      </c>
      <c r="J2362" s="13">
        <v>238128</v>
      </c>
      <c r="K2362" s="13">
        <f>IF(J2362&lt;'Mapa Oficinas'!$I$21,0,IF(J2362&gt;'Mapa Oficinas'!$I$20,0,1))</f>
        <v>1</v>
      </c>
      <c r="L2362" t="s">
        <v>23</v>
      </c>
      <c r="M2362" t="s">
        <v>23</v>
      </c>
      <c r="N2362" t="s">
        <v>2938</v>
      </c>
      <c r="O2362" t="s">
        <v>837</v>
      </c>
      <c r="P2362" t="s">
        <v>45</v>
      </c>
      <c r="Q2362">
        <v>2</v>
      </c>
      <c r="R2362" t="s">
        <v>67</v>
      </c>
      <c r="S2362" t="s">
        <v>232</v>
      </c>
      <c r="T2362" t="str">
        <f>VLOOKUP(S2362,'Mapa Oficinas'!$H$7:$I$16,2,FALSE)</f>
        <v>CB</v>
      </c>
      <c r="U2362" t="s">
        <v>29</v>
      </c>
      <c r="V2362" t="str">
        <f>VLOOKUP($R2362,'Mapa Oficinas'!$A$7:$C$46,2,FALSE)</f>
        <v>CABA</v>
      </c>
      <c r="W2362" t="str">
        <f>VLOOKUP($R2362,'Mapa Oficinas'!$A$7:$C$46,3,FALSE)</f>
        <v>Barrio Parque</v>
      </c>
    </row>
    <row r="2363" spans="1:23" x14ac:dyDescent="0.2">
      <c r="A2363" s="1">
        <v>45845</v>
      </c>
      <c r="B2363" s="20">
        <f t="shared" si="72"/>
        <v>2025</v>
      </c>
      <c r="C2363" s="20">
        <f t="shared" si="73"/>
        <v>7</v>
      </c>
      <c r="D2363" t="s">
        <v>2910</v>
      </c>
      <c r="E2363" s="49">
        <v>1</v>
      </c>
      <c r="F2363" t="s">
        <v>2911</v>
      </c>
      <c r="G2363" t="s">
        <v>21</v>
      </c>
      <c r="H2363" t="s">
        <v>81</v>
      </c>
      <c r="I2363" s="13">
        <v>240000</v>
      </c>
      <c r="J2363" s="13">
        <v>238128</v>
      </c>
      <c r="K2363" s="13">
        <f>IF(J2363&lt;'Mapa Oficinas'!$I$21,0,IF(J2363&gt;'Mapa Oficinas'!$I$20,0,1))</f>
        <v>1</v>
      </c>
      <c r="L2363" t="s">
        <v>23</v>
      </c>
      <c r="M2363" t="s">
        <v>23</v>
      </c>
      <c r="N2363" t="s">
        <v>2912</v>
      </c>
      <c r="O2363" t="s">
        <v>837</v>
      </c>
      <c r="P2363" t="s">
        <v>45</v>
      </c>
      <c r="Q2363">
        <v>2</v>
      </c>
      <c r="R2363" t="s">
        <v>257</v>
      </c>
      <c r="S2363" t="s">
        <v>232</v>
      </c>
      <c r="T2363" t="str">
        <f>VLOOKUP(S2363,'Mapa Oficinas'!$H$7:$I$16,2,FALSE)</f>
        <v>CB</v>
      </c>
      <c r="U2363" t="s">
        <v>29</v>
      </c>
      <c r="V2363" t="str">
        <f>VLOOKUP($R2363,'Mapa Oficinas'!$A$7:$C$46,2,FALSE)</f>
        <v>Zona Norte (GBA)</v>
      </c>
      <c r="W2363" t="str">
        <f>VLOOKUP($R2363,'Mapa Oficinas'!$A$7:$C$46,3,FALSE)</f>
        <v>Pilar</v>
      </c>
    </row>
    <row r="2364" spans="1:23" x14ac:dyDescent="0.2">
      <c r="A2364" s="1">
        <v>46066</v>
      </c>
      <c r="B2364" s="20">
        <f t="shared" si="72"/>
        <v>2026</v>
      </c>
      <c r="C2364" s="20">
        <f t="shared" si="73"/>
        <v>2</v>
      </c>
      <c r="D2364" t="s">
        <v>6721</v>
      </c>
      <c r="E2364" s="49">
        <v>1</v>
      </c>
      <c r="F2364" t="s">
        <v>4396</v>
      </c>
      <c r="G2364" t="s">
        <v>21</v>
      </c>
      <c r="H2364" t="s">
        <v>81</v>
      </c>
      <c r="I2364" s="13">
        <v>240000</v>
      </c>
      <c r="J2364" s="13">
        <v>240000</v>
      </c>
      <c r="K2364" s="13">
        <f>IF(J2364&lt;'Mapa Oficinas'!$I$21,0,IF(J2364&gt;'Mapa Oficinas'!$I$20,0,1))</f>
        <v>1</v>
      </c>
      <c r="L2364" t="s">
        <v>23</v>
      </c>
      <c r="M2364" t="s">
        <v>23</v>
      </c>
      <c r="N2364" t="s">
        <v>6722</v>
      </c>
      <c r="O2364" t="s">
        <v>303</v>
      </c>
      <c r="P2364" t="s">
        <v>45</v>
      </c>
      <c r="Q2364">
        <v>2</v>
      </c>
      <c r="R2364" t="s">
        <v>183</v>
      </c>
      <c r="S2364" t="s">
        <v>79</v>
      </c>
      <c r="T2364" t="str">
        <f>VLOOKUP(S2364,'Mapa Oficinas'!$H$7:$I$16,2,FALSE)</f>
        <v>CB</v>
      </c>
      <c r="U2364" t="s">
        <v>29</v>
      </c>
      <c r="V2364" t="str">
        <f>VLOOKUP($R2364,'Mapa Oficinas'!$A$7:$C$46,2,FALSE)</f>
        <v>Interior - Neuquén</v>
      </c>
      <c r="W2364" t="str">
        <f>VLOOKUP($R2364,'Mapa Oficinas'!$A$7:$C$46,3,FALSE)</f>
        <v>Capital Neuquén</v>
      </c>
    </row>
    <row r="2365" spans="1:23" x14ac:dyDescent="0.2">
      <c r="A2365" s="1">
        <v>45856</v>
      </c>
      <c r="B2365" s="20">
        <f t="shared" si="72"/>
        <v>2025</v>
      </c>
      <c r="C2365" s="20">
        <f t="shared" si="73"/>
        <v>7</v>
      </c>
      <c r="D2365">
        <v>10416</v>
      </c>
      <c r="E2365" s="49">
        <v>1</v>
      </c>
      <c r="F2365" t="s">
        <v>3125</v>
      </c>
      <c r="G2365" t="s">
        <v>21</v>
      </c>
      <c r="H2365" t="s">
        <v>90</v>
      </c>
      <c r="I2365" s="13">
        <v>0</v>
      </c>
      <c r="J2365" s="13">
        <v>240000</v>
      </c>
      <c r="K2365" s="13">
        <f>IF(J2365&lt;'Mapa Oficinas'!$I$21,0,IF(J2365&gt;'Mapa Oficinas'!$I$20,0,1))</f>
        <v>1</v>
      </c>
      <c r="L2365" t="s">
        <v>23</v>
      </c>
      <c r="M2365" t="s">
        <v>23</v>
      </c>
      <c r="O2365" t="s">
        <v>408</v>
      </c>
      <c r="P2365" t="s">
        <v>45</v>
      </c>
      <c r="Q2365">
        <v>1</v>
      </c>
      <c r="R2365" t="s">
        <v>67</v>
      </c>
      <c r="S2365" t="s">
        <v>47</v>
      </c>
      <c r="T2365" t="str">
        <f>VLOOKUP(S2365,'Mapa Oficinas'!$H$7:$I$16,2,FALSE)</f>
        <v>Otra Red Búsqueda</v>
      </c>
      <c r="U2365" t="s">
        <v>29</v>
      </c>
      <c r="V2365" t="str">
        <f>VLOOKUP($R2365,'Mapa Oficinas'!$A$7:$C$46,2,FALSE)</f>
        <v>CABA</v>
      </c>
      <c r="W2365" t="str">
        <f>VLOOKUP($R2365,'Mapa Oficinas'!$A$7:$C$46,3,FALSE)</f>
        <v>Barrio Parque</v>
      </c>
    </row>
    <row r="2366" spans="1:23" x14ac:dyDescent="0.2">
      <c r="A2366" s="1">
        <v>46077</v>
      </c>
      <c r="B2366" s="20">
        <f t="shared" si="72"/>
        <v>2026</v>
      </c>
      <c r="C2366" s="20">
        <f t="shared" si="73"/>
        <v>2</v>
      </c>
      <c r="E2366" s="49">
        <v>1</v>
      </c>
      <c r="F2366" t="s">
        <v>6840</v>
      </c>
      <c r="G2366" t="s">
        <v>21</v>
      </c>
      <c r="H2366" t="s">
        <v>90</v>
      </c>
      <c r="I2366" s="13">
        <v>240000</v>
      </c>
      <c r="J2366" s="13">
        <v>240000</v>
      </c>
      <c r="K2366" s="13">
        <f>IF(J2366&lt;'Mapa Oficinas'!$I$21,0,IF(J2366&gt;'Mapa Oficinas'!$I$20,0,1))</f>
        <v>1</v>
      </c>
      <c r="L2366" t="s">
        <v>23</v>
      </c>
      <c r="M2366" t="s">
        <v>23</v>
      </c>
      <c r="N2366" t="s">
        <v>6841</v>
      </c>
      <c r="O2366" t="s">
        <v>5128</v>
      </c>
      <c r="P2366" t="s">
        <v>34</v>
      </c>
      <c r="Q2366">
        <v>1</v>
      </c>
      <c r="R2366" t="s">
        <v>523</v>
      </c>
      <c r="S2366" t="s">
        <v>47</v>
      </c>
      <c r="T2366" t="str">
        <f>VLOOKUP(S2366,'Mapa Oficinas'!$H$7:$I$16,2,FALSE)</f>
        <v>Otra Red Búsqueda</v>
      </c>
      <c r="U2366" t="s">
        <v>29</v>
      </c>
      <c r="V2366" t="str">
        <f>VLOOKUP($R2366,'Mapa Oficinas'!$A$7:$C$46,2,FALSE)</f>
        <v>CABA</v>
      </c>
      <c r="W2366" t="str">
        <f>VLOOKUP($R2366,'Mapa Oficinas'!$A$7:$C$46,3,FALSE)</f>
        <v>Belgrano</v>
      </c>
    </row>
    <row r="2367" spans="1:23" x14ac:dyDescent="0.2">
      <c r="A2367" s="1">
        <v>45863</v>
      </c>
      <c r="B2367" s="20">
        <f t="shared" si="72"/>
        <v>2025</v>
      </c>
      <c r="C2367" s="20">
        <f t="shared" si="73"/>
        <v>7</v>
      </c>
      <c r="D2367" t="s">
        <v>3236</v>
      </c>
      <c r="E2367" s="49">
        <v>1</v>
      </c>
      <c r="F2367" t="s">
        <v>3237</v>
      </c>
      <c r="G2367" t="s">
        <v>21</v>
      </c>
      <c r="H2367" t="s">
        <v>37</v>
      </c>
      <c r="I2367" s="13">
        <v>250000</v>
      </c>
      <c r="J2367" s="13">
        <v>240000</v>
      </c>
      <c r="K2367" s="13">
        <f>IF(J2367&lt;'Mapa Oficinas'!$I$21,0,IF(J2367&gt;'Mapa Oficinas'!$I$20,0,1))</f>
        <v>1</v>
      </c>
      <c r="L2367" t="s">
        <v>23</v>
      </c>
      <c r="M2367" t="s">
        <v>23</v>
      </c>
      <c r="N2367" t="s">
        <v>3238</v>
      </c>
      <c r="O2367" t="s">
        <v>253</v>
      </c>
      <c r="P2367" t="s">
        <v>45</v>
      </c>
      <c r="Q2367">
        <v>2</v>
      </c>
      <c r="R2367" t="s">
        <v>67</v>
      </c>
      <c r="S2367" t="s">
        <v>200</v>
      </c>
      <c r="T2367" t="str">
        <f>VLOOKUP(S2367,'Mapa Oficinas'!$H$7:$I$16,2,FALSE)</f>
        <v>Otra Red Captación</v>
      </c>
      <c r="U2367" t="s">
        <v>29</v>
      </c>
      <c r="V2367" t="str">
        <f>VLOOKUP($R2367,'Mapa Oficinas'!$A$7:$C$46,2,FALSE)</f>
        <v>CABA</v>
      </c>
      <c r="W2367" t="str">
        <f>VLOOKUP($R2367,'Mapa Oficinas'!$A$7:$C$46,3,FALSE)</f>
        <v>Barrio Parque</v>
      </c>
    </row>
    <row r="2368" spans="1:23" x14ac:dyDescent="0.2">
      <c r="A2368" s="1">
        <v>45995</v>
      </c>
      <c r="B2368" s="20">
        <f t="shared" si="72"/>
        <v>2025</v>
      </c>
      <c r="C2368" s="20">
        <f t="shared" si="73"/>
        <v>12</v>
      </c>
      <c r="D2368" t="s">
        <v>5628</v>
      </c>
      <c r="E2368" s="49">
        <v>1</v>
      </c>
      <c r="F2368" t="s">
        <v>5629</v>
      </c>
      <c r="G2368" t="s">
        <v>21</v>
      </c>
      <c r="H2368" t="s">
        <v>37</v>
      </c>
      <c r="I2368" s="13">
        <v>270000</v>
      </c>
      <c r="J2368" s="13">
        <v>240000</v>
      </c>
      <c r="K2368" s="13">
        <f>IF(J2368&lt;'Mapa Oficinas'!$I$21,0,IF(J2368&gt;'Mapa Oficinas'!$I$20,0,1))</f>
        <v>1</v>
      </c>
      <c r="L2368" t="s">
        <v>23</v>
      </c>
      <c r="M2368" t="s">
        <v>23</v>
      </c>
      <c r="N2368" t="s">
        <v>5630</v>
      </c>
      <c r="O2368" t="s">
        <v>3362</v>
      </c>
      <c r="P2368" t="s">
        <v>26</v>
      </c>
      <c r="Q2368">
        <v>2</v>
      </c>
      <c r="R2368" t="s">
        <v>5631</v>
      </c>
      <c r="S2368" t="s">
        <v>200</v>
      </c>
      <c r="T2368" t="str">
        <f>VLOOKUP(S2368,'Mapa Oficinas'!$H$7:$I$16,2,FALSE)</f>
        <v>Otra Red Captación</v>
      </c>
      <c r="U2368" t="s">
        <v>29</v>
      </c>
      <c r="V2368" t="str">
        <f>VLOOKUP($R2368,'Mapa Oficinas'!$A$7:$C$46,2,FALSE)</f>
        <v>CABA</v>
      </c>
      <c r="W2368" t="str">
        <f>VLOOKUP($R2368,'Mapa Oficinas'!$A$7:$C$46,3,FALSE)</f>
        <v>Caballito</v>
      </c>
    </row>
    <row r="2369" spans="1:23" x14ac:dyDescent="0.2">
      <c r="A2369" s="1">
        <v>45974</v>
      </c>
      <c r="B2369" s="20">
        <f t="shared" si="72"/>
        <v>2025</v>
      </c>
      <c r="C2369" s="20">
        <f t="shared" si="73"/>
        <v>11</v>
      </c>
      <c r="D2369" t="s">
        <v>5216</v>
      </c>
      <c r="E2369" s="49">
        <v>3</v>
      </c>
      <c r="F2369" t="s">
        <v>887</v>
      </c>
      <c r="G2369" t="s">
        <v>21</v>
      </c>
      <c r="H2369" t="s">
        <v>37</v>
      </c>
      <c r="I2369" s="13">
        <v>240000</v>
      </c>
      <c r="J2369" s="13">
        <v>240000</v>
      </c>
      <c r="K2369" s="13">
        <f>IF(J2369&lt;'Mapa Oficinas'!$I$21,0,IF(J2369&gt;'Mapa Oficinas'!$I$20,0,1))</f>
        <v>1</v>
      </c>
      <c r="L2369" t="s">
        <v>23</v>
      </c>
      <c r="M2369" t="s">
        <v>23</v>
      </c>
      <c r="N2369" t="s">
        <v>5217</v>
      </c>
      <c r="O2369" t="s">
        <v>1120</v>
      </c>
      <c r="P2369" t="s">
        <v>26</v>
      </c>
      <c r="Q2369">
        <v>2</v>
      </c>
      <c r="R2369" t="s">
        <v>257</v>
      </c>
      <c r="S2369" t="s">
        <v>241</v>
      </c>
      <c r="T2369" t="str">
        <f>VLOOKUP(S2369,'Mapa Oficinas'!$H$7:$I$16,2,FALSE)</f>
        <v>CB</v>
      </c>
      <c r="U2369" t="s">
        <v>29</v>
      </c>
      <c r="V2369" t="str">
        <f>VLOOKUP($R2369,'Mapa Oficinas'!$A$7:$C$46,2,FALSE)</f>
        <v>Zona Norte (GBA)</v>
      </c>
      <c r="W2369" t="str">
        <f>VLOOKUP($R2369,'Mapa Oficinas'!$A$7:$C$46,3,FALSE)</f>
        <v>Pilar</v>
      </c>
    </row>
    <row r="2370" spans="1:23" x14ac:dyDescent="0.2">
      <c r="A2370" s="1">
        <v>45709</v>
      </c>
      <c r="B2370" s="20">
        <f t="shared" ref="B2370:B2433" si="74">YEAR($A2370)</f>
        <v>2025</v>
      </c>
      <c r="C2370" s="20">
        <f t="shared" ref="C2370:C2433" si="75">MONTH($A2370)</f>
        <v>2</v>
      </c>
      <c r="D2370" t="s">
        <v>721</v>
      </c>
      <c r="E2370" s="49">
        <v>1</v>
      </c>
      <c r="F2370" t="s">
        <v>722</v>
      </c>
      <c r="G2370" t="s">
        <v>21</v>
      </c>
      <c r="H2370" t="s">
        <v>37</v>
      </c>
      <c r="I2370" s="13">
        <v>273000</v>
      </c>
      <c r="J2370" s="13">
        <v>240000</v>
      </c>
      <c r="K2370" s="13">
        <f>IF(J2370&lt;'Mapa Oficinas'!$I$21,0,IF(J2370&gt;'Mapa Oficinas'!$I$20,0,1))</f>
        <v>1</v>
      </c>
      <c r="L2370" t="s">
        <v>23</v>
      </c>
      <c r="M2370" t="s">
        <v>23</v>
      </c>
      <c r="N2370" t="s">
        <v>723</v>
      </c>
      <c r="O2370" t="s">
        <v>114</v>
      </c>
      <c r="P2370" t="s">
        <v>34</v>
      </c>
      <c r="Q2370">
        <v>2</v>
      </c>
      <c r="R2370" t="s">
        <v>62</v>
      </c>
      <c r="S2370" t="s">
        <v>28</v>
      </c>
      <c r="T2370" t="str">
        <f>VLOOKUP(S2370,'Mapa Oficinas'!$H$7:$I$16,2,FALSE)</f>
        <v>CB</v>
      </c>
      <c r="U2370" t="s">
        <v>29</v>
      </c>
      <c r="V2370" t="str">
        <f>VLOOKUP($R2370,'Mapa Oficinas'!$A$7:$C$46,2,FALSE)</f>
        <v>CABA</v>
      </c>
      <c r="W2370" t="str">
        <f>VLOOKUP($R2370,'Mapa Oficinas'!$A$7:$C$46,3,FALSE)</f>
        <v>Villa Urquiza</v>
      </c>
    </row>
    <row r="2371" spans="1:23" x14ac:dyDescent="0.2">
      <c r="A2371" s="1">
        <v>45727</v>
      </c>
      <c r="B2371" s="20">
        <f t="shared" si="74"/>
        <v>2025</v>
      </c>
      <c r="C2371" s="20">
        <f t="shared" si="75"/>
        <v>3</v>
      </c>
      <c r="D2371" t="s">
        <v>900</v>
      </c>
      <c r="E2371" s="49">
        <v>1</v>
      </c>
      <c r="F2371" t="s">
        <v>901</v>
      </c>
      <c r="G2371" t="s">
        <v>21</v>
      </c>
      <c r="H2371" t="s">
        <v>100</v>
      </c>
      <c r="I2371" s="13">
        <v>280000</v>
      </c>
      <c r="J2371" s="13">
        <v>240000</v>
      </c>
      <c r="K2371" s="13">
        <f>IF(J2371&lt;'Mapa Oficinas'!$I$21,0,IF(J2371&gt;'Mapa Oficinas'!$I$20,0,1))</f>
        <v>1</v>
      </c>
      <c r="L2371" t="s">
        <v>23</v>
      </c>
      <c r="M2371" t="s">
        <v>23</v>
      </c>
      <c r="N2371" t="s">
        <v>285</v>
      </c>
      <c r="O2371" t="s">
        <v>120</v>
      </c>
      <c r="P2371" t="s">
        <v>34</v>
      </c>
      <c r="Q2371">
        <v>2</v>
      </c>
      <c r="R2371" t="s">
        <v>121</v>
      </c>
      <c r="S2371" t="s">
        <v>28</v>
      </c>
      <c r="T2371" t="str">
        <f>VLOOKUP(S2371,'Mapa Oficinas'!$H$7:$I$16,2,FALSE)</f>
        <v>CB</v>
      </c>
      <c r="U2371" t="s">
        <v>29</v>
      </c>
      <c r="V2371" t="str">
        <f>VLOOKUP($R2371,'Mapa Oficinas'!$A$7:$C$46,2,FALSE)</f>
        <v>Interior - Río Negro</v>
      </c>
      <c r="W2371" t="str">
        <f>VLOOKUP($R2371,'Mapa Oficinas'!$A$7:$C$46,3,FALSE)</f>
        <v>Bariloche</v>
      </c>
    </row>
    <row r="2372" spans="1:23" x14ac:dyDescent="0.2">
      <c r="A2372" s="1">
        <v>45821</v>
      </c>
      <c r="B2372" s="20">
        <f t="shared" si="74"/>
        <v>2025</v>
      </c>
      <c r="C2372" s="20">
        <f t="shared" si="75"/>
        <v>6</v>
      </c>
      <c r="D2372" t="s">
        <v>2508</v>
      </c>
      <c r="E2372" s="49">
        <v>1</v>
      </c>
      <c r="F2372" t="s">
        <v>2509</v>
      </c>
      <c r="G2372" t="s">
        <v>21</v>
      </c>
      <c r="H2372" t="s">
        <v>37</v>
      </c>
      <c r="I2372" s="13">
        <v>265000</v>
      </c>
      <c r="J2372" s="13">
        <v>240000</v>
      </c>
      <c r="K2372" s="13">
        <f>IF(J2372&lt;'Mapa Oficinas'!$I$21,0,IF(J2372&gt;'Mapa Oficinas'!$I$20,0,1))</f>
        <v>1</v>
      </c>
      <c r="L2372" t="s">
        <v>23</v>
      </c>
      <c r="M2372" t="s">
        <v>23</v>
      </c>
      <c r="N2372" t="s">
        <v>2510</v>
      </c>
      <c r="O2372" t="s">
        <v>470</v>
      </c>
      <c r="P2372" t="s">
        <v>55</v>
      </c>
      <c r="Q2372">
        <v>2</v>
      </c>
      <c r="R2372" t="s">
        <v>67</v>
      </c>
      <c r="S2372" t="s">
        <v>28</v>
      </c>
      <c r="T2372" t="str">
        <f>VLOOKUP(S2372,'Mapa Oficinas'!$H$7:$I$16,2,FALSE)</f>
        <v>CB</v>
      </c>
      <c r="U2372" t="s">
        <v>29</v>
      </c>
      <c r="V2372" t="str">
        <f>VLOOKUP($R2372,'Mapa Oficinas'!$A$7:$C$46,2,FALSE)</f>
        <v>CABA</v>
      </c>
      <c r="W2372" t="str">
        <f>VLOOKUP($R2372,'Mapa Oficinas'!$A$7:$C$46,3,FALSE)</f>
        <v>Barrio Parque</v>
      </c>
    </row>
    <row r="2373" spans="1:23" x14ac:dyDescent="0.2">
      <c r="A2373" s="1">
        <v>45898</v>
      </c>
      <c r="B2373" s="20">
        <f t="shared" si="74"/>
        <v>2025</v>
      </c>
      <c r="C2373" s="20">
        <f t="shared" si="75"/>
        <v>8</v>
      </c>
      <c r="D2373" t="s">
        <v>3907</v>
      </c>
      <c r="E2373" s="49">
        <v>1</v>
      </c>
      <c r="F2373" t="s">
        <v>3908</v>
      </c>
      <c r="G2373" t="s">
        <v>21</v>
      </c>
      <c r="H2373" t="s">
        <v>76</v>
      </c>
      <c r="I2373" s="13">
        <v>290000</v>
      </c>
      <c r="J2373" s="13">
        <v>240000</v>
      </c>
      <c r="K2373" s="13">
        <f>IF(J2373&lt;'Mapa Oficinas'!$I$21,0,IF(J2373&gt;'Mapa Oficinas'!$I$20,0,1))</f>
        <v>1</v>
      </c>
      <c r="L2373" t="s">
        <v>23</v>
      </c>
      <c r="M2373" t="s">
        <v>23</v>
      </c>
      <c r="N2373" t="s">
        <v>3909</v>
      </c>
      <c r="O2373" t="s">
        <v>3910</v>
      </c>
      <c r="P2373" t="s">
        <v>34</v>
      </c>
      <c r="Q2373">
        <v>2</v>
      </c>
      <c r="R2373" t="s">
        <v>110</v>
      </c>
      <c r="S2373" t="s">
        <v>28</v>
      </c>
      <c r="T2373" t="str">
        <f>VLOOKUP(S2373,'Mapa Oficinas'!$H$7:$I$16,2,FALSE)</f>
        <v>CB</v>
      </c>
      <c r="U2373" t="s">
        <v>29</v>
      </c>
      <c r="V2373" t="str">
        <f>VLOOKUP($R2373,'Mapa Oficinas'!$A$7:$C$46,2,FALSE)</f>
        <v>Zona Norte (GBA)</v>
      </c>
      <c r="W2373" t="str">
        <f>VLOOKUP($R2373,'Mapa Oficinas'!$A$7:$C$46,3,FALSE)</f>
        <v>Nordelta</v>
      </c>
    </row>
    <row r="2374" spans="1:23" x14ac:dyDescent="0.2">
      <c r="A2374" s="1">
        <v>45922</v>
      </c>
      <c r="B2374" s="20">
        <f t="shared" si="74"/>
        <v>2025</v>
      </c>
      <c r="C2374" s="20">
        <f t="shared" si="75"/>
        <v>9</v>
      </c>
      <c r="D2374" t="s">
        <v>4277</v>
      </c>
      <c r="E2374" s="49">
        <v>1</v>
      </c>
      <c r="F2374" t="s">
        <v>4278</v>
      </c>
      <c r="G2374" t="s">
        <v>21</v>
      </c>
      <c r="H2374" t="s">
        <v>37</v>
      </c>
      <c r="I2374" s="13">
        <v>265000</v>
      </c>
      <c r="J2374" s="13">
        <v>240000</v>
      </c>
      <c r="K2374" s="13">
        <f>IF(J2374&lt;'Mapa Oficinas'!$I$21,0,IF(J2374&gt;'Mapa Oficinas'!$I$20,0,1))</f>
        <v>1</v>
      </c>
      <c r="L2374" t="s">
        <v>23</v>
      </c>
      <c r="M2374" t="s">
        <v>23</v>
      </c>
      <c r="N2374" t="s">
        <v>4279</v>
      </c>
      <c r="O2374" t="s">
        <v>50</v>
      </c>
      <c r="P2374" t="s">
        <v>45</v>
      </c>
      <c r="Q2374">
        <v>2</v>
      </c>
      <c r="R2374" t="s">
        <v>135</v>
      </c>
      <c r="S2374" t="s">
        <v>28</v>
      </c>
      <c r="T2374" t="str">
        <f>VLOOKUP(S2374,'Mapa Oficinas'!$H$7:$I$16,2,FALSE)</f>
        <v>CB</v>
      </c>
      <c r="U2374" t="s">
        <v>29</v>
      </c>
      <c r="V2374" t="str">
        <f>VLOOKUP($R2374,'Mapa Oficinas'!$A$7:$C$46,2,FALSE)</f>
        <v>CABA</v>
      </c>
      <c r="W2374" t="str">
        <f>VLOOKUP($R2374,'Mapa Oficinas'!$A$7:$C$46,3,FALSE)</f>
        <v>Recoleta</v>
      </c>
    </row>
    <row r="2375" spans="1:23" x14ac:dyDescent="0.2">
      <c r="A2375" s="1">
        <v>46062</v>
      </c>
      <c r="B2375" s="20">
        <f t="shared" si="74"/>
        <v>2026</v>
      </c>
      <c r="C2375" s="20">
        <f t="shared" si="75"/>
        <v>2</v>
      </c>
      <c r="D2375" t="s">
        <v>6609</v>
      </c>
      <c r="E2375" s="49">
        <v>1</v>
      </c>
      <c r="F2375" t="s">
        <v>6610</v>
      </c>
      <c r="G2375" t="s">
        <v>21</v>
      </c>
      <c r="H2375" t="s">
        <v>37</v>
      </c>
      <c r="I2375" s="13">
        <v>240000</v>
      </c>
      <c r="J2375" s="13">
        <v>240000</v>
      </c>
      <c r="K2375" s="13">
        <f>IF(J2375&lt;'Mapa Oficinas'!$I$21,0,IF(J2375&gt;'Mapa Oficinas'!$I$20,0,1))</f>
        <v>1</v>
      </c>
      <c r="L2375" t="s">
        <v>23</v>
      </c>
      <c r="M2375" t="s">
        <v>23</v>
      </c>
      <c r="N2375" t="s">
        <v>6610</v>
      </c>
      <c r="O2375" t="s">
        <v>6611</v>
      </c>
      <c r="P2375" t="s">
        <v>34</v>
      </c>
      <c r="Q2375">
        <v>2</v>
      </c>
      <c r="R2375" t="s">
        <v>110</v>
      </c>
      <c r="S2375" t="s">
        <v>28</v>
      </c>
      <c r="T2375" t="str">
        <f>VLOOKUP(S2375,'Mapa Oficinas'!$H$7:$I$16,2,FALSE)</f>
        <v>CB</v>
      </c>
      <c r="U2375" t="s">
        <v>29</v>
      </c>
      <c r="V2375" t="str">
        <f>VLOOKUP($R2375,'Mapa Oficinas'!$A$7:$C$46,2,FALSE)</f>
        <v>Zona Norte (GBA)</v>
      </c>
      <c r="W2375" t="str">
        <f>VLOOKUP($R2375,'Mapa Oficinas'!$A$7:$C$46,3,FALSE)</f>
        <v>Nordelta</v>
      </c>
    </row>
    <row r="2376" spans="1:23" x14ac:dyDescent="0.2">
      <c r="A2376" s="1">
        <v>46091</v>
      </c>
      <c r="B2376" s="20">
        <f t="shared" si="74"/>
        <v>2026</v>
      </c>
      <c r="C2376" s="20">
        <f t="shared" si="75"/>
        <v>3</v>
      </c>
      <c r="D2376" t="s">
        <v>5813</v>
      </c>
      <c r="E2376" s="49">
        <v>1</v>
      </c>
      <c r="F2376" t="s">
        <v>5814</v>
      </c>
      <c r="G2376" t="s">
        <v>21</v>
      </c>
      <c r="H2376" t="s">
        <v>37</v>
      </c>
      <c r="I2376" s="13">
        <v>240000</v>
      </c>
      <c r="J2376" s="13">
        <v>240000</v>
      </c>
      <c r="K2376" s="13">
        <f>IF(J2376&lt;'Mapa Oficinas'!$I$21,0,IF(J2376&gt;'Mapa Oficinas'!$I$20,0,1))</f>
        <v>1</v>
      </c>
      <c r="L2376" t="s">
        <v>23</v>
      </c>
      <c r="M2376" t="s">
        <v>23</v>
      </c>
      <c r="N2376" t="s">
        <v>5815</v>
      </c>
      <c r="O2376" t="s">
        <v>4565</v>
      </c>
      <c r="P2376" t="s">
        <v>45</v>
      </c>
      <c r="Q2376">
        <v>2</v>
      </c>
      <c r="R2376" t="s">
        <v>110</v>
      </c>
      <c r="S2376" t="s">
        <v>28</v>
      </c>
      <c r="T2376" t="str">
        <f>VLOOKUP(S2376,'Mapa Oficinas'!$H$7:$I$16,2,FALSE)</f>
        <v>CB</v>
      </c>
      <c r="U2376" t="s">
        <v>29</v>
      </c>
      <c r="V2376" t="str">
        <f>VLOOKUP($R2376,'Mapa Oficinas'!$A$7:$C$46,2,FALSE)</f>
        <v>Zona Norte (GBA)</v>
      </c>
      <c r="W2376" t="str">
        <f>VLOOKUP($R2376,'Mapa Oficinas'!$A$7:$C$46,3,FALSE)</f>
        <v>Nordelta</v>
      </c>
    </row>
    <row r="2377" spans="1:23" x14ac:dyDescent="0.2">
      <c r="A2377" s="1">
        <v>46107</v>
      </c>
      <c r="B2377" s="20">
        <f t="shared" si="74"/>
        <v>2026</v>
      </c>
      <c r="C2377" s="20">
        <f t="shared" si="75"/>
        <v>3</v>
      </c>
      <c r="D2377" t="s">
        <v>7447</v>
      </c>
      <c r="E2377" s="49">
        <v>1</v>
      </c>
      <c r="F2377" t="s">
        <v>7448</v>
      </c>
      <c r="G2377" t="s">
        <v>21</v>
      </c>
      <c r="H2377" t="s">
        <v>37</v>
      </c>
      <c r="I2377" s="13">
        <v>285000</v>
      </c>
      <c r="J2377" s="13">
        <v>240000</v>
      </c>
      <c r="K2377" s="13">
        <f>IF(J2377&lt;'Mapa Oficinas'!$I$21,0,IF(J2377&gt;'Mapa Oficinas'!$I$20,0,1))</f>
        <v>1</v>
      </c>
      <c r="L2377" t="s">
        <v>23</v>
      </c>
      <c r="M2377" t="s">
        <v>23</v>
      </c>
      <c r="N2377" t="s">
        <v>7449</v>
      </c>
      <c r="O2377" t="s">
        <v>2852</v>
      </c>
      <c r="P2377" t="s">
        <v>34</v>
      </c>
      <c r="Q2377">
        <v>2</v>
      </c>
      <c r="R2377" t="s">
        <v>2003</v>
      </c>
      <c r="S2377" t="s">
        <v>28</v>
      </c>
      <c r="T2377" t="str">
        <f>VLOOKUP(S2377,'Mapa Oficinas'!$H$7:$I$16,2,FALSE)</f>
        <v>CB</v>
      </c>
      <c r="U2377" t="s">
        <v>29</v>
      </c>
      <c r="V2377" t="str">
        <f>VLOOKUP($R2377,'Mapa Oficinas'!$A$7:$C$46,2,FALSE)</f>
        <v>Interior - Mendoza</v>
      </c>
      <c r="W2377" t="str">
        <f>VLOOKUP($R2377,'Mapa Oficinas'!$A$7:$C$46,3,FALSE)</f>
        <v>San Rafael</v>
      </c>
    </row>
    <row r="2378" spans="1:23" x14ac:dyDescent="0.2">
      <c r="A2378" s="1">
        <v>45930</v>
      </c>
      <c r="B2378" s="20">
        <f t="shared" si="74"/>
        <v>2025</v>
      </c>
      <c r="C2378" s="20">
        <f t="shared" si="75"/>
        <v>9</v>
      </c>
      <c r="D2378" t="s">
        <v>4441</v>
      </c>
      <c r="E2378" s="49">
        <v>1</v>
      </c>
      <c r="F2378" t="s">
        <v>4442</v>
      </c>
      <c r="G2378" t="s">
        <v>21</v>
      </c>
      <c r="H2378" t="s">
        <v>37</v>
      </c>
      <c r="I2378" s="13">
        <v>275000</v>
      </c>
      <c r="J2378" s="13">
        <v>242000</v>
      </c>
      <c r="K2378" s="13">
        <f>IF(J2378&lt;'Mapa Oficinas'!$I$21,0,IF(J2378&gt;'Mapa Oficinas'!$I$20,0,1))</f>
        <v>1</v>
      </c>
      <c r="L2378" t="s">
        <v>23</v>
      </c>
      <c r="M2378" t="s">
        <v>23</v>
      </c>
      <c r="N2378" t="s">
        <v>4443</v>
      </c>
      <c r="O2378" t="s">
        <v>408</v>
      </c>
      <c r="P2378" t="s">
        <v>45</v>
      </c>
      <c r="Q2378">
        <v>2</v>
      </c>
      <c r="R2378" t="s">
        <v>67</v>
      </c>
      <c r="S2378" t="s">
        <v>28</v>
      </c>
      <c r="T2378" t="str">
        <f>VLOOKUP(S2378,'Mapa Oficinas'!$H$7:$I$16,2,FALSE)</f>
        <v>CB</v>
      </c>
      <c r="U2378" t="s">
        <v>29</v>
      </c>
      <c r="V2378" t="str">
        <f>VLOOKUP($R2378,'Mapa Oficinas'!$A$7:$C$46,2,FALSE)</f>
        <v>CABA</v>
      </c>
      <c r="W2378" t="str">
        <f>VLOOKUP($R2378,'Mapa Oficinas'!$A$7:$C$46,3,FALSE)</f>
        <v>Barrio Parque</v>
      </c>
    </row>
    <row r="2379" spans="1:23" x14ac:dyDescent="0.2">
      <c r="A2379" s="1">
        <v>45859</v>
      </c>
      <c r="B2379" s="20">
        <f t="shared" si="74"/>
        <v>2025</v>
      </c>
      <c r="C2379" s="20">
        <f t="shared" si="75"/>
        <v>7</v>
      </c>
      <c r="D2379" t="s">
        <v>3137</v>
      </c>
      <c r="E2379" s="49">
        <v>1</v>
      </c>
      <c r="F2379" t="s">
        <v>3138</v>
      </c>
      <c r="G2379" t="s">
        <v>21</v>
      </c>
      <c r="H2379" t="s">
        <v>37</v>
      </c>
      <c r="I2379" s="13">
        <v>245000</v>
      </c>
      <c r="J2379" s="13">
        <v>243000</v>
      </c>
      <c r="K2379" s="13">
        <f>IF(J2379&lt;'Mapa Oficinas'!$I$21,0,IF(J2379&gt;'Mapa Oficinas'!$I$20,0,1))</f>
        <v>1</v>
      </c>
      <c r="L2379" t="s">
        <v>23</v>
      </c>
      <c r="M2379" t="s">
        <v>23</v>
      </c>
      <c r="N2379" t="s">
        <v>3139</v>
      </c>
      <c r="O2379" t="s">
        <v>66</v>
      </c>
      <c r="P2379" t="s">
        <v>45</v>
      </c>
      <c r="Q2379">
        <v>2</v>
      </c>
      <c r="R2379" t="s">
        <v>67</v>
      </c>
      <c r="S2379" t="s">
        <v>200</v>
      </c>
      <c r="T2379" t="str">
        <f>VLOOKUP(S2379,'Mapa Oficinas'!$H$7:$I$16,2,FALSE)</f>
        <v>Otra Red Captación</v>
      </c>
      <c r="U2379" t="s">
        <v>29</v>
      </c>
      <c r="V2379" t="str">
        <f>VLOOKUP($R2379,'Mapa Oficinas'!$A$7:$C$46,2,FALSE)</f>
        <v>CABA</v>
      </c>
      <c r="W2379" t="str">
        <f>VLOOKUP($R2379,'Mapa Oficinas'!$A$7:$C$46,3,FALSE)</f>
        <v>Barrio Parque</v>
      </c>
    </row>
    <row r="2380" spans="1:23" x14ac:dyDescent="0.2">
      <c r="A2380" s="1">
        <v>45825</v>
      </c>
      <c r="B2380" s="20">
        <f t="shared" si="74"/>
        <v>2025</v>
      </c>
      <c r="C2380" s="20">
        <f t="shared" si="75"/>
        <v>6</v>
      </c>
      <c r="D2380" t="s">
        <v>2538</v>
      </c>
      <c r="E2380" s="49">
        <v>1</v>
      </c>
      <c r="F2380" t="s">
        <v>2539</v>
      </c>
      <c r="G2380" t="s">
        <v>21</v>
      </c>
      <c r="H2380" t="s">
        <v>37</v>
      </c>
      <c r="I2380" s="13">
        <v>245000</v>
      </c>
      <c r="J2380" s="13">
        <v>245000</v>
      </c>
      <c r="K2380" s="13">
        <f>IF(J2380&lt;'Mapa Oficinas'!$I$21,0,IF(J2380&gt;'Mapa Oficinas'!$I$20,0,1))</f>
        <v>1</v>
      </c>
      <c r="L2380" t="s">
        <v>23</v>
      </c>
      <c r="M2380" t="s">
        <v>23</v>
      </c>
      <c r="O2380" t="s">
        <v>120</v>
      </c>
      <c r="P2380" t="s">
        <v>34</v>
      </c>
      <c r="Q2380">
        <v>1</v>
      </c>
      <c r="R2380" t="s">
        <v>121</v>
      </c>
      <c r="S2380" t="s">
        <v>122</v>
      </c>
      <c r="T2380" t="str">
        <f>VLOOKUP(S2380,'Mapa Oficinas'!$H$7:$I$16,2,FALSE)</f>
        <v>Otra Red Búsqueda</v>
      </c>
      <c r="U2380" t="s">
        <v>29</v>
      </c>
      <c r="V2380" t="str">
        <f>VLOOKUP($R2380,'Mapa Oficinas'!$A$7:$C$46,2,FALSE)</f>
        <v>Interior - Río Negro</v>
      </c>
      <c r="W2380" t="str">
        <f>VLOOKUP($R2380,'Mapa Oficinas'!$A$7:$C$46,3,FALSE)</f>
        <v>Bariloche</v>
      </c>
    </row>
    <row r="2381" spans="1:23" x14ac:dyDescent="0.2">
      <c r="A2381" s="1">
        <v>46098</v>
      </c>
      <c r="B2381" s="20">
        <f t="shared" si="74"/>
        <v>2026</v>
      </c>
      <c r="C2381" s="20">
        <f t="shared" si="75"/>
        <v>3</v>
      </c>
      <c r="D2381" t="s">
        <v>7256</v>
      </c>
      <c r="E2381" s="49">
        <v>1</v>
      </c>
      <c r="F2381" t="s">
        <v>7257</v>
      </c>
      <c r="G2381" t="s">
        <v>21</v>
      </c>
      <c r="H2381" t="s">
        <v>22</v>
      </c>
      <c r="I2381" s="13">
        <v>243000</v>
      </c>
      <c r="J2381" s="13">
        <v>245000</v>
      </c>
      <c r="K2381" s="13">
        <f>IF(J2381&lt;'Mapa Oficinas'!$I$21,0,IF(J2381&gt;'Mapa Oficinas'!$I$20,0,1))</f>
        <v>1</v>
      </c>
      <c r="L2381" t="s">
        <v>23</v>
      </c>
      <c r="M2381" t="s">
        <v>23</v>
      </c>
      <c r="N2381" t="s">
        <v>7258</v>
      </c>
      <c r="O2381" t="s">
        <v>238</v>
      </c>
      <c r="P2381" t="s">
        <v>45</v>
      </c>
      <c r="Q2381">
        <v>2</v>
      </c>
      <c r="R2381" t="s">
        <v>110</v>
      </c>
      <c r="S2381" t="s">
        <v>79</v>
      </c>
      <c r="T2381" t="str">
        <f>VLOOKUP(S2381,'Mapa Oficinas'!$H$7:$I$16,2,FALSE)</f>
        <v>CB</v>
      </c>
      <c r="U2381" t="s">
        <v>29</v>
      </c>
      <c r="V2381" t="str">
        <f>VLOOKUP($R2381,'Mapa Oficinas'!$A$7:$C$46,2,FALSE)</f>
        <v>Zona Norte (GBA)</v>
      </c>
      <c r="W2381" t="str">
        <f>VLOOKUP($R2381,'Mapa Oficinas'!$A$7:$C$46,3,FALSE)</f>
        <v>Nordelta</v>
      </c>
    </row>
    <row r="2382" spans="1:23" x14ac:dyDescent="0.2">
      <c r="A2382" s="1">
        <v>46008</v>
      </c>
      <c r="B2382" s="20">
        <f t="shared" si="74"/>
        <v>2025</v>
      </c>
      <c r="C2382" s="20">
        <f t="shared" si="75"/>
        <v>12</v>
      </c>
      <c r="D2382">
        <v>10647</v>
      </c>
      <c r="E2382" s="49">
        <v>1</v>
      </c>
      <c r="F2382" t="s">
        <v>5854</v>
      </c>
      <c r="G2382" t="s">
        <v>21</v>
      </c>
      <c r="H2382" t="s">
        <v>37</v>
      </c>
      <c r="I2382" s="13">
        <v>245000</v>
      </c>
      <c r="J2382" s="13">
        <v>245000</v>
      </c>
      <c r="K2382" s="13">
        <f>IF(J2382&lt;'Mapa Oficinas'!$I$21,0,IF(J2382&gt;'Mapa Oficinas'!$I$20,0,1))</f>
        <v>1</v>
      </c>
      <c r="L2382" t="s">
        <v>23</v>
      </c>
      <c r="M2382" t="s">
        <v>23</v>
      </c>
      <c r="N2382" t="s">
        <v>5854</v>
      </c>
      <c r="O2382" t="s">
        <v>440</v>
      </c>
      <c r="P2382" t="s">
        <v>26</v>
      </c>
      <c r="Q2382">
        <v>1</v>
      </c>
      <c r="R2382" t="s">
        <v>67</v>
      </c>
      <c r="S2382" t="s">
        <v>47</v>
      </c>
      <c r="T2382" t="str">
        <f>VLOOKUP(S2382,'Mapa Oficinas'!$H$7:$I$16,2,FALSE)</f>
        <v>Otra Red Búsqueda</v>
      </c>
      <c r="U2382" t="s">
        <v>29</v>
      </c>
      <c r="V2382" t="str">
        <f>VLOOKUP($R2382,'Mapa Oficinas'!$A$7:$C$46,2,FALSE)</f>
        <v>CABA</v>
      </c>
      <c r="W2382" t="str">
        <f>VLOOKUP($R2382,'Mapa Oficinas'!$A$7:$C$46,3,FALSE)</f>
        <v>Barrio Parque</v>
      </c>
    </row>
    <row r="2383" spans="1:23" x14ac:dyDescent="0.2">
      <c r="A2383" s="1">
        <v>46028</v>
      </c>
      <c r="B2383" s="20">
        <f t="shared" si="74"/>
        <v>2026</v>
      </c>
      <c r="C2383" s="20">
        <f t="shared" si="75"/>
        <v>1</v>
      </c>
      <c r="D2383">
        <v>10642</v>
      </c>
      <c r="E2383" s="49">
        <v>1</v>
      </c>
      <c r="F2383" t="s">
        <v>6103</v>
      </c>
      <c r="G2383" t="s">
        <v>21</v>
      </c>
      <c r="H2383" t="s">
        <v>37</v>
      </c>
      <c r="I2383" s="13">
        <v>245000</v>
      </c>
      <c r="J2383" s="13">
        <v>245000</v>
      </c>
      <c r="K2383" s="13">
        <f>IF(J2383&lt;'Mapa Oficinas'!$I$21,0,IF(J2383&gt;'Mapa Oficinas'!$I$20,0,1))</f>
        <v>1</v>
      </c>
      <c r="L2383" t="s">
        <v>23</v>
      </c>
      <c r="M2383" t="s">
        <v>23</v>
      </c>
      <c r="N2383" t="s">
        <v>6104</v>
      </c>
      <c r="O2383" t="s">
        <v>1459</v>
      </c>
      <c r="P2383" t="s">
        <v>45</v>
      </c>
      <c r="Q2383">
        <v>1</v>
      </c>
      <c r="R2383" t="s">
        <v>67</v>
      </c>
      <c r="S2383" t="s">
        <v>47</v>
      </c>
      <c r="T2383" t="str">
        <f>VLOOKUP(S2383,'Mapa Oficinas'!$H$7:$I$16,2,FALSE)</f>
        <v>Otra Red Búsqueda</v>
      </c>
      <c r="U2383" t="s">
        <v>29</v>
      </c>
      <c r="V2383" t="str">
        <f>VLOOKUP($R2383,'Mapa Oficinas'!$A$7:$C$46,2,FALSE)</f>
        <v>CABA</v>
      </c>
      <c r="W2383" t="str">
        <f>VLOOKUP($R2383,'Mapa Oficinas'!$A$7:$C$46,3,FALSE)</f>
        <v>Barrio Parque</v>
      </c>
    </row>
    <row r="2384" spans="1:23" x14ac:dyDescent="0.2">
      <c r="A2384" s="1">
        <v>45852</v>
      </c>
      <c r="B2384" s="20">
        <f t="shared" si="74"/>
        <v>2025</v>
      </c>
      <c r="C2384" s="20">
        <f t="shared" si="75"/>
        <v>7</v>
      </c>
      <c r="D2384" t="s">
        <v>3025</v>
      </c>
      <c r="E2384" s="49">
        <v>1</v>
      </c>
      <c r="F2384" t="s">
        <v>3026</v>
      </c>
      <c r="G2384" t="s">
        <v>21</v>
      </c>
      <c r="H2384" t="s">
        <v>37</v>
      </c>
      <c r="I2384" s="13">
        <v>245000</v>
      </c>
      <c r="J2384" s="13">
        <v>245000</v>
      </c>
      <c r="K2384" s="13">
        <f>IF(J2384&lt;'Mapa Oficinas'!$I$21,0,IF(J2384&gt;'Mapa Oficinas'!$I$20,0,1))</f>
        <v>1</v>
      </c>
      <c r="L2384" t="s">
        <v>23</v>
      </c>
      <c r="M2384" t="s">
        <v>23</v>
      </c>
      <c r="N2384" t="s">
        <v>3027</v>
      </c>
      <c r="O2384" t="s">
        <v>50</v>
      </c>
      <c r="P2384" t="s">
        <v>45</v>
      </c>
      <c r="Q2384">
        <v>2</v>
      </c>
      <c r="R2384" t="s">
        <v>110</v>
      </c>
      <c r="S2384" t="s">
        <v>200</v>
      </c>
      <c r="T2384" t="str">
        <f>VLOOKUP(S2384,'Mapa Oficinas'!$H$7:$I$16,2,FALSE)</f>
        <v>Otra Red Captación</v>
      </c>
      <c r="U2384" t="s">
        <v>29</v>
      </c>
      <c r="V2384" t="str">
        <f>VLOOKUP($R2384,'Mapa Oficinas'!$A$7:$C$46,2,FALSE)</f>
        <v>Zona Norte (GBA)</v>
      </c>
      <c r="W2384" t="str">
        <f>VLOOKUP($R2384,'Mapa Oficinas'!$A$7:$C$46,3,FALSE)</f>
        <v>Nordelta</v>
      </c>
    </row>
    <row r="2385" spans="1:23" x14ac:dyDescent="0.2">
      <c r="A2385" s="1">
        <v>45852</v>
      </c>
      <c r="B2385" s="20">
        <f t="shared" si="74"/>
        <v>2025</v>
      </c>
      <c r="C2385" s="20">
        <f t="shared" si="75"/>
        <v>7</v>
      </c>
      <c r="D2385" t="s">
        <v>3028</v>
      </c>
      <c r="E2385" s="49">
        <v>1</v>
      </c>
      <c r="F2385" t="s">
        <v>3029</v>
      </c>
      <c r="G2385" t="s">
        <v>21</v>
      </c>
      <c r="H2385" t="s">
        <v>37</v>
      </c>
      <c r="I2385" s="13">
        <v>355000</v>
      </c>
      <c r="J2385" s="13">
        <v>245000</v>
      </c>
      <c r="K2385" s="13">
        <f>IF(J2385&lt;'Mapa Oficinas'!$I$21,0,IF(J2385&gt;'Mapa Oficinas'!$I$20,0,1))</f>
        <v>1</v>
      </c>
      <c r="L2385" t="s">
        <v>23</v>
      </c>
      <c r="M2385" t="s">
        <v>23</v>
      </c>
      <c r="N2385" t="s">
        <v>3029</v>
      </c>
      <c r="O2385" t="s">
        <v>1838</v>
      </c>
      <c r="P2385" t="s">
        <v>34</v>
      </c>
      <c r="Q2385">
        <v>2</v>
      </c>
      <c r="R2385" t="s">
        <v>110</v>
      </c>
      <c r="S2385" t="s">
        <v>200</v>
      </c>
      <c r="T2385" t="str">
        <f>VLOOKUP(S2385,'Mapa Oficinas'!$H$7:$I$16,2,FALSE)</f>
        <v>Otra Red Captación</v>
      </c>
      <c r="U2385" t="s">
        <v>29</v>
      </c>
      <c r="V2385" t="str">
        <f>VLOOKUP($R2385,'Mapa Oficinas'!$A$7:$C$46,2,FALSE)</f>
        <v>Zona Norte (GBA)</v>
      </c>
      <c r="W2385" t="str">
        <f>VLOOKUP($R2385,'Mapa Oficinas'!$A$7:$C$46,3,FALSE)</f>
        <v>Nordelta</v>
      </c>
    </row>
    <row r="2386" spans="1:23" x14ac:dyDescent="0.2">
      <c r="A2386" s="1">
        <v>45730</v>
      </c>
      <c r="B2386" s="20">
        <f t="shared" si="74"/>
        <v>2025</v>
      </c>
      <c r="C2386" s="20">
        <f t="shared" si="75"/>
        <v>3</v>
      </c>
      <c r="D2386" t="s">
        <v>973</v>
      </c>
      <c r="E2386" s="49">
        <v>1</v>
      </c>
      <c r="F2386" t="s">
        <v>974</v>
      </c>
      <c r="G2386" t="s">
        <v>21</v>
      </c>
      <c r="H2386" t="s">
        <v>90</v>
      </c>
      <c r="I2386" s="13">
        <v>255000</v>
      </c>
      <c r="J2386" s="13">
        <v>245000</v>
      </c>
      <c r="K2386" s="13">
        <f>IF(J2386&lt;'Mapa Oficinas'!$I$21,0,IF(J2386&gt;'Mapa Oficinas'!$I$20,0,1))</f>
        <v>1</v>
      </c>
      <c r="L2386" t="s">
        <v>23</v>
      </c>
      <c r="M2386" t="s">
        <v>23</v>
      </c>
      <c r="N2386" t="s">
        <v>975</v>
      </c>
      <c r="O2386" t="s">
        <v>976</v>
      </c>
      <c r="P2386" t="s">
        <v>61</v>
      </c>
      <c r="Q2386">
        <v>2</v>
      </c>
      <c r="R2386" t="s">
        <v>67</v>
      </c>
      <c r="S2386" t="s">
        <v>28</v>
      </c>
      <c r="T2386" t="str">
        <f>VLOOKUP(S2386,'Mapa Oficinas'!$H$7:$I$16,2,FALSE)</f>
        <v>CB</v>
      </c>
      <c r="U2386" t="s">
        <v>29</v>
      </c>
      <c r="V2386" t="str">
        <f>VLOOKUP($R2386,'Mapa Oficinas'!$A$7:$C$46,2,FALSE)</f>
        <v>CABA</v>
      </c>
      <c r="W2386" t="str">
        <f>VLOOKUP($R2386,'Mapa Oficinas'!$A$7:$C$46,3,FALSE)</f>
        <v>Barrio Parque</v>
      </c>
    </row>
    <row r="2387" spans="1:23" x14ac:dyDescent="0.2">
      <c r="A2387" s="1">
        <v>45744</v>
      </c>
      <c r="B2387" s="20">
        <f t="shared" si="74"/>
        <v>2025</v>
      </c>
      <c r="C2387" s="20">
        <f t="shared" si="75"/>
        <v>3</v>
      </c>
      <c r="D2387" t="s">
        <v>1177</v>
      </c>
      <c r="E2387" s="49">
        <v>1</v>
      </c>
      <c r="F2387" t="s">
        <v>1178</v>
      </c>
      <c r="G2387" t="s">
        <v>21</v>
      </c>
      <c r="H2387" t="s">
        <v>37</v>
      </c>
      <c r="I2387" s="13">
        <v>250000</v>
      </c>
      <c r="J2387" s="13">
        <v>245000</v>
      </c>
      <c r="K2387" s="13">
        <f>IF(J2387&lt;'Mapa Oficinas'!$I$21,0,IF(J2387&gt;'Mapa Oficinas'!$I$20,0,1))</f>
        <v>1</v>
      </c>
      <c r="L2387" t="s">
        <v>23</v>
      </c>
      <c r="M2387" t="s">
        <v>23</v>
      </c>
      <c r="N2387" t="s">
        <v>1179</v>
      </c>
      <c r="O2387" t="s">
        <v>1180</v>
      </c>
      <c r="P2387" t="s">
        <v>45</v>
      </c>
      <c r="Q2387">
        <v>2</v>
      </c>
      <c r="R2387" t="s">
        <v>67</v>
      </c>
      <c r="S2387" t="s">
        <v>28</v>
      </c>
      <c r="T2387" t="str">
        <f>VLOOKUP(S2387,'Mapa Oficinas'!$H$7:$I$16,2,FALSE)</f>
        <v>CB</v>
      </c>
      <c r="U2387" t="s">
        <v>29</v>
      </c>
      <c r="V2387" t="str">
        <f>VLOOKUP($R2387,'Mapa Oficinas'!$A$7:$C$46,2,FALSE)</f>
        <v>CABA</v>
      </c>
      <c r="W2387" t="str">
        <f>VLOOKUP($R2387,'Mapa Oficinas'!$A$7:$C$46,3,FALSE)</f>
        <v>Barrio Parque</v>
      </c>
    </row>
    <row r="2388" spans="1:23" x14ac:dyDescent="0.2">
      <c r="A2388" s="1">
        <v>45756</v>
      </c>
      <c r="B2388" s="20">
        <f t="shared" si="74"/>
        <v>2025</v>
      </c>
      <c r="C2388" s="20">
        <f t="shared" si="75"/>
        <v>4</v>
      </c>
      <c r="D2388" t="s">
        <v>1360</v>
      </c>
      <c r="E2388" s="49">
        <v>1</v>
      </c>
      <c r="F2388" t="s">
        <v>1361</v>
      </c>
      <c r="G2388" t="s">
        <v>21</v>
      </c>
      <c r="H2388" t="s">
        <v>37</v>
      </c>
      <c r="I2388" s="13">
        <v>249500</v>
      </c>
      <c r="J2388" s="13">
        <v>245000</v>
      </c>
      <c r="K2388" s="13">
        <f>IF(J2388&lt;'Mapa Oficinas'!$I$21,0,IF(J2388&gt;'Mapa Oficinas'!$I$20,0,1))</f>
        <v>1</v>
      </c>
      <c r="L2388" t="s">
        <v>23</v>
      </c>
      <c r="M2388" t="s">
        <v>23</v>
      </c>
      <c r="N2388" t="s">
        <v>1362</v>
      </c>
      <c r="O2388" t="s">
        <v>408</v>
      </c>
      <c r="P2388" t="s">
        <v>45</v>
      </c>
      <c r="Q2388">
        <v>2</v>
      </c>
      <c r="R2388" t="s">
        <v>67</v>
      </c>
      <c r="S2388" t="s">
        <v>28</v>
      </c>
      <c r="T2388" t="str">
        <f>VLOOKUP(S2388,'Mapa Oficinas'!$H$7:$I$16,2,FALSE)</f>
        <v>CB</v>
      </c>
      <c r="U2388" t="s">
        <v>29</v>
      </c>
      <c r="V2388" t="str">
        <f>VLOOKUP($R2388,'Mapa Oficinas'!$A$7:$C$46,2,FALSE)</f>
        <v>CABA</v>
      </c>
      <c r="W2388" t="str">
        <f>VLOOKUP($R2388,'Mapa Oficinas'!$A$7:$C$46,3,FALSE)</f>
        <v>Barrio Parque</v>
      </c>
    </row>
    <row r="2389" spans="1:23" x14ac:dyDescent="0.2">
      <c r="A2389" s="1">
        <v>45915</v>
      </c>
      <c r="B2389" s="20">
        <f t="shared" si="74"/>
        <v>2025</v>
      </c>
      <c r="C2389" s="20">
        <f t="shared" si="75"/>
        <v>9</v>
      </c>
      <c r="D2389" t="s">
        <v>4174</v>
      </c>
      <c r="E2389" s="49">
        <v>1</v>
      </c>
      <c r="F2389" t="s">
        <v>4175</v>
      </c>
      <c r="G2389" t="s">
        <v>21</v>
      </c>
      <c r="H2389" t="s">
        <v>37</v>
      </c>
      <c r="I2389" s="13">
        <v>250000</v>
      </c>
      <c r="J2389" s="13">
        <v>245000</v>
      </c>
      <c r="K2389" s="13">
        <f>IF(J2389&lt;'Mapa Oficinas'!$I$21,0,IF(J2389&gt;'Mapa Oficinas'!$I$20,0,1))</f>
        <v>1</v>
      </c>
      <c r="L2389" t="s">
        <v>23</v>
      </c>
      <c r="M2389" t="s">
        <v>23</v>
      </c>
      <c r="N2389" t="s">
        <v>4176</v>
      </c>
      <c r="O2389" t="s">
        <v>4177</v>
      </c>
      <c r="P2389" t="s">
        <v>34</v>
      </c>
      <c r="Q2389">
        <v>2</v>
      </c>
      <c r="R2389" t="s">
        <v>110</v>
      </c>
      <c r="S2389" t="s">
        <v>28</v>
      </c>
      <c r="T2389" t="str">
        <f>VLOOKUP(S2389,'Mapa Oficinas'!$H$7:$I$16,2,FALSE)</f>
        <v>CB</v>
      </c>
      <c r="U2389" t="s">
        <v>29</v>
      </c>
      <c r="V2389" t="str">
        <f>VLOOKUP($R2389,'Mapa Oficinas'!$A$7:$C$46,2,FALSE)</f>
        <v>Zona Norte (GBA)</v>
      </c>
      <c r="W2389" t="str">
        <f>VLOOKUP($R2389,'Mapa Oficinas'!$A$7:$C$46,3,FALSE)</f>
        <v>Nordelta</v>
      </c>
    </row>
    <row r="2390" spans="1:23" x14ac:dyDescent="0.2">
      <c r="A2390" s="1">
        <v>45924</v>
      </c>
      <c r="B2390" s="20">
        <f t="shared" si="74"/>
        <v>2025</v>
      </c>
      <c r="C2390" s="20">
        <f t="shared" si="75"/>
        <v>9</v>
      </c>
      <c r="D2390" t="s">
        <v>4324</v>
      </c>
      <c r="E2390" s="49">
        <v>1</v>
      </c>
      <c r="F2390" t="s">
        <v>4325</v>
      </c>
      <c r="G2390" t="s">
        <v>21</v>
      </c>
      <c r="H2390" t="s">
        <v>37</v>
      </c>
      <c r="I2390" s="13">
        <v>255000</v>
      </c>
      <c r="J2390" s="13">
        <v>245000</v>
      </c>
      <c r="K2390" s="13">
        <f>IF(J2390&lt;'Mapa Oficinas'!$I$21,0,IF(J2390&gt;'Mapa Oficinas'!$I$20,0,1))</f>
        <v>1</v>
      </c>
      <c r="L2390" t="s">
        <v>23</v>
      </c>
      <c r="M2390" t="s">
        <v>23</v>
      </c>
      <c r="N2390" t="s">
        <v>4326</v>
      </c>
      <c r="O2390" t="s">
        <v>66</v>
      </c>
      <c r="P2390" t="s">
        <v>45</v>
      </c>
      <c r="Q2390">
        <v>2</v>
      </c>
      <c r="R2390" t="s">
        <v>67</v>
      </c>
      <c r="S2390" t="s">
        <v>28</v>
      </c>
      <c r="T2390" t="str">
        <f>VLOOKUP(S2390,'Mapa Oficinas'!$H$7:$I$16,2,FALSE)</f>
        <v>CB</v>
      </c>
      <c r="U2390" t="s">
        <v>29</v>
      </c>
      <c r="V2390" t="str">
        <f>VLOOKUP($R2390,'Mapa Oficinas'!$A$7:$C$46,2,FALSE)</f>
        <v>CABA</v>
      </c>
      <c r="W2390" t="str">
        <f>VLOOKUP($R2390,'Mapa Oficinas'!$A$7:$C$46,3,FALSE)</f>
        <v>Barrio Parque</v>
      </c>
    </row>
    <row r="2391" spans="1:23" x14ac:dyDescent="0.2">
      <c r="A2391" s="1">
        <v>45947</v>
      </c>
      <c r="B2391" s="20">
        <f t="shared" si="74"/>
        <v>2025</v>
      </c>
      <c r="C2391" s="20">
        <f t="shared" si="75"/>
        <v>10</v>
      </c>
      <c r="D2391" t="s">
        <v>4779</v>
      </c>
      <c r="E2391" s="49">
        <v>1</v>
      </c>
      <c r="F2391" t="s">
        <v>4780</v>
      </c>
      <c r="G2391" t="s">
        <v>21</v>
      </c>
      <c r="H2391" t="s">
        <v>37</v>
      </c>
      <c r="I2391" s="13">
        <v>256000</v>
      </c>
      <c r="J2391" s="13">
        <v>245000</v>
      </c>
      <c r="K2391" s="13">
        <f>IF(J2391&lt;'Mapa Oficinas'!$I$21,0,IF(J2391&gt;'Mapa Oficinas'!$I$20,0,1))</f>
        <v>1</v>
      </c>
      <c r="L2391" t="s">
        <v>23</v>
      </c>
      <c r="M2391" t="s">
        <v>23</v>
      </c>
      <c r="N2391" t="s">
        <v>4781</v>
      </c>
      <c r="O2391" t="s">
        <v>141</v>
      </c>
      <c r="P2391" t="s">
        <v>45</v>
      </c>
      <c r="Q2391">
        <v>2</v>
      </c>
      <c r="R2391" t="s">
        <v>62</v>
      </c>
      <c r="S2391" t="s">
        <v>28</v>
      </c>
      <c r="T2391" t="str">
        <f>VLOOKUP(S2391,'Mapa Oficinas'!$H$7:$I$16,2,FALSE)</f>
        <v>CB</v>
      </c>
      <c r="U2391" t="s">
        <v>29</v>
      </c>
      <c r="V2391" t="str">
        <f>VLOOKUP($R2391,'Mapa Oficinas'!$A$7:$C$46,2,FALSE)</f>
        <v>CABA</v>
      </c>
      <c r="W2391" t="str">
        <f>VLOOKUP($R2391,'Mapa Oficinas'!$A$7:$C$46,3,FALSE)</f>
        <v>Villa Urquiza</v>
      </c>
    </row>
    <row r="2392" spans="1:23" x14ac:dyDescent="0.2">
      <c r="A2392" s="1">
        <v>46071</v>
      </c>
      <c r="B2392" s="20">
        <f t="shared" si="74"/>
        <v>2026</v>
      </c>
      <c r="C2392" s="20">
        <f t="shared" si="75"/>
        <v>2</v>
      </c>
      <c r="D2392" t="s">
        <v>6750</v>
      </c>
      <c r="E2392" s="49">
        <v>1</v>
      </c>
      <c r="F2392" t="s">
        <v>6751</v>
      </c>
      <c r="G2392" t="s">
        <v>21</v>
      </c>
      <c r="H2392" t="s">
        <v>37</v>
      </c>
      <c r="I2392" s="13">
        <v>279000</v>
      </c>
      <c r="J2392" s="13">
        <v>245000</v>
      </c>
      <c r="K2392" s="13">
        <f>IF(J2392&lt;'Mapa Oficinas'!$I$21,0,IF(J2392&gt;'Mapa Oficinas'!$I$20,0,1))</f>
        <v>1</v>
      </c>
      <c r="L2392" t="s">
        <v>23</v>
      </c>
      <c r="M2392" t="s">
        <v>23</v>
      </c>
      <c r="N2392" t="s">
        <v>6752</v>
      </c>
      <c r="O2392" t="s">
        <v>6753</v>
      </c>
      <c r="P2392" t="s">
        <v>45</v>
      </c>
      <c r="Q2392">
        <v>2</v>
      </c>
      <c r="R2392" t="s">
        <v>130</v>
      </c>
      <c r="S2392" t="s">
        <v>28</v>
      </c>
      <c r="T2392" t="str">
        <f>VLOOKUP(S2392,'Mapa Oficinas'!$H$7:$I$16,2,FALSE)</f>
        <v>CB</v>
      </c>
      <c r="U2392" t="s">
        <v>29</v>
      </c>
      <c r="V2392" t="str">
        <f>VLOOKUP($R2392,'Mapa Oficinas'!$A$7:$C$46,2,FALSE)</f>
        <v>Interior - Neuquén</v>
      </c>
      <c r="W2392" t="str">
        <f>VLOOKUP($R2392,'Mapa Oficinas'!$A$7:$C$46,3,FALSE)</f>
        <v>San Martín de los Andes</v>
      </c>
    </row>
    <row r="2393" spans="1:23" x14ac:dyDescent="0.2">
      <c r="A2393" s="1">
        <v>45849</v>
      </c>
      <c r="B2393" s="20">
        <f t="shared" si="74"/>
        <v>2025</v>
      </c>
      <c r="C2393" s="20">
        <f t="shared" si="75"/>
        <v>7</v>
      </c>
      <c r="D2393" t="s">
        <v>2986</v>
      </c>
      <c r="E2393" s="49">
        <v>1</v>
      </c>
      <c r="F2393" t="s">
        <v>2987</v>
      </c>
      <c r="G2393" t="s">
        <v>21</v>
      </c>
      <c r="H2393" t="s">
        <v>81</v>
      </c>
      <c r="I2393" s="13">
        <v>257000</v>
      </c>
      <c r="J2393" s="13">
        <v>245500</v>
      </c>
      <c r="K2393" s="13">
        <f>IF(J2393&lt;'Mapa Oficinas'!$I$21,0,IF(J2393&gt;'Mapa Oficinas'!$I$20,0,1))</f>
        <v>1</v>
      </c>
      <c r="L2393" t="s">
        <v>23</v>
      </c>
      <c r="M2393" t="s">
        <v>23</v>
      </c>
      <c r="N2393" t="s">
        <v>2987</v>
      </c>
      <c r="O2393" t="s">
        <v>2988</v>
      </c>
      <c r="P2393" t="s">
        <v>45</v>
      </c>
      <c r="Q2393">
        <v>2</v>
      </c>
      <c r="R2393" t="s">
        <v>257</v>
      </c>
      <c r="S2393" t="s">
        <v>79</v>
      </c>
      <c r="T2393" t="str">
        <f>VLOOKUP(S2393,'Mapa Oficinas'!$H$7:$I$16,2,FALSE)</f>
        <v>CB</v>
      </c>
      <c r="U2393" t="s">
        <v>29</v>
      </c>
      <c r="V2393" t="str">
        <f>VLOOKUP($R2393,'Mapa Oficinas'!$A$7:$C$46,2,FALSE)</f>
        <v>Zona Norte (GBA)</v>
      </c>
      <c r="W2393" t="str">
        <f>VLOOKUP($R2393,'Mapa Oficinas'!$A$7:$C$46,3,FALSE)</f>
        <v>Pilar</v>
      </c>
    </row>
    <row r="2394" spans="1:23" x14ac:dyDescent="0.2">
      <c r="A2394" s="1">
        <v>45835</v>
      </c>
      <c r="B2394" s="20">
        <f t="shared" si="74"/>
        <v>2025</v>
      </c>
      <c r="C2394" s="20">
        <f t="shared" si="75"/>
        <v>6</v>
      </c>
      <c r="D2394" t="s">
        <v>2719</v>
      </c>
      <c r="E2394" s="49">
        <v>1</v>
      </c>
      <c r="F2394" t="s">
        <v>2720</v>
      </c>
      <c r="G2394" t="s">
        <v>21</v>
      </c>
      <c r="H2394" t="s">
        <v>37</v>
      </c>
      <c r="I2394" s="13">
        <v>230197</v>
      </c>
      <c r="J2394" s="13">
        <v>245500</v>
      </c>
      <c r="K2394" s="13">
        <f>IF(J2394&lt;'Mapa Oficinas'!$I$21,0,IF(J2394&gt;'Mapa Oficinas'!$I$20,0,1))</f>
        <v>1</v>
      </c>
      <c r="L2394" t="s">
        <v>23</v>
      </c>
      <c r="M2394" t="s">
        <v>23</v>
      </c>
      <c r="N2394" t="s">
        <v>2721</v>
      </c>
      <c r="O2394" t="s">
        <v>1343</v>
      </c>
      <c r="P2394" t="s">
        <v>45</v>
      </c>
      <c r="Q2394">
        <v>2</v>
      </c>
      <c r="R2394" t="s">
        <v>110</v>
      </c>
      <c r="S2394" t="s">
        <v>28</v>
      </c>
      <c r="T2394" t="str">
        <f>VLOOKUP(S2394,'Mapa Oficinas'!$H$7:$I$16,2,FALSE)</f>
        <v>CB</v>
      </c>
      <c r="U2394" t="s">
        <v>29</v>
      </c>
      <c r="V2394" t="str">
        <f>VLOOKUP($R2394,'Mapa Oficinas'!$A$7:$C$46,2,FALSE)</f>
        <v>Zona Norte (GBA)</v>
      </c>
      <c r="W2394" t="str">
        <f>VLOOKUP($R2394,'Mapa Oficinas'!$A$7:$C$46,3,FALSE)</f>
        <v>Nordelta</v>
      </c>
    </row>
    <row r="2395" spans="1:23" x14ac:dyDescent="0.2">
      <c r="A2395" s="1">
        <v>45975</v>
      </c>
      <c r="B2395" s="20">
        <f t="shared" si="74"/>
        <v>2025</v>
      </c>
      <c r="C2395" s="20">
        <f t="shared" si="75"/>
        <v>11</v>
      </c>
      <c r="D2395" t="s">
        <v>5240</v>
      </c>
      <c r="E2395" s="49">
        <v>1</v>
      </c>
      <c r="F2395" t="s">
        <v>5241</v>
      </c>
      <c r="G2395" t="s">
        <v>21</v>
      </c>
      <c r="H2395" t="s">
        <v>37</v>
      </c>
      <c r="I2395" s="13">
        <v>269000</v>
      </c>
      <c r="J2395" s="13">
        <v>247000</v>
      </c>
      <c r="K2395" s="13">
        <f>IF(J2395&lt;'Mapa Oficinas'!$I$21,0,IF(J2395&gt;'Mapa Oficinas'!$I$20,0,1))</f>
        <v>1</v>
      </c>
      <c r="L2395" t="s">
        <v>23</v>
      </c>
      <c r="M2395" t="s">
        <v>23</v>
      </c>
      <c r="N2395" t="s">
        <v>5242</v>
      </c>
      <c r="O2395" t="s">
        <v>477</v>
      </c>
      <c r="P2395" t="s">
        <v>45</v>
      </c>
      <c r="Q2395">
        <v>2</v>
      </c>
      <c r="R2395" t="s">
        <v>67</v>
      </c>
      <c r="S2395" t="s">
        <v>200</v>
      </c>
      <c r="T2395" t="str">
        <f>VLOOKUP(S2395,'Mapa Oficinas'!$H$7:$I$16,2,FALSE)</f>
        <v>Otra Red Captación</v>
      </c>
      <c r="U2395" t="s">
        <v>29</v>
      </c>
      <c r="V2395" t="str">
        <f>VLOOKUP($R2395,'Mapa Oficinas'!$A$7:$C$46,2,FALSE)</f>
        <v>CABA</v>
      </c>
      <c r="W2395" t="str">
        <f>VLOOKUP($R2395,'Mapa Oficinas'!$A$7:$C$46,3,FALSE)</f>
        <v>Barrio Parque</v>
      </c>
    </row>
    <row r="2396" spans="1:23" x14ac:dyDescent="0.2">
      <c r="A2396" s="1">
        <v>45992</v>
      </c>
      <c r="B2396" s="20">
        <f t="shared" si="74"/>
        <v>2025</v>
      </c>
      <c r="C2396" s="20">
        <f t="shared" si="75"/>
        <v>12</v>
      </c>
      <c r="D2396" t="s">
        <v>5580</v>
      </c>
      <c r="E2396" s="49">
        <v>1</v>
      </c>
      <c r="F2396" t="s">
        <v>5581</v>
      </c>
      <c r="G2396" t="s">
        <v>21</v>
      </c>
      <c r="H2396" t="s">
        <v>81</v>
      </c>
      <c r="I2396" s="13">
        <v>250000</v>
      </c>
      <c r="J2396" s="13">
        <v>247500</v>
      </c>
      <c r="K2396" s="13">
        <f>IF(J2396&lt;'Mapa Oficinas'!$I$21,0,IF(J2396&gt;'Mapa Oficinas'!$I$20,0,1))</f>
        <v>1</v>
      </c>
      <c r="L2396" t="s">
        <v>23</v>
      </c>
      <c r="M2396" t="s">
        <v>23</v>
      </c>
      <c r="N2396" t="s">
        <v>5582</v>
      </c>
      <c r="O2396" t="s">
        <v>2322</v>
      </c>
      <c r="P2396" t="s">
        <v>34</v>
      </c>
      <c r="Q2396">
        <v>2</v>
      </c>
      <c r="R2396" t="s">
        <v>151</v>
      </c>
      <c r="S2396" t="s">
        <v>28</v>
      </c>
      <c r="T2396" t="str">
        <f>VLOOKUP(S2396,'Mapa Oficinas'!$H$7:$I$16,2,FALSE)</f>
        <v>CB</v>
      </c>
      <c r="U2396" t="s">
        <v>29</v>
      </c>
      <c r="V2396" t="str">
        <f>VLOOKUP($R2396,'Mapa Oficinas'!$A$7:$C$46,2,FALSE)</f>
        <v>Interior - Mendoza</v>
      </c>
      <c r="W2396" t="str">
        <f>VLOOKUP($R2396,'Mapa Oficinas'!$A$7:$C$46,3,FALSE)</f>
        <v>Capital Mendoza</v>
      </c>
    </row>
    <row r="2397" spans="1:23" x14ac:dyDescent="0.2">
      <c r="A2397" s="1">
        <v>46066</v>
      </c>
      <c r="B2397" s="20">
        <f t="shared" si="74"/>
        <v>2026</v>
      </c>
      <c r="C2397" s="20">
        <f t="shared" si="75"/>
        <v>2</v>
      </c>
      <c r="D2397" t="s">
        <v>6723</v>
      </c>
      <c r="E2397" s="49">
        <v>1</v>
      </c>
      <c r="F2397" t="s">
        <v>6724</v>
      </c>
      <c r="G2397" t="s">
        <v>21</v>
      </c>
      <c r="H2397" t="s">
        <v>81</v>
      </c>
      <c r="I2397" s="13">
        <v>260000</v>
      </c>
      <c r="J2397" s="13">
        <v>248000</v>
      </c>
      <c r="K2397" s="13">
        <f>IF(J2397&lt;'Mapa Oficinas'!$I$21,0,IF(J2397&gt;'Mapa Oficinas'!$I$20,0,1))</f>
        <v>1</v>
      </c>
      <c r="L2397" t="s">
        <v>23</v>
      </c>
      <c r="M2397" t="s">
        <v>23</v>
      </c>
      <c r="N2397" t="s">
        <v>6725</v>
      </c>
      <c r="O2397" t="s">
        <v>6726</v>
      </c>
      <c r="P2397" t="s">
        <v>34</v>
      </c>
      <c r="Q2397">
        <v>1</v>
      </c>
      <c r="R2397" t="s">
        <v>183</v>
      </c>
      <c r="S2397" t="s">
        <v>152</v>
      </c>
      <c r="T2397" t="str">
        <f>VLOOKUP(S2397,'Mapa Oficinas'!$H$7:$I$16,2,FALSE)</f>
        <v>Otra Red Captación</v>
      </c>
      <c r="U2397" t="s">
        <v>29</v>
      </c>
      <c r="V2397" t="str">
        <f>VLOOKUP($R2397,'Mapa Oficinas'!$A$7:$C$46,2,FALSE)</f>
        <v>Interior - Neuquén</v>
      </c>
      <c r="W2397" t="str">
        <f>VLOOKUP($R2397,'Mapa Oficinas'!$A$7:$C$46,3,FALSE)</f>
        <v>Capital Neuquén</v>
      </c>
    </row>
    <row r="2398" spans="1:23" x14ac:dyDescent="0.2">
      <c r="A2398" s="1">
        <v>46090</v>
      </c>
      <c r="B2398" s="20">
        <f t="shared" si="74"/>
        <v>2026</v>
      </c>
      <c r="C2398" s="20">
        <f t="shared" si="75"/>
        <v>3</v>
      </c>
      <c r="D2398" t="s">
        <v>7052</v>
      </c>
      <c r="E2398" s="49">
        <v>1</v>
      </c>
      <c r="F2398" t="s">
        <v>7053</v>
      </c>
      <c r="G2398" t="s">
        <v>21</v>
      </c>
      <c r="H2398" t="s">
        <v>37</v>
      </c>
      <c r="I2398" s="13">
        <v>270000</v>
      </c>
      <c r="J2398" s="13">
        <v>248000</v>
      </c>
      <c r="K2398" s="13">
        <f>IF(J2398&lt;'Mapa Oficinas'!$I$21,0,IF(J2398&gt;'Mapa Oficinas'!$I$20,0,1))</f>
        <v>1</v>
      </c>
      <c r="L2398" t="s">
        <v>23</v>
      </c>
      <c r="M2398" t="s">
        <v>23</v>
      </c>
      <c r="N2398" t="s">
        <v>7054</v>
      </c>
      <c r="O2398" t="s">
        <v>7055</v>
      </c>
      <c r="P2398" t="s">
        <v>34</v>
      </c>
      <c r="Q2398">
        <v>2</v>
      </c>
      <c r="R2398" t="s">
        <v>110</v>
      </c>
      <c r="S2398" t="s">
        <v>79</v>
      </c>
      <c r="T2398" t="str">
        <f>VLOOKUP(S2398,'Mapa Oficinas'!$H$7:$I$16,2,FALSE)</f>
        <v>CB</v>
      </c>
      <c r="U2398" t="s">
        <v>29</v>
      </c>
      <c r="V2398" t="str">
        <f>VLOOKUP($R2398,'Mapa Oficinas'!$A$7:$C$46,2,FALSE)</f>
        <v>Zona Norte (GBA)</v>
      </c>
      <c r="W2398" t="str">
        <f>VLOOKUP($R2398,'Mapa Oficinas'!$A$7:$C$46,3,FALSE)</f>
        <v>Nordelta</v>
      </c>
    </row>
    <row r="2399" spans="1:23" x14ac:dyDescent="0.2">
      <c r="A2399" s="1">
        <v>45818</v>
      </c>
      <c r="B2399" s="20">
        <f t="shared" si="74"/>
        <v>2025</v>
      </c>
      <c r="C2399" s="20">
        <f t="shared" si="75"/>
        <v>6</v>
      </c>
      <c r="D2399" t="s">
        <v>2409</v>
      </c>
      <c r="E2399" s="49">
        <v>1</v>
      </c>
      <c r="F2399" t="s">
        <v>2410</v>
      </c>
      <c r="G2399" t="s">
        <v>21</v>
      </c>
      <c r="H2399" t="s">
        <v>90</v>
      </c>
      <c r="I2399" s="13">
        <v>265000</v>
      </c>
      <c r="J2399" s="13">
        <v>248000</v>
      </c>
      <c r="K2399" s="13">
        <f>IF(J2399&lt;'Mapa Oficinas'!$I$21,0,IF(J2399&gt;'Mapa Oficinas'!$I$20,0,1))</f>
        <v>1</v>
      </c>
      <c r="L2399" t="s">
        <v>23</v>
      </c>
      <c r="M2399" t="s">
        <v>23</v>
      </c>
      <c r="N2399" t="s">
        <v>2411</v>
      </c>
      <c r="O2399" t="s">
        <v>2412</v>
      </c>
      <c r="P2399" t="s">
        <v>45</v>
      </c>
      <c r="Q2399">
        <v>2</v>
      </c>
      <c r="R2399" t="s">
        <v>523</v>
      </c>
      <c r="S2399" t="s">
        <v>28</v>
      </c>
      <c r="T2399" t="str">
        <f>VLOOKUP(S2399,'Mapa Oficinas'!$H$7:$I$16,2,FALSE)</f>
        <v>CB</v>
      </c>
      <c r="U2399" t="s">
        <v>29</v>
      </c>
      <c r="V2399" t="str">
        <f>VLOOKUP($R2399,'Mapa Oficinas'!$A$7:$C$46,2,FALSE)</f>
        <v>CABA</v>
      </c>
      <c r="W2399" t="str">
        <f>VLOOKUP($R2399,'Mapa Oficinas'!$A$7:$C$46,3,FALSE)</f>
        <v>Belgrano</v>
      </c>
    </row>
    <row r="2400" spans="1:23" x14ac:dyDescent="0.2">
      <c r="A2400" s="1">
        <v>45747</v>
      </c>
      <c r="B2400" s="20">
        <f t="shared" si="74"/>
        <v>2025</v>
      </c>
      <c r="C2400" s="20">
        <f t="shared" si="75"/>
        <v>3</v>
      </c>
      <c r="D2400" t="s">
        <v>1216</v>
      </c>
      <c r="E2400" s="49">
        <v>1</v>
      </c>
      <c r="F2400" t="s">
        <v>1217</v>
      </c>
      <c r="G2400" t="s">
        <v>21</v>
      </c>
      <c r="H2400" t="s">
        <v>22</v>
      </c>
      <c r="I2400" s="13">
        <v>260000</v>
      </c>
      <c r="J2400" s="13">
        <v>248400</v>
      </c>
      <c r="K2400" s="13">
        <f>IF(J2400&lt;'Mapa Oficinas'!$I$21,0,IF(J2400&gt;'Mapa Oficinas'!$I$20,0,1))</f>
        <v>1</v>
      </c>
      <c r="L2400" t="s">
        <v>23</v>
      </c>
      <c r="M2400" t="s">
        <v>23</v>
      </c>
      <c r="N2400" t="s">
        <v>1218</v>
      </c>
      <c r="O2400" t="s">
        <v>66</v>
      </c>
      <c r="P2400" t="s">
        <v>45</v>
      </c>
      <c r="Q2400">
        <v>2</v>
      </c>
      <c r="R2400" t="s">
        <v>135</v>
      </c>
      <c r="S2400" t="s">
        <v>28</v>
      </c>
      <c r="T2400" t="str">
        <f>VLOOKUP(S2400,'Mapa Oficinas'!$H$7:$I$16,2,FALSE)</f>
        <v>CB</v>
      </c>
      <c r="U2400" t="s">
        <v>29</v>
      </c>
      <c r="V2400" t="str">
        <f>VLOOKUP($R2400,'Mapa Oficinas'!$A$7:$C$46,2,FALSE)</f>
        <v>CABA</v>
      </c>
      <c r="W2400" t="str">
        <f>VLOOKUP($R2400,'Mapa Oficinas'!$A$7:$C$46,3,FALSE)</f>
        <v>Recoleta</v>
      </c>
    </row>
    <row r="2401" spans="1:23" x14ac:dyDescent="0.2">
      <c r="A2401" s="1">
        <v>45839</v>
      </c>
      <c r="B2401" s="20">
        <f t="shared" si="74"/>
        <v>2025</v>
      </c>
      <c r="C2401" s="20">
        <f t="shared" si="75"/>
        <v>7</v>
      </c>
      <c r="D2401" t="s">
        <v>2814</v>
      </c>
      <c r="E2401" s="49">
        <v>1</v>
      </c>
      <c r="F2401" t="s">
        <v>2815</v>
      </c>
      <c r="G2401" t="s">
        <v>21</v>
      </c>
      <c r="H2401" t="s">
        <v>37</v>
      </c>
      <c r="I2401" s="13">
        <v>249000</v>
      </c>
      <c r="J2401" s="13">
        <v>249000</v>
      </c>
      <c r="K2401" s="13">
        <f>IF(J2401&lt;'Mapa Oficinas'!$I$21,0,IF(J2401&gt;'Mapa Oficinas'!$I$20,0,1))</f>
        <v>1</v>
      </c>
      <c r="L2401" t="s">
        <v>23</v>
      </c>
      <c r="M2401" t="s">
        <v>23</v>
      </c>
      <c r="N2401" t="s">
        <v>2816</v>
      </c>
      <c r="O2401" t="s">
        <v>1386</v>
      </c>
      <c r="P2401" t="s">
        <v>34</v>
      </c>
      <c r="Q2401">
        <v>2</v>
      </c>
      <c r="R2401" t="s">
        <v>67</v>
      </c>
      <c r="S2401" t="s">
        <v>200</v>
      </c>
      <c r="T2401" t="str">
        <f>VLOOKUP(S2401,'Mapa Oficinas'!$H$7:$I$16,2,FALSE)</f>
        <v>Otra Red Captación</v>
      </c>
      <c r="U2401" t="s">
        <v>29</v>
      </c>
      <c r="V2401" t="str">
        <f>VLOOKUP($R2401,'Mapa Oficinas'!$A$7:$C$46,2,FALSE)</f>
        <v>CABA</v>
      </c>
      <c r="W2401" t="str">
        <f>VLOOKUP($R2401,'Mapa Oficinas'!$A$7:$C$46,3,FALSE)</f>
        <v>Barrio Parque</v>
      </c>
    </row>
    <row r="2402" spans="1:23" x14ac:dyDescent="0.2">
      <c r="A2402" s="1">
        <v>45723</v>
      </c>
      <c r="B2402" s="20">
        <f t="shared" si="74"/>
        <v>2025</v>
      </c>
      <c r="C2402" s="20">
        <f t="shared" si="75"/>
        <v>3</v>
      </c>
      <c r="E2402" s="49">
        <v>1</v>
      </c>
      <c r="F2402" t="s">
        <v>868</v>
      </c>
      <c r="G2402" t="s">
        <v>21</v>
      </c>
      <c r="H2402" t="s">
        <v>76</v>
      </c>
      <c r="I2402" s="13">
        <v>250000</v>
      </c>
      <c r="J2402" s="13">
        <v>250000</v>
      </c>
      <c r="K2402" s="13">
        <f>IF(J2402&lt;'Mapa Oficinas'!$I$21,0,IF(J2402&gt;'Mapa Oficinas'!$I$20,0,1))</f>
        <v>1</v>
      </c>
      <c r="L2402" t="s">
        <v>23</v>
      </c>
      <c r="M2402" t="s">
        <v>23</v>
      </c>
      <c r="N2402" t="s">
        <v>869</v>
      </c>
      <c r="O2402" t="s">
        <v>870</v>
      </c>
      <c r="P2402" t="s">
        <v>34</v>
      </c>
      <c r="Q2402">
        <v>1</v>
      </c>
      <c r="R2402" t="s">
        <v>130</v>
      </c>
      <c r="S2402" t="s">
        <v>122</v>
      </c>
      <c r="T2402" t="str">
        <f>VLOOKUP(S2402,'Mapa Oficinas'!$H$7:$I$16,2,FALSE)</f>
        <v>Otra Red Búsqueda</v>
      </c>
      <c r="U2402" t="s">
        <v>29</v>
      </c>
      <c r="V2402" t="str">
        <f>VLOOKUP($R2402,'Mapa Oficinas'!$A$7:$C$46,2,FALSE)</f>
        <v>Interior - Neuquén</v>
      </c>
      <c r="W2402" t="str">
        <f>VLOOKUP($R2402,'Mapa Oficinas'!$A$7:$C$46,3,FALSE)</f>
        <v>San Martín de los Andes</v>
      </c>
    </row>
    <row r="2403" spans="1:23" x14ac:dyDescent="0.2">
      <c r="A2403" s="1">
        <v>45789</v>
      </c>
      <c r="B2403" s="20">
        <f t="shared" si="74"/>
        <v>2025</v>
      </c>
      <c r="C2403" s="20">
        <f t="shared" si="75"/>
        <v>5</v>
      </c>
      <c r="D2403" t="s">
        <v>1883</v>
      </c>
      <c r="E2403" s="49">
        <v>1</v>
      </c>
      <c r="F2403" t="s">
        <v>1884</v>
      </c>
      <c r="G2403" t="s">
        <v>21</v>
      </c>
      <c r="H2403" t="s">
        <v>76</v>
      </c>
      <c r="I2403" s="13">
        <v>250000</v>
      </c>
      <c r="J2403" s="13">
        <v>250000</v>
      </c>
      <c r="K2403" s="13">
        <f>IF(J2403&lt;'Mapa Oficinas'!$I$21,0,IF(J2403&gt;'Mapa Oficinas'!$I$20,0,1))</f>
        <v>1</v>
      </c>
      <c r="L2403" t="s">
        <v>23</v>
      </c>
      <c r="M2403" t="s">
        <v>23</v>
      </c>
      <c r="N2403" t="s">
        <v>1885</v>
      </c>
      <c r="O2403" t="s">
        <v>1886</v>
      </c>
      <c r="P2403" t="s">
        <v>34</v>
      </c>
      <c r="Q2403">
        <v>1</v>
      </c>
      <c r="R2403" t="s">
        <v>73</v>
      </c>
      <c r="S2403" t="s">
        <v>122</v>
      </c>
      <c r="T2403" t="str">
        <f>VLOOKUP(S2403,'Mapa Oficinas'!$H$7:$I$16,2,FALSE)</f>
        <v>Otra Red Búsqueda</v>
      </c>
      <c r="U2403" t="s">
        <v>29</v>
      </c>
      <c r="V2403" t="str">
        <f>VLOOKUP($R2403,'Mapa Oficinas'!$A$7:$C$46,2,FALSE)</f>
        <v>Interior - Salta</v>
      </c>
      <c r="W2403" t="str">
        <f>VLOOKUP($R2403,'Mapa Oficinas'!$A$7:$C$46,3,FALSE)</f>
        <v>San Lorenzo Chico</v>
      </c>
    </row>
    <row r="2404" spans="1:23" x14ac:dyDescent="0.2">
      <c r="A2404" s="1">
        <v>45723</v>
      </c>
      <c r="B2404" s="20">
        <f t="shared" si="74"/>
        <v>2025</v>
      </c>
      <c r="C2404" s="20">
        <f t="shared" si="75"/>
        <v>3</v>
      </c>
      <c r="D2404" t="s">
        <v>865</v>
      </c>
      <c r="E2404" s="49">
        <v>1</v>
      </c>
      <c r="F2404" t="s">
        <v>866</v>
      </c>
      <c r="G2404" t="s">
        <v>21</v>
      </c>
      <c r="H2404" t="s">
        <v>81</v>
      </c>
      <c r="I2404" s="13">
        <v>250000</v>
      </c>
      <c r="J2404" s="13">
        <v>250000</v>
      </c>
      <c r="K2404" s="13">
        <f>IF(J2404&lt;'Mapa Oficinas'!$I$21,0,IF(J2404&gt;'Mapa Oficinas'!$I$20,0,1))</f>
        <v>1</v>
      </c>
      <c r="L2404" t="s">
        <v>23</v>
      </c>
      <c r="M2404" t="s">
        <v>23</v>
      </c>
      <c r="N2404" t="s">
        <v>867</v>
      </c>
      <c r="O2404" t="s">
        <v>325</v>
      </c>
      <c r="P2404" t="s">
        <v>34</v>
      </c>
      <c r="Q2404">
        <v>1</v>
      </c>
      <c r="R2404" t="s">
        <v>130</v>
      </c>
      <c r="S2404" t="s">
        <v>152</v>
      </c>
      <c r="T2404" t="str">
        <f>VLOOKUP(S2404,'Mapa Oficinas'!$H$7:$I$16,2,FALSE)</f>
        <v>Otra Red Captación</v>
      </c>
      <c r="U2404" t="s">
        <v>29</v>
      </c>
      <c r="V2404" t="str">
        <f>VLOOKUP($R2404,'Mapa Oficinas'!$A$7:$C$46,2,FALSE)</f>
        <v>Interior - Neuquén</v>
      </c>
      <c r="W2404" t="str">
        <f>VLOOKUP($R2404,'Mapa Oficinas'!$A$7:$C$46,3,FALSE)</f>
        <v>San Martín de los Andes</v>
      </c>
    </row>
    <row r="2405" spans="1:23" x14ac:dyDescent="0.2">
      <c r="A2405" s="1">
        <v>45776</v>
      </c>
      <c r="B2405" s="20">
        <f t="shared" si="74"/>
        <v>2025</v>
      </c>
      <c r="C2405" s="20">
        <f t="shared" si="75"/>
        <v>4</v>
      </c>
      <c r="D2405" t="s">
        <v>1701</v>
      </c>
      <c r="E2405" s="49">
        <v>1</v>
      </c>
      <c r="F2405" t="s">
        <v>1702</v>
      </c>
      <c r="G2405" t="s">
        <v>21</v>
      </c>
      <c r="H2405" t="s">
        <v>97</v>
      </c>
      <c r="I2405" s="13">
        <v>260000</v>
      </c>
      <c r="J2405" s="13">
        <v>250000</v>
      </c>
      <c r="K2405" s="13">
        <f>IF(J2405&lt;'Mapa Oficinas'!$I$21,0,IF(J2405&gt;'Mapa Oficinas'!$I$20,0,1))</f>
        <v>1</v>
      </c>
      <c r="L2405" t="s">
        <v>23</v>
      </c>
      <c r="M2405" t="s">
        <v>23</v>
      </c>
      <c r="N2405" t="s">
        <v>1703</v>
      </c>
      <c r="O2405" t="s">
        <v>1704</v>
      </c>
      <c r="P2405" t="s">
        <v>45</v>
      </c>
      <c r="Q2405">
        <v>1</v>
      </c>
      <c r="R2405" t="s">
        <v>84</v>
      </c>
      <c r="S2405" t="s">
        <v>152</v>
      </c>
      <c r="T2405" t="str">
        <f>VLOOKUP(S2405,'Mapa Oficinas'!$H$7:$I$16,2,FALSE)</f>
        <v>Otra Red Captación</v>
      </c>
      <c r="U2405" t="s">
        <v>29</v>
      </c>
      <c r="V2405" t="str">
        <f>VLOOKUP($R2405,'Mapa Oficinas'!$A$7:$C$46,2,FALSE)</f>
        <v>Interior - Neuquén</v>
      </c>
      <c r="W2405" t="str">
        <f>VLOOKUP($R2405,'Mapa Oficinas'!$A$7:$C$46,3,FALSE)</f>
        <v>Villa La Angostura</v>
      </c>
    </row>
    <row r="2406" spans="1:23" x14ac:dyDescent="0.2">
      <c r="A2406" s="1">
        <v>46035</v>
      </c>
      <c r="B2406" s="20">
        <f t="shared" si="74"/>
        <v>2026</v>
      </c>
      <c r="C2406" s="20">
        <f t="shared" si="75"/>
        <v>1</v>
      </c>
      <c r="D2406" t="s">
        <v>6081</v>
      </c>
      <c r="E2406" s="49">
        <v>1</v>
      </c>
      <c r="F2406" t="s">
        <v>6082</v>
      </c>
      <c r="G2406" t="s">
        <v>21</v>
      </c>
      <c r="H2406" t="s">
        <v>37</v>
      </c>
      <c r="I2406" s="13">
        <v>265000</v>
      </c>
      <c r="J2406" s="13">
        <v>250000</v>
      </c>
      <c r="K2406" s="13">
        <f>IF(J2406&lt;'Mapa Oficinas'!$I$21,0,IF(J2406&gt;'Mapa Oficinas'!$I$20,0,1))</f>
        <v>1</v>
      </c>
      <c r="L2406" t="s">
        <v>23</v>
      </c>
      <c r="M2406" t="s">
        <v>23</v>
      </c>
      <c r="N2406" t="s">
        <v>6083</v>
      </c>
      <c r="O2406" t="s">
        <v>5424</v>
      </c>
      <c r="P2406" t="s">
        <v>34</v>
      </c>
      <c r="Q2406">
        <v>2</v>
      </c>
      <c r="R2406" t="s">
        <v>110</v>
      </c>
      <c r="S2406" t="s">
        <v>79</v>
      </c>
      <c r="T2406" t="str">
        <f>VLOOKUP(S2406,'Mapa Oficinas'!$H$7:$I$16,2,FALSE)</f>
        <v>CB</v>
      </c>
      <c r="U2406" t="s">
        <v>29</v>
      </c>
      <c r="V2406" t="str">
        <f>VLOOKUP($R2406,'Mapa Oficinas'!$A$7:$C$46,2,FALSE)</f>
        <v>Zona Norte (GBA)</v>
      </c>
      <c r="W2406" t="str">
        <f>VLOOKUP($R2406,'Mapa Oficinas'!$A$7:$C$46,3,FALSE)</f>
        <v>Nordelta</v>
      </c>
    </row>
    <row r="2407" spans="1:23" x14ac:dyDescent="0.2">
      <c r="A2407" s="1">
        <v>45877</v>
      </c>
      <c r="B2407" s="20">
        <f t="shared" si="74"/>
        <v>2025</v>
      </c>
      <c r="C2407" s="20">
        <f t="shared" si="75"/>
        <v>8</v>
      </c>
      <c r="D2407" t="s">
        <v>3493</v>
      </c>
      <c r="E2407" s="49">
        <v>1</v>
      </c>
      <c r="F2407" t="s">
        <v>3494</v>
      </c>
      <c r="G2407" t="s">
        <v>21</v>
      </c>
      <c r="H2407" t="s">
        <v>37</v>
      </c>
      <c r="I2407" s="13">
        <v>250000</v>
      </c>
      <c r="J2407" s="13">
        <v>250000</v>
      </c>
      <c r="K2407" s="13">
        <f>IF(J2407&lt;'Mapa Oficinas'!$I$21,0,IF(J2407&gt;'Mapa Oficinas'!$I$20,0,1))</f>
        <v>1</v>
      </c>
      <c r="L2407" t="s">
        <v>23</v>
      </c>
      <c r="M2407" t="s">
        <v>23</v>
      </c>
      <c r="N2407" t="s">
        <v>3495</v>
      </c>
      <c r="O2407" t="s">
        <v>50</v>
      </c>
      <c r="P2407" t="s">
        <v>45</v>
      </c>
      <c r="Q2407">
        <v>1</v>
      </c>
      <c r="R2407" t="s">
        <v>46</v>
      </c>
      <c r="S2407" t="s">
        <v>47</v>
      </c>
      <c r="T2407" t="str">
        <f>VLOOKUP(S2407,'Mapa Oficinas'!$H$7:$I$16,2,FALSE)</f>
        <v>Otra Red Búsqueda</v>
      </c>
      <c r="U2407" t="s">
        <v>29</v>
      </c>
      <c r="V2407" t="str">
        <f>VLOOKUP($R2407,'Mapa Oficinas'!$A$7:$C$46,2,FALSE)</f>
        <v>CABA</v>
      </c>
      <c r="W2407" t="str">
        <f>VLOOKUP($R2407,'Mapa Oficinas'!$A$7:$C$46,3,FALSE)</f>
        <v>Palermo</v>
      </c>
    </row>
    <row r="2408" spans="1:23" x14ac:dyDescent="0.2">
      <c r="A2408" s="1">
        <v>45978</v>
      </c>
      <c r="B2408" s="20">
        <f t="shared" si="74"/>
        <v>2025</v>
      </c>
      <c r="C2408" s="20">
        <f t="shared" si="75"/>
        <v>11</v>
      </c>
      <c r="D2408">
        <v>10571</v>
      </c>
      <c r="E2408" s="49">
        <v>1</v>
      </c>
      <c r="F2408" t="s">
        <v>5265</v>
      </c>
      <c r="G2408" t="s">
        <v>21</v>
      </c>
      <c r="H2408" t="s">
        <v>37</v>
      </c>
      <c r="I2408" s="13">
        <v>250000</v>
      </c>
      <c r="J2408" s="13">
        <v>250000</v>
      </c>
      <c r="K2408" s="13">
        <f>IF(J2408&lt;'Mapa Oficinas'!$I$21,0,IF(J2408&gt;'Mapa Oficinas'!$I$20,0,1))</f>
        <v>1</v>
      </c>
      <c r="L2408" t="s">
        <v>23</v>
      </c>
      <c r="M2408" t="s">
        <v>23</v>
      </c>
      <c r="N2408" t="s">
        <v>5265</v>
      </c>
      <c r="O2408" t="s">
        <v>66</v>
      </c>
      <c r="P2408" t="s">
        <v>45</v>
      </c>
      <c r="Q2408">
        <v>1</v>
      </c>
      <c r="R2408" t="s">
        <v>67</v>
      </c>
      <c r="S2408" t="s">
        <v>47</v>
      </c>
      <c r="T2408" t="str">
        <f>VLOOKUP(S2408,'Mapa Oficinas'!$H$7:$I$16,2,FALSE)</f>
        <v>Otra Red Búsqueda</v>
      </c>
      <c r="U2408" t="s">
        <v>29</v>
      </c>
      <c r="V2408" t="str">
        <f>VLOOKUP($R2408,'Mapa Oficinas'!$A$7:$C$46,2,FALSE)</f>
        <v>CABA</v>
      </c>
      <c r="W2408" t="str">
        <f>VLOOKUP($R2408,'Mapa Oficinas'!$A$7:$C$46,3,FALSE)</f>
        <v>Barrio Parque</v>
      </c>
    </row>
    <row r="2409" spans="1:23" x14ac:dyDescent="0.2">
      <c r="A2409" s="1">
        <v>46099</v>
      </c>
      <c r="B2409" s="20">
        <f t="shared" si="74"/>
        <v>2026</v>
      </c>
      <c r="C2409" s="20">
        <f t="shared" si="75"/>
        <v>3</v>
      </c>
      <c r="D2409" t="s">
        <v>7289</v>
      </c>
      <c r="E2409" s="49">
        <v>1</v>
      </c>
      <c r="F2409" t="s">
        <v>7289</v>
      </c>
      <c r="G2409" t="s">
        <v>21</v>
      </c>
      <c r="H2409" t="s">
        <v>37</v>
      </c>
      <c r="I2409" s="13">
        <v>250000</v>
      </c>
      <c r="J2409" s="13">
        <v>250000</v>
      </c>
      <c r="K2409" s="13">
        <f>IF(J2409&lt;'Mapa Oficinas'!$I$21,0,IF(J2409&gt;'Mapa Oficinas'!$I$20,0,1))</f>
        <v>1</v>
      </c>
      <c r="L2409" t="s">
        <v>23</v>
      </c>
      <c r="M2409" t="s">
        <v>23</v>
      </c>
      <c r="O2409" t="s">
        <v>4724</v>
      </c>
      <c r="P2409" t="s">
        <v>34</v>
      </c>
      <c r="Q2409">
        <v>1</v>
      </c>
      <c r="R2409" t="s">
        <v>321</v>
      </c>
      <c r="S2409" t="s">
        <v>47</v>
      </c>
      <c r="T2409" t="str">
        <f>VLOOKUP(S2409,'Mapa Oficinas'!$H$7:$I$16,2,FALSE)</f>
        <v>Otra Red Búsqueda</v>
      </c>
      <c r="U2409" t="s">
        <v>29</v>
      </c>
      <c r="V2409" t="str">
        <f>VLOOKUP($R2409,'Mapa Oficinas'!$A$7:$C$46,2,FALSE)</f>
        <v>CABA</v>
      </c>
      <c r="W2409" t="str">
        <f>VLOOKUP($R2409,'Mapa Oficinas'!$A$7:$C$46,3,FALSE)</f>
        <v>Palermo</v>
      </c>
    </row>
    <row r="2410" spans="1:23" x14ac:dyDescent="0.2">
      <c r="A2410" s="1">
        <v>45981</v>
      </c>
      <c r="B2410" s="20">
        <f t="shared" si="74"/>
        <v>2025</v>
      </c>
      <c r="C2410" s="20">
        <f t="shared" si="75"/>
        <v>11</v>
      </c>
      <c r="D2410" t="s">
        <v>5345</v>
      </c>
      <c r="E2410" s="49">
        <v>1</v>
      </c>
      <c r="F2410" t="s">
        <v>5346</v>
      </c>
      <c r="G2410" t="s">
        <v>21</v>
      </c>
      <c r="H2410" t="s">
        <v>37</v>
      </c>
      <c r="I2410" s="13">
        <v>260000</v>
      </c>
      <c r="J2410" s="13">
        <v>250000</v>
      </c>
      <c r="K2410" s="13">
        <f>IF(J2410&lt;'Mapa Oficinas'!$I$21,0,IF(J2410&gt;'Mapa Oficinas'!$I$20,0,1))</f>
        <v>1</v>
      </c>
      <c r="L2410" t="s">
        <v>23</v>
      </c>
      <c r="M2410" t="s">
        <v>23</v>
      </c>
      <c r="N2410" t="s">
        <v>5347</v>
      </c>
      <c r="O2410" t="s">
        <v>684</v>
      </c>
      <c r="P2410" t="s">
        <v>45</v>
      </c>
      <c r="Q2410">
        <v>2</v>
      </c>
      <c r="R2410" t="s">
        <v>67</v>
      </c>
      <c r="S2410" t="s">
        <v>200</v>
      </c>
      <c r="T2410" t="str">
        <f>VLOOKUP(S2410,'Mapa Oficinas'!$H$7:$I$16,2,FALSE)</f>
        <v>Otra Red Captación</v>
      </c>
      <c r="U2410" t="s">
        <v>29</v>
      </c>
      <c r="V2410" t="str">
        <f>VLOOKUP($R2410,'Mapa Oficinas'!$A$7:$C$46,2,FALSE)</f>
        <v>CABA</v>
      </c>
      <c r="W2410" t="str">
        <f>VLOOKUP($R2410,'Mapa Oficinas'!$A$7:$C$46,3,FALSE)</f>
        <v>Barrio Parque</v>
      </c>
    </row>
    <row r="2411" spans="1:23" x14ac:dyDescent="0.2">
      <c r="A2411" s="1">
        <v>45754</v>
      </c>
      <c r="B2411" s="20">
        <f t="shared" si="74"/>
        <v>2025</v>
      </c>
      <c r="C2411" s="20">
        <f t="shared" si="75"/>
        <v>4</v>
      </c>
      <c r="D2411" t="s">
        <v>1328</v>
      </c>
      <c r="E2411" s="49">
        <v>1</v>
      </c>
      <c r="F2411" t="s">
        <v>1329</v>
      </c>
      <c r="G2411" t="s">
        <v>21</v>
      </c>
      <c r="H2411" t="s">
        <v>76</v>
      </c>
      <c r="I2411" s="13">
        <v>250000</v>
      </c>
      <c r="J2411" s="13">
        <v>250000</v>
      </c>
      <c r="K2411" s="13">
        <f>IF(J2411&lt;'Mapa Oficinas'!$I$21,0,IF(J2411&gt;'Mapa Oficinas'!$I$20,0,1))</f>
        <v>1</v>
      </c>
      <c r="L2411" t="s">
        <v>23</v>
      </c>
      <c r="M2411" t="s">
        <v>23</v>
      </c>
      <c r="O2411" t="s">
        <v>1330</v>
      </c>
      <c r="P2411" t="s">
        <v>26</v>
      </c>
      <c r="Q2411">
        <v>2</v>
      </c>
      <c r="R2411" t="s">
        <v>257</v>
      </c>
      <c r="S2411" t="s">
        <v>28</v>
      </c>
      <c r="T2411" t="str">
        <f>VLOOKUP(S2411,'Mapa Oficinas'!$H$7:$I$16,2,FALSE)</f>
        <v>CB</v>
      </c>
      <c r="U2411" t="s">
        <v>29</v>
      </c>
      <c r="V2411" t="str">
        <f>VLOOKUP($R2411,'Mapa Oficinas'!$A$7:$C$46,2,FALSE)</f>
        <v>Zona Norte (GBA)</v>
      </c>
      <c r="W2411" t="str">
        <f>VLOOKUP($R2411,'Mapa Oficinas'!$A$7:$C$46,3,FALSE)</f>
        <v>Pilar</v>
      </c>
    </row>
    <row r="2412" spans="1:23" x14ac:dyDescent="0.2">
      <c r="A2412" s="1">
        <v>45806</v>
      </c>
      <c r="B2412" s="20">
        <f t="shared" si="74"/>
        <v>2025</v>
      </c>
      <c r="C2412" s="20">
        <f t="shared" si="75"/>
        <v>5</v>
      </c>
      <c r="D2412" t="s">
        <v>2216</v>
      </c>
      <c r="E2412" s="49">
        <v>1</v>
      </c>
      <c r="F2412" t="s">
        <v>2217</v>
      </c>
      <c r="G2412" t="s">
        <v>21</v>
      </c>
      <c r="H2412" t="s">
        <v>37</v>
      </c>
      <c r="I2412" s="13">
        <v>290000</v>
      </c>
      <c r="J2412" s="13">
        <v>250000</v>
      </c>
      <c r="K2412" s="13">
        <f>IF(J2412&lt;'Mapa Oficinas'!$I$21,0,IF(J2412&gt;'Mapa Oficinas'!$I$20,0,1))</f>
        <v>1</v>
      </c>
      <c r="L2412" t="s">
        <v>23</v>
      </c>
      <c r="M2412" t="s">
        <v>23</v>
      </c>
      <c r="N2412" t="s">
        <v>2218</v>
      </c>
      <c r="O2412" t="s">
        <v>50</v>
      </c>
      <c r="P2412" t="s">
        <v>45</v>
      </c>
      <c r="Q2412">
        <v>2</v>
      </c>
      <c r="R2412" t="s">
        <v>135</v>
      </c>
      <c r="S2412" t="s">
        <v>28</v>
      </c>
      <c r="T2412" t="str">
        <f>VLOOKUP(S2412,'Mapa Oficinas'!$H$7:$I$16,2,FALSE)</f>
        <v>CB</v>
      </c>
      <c r="U2412" t="s">
        <v>29</v>
      </c>
      <c r="V2412" t="str">
        <f>VLOOKUP($R2412,'Mapa Oficinas'!$A$7:$C$46,2,FALSE)</f>
        <v>CABA</v>
      </c>
      <c r="W2412" t="str">
        <f>VLOOKUP($R2412,'Mapa Oficinas'!$A$7:$C$46,3,FALSE)</f>
        <v>Recoleta</v>
      </c>
    </row>
    <row r="2413" spans="1:23" x14ac:dyDescent="0.2">
      <c r="A2413" s="1">
        <v>45832</v>
      </c>
      <c r="B2413" s="20">
        <f t="shared" si="74"/>
        <v>2025</v>
      </c>
      <c r="C2413" s="20">
        <f t="shared" si="75"/>
        <v>6</v>
      </c>
      <c r="D2413" t="s">
        <v>2620</v>
      </c>
      <c r="E2413" s="49">
        <v>1</v>
      </c>
      <c r="F2413" t="s">
        <v>2621</v>
      </c>
      <c r="G2413" t="s">
        <v>21</v>
      </c>
      <c r="H2413" t="s">
        <v>37</v>
      </c>
      <c r="I2413" s="13">
        <v>260000</v>
      </c>
      <c r="J2413" s="13">
        <v>250000</v>
      </c>
      <c r="K2413" s="13">
        <f>IF(J2413&lt;'Mapa Oficinas'!$I$21,0,IF(J2413&gt;'Mapa Oficinas'!$I$20,0,1))</f>
        <v>1</v>
      </c>
      <c r="L2413" t="s">
        <v>23</v>
      </c>
      <c r="M2413" t="s">
        <v>23</v>
      </c>
      <c r="N2413" t="s">
        <v>2622</v>
      </c>
      <c r="O2413" t="s">
        <v>66</v>
      </c>
      <c r="P2413" t="s">
        <v>61</v>
      </c>
      <c r="Q2413">
        <v>2</v>
      </c>
      <c r="R2413" t="s">
        <v>135</v>
      </c>
      <c r="S2413" t="s">
        <v>28</v>
      </c>
      <c r="T2413" t="str">
        <f>VLOOKUP(S2413,'Mapa Oficinas'!$H$7:$I$16,2,FALSE)</f>
        <v>CB</v>
      </c>
      <c r="U2413" t="s">
        <v>29</v>
      </c>
      <c r="V2413" t="str">
        <f>VLOOKUP($R2413,'Mapa Oficinas'!$A$7:$C$46,2,FALSE)</f>
        <v>CABA</v>
      </c>
      <c r="W2413" t="str">
        <f>VLOOKUP($R2413,'Mapa Oficinas'!$A$7:$C$46,3,FALSE)</f>
        <v>Recoleta</v>
      </c>
    </row>
    <row r="2414" spans="1:23" x14ac:dyDescent="0.2">
      <c r="A2414" s="1">
        <v>45842</v>
      </c>
      <c r="B2414" s="20">
        <f t="shared" si="74"/>
        <v>2025</v>
      </c>
      <c r="C2414" s="20">
        <f t="shared" si="75"/>
        <v>7</v>
      </c>
      <c r="D2414" t="s">
        <v>2892</v>
      </c>
      <c r="E2414" s="49">
        <v>1</v>
      </c>
      <c r="F2414" t="s">
        <v>2893</v>
      </c>
      <c r="G2414" t="s">
        <v>21</v>
      </c>
      <c r="H2414" t="s">
        <v>37</v>
      </c>
      <c r="I2414" s="13">
        <v>259000</v>
      </c>
      <c r="J2414" s="13">
        <v>250000</v>
      </c>
      <c r="K2414" s="13">
        <f>IF(J2414&lt;'Mapa Oficinas'!$I$21,0,IF(J2414&gt;'Mapa Oficinas'!$I$20,0,1))</f>
        <v>1</v>
      </c>
      <c r="L2414" t="s">
        <v>23</v>
      </c>
      <c r="M2414" t="s">
        <v>23</v>
      </c>
      <c r="N2414" t="s">
        <v>2894</v>
      </c>
      <c r="O2414" t="s">
        <v>408</v>
      </c>
      <c r="P2414" t="s">
        <v>45</v>
      </c>
      <c r="Q2414">
        <v>2</v>
      </c>
      <c r="R2414" t="s">
        <v>56</v>
      </c>
      <c r="S2414" t="s">
        <v>28</v>
      </c>
      <c r="T2414" t="str">
        <f>VLOOKUP(S2414,'Mapa Oficinas'!$H$7:$I$16,2,FALSE)</f>
        <v>CB</v>
      </c>
      <c r="U2414" t="s">
        <v>29</v>
      </c>
      <c r="V2414" t="str">
        <f>VLOOKUP($R2414,'Mapa Oficinas'!$A$7:$C$46,2,FALSE)</f>
        <v>Zona Norte (GBA)</v>
      </c>
      <c r="W2414" t="str">
        <f>VLOOKUP($R2414,'Mapa Oficinas'!$A$7:$C$46,3,FALSE)</f>
        <v>Vicente López</v>
      </c>
    </row>
    <row r="2415" spans="1:23" x14ac:dyDescent="0.2">
      <c r="A2415" s="1">
        <v>45890</v>
      </c>
      <c r="B2415" s="20">
        <f t="shared" si="74"/>
        <v>2025</v>
      </c>
      <c r="C2415" s="20">
        <f t="shared" si="75"/>
        <v>8</v>
      </c>
      <c r="D2415" t="s">
        <v>3705</v>
      </c>
      <c r="E2415" s="49">
        <v>1</v>
      </c>
      <c r="F2415" t="s">
        <v>3706</v>
      </c>
      <c r="G2415" t="s">
        <v>21</v>
      </c>
      <c r="H2415" t="s">
        <v>37</v>
      </c>
      <c r="I2415" s="13">
        <v>280000</v>
      </c>
      <c r="J2415" s="13">
        <v>250000</v>
      </c>
      <c r="K2415" s="13">
        <f>IF(J2415&lt;'Mapa Oficinas'!$I$21,0,IF(J2415&gt;'Mapa Oficinas'!$I$20,0,1))</f>
        <v>1</v>
      </c>
      <c r="L2415" t="s">
        <v>23</v>
      </c>
      <c r="M2415" t="s">
        <v>23</v>
      </c>
      <c r="N2415" t="s">
        <v>3707</v>
      </c>
      <c r="O2415" t="s">
        <v>3708</v>
      </c>
      <c r="P2415" t="s">
        <v>34</v>
      </c>
      <c r="Q2415">
        <v>2</v>
      </c>
      <c r="R2415" t="s">
        <v>183</v>
      </c>
      <c r="S2415" t="s">
        <v>28</v>
      </c>
      <c r="T2415" t="str">
        <f>VLOOKUP(S2415,'Mapa Oficinas'!$H$7:$I$16,2,FALSE)</f>
        <v>CB</v>
      </c>
      <c r="U2415" t="s">
        <v>29</v>
      </c>
      <c r="V2415" t="str">
        <f>VLOOKUP($R2415,'Mapa Oficinas'!$A$7:$C$46,2,FALSE)</f>
        <v>Interior - Neuquén</v>
      </c>
      <c r="W2415" t="str">
        <f>VLOOKUP($R2415,'Mapa Oficinas'!$A$7:$C$46,3,FALSE)</f>
        <v>Capital Neuquén</v>
      </c>
    </row>
    <row r="2416" spans="1:23" x14ac:dyDescent="0.2">
      <c r="A2416" s="1">
        <v>45958</v>
      </c>
      <c r="B2416" s="20">
        <f t="shared" si="74"/>
        <v>2025</v>
      </c>
      <c r="C2416" s="20">
        <f t="shared" si="75"/>
        <v>10</v>
      </c>
      <c r="D2416" t="s">
        <v>4967</v>
      </c>
      <c r="E2416" s="49">
        <v>1</v>
      </c>
      <c r="F2416" t="s">
        <v>4968</v>
      </c>
      <c r="G2416" t="s">
        <v>21</v>
      </c>
      <c r="H2416" t="s">
        <v>37</v>
      </c>
      <c r="I2416" s="13">
        <v>259900</v>
      </c>
      <c r="J2416" s="13">
        <v>250000</v>
      </c>
      <c r="K2416" s="13">
        <f>IF(J2416&lt;'Mapa Oficinas'!$I$21,0,IF(J2416&gt;'Mapa Oficinas'!$I$20,0,1))</f>
        <v>1</v>
      </c>
      <c r="L2416" t="s">
        <v>23</v>
      </c>
      <c r="M2416" t="s">
        <v>23</v>
      </c>
      <c r="N2416" t="s">
        <v>4969</v>
      </c>
      <c r="O2416" t="s">
        <v>976</v>
      </c>
      <c r="P2416" t="s">
        <v>45</v>
      </c>
      <c r="Q2416">
        <v>2</v>
      </c>
      <c r="R2416" t="s">
        <v>1024</v>
      </c>
      <c r="S2416" t="s">
        <v>28</v>
      </c>
      <c r="T2416" t="str">
        <f>VLOOKUP(S2416,'Mapa Oficinas'!$H$7:$I$16,2,FALSE)</f>
        <v>CB</v>
      </c>
      <c r="U2416" t="s">
        <v>29</v>
      </c>
      <c r="V2416" t="str">
        <f>VLOOKUP($R2416,'Mapa Oficinas'!$A$7:$C$46,2,FALSE)</f>
        <v>CABA</v>
      </c>
      <c r="W2416" t="str">
        <f>VLOOKUP($R2416,'Mapa Oficinas'!$A$7:$C$46,3,FALSE)</f>
        <v>Puerto Madero</v>
      </c>
    </row>
    <row r="2417" spans="1:23" x14ac:dyDescent="0.2">
      <c r="A2417" s="1">
        <v>46043</v>
      </c>
      <c r="B2417" s="20">
        <f t="shared" si="74"/>
        <v>2026</v>
      </c>
      <c r="C2417" s="20">
        <f t="shared" si="75"/>
        <v>1</v>
      </c>
      <c r="D2417" t="s">
        <v>6360</v>
      </c>
      <c r="E2417" s="49">
        <v>1</v>
      </c>
      <c r="F2417" t="s">
        <v>6361</v>
      </c>
      <c r="G2417" t="s">
        <v>21</v>
      </c>
      <c r="H2417" t="s">
        <v>37</v>
      </c>
      <c r="I2417" s="13">
        <v>250000</v>
      </c>
      <c r="J2417" s="13">
        <v>250000</v>
      </c>
      <c r="K2417" s="13">
        <f>IF(J2417&lt;'Mapa Oficinas'!$I$21,0,IF(J2417&gt;'Mapa Oficinas'!$I$20,0,1))</f>
        <v>1</v>
      </c>
      <c r="L2417" t="s">
        <v>23</v>
      </c>
      <c r="M2417" t="s">
        <v>23</v>
      </c>
      <c r="N2417" t="s">
        <v>6362</v>
      </c>
      <c r="O2417" t="s">
        <v>66</v>
      </c>
      <c r="P2417" t="s">
        <v>45</v>
      </c>
      <c r="Q2417">
        <v>2</v>
      </c>
      <c r="R2417" t="s">
        <v>5456</v>
      </c>
      <c r="S2417" t="s">
        <v>28</v>
      </c>
      <c r="T2417" t="str">
        <f>VLOOKUP(S2417,'Mapa Oficinas'!$H$7:$I$16,2,FALSE)</f>
        <v>CB</v>
      </c>
      <c r="U2417" t="s">
        <v>29</v>
      </c>
      <c r="V2417" t="str">
        <f>VLOOKUP($R2417,'Mapa Oficinas'!$A$7:$C$46,2,FALSE)</f>
        <v>CABA</v>
      </c>
      <c r="W2417" t="str">
        <f>VLOOKUP($R2417,'Mapa Oficinas'!$A$7:$C$46,3,FALSE)</f>
        <v>Núñez</v>
      </c>
    </row>
    <row r="2418" spans="1:23" x14ac:dyDescent="0.2">
      <c r="A2418" s="1">
        <v>45736</v>
      </c>
      <c r="B2418" s="20">
        <f t="shared" si="74"/>
        <v>2025</v>
      </c>
      <c r="C2418" s="20">
        <f t="shared" si="75"/>
        <v>3</v>
      </c>
      <c r="D2418" t="s">
        <v>1032</v>
      </c>
      <c r="E2418" s="49">
        <v>1</v>
      </c>
      <c r="F2418" t="s">
        <v>1033</v>
      </c>
      <c r="G2418" t="s">
        <v>21</v>
      </c>
      <c r="H2418" t="s">
        <v>37</v>
      </c>
      <c r="I2418" s="13">
        <v>265000</v>
      </c>
      <c r="J2418" s="13">
        <v>252000</v>
      </c>
      <c r="K2418" s="13">
        <f>IF(J2418&lt;'Mapa Oficinas'!$I$21,0,IF(J2418&gt;'Mapa Oficinas'!$I$20,0,1))</f>
        <v>1</v>
      </c>
      <c r="L2418" t="s">
        <v>23</v>
      </c>
      <c r="M2418" t="s">
        <v>23</v>
      </c>
      <c r="N2418" t="s">
        <v>1034</v>
      </c>
      <c r="O2418" t="s">
        <v>1035</v>
      </c>
      <c r="P2418" t="s">
        <v>34</v>
      </c>
      <c r="Q2418">
        <v>2</v>
      </c>
      <c r="R2418" t="s">
        <v>67</v>
      </c>
      <c r="S2418" t="s">
        <v>79</v>
      </c>
      <c r="T2418" t="str">
        <f>VLOOKUP(S2418,'Mapa Oficinas'!$H$7:$I$16,2,FALSE)</f>
        <v>CB</v>
      </c>
      <c r="U2418" t="s">
        <v>29</v>
      </c>
      <c r="V2418" t="str">
        <f>VLOOKUP($R2418,'Mapa Oficinas'!$A$7:$C$46,2,FALSE)</f>
        <v>CABA</v>
      </c>
      <c r="W2418" t="str">
        <f>VLOOKUP($R2418,'Mapa Oficinas'!$A$7:$C$46,3,FALSE)</f>
        <v>Barrio Parque</v>
      </c>
    </row>
    <row r="2419" spans="1:23" x14ac:dyDescent="0.2">
      <c r="A2419" s="1">
        <v>45979</v>
      </c>
      <c r="B2419" s="20">
        <f t="shared" si="74"/>
        <v>2025</v>
      </c>
      <c r="C2419" s="20">
        <f t="shared" si="75"/>
        <v>11</v>
      </c>
      <c r="D2419" t="s">
        <v>5303</v>
      </c>
      <c r="E2419" s="49">
        <v>1</v>
      </c>
      <c r="F2419" t="s">
        <v>5304</v>
      </c>
      <c r="G2419" t="s">
        <v>21</v>
      </c>
      <c r="H2419" t="s">
        <v>37</v>
      </c>
      <c r="I2419" s="13">
        <v>257000</v>
      </c>
      <c r="J2419" s="13">
        <v>253000</v>
      </c>
      <c r="K2419" s="13">
        <f>IF(J2419&lt;'Mapa Oficinas'!$I$21,0,IF(J2419&gt;'Mapa Oficinas'!$I$20,0,1))</f>
        <v>1</v>
      </c>
      <c r="L2419" t="s">
        <v>23</v>
      </c>
      <c r="M2419" t="s">
        <v>23</v>
      </c>
      <c r="N2419" t="s">
        <v>5305</v>
      </c>
      <c r="O2419" t="s">
        <v>3189</v>
      </c>
      <c r="P2419" t="s">
        <v>45</v>
      </c>
      <c r="Q2419">
        <v>2</v>
      </c>
      <c r="R2419" t="s">
        <v>67</v>
      </c>
      <c r="S2419" t="s">
        <v>28</v>
      </c>
      <c r="T2419" t="str">
        <f>VLOOKUP(S2419,'Mapa Oficinas'!$H$7:$I$16,2,FALSE)</f>
        <v>CB</v>
      </c>
      <c r="U2419" t="s">
        <v>29</v>
      </c>
      <c r="V2419" t="str">
        <f>VLOOKUP($R2419,'Mapa Oficinas'!$A$7:$C$46,2,FALSE)</f>
        <v>CABA</v>
      </c>
      <c r="W2419" t="str">
        <f>VLOOKUP($R2419,'Mapa Oficinas'!$A$7:$C$46,3,FALSE)</f>
        <v>Barrio Parque</v>
      </c>
    </row>
    <row r="2420" spans="1:23" x14ac:dyDescent="0.2">
      <c r="A2420" s="1">
        <v>45763</v>
      </c>
      <c r="B2420" s="20">
        <f t="shared" si="74"/>
        <v>2025</v>
      </c>
      <c r="C2420" s="20">
        <f t="shared" si="75"/>
        <v>4</v>
      </c>
      <c r="D2420" t="s">
        <v>391</v>
      </c>
      <c r="E2420" s="49">
        <v>1</v>
      </c>
      <c r="F2420" t="s">
        <v>392</v>
      </c>
      <c r="G2420" t="s">
        <v>21</v>
      </c>
      <c r="H2420" t="s">
        <v>100</v>
      </c>
      <c r="I2420" s="13">
        <v>238023</v>
      </c>
      <c r="J2420" s="13">
        <v>253435</v>
      </c>
      <c r="K2420" s="13">
        <f>IF(J2420&lt;'Mapa Oficinas'!$I$21,0,IF(J2420&gt;'Mapa Oficinas'!$I$20,0,1))</f>
        <v>1</v>
      </c>
      <c r="L2420" t="s">
        <v>23</v>
      </c>
      <c r="M2420" t="s">
        <v>23</v>
      </c>
      <c r="N2420" t="s">
        <v>393</v>
      </c>
      <c r="O2420" t="s">
        <v>209</v>
      </c>
      <c r="P2420" t="s">
        <v>45</v>
      </c>
      <c r="Q2420">
        <v>2</v>
      </c>
      <c r="R2420" t="s">
        <v>121</v>
      </c>
      <c r="S2420" t="s">
        <v>28</v>
      </c>
      <c r="T2420" t="str">
        <f>VLOOKUP(S2420,'Mapa Oficinas'!$H$7:$I$16,2,FALSE)</f>
        <v>CB</v>
      </c>
      <c r="U2420" t="s">
        <v>29</v>
      </c>
      <c r="V2420" t="str">
        <f>VLOOKUP($R2420,'Mapa Oficinas'!$A$7:$C$46,2,FALSE)</f>
        <v>Interior - Río Negro</v>
      </c>
      <c r="W2420" t="str">
        <f>VLOOKUP($R2420,'Mapa Oficinas'!$A$7:$C$46,3,FALSE)</f>
        <v>Bariloche</v>
      </c>
    </row>
    <row r="2421" spans="1:23" x14ac:dyDescent="0.2">
      <c r="A2421" s="1">
        <v>45684</v>
      </c>
      <c r="B2421" s="20">
        <f t="shared" si="74"/>
        <v>2025</v>
      </c>
      <c r="C2421" s="20">
        <f t="shared" si="75"/>
        <v>1</v>
      </c>
      <c r="D2421" t="s">
        <v>391</v>
      </c>
      <c r="E2421" s="49">
        <v>1</v>
      </c>
      <c r="F2421" t="s">
        <v>392</v>
      </c>
      <c r="G2421" t="s">
        <v>21</v>
      </c>
      <c r="H2421" t="s">
        <v>100</v>
      </c>
      <c r="I2421" s="13">
        <v>238023</v>
      </c>
      <c r="J2421" s="13">
        <v>254805</v>
      </c>
      <c r="K2421" s="13">
        <f>IF(J2421&lt;'Mapa Oficinas'!$I$21,0,IF(J2421&gt;'Mapa Oficinas'!$I$20,0,1))</f>
        <v>1</v>
      </c>
      <c r="L2421" t="s">
        <v>23</v>
      </c>
      <c r="M2421" t="s">
        <v>23</v>
      </c>
      <c r="N2421" t="s">
        <v>393</v>
      </c>
      <c r="O2421" t="s">
        <v>209</v>
      </c>
      <c r="P2421" t="s">
        <v>45</v>
      </c>
      <c r="Q2421">
        <v>2</v>
      </c>
      <c r="R2421" t="s">
        <v>121</v>
      </c>
      <c r="S2421" t="s">
        <v>79</v>
      </c>
      <c r="T2421" t="str">
        <f>VLOOKUP(S2421,'Mapa Oficinas'!$H$7:$I$16,2,FALSE)</f>
        <v>CB</v>
      </c>
      <c r="U2421" t="s">
        <v>29</v>
      </c>
      <c r="V2421" t="str">
        <f>VLOOKUP($R2421,'Mapa Oficinas'!$A$7:$C$46,2,FALSE)</f>
        <v>Interior - Río Negro</v>
      </c>
      <c r="W2421" t="str">
        <f>VLOOKUP($R2421,'Mapa Oficinas'!$A$7:$C$46,3,FALSE)</f>
        <v>Bariloche</v>
      </c>
    </row>
    <row r="2422" spans="1:23" x14ac:dyDescent="0.2">
      <c r="A2422" s="1">
        <v>45939</v>
      </c>
      <c r="B2422" s="20">
        <f t="shared" si="74"/>
        <v>2025</v>
      </c>
      <c r="C2422" s="20">
        <f t="shared" si="75"/>
        <v>10</v>
      </c>
      <c r="D2422" t="s">
        <v>4631</v>
      </c>
      <c r="E2422" s="49">
        <v>1</v>
      </c>
      <c r="F2422" t="s">
        <v>4632</v>
      </c>
      <c r="G2422" t="s">
        <v>21</v>
      </c>
      <c r="H2422" t="s">
        <v>37</v>
      </c>
      <c r="I2422" s="13">
        <v>255000</v>
      </c>
      <c r="J2422" s="13">
        <v>255000</v>
      </c>
      <c r="K2422" s="13">
        <f>IF(J2422&lt;'Mapa Oficinas'!$I$21,0,IF(J2422&gt;'Mapa Oficinas'!$I$20,0,1))</f>
        <v>1</v>
      </c>
      <c r="L2422" t="s">
        <v>23</v>
      </c>
      <c r="M2422" t="s">
        <v>23</v>
      </c>
      <c r="N2422" t="s">
        <v>4632</v>
      </c>
      <c r="O2422" t="s">
        <v>66</v>
      </c>
      <c r="P2422" t="s">
        <v>45</v>
      </c>
      <c r="Q2422">
        <v>1</v>
      </c>
      <c r="R2422" t="s">
        <v>46</v>
      </c>
      <c r="S2422" t="s">
        <v>47</v>
      </c>
      <c r="T2422" t="str">
        <f>VLOOKUP(S2422,'Mapa Oficinas'!$H$7:$I$16,2,FALSE)</f>
        <v>Otra Red Búsqueda</v>
      </c>
      <c r="U2422" t="s">
        <v>29</v>
      </c>
      <c r="V2422" t="str">
        <f>VLOOKUP($R2422,'Mapa Oficinas'!$A$7:$C$46,2,FALSE)</f>
        <v>CABA</v>
      </c>
      <c r="W2422" t="str">
        <f>VLOOKUP($R2422,'Mapa Oficinas'!$A$7:$C$46,3,FALSE)</f>
        <v>Palermo</v>
      </c>
    </row>
    <row r="2423" spans="1:23" x14ac:dyDescent="0.2">
      <c r="A2423" s="1">
        <v>46020</v>
      </c>
      <c r="B2423" s="20">
        <f t="shared" si="74"/>
        <v>2025</v>
      </c>
      <c r="C2423" s="20">
        <f t="shared" si="75"/>
        <v>12</v>
      </c>
      <c r="D2423" t="s">
        <v>6069</v>
      </c>
      <c r="E2423" s="49">
        <v>1</v>
      </c>
      <c r="F2423" t="s">
        <v>6070</v>
      </c>
      <c r="G2423" t="s">
        <v>21</v>
      </c>
      <c r="H2423" t="s">
        <v>37</v>
      </c>
      <c r="I2423" s="13">
        <v>360000</v>
      </c>
      <c r="J2423" s="13">
        <v>255000</v>
      </c>
      <c r="K2423" s="13">
        <f>IF(J2423&lt;'Mapa Oficinas'!$I$21,0,IF(J2423&gt;'Mapa Oficinas'!$I$20,0,1))</f>
        <v>1</v>
      </c>
      <c r="L2423" t="s">
        <v>23</v>
      </c>
      <c r="M2423" t="s">
        <v>23</v>
      </c>
      <c r="N2423" t="s">
        <v>6071</v>
      </c>
      <c r="O2423" t="s">
        <v>6072</v>
      </c>
      <c r="P2423" t="s">
        <v>34</v>
      </c>
      <c r="Q2423">
        <v>1</v>
      </c>
      <c r="R2423" t="s">
        <v>110</v>
      </c>
      <c r="S2423" t="s">
        <v>47</v>
      </c>
      <c r="T2423" t="str">
        <f>VLOOKUP(S2423,'Mapa Oficinas'!$H$7:$I$16,2,FALSE)</f>
        <v>Otra Red Búsqueda</v>
      </c>
      <c r="U2423" t="s">
        <v>29</v>
      </c>
      <c r="V2423" t="str">
        <f>VLOOKUP($R2423,'Mapa Oficinas'!$A$7:$C$46,2,FALSE)</f>
        <v>Zona Norte (GBA)</v>
      </c>
      <c r="W2423" t="str">
        <f>VLOOKUP($R2423,'Mapa Oficinas'!$A$7:$C$46,3,FALSE)</f>
        <v>Nordelta</v>
      </c>
    </row>
    <row r="2424" spans="1:23" x14ac:dyDescent="0.2">
      <c r="A2424" s="1">
        <v>45692</v>
      </c>
      <c r="B2424" s="20">
        <f t="shared" si="74"/>
        <v>2025</v>
      </c>
      <c r="C2424" s="20">
        <f t="shared" si="75"/>
        <v>2</v>
      </c>
      <c r="D2424" t="s">
        <v>486</v>
      </c>
      <c r="E2424" s="49">
        <v>1</v>
      </c>
      <c r="F2424" t="s">
        <v>487</v>
      </c>
      <c r="G2424" t="s">
        <v>21</v>
      </c>
      <c r="H2424" t="s">
        <v>37</v>
      </c>
      <c r="I2424" s="13">
        <v>255000</v>
      </c>
      <c r="J2424" s="13">
        <v>255000</v>
      </c>
      <c r="K2424" s="13">
        <f>IF(J2424&lt;'Mapa Oficinas'!$I$21,0,IF(J2424&gt;'Mapa Oficinas'!$I$20,0,1))</f>
        <v>1</v>
      </c>
      <c r="L2424" t="s">
        <v>23</v>
      </c>
      <c r="M2424" t="s">
        <v>23</v>
      </c>
      <c r="O2424" t="s">
        <v>408</v>
      </c>
      <c r="P2424" t="s">
        <v>45</v>
      </c>
      <c r="Q2424">
        <v>2</v>
      </c>
      <c r="R2424" t="s">
        <v>321</v>
      </c>
      <c r="S2424" t="s">
        <v>28</v>
      </c>
      <c r="T2424" t="str">
        <f>VLOOKUP(S2424,'Mapa Oficinas'!$H$7:$I$16,2,FALSE)</f>
        <v>CB</v>
      </c>
      <c r="U2424" t="s">
        <v>29</v>
      </c>
      <c r="V2424" t="str">
        <f>VLOOKUP($R2424,'Mapa Oficinas'!$A$7:$C$46,2,FALSE)</f>
        <v>CABA</v>
      </c>
      <c r="W2424" t="str">
        <f>VLOOKUP($R2424,'Mapa Oficinas'!$A$7:$C$46,3,FALSE)</f>
        <v>Palermo</v>
      </c>
    </row>
    <row r="2425" spans="1:23" x14ac:dyDescent="0.2">
      <c r="A2425" s="1">
        <v>45835</v>
      </c>
      <c r="B2425" s="20">
        <f t="shared" si="74"/>
        <v>2025</v>
      </c>
      <c r="C2425" s="20">
        <f t="shared" si="75"/>
        <v>6</v>
      </c>
      <c r="D2425" t="s">
        <v>2722</v>
      </c>
      <c r="E2425" s="49">
        <v>1</v>
      </c>
      <c r="F2425" t="s">
        <v>2723</v>
      </c>
      <c r="G2425" t="s">
        <v>21</v>
      </c>
      <c r="H2425" t="s">
        <v>37</v>
      </c>
      <c r="I2425" s="13">
        <v>295000</v>
      </c>
      <c r="J2425" s="13">
        <v>258000</v>
      </c>
      <c r="K2425" s="13">
        <f>IF(J2425&lt;'Mapa Oficinas'!$I$21,0,IF(J2425&gt;'Mapa Oficinas'!$I$20,0,1))</f>
        <v>1</v>
      </c>
      <c r="L2425" t="s">
        <v>23</v>
      </c>
      <c r="M2425" t="s">
        <v>23</v>
      </c>
      <c r="N2425" t="s">
        <v>2724</v>
      </c>
      <c r="O2425" t="s">
        <v>2725</v>
      </c>
      <c r="P2425" t="s">
        <v>34</v>
      </c>
      <c r="Q2425">
        <v>2</v>
      </c>
      <c r="R2425" t="s">
        <v>151</v>
      </c>
      <c r="S2425" t="s">
        <v>28</v>
      </c>
      <c r="T2425" t="str">
        <f>VLOOKUP(S2425,'Mapa Oficinas'!$H$7:$I$16,2,FALSE)</f>
        <v>CB</v>
      </c>
      <c r="U2425" t="s">
        <v>29</v>
      </c>
      <c r="V2425" t="str">
        <f>VLOOKUP($R2425,'Mapa Oficinas'!$A$7:$C$46,2,FALSE)</f>
        <v>Interior - Mendoza</v>
      </c>
      <c r="W2425" t="str">
        <f>VLOOKUP($R2425,'Mapa Oficinas'!$A$7:$C$46,3,FALSE)</f>
        <v>Capital Mendoza</v>
      </c>
    </row>
    <row r="2426" spans="1:23" x14ac:dyDescent="0.2">
      <c r="A2426" s="1">
        <v>46063</v>
      </c>
      <c r="B2426" s="20">
        <f t="shared" si="74"/>
        <v>2026</v>
      </c>
      <c r="C2426" s="20">
        <f t="shared" si="75"/>
        <v>2</v>
      </c>
      <c r="D2426" t="s">
        <v>6633</v>
      </c>
      <c r="E2426" s="49">
        <v>1</v>
      </c>
      <c r="F2426" t="s">
        <v>6634</v>
      </c>
      <c r="G2426" t="s">
        <v>21</v>
      </c>
      <c r="H2426" t="s">
        <v>37</v>
      </c>
      <c r="I2426" s="13">
        <v>245000</v>
      </c>
      <c r="J2426" s="13">
        <v>259000</v>
      </c>
      <c r="K2426" s="13">
        <f>IF(J2426&lt;'Mapa Oficinas'!$I$21,0,IF(J2426&gt;'Mapa Oficinas'!$I$20,0,1))</f>
        <v>1</v>
      </c>
      <c r="L2426" t="s">
        <v>23</v>
      </c>
      <c r="M2426" t="s">
        <v>23</v>
      </c>
      <c r="N2426" t="s">
        <v>6635</v>
      </c>
      <c r="O2426" t="s">
        <v>6636</v>
      </c>
      <c r="P2426" t="s">
        <v>34</v>
      </c>
      <c r="Q2426">
        <v>2</v>
      </c>
      <c r="R2426" t="s">
        <v>110</v>
      </c>
      <c r="S2426" t="s">
        <v>28</v>
      </c>
      <c r="T2426" t="str">
        <f>VLOOKUP(S2426,'Mapa Oficinas'!$H$7:$I$16,2,FALSE)</f>
        <v>CB</v>
      </c>
      <c r="U2426" t="s">
        <v>29</v>
      </c>
      <c r="V2426" t="str">
        <f>VLOOKUP($R2426,'Mapa Oficinas'!$A$7:$C$46,2,FALSE)</f>
        <v>Zona Norte (GBA)</v>
      </c>
      <c r="W2426" t="str">
        <f>VLOOKUP($R2426,'Mapa Oficinas'!$A$7:$C$46,3,FALSE)</f>
        <v>Nordelta</v>
      </c>
    </row>
    <row r="2427" spans="1:23" x14ac:dyDescent="0.2">
      <c r="A2427" s="1">
        <v>45683</v>
      </c>
      <c r="B2427" s="20">
        <f t="shared" si="74"/>
        <v>2025</v>
      </c>
      <c r="C2427" s="20">
        <f t="shared" si="75"/>
        <v>1</v>
      </c>
      <c r="D2427" t="s">
        <v>356</v>
      </c>
      <c r="E2427" s="49">
        <v>1</v>
      </c>
      <c r="F2427" t="s">
        <v>357</v>
      </c>
      <c r="G2427" t="s">
        <v>21</v>
      </c>
      <c r="H2427" t="s">
        <v>37</v>
      </c>
      <c r="I2427" s="13">
        <v>279000</v>
      </c>
      <c r="J2427" s="13">
        <v>260000</v>
      </c>
      <c r="K2427" s="13">
        <f>IF(J2427&lt;'Mapa Oficinas'!$I$21,0,IF(J2427&gt;'Mapa Oficinas'!$I$20,0,1))</f>
        <v>1</v>
      </c>
      <c r="L2427" t="s">
        <v>23</v>
      </c>
      <c r="M2427" t="s">
        <v>23</v>
      </c>
      <c r="N2427" t="s">
        <v>358</v>
      </c>
      <c r="O2427" t="s">
        <v>359</v>
      </c>
      <c r="P2427" t="s">
        <v>34</v>
      </c>
      <c r="Q2427">
        <v>2</v>
      </c>
      <c r="R2427" t="s">
        <v>110</v>
      </c>
      <c r="S2427" t="s">
        <v>79</v>
      </c>
      <c r="T2427" t="str">
        <f>VLOOKUP(S2427,'Mapa Oficinas'!$H$7:$I$16,2,FALSE)</f>
        <v>CB</v>
      </c>
      <c r="U2427" t="s">
        <v>29</v>
      </c>
      <c r="V2427" t="str">
        <f>VLOOKUP($R2427,'Mapa Oficinas'!$A$7:$C$46,2,FALSE)</f>
        <v>Zona Norte (GBA)</v>
      </c>
      <c r="W2427" t="str">
        <f>VLOOKUP($R2427,'Mapa Oficinas'!$A$7:$C$46,3,FALSE)</f>
        <v>Nordelta</v>
      </c>
    </row>
    <row r="2428" spans="1:23" x14ac:dyDescent="0.2">
      <c r="A2428" s="1">
        <v>45758</v>
      </c>
      <c r="B2428" s="20">
        <f t="shared" si="74"/>
        <v>2025</v>
      </c>
      <c r="C2428" s="20">
        <f t="shared" si="75"/>
        <v>4</v>
      </c>
      <c r="E2428" s="49">
        <v>1</v>
      </c>
      <c r="F2428" t="s">
        <v>1400</v>
      </c>
      <c r="G2428" t="s">
        <v>21</v>
      </c>
      <c r="H2428" t="s">
        <v>76</v>
      </c>
      <c r="I2428" s="13">
        <v>260000</v>
      </c>
      <c r="J2428" s="13">
        <v>260000</v>
      </c>
      <c r="K2428" s="13">
        <f>IF(J2428&lt;'Mapa Oficinas'!$I$21,0,IF(J2428&gt;'Mapa Oficinas'!$I$20,0,1))</f>
        <v>1</v>
      </c>
      <c r="L2428" t="s">
        <v>23</v>
      </c>
      <c r="M2428" t="s">
        <v>23</v>
      </c>
      <c r="N2428" t="s">
        <v>1401</v>
      </c>
      <c r="O2428" t="s">
        <v>66</v>
      </c>
      <c r="P2428" t="s">
        <v>45</v>
      </c>
      <c r="Q2428">
        <v>2</v>
      </c>
      <c r="R2428" t="s">
        <v>523</v>
      </c>
      <c r="S2428" t="s">
        <v>79</v>
      </c>
      <c r="T2428" t="str">
        <f>VLOOKUP(S2428,'Mapa Oficinas'!$H$7:$I$16,2,FALSE)</f>
        <v>CB</v>
      </c>
      <c r="U2428" t="s">
        <v>29</v>
      </c>
      <c r="V2428" t="str">
        <f>VLOOKUP($R2428,'Mapa Oficinas'!$A$7:$C$46,2,FALSE)</f>
        <v>CABA</v>
      </c>
      <c r="W2428" t="str">
        <f>VLOOKUP($R2428,'Mapa Oficinas'!$A$7:$C$46,3,FALSE)</f>
        <v>Belgrano</v>
      </c>
    </row>
    <row r="2429" spans="1:23" x14ac:dyDescent="0.2">
      <c r="A2429" s="1">
        <v>45881</v>
      </c>
      <c r="B2429" s="20">
        <f t="shared" si="74"/>
        <v>2025</v>
      </c>
      <c r="C2429" s="20">
        <f t="shared" si="75"/>
        <v>8</v>
      </c>
      <c r="D2429" t="s">
        <v>3553</v>
      </c>
      <c r="E2429" s="49">
        <v>1</v>
      </c>
      <c r="F2429" t="s">
        <v>3554</v>
      </c>
      <c r="G2429" t="s">
        <v>21</v>
      </c>
      <c r="H2429" t="s">
        <v>76</v>
      </c>
      <c r="I2429" s="13">
        <v>278000</v>
      </c>
      <c r="J2429" s="13">
        <v>260000</v>
      </c>
      <c r="K2429" s="13">
        <f>IF(J2429&lt;'Mapa Oficinas'!$I$21,0,IF(J2429&gt;'Mapa Oficinas'!$I$20,0,1))</f>
        <v>1</v>
      </c>
      <c r="L2429" t="s">
        <v>23</v>
      </c>
      <c r="M2429" t="s">
        <v>23</v>
      </c>
      <c r="N2429" t="s">
        <v>3555</v>
      </c>
      <c r="O2429" t="s">
        <v>2988</v>
      </c>
      <c r="P2429" t="s">
        <v>45</v>
      </c>
      <c r="Q2429">
        <v>2</v>
      </c>
      <c r="R2429" t="s">
        <v>257</v>
      </c>
      <c r="S2429" t="s">
        <v>79</v>
      </c>
      <c r="T2429" t="str">
        <f>VLOOKUP(S2429,'Mapa Oficinas'!$H$7:$I$16,2,FALSE)</f>
        <v>CB</v>
      </c>
      <c r="U2429" t="s">
        <v>29</v>
      </c>
      <c r="V2429" t="str">
        <f>VLOOKUP($R2429,'Mapa Oficinas'!$A$7:$C$46,2,FALSE)</f>
        <v>Zona Norte (GBA)</v>
      </c>
      <c r="W2429" t="str">
        <f>VLOOKUP($R2429,'Mapa Oficinas'!$A$7:$C$46,3,FALSE)</f>
        <v>Pilar</v>
      </c>
    </row>
    <row r="2430" spans="1:23" x14ac:dyDescent="0.2">
      <c r="A2430" s="1">
        <v>45973</v>
      </c>
      <c r="B2430" s="20">
        <f t="shared" si="74"/>
        <v>2025</v>
      </c>
      <c r="C2430" s="20">
        <f t="shared" si="75"/>
        <v>11</v>
      </c>
      <c r="D2430" t="s">
        <v>5171</v>
      </c>
      <c r="E2430" s="49">
        <v>1</v>
      </c>
      <c r="F2430" t="s">
        <v>5172</v>
      </c>
      <c r="G2430" t="s">
        <v>21</v>
      </c>
      <c r="H2430" t="s">
        <v>37</v>
      </c>
      <c r="I2430" s="13">
        <v>275000</v>
      </c>
      <c r="J2430" s="13">
        <v>260000</v>
      </c>
      <c r="K2430" s="13">
        <f>IF(J2430&lt;'Mapa Oficinas'!$I$21,0,IF(J2430&gt;'Mapa Oficinas'!$I$20,0,1))</f>
        <v>1</v>
      </c>
      <c r="L2430" t="s">
        <v>23</v>
      </c>
      <c r="M2430" t="s">
        <v>23</v>
      </c>
      <c r="N2430" t="s">
        <v>5173</v>
      </c>
      <c r="O2430" t="s">
        <v>5174</v>
      </c>
      <c r="P2430" t="s">
        <v>34</v>
      </c>
      <c r="Q2430">
        <v>2</v>
      </c>
      <c r="R2430" t="s">
        <v>110</v>
      </c>
      <c r="S2430" t="s">
        <v>79</v>
      </c>
      <c r="T2430" t="str">
        <f>VLOOKUP(S2430,'Mapa Oficinas'!$H$7:$I$16,2,FALSE)</f>
        <v>CB</v>
      </c>
      <c r="U2430" t="s">
        <v>29</v>
      </c>
      <c r="V2430" t="str">
        <f>VLOOKUP($R2430,'Mapa Oficinas'!$A$7:$C$46,2,FALSE)</f>
        <v>Zona Norte (GBA)</v>
      </c>
      <c r="W2430" t="str">
        <f>VLOOKUP($R2430,'Mapa Oficinas'!$A$7:$C$46,3,FALSE)</f>
        <v>Nordelta</v>
      </c>
    </row>
    <row r="2431" spans="1:23" x14ac:dyDescent="0.2">
      <c r="A2431" s="1">
        <v>45819</v>
      </c>
      <c r="B2431" s="20">
        <f t="shared" si="74"/>
        <v>2025</v>
      </c>
      <c r="C2431" s="20">
        <f t="shared" si="75"/>
        <v>6</v>
      </c>
      <c r="D2431" t="s">
        <v>2440</v>
      </c>
      <c r="E2431" s="49">
        <v>3</v>
      </c>
      <c r="F2431" t="s">
        <v>2441</v>
      </c>
      <c r="G2431" t="s">
        <v>21</v>
      </c>
      <c r="H2431" t="s">
        <v>37</v>
      </c>
      <c r="I2431" s="13">
        <v>250000</v>
      </c>
      <c r="J2431" s="13">
        <v>260000</v>
      </c>
      <c r="K2431" s="13">
        <f>IF(J2431&lt;'Mapa Oficinas'!$I$21,0,IF(J2431&gt;'Mapa Oficinas'!$I$20,0,1))</f>
        <v>1</v>
      </c>
      <c r="L2431" t="s">
        <v>23</v>
      </c>
      <c r="M2431" t="s">
        <v>23</v>
      </c>
      <c r="N2431" t="s">
        <v>2442</v>
      </c>
      <c r="O2431" t="s">
        <v>2443</v>
      </c>
      <c r="P2431" t="s">
        <v>45</v>
      </c>
      <c r="Q2431">
        <v>2</v>
      </c>
      <c r="R2431" t="s">
        <v>110</v>
      </c>
      <c r="S2431" t="s">
        <v>232</v>
      </c>
      <c r="T2431" t="str">
        <f>VLOOKUP(S2431,'Mapa Oficinas'!$H$7:$I$16,2,FALSE)</f>
        <v>CB</v>
      </c>
      <c r="U2431" t="s">
        <v>29</v>
      </c>
      <c r="V2431" t="str">
        <f>VLOOKUP($R2431,'Mapa Oficinas'!$A$7:$C$46,2,FALSE)</f>
        <v>Zona Norte (GBA)</v>
      </c>
      <c r="W2431" t="str">
        <f>VLOOKUP($R2431,'Mapa Oficinas'!$A$7:$C$46,3,FALSE)</f>
        <v>Nordelta</v>
      </c>
    </row>
    <row r="2432" spans="1:23" x14ac:dyDescent="0.2">
      <c r="A2432" s="1">
        <v>46029</v>
      </c>
      <c r="B2432" s="20">
        <f t="shared" si="74"/>
        <v>2026</v>
      </c>
      <c r="C2432" s="20">
        <f t="shared" si="75"/>
        <v>1</v>
      </c>
      <c r="D2432" t="s">
        <v>6128</v>
      </c>
      <c r="E2432" s="49">
        <v>3</v>
      </c>
      <c r="F2432" t="s">
        <v>6129</v>
      </c>
      <c r="G2432" t="s">
        <v>21</v>
      </c>
      <c r="H2432" t="s">
        <v>37</v>
      </c>
      <c r="I2432" s="13">
        <v>279000</v>
      </c>
      <c r="J2432" s="13">
        <v>260000</v>
      </c>
      <c r="K2432" s="13">
        <f>IF(J2432&lt;'Mapa Oficinas'!$I$21,0,IF(J2432&gt;'Mapa Oficinas'!$I$20,0,1))</f>
        <v>1</v>
      </c>
      <c r="L2432" t="s">
        <v>23</v>
      </c>
      <c r="M2432" t="s">
        <v>23</v>
      </c>
      <c r="N2432" t="s">
        <v>6130</v>
      </c>
      <c r="O2432" t="s">
        <v>5329</v>
      </c>
      <c r="P2432" t="s">
        <v>45</v>
      </c>
      <c r="Q2432">
        <v>2</v>
      </c>
      <c r="R2432" t="s">
        <v>67</v>
      </c>
      <c r="S2432" t="s">
        <v>241</v>
      </c>
      <c r="T2432" t="str">
        <f>VLOOKUP(S2432,'Mapa Oficinas'!$H$7:$I$16,2,FALSE)</f>
        <v>CB</v>
      </c>
      <c r="U2432" t="s">
        <v>29</v>
      </c>
      <c r="V2432" t="str">
        <f>VLOOKUP($R2432,'Mapa Oficinas'!$A$7:$C$46,2,FALSE)</f>
        <v>CABA</v>
      </c>
      <c r="W2432" t="str">
        <f>VLOOKUP($R2432,'Mapa Oficinas'!$A$7:$C$46,3,FALSE)</f>
        <v>Barrio Parque</v>
      </c>
    </row>
    <row r="2433" spans="1:23" x14ac:dyDescent="0.2">
      <c r="A2433" s="1">
        <v>45748</v>
      </c>
      <c r="B2433" s="20">
        <f t="shared" si="74"/>
        <v>2025</v>
      </c>
      <c r="C2433" s="20">
        <f t="shared" si="75"/>
        <v>4</v>
      </c>
      <c r="D2433" t="s">
        <v>1240</v>
      </c>
      <c r="E2433" s="49">
        <v>1</v>
      </c>
      <c r="F2433" t="s">
        <v>1241</v>
      </c>
      <c r="G2433" t="s">
        <v>21</v>
      </c>
      <c r="H2433" t="s">
        <v>221</v>
      </c>
      <c r="I2433" s="13">
        <v>280000</v>
      </c>
      <c r="J2433" s="13">
        <v>260000</v>
      </c>
      <c r="K2433" s="13">
        <f>IF(J2433&lt;'Mapa Oficinas'!$I$21,0,IF(J2433&gt;'Mapa Oficinas'!$I$20,0,1))</f>
        <v>1</v>
      </c>
      <c r="L2433" t="s">
        <v>23</v>
      </c>
      <c r="M2433" t="s">
        <v>23</v>
      </c>
      <c r="N2433" t="s">
        <v>1242</v>
      </c>
      <c r="O2433" t="s">
        <v>481</v>
      </c>
      <c r="P2433" t="s">
        <v>34</v>
      </c>
      <c r="Q2433">
        <v>2</v>
      </c>
      <c r="R2433" t="s">
        <v>482</v>
      </c>
      <c r="S2433" t="s">
        <v>28</v>
      </c>
      <c r="T2433" t="str">
        <f>VLOOKUP(S2433,'Mapa Oficinas'!$H$7:$I$16,2,FALSE)</f>
        <v>CB</v>
      </c>
      <c r="U2433" t="s">
        <v>29</v>
      </c>
      <c r="V2433" t="str">
        <f>VLOOKUP($R2433,'Mapa Oficinas'!$A$7:$C$46,2,FALSE)</f>
        <v>Interior - Jujuy</v>
      </c>
      <c r="W2433" t="str">
        <f>VLOOKUP($R2433,'Mapa Oficinas'!$A$7:$C$46,3,FALSE)</f>
        <v>Capital Jujuy</v>
      </c>
    </row>
    <row r="2434" spans="1:23" x14ac:dyDescent="0.2">
      <c r="A2434" s="1">
        <v>45785</v>
      </c>
      <c r="B2434" s="20">
        <f t="shared" ref="B2434:B2497" si="76">YEAR($A2434)</f>
        <v>2025</v>
      </c>
      <c r="C2434" s="20">
        <f t="shared" ref="C2434:C2497" si="77">MONTH($A2434)</f>
        <v>5</v>
      </c>
      <c r="D2434" t="s">
        <v>1835</v>
      </c>
      <c r="E2434" s="49">
        <v>1</v>
      </c>
      <c r="F2434" t="s">
        <v>1836</v>
      </c>
      <c r="G2434" t="s">
        <v>21</v>
      </c>
      <c r="H2434" t="s">
        <v>37</v>
      </c>
      <c r="I2434" s="13">
        <v>269000</v>
      </c>
      <c r="J2434" s="13">
        <v>260000</v>
      </c>
      <c r="K2434" s="13">
        <f>IF(J2434&lt;'Mapa Oficinas'!$I$21,0,IF(J2434&gt;'Mapa Oficinas'!$I$20,0,1))</f>
        <v>1</v>
      </c>
      <c r="L2434" t="s">
        <v>23</v>
      </c>
      <c r="M2434" t="s">
        <v>23</v>
      </c>
      <c r="N2434" t="s">
        <v>1837</v>
      </c>
      <c r="O2434" t="s">
        <v>1838</v>
      </c>
      <c r="P2434" t="s">
        <v>34</v>
      </c>
      <c r="Q2434">
        <v>2</v>
      </c>
      <c r="R2434" t="s">
        <v>110</v>
      </c>
      <c r="S2434" t="s">
        <v>28</v>
      </c>
      <c r="T2434" t="str">
        <f>VLOOKUP(S2434,'Mapa Oficinas'!$H$7:$I$16,2,FALSE)</f>
        <v>CB</v>
      </c>
      <c r="U2434" t="s">
        <v>29</v>
      </c>
      <c r="V2434" t="str">
        <f>VLOOKUP($R2434,'Mapa Oficinas'!$A$7:$C$46,2,FALSE)</f>
        <v>Zona Norte (GBA)</v>
      </c>
      <c r="W2434" t="str">
        <f>VLOOKUP($R2434,'Mapa Oficinas'!$A$7:$C$46,3,FALSE)</f>
        <v>Nordelta</v>
      </c>
    </row>
    <row r="2435" spans="1:23" x14ac:dyDescent="0.2">
      <c r="A2435" s="1">
        <v>45785</v>
      </c>
      <c r="B2435" s="20">
        <f t="shared" si="76"/>
        <v>2025</v>
      </c>
      <c r="C2435" s="20">
        <f t="shared" si="77"/>
        <v>5</v>
      </c>
      <c r="D2435" t="s">
        <v>1839</v>
      </c>
      <c r="E2435" s="49">
        <v>1</v>
      </c>
      <c r="F2435" t="s">
        <v>1758</v>
      </c>
      <c r="G2435" t="s">
        <v>21</v>
      </c>
      <c r="H2435" t="s">
        <v>100</v>
      </c>
      <c r="I2435" s="13">
        <v>253435</v>
      </c>
      <c r="J2435" s="13">
        <v>260113</v>
      </c>
      <c r="K2435" s="13">
        <f>IF(J2435&lt;'Mapa Oficinas'!$I$21,0,IF(J2435&gt;'Mapa Oficinas'!$I$20,0,1))</f>
        <v>1</v>
      </c>
      <c r="L2435" t="s">
        <v>23</v>
      </c>
      <c r="M2435" t="s">
        <v>23</v>
      </c>
      <c r="N2435" t="s">
        <v>393</v>
      </c>
      <c r="O2435" t="s">
        <v>209</v>
      </c>
      <c r="P2435" t="s">
        <v>45</v>
      </c>
      <c r="Q2435">
        <v>2</v>
      </c>
      <c r="R2435" t="s">
        <v>121</v>
      </c>
      <c r="S2435" t="s">
        <v>28</v>
      </c>
      <c r="T2435" t="str">
        <f>VLOOKUP(S2435,'Mapa Oficinas'!$H$7:$I$16,2,FALSE)</f>
        <v>CB</v>
      </c>
      <c r="U2435" t="s">
        <v>29</v>
      </c>
      <c r="V2435" t="str">
        <f>VLOOKUP($R2435,'Mapa Oficinas'!$A$7:$C$46,2,FALSE)</f>
        <v>Interior - Río Negro</v>
      </c>
      <c r="W2435" t="str">
        <f>VLOOKUP($R2435,'Mapa Oficinas'!$A$7:$C$46,3,FALSE)</f>
        <v>Bariloche</v>
      </c>
    </row>
    <row r="2436" spans="1:23" x14ac:dyDescent="0.2">
      <c r="A2436" s="1">
        <v>45958</v>
      </c>
      <c r="B2436" s="20">
        <f t="shared" si="76"/>
        <v>2025</v>
      </c>
      <c r="C2436" s="20">
        <f t="shared" si="77"/>
        <v>10</v>
      </c>
      <c r="D2436" t="s">
        <v>4970</v>
      </c>
      <c r="E2436" s="49">
        <v>1</v>
      </c>
      <c r="F2436" t="s">
        <v>4971</v>
      </c>
      <c r="G2436" t="s">
        <v>21</v>
      </c>
      <c r="H2436" t="s">
        <v>22</v>
      </c>
      <c r="I2436" s="13">
        <v>265000</v>
      </c>
      <c r="J2436" s="13">
        <v>261500</v>
      </c>
      <c r="K2436" s="13">
        <f>IF(J2436&lt;'Mapa Oficinas'!$I$21,0,IF(J2436&gt;'Mapa Oficinas'!$I$20,0,1))</f>
        <v>1</v>
      </c>
      <c r="L2436" t="s">
        <v>23</v>
      </c>
      <c r="M2436" t="s">
        <v>23</v>
      </c>
      <c r="N2436" t="s">
        <v>4972</v>
      </c>
      <c r="O2436" t="s">
        <v>317</v>
      </c>
      <c r="P2436" t="s">
        <v>34</v>
      </c>
      <c r="Q2436">
        <v>2</v>
      </c>
      <c r="R2436" t="s">
        <v>257</v>
      </c>
      <c r="S2436" t="s">
        <v>28</v>
      </c>
      <c r="T2436" t="str">
        <f>VLOOKUP(S2436,'Mapa Oficinas'!$H$7:$I$16,2,FALSE)</f>
        <v>CB</v>
      </c>
      <c r="U2436" t="s">
        <v>29</v>
      </c>
      <c r="V2436" t="str">
        <f>VLOOKUP($R2436,'Mapa Oficinas'!$A$7:$C$46,2,FALSE)</f>
        <v>Zona Norte (GBA)</v>
      </c>
      <c r="W2436" t="str">
        <f>VLOOKUP($R2436,'Mapa Oficinas'!$A$7:$C$46,3,FALSE)</f>
        <v>Pilar</v>
      </c>
    </row>
    <row r="2437" spans="1:23" x14ac:dyDescent="0.2">
      <c r="A2437" s="1">
        <v>45784</v>
      </c>
      <c r="B2437" s="20">
        <f t="shared" si="76"/>
        <v>2025</v>
      </c>
      <c r="C2437" s="20">
        <f t="shared" si="77"/>
        <v>5</v>
      </c>
      <c r="D2437" t="s">
        <v>1813</v>
      </c>
      <c r="E2437" s="49">
        <v>1</v>
      </c>
      <c r="F2437" t="s">
        <v>1814</v>
      </c>
      <c r="G2437" t="s">
        <v>21</v>
      </c>
      <c r="H2437" t="s">
        <v>37</v>
      </c>
      <c r="I2437" s="13">
        <v>287173</v>
      </c>
      <c r="J2437" s="13">
        <v>262000</v>
      </c>
      <c r="K2437" s="13">
        <f>IF(J2437&lt;'Mapa Oficinas'!$I$21,0,IF(J2437&gt;'Mapa Oficinas'!$I$20,0,1))</f>
        <v>1</v>
      </c>
      <c r="L2437" t="s">
        <v>23</v>
      </c>
      <c r="M2437" t="s">
        <v>23</v>
      </c>
      <c r="N2437" t="s">
        <v>1815</v>
      </c>
      <c r="O2437" t="s">
        <v>1343</v>
      </c>
      <c r="P2437" t="s">
        <v>45</v>
      </c>
      <c r="Q2437">
        <v>2</v>
      </c>
      <c r="R2437" t="s">
        <v>110</v>
      </c>
      <c r="S2437" t="s">
        <v>79</v>
      </c>
      <c r="T2437" t="str">
        <f>VLOOKUP(S2437,'Mapa Oficinas'!$H$7:$I$16,2,FALSE)</f>
        <v>CB</v>
      </c>
      <c r="U2437" t="s">
        <v>29</v>
      </c>
      <c r="V2437" t="str">
        <f>VLOOKUP($R2437,'Mapa Oficinas'!$A$7:$C$46,2,FALSE)</f>
        <v>Zona Norte (GBA)</v>
      </c>
      <c r="W2437" t="str">
        <f>VLOOKUP($R2437,'Mapa Oficinas'!$A$7:$C$46,3,FALSE)</f>
        <v>Nordelta</v>
      </c>
    </row>
    <row r="2438" spans="1:23" x14ac:dyDescent="0.2">
      <c r="A2438" s="1">
        <v>45845</v>
      </c>
      <c r="B2438" s="20">
        <f t="shared" si="76"/>
        <v>2025</v>
      </c>
      <c r="C2438" s="20">
        <f t="shared" si="77"/>
        <v>7</v>
      </c>
      <c r="D2438">
        <v>7072025</v>
      </c>
      <c r="E2438" s="49">
        <v>1</v>
      </c>
      <c r="F2438" t="s">
        <v>2913</v>
      </c>
      <c r="G2438" t="s">
        <v>21</v>
      </c>
      <c r="H2438" t="s">
        <v>100</v>
      </c>
      <c r="I2438" s="13">
        <v>262496</v>
      </c>
      <c r="J2438" s="13">
        <v>262496</v>
      </c>
      <c r="K2438" s="13">
        <f>IF(J2438&lt;'Mapa Oficinas'!$I$21,0,IF(J2438&gt;'Mapa Oficinas'!$I$20,0,1))</f>
        <v>1</v>
      </c>
      <c r="L2438" t="s">
        <v>23</v>
      </c>
      <c r="M2438" t="s">
        <v>23</v>
      </c>
      <c r="N2438" t="s">
        <v>2914</v>
      </c>
      <c r="O2438" t="s">
        <v>120</v>
      </c>
      <c r="P2438" t="s">
        <v>45</v>
      </c>
      <c r="Q2438">
        <v>1</v>
      </c>
      <c r="R2438" t="s">
        <v>121</v>
      </c>
      <c r="S2438" t="s">
        <v>122</v>
      </c>
      <c r="T2438" t="str">
        <f>VLOOKUP(S2438,'Mapa Oficinas'!$H$7:$I$16,2,FALSE)</f>
        <v>Otra Red Búsqueda</v>
      </c>
      <c r="U2438" t="s">
        <v>29</v>
      </c>
      <c r="V2438" t="str">
        <f>VLOOKUP($R2438,'Mapa Oficinas'!$A$7:$C$46,2,FALSE)</f>
        <v>Interior - Río Negro</v>
      </c>
      <c r="W2438" t="str">
        <f>VLOOKUP($R2438,'Mapa Oficinas'!$A$7:$C$46,3,FALSE)</f>
        <v>Bariloche</v>
      </c>
    </row>
    <row r="2439" spans="1:23" x14ac:dyDescent="0.2">
      <c r="A2439" s="1">
        <v>45887</v>
      </c>
      <c r="B2439" s="20">
        <f t="shared" si="76"/>
        <v>2025</v>
      </c>
      <c r="C2439" s="20">
        <f t="shared" si="77"/>
        <v>8</v>
      </c>
      <c r="D2439" t="s">
        <v>3623</v>
      </c>
      <c r="E2439" s="49">
        <v>1</v>
      </c>
      <c r="F2439" t="s">
        <v>3624</v>
      </c>
      <c r="G2439" t="s">
        <v>21</v>
      </c>
      <c r="H2439" t="s">
        <v>37</v>
      </c>
      <c r="I2439" s="13">
        <v>290000</v>
      </c>
      <c r="J2439" s="13">
        <v>262500</v>
      </c>
      <c r="K2439" s="13">
        <f>IF(J2439&lt;'Mapa Oficinas'!$I$21,0,IF(J2439&gt;'Mapa Oficinas'!$I$20,0,1))</f>
        <v>1</v>
      </c>
      <c r="L2439" t="s">
        <v>23</v>
      </c>
      <c r="M2439" t="s">
        <v>23</v>
      </c>
      <c r="N2439" t="s">
        <v>3625</v>
      </c>
      <c r="O2439" t="s">
        <v>3224</v>
      </c>
      <c r="P2439" t="s">
        <v>45</v>
      </c>
      <c r="Q2439">
        <v>2</v>
      </c>
      <c r="R2439" t="s">
        <v>56</v>
      </c>
      <c r="S2439" t="s">
        <v>28</v>
      </c>
      <c r="T2439" t="str">
        <f>VLOOKUP(S2439,'Mapa Oficinas'!$H$7:$I$16,2,FALSE)</f>
        <v>CB</v>
      </c>
      <c r="U2439" t="s">
        <v>29</v>
      </c>
      <c r="V2439" t="str">
        <f>VLOOKUP($R2439,'Mapa Oficinas'!$A$7:$C$46,2,FALSE)</f>
        <v>Zona Norte (GBA)</v>
      </c>
      <c r="W2439" t="str">
        <f>VLOOKUP($R2439,'Mapa Oficinas'!$A$7:$C$46,3,FALSE)</f>
        <v>Vicente López</v>
      </c>
    </row>
    <row r="2440" spans="1:23" x14ac:dyDescent="0.2">
      <c r="A2440" s="1">
        <v>45933</v>
      </c>
      <c r="B2440" s="20">
        <f t="shared" si="76"/>
        <v>2025</v>
      </c>
      <c r="C2440" s="20">
        <f t="shared" si="77"/>
        <v>10</v>
      </c>
      <c r="D2440" t="s">
        <v>4495</v>
      </c>
      <c r="E2440" s="49">
        <v>1</v>
      </c>
      <c r="F2440" t="s">
        <v>4496</v>
      </c>
      <c r="G2440" t="s">
        <v>21</v>
      </c>
      <c r="H2440" t="s">
        <v>76</v>
      </c>
      <c r="I2440" s="13">
        <v>280000</v>
      </c>
      <c r="J2440" s="13">
        <v>262500</v>
      </c>
      <c r="K2440" s="13">
        <f>IF(J2440&lt;'Mapa Oficinas'!$I$21,0,IF(J2440&gt;'Mapa Oficinas'!$I$20,0,1))</f>
        <v>1</v>
      </c>
      <c r="L2440" t="s">
        <v>23</v>
      </c>
      <c r="M2440" t="s">
        <v>23</v>
      </c>
      <c r="N2440" t="s">
        <v>4497</v>
      </c>
      <c r="O2440" t="s">
        <v>317</v>
      </c>
      <c r="P2440" t="s">
        <v>34</v>
      </c>
      <c r="Q2440">
        <v>2</v>
      </c>
      <c r="R2440" t="s">
        <v>257</v>
      </c>
      <c r="S2440" t="s">
        <v>28</v>
      </c>
      <c r="T2440" t="str">
        <f>VLOOKUP(S2440,'Mapa Oficinas'!$H$7:$I$16,2,FALSE)</f>
        <v>CB</v>
      </c>
      <c r="U2440" t="s">
        <v>29</v>
      </c>
      <c r="V2440" t="str">
        <f>VLOOKUP($R2440,'Mapa Oficinas'!$A$7:$C$46,2,FALSE)</f>
        <v>Zona Norte (GBA)</v>
      </c>
      <c r="W2440" t="str">
        <f>VLOOKUP($R2440,'Mapa Oficinas'!$A$7:$C$46,3,FALSE)</f>
        <v>Pilar</v>
      </c>
    </row>
    <row r="2441" spans="1:23" x14ac:dyDescent="0.2">
      <c r="A2441" s="1">
        <v>46087</v>
      </c>
      <c r="B2441" s="20">
        <f t="shared" si="76"/>
        <v>2026</v>
      </c>
      <c r="C2441" s="20">
        <f t="shared" si="77"/>
        <v>3</v>
      </c>
      <c r="D2441" t="s">
        <v>7017</v>
      </c>
      <c r="E2441" s="49">
        <v>1</v>
      </c>
      <c r="F2441" t="s">
        <v>7018</v>
      </c>
      <c r="G2441" t="s">
        <v>21</v>
      </c>
      <c r="H2441" t="s">
        <v>37</v>
      </c>
      <c r="I2441" s="13">
        <v>310000</v>
      </c>
      <c r="J2441" s="13">
        <v>263000</v>
      </c>
      <c r="K2441" s="13">
        <f>IF(J2441&lt;'Mapa Oficinas'!$I$21,0,IF(J2441&gt;'Mapa Oficinas'!$I$20,0,1))</f>
        <v>1</v>
      </c>
      <c r="L2441" t="s">
        <v>23</v>
      </c>
      <c r="M2441" t="s">
        <v>23</v>
      </c>
      <c r="N2441" t="s">
        <v>7019</v>
      </c>
      <c r="O2441" t="s">
        <v>66</v>
      </c>
      <c r="P2441" t="s">
        <v>45</v>
      </c>
      <c r="Q2441">
        <v>2</v>
      </c>
      <c r="R2441" t="s">
        <v>135</v>
      </c>
      <c r="S2441" t="s">
        <v>28</v>
      </c>
      <c r="T2441" t="str">
        <f>VLOOKUP(S2441,'Mapa Oficinas'!$H$7:$I$16,2,FALSE)</f>
        <v>CB</v>
      </c>
      <c r="U2441" t="s">
        <v>29</v>
      </c>
      <c r="V2441" t="str">
        <f>VLOOKUP($R2441,'Mapa Oficinas'!$A$7:$C$46,2,FALSE)</f>
        <v>CABA</v>
      </c>
      <c r="W2441" t="str">
        <f>VLOOKUP($R2441,'Mapa Oficinas'!$A$7:$C$46,3,FALSE)</f>
        <v>Recoleta</v>
      </c>
    </row>
    <row r="2442" spans="1:23" x14ac:dyDescent="0.2">
      <c r="A2442" s="1">
        <v>45916</v>
      </c>
      <c r="B2442" s="20">
        <f t="shared" si="76"/>
        <v>2025</v>
      </c>
      <c r="C2442" s="20">
        <f t="shared" si="77"/>
        <v>9</v>
      </c>
      <c r="D2442" t="s">
        <v>4193</v>
      </c>
      <c r="E2442" s="49">
        <v>1</v>
      </c>
      <c r="F2442" t="s">
        <v>4194</v>
      </c>
      <c r="G2442" t="s">
        <v>21</v>
      </c>
      <c r="H2442" t="s">
        <v>81</v>
      </c>
      <c r="I2442" s="13">
        <v>285000</v>
      </c>
      <c r="J2442" s="13">
        <v>265000</v>
      </c>
      <c r="K2442" s="13">
        <f>IF(J2442&lt;'Mapa Oficinas'!$I$21,0,IF(J2442&gt;'Mapa Oficinas'!$I$20,0,1))</f>
        <v>1</v>
      </c>
      <c r="L2442" t="s">
        <v>23</v>
      </c>
      <c r="M2442" t="s">
        <v>23</v>
      </c>
      <c r="N2442" t="s">
        <v>4195</v>
      </c>
      <c r="O2442" t="s">
        <v>1239</v>
      </c>
      <c r="P2442" t="s">
        <v>34</v>
      </c>
      <c r="Q2442">
        <v>1</v>
      </c>
      <c r="R2442" t="s">
        <v>130</v>
      </c>
      <c r="S2442" t="s">
        <v>152</v>
      </c>
      <c r="T2442" t="str">
        <f>VLOOKUP(S2442,'Mapa Oficinas'!$H$7:$I$16,2,FALSE)</f>
        <v>Otra Red Captación</v>
      </c>
      <c r="U2442" t="s">
        <v>29</v>
      </c>
      <c r="V2442" t="str">
        <f>VLOOKUP($R2442,'Mapa Oficinas'!$A$7:$C$46,2,FALSE)</f>
        <v>Interior - Neuquén</v>
      </c>
      <c r="W2442" t="str">
        <f>VLOOKUP($R2442,'Mapa Oficinas'!$A$7:$C$46,3,FALSE)</f>
        <v>San Martín de los Andes</v>
      </c>
    </row>
    <row r="2443" spans="1:23" x14ac:dyDescent="0.2">
      <c r="A2443" s="1">
        <v>45980</v>
      </c>
      <c r="B2443" s="20">
        <f t="shared" si="76"/>
        <v>2025</v>
      </c>
      <c r="C2443" s="20">
        <f t="shared" si="77"/>
        <v>11</v>
      </c>
      <c r="D2443" t="s">
        <v>5320</v>
      </c>
      <c r="E2443" s="49">
        <v>1</v>
      </c>
      <c r="F2443" t="s">
        <v>5321</v>
      </c>
      <c r="G2443" t="s">
        <v>21</v>
      </c>
      <c r="H2443" t="s">
        <v>37</v>
      </c>
      <c r="I2443" s="13">
        <v>265000</v>
      </c>
      <c r="J2443" s="13">
        <v>265000</v>
      </c>
      <c r="K2443" s="13">
        <f>IF(J2443&lt;'Mapa Oficinas'!$I$21,0,IF(J2443&gt;'Mapa Oficinas'!$I$20,0,1))</f>
        <v>1</v>
      </c>
      <c r="L2443" t="s">
        <v>23</v>
      </c>
      <c r="M2443" t="s">
        <v>23</v>
      </c>
      <c r="N2443" t="s">
        <v>5322</v>
      </c>
      <c r="O2443" t="s">
        <v>66</v>
      </c>
      <c r="P2443" t="s">
        <v>45</v>
      </c>
      <c r="Q2443">
        <v>1</v>
      </c>
      <c r="R2443" t="s">
        <v>56</v>
      </c>
      <c r="S2443" t="s">
        <v>152</v>
      </c>
      <c r="T2443" t="str">
        <f>VLOOKUP(S2443,'Mapa Oficinas'!$H$7:$I$16,2,FALSE)</f>
        <v>Otra Red Captación</v>
      </c>
      <c r="U2443" t="s">
        <v>29</v>
      </c>
      <c r="V2443" t="str">
        <f>VLOOKUP($R2443,'Mapa Oficinas'!$A$7:$C$46,2,FALSE)</f>
        <v>Zona Norte (GBA)</v>
      </c>
      <c r="W2443" t="str">
        <f>VLOOKUP($R2443,'Mapa Oficinas'!$A$7:$C$46,3,FALSE)</f>
        <v>Vicente López</v>
      </c>
    </row>
    <row r="2444" spans="1:23" x14ac:dyDescent="0.2">
      <c r="A2444" s="1">
        <v>45933</v>
      </c>
      <c r="B2444" s="20">
        <f t="shared" si="76"/>
        <v>2025</v>
      </c>
      <c r="C2444" s="20">
        <f t="shared" si="77"/>
        <v>10</v>
      </c>
      <c r="D2444">
        <v>10546</v>
      </c>
      <c r="E2444" s="49">
        <v>1</v>
      </c>
      <c r="F2444" t="s">
        <v>4498</v>
      </c>
      <c r="G2444" t="s">
        <v>21</v>
      </c>
      <c r="H2444" t="s">
        <v>37</v>
      </c>
      <c r="I2444" s="13">
        <v>0</v>
      </c>
      <c r="J2444" s="13">
        <v>265000</v>
      </c>
      <c r="K2444" s="13">
        <f>IF(J2444&lt;'Mapa Oficinas'!$I$21,0,IF(J2444&gt;'Mapa Oficinas'!$I$20,0,1))</f>
        <v>1</v>
      </c>
      <c r="L2444" t="s">
        <v>23</v>
      </c>
      <c r="M2444" t="s">
        <v>23</v>
      </c>
      <c r="O2444" t="s">
        <v>141</v>
      </c>
      <c r="P2444" t="s">
        <v>45</v>
      </c>
      <c r="Q2444">
        <v>1</v>
      </c>
      <c r="R2444" t="s">
        <v>67</v>
      </c>
      <c r="S2444" t="s">
        <v>47</v>
      </c>
      <c r="T2444" t="str">
        <f>VLOOKUP(S2444,'Mapa Oficinas'!$H$7:$I$16,2,FALSE)</f>
        <v>Otra Red Búsqueda</v>
      </c>
      <c r="U2444" t="s">
        <v>29</v>
      </c>
      <c r="V2444" t="str">
        <f>VLOOKUP($R2444,'Mapa Oficinas'!$A$7:$C$46,2,FALSE)</f>
        <v>CABA</v>
      </c>
      <c r="W2444" t="str">
        <f>VLOOKUP($R2444,'Mapa Oficinas'!$A$7:$C$46,3,FALSE)</f>
        <v>Barrio Parque</v>
      </c>
    </row>
    <row r="2445" spans="1:23" x14ac:dyDescent="0.2">
      <c r="A2445" s="1">
        <v>46006</v>
      </c>
      <c r="B2445" s="20">
        <f t="shared" si="76"/>
        <v>2025</v>
      </c>
      <c r="C2445" s="20">
        <f t="shared" si="77"/>
        <v>12</v>
      </c>
      <c r="D2445">
        <v>10590</v>
      </c>
      <c r="E2445" s="49">
        <v>1</v>
      </c>
      <c r="F2445" t="s">
        <v>5801</v>
      </c>
      <c r="G2445" t="s">
        <v>21</v>
      </c>
      <c r="H2445" t="s">
        <v>37</v>
      </c>
      <c r="I2445" s="13">
        <v>265000</v>
      </c>
      <c r="J2445" s="13">
        <v>265000</v>
      </c>
      <c r="K2445" s="13">
        <f>IF(J2445&lt;'Mapa Oficinas'!$I$21,0,IF(J2445&gt;'Mapa Oficinas'!$I$20,0,1))</f>
        <v>1</v>
      </c>
      <c r="L2445" t="s">
        <v>23</v>
      </c>
      <c r="M2445" t="s">
        <v>23</v>
      </c>
      <c r="N2445" t="s">
        <v>5801</v>
      </c>
      <c r="O2445" t="s">
        <v>231</v>
      </c>
      <c r="P2445" t="s">
        <v>34</v>
      </c>
      <c r="Q2445">
        <v>1</v>
      </c>
      <c r="R2445" t="s">
        <v>67</v>
      </c>
      <c r="S2445" t="s">
        <v>47</v>
      </c>
      <c r="T2445" t="str">
        <f>VLOOKUP(S2445,'Mapa Oficinas'!$H$7:$I$16,2,FALSE)</f>
        <v>Otra Red Búsqueda</v>
      </c>
      <c r="U2445" t="s">
        <v>29</v>
      </c>
      <c r="V2445" t="str">
        <f>VLOOKUP($R2445,'Mapa Oficinas'!$A$7:$C$46,2,FALSE)</f>
        <v>CABA</v>
      </c>
      <c r="W2445" t="str">
        <f>VLOOKUP($R2445,'Mapa Oficinas'!$A$7:$C$46,3,FALSE)</f>
        <v>Barrio Parque</v>
      </c>
    </row>
    <row r="2446" spans="1:23" x14ac:dyDescent="0.2">
      <c r="A2446" s="1">
        <v>45960</v>
      </c>
      <c r="B2446" s="20">
        <f t="shared" si="76"/>
        <v>2025</v>
      </c>
      <c r="C2446" s="20">
        <f t="shared" si="77"/>
        <v>10</v>
      </c>
      <c r="D2446" t="s">
        <v>5008</v>
      </c>
      <c r="E2446" s="49">
        <v>1</v>
      </c>
      <c r="F2446" t="s">
        <v>5009</v>
      </c>
      <c r="G2446" t="s">
        <v>21</v>
      </c>
      <c r="H2446" t="s">
        <v>37</v>
      </c>
      <c r="I2446" s="13">
        <v>269000</v>
      </c>
      <c r="J2446" s="13">
        <v>265000</v>
      </c>
      <c r="K2446" s="13">
        <f>IF(J2446&lt;'Mapa Oficinas'!$I$21,0,IF(J2446&gt;'Mapa Oficinas'!$I$20,0,1))</f>
        <v>1</v>
      </c>
      <c r="L2446" t="s">
        <v>23</v>
      </c>
      <c r="M2446" t="s">
        <v>23</v>
      </c>
      <c r="N2446" t="s">
        <v>5010</v>
      </c>
      <c r="O2446" t="s">
        <v>25</v>
      </c>
      <c r="P2446" t="s">
        <v>34</v>
      </c>
      <c r="Q2446">
        <v>2</v>
      </c>
      <c r="R2446" t="s">
        <v>67</v>
      </c>
      <c r="S2446" t="s">
        <v>200</v>
      </c>
      <c r="T2446" t="str">
        <f>VLOOKUP(S2446,'Mapa Oficinas'!$H$7:$I$16,2,FALSE)</f>
        <v>Otra Red Captación</v>
      </c>
      <c r="U2446" t="s">
        <v>29</v>
      </c>
      <c r="V2446" t="str">
        <f>VLOOKUP($R2446,'Mapa Oficinas'!$A$7:$C$46,2,FALSE)</f>
        <v>CABA</v>
      </c>
      <c r="W2446" t="str">
        <f>VLOOKUP($R2446,'Mapa Oficinas'!$A$7:$C$46,3,FALSE)</f>
        <v>Barrio Parque</v>
      </c>
    </row>
    <row r="2447" spans="1:23" x14ac:dyDescent="0.2">
      <c r="A2447" s="1">
        <v>46008</v>
      </c>
      <c r="B2447" s="20">
        <f t="shared" si="76"/>
        <v>2025</v>
      </c>
      <c r="C2447" s="20">
        <f t="shared" si="77"/>
        <v>12</v>
      </c>
      <c r="D2447" t="s">
        <v>5855</v>
      </c>
      <c r="E2447" s="49">
        <v>1</v>
      </c>
      <c r="F2447" t="s">
        <v>5856</v>
      </c>
      <c r="G2447" t="s">
        <v>21</v>
      </c>
      <c r="H2447" t="s">
        <v>37</v>
      </c>
      <c r="I2447" s="13">
        <v>265000</v>
      </c>
      <c r="J2447" s="13">
        <v>265000</v>
      </c>
      <c r="K2447" s="13">
        <f>IF(J2447&lt;'Mapa Oficinas'!$I$21,0,IF(J2447&gt;'Mapa Oficinas'!$I$20,0,1))</f>
        <v>1</v>
      </c>
      <c r="L2447" t="s">
        <v>23</v>
      </c>
      <c r="M2447" t="s">
        <v>23</v>
      </c>
      <c r="O2447" t="s">
        <v>440</v>
      </c>
      <c r="P2447" t="s">
        <v>34</v>
      </c>
      <c r="Q2447">
        <v>2</v>
      </c>
      <c r="R2447" t="s">
        <v>321</v>
      </c>
      <c r="S2447" t="s">
        <v>200</v>
      </c>
      <c r="T2447" t="str">
        <f>VLOOKUP(S2447,'Mapa Oficinas'!$H$7:$I$16,2,FALSE)</f>
        <v>Otra Red Captación</v>
      </c>
      <c r="U2447" t="s">
        <v>29</v>
      </c>
      <c r="V2447" t="str">
        <f>VLOOKUP($R2447,'Mapa Oficinas'!$A$7:$C$46,2,FALSE)</f>
        <v>CABA</v>
      </c>
      <c r="W2447" t="str">
        <f>VLOOKUP($R2447,'Mapa Oficinas'!$A$7:$C$46,3,FALSE)</f>
        <v>Palermo</v>
      </c>
    </row>
    <row r="2448" spans="1:23" x14ac:dyDescent="0.2">
      <c r="A2448" s="1">
        <v>45728</v>
      </c>
      <c r="B2448" s="20">
        <f t="shared" si="76"/>
        <v>2025</v>
      </c>
      <c r="C2448" s="20">
        <f t="shared" si="77"/>
        <v>3</v>
      </c>
      <c r="D2448" t="s">
        <v>920</v>
      </c>
      <c r="E2448" s="49">
        <v>1</v>
      </c>
      <c r="F2448" t="s">
        <v>921</v>
      </c>
      <c r="G2448" t="s">
        <v>21</v>
      </c>
      <c r="H2448" t="s">
        <v>37</v>
      </c>
      <c r="I2448" s="13">
        <v>290000</v>
      </c>
      <c r="J2448" s="13">
        <v>265000</v>
      </c>
      <c r="K2448" s="13">
        <f>IF(J2448&lt;'Mapa Oficinas'!$I$21,0,IF(J2448&gt;'Mapa Oficinas'!$I$20,0,1))</f>
        <v>1</v>
      </c>
      <c r="L2448" t="s">
        <v>23</v>
      </c>
      <c r="M2448" t="s">
        <v>23</v>
      </c>
      <c r="N2448" t="s">
        <v>922</v>
      </c>
      <c r="O2448" t="s">
        <v>345</v>
      </c>
      <c r="P2448" t="s">
        <v>34</v>
      </c>
      <c r="Q2448">
        <v>2</v>
      </c>
      <c r="R2448" t="s">
        <v>67</v>
      </c>
      <c r="S2448" t="s">
        <v>28</v>
      </c>
      <c r="T2448" t="str">
        <f>VLOOKUP(S2448,'Mapa Oficinas'!$H$7:$I$16,2,FALSE)</f>
        <v>CB</v>
      </c>
      <c r="U2448" t="s">
        <v>29</v>
      </c>
      <c r="V2448" t="str">
        <f>VLOOKUP($R2448,'Mapa Oficinas'!$A$7:$C$46,2,FALSE)</f>
        <v>CABA</v>
      </c>
      <c r="W2448" t="str">
        <f>VLOOKUP($R2448,'Mapa Oficinas'!$A$7:$C$46,3,FALSE)</f>
        <v>Barrio Parque</v>
      </c>
    </row>
    <row r="2449" spans="1:23" x14ac:dyDescent="0.2">
      <c r="A2449" s="1">
        <v>45751</v>
      </c>
      <c r="B2449" s="20">
        <f t="shared" si="76"/>
        <v>2025</v>
      </c>
      <c r="C2449" s="20">
        <f t="shared" si="77"/>
        <v>4</v>
      </c>
      <c r="D2449" t="s">
        <v>1291</v>
      </c>
      <c r="E2449" s="49">
        <v>1</v>
      </c>
      <c r="F2449" t="s">
        <v>1292</v>
      </c>
      <c r="G2449" t="s">
        <v>21</v>
      </c>
      <c r="H2449" t="s">
        <v>37</v>
      </c>
      <c r="I2449" s="13">
        <v>269000</v>
      </c>
      <c r="J2449" s="13">
        <v>265000</v>
      </c>
      <c r="K2449" s="13">
        <f>IF(J2449&lt;'Mapa Oficinas'!$I$21,0,IF(J2449&gt;'Mapa Oficinas'!$I$20,0,1))</f>
        <v>1</v>
      </c>
      <c r="L2449" t="s">
        <v>23</v>
      </c>
      <c r="M2449" t="s">
        <v>23</v>
      </c>
      <c r="N2449" t="s">
        <v>1293</v>
      </c>
      <c r="O2449" t="s">
        <v>1196</v>
      </c>
      <c r="P2449" t="s">
        <v>45</v>
      </c>
      <c r="Q2449">
        <v>2</v>
      </c>
      <c r="R2449" t="s">
        <v>1294</v>
      </c>
      <c r="S2449" t="s">
        <v>28</v>
      </c>
      <c r="T2449" t="str">
        <f>VLOOKUP(S2449,'Mapa Oficinas'!$H$7:$I$16,2,FALSE)</f>
        <v>CB</v>
      </c>
      <c r="U2449" t="s">
        <v>29</v>
      </c>
      <c r="V2449" t="str">
        <f>VLOOKUP($R2449,'Mapa Oficinas'!$A$7:$C$46,2,FALSE)</f>
        <v>CABA</v>
      </c>
      <c r="W2449" t="str">
        <f>VLOOKUP($R2449,'Mapa Oficinas'!$A$7:$C$46,3,FALSE)</f>
        <v>Núñez</v>
      </c>
    </row>
    <row r="2450" spans="1:23" x14ac:dyDescent="0.2">
      <c r="A2450" s="1">
        <v>45805</v>
      </c>
      <c r="B2450" s="20">
        <f t="shared" si="76"/>
        <v>2025</v>
      </c>
      <c r="C2450" s="20">
        <f t="shared" si="77"/>
        <v>5</v>
      </c>
      <c r="D2450" t="s">
        <v>2185</v>
      </c>
      <c r="E2450" s="49">
        <v>1</v>
      </c>
      <c r="F2450" t="s">
        <v>2186</v>
      </c>
      <c r="G2450" t="s">
        <v>21</v>
      </c>
      <c r="H2450" t="s">
        <v>37</v>
      </c>
      <c r="I2450" s="13">
        <v>275000</v>
      </c>
      <c r="J2450" s="13">
        <v>265000</v>
      </c>
      <c r="K2450" s="13">
        <f>IF(J2450&lt;'Mapa Oficinas'!$I$21,0,IF(J2450&gt;'Mapa Oficinas'!$I$20,0,1))</f>
        <v>1</v>
      </c>
      <c r="L2450" t="s">
        <v>23</v>
      </c>
      <c r="M2450" t="s">
        <v>23</v>
      </c>
      <c r="N2450" t="s">
        <v>2187</v>
      </c>
      <c r="O2450" t="s">
        <v>50</v>
      </c>
      <c r="P2450" t="s">
        <v>45</v>
      </c>
      <c r="Q2450">
        <v>2</v>
      </c>
      <c r="R2450" t="s">
        <v>46</v>
      </c>
      <c r="S2450" t="s">
        <v>28</v>
      </c>
      <c r="T2450" t="str">
        <f>VLOOKUP(S2450,'Mapa Oficinas'!$H$7:$I$16,2,FALSE)</f>
        <v>CB</v>
      </c>
      <c r="U2450" t="s">
        <v>29</v>
      </c>
      <c r="V2450" t="str">
        <f>VLOOKUP($R2450,'Mapa Oficinas'!$A$7:$C$46,2,FALSE)</f>
        <v>CABA</v>
      </c>
      <c r="W2450" t="str">
        <f>VLOOKUP($R2450,'Mapa Oficinas'!$A$7:$C$46,3,FALSE)</f>
        <v>Palermo</v>
      </c>
    </row>
    <row r="2451" spans="1:23" x14ac:dyDescent="0.2">
      <c r="A2451" s="1">
        <v>46079</v>
      </c>
      <c r="B2451" s="20">
        <f t="shared" si="76"/>
        <v>2026</v>
      </c>
      <c r="C2451" s="20">
        <f t="shared" si="77"/>
        <v>2</v>
      </c>
      <c r="D2451" t="s">
        <v>6871</v>
      </c>
      <c r="E2451" s="49">
        <v>1</v>
      </c>
      <c r="F2451" t="s">
        <v>6872</v>
      </c>
      <c r="G2451" t="s">
        <v>21</v>
      </c>
      <c r="H2451" t="s">
        <v>37</v>
      </c>
      <c r="I2451" s="13">
        <v>285000</v>
      </c>
      <c r="J2451" s="13">
        <v>265000</v>
      </c>
      <c r="K2451" s="13">
        <f>IF(J2451&lt;'Mapa Oficinas'!$I$21,0,IF(J2451&gt;'Mapa Oficinas'!$I$20,0,1))</f>
        <v>1</v>
      </c>
      <c r="L2451" t="s">
        <v>23</v>
      </c>
      <c r="M2451" t="s">
        <v>23</v>
      </c>
      <c r="N2451" t="s">
        <v>6873</v>
      </c>
      <c r="O2451" t="s">
        <v>190</v>
      </c>
      <c r="P2451" t="s">
        <v>45</v>
      </c>
      <c r="Q2451">
        <v>2</v>
      </c>
      <c r="R2451" t="s">
        <v>1024</v>
      </c>
      <c r="S2451" t="s">
        <v>28</v>
      </c>
      <c r="T2451" t="str">
        <f>VLOOKUP(S2451,'Mapa Oficinas'!$H$7:$I$16,2,FALSE)</f>
        <v>CB</v>
      </c>
      <c r="U2451" t="s">
        <v>29</v>
      </c>
      <c r="V2451" t="str">
        <f>VLOOKUP($R2451,'Mapa Oficinas'!$A$7:$C$46,2,FALSE)</f>
        <v>CABA</v>
      </c>
      <c r="W2451" t="str">
        <f>VLOOKUP($R2451,'Mapa Oficinas'!$A$7:$C$46,3,FALSE)</f>
        <v>Puerto Madero</v>
      </c>
    </row>
    <row r="2452" spans="1:23" x14ac:dyDescent="0.2">
      <c r="A2452" s="1">
        <v>45733</v>
      </c>
      <c r="B2452" s="20">
        <f t="shared" si="76"/>
        <v>2025</v>
      </c>
      <c r="C2452" s="20">
        <f t="shared" si="77"/>
        <v>3</v>
      </c>
      <c r="D2452" t="s">
        <v>987</v>
      </c>
      <c r="E2452" s="49">
        <v>1</v>
      </c>
      <c r="F2452" t="s">
        <v>988</v>
      </c>
      <c r="G2452" t="s">
        <v>21</v>
      </c>
      <c r="H2452" t="s">
        <v>37</v>
      </c>
      <c r="I2452" s="13">
        <v>266000</v>
      </c>
      <c r="J2452" s="13">
        <v>266000</v>
      </c>
      <c r="K2452" s="13">
        <f>IF(J2452&lt;'Mapa Oficinas'!$I$21,0,IF(J2452&gt;'Mapa Oficinas'!$I$20,0,1))</f>
        <v>1</v>
      </c>
      <c r="L2452" t="s">
        <v>23</v>
      </c>
      <c r="M2452" t="s">
        <v>23</v>
      </c>
      <c r="O2452" t="s">
        <v>380</v>
      </c>
      <c r="P2452" t="s">
        <v>45</v>
      </c>
      <c r="Q2452">
        <v>2</v>
      </c>
      <c r="R2452" t="s">
        <v>321</v>
      </c>
      <c r="S2452" t="s">
        <v>28</v>
      </c>
      <c r="T2452" t="str">
        <f>VLOOKUP(S2452,'Mapa Oficinas'!$H$7:$I$16,2,FALSE)</f>
        <v>CB</v>
      </c>
      <c r="U2452" t="s">
        <v>29</v>
      </c>
      <c r="V2452" t="str">
        <f>VLOOKUP($R2452,'Mapa Oficinas'!$A$7:$C$46,2,FALSE)</f>
        <v>CABA</v>
      </c>
      <c r="W2452" t="str">
        <f>VLOOKUP($R2452,'Mapa Oficinas'!$A$7:$C$46,3,FALSE)</f>
        <v>Palermo</v>
      </c>
    </row>
    <row r="2453" spans="1:23" x14ac:dyDescent="0.2">
      <c r="A2453" s="1">
        <v>45737</v>
      </c>
      <c r="B2453" s="20">
        <f t="shared" si="76"/>
        <v>2025</v>
      </c>
      <c r="C2453" s="20">
        <f t="shared" si="77"/>
        <v>3</v>
      </c>
      <c r="D2453" t="s">
        <v>1054</v>
      </c>
      <c r="E2453" s="49">
        <v>1</v>
      </c>
      <c r="F2453" t="s">
        <v>1055</v>
      </c>
      <c r="G2453" t="s">
        <v>21</v>
      </c>
      <c r="H2453" t="s">
        <v>37</v>
      </c>
      <c r="I2453" s="13">
        <v>279000</v>
      </c>
      <c r="J2453" s="13">
        <v>266500</v>
      </c>
      <c r="K2453" s="13">
        <f>IF(J2453&lt;'Mapa Oficinas'!$I$21,0,IF(J2453&gt;'Mapa Oficinas'!$I$20,0,1))</f>
        <v>1</v>
      </c>
      <c r="L2453" t="s">
        <v>23</v>
      </c>
      <c r="M2453" t="s">
        <v>23</v>
      </c>
      <c r="N2453" t="s">
        <v>1056</v>
      </c>
      <c r="O2453" t="s">
        <v>713</v>
      </c>
      <c r="P2453" t="s">
        <v>45</v>
      </c>
      <c r="Q2453">
        <v>2</v>
      </c>
      <c r="R2453" t="s">
        <v>67</v>
      </c>
      <c r="S2453" t="s">
        <v>28</v>
      </c>
      <c r="T2453" t="str">
        <f>VLOOKUP(S2453,'Mapa Oficinas'!$H$7:$I$16,2,FALSE)</f>
        <v>CB</v>
      </c>
      <c r="U2453" t="s">
        <v>29</v>
      </c>
      <c r="V2453" t="str">
        <f>VLOOKUP($R2453,'Mapa Oficinas'!$A$7:$C$46,2,FALSE)</f>
        <v>CABA</v>
      </c>
      <c r="W2453" t="str">
        <f>VLOOKUP($R2453,'Mapa Oficinas'!$A$7:$C$46,3,FALSE)</f>
        <v>Barrio Parque</v>
      </c>
    </row>
    <row r="2454" spans="1:23" x14ac:dyDescent="0.2">
      <c r="A2454" s="1">
        <v>45895</v>
      </c>
      <c r="B2454" s="20">
        <f t="shared" si="76"/>
        <v>2025</v>
      </c>
      <c r="C2454" s="20">
        <f t="shared" si="77"/>
        <v>8</v>
      </c>
      <c r="D2454" t="s">
        <v>3787</v>
      </c>
      <c r="E2454" s="49">
        <v>1</v>
      </c>
      <c r="F2454" t="s">
        <v>3788</v>
      </c>
      <c r="G2454" t="s">
        <v>21</v>
      </c>
      <c r="H2454" t="s">
        <v>37</v>
      </c>
      <c r="I2454" s="13">
        <v>320000</v>
      </c>
      <c r="J2454" s="13">
        <v>266700</v>
      </c>
      <c r="K2454" s="13">
        <f>IF(J2454&lt;'Mapa Oficinas'!$I$21,0,IF(J2454&gt;'Mapa Oficinas'!$I$20,0,1))</f>
        <v>1</v>
      </c>
      <c r="L2454" t="s">
        <v>23</v>
      </c>
      <c r="M2454" t="s">
        <v>23</v>
      </c>
      <c r="N2454" t="s">
        <v>3789</v>
      </c>
      <c r="O2454" t="s">
        <v>190</v>
      </c>
      <c r="P2454" t="s">
        <v>45</v>
      </c>
      <c r="Q2454">
        <v>2</v>
      </c>
      <c r="R2454" t="s">
        <v>67</v>
      </c>
      <c r="S2454" t="s">
        <v>28</v>
      </c>
      <c r="T2454" t="str">
        <f>VLOOKUP(S2454,'Mapa Oficinas'!$H$7:$I$16,2,FALSE)</f>
        <v>CB</v>
      </c>
      <c r="U2454" t="s">
        <v>29</v>
      </c>
      <c r="V2454" t="str">
        <f>VLOOKUP($R2454,'Mapa Oficinas'!$A$7:$C$46,2,FALSE)</f>
        <v>CABA</v>
      </c>
      <c r="W2454" t="str">
        <f>VLOOKUP($R2454,'Mapa Oficinas'!$A$7:$C$46,3,FALSE)</f>
        <v>Barrio Parque</v>
      </c>
    </row>
    <row r="2455" spans="1:23" x14ac:dyDescent="0.2">
      <c r="A2455" s="1">
        <v>45954</v>
      </c>
      <c r="B2455" s="20">
        <f t="shared" si="76"/>
        <v>2025</v>
      </c>
      <c r="C2455" s="20">
        <f t="shared" si="77"/>
        <v>10</v>
      </c>
      <c r="D2455" t="s">
        <v>4922</v>
      </c>
      <c r="E2455" s="49">
        <v>1</v>
      </c>
      <c r="F2455" t="s">
        <v>4922</v>
      </c>
      <c r="G2455" t="s">
        <v>21</v>
      </c>
      <c r="H2455" t="s">
        <v>90</v>
      </c>
      <c r="I2455" s="13">
        <v>270000</v>
      </c>
      <c r="J2455" s="13">
        <v>270000</v>
      </c>
      <c r="K2455" s="13">
        <f>IF(J2455&lt;'Mapa Oficinas'!$I$21,0,IF(J2455&gt;'Mapa Oficinas'!$I$20,0,1))</f>
        <v>1</v>
      </c>
      <c r="L2455" t="s">
        <v>23</v>
      </c>
      <c r="M2455" t="s">
        <v>23</v>
      </c>
      <c r="N2455" t="s">
        <v>4922</v>
      </c>
      <c r="O2455" t="s">
        <v>174</v>
      </c>
      <c r="P2455" t="s">
        <v>61</v>
      </c>
      <c r="Q2455">
        <v>1</v>
      </c>
      <c r="R2455" t="s">
        <v>56</v>
      </c>
      <c r="S2455" t="s">
        <v>122</v>
      </c>
      <c r="T2455" t="str">
        <f>VLOOKUP(S2455,'Mapa Oficinas'!$H$7:$I$16,2,FALSE)</f>
        <v>Otra Red Búsqueda</v>
      </c>
      <c r="U2455" t="s">
        <v>29</v>
      </c>
      <c r="V2455" t="str">
        <f>VLOOKUP($R2455,'Mapa Oficinas'!$A$7:$C$46,2,FALSE)</f>
        <v>Zona Norte (GBA)</v>
      </c>
      <c r="W2455" t="str">
        <f>VLOOKUP($R2455,'Mapa Oficinas'!$A$7:$C$46,3,FALSE)</f>
        <v>Vicente López</v>
      </c>
    </row>
    <row r="2456" spans="1:23" x14ac:dyDescent="0.2">
      <c r="A2456" s="1">
        <v>45755</v>
      </c>
      <c r="B2456" s="20">
        <f t="shared" si="76"/>
        <v>2025</v>
      </c>
      <c r="C2456" s="20">
        <f t="shared" si="77"/>
        <v>4</v>
      </c>
      <c r="D2456" t="s">
        <v>1341</v>
      </c>
      <c r="E2456" s="49">
        <v>1</v>
      </c>
      <c r="F2456" t="s">
        <v>1342</v>
      </c>
      <c r="G2456" t="s">
        <v>21</v>
      </c>
      <c r="H2456" t="s">
        <v>37</v>
      </c>
      <c r="I2456" s="13">
        <v>235000</v>
      </c>
      <c r="J2456" s="13">
        <v>270000</v>
      </c>
      <c r="K2456" s="13">
        <f>IF(J2456&lt;'Mapa Oficinas'!$I$21,0,IF(J2456&gt;'Mapa Oficinas'!$I$20,0,1))</f>
        <v>1</v>
      </c>
      <c r="L2456" t="s">
        <v>23</v>
      </c>
      <c r="M2456" t="s">
        <v>23</v>
      </c>
      <c r="N2456" t="s">
        <v>1342</v>
      </c>
      <c r="O2456" t="s">
        <v>1343</v>
      </c>
      <c r="P2456" t="s">
        <v>45</v>
      </c>
      <c r="Q2456">
        <v>2</v>
      </c>
      <c r="R2456" t="s">
        <v>110</v>
      </c>
      <c r="S2456" t="s">
        <v>79</v>
      </c>
      <c r="T2456" t="str">
        <f>VLOOKUP(S2456,'Mapa Oficinas'!$H$7:$I$16,2,FALSE)</f>
        <v>CB</v>
      </c>
      <c r="U2456" t="s">
        <v>29</v>
      </c>
      <c r="V2456" t="str">
        <f>VLOOKUP($R2456,'Mapa Oficinas'!$A$7:$C$46,2,FALSE)</f>
        <v>Zona Norte (GBA)</v>
      </c>
      <c r="W2456" t="str">
        <f>VLOOKUP($R2456,'Mapa Oficinas'!$A$7:$C$46,3,FALSE)</f>
        <v>Nordelta</v>
      </c>
    </row>
    <row r="2457" spans="1:23" x14ac:dyDescent="0.2">
      <c r="A2457" s="1">
        <v>45770</v>
      </c>
      <c r="B2457" s="20">
        <f t="shared" si="76"/>
        <v>2025</v>
      </c>
      <c r="C2457" s="20">
        <f t="shared" si="77"/>
        <v>4</v>
      </c>
      <c r="D2457" t="s">
        <v>1589</v>
      </c>
      <c r="E2457" s="49">
        <v>1</v>
      </c>
      <c r="F2457" t="s">
        <v>1590</v>
      </c>
      <c r="G2457" t="s">
        <v>21</v>
      </c>
      <c r="H2457" t="s">
        <v>37</v>
      </c>
      <c r="I2457" s="13">
        <v>290000</v>
      </c>
      <c r="J2457" s="13">
        <v>270000</v>
      </c>
      <c r="K2457" s="13">
        <f>IF(J2457&lt;'Mapa Oficinas'!$I$21,0,IF(J2457&gt;'Mapa Oficinas'!$I$20,0,1))</f>
        <v>1</v>
      </c>
      <c r="L2457" t="s">
        <v>23</v>
      </c>
      <c r="M2457" t="s">
        <v>23</v>
      </c>
      <c r="N2457" t="s">
        <v>1591</v>
      </c>
      <c r="O2457" t="s">
        <v>1343</v>
      </c>
      <c r="P2457" t="s">
        <v>45</v>
      </c>
      <c r="Q2457">
        <v>2</v>
      </c>
      <c r="R2457" t="s">
        <v>110</v>
      </c>
      <c r="S2457" t="s">
        <v>79</v>
      </c>
      <c r="T2457" t="str">
        <f>VLOOKUP(S2457,'Mapa Oficinas'!$H$7:$I$16,2,FALSE)</f>
        <v>CB</v>
      </c>
      <c r="U2457" t="s">
        <v>29</v>
      </c>
      <c r="V2457" t="str">
        <f>VLOOKUP($R2457,'Mapa Oficinas'!$A$7:$C$46,2,FALSE)</f>
        <v>Zona Norte (GBA)</v>
      </c>
      <c r="W2457" t="str">
        <f>VLOOKUP($R2457,'Mapa Oficinas'!$A$7:$C$46,3,FALSE)</f>
        <v>Nordelta</v>
      </c>
    </row>
    <row r="2458" spans="1:23" x14ac:dyDescent="0.2">
      <c r="A2458" s="1">
        <v>46021</v>
      </c>
      <c r="B2458" s="20">
        <f t="shared" si="76"/>
        <v>2025</v>
      </c>
      <c r="C2458" s="20">
        <f t="shared" si="77"/>
        <v>12</v>
      </c>
      <c r="D2458" t="s">
        <v>6081</v>
      </c>
      <c r="E2458" s="49">
        <v>1</v>
      </c>
      <c r="F2458" t="s">
        <v>6082</v>
      </c>
      <c r="G2458" t="s">
        <v>21</v>
      </c>
      <c r="H2458" t="s">
        <v>37</v>
      </c>
      <c r="I2458" s="13">
        <v>265000</v>
      </c>
      <c r="J2458" s="13">
        <v>270000</v>
      </c>
      <c r="K2458" s="13">
        <f>IF(J2458&lt;'Mapa Oficinas'!$I$21,0,IF(J2458&gt;'Mapa Oficinas'!$I$20,0,1))</f>
        <v>1</v>
      </c>
      <c r="L2458" t="s">
        <v>23</v>
      </c>
      <c r="M2458" t="s">
        <v>23</v>
      </c>
      <c r="N2458" t="s">
        <v>6083</v>
      </c>
      <c r="O2458" t="s">
        <v>5424</v>
      </c>
      <c r="P2458" t="s">
        <v>34</v>
      </c>
      <c r="Q2458">
        <v>1</v>
      </c>
      <c r="R2458" t="s">
        <v>110</v>
      </c>
      <c r="S2458" t="s">
        <v>47</v>
      </c>
      <c r="T2458" t="str">
        <f>VLOOKUP(S2458,'Mapa Oficinas'!$H$7:$I$16,2,FALSE)</f>
        <v>Otra Red Búsqueda</v>
      </c>
      <c r="U2458" t="s">
        <v>29</v>
      </c>
      <c r="V2458" t="str">
        <f>VLOOKUP($R2458,'Mapa Oficinas'!$A$7:$C$46,2,FALSE)</f>
        <v>Zona Norte (GBA)</v>
      </c>
      <c r="W2458" t="str">
        <f>VLOOKUP($R2458,'Mapa Oficinas'!$A$7:$C$46,3,FALSE)</f>
        <v>Nordelta</v>
      </c>
    </row>
    <row r="2459" spans="1:23" x14ac:dyDescent="0.2">
      <c r="A2459" s="1">
        <v>45871</v>
      </c>
      <c r="B2459" s="20">
        <f t="shared" si="76"/>
        <v>2025</v>
      </c>
      <c r="C2459" s="20">
        <f t="shared" si="77"/>
        <v>8</v>
      </c>
      <c r="D2459" t="s">
        <v>3380</v>
      </c>
      <c r="E2459" s="49">
        <v>1</v>
      </c>
      <c r="F2459" t="s">
        <v>3381</v>
      </c>
      <c r="G2459" t="s">
        <v>21</v>
      </c>
      <c r="H2459" t="s">
        <v>37</v>
      </c>
      <c r="I2459" s="13">
        <v>280000</v>
      </c>
      <c r="J2459" s="13">
        <v>270000</v>
      </c>
      <c r="K2459" s="13">
        <f>IF(J2459&lt;'Mapa Oficinas'!$I$21,0,IF(J2459&gt;'Mapa Oficinas'!$I$20,0,1))</f>
        <v>1</v>
      </c>
      <c r="L2459" t="s">
        <v>23</v>
      </c>
      <c r="M2459" t="s">
        <v>23</v>
      </c>
      <c r="N2459" t="s">
        <v>3382</v>
      </c>
      <c r="O2459" t="s">
        <v>1060</v>
      </c>
      <c r="P2459" t="s">
        <v>45</v>
      </c>
      <c r="Q2459">
        <v>2</v>
      </c>
      <c r="R2459" t="s">
        <v>523</v>
      </c>
      <c r="S2459" t="s">
        <v>200</v>
      </c>
      <c r="T2459" t="str">
        <f>VLOOKUP(S2459,'Mapa Oficinas'!$H$7:$I$16,2,FALSE)</f>
        <v>Otra Red Captación</v>
      </c>
      <c r="U2459" t="s">
        <v>29</v>
      </c>
      <c r="V2459" t="str">
        <f>VLOOKUP($R2459,'Mapa Oficinas'!$A$7:$C$46,2,FALSE)</f>
        <v>CABA</v>
      </c>
      <c r="W2459" t="str">
        <f>VLOOKUP($R2459,'Mapa Oficinas'!$A$7:$C$46,3,FALSE)</f>
        <v>Belgrano</v>
      </c>
    </row>
    <row r="2460" spans="1:23" x14ac:dyDescent="0.2">
      <c r="A2460" s="1">
        <v>45727</v>
      </c>
      <c r="B2460" s="20">
        <f t="shared" si="76"/>
        <v>2025</v>
      </c>
      <c r="C2460" s="20">
        <f t="shared" si="77"/>
        <v>3</v>
      </c>
      <c r="E2460" s="49">
        <v>1</v>
      </c>
      <c r="F2460" t="s">
        <v>902</v>
      </c>
      <c r="G2460" t="s">
        <v>21</v>
      </c>
      <c r="H2460" t="s">
        <v>97</v>
      </c>
      <c r="I2460" s="13">
        <v>270000</v>
      </c>
      <c r="J2460" s="13">
        <v>270000</v>
      </c>
      <c r="K2460" s="13">
        <f>IF(J2460&lt;'Mapa Oficinas'!$I$21,0,IF(J2460&gt;'Mapa Oficinas'!$I$20,0,1))</f>
        <v>1</v>
      </c>
      <c r="L2460" t="s">
        <v>23</v>
      </c>
      <c r="M2460" t="s">
        <v>23</v>
      </c>
      <c r="N2460" t="s">
        <v>903</v>
      </c>
      <c r="O2460" t="s">
        <v>83</v>
      </c>
      <c r="P2460" t="s">
        <v>26</v>
      </c>
      <c r="Q2460">
        <v>2</v>
      </c>
      <c r="R2460" t="s">
        <v>84</v>
      </c>
      <c r="S2460" t="s">
        <v>28</v>
      </c>
      <c r="T2460" t="str">
        <f>VLOOKUP(S2460,'Mapa Oficinas'!$H$7:$I$16,2,FALSE)</f>
        <v>CB</v>
      </c>
      <c r="U2460" t="s">
        <v>29</v>
      </c>
      <c r="V2460" t="str">
        <f>VLOOKUP($R2460,'Mapa Oficinas'!$A$7:$C$46,2,FALSE)</f>
        <v>Interior - Neuquén</v>
      </c>
      <c r="W2460" t="str">
        <f>VLOOKUP($R2460,'Mapa Oficinas'!$A$7:$C$46,3,FALSE)</f>
        <v>Villa La Angostura</v>
      </c>
    </row>
    <row r="2461" spans="1:23" x14ac:dyDescent="0.2">
      <c r="A2461" s="1">
        <v>45905</v>
      </c>
      <c r="B2461" s="20">
        <f t="shared" si="76"/>
        <v>2025</v>
      </c>
      <c r="C2461" s="20">
        <f t="shared" si="77"/>
        <v>9</v>
      </c>
      <c r="D2461" t="s">
        <v>4016</v>
      </c>
      <c r="E2461" s="49">
        <v>1</v>
      </c>
      <c r="F2461" t="s">
        <v>4017</v>
      </c>
      <c r="G2461" t="s">
        <v>21</v>
      </c>
      <c r="H2461" t="s">
        <v>37</v>
      </c>
      <c r="I2461" s="13">
        <v>290000</v>
      </c>
      <c r="J2461" s="13">
        <v>270000</v>
      </c>
      <c r="K2461" s="13">
        <f>IF(J2461&lt;'Mapa Oficinas'!$I$21,0,IF(J2461&gt;'Mapa Oficinas'!$I$20,0,1))</f>
        <v>1</v>
      </c>
      <c r="L2461" t="s">
        <v>23</v>
      </c>
      <c r="M2461" t="s">
        <v>23</v>
      </c>
      <c r="N2461" t="s">
        <v>4018</v>
      </c>
      <c r="O2461" t="s">
        <v>1094</v>
      </c>
      <c r="P2461" t="s">
        <v>45</v>
      </c>
      <c r="Q2461">
        <v>2</v>
      </c>
      <c r="R2461" t="s">
        <v>135</v>
      </c>
      <c r="S2461" t="s">
        <v>28</v>
      </c>
      <c r="T2461" t="str">
        <f>VLOOKUP(S2461,'Mapa Oficinas'!$H$7:$I$16,2,FALSE)</f>
        <v>CB</v>
      </c>
      <c r="U2461" t="s">
        <v>29</v>
      </c>
      <c r="V2461" t="str">
        <f>VLOOKUP($R2461,'Mapa Oficinas'!$A$7:$C$46,2,FALSE)</f>
        <v>CABA</v>
      </c>
      <c r="W2461" t="str">
        <f>VLOOKUP($R2461,'Mapa Oficinas'!$A$7:$C$46,3,FALSE)</f>
        <v>Recoleta</v>
      </c>
    </row>
    <row r="2462" spans="1:23" x14ac:dyDescent="0.2">
      <c r="A2462" s="1">
        <v>46000</v>
      </c>
      <c r="B2462" s="20">
        <f t="shared" si="76"/>
        <v>2025</v>
      </c>
      <c r="C2462" s="20">
        <f t="shared" si="77"/>
        <v>12</v>
      </c>
      <c r="D2462" t="s">
        <v>5692</v>
      </c>
      <c r="E2462" s="49">
        <v>1</v>
      </c>
      <c r="F2462" t="s">
        <v>5693</v>
      </c>
      <c r="G2462" t="s">
        <v>21</v>
      </c>
      <c r="H2462" t="s">
        <v>37</v>
      </c>
      <c r="I2462" s="13">
        <v>275000</v>
      </c>
      <c r="J2462" s="13">
        <v>270000</v>
      </c>
      <c r="K2462" s="13">
        <f>IF(J2462&lt;'Mapa Oficinas'!$I$21,0,IF(J2462&gt;'Mapa Oficinas'!$I$20,0,1))</f>
        <v>1</v>
      </c>
      <c r="L2462" t="s">
        <v>23</v>
      </c>
      <c r="M2462" t="s">
        <v>23</v>
      </c>
      <c r="N2462" t="s">
        <v>5694</v>
      </c>
      <c r="O2462" t="s">
        <v>477</v>
      </c>
      <c r="P2462" t="s">
        <v>61</v>
      </c>
      <c r="Q2462">
        <v>2</v>
      </c>
      <c r="R2462" t="s">
        <v>495</v>
      </c>
      <c r="S2462" t="s">
        <v>28</v>
      </c>
      <c r="T2462" t="str">
        <f>VLOOKUP(S2462,'Mapa Oficinas'!$H$7:$I$16,2,FALSE)</f>
        <v>CB</v>
      </c>
      <c r="U2462" t="s">
        <v>29</v>
      </c>
      <c r="V2462" t="str">
        <f>VLOOKUP($R2462,'Mapa Oficinas'!$A$7:$C$46,2,FALSE)</f>
        <v>Zona Norte (GBA)</v>
      </c>
      <c r="W2462" t="str">
        <f>VLOOKUP($R2462,'Mapa Oficinas'!$A$7:$C$46,3,FALSE)</f>
        <v>Escobar</v>
      </c>
    </row>
    <row r="2463" spans="1:23" x14ac:dyDescent="0.2">
      <c r="A2463" s="1">
        <v>46073</v>
      </c>
      <c r="B2463" s="20">
        <f t="shared" si="76"/>
        <v>2026</v>
      </c>
      <c r="C2463" s="20">
        <f t="shared" si="77"/>
        <v>2</v>
      </c>
      <c r="D2463" t="s">
        <v>6785</v>
      </c>
      <c r="E2463" s="49">
        <v>1</v>
      </c>
      <c r="F2463" t="s">
        <v>6786</v>
      </c>
      <c r="G2463" t="s">
        <v>21</v>
      </c>
      <c r="H2463" t="s">
        <v>37</v>
      </c>
      <c r="I2463" s="13">
        <v>295000</v>
      </c>
      <c r="J2463" s="13">
        <v>270000</v>
      </c>
      <c r="K2463" s="13">
        <f>IF(J2463&lt;'Mapa Oficinas'!$I$21,0,IF(J2463&gt;'Mapa Oficinas'!$I$20,0,1))</f>
        <v>1</v>
      </c>
      <c r="L2463" t="s">
        <v>23</v>
      </c>
      <c r="M2463" t="s">
        <v>23</v>
      </c>
      <c r="N2463" t="s">
        <v>6787</v>
      </c>
      <c r="O2463" t="s">
        <v>713</v>
      </c>
      <c r="P2463" t="s">
        <v>45</v>
      </c>
      <c r="Q2463">
        <v>2</v>
      </c>
      <c r="R2463" t="s">
        <v>67</v>
      </c>
      <c r="S2463" t="s">
        <v>28</v>
      </c>
      <c r="T2463" t="str">
        <f>VLOOKUP(S2463,'Mapa Oficinas'!$H$7:$I$16,2,FALSE)</f>
        <v>CB</v>
      </c>
      <c r="U2463" t="s">
        <v>29</v>
      </c>
      <c r="V2463" t="str">
        <f>VLOOKUP($R2463,'Mapa Oficinas'!$A$7:$C$46,2,FALSE)</f>
        <v>CABA</v>
      </c>
      <c r="W2463" t="str">
        <f>VLOOKUP($R2463,'Mapa Oficinas'!$A$7:$C$46,3,FALSE)</f>
        <v>Barrio Parque</v>
      </c>
    </row>
    <row r="2464" spans="1:23" x14ac:dyDescent="0.2">
      <c r="A2464" s="1">
        <v>46092</v>
      </c>
      <c r="B2464" s="20">
        <f t="shared" si="76"/>
        <v>2026</v>
      </c>
      <c r="C2464" s="20">
        <f t="shared" si="77"/>
        <v>3</v>
      </c>
      <c r="D2464" t="s">
        <v>7117</v>
      </c>
      <c r="E2464" s="49">
        <v>1</v>
      </c>
      <c r="F2464" t="s">
        <v>7118</v>
      </c>
      <c r="G2464" t="s">
        <v>21</v>
      </c>
      <c r="H2464" t="s">
        <v>37</v>
      </c>
      <c r="I2464" s="13">
        <v>190000</v>
      </c>
      <c r="J2464" s="13">
        <v>270000</v>
      </c>
      <c r="K2464" s="13">
        <f>IF(J2464&lt;'Mapa Oficinas'!$I$21,0,IF(J2464&gt;'Mapa Oficinas'!$I$20,0,1))</f>
        <v>1</v>
      </c>
      <c r="L2464" t="s">
        <v>23</v>
      </c>
      <c r="M2464" t="s">
        <v>23</v>
      </c>
      <c r="N2464" t="s">
        <v>7119</v>
      </c>
      <c r="O2464" t="s">
        <v>408</v>
      </c>
      <c r="P2464" t="s">
        <v>45</v>
      </c>
      <c r="Q2464">
        <v>2</v>
      </c>
      <c r="R2464" t="s">
        <v>372</v>
      </c>
      <c r="S2464" t="s">
        <v>28</v>
      </c>
      <c r="T2464" t="str">
        <f>VLOOKUP(S2464,'Mapa Oficinas'!$H$7:$I$16,2,FALSE)</f>
        <v>CB</v>
      </c>
      <c r="U2464" t="s">
        <v>29</v>
      </c>
      <c r="V2464" t="str">
        <f>VLOOKUP($R2464,'Mapa Oficinas'!$A$7:$C$46,2,FALSE)</f>
        <v>CABA</v>
      </c>
      <c r="W2464" t="str">
        <f>VLOOKUP($R2464,'Mapa Oficinas'!$A$7:$C$46,3,FALSE)</f>
        <v>Caballito</v>
      </c>
    </row>
    <row r="2465" spans="1:23" x14ac:dyDescent="0.2">
      <c r="A2465" s="1">
        <v>45806</v>
      </c>
      <c r="B2465" s="20">
        <f t="shared" si="76"/>
        <v>2025</v>
      </c>
      <c r="C2465" s="20">
        <f t="shared" si="77"/>
        <v>5</v>
      </c>
      <c r="D2465" t="s">
        <v>1839</v>
      </c>
      <c r="E2465" s="49">
        <v>1</v>
      </c>
      <c r="F2465" t="s">
        <v>1758</v>
      </c>
      <c r="G2465" t="s">
        <v>21</v>
      </c>
      <c r="H2465" t="s">
        <v>100</v>
      </c>
      <c r="I2465" s="13">
        <v>291964</v>
      </c>
      <c r="J2465" s="13">
        <v>270559</v>
      </c>
      <c r="K2465" s="13">
        <f>IF(J2465&lt;'Mapa Oficinas'!$I$21,0,IF(J2465&gt;'Mapa Oficinas'!$I$20,0,1))</f>
        <v>1</v>
      </c>
      <c r="L2465" t="s">
        <v>23</v>
      </c>
      <c r="M2465" t="s">
        <v>23</v>
      </c>
      <c r="N2465" t="s">
        <v>393</v>
      </c>
      <c r="O2465" t="s">
        <v>209</v>
      </c>
      <c r="P2465" t="s">
        <v>45</v>
      </c>
      <c r="Q2465">
        <v>2</v>
      </c>
      <c r="R2465" t="s">
        <v>121</v>
      </c>
      <c r="S2465" t="s">
        <v>28</v>
      </c>
      <c r="T2465" t="str">
        <f>VLOOKUP(S2465,'Mapa Oficinas'!$H$7:$I$16,2,FALSE)</f>
        <v>CB</v>
      </c>
      <c r="U2465" t="s">
        <v>29</v>
      </c>
      <c r="V2465" t="str">
        <f>VLOOKUP($R2465,'Mapa Oficinas'!$A$7:$C$46,2,FALSE)</f>
        <v>Interior - Río Negro</v>
      </c>
      <c r="W2465" t="str">
        <f>VLOOKUP($R2465,'Mapa Oficinas'!$A$7:$C$46,3,FALSE)</f>
        <v>Bariloche</v>
      </c>
    </row>
    <row r="2466" spans="1:23" x14ac:dyDescent="0.2">
      <c r="A2466" s="1">
        <v>46108</v>
      </c>
      <c r="B2466" s="20">
        <f t="shared" si="76"/>
        <v>2026</v>
      </c>
      <c r="C2466" s="20">
        <f t="shared" si="77"/>
        <v>3</v>
      </c>
      <c r="D2466" t="s">
        <v>7489</v>
      </c>
      <c r="E2466" s="49">
        <v>1</v>
      </c>
      <c r="F2466" t="s">
        <v>6088</v>
      </c>
      <c r="G2466" t="s">
        <v>21</v>
      </c>
      <c r="H2466" t="s">
        <v>22</v>
      </c>
      <c r="I2466" s="13">
        <v>271000</v>
      </c>
      <c r="J2466" s="13">
        <v>271000</v>
      </c>
      <c r="K2466" s="13">
        <f>IF(J2466&lt;'Mapa Oficinas'!$I$21,0,IF(J2466&gt;'Mapa Oficinas'!$I$20,0,1))</f>
        <v>1</v>
      </c>
      <c r="L2466" t="s">
        <v>23</v>
      </c>
      <c r="M2466" t="s">
        <v>23</v>
      </c>
      <c r="N2466" t="s">
        <v>7490</v>
      </c>
      <c r="O2466" t="s">
        <v>66</v>
      </c>
      <c r="P2466" t="s">
        <v>45</v>
      </c>
      <c r="Q2466">
        <v>1</v>
      </c>
      <c r="R2466" t="s">
        <v>670</v>
      </c>
      <c r="S2466" t="s">
        <v>47</v>
      </c>
      <c r="T2466" t="str">
        <f>VLOOKUP(S2466,'Mapa Oficinas'!$H$7:$I$16,2,FALSE)</f>
        <v>Otra Red Búsqueda</v>
      </c>
      <c r="U2466" t="s">
        <v>29</v>
      </c>
      <c r="V2466" t="str">
        <f>VLOOKUP($R2466,'Mapa Oficinas'!$A$7:$C$46,2,FALSE)</f>
        <v>CABA</v>
      </c>
      <c r="W2466" t="str">
        <f>VLOOKUP($R2466,'Mapa Oficinas'!$A$7:$C$46,3,FALSE)</f>
        <v>Recoleta</v>
      </c>
    </row>
    <row r="2467" spans="1:23" x14ac:dyDescent="0.2">
      <c r="A2467" s="1">
        <v>45980</v>
      </c>
      <c r="B2467" s="20">
        <f t="shared" si="76"/>
        <v>2025</v>
      </c>
      <c r="C2467" s="20">
        <f t="shared" si="77"/>
        <v>11</v>
      </c>
      <c r="D2467" t="s">
        <v>5323</v>
      </c>
      <c r="E2467" s="49">
        <v>1</v>
      </c>
      <c r="F2467" t="s">
        <v>5324</v>
      </c>
      <c r="G2467" t="s">
        <v>21</v>
      </c>
      <c r="H2467" t="s">
        <v>37</v>
      </c>
      <c r="I2467" s="13">
        <v>290000</v>
      </c>
      <c r="J2467" s="13">
        <v>273000</v>
      </c>
      <c r="K2467" s="13">
        <f>IF(J2467&lt;'Mapa Oficinas'!$I$21,0,IF(J2467&gt;'Mapa Oficinas'!$I$20,0,1))</f>
        <v>1</v>
      </c>
      <c r="L2467" t="s">
        <v>23</v>
      </c>
      <c r="M2467" t="s">
        <v>23</v>
      </c>
      <c r="N2467" t="s">
        <v>5325</v>
      </c>
      <c r="O2467" t="s">
        <v>238</v>
      </c>
      <c r="P2467" t="s">
        <v>34</v>
      </c>
      <c r="Q2467">
        <v>1</v>
      </c>
      <c r="R2467" t="s">
        <v>110</v>
      </c>
      <c r="S2467" t="s">
        <v>47</v>
      </c>
      <c r="T2467" t="str">
        <f>VLOOKUP(S2467,'Mapa Oficinas'!$H$7:$I$16,2,FALSE)</f>
        <v>Otra Red Búsqueda</v>
      </c>
      <c r="U2467" t="s">
        <v>29</v>
      </c>
      <c r="V2467" t="str">
        <f>VLOOKUP($R2467,'Mapa Oficinas'!$A$7:$C$46,2,FALSE)</f>
        <v>Zona Norte (GBA)</v>
      </c>
      <c r="W2467" t="str">
        <f>VLOOKUP($R2467,'Mapa Oficinas'!$A$7:$C$46,3,FALSE)</f>
        <v>Nordelta</v>
      </c>
    </row>
    <row r="2468" spans="1:23" x14ac:dyDescent="0.2">
      <c r="A2468" s="1">
        <v>46098</v>
      </c>
      <c r="B2468" s="20">
        <f t="shared" si="76"/>
        <v>2026</v>
      </c>
      <c r="C2468" s="20">
        <f t="shared" si="77"/>
        <v>3</v>
      </c>
      <c r="D2468" t="s">
        <v>7259</v>
      </c>
      <c r="E2468" s="49">
        <v>1</v>
      </c>
      <c r="F2468" t="s">
        <v>7260</v>
      </c>
      <c r="G2468" t="s">
        <v>21</v>
      </c>
      <c r="H2468" t="s">
        <v>37</v>
      </c>
      <c r="I2468" s="13">
        <v>309000</v>
      </c>
      <c r="J2468" s="13">
        <v>275000</v>
      </c>
      <c r="K2468" s="13">
        <f>IF(J2468&lt;'Mapa Oficinas'!$I$21,0,IF(J2468&gt;'Mapa Oficinas'!$I$20,0,1))</f>
        <v>1</v>
      </c>
      <c r="L2468" t="s">
        <v>23</v>
      </c>
      <c r="M2468" t="s">
        <v>23</v>
      </c>
      <c r="N2468" t="s">
        <v>7261</v>
      </c>
      <c r="O2468" t="s">
        <v>33</v>
      </c>
      <c r="P2468" t="s">
        <v>34</v>
      </c>
      <c r="Q2468">
        <v>1</v>
      </c>
      <c r="R2468" t="s">
        <v>110</v>
      </c>
      <c r="S2468" t="s">
        <v>47</v>
      </c>
      <c r="T2468" t="str">
        <f>VLOOKUP(S2468,'Mapa Oficinas'!$H$7:$I$16,2,FALSE)</f>
        <v>Otra Red Búsqueda</v>
      </c>
      <c r="U2468" t="s">
        <v>29</v>
      </c>
      <c r="V2468" t="str">
        <f>VLOOKUP($R2468,'Mapa Oficinas'!$A$7:$C$46,2,FALSE)</f>
        <v>Zona Norte (GBA)</v>
      </c>
      <c r="W2468" t="str">
        <f>VLOOKUP($R2468,'Mapa Oficinas'!$A$7:$C$46,3,FALSE)</f>
        <v>Nordelta</v>
      </c>
    </row>
    <row r="2469" spans="1:23" x14ac:dyDescent="0.2">
      <c r="A2469" s="1">
        <v>45763</v>
      </c>
      <c r="B2469" s="20">
        <f t="shared" si="76"/>
        <v>2025</v>
      </c>
      <c r="C2469" s="20">
        <f t="shared" si="77"/>
        <v>4</v>
      </c>
      <c r="D2469" t="s">
        <v>1492</v>
      </c>
      <c r="E2469" s="49">
        <v>1</v>
      </c>
      <c r="F2469" t="s">
        <v>1493</v>
      </c>
      <c r="G2469" t="s">
        <v>21</v>
      </c>
      <c r="H2469" t="s">
        <v>37</v>
      </c>
      <c r="I2469" s="13">
        <v>282900</v>
      </c>
      <c r="J2469" s="13">
        <v>275000</v>
      </c>
      <c r="K2469" s="13">
        <f>IF(J2469&lt;'Mapa Oficinas'!$I$21,0,IF(J2469&gt;'Mapa Oficinas'!$I$20,0,1))</f>
        <v>1</v>
      </c>
      <c r="L2469" t="s">
        <v>23</v>
      </c>
      <c r="M2469" t="s">
        <v>23</v>
      </c>
      <c r="N2469" t="s">
        <v>1494</v>
      </c>
      <c r="O2469" t="s">
        <v>675</v>
      </c>
      <c r="P2469" t="s">
        <v>45</v>
      </c>
      <c r="Q2469">
        <v>2</v>
      </c>
      <c r="R2469" t="s">
        <v>46</v>
      </c>
      <c r="S2469" t="s">
        <v>28</v>
      </c>
      <c r="T2469" t="str">
        <f>VLOOKUP(S2469,'Mapa Oficinas'!$H$7:$I$16,2,FALSE)</f>
        <v>CB</v>
      </c>
      <c r="U2469" t="s">
        <v>29</v>
      </c>
      <c r="V2469" t="str">
        <f>VLOOKUP($R2469,'Mapa Oficinas'!$A$7:$C$46,2,FALSE)</f>
        <v>CABA</v>
      </c>
      <c r="W2469" t="str">
        <f>VLOOKUP($R2469,'Mapa Oficinas'!$A$7:$C$46,3,FALSE)</f>
        <v>Palermo</v>
      </c>
    </row>
    <row r="2470" spans="1:23" x14ac:dyDescent="0.2">
      <c r="A2470" s="1">
        <v>45826</v>
      </c>
      <c r="B2470" s="20">
        <f t="shared" si="76"/>
        <v>2025</v>
      </c>
      <c r="C2470" s="20">
        <f t="shared" si="77"/>
        <v>6</v>
      </c>
      <c r="D2470" t="s">
        <v>2551</v>
      </c>
      <c r="E2470" s="49">
        <v>1</v>
      </c>
      <c r="F2470" t="s">
        <v>2552</v>
      </c>
      <c r="G2470" t="s">
        <v>21</v>
      </c>
      <c r="H2470" t="s">
        <v>37</v>
      </c>
      <c r="I2470" s="13">
        <v>315000</v>
      </c>
      <c r="J2470" s="13">
        <v>275000</v>
      </c>
      <c r="K2470" s="13">
        <f>IF(J2470&lt;'Mapa Oficinas'!$I$21,0,IF(J2470&gt;'Mapa Oficinas'!$I$20,0,1))</f>
        <v>1</v>
      </c>
      <c r="L2470" t="s">
        <v>23</v>
      </c>
      <c r="M2470" t="s">
        <v>23</v>
      </c>
      <c r="O2470" t="s">
        <v>573</v>
      </c>
      <c r="P2470" t="s">
        <v>34</v>
      </c>
      <c r="Q2470">
        <v>2</v>
      </c>
      <c r="R2470" t="s">
        <v>321</v>
      </c>
      <c r="S2470" t="s">
        <v>28</v>
      </c>
      <c r="T2470" t="str">
        <f>VLOOKUP(S2470,'Mapa Oficinas'!$H$7:$I$16,2,FALSE)</f>
        <v>CB</v>
      </c>
      <c r="U2470" t="s">
        <v>29</v>
      </c>
      <c r="V2470" t="str">
        <f>VLOOKUP($R2470,'Mapa Oficinas'!$A$7:$C$46,2,FALSE)</f>
        <v>CABA</v>
      </c>
      <c r="W2470" t="str">
        <f>VLOOKUP($R2470,'Mapa Oficinas'!$A$7:$C$46,3,FALSE)</f>
        <v>Palermo</v>
      </c>
    </row>
    <row r="2471" spans="1:23" x14ac:dyDescent="0.2">
      <c r="A2471" s="1">
        <v>45889</v>
      </c>
      <c r="B2471" s="20">
        <f t="shared" si="76"/>
        <v>2025</v>
      </c>
      <c r="C2471" s="20">
        <f t="shared" si="77"/>
        <v>8</v>
      </c>
      <c r="D2471" t="s">
        <v>3683</v>
      </c>
      <c r="E2471" s="49">
        <v>1</v>
      </c>
      <c r="F2471" t="s">
        <v>3684</v>
      </c>
      <c r="G2471" t="s">
        <v>21</v>
      </c>
      <c r="H2471" t="s">
        <v>37</v>
      </c>
      <c r="I2471" s="13">
        <v>290000</v>
      </c>
      <c r="J2471" s="13">
        <v>275000</v>
      </c>
      <c r="K2471" s="13">
        <f>IF(J2471&lt;'Mapa Oficinas'!$I$21,0,IF(J2471&gt;'Mapa Oficinas'!$I$20,0,1))</f>
        <v>1</v>
      </c>
      <c r="L2471" t="s">
        <v>23</v>
      </c>
      <c r="M2471" t="s">
        <v>23</v>
      </c>
      <c r="N2471" t="s">
        <v>3685</v>
      </c>
      <c r="O2471" t="s">
        <v>1094</v>
      </c>
      <c r="P2471" t="s">
        <v>45</v>
      </c>
      <c r="Q2471">
        <v>2</v>
      </c>
      <c r="R2471" t="s">
        <v>1024</v>
      </c>
      <c r="S2471" t="s">
        <v>28</v>
      </c>
      <c r="T2471" t="str">
        <f>VLOOKUP(S2471,'Mapa Oficinas'!$H$7:$I$16,2,FALSE)</f>
        <v>CB</v>
      </c>
      <c r="U2471" t="s">
        <v>29</v>
      </c>
      <c r="V2471" t="str">
        <f>VLOOKUP($R2471,'Mapa Oficinas'!$A$7:$C$46,2,FALSE)</f>
        <v>CABA</v>
      </c>
      <c r="W2471" t="str">
        <f>VLOOKUP($R2471,'Mapa Oficinas'!$A$7:$C$46,3,FALSE)</f>
        <v>Puerto Madero</v>
      </c>
    </row>
    <row r="2472" spans="1:23" x14ac:dyDescent="0.2">
      <c r="A2472" s="1">
        <v>45777</v>
      </c>
      <c r="B2472" s="20">
        <f t="shared" si="76"/>
        <v>2025</v>
      </c>
      <c r="C2472" s="20">
        <f t="shared" si="77"/>
        <v>4</v>
      </c>
      <c r="D2472" t="s">
        <v>1757</v>
      </c>
      <c r="E2472" s="49">
        <v>1</v>
      </c>
      <c r="F2472" t="s">
        <v>1758</v>
      </c>
      <c r="G2472" t="s">
        <v>21</v>
      </c>
      <c r="H2472" t="s">
        <v>119</v>
      </c>
      <c r="I2472" s="13">
        <v>276124</v>
      </c>
      <c r="J2472" s="13">
        <v>276124</v>
      </c>
      <c r="K2472" s="13">
        <f>IF(J2472&lt;'Mapa Oficinas'!$I$21,0,IF(J2472&gt;'Mapa Oficinas'!$I$20,0,1))</f>
        <v>1</v>
      </c>
      <c r="L2472" t="s">
        <v>23</v>
      </c>
      <c r="M2472" t="s">
        <v>23</v>
      </c>
      <c r="N2472" t="s">
        <v>288</v>
      </c>
      <c r="O2472" t="s">
        <v>209</v>
      </c>
      <c r="P2472" t="s">
        <v>45</v>
      </c>
      <c r="Q2472">
        <v>2</v>
      </c>
      <c r="R2472" t="s">
        <v>121</v>
      </c>
      <c r="S2472" t="s">
        <v>28</v>
      </c>
      <c r="T2472" t="str">
        <f>VLOOKUP(S2472,'Mapa Oficinas'!$H$7:$I$16,2,FALSE)</f>
        <v>CB</v>
      </c>
      <c r="U2472" t="s">
        <v>29</v>
      </c>
      <c r="V2472" t="str">
        <f>VLOOKUP($R2472,'Mapa Oficinas'!$A$7:$C$46,2,FALSE)</f>
        <v>Interior - Río Negro</v>
      </c>
      <c r="W2472" t="str">
        <f>VLOOKUP($R2472,'Mapa Oficinas'!$A$7:$C$46,3,FALSE)</f>
        <v>Bariloche</v>
      </c>
    </row>
    <row r="2473" spans="1:23" x14ac:dyDescent="0.2">
      <c r="A2473" s="1">
        <v>45924</v>
      </c>
      <c r="B2473" s="20">
        <f t="shared" si="76"/>
        <v>2025</v>
      </c>
      <c r="C2473" s="20">
        <f t="shared" si="77"/>
        <v>9</v>
      </c>
      <c r="D2473" t="s">
        <v>4327</v>
      </c>
      <c r="E2473" s="49">
        <v>1</v>
      </c>
      <c r="F2473" t="s">
        <v>4328</v>
      </c>
      <c r="G2473" t="s">
        <v>21</v>
      </c>
      <c r="H2473" t="s">
        <v>37</v>
      </c>
      <c r="I2473" s="13">
        <v>288000</v>
      </c>
      <c r="J2473" s="13">
        <v>278000</v>
      </c>
      <c r="K2473" s="13">
        <f>IF(J2473&lt;'Mapa Oficinas'!$I$21,0,IF(J2473&gt;'Mapa Oficinas'!$I$20,0,1))</f>
        <v>1</v>
      </c>
      <c r="L2473" t="s">
        <v>23</v>
      </c>
      <c r="M2473" t="s">
        <v>23</v>
      </c>
      <c r="N2473" t="s">
        <v>4328</v>
      </c>
      <c r="O2473" t="s">
        <v>4329</v>
      </c>
      <c r="P2473" t="s">
        <v>34</v>
      </c>
      <c r="Q2473">
        <v>1</v>
      </c>
      <c r="R2473" t="s">
        <v>110</v>
      </c>
      <c r="S2473" t="s">
        <v>47</v>
      </c>
      <c r="T2473" t="str">
        <f>VLOOKUP(S2473,'Mapa Oficinas'!$H$7:$I$16,2,FALSE)</f>
        <v>Otra Red Búsqueda</v>
      </c>
      <c r="U2473" t="s">
        <v>29</v>
      </c>
      <c r="V2473" t="str">
        <f>VLOOKUP($R2473,'Mapa Oficinas'!$A$7:$C$46,2,FALSE)</f>
        <v>Zona Norte (GBA)</v>
      </c>
      <c r="W2473" t="str">
        <f>VLOOKUP($R2473,'Mapa Oficinas'!$A$7:$C$46,3,FALSE)</f>
        <v>Nordelta</v>
      </c>
    </row>
    <row r="2474" spans="1:23" x14ac:dyDescent="0.2">
      <c r="A2474" s="1">
        <v>46027</v>
      </c>
      <c r="B2474" s="20">
        <f t="shared" si="76"/>
        <v>2026</v>
      </c>
      <c r="C2474" s="20">
        <f t="shared" si="77"/>
        <v>1</v>
      </c>
      <c r="D2474" t="s">
        <v>6091</v>
      </c>
      <c r="E2474" s="49">
        <v>1</v>
      </c>
      <c r="F2474" t="s">
        <v>6092</v>
      </c>
      <c r="G2474" t="s">
        <v>21</v>
      </c>
      <c r="H2474" t="s">
        <v>37</v>
      </c>
      <c r="I2474" s="13">
        <v>309000</v>
      </c>
      <c r="J2474" s="13">
        <v>278000</v>
      </c>
      <c r="K2474" s="13">
        <f>IF(J2474&lt;'Mapa Oficinas'!$I$21,0,IF(J2474&gt;'Mapa Oficinas'!$I$20,0,1))</f>
        <v>1</v>
      </c>
      <c r="L2474" t="s">
        <v>23</v>
      </c>
      <c r="M2474" t="s">
        <v>23</v>
      </c>
      <c r="N2474" t="s">
        <v>6093</v>
      </c>
      <c r="O2474" t="s">
        <v>6094</v>
      </c>
      <c r="P2474" t="s">
        <v>34</v>
      </c>
      <c r="Q2474">
        <v>2</v>
      </c>
      <c r="R2474" t="s">
        <v>495</v>
      </c>
      <c r="S2474" t="s">
        <v>28</v>
      </c>
      <c r="T2474" t="str">
        <f>VLOOKUP(S2474,'Mapa Oficinas'!$H$7:$I$16,2,FALSE)</f>
        <v>CB</v>
      </c>
      <c r="U2474" t="s">
        <v>29</v>
      </c>
      <c r="V2474" t="str">
        <f>VLOOKUP($R2474,'Mapa Oficinas'!$A$7:$C$46,2,FALSE)</f>
        <v>Zona Norte (GBA)</v>
      </c>
      <c r="W2474" t="str">
        <f>VLOOKUP($R2474,'Mapa Oficinas'!$A$7:$C$46,3,FALSE)</f>
        <v>Escobar</v>
      </c>
    </row>
    <row r="2475" spans="1:23" x14ac:dyDescent="0.2">
      <c r="A2475" s="1">
        <v>46037</v>
      </c>
      <c r="B2475" s="20">
        <f t="shared" si="76"/>
        <v>2026</v>
      </c>
      <c r="C2475" s="20">
        <f t="shared" si="77"/>
        <v>1</v>
      </c>
      <c r="D2475" t="s">
        <v>6265</v>
      </c>
      <c r="E2475" s="49">
        <v>1</v>
      </c>
      <c r="F2475" t="s">
        <v>6266</v>
      </c>
      <c r="G2475" t="s">
        <v>21</v>
      </c>
      <c r="H2475" t="s">
        <v>37</v>
      </c>
      <c r="I2475" s="13">
        <v>285000</v>
      </c>
      <c r="J2475" s="13">
        <v>278000</v>
      </c>
      <c r="K2475" s="13">
        <f>IF(J2475&lt;'Mapa Oficinas'!$I$21,0,IF(J2475&gt;'Mapa Oficinas'!$I$20,0,1))</f>
        <v>1</v>
      </c>
      <c r="L2475" t="s">
        <v>23</v>
      </c>
      <c r="M2475" t="s">
        <v>23</v>
      </c>
      <c r="N2475" t="s">
        <v>6267</v>
      </c>
      <c r="O2475" t="s">
        <v>295</v>
      </c>
      <c r="P2475" t="s">
        <v>34</v>
      </c>
      <c r="Q2475">
        <v>2</v>
      </c>
      <c r="R2475" t="s">
        <v>110</v>
      </c>
      <c r="S2475" t="s">
        <v>28</v>
      </c>
      <c r="T2475" t="str">
        <f>VLOOKUP(S2475,'Mapa Oficinas'!$H$7:$I$16,2,FALSE)</f>
        <v>CB</v>
      </c>
      <c r="U2475" t="s">
        <v>29</v>
      </c>
      <c r="V2475" t="str">
        <f>VLOOKUP($R2475,'Mapa Oficinas'!$A$7:$C$46,2,FALSE)</f>
        <v>Zona Norte (GBA)</v>
      </c>
      <c r="W2475" t="str">
        <f>VLOOKUP($R2475,'Mapa Oficinas'!$A$7:$C$46,3,FALSE)</f>
        <v>Nordelta</v>
      </c>
    </row>
    <row r="2476" spans="1:23" x14ac:dyDescent="0.2">
      <c r="A2476" s="1">
        <v>46065</v>
      </c>
      <c r="B2476" s="20">
        <f t="shared" si="76"/>
        <v>2026</v>
      </c>
      <c r="C2476" s="20">
        <f t="shared" si="77"/>
        <v>2</v>
      </c>
      <c r="D2476" t="s">
        <v>6692</v>
      </c>
      <c r="E2476" s="49">
        <v>1</v>
      </c>
      <c r="F2476" t="s">
        <v>6693</v>
      </c>
      <c r="G2476" t="s">
        <v>21</v>
      </c>
      <c r="H2476" t="s">
        <v>37</v>
      </c>
      <c r="I2476" s="13">
        <v>285000</v>
      </c>
      <c r="J2476" s="13">
        <v>278000</v>
      </c>
      <c r="K2476" s="13">
        <f>IF(J2476&lt;'Mapa Oficinas'!$I$21,0,IF(J2476&gt;'Mapa Oficinas'!$I$20,0,1))</f>
        <v>1</v>
      </c>
      <c r="L2476" t="s">
        <v>23</v>
      </c>
      <c r="M2476" t="s">
        <v>23</v>
      </c>
      <c r="N2476" t="s">
        <v>6694</v>
      </c>
      <c r="O2476" t="s">
        <v>6695</v>
      </c>
      <c r="P2476" t="s">
        <v>34</v>
      </c>
      <c r="Q2476">
        <v>2</v>
      </c>
      <c r="R2476" t="s">
        <v>110</v>
      </c>
      <c r="S2476" t="s">
        <v>28</v>
      </c>
      <c r="T2476" t="str">
        <f>VLOOKUP(S2476,'Mapa Oficinas'!$H$7:$I$16,2,FALSE)</f>
        <v>CB</v>
      </c>
      <c r="U2476" t="s">
        <v>29</v>
      </c>
      <c r="V2476" t="str">
        <f>VLOOKUP($R2476,'Mapa Oficinas'!$A$7:$C$46,2,FALSE)</f>
        <v>Zona Norte (GBA)</v>
      </c>
      <c r="W2476" t="str">
        <f>VLOOKUP($R2476,'Mapa Oficinas'!$A$7:$C$46,3,FALSE)</f>
        <v>Nordelta</v>
      </c>
    </row>
    <row r="2477" spans="1:23" x14ac:dyDescent="0.2">
      <c r="A2477" s="1">
        <v>45855</v>
      </c>
      <c r="B2477" s="20">
        <f t="shared" si="76"/>
        <v>2025</v>
      </c>
      <c r="C2477" s="20">
        <f t="shared" si="77"/>
        <v>7</v>
      </c>
      <c r="D2477" t="s">
        <v>3093</v>
      </c>
      <c r="E2477" s="49">
        <v>1</v>
      </c>
      <c r="F2477" t="s">
        <v>3094</v>
      </c>
      <c r="G2477" t="s">
        <v>21</v>
      </c>
      <c r="H2477" t="s">
        <v>37</v>
      </c>
      <c r="I2477" s="13">
        <v>275000</v>
      </c>
      <c r="J2477" s="13">
        <v>280000</v>
      </c>
      <c r="K2477" s="13">
        <f>IF(J2477&lt;'Mapa Oficinas'!$I$21,0,IF(J2477&gt;'Mapa Oficinas'!$I$20,0,1))</f>
        <v>1</v>
      </c>
      <c r="L2477" t="s">
        <v>23</v>
      </c>
      <c r="M2477" t="s">
        <v>23</v>
      </c>
      <c r="N2477" t="s">
        <v>3094</v>
      </c>
      <c r="O2477" t="s">
        <v>196</v>
      </c>
      <c r="P2477" t="s">
        <v>34</v>
      </c>
      <c r="Q2477">
        <v>2</v>
      </c>
      <c r="R2477" t="s">
        <v>110</v>
      </c>
      <c r="S2477" t="s">
        <v>79</v>
      </c>
      <c r="T2477" t="str">
        <f>VLOOKUP(S2477,'Mapa Oficinas'!$H$7:$I$16,2,FALSE)</f>
        <v>CB</v>
      </c>
      <c r="U2477" t="s">
        <v>29</v>
      </c>
      <c r="V2477" t="str">
        <f>VLOOKUP($R2477,'Mapa Oficinas'!$A$7:$C$46,2,FALSE)</f>
        <v>Zona Norte (GBA)</v>
      </c>
      <c r="W2477" t="str">
        <f>VLOOKUP($R2477,'Mapa Oficinas'!$A$7:$C$46,3,FALSE)</f>
        <v>Nordelta</v>
      </c>
    </row>
    <row r="2478" spans="1:23" x14ac:dyDescent="0.2">
      <c r="A2478" s="1">
        <v>45915</v>
      </c>
      <c r="B2478" s="20">
        <f t="shared" si="76"/>
        <v>2025</v>
      </c>
      <c r="C2478" s="20">
        <f t="shared" si="77"/>
        <v>9</v>
      </c>
      <c r="D2478" t="s">
        <v>4178</v>
      </c>
      <c r="E2478" s="49">
        <v>1</v>
      </c>
      <c r="F2478" t="s">
        <v>4179</v>
      </c>
      <c r="G2478" t="s">
        <v>21</v>
      </c>
      <c r="H2478" t="s">
        <v>81</v>
      </c>
      <c r="I2478" s="13">
        <v>280000</v>
      </c>
      <c r="J2478" s="13">
        <v>280000</v>
      </c>
      <c r="K2478" s="13">
        <f>IF(J2478&lt;'Mapa Oficinas'!$I$21,0,IF(J2478&gt;'Mapa Oficinas'!$I$20,0,1))</f>
        <v>1</v>
      </c>
      <c r="L2478" t="s">
        <v>23</v>
      </c>
      <c r="M2478" t="s">
        <v>23</v>
      </c>
      <c r="N2478" t="s">
        <v>4180</v>
      </c>
      <c r="O2478" t="s">
        <v>3192</v>
      </c>
      <c r="P2478" t="s">
        <v>34</v>
      </c>
      <c r="Q2478">
        <v>1</v>
      </c>
      <c r="R2478" t="s">
        <v>151</v>
      </c>
      <c r="S2478" t="s">
        <v>47</v>
      </c>
      <c r="T2478" t="str">
        <f>VLOOKUP(S2478,'Mapa Oficinas'!$H$7:$I$16,2,FALSE)</f>
        <v>Otra Red Búsqueda</v>
      </c>
      <c r="U2478" t="s">
        <v>29</v>
      </c>
      <c r="V2478" t="str">
        <f>VLOOKUP($R2478,'Mapa Oficinas'!$A$7:$C$46,2,FALSE)</f>
        <v>Interior - Mendoza</v>
      </c>
      <c r="W2478" t="str">
        <f>VLOOKUP($R2478,'Mapa Oficinas'!$A$7:$C$46,3,FALSE)</f>
        <v>Capital Mendoza</v>
      </c>
    </row>
    <row r="2479" spans="1:23" x14ac:dyDescent="0.2">
      <c r="A2479" s="1">
        <v>45995</v>
      </c>
      <c r="B2479" s="20">
        <f t="shared" si="76"/>
        <v>2025</v>
      </c>
      <c r="C2479" s="20">
        <f t="shared" si="77"/>
        <v>12</v>
      </c>
      <c r="D2479" t="s">
        <v>5632</v>
      </c>
      <c r="E2479" s="49">
        <v>1</v>
      </c>
      <c r="F2479" t="s">
        <v>5633</v>
      </c>
      <c r="G2479" t="s">
        <v>21</v>
      </c>
      <c r="H2479" t="s">
        <v>37</v>
      </c>
      <c r="I2479" s="13">
        <v>280000</v>
      </c>
      <c r="J2479" s="13">
        <v>280000</v>
      </c>
      <c r="K2479" s="13">
        <f>IF(J2479&lt;'Mapa Oficinas'!$I$21,0,IF(J2479&gt;'Mapa Oficinas'!$I$20,0,1))</f>
        <v>1</v>
      </c>
      <c r="L2479" t="s">
        <v>23</v>
      </c>
      <c r="M2479" t="s">
        <v>23</v>
      </c>
      <c r="N2479" t="s">
        <v>5634</v>
      </c>
      <c r="O2479" t="s">
        <v>1196</v>
      </c>
      <c r="P2479" t="s">
        <v>45</v>
      </c>
      <c r="Q2479">
        <v>1</v>
      </c>
      <c r="R2479" t="s">
        <v>670</v>
      </c>
      <c r="S2479" t="s">
        <v>47</v>
      </c>
      <c r="T2479" t="str">
        <f>VLOOKUP(S2479,'Mapa Oficinas'!$H$7:$I$16,2,FALSE)</f>
        <v>Otra Red Búsqueda</v>
      </c>
      <c r="U2479" t="s">
        <v>29</v>
      </c>
      <c r="V2479" t="str">
        <f>VLOOKUP($R2479,'Mapa Oficinas'!$A$7:$C$46,2,FALSE)</f>
        <v>CABA</v>
      </c>
      <c r="W2479" t="str">
        <f>VLOOKUP($R2479,'Mapa Oficinas'!$A$7:$C$46,3,FALSE)</f>
        <v>Recoleta</v>
      </c>
    </row>
    <row r="2480" spans="1:23" x14ac:dyDescent="0.2">
      <c r="A2480" s="1">
        <v>46002</v>
      </c>
      <c r="B2480" s="20">
        <f t="shared" si="76"/>
        <v>2025</v>
      </c>
      <c r="C2480" s="20">
        <f t="shared" si="77"/>
        <v>12</v>
      </c>
      <c r="D2480">
        <v>10634</v>
      </c>
      <c r="E2480" s="49">
        <v>1</v>
      </c>
      <c r="F2480" t="s">
        <v>5727</v>
      </c>
      <c r="G2480" t="s">
        <v>21</v>
      </c>
      <c r="H2480" t="s">
        <v>37</v>
      </c>
      <c r="I2480" s="13">
        <v>280000</v>
      </c>
      <c r="J2480" s="13">
        <v>280000</v>
      </c>
      <c r="K2480" s="13">
        <f>IF(J2480&lt;'Mapa Oficinas'!$I$21,0,IF(J2480&gt;'Mapa Oficinas'!$I$20,0,1))</f>
        <v>1</v>
      </c>
      <c r="L2480" t="s">
        <v>23</v>
      </c>
      <c r="M2480" t="s">
        <v>23</v>
      </c>
      <c r="N2480" t="s">
        <v>5727</v>
      </c>
      <c r="O2480" t="s">
        <v>66</v>
      </c>
      <c r="P2480" t="s">
        <v>45</v>
      </c>
      <c r="Q2480">
        <v>1</v>
      </c>
      <c r="R2480" t="s">
        <v>67</v>
      </c>
      <c r="S2480" t="s">
        <v>47</v>
      </c>
      <c r="T2480" t="str">
        <f>VLOOKUP(S2480,'Mapa Oficinas'!$H$7:$I$16,2,FALSE)</f>
        <v>Otra Red Búsqueda</v>
      </c>
      <c r="U2480" t="s">
        <v>29</v>
      </c>
      <c r="V2480" t="str">
        <f>VLOOKUP($R2480,'Mapa Oficinas'!$A$7:$C$46,2,FALSE)</f>
        <v>CABA</v>
      </c>
      <c r="W2480" t="str">
        <f>VLOOKUP($R2480,'Mapa Oficinas'!$A$7:$C$46,3,FALSE)</f>
        <v>Barrio Parque</v>
      </c>
    </row>
    <row r="2481" spans="1:23" x14ac:dyDescent="0.2">
      <c r="A2481" s="1">
        <v>45744</v>
      </c>
      <c r="B2481" s="20">
        <f t="shared" si="76"/>
        <v>2025</v>
      </c>
      <c r="C2481" s="20">
        <f t="shared" si="77"/>
        <v>3</v>
      </c>
      <c r="D2481" t="s">
        <v>1181</v>
      </c>
      <c r="E2481" s="49">
        <v>1</v>
      </c>
      <c r="F2481" t="s">
        <v>1182</v>
      </c>
      <c r="G2481" t="s">
        <v>21</v>
      </c>
      <c r="H2481" t="s">
        <v>37</v>
      </c>
      <c r="I2481" s="13">
        <v>265000</v>
      </c>
      <c r="J2481" s="13">
        <v>280000</v>
      </c>
      <c r="K2481" s="13">
        <f>IF(J2481&lt;'Mapa Oficinas'!$I$21,0,IF(J2481&gt;'Mapa Oficinas'!$I$20,0,1))</f>
        <v>1</v>
      </c>
      <c r="L2481" t="s">
        <v>23</v>
      </c>
      <c r="M2481" t="s">
        <v>23</v>
      </c>
      <c r="N2481" t="s">
        <v>1183</v>
      </c>
      <c r="O2481" t="s">
        <v>390</v>
      </c>
      <c r="P2481" t="s">
        <v>45</v>
      </c>
      <c r="Q2481">
        <v>2</v>
      </c>
      <c r="R2481" t="s">
        <v>67</v>
      </c>
      <c r="S2481" t="s">
        <v>200</v>
      </c>
      <c r="T2481" t="str">
        <f>VLOOKUP(S2481,'Mapa Oficinas'!$H$7:$I$16,2,FALSE)</f>
        <v>Otra Red Captación</v>
      </c>
      <c r="U2481" t="s">
        <v>29</v>
      </c>
      <c r="V2481" t="str">
        <f>VLOOKUP($R2481,'Mapa Oficinas'!$A$7:$C$46,2,FALSE)</f>
        <v>CABA</v>
      </c>
      <c r="W2481" t="str">
        <f>VLOOKUP($R2481,'Mapa Oficinas'!$A$7:$C$46,3,FALSE)</f>
        <v>Barrio Parque</v>
      </c>
    </row>
    <row r="2482" spans="1:23" x14ac:dyDescent="0.2">
      <c r="A2482" s="1">
        <v>45783</v>
      </c>
      <c r="B2482" s="20">
        <f t="shared" si="76"/>
        <v>2025</v>
      </c>
      <c r="C2482" s="20">
        <f t="shared" si="77"/>
        <v>5</v>
      </c>
      <c r="D2482" t="s">
        <v>1793</v>
      </c>
      <c r="E2482" s="49">
        <v>1</v>
      </c>
      <c r="F2482" t="s">
        <v>1794</v>
      </c>
      <c r="G2482" t="s">
        <v>21</v>
      </c>
      <c r="H2482" t="s">
        <v>37</v>
      </c>
      <c r="I2482" s="13">
        <v>285000</v>
      </c>
      <c r="J2482" s="13">
        <v>280000</v>
      </c>
      <c r="K2482" s="13">
        <f>IF(J2482&lt;'Mapa Oficinas'!$I$21,0,IF(J2482&gt;'Mapa Oficinas'!$I$20,0,1))</f>
        <v>1</v>
      </c>
      <c r="L2482" t="s">
        <v>23</v>
      </c>
      <c r="M2482" t="s">
        <v>23</v>
      </c>
      <c r="N2482" t="s">
        <v>1795</v>
      </c>
      <c r="O2482" t="s">
        <v>50</v>
      </c>
      <c r="P2482" t="s">
        <v>45</v>
      </c>
      <c r="Q2482">
        <v>2</v>
      </c>
      <c r="R2482" t="s">
        <v>67</v>
      </c>
      <c r="S2482" t="s">
        <v>200</v>
      </c>
      <c r="T2482" t="str">
        <f>VLOOKUP(S2482,'Mapa Oficinas'!$H$7:$I$16,2,FALSE)</f>
        <v>Otra Red Captación</v>
      </c>
      <c r="U2482" t="s">
        <v>29</v>
      </c>
      <c r="V2482" t="str">
        <f>VLOOKUP($R2482,'Mapa Oficinas'!$A$7:$C$46,2,FALSE)</f>
        <v>CABA</v>
      </c>
      <c r="W2482" t="str">
        <f>VLOOKUP($R2482,'Mapa Oficinas'!$A$7:$C$46,3,FALSE)</f>
        <v>Barrio Parque</v>
      </c>
    </row>
    <row r="2483" spans="1:23" x14ac:dyDescent="0.2">
      <c r="A2483" s="1">
        <v>45898</v>
      </c>
      <c r="B2483" s="20">
        <f t="shared" si="76"/>
        <v>2025</v>
      </c>
      <c r="C2483" s="20">
        <f t="shared" si="77"/>
        <v>8</v>
      </c>
      <c r="D2483" t="s">
        <v>3911</v>
      </c>
      <c r="E2483" s="49">
        <v>1</v>
      </c>
      <c r="F2483" t="s">
        <v>3912</v>
      </c>
      <c r="G2483" t="s">
        <v>21</v>
      </c>
      <c r="H2483" t="s">
        <v>37</v>
      </c>
      <c r="I2483" s="13">
        <v>285000</v>
      </c>
      <c r="J2483" s="13">
        <v>280000</v>
      </c>
      <c r="K2483" s="13">
        <f>IF(J2483&lt;'Mapa Oficinas'!$I$21,0,IF(J2483&gt;'Mapa Oficinas'!$I$20,0,1))</f>
        <v>1</v>
      </c>
      <c r="L2483" t="s">
        <v>23</v>
      </c>
      <c r="M2483" t="s">
        <v>23</v>
      </c>
      <c r="N2483" t="s">
        <v>3913</v>
      </c>
      <c r="O2483" t="s">
        <v>380</v>
      </c>
      <c r="P2483" t="s">
        <v>45</v>
      </c>
      <c r="Q2483">
        <v>2</v>
      </c>
      <c r="R2483" t="s">
        <v>170</v>
      </c>
      <c r="S2483" t="s">
        <v>200</v>
      </c>
      <c r="T2483" t="str">
        <f>VLOOKUP(S2483,'Mapa Oficinas'!$H$7:$I$16,2,FALSE)</f>
        <v>Otra Red Captación</v>
      </c>
      <c r="U2483" t="s">
        <v>29</v>
      </c>
      <c r="V2483" t="str">
        <f>VLOOKUP($R2483,'Mapa Oficinas'!$A$7:$C$46,2,FALSE)</f>
        <v>CABA</v>
      </c>
      <c r="W2483" t="str">
        <f>VLOOKUP($R2483,'Mapa Oficinas'!$A$7:$C$46,3,FALSE)</f>
        <v>Belgrano</v>
      </c>
    </row>
    <row r="2484" spans="1:23" x14ac:dyDescent="0.2">
      <c r="A2484" s="1">
        <v>45769</v>
      </c>
      <c r="B2484" s="20">
        <f t="shared" si="76"/>
        <v>2025</v>
      </c>
      <c r="C2484" s="20">
        <f t="shared" si="77"/>
        <v>4</v>
      </c>
      <c r="D2484" t="s">
        <v>1546</v>
      </c>
      <c r="E2484" s="49">
        <v>1</v>
      </c>
      <c r="F2484" t="s">
        <v>1547</v>
      </c>
      <c r="G2484" t="s">
        <v>21</v>
      </c>
      <c r="H2484" t="s">
        <v>37</v>
      </c>
      <c r="I2484" s="13">
        <v>299000</v>
      </c>
      <c r="J2484" s="13">
        <v>280000</v>
      </c>
      <c r="K2484" s="13">
        <f>IF(J2484&lt;'Mapa Oficinas'!$I$21,0,IF(J2484&gt;'Mapa Oficinas'!$I$20,0,1))</f>
        <v>1</v>
      </c>
      <c r="L2484" t="s">
        <v>23</v>
      </c>
      <c r="M2484" t="s">
        <v>23</v>
      </c>
      <c r="N2484" t="s">
        <v>1548</v>
      </c>
      <c r="O2484" t="s">
        <v>50</v>
      </c>
      <c r="P2484" t="s">
        <v>45</v>
      </c>
      <c r="Q2484">
        <v>2</v>
      </c>
      <c r="R2484" t="s">
        <v>110</v>
      </c>
      <c r="S2484" t="s">
        <v>28</v>
      </c>
      <c r="T2484" t="str">
        <f>VLOOKUP(S2484,'Mapa Oficinas'!$H$7:$I$16,2,FALSE)</f>
        <v>CB</v>
      </c>
      <c r="U2484" t="s">
        <v>29</v>
      </c>
      <c r="V2484" t="str">
        <f>VLOOKUP($R2484,'Mapa Oficinas'!$A$7:$C$46,2,FALSE)</f>
        <v>Zona Norte (GBA)</v>
      </c>
      <c r="W2484" t="str">
        <f>VLOOKUP($R2484,'Mapa Oficinas'!$A$7:$C$46,3,FALSE)</f>
        <v>Nordelta</v>
      </c>
    </row>
    <row r="2485" spans="1:23" x14ac:dyDescent="0.2">
      <c r="A2485" s="1">
        <v>45799</v>
      </c>
      <c r="B2485" s="20">
        <f t="shared" si="76"/>
        <v>2025</v>
      </c>
      <c r="C2485" s="20">
        <f t="shared" si="77"/>
        <v>5</v>
      </c>
      <c r="D2485" t="s">
        <v>2101</v>
      </c>
      <c r="E2485" s="49">
        <v>1</v>
      </c>
      <c r="F2485" t="s">
        <v>2102</v>
      </c>
      <c r="G2485" t="s">
        <v>21</v>
      </c>
      <c r="H2485" t="s">
        <v>37</v>
      </c>
      <c r="I2485" s="13">
        <v>295000</v>
      </c>
      <c r="J2485" s="13">
        <v>280000</v>
      </c>
      <c r="K2485" s="13">
        <f>IF(J2485&lt;'Mapa Oficinas'!$I$21,0,IF(J2485&gt;'Mapa Oficinas'!$I$20,0,1))</f>
        <v>1</v>
      </c>
      <c r="L2485" t="s">
        <v>23</v>
      </c>
      <c r="M2485" t="s">
        <v>23</v>
      </c>
      <c r="N2485" t="s">
        <v>2103</v>
      </c>
      <c r="O2485" t="s">
        <v>2104</v>
      </c>
      <c r="P2485" t="s">
        <v>34</v>
      </c>
      <c r="Q2485">
        <v>2</v>
      </c>
      <c r="R2485" t="s">
        <v>62</v>
      </c>
      <c r="S2485" t="s">
        <v>28</v>
      </c>
      <c r="T2485" t="str">
        <f>VLOOKUP(S2485,'Mapa Oficinas'!$H$7:$I$16,2,FALSE)</f>
        <v>CB</v>
      </c>
      <c r="U2485" t="s">
        <v>29</v>
      </c>
      <c r="V2485" t="str">
        <f>VLOOKUP($R2485,'Mapa Oficinas'!$A$7:$C$46,2,FALSE)</f>
        <v>CABA</v>
      </c>
      <c r="W2485" t="str">
        <f>VLOOKUP($R2485,'Mapa Oficinas'!$A$7:$C$46,3,FALSE)</f>
        <v>Villa Urquiza</v>
      </c>
    </row>
    <row r="2486" spans="1:23" x14ac:dyDescent="0.2">
      <c r="A2486" s="1">
        <v>45853</v>
      </c>
      <c r="B2486" s="20">
        <f t="shared" si="76"/>
        <v>2025</v>
      </c>
      <c r="C2486" s="20">
        <f t="shared" si="77"/>
        <v>7</v>
      </c>
      <c r="D2486" t="s">
        <v>3055</v>
      </c>
      <c r="E2486" s="49">
        <v>1</v>
      </c>
      <c r="F2486" t="s">
        <v>3056</v>
      </c>
      <c r="G2486" t="s">
        <v>21</v>
      </c>
      <c r="H2486" t="s">
        <v>37</v>
      </c>
      <c r="I2486" s="13">
        <v>495000</v>
      </c>
      <c r="J2486" s="13">
        <v>280000</v>
      </c>
      <c r="K2486" s="13">
        <f>IF(J2486&lt;'Mapa Oficinas'!$I$21,0,IF(J2486&gt;'Mapa Oficinas'!$I$20,0,1))</f>
        <v>1</v>
      </c>
      <c r="L2486" t="s">
        <v>23</v>
      </c>
      <c r="M2486" t="s">
        <v>23</v>
      </c>
      <c r="N2486" t="s">
        <v>3057</v>
      </c>
      <c r="O2486" t="s">
        <v>33</v>
      </c>
      <c r="P2486" t="s">
        <v>34</v>
      </c>
      <c r="Q2486">
        <v>2</v>
      </c>
      <c r="R2486" t="s">
        <v>110</v>
      </c>
      <c r="S2486" t="s">
        <v>28</v>
      </c>
      <c r="T2486" t="str">
        <f>VLOOKUP(S2486,'Mapa Oficinas'!$H$7:$I$16,2,FALSE)</f>
        <v>CB</v>
      </c>
      <c r="U2486" t="s">
        <v>29</v>
      </c>
      <c r="V2486" t="str">
        <f>VLOOKUP($R2486,'Mapa Oficinas'!$A$7:$C$46,2,FALSE)</f>
        <v>Zona Norte (GBA)</v>
      </c>
      <c r="W2486" t="str">
        <f>VLOOKUP($R2486,'Mapa Oficinas'!$A$7:$C$46,3,FALSE)</f>
        <v>Nordelta</v>
      </c>
    </row>
    <row r="2487" spans="1:23" x14ac:dyDescent="0.2">
      <c r="A2487" s="1">
        <v>45898</v>
      </c>
      <c r="B2487" s="20">
        <f t="shared" si="76"/>
        <v>2025</v>
      </c>
      <c r="C2487" s="20">
        <f t="shared" si="77"/>
        <v>8</v>
      </c>
      <c r="D2487" t="s">
        <v>3914</v>
      </c>
      <c r="E2487" s="49">
        <v>1</v>
      </c>
      <c r="F2487" t="s">
        <v>3915</v>
      </c>
      <c r="G2487" t="s">
        <v>21</v>
      </c>
      <c r="H2487" t="s">
        <v>37</v>
      </c>
      <c r="I2487" s="13">
        <v>299000</v>
      </c>
      <c r="J2487" s="13">
        <v>280000</v>
      </c>
      <c r="K2487" s="13">
        <f>IF(J2487&lt;'Mapa Oficinas'!$I$21,0,IF(J2487&gt;'Mapa Oficinas'!$I$20,0,1))</f>
        <v>1</v>
      </c>
      <c r="L2487" t="s">
        <v>23</v>
      </c>
      <c r="M2487" t="s">
        <v>23</v>
      </c>
      <c r="N2487" t="s">
        <v>3916</v>
      </c>
      <c r="O2487" t="s">
        <v>2084</v>
      </c>
      <c r="P2487" t="s">
        <v>34</v>
      </c>
      <c r="Q2487">
        <v>2</v>
      </c>
      <c r="R2487" t="s">
        <v>1024</v>
      </c>
      <c r="S2487" t="s">
        <v>28</v>
      </c>
      <c r="T2487" t="str">
        <f>VLOOKUP(S2487,'Mapa Oficinas'!$H$7:$I$16,2,FALSE)</f>
        <v>CB</v>
      </c>
      <c r="U2487" t="s">
        <v>29</v>
      </c>
      <c r="V2487" t="str">
        <f>VLOOKUP($R2487,'Mapa Oficinas'!$A$7:$C$46,2,FALSE)</f>
        <v>CABA</v>
      </c>
      <c r="W2487" t="str">
        <f>VLOOKUP($R2487,'Mapa Oficinas'!$A$7:$C$46,3,FALSE)</f>
        <v>Puerto Madero</v>
      </c>
    </row>
    <row r="2488" spans="1:23" x14ac:dyDescent="0.2">
      <c r="A2488" s="1">
        <v>45957</v>
      </c>
      <c r="B2488" s="20">
        <f t="shared" si="76"/>
        <v>2025</v>
      </c>
      <c r="C2488" s="20">
        <f t="shared" si="77"/>
        <v>10</v>
      </c>
      <c r="D2488" t="s">
        <v>4947</v>
      </c>
      <c r="E2488" s="49">
        <v>1</v>
      </c>
      <c r="F2488" t="s">
        <v>4948</v>
      </c>
      <c r="G2488" t="s">
        <v>21</v>
      </c>
      <c r="H2488" t="s">
        <v>37</v>
      </c>
      <c r="I2488" s="13">
        <v>299000</v>
      </c>
      <c r="J2488" s="13">
        <v>280000</v>
      </c>
      <c r="K2488" s="13">
        <f>IF(J2488&lt;'Mapa Oficinas'!$I$21,0,IF(J2488&gt;'Mapa Oficinas'!$I$20,0,1))</f>
        <v>1</v>
      </c>
      <c r="L2488" t="s">
        <v>23</v>
      </c>
      <c r="M2488" t="s">
        <v>23</v>
      </c>
      <c r="N2488" t="s">
        <v>4949</v>
      </c>
      <c r="O2488" t="s">
        <v>60</v>
      </c>
      <c r="P2488" t="s">
        <v>34</v>
      </c>
      <c r="Q2488">
        <v>2</v>
      </c>
      <c r="R2488" t="s">
        <v>1024</v>
      </c>
      <c r="S2488" t="s">
        <v>28</v>
      </c>
      <c r="T2488" t="str">
        <f>VLOOKUP(S2488,'Mapa Oficinas'!$H$7:$I$16,2,FALSE)</f>
        <v>CB</v>
      </c>
      <c r="U2488" t="s">
        <v>29</v>
      </c>
      <c r="V2488" t="str">
        <f>VLOOKUP($R2488,'Mapa Oficinas'!$A$7:$C$46,2,FALSE)</f>
        <v>CABA</v>
      </c>
      <c r="W2488" t="str">
        <f>VLOOKUP($R2488,'Mapa Oficinas'!$A$7:$C$46,3,FALSE)</f>
        <v>Puerto Madero</v>
      </c>
    </row>
    <row r="2489" spans="1:23" x14ac:dyDescent="0.2">
      <c r="A2489" s="1">
        <v>46042</v>
      </c>
      <c r="B2489" s="20">
        <f t="shared" si="76"/>
        <v>2026</v>
      </c>
      <c r="C2489" s="20">
        <f t="shared" si="77"/>
        <v>1</v>
      </c>
      <c r="D2489" t="s">
        <v>6338</v>
      </c>
      <c r="E2489" s="49">
        <v>1</v>
      </c>
      <c r="F2489" t="s">
        <v>6339</v>
      </c>
      <c r="G2489" t="s">
        <v>21</v>
      </c>
      <c r="H2489" t="s">
        <v>37</v>
      </c>
      <c r="I2489" s="13">
        <v>299000</v>
      </c>
      <c r="J2489" s="13">
        <v>280000</v>
      </c>
      <c r="K2489" s="13">
        <f>IF(J2489&lt;'Mapa Oficinas'!$I$21,0,IF(J2489&gt;'Mapa Oficinas'!$I$20,0,1))</f>
        <v>1</v>
      </c>
      <c r="L2489" t="s">
        <v>23</v>
      </c>
      <c r="M2489" t="s">
        <v>23</v>
      </c>
      <c r="N2489" t="s">
        <v>6340</v>
      </c>
      <c r="O2489" t="s">
        <v>190</v>
      </c>
      <c r="P2489" t="s">
        <v>45</v>
      </c>
      <c r="Q2489">
        <v>2</v>
      </c>
      <c r="R2489" t="s">
        <v>62</v>
      </c>
      <c r="S2489" t="s">
        <v>28</v>
      </c>
      <c r="T2489" t="str">
        <f>VLOOKUP(S2489,'Mapa Oficinas'!$H$7:$I$16,2,FALSE)</f>
        <v>CB</v>
      </c>
      <c r="U2489" t="s">
        <v>29</v>
      </c>
      <c r="V2489" t="str">
        <f>VLOOKUP($R2489,'Mapa Oficinas'!$A$7:$C$46,2,FALSE)</f>
        <v>CABA</v>
      </c>
      <c r="W2489" t="str">
        <f>VLOOKUP($R2489,'Mapa Oficinas'!$A$7:$C$46,3,FALSE)</f>
        <v>Villa Urquiza</v>
      </c>
    </row>
    <row r="2490" spans="1:23" x14ac:dyDescent="0.2">
      <c r="A2490" s="1">
        <v>45658</v>
      </c>
      <c r="B2490" s="20">
        <f t="shared" si="76"/>
        <v>2025</v>
      </c>
      <c r="C2490" s="20">
        <f t="shared" si="77"/>
        <v>1</v>
      </c>
      <c r="D2490" t="s">
        <v>19</v>
      </c>
      <c r="E2490" s="49">
        <v>1</v>
      </c>
      <c r="F2490" t="s">
        <v>20</v>
      </c>
      <c r="G2490" t="s">
        <v>21</v>
      </c>
      <c r="H2490" t="s">
        <v>22</v>
      </c>
      <c r="I2490" s="13">
        <v>320000</v>
      </c>
      <c r="J2490" s="13">
        <v>282000</v>
      </c>
      <c r="K2490" s="13">
        <f>IF(J2490&lt;'Mapa Oficinas'!$I$21,0,IF(J2490&gt;'Mapa Oficinas'!$I$20,0,1))</f>
        <v>1</v>
      </c>
      <c r="L2490" t="s">
        <v>23</v>
      </c>
      <c r="M2490" t="s">
        <v>23</v>
      </c>
      <c r="N2490" t="s">
        <v>24</v>
      </c>
      <c r="O2490" t="s">
        <v>25</v>
      </c>
      <c r="P2490" t="s">
        <v>26</v>
      </c>
      <c r="Q2490">
        <v>2</v>
      </c>
      <c r="R2490" t="s">
        <v>27</v>
      </c>
      <c r="S2490" t="s">
        <v>28</v>
      </c>
      <c r="T2490" t="str">
        <f>VLOOKUP(S2490,'Mapa Oficinas'!$H$7:$I$16,2,FALSE)</f>
        <v>CB</v>
      </c>
      <c r="U2490" t="s">
        <v>29</v>
      </c>
      <c r="V2490" t="str">
        <f>VLOOKUP($R2490,'Mapa Oficinas'!$A$7:$C$46,2,FALSE)</f>
        <v>Zona Norte (GBA)</v>
      </c>
      <c r="W2490" t="str">
        <f>VLOOKUP($R2490,'Mapa Oficinas'!$A$7:$C$46,3,FALSE)</f>
        <v>Tigre</v>
      </c>
    </row>
    <row r="2491" spans="1:23" x14ac:dyDescent="0.2">
      <c r="A2491" s="1">
        <v>45852</v>
      </c>
      <c r="B2491" s="20">
        <f t="shared" si="76"/>
        <v>2025</v>
      </c>
      <c r="C2491" s="20">
        <f t="shared" si="77"/>
        <v>7</v>
      </c>
      <c r="D2491" t="s">
        <v>3030</v>
      </c>
      <c r="E2491" s="49">
        <v>1</v>
      </c>
      <c r="F2491" t="s">
        <v>3031</v>
      </c>
      <c r="G2491" t="s">
        <v>21</v>
      </c>
      <c r="H2491" t="s">
        <v>37</v>
      </c>
      <c r="I2491" s="13">
        <v>350000</v>
      </c>
      <c r="J2491" s="13">
        <v>285000</v>
      </c>
      <c r="K2491" s="13">
        <f>IF(J2491&lt;'Mapa Oficinas'!$I$21,0,IF(J2491&gt;'Mapa Oficinas'!$I$20,0,1))</f>
        <v>1</v>
      </c>
      <c r="L2491" t="s">
        <v>23</v>
      </c>
      <c r="M2491" t="s">
        <v>23</v>
      </c>
      <c r="N2491" t="s">
        <v>3032</v>
      </c>
      <c r="O2491" t="s">
        <v>3033</v>
      </c>
      <c r="P2491" t="s">
        <v>34</v>
      </c>
      <c r="Q2491">
        <v>1</v>
      </c>
      <c r="R2491" t="s">
        <v>103</v>
      </c>
      <c r="S2491" t="s">
        <v>47</v>
      </c>
      <c r="T2491" t="str">
        <f>VLOOKUP(S2491,'Mapa Oficinas'!$H$7:$I$16,2,FALSE)</f>
        <v>Otra Red Búsqueda</v>
      </c>
      <c r="U2491" t="s">
        <v>29</v>
      </c>
      <c r="V2491" t="str">
        <f>VLOOKUP($R2491,'Mapa Oficinas'!$A$7:$C$46,2,FALSE)</f>
        <v>Zona Sur (GBA)</v>
      </c>
      <c r="W2491" t="str">
        <f>VLOOKUP($R2491,'Mapa Oficinas'!$A$7:$C$46,3,FALSE)</f>
        <v>La Plata</v>
      </c>
    </row>
    <row r="2492" spans="1:23" x14ac:dyDescent="0.2">
      <c r="A2492" s="1">
        <v>46076</v>
      </c>
      <c r="B2492" s="20">
        <f t="shared" si="76"/>
        <v>2026</v>
      </c>
      <c r="C2492" s="20">
        <f t="shared" si="77"/>
        <v>2</v>
      </c>
      <c r="E2492" s="49">
        <v>1</v>
      </c>
      <c r="F2492" t="s">
        <v>6824</v>
      </c>
      <c r="G2492" t="s">
        <v>21</v>
      </c>
      <c r="H2492" t="s">
        <v>37</v>
      </c>
      <c r="I2492" s="13">
        <v>285000</v>
      </c>
      <c r="J2492" s="13">
        <v>285000</v>
      </c>
      <c r="K2492" s="13">
        <f>IF(J2492&lt;'Mapa Oficinas'!$I$21,0,IF(J2492&gt;'Mapa Oficinas'!$I$20,0,1))</f>
        <v>1</v>
      </c>
      <c r="L2492" t="s">
        <v>23</v>
      </c>
      <c r="M2492" t="s">
        <v>23</v>
      </c>
      <c r="N2492" t="s">
        <v>6825</v>
      </c>
      <c r="O2492" t="s">
        <v>50</v>
      </c>
      <c r="P2492" t="s">
        <v>45</v>
      </c>
      <c r="Q2492">
        <v>1</v>
      </c>
      <c r="R2492" t="s">
        <v>135</v>
      </c>
      <c r="S2492" t="s">
        <v>47</v>
      </c>
      <c r="T2492" t="str">
        <f>VLOOKUP(S2492,'Mapa Oficinas'!$H$7:$I$16,2,FALSE)</f>
        <v>Otra Red Búsqueda</v>
      </c>
      <c r="U2492" t="s">
        <v>29</v>
      </c>
      <c r="V2492" t="str">
        <f>VLOOKUP($R2492,'Mapa Oficinas'!$A$7:$C$46,2,FALSE)</f>
        <v>CABA</v>
      </c>
      <c r="W2492" t="str">
        <f>VLOOKUP($R2492,'Mapa Oficinas'!$A$7:$C$46,3,FALSE)</f>
        <v>Recoleta</v>
      </c>
    </row>
    <row r="2493" spans="1:23" x14ac:dyDescent="0.2">
      <c r="A2493" s="1">
        <v>45743</v>
      </c>
      <c r="B2493" s="20">
        <f t="shared" si="76"/>
        <v>2025</v>
      </c>
      <c r="C2493" s="20">
        <f t="shared" si="77"/>
        <v>3</v>
      </c>
      <c r="D2493" t="s">
        <v>1138</v>
      </c>
      <c r="E2493" s="49">
        <v>1</v>
      </c>
      <c r="F2493" t="s">
        <v>1139</v>
      </c>
      <c r="G2493" t="s">
        <v>21</v>
      </c>
      <c r="H2493" t="s">
        <v>37</v>
      </c>
      <c r="I2493" s="13">
        <v>285000</v>
      </c>
      <c r="J2493" s="13">
        <v>285000</v>
      </c>
      <c r="K2493" s="13">
        <f>IF(J2493&lt;'Mapa Oficinas'!$I$21,0,IF(J2493&gt;'Mapa Oficinas'!$I$20,0,1))</f>
        <v>1</v>
      </c>
      <c r="L2493" t="s">
        <v>23</v>
      </c>
      <c r="M2493" t="s">
        <v>23</v>
      </c>
      <c r="O2493" t="s">
        <v>684</v>
      </c>
      <c r="P2493" t="s">
        <v>45</v>
      </c>
      <c r="Q2493">
        <v>2</v>
      </c>
      <c r="R2493" t="s">
        <v>110</v>
      </c>
      <c r="S2493" t="s">
        <v>200</v>
      </c>
      <c r="T2493" t="str">
        <f>VLOOKUP(S2493,'Mapa Oficinas'!$H$7:$I$16,2,FALSE)</f>
        <v>Otra Red Captación</v>
      </c>
      <c r="U2493" t="s">
        <v>29</v>
      </c>
      <c r="V2493" t="str">
        <f>VLOOKUP($R2493,'Mapa Oficinas'!$A$7:$C$46,2,FALSE)</f>
        <v>Zona Norte (GBA)</v>
      </c>
      <c r="W2493" t="str">
        <f>VLOOKUP($R2493,'Mapa Oficinas'!$A$7:$C$46,3,FALSE)</f>
        <v>Nordelta</v>
      </c>
    </row>
    <row r="2494" spans="1:23" x14ac:dyDescent="0.2">
      <c r="A2494" s="1">
        <v>45742</v>
      </c>
      <c r="B2494" s="20">
        <f t="shared" si="76"/>
        <v>2025</v>
      </c>
      <c r="C2494" s="20">
        <f t="shared" si="77"/>
        <v>3</v>
      </c>
      <c r="D2494" t="s">
        <v>1121</v>
      </c>
      <c r="E2494" s="49">
        <v>1</v>
      </c>
      <c r="F2494" t="s">
        <v>1121</v>
      </c>
      <c r="G2494" t="s">
        <v>21</v>
      </c>
      <c r="H2494" t="s">
        <v>37</v>
      </c>
      <c r="I2494" s="13">
        <v>285000</v>
      </c>
      <c r="J2494" s="13">
        <v>285000</v>
      </c>
      <c r="K2494" s="13">
        <f>IF(J2494&lt;'Mapa Oficinas'!$I$21,0,IF(J2494&gt;'Mapa Oficinas'!$I$20,0,1))</f>
        <v>1</v>
      </c>
      <c r="L2494" t="s">
        <v>23</v>
      </c>
      <c r="M2494" t="s">
        <v>23</v>
      </c>
      <c r="N2494" t="s">
        <v>1121</v>
      </c>
      <c r="O2494" t="s">
        <v>116</v>
      </c>
      <c r="P2494" t="s">
        <v>45</v>
      </c>
      <c r="Q2494">
        <v>2</v>
      </c>
      <c r="R2494" t="s">
        <v>62</v>
      </c>
      <c r="S2494" t="s">
        <v>28</v>
      </c>
      <c r="T2494" t="str">
        <f>VLOOKUP(S2494,'Mapa Oficinas'!$H$7:$I$16,2,FALSE)</f>
        <v>CB</v>
      </c>
      <c r="U2494" t="s">
        <v>29</v>
      </c>
      <c r="V2494" t="str">
        <f>VLOOKUP($R2494,'Mapa Oficinas'!$A$7:$C$46,2,FALSE)</f>
        <v>CABA</v>
      </c>
      <c r="W2494" t="str">
        <f>VLOOKUP($R2494,'Mapa Oficinas'!$A$7:$C$46,3,FALSE)</f>
        <v>Villa Urquiza</v>
      </c>
    </row>
    <row r="2495" spans="1:23" x14ac:dyDescent="0.2">
      <c r="A2495" s="1">
        <v>45825</v>
      </c>
      <c r="B2495" s="20">
        <f t="shared" si="76"/>
        <v>2025</v>
      </c>
      <c r="C2495" s="20">
        <f t="shared" si="77"/>
        <v>6</v>
      </c>
      <c r="D2495" t="s">
        <v>951</v>
      </c>
      <c r="E2495" s="49">
        <v>1</v>
      </c>
      <c r="F2495" t="s">
        <v>952</v>
      </c>
      <c r="G2495" t="s">
        <v>21</v>
      </c>
      <c r="H2495" t="s">
        <v>37</v>
      </c>
      <c r="I2495" s="13">
        <v>250000</v>
      </c>
      <c r="J2495" s="13">
        <v>285000</v>
      </c>
      <c r="K2495" s="13">
        <f>IF(J2495&lt;'Mapa Oficinas'!$I$21,0,IF(J2495&gt;'Mapa Oficinas'!$I$20,0,1))</f>
        <v>1</v>
      </c>
      <c r="L2495" t="s">
        <v>23</v>
      </c>
      <c r="M2495" t="s">
        <v>23</v>
      </c>
      <c r="N2495" t="s">
        <v>953</v>
      </c>
      <c r="O2495" t="s">
        <v>380</v>
      </c>
      <c r="P2495" t="s">
        <v>45</v>
      </c>
      <c r="Q2495">
        <v>2</v>
      </c>
      <c r="R2495" t="s">
        <v>110</v>
      </c>
      <c r="S2495" t="s">
        <v>28</v>
      </c>
      <c r="T2495" t="str">
        <f>VLOOKUP(S2495,'Mapa Oficinas'!$H$7:$I$16,2,FALSE)</f>
        <v>CB</v>
      </c>
      <c r="U2495" t="s">
        <v>29</v>
      </c>
      <c r="V2495" t="str">
        <f>VLOOKUP($R2495,'Mapa Oficinas'!$A$7:$C$46,2,FALSE)</f>
        <v>Zona Norte (GBA)</v>
      </c>
      <c r="W2495" t="str">
        <f>VLOOKUP($R2495,'Mapa Oficinas'!$A$7:$C$46,3,FALSE)</f>
        <v>Nordelta</v>
      </c>
    </row>
    <row r="2496" spans="1:23" x14ac:dyDescent="0.2">
      <c r="A2496" s="1">
        <v>45981</v>
      </c>
      <c r="B2496" s="20">
        <f t="shared" si="76"/>
        <v>2025</v>
      </c>
      <c r="C2496" s="20">
        <f t="shared" si="77"/>
        <v>11</v>
      </c>
      <c r="D2496" t="s">
        <v>5348</v>
      </c>
      <c r="E2496" s="49">
        <v>1</v>
      </c>
      <c r="F2496" t="s">
        <v>5349</v>
      </c>
      <c r="G2496" t="s">
        <v>21</v>
      </c>
      <c r="H2496" t="s">
        <v>37</v>
      </c>
      <c r="I2496" s="13">
        <v>300000</v>
      </c>
      <c r="J2496" s="13">
        <v>285000</v>
      </c>
      <c r="K2496" s="13">
        <f>IF(J2496&lt;'Mapa Oficinas'!$I$21,0,IF(J2496&gt;'Mapa Oficinas'!$I$20,0,1))</f>
        <v>1</v>
      </c>
      <c r="L2496" t="s">
        <v>23</v>
      </c>
      <c r="M2496" t="s">
        <v>23</v>
      </c>
      <c r="N2496" t="s">
        <v>5350</v>
      </c>
      <c r="O2496" t="s">
        <v>1448</v>
      </c>
      <c r="P2496" t="s">
        <v>34</v>
      </c>
      <c r="Q2496">
        <v>2</v>
      </c>
      <c r="R2496" t="s">
        <v>67</v>
      </c>
      <c r="S2496" t="s">
        <v>28</v>
      </c>
      <c r="T2496" t="str">
        <f>VLOOKUP(S2496,'Mapa Oficinas'!$H$7:$I$16,2,FALSE)</f>
        <v>CB</v>
      </c>
      <c r="U2496" t="s">
        <v>29</v>
      </c>
      <c r="V2496" t="str">
        <f>VLOOKUP($R2496,'Mapa Oficinas'!$A$7:$C$46,2,FALSE)</f>
        <v>CABA</v>
      </c>
      <c r="W2496" t="str">
        <f>VLOOKUP($R2496,'Mapa Oficinas'!$A$7:$C$46,3,FALSE)</f>
        <v>Barrio Parque</v>
      </c>
    </row>
    <row r="2497" spans="1:23" x14ac:dyDescent="0.2">
      <c r="A2497" s="1">
        <v>46083</v>
      </c>
      <c r="B2497" s="20">
        <f t="shared" si="76"/>
        <v>2026</v>
      </c>
      <c r="C2497" s="20">
        <f t="shared" si="77"/>
        <v>3</v>
      </c>
      <c r="D2497" t="s">
        <v>6947</v>
      </c>
      <c r="E2497" s="49">
        <v>1</v>
      </c>
      <c r="F2497" t="s">
        <v>6948</v>
      </c>
      <c r="G2497" t="s">
        <v>21</v>
      </c>
      <c r="H2497" t="s">
        <v>100</v>
      </c>
      <c r="I2497" s="13">
        <v>295000</v>
      </c>
      <c r="J2497" s="13">
        <v>286000</v>
      </c>
      <c r="K2497" s="13">
        <f>IF(J2497&lt;'Mapa Oficinas'!$I$21,0,IF(J2497&gt;'Mapa Oficinas'!$I$20,0,1))</f>
        <v>1</v>
      </c>
      <c r="L2497" t="s">
        <v>23</v>
      </c>
      <c r="M2497" t="s">
        <v>23</v>
      </c>
      <c r="N2497" t="s">
        <v>6949</v>
      </c>
      <c r="O2497" t="s">
        <v>6950</v>
      </c>
      <c r="P2497" t="s">
        <v>34</v>
      </c>
      <c r="Q2497">
        <v>2</v>
      </c>
      <c r="R2497" t="s">
        <v>121</v>
      </c>
      <c r="S2497" t="s">
        <v>79</v>
      </c>
      <c r="T2497" t="str">
        <f>VLOOKUP(S2497,'Mapa Oficinas'!$H$7:$I$16,2,FALSE)</f>
        <v>CB</v>
      </c>
      <c r="U2497" t="s">
        <v>29</v>
      </c>
      <c r="V2497" t="str">
        <f>VLOOKUP($R2497,'Mapa Oficinas'!$A$7:$C$46,2,FALSE)</f>
        <v>Interior - Río Negro</v>
      </c>
      <c r="W2497" t="str">
        <f>VLOOKUP($R2497,'Mapa Oficinas'!$A$7:$C$46,3,FALSE)</f>
        <v>Bariloche</v>
      </c>
    </row>
    <row r="2498" spans="1:23" x14ac:dyDescent="0.2">
      <c r="A2498" s="1">
        <v>46100</v>
      </c>
      <c r="B2498" s="20">
        <f t="shared" ref="B2498:B2561" si="78">YEAR($A2498)</f>
        <v>2026</v>
      </c>
      <c r="C2498" s="20">
        <f t="shared" ref="C2498:C2561" si="79">MONTH($A2498)</f>
        <v>3</v>
      </c>
      <c r="D2498" t="s">
        <v>7332</v>
      </c>
      <c r="E2498" s="49">
        <v>1</v>
      </c>
      <c r="F2498" t="s">
        <v>7333</v>
      </c>
      <c r="G2498" t="s">
        <v>21</v>
      </c>
      <c r="H2498" t="s">
        <v>37</v>
      </c>
      <c r="I2498" s="13">
        <v>289000</v>
      </c>
      <c r="J2498" s="13">
        <v>286000</v>
      </c>
      <c r="K2498" s="13">
        <f>IF(J2498&lt;'Mapa Oficinas'!$I$21,0,IF(J2498&gt;'Mapa Oficinas'!$I$20,0,1))</f>
        <v>1</v>
      </c>
      <c r="L2498" t="s">
        <v>23</v>
      </c>
      <c r="M2498" t="s">
        <v>23</v>
      </c>
      <c r="N2498" t="s">
        <v>7334</v>
      </c>
      <c r="O2498" t="s">
        <v>4329</v>
      </c>
      <c r="P2498" t="s">
        <v>34</v>
      </c>
      <c r="Q2498">
        <v>1</v>
      </c>
      <c r="R2498" t="s">
        <v>110</v>
      </c>
      <c r="S2498" t="s">
        <v>47</v>
      </c>
      <c r="T2498" t="str">
        <f>VLOOKUP(S2498,'Mapa Oficinas'!$H$7:$I$16,2,FALSE)</f>
        <v>Otra Red Búsqueda</v>
      </c>
      <c r="U2498" t="s">
        <v>29</v>
      </c>
      <c r="V2498" t="str">
        <f>VLOOKUP($R2498,'Mapa Oficinas'!$A$7:$C$46,2,FALSE)</f>
        <v>Zona Norte (GBA)</v>
      </c>
      <c r="W2498" t="str">
        <f>VLOOKUP($R2498,'Mapa Oficinas'!$A$7:$C$46,3,FALSE)</f>
        <v>Nordelta</v>
      </c>
    </row>
    <row r="2499" spans="1:23" x14ac:dyDescent="0.2">
      <c r="A2499" s="1">
        <v>46098</v>
      </c>
      <c r="B2499" s="20">
        <f t="shared" si="78"/>
        <v>2026</v>
      </c>
      <c r="C2499" s="20">
        <f t="shared" si="79"/>
        <v>3</v>
      </c>
      <c r="D2499" t="s">
        <v>4973</v>
      </c>
      <c r="E2499" s="49">
        <v>1</v>
      </c>
      <c r="F2499" t="s">
        <v>4974</v>
      </c>
      <c r="G2499" t="s">
        <v>21</v>
      </c>
      <c r="H2499" t="s">
        <v>37</v>
      </c>
      <c r="I2499" s="13">
        <v>402500</v>
      </c>
      <c r="J2499" s="13">
        <v>287000</v>
      </c>
      <c r="K2499" s="13">
        <f>IF(J2499&lt;'Mapa Oficinas'!$I$21,0,IF(J2499&gt;'Mapa Oficinas'!$I$20,0,1))</f>
        <v>1</v>
      </c>
      <c r="L2499" t="s">
        <v>23</v>
      </c>
      <c r="M2499" t="s">
        <v>23</v>
      </c>
      <c r="N2499" t="s">
        <v>4975</v>
      </c>
      <c r="O2499" t="s">
        <v>456</v>
      </c>
      <c r="P2499" t="s">
        <v>45</v>
      </c>
      <c r="Q2499">
        <v>1</v>
      </c>
      <c r="R2499" t="s">
        <v>110</v>
      </c>
      <c r="S2499" t="s">
        <v>47</v>
      </c>
      <c r="T2499" t="str">
        <f>VLOOKUP(S2499,'Mapa Oficinas'!$H$7:$I$16,2,FALSE)</f>
        <v>Otra Red Búsqueda</v>
      </c>
      <c r="U2499" t="s">
        <v>29</v>
      </c>
      <c r="V2499" t="str">
        <f>VLOOKUP($R2499,'Mapa Oficinas'!$A$7:$C$46,2,FALSE)</f>
        <v>Zona Norte (GBA)</v>
      </c>
      <c r="W2499" t="str">
        <f>VLOOKUP($R2499,'Mapa Oficinas'!$A$7:$C$46,3,FALSE)</f>
        <v>Nordelta</v>
      </c>
    </row>
    <row r="2500" spans="1:23" x14ac:dyDescent="0.2">
      <c r="A2500" s="1">
        <v>45777</v>
      </c>
      <c r="B2500" s="20">
        <f t="shared" si="78"/>
        <v>2025</v>
      </c>
      <c r="C2500" s="20">
        <f t="shared" si="79"/>
        <v>4</v>
      </c>
      <c r="D2500" t="s">
        <v>1759</v>
      </c>
      <c r="E2500" s="49">
        <v>1</v>
      </c>
      <c r="F2500" t="s">
        <v>1760</v>
      </c>
      <c r="G2500" t="s">
        <v>21</v>
      </c>
      <c r="H2500" t="s">
        <v>37</v>
      </c>
      <c r="I2500" s="13">
        <v>299500</v>
      </c>
      <c r="J2500" s="13">
        <v>288000</v>
      </c>
      <c r="K2500" s="13">
        <f>IF(J2500&lt;'Mapa Oficinas'!$I$21,0,IF(J2500&gt;'Mapa Oficinas'!$I$20,0,1))</f>
        <v>1</v>
      </c>
      <c r="L2500" t="s">
        <v>23</v>
      </c>
      <c r="M2500" t="s">
        <v>23</v>
      </c>
      <c r="N2500" t="s">
        <v>1761</v>
      </c>
      <c r="O2500" t="s">
        <v>141</v>
      </c>
      <c r="P2500" t="s">
        <v>45</v>
      </c>
      <c r="Q2500">
        <v>2</v>
      </c>
      <c r="R2500" t="s">
        <v>67</v>
      </c>
      <c r="S2500" t="s">
        <v>28</v>
      </c>
      <c r="T2500" t="str">
        <f>VLOOKUP(S2500,'Mapa Oficinas'!$H$7:$I$16,2,FALSE)</f>
        <v>CB</v>
      </c>
      <c r="U2500" t="s">
        <v>29</v>
      </c>
      <c r="V2500" t="str">
        <f>VLOOKUP($R2500,'Mapa Oficinas'!$A$7:$C$46,2,FALSE)</f>
        <v>CABA</v>
      </c>
      <c r="W2500" t="str">
        <f>VLOOKUP($R2500,'Mapa Oficinas'!$A$7:$C$46,3,FALSE)</f>
        <v>Barrio Parque</v>
      </c>
    </row>
    <row r="2501" spans="1:23" x14ac:dyDescent="0.2">
      <c r="A2501" s="1">
        <v>45682</v>
      </c>
      <c r="B2501" s="20">
        <f t="shared" si="78"/>
        <v>2025</v>
      </c>
      <c r="C2501" s="20">
        <f t="shared" si="79"/>
        <v>1</v>
      </c>
      <c r="D2501" t="s">
        <v>349</v>
      </c>
      <c r="E2501" s="49">
        <v>1</v>
      </c>
      <c r="F2501" t="s">
        <v>350</v>
      </c>
      <c r="G2501" t="s">
        <v>21</v>
      </c>
      <c r="H2501" t="s">
        <v>37</v>
      </c>
      <c r="I2501" s="13">
        <v>328000</v>
      </c>
      <c r="J2501" s="13">
        <v>289000</v>
      </c>
      <c r="K2501" s="13">
        <f>IF(J2501&lt;'Mapa Oficinas'!$I$21,0,IF(J2501&gt;'Mapa Oficinas'!$I$20,0,1))</f>
        <v>1</v>
      </c>
      <c r="L2501" t="s">
        <v>23</v>
      </c>
      <c r="M2501" t="s">
        <v>23</v>
      </c>
      <c r="N2501" t="s">
        <v>351</v>
      </c>
      <c r="O2501" t="s">
        <v>66</v>
      </c>
      <c r="P2501" t="s">
        <v>61</v>
      </c>
      <c r="Q2501">
        <v>2</v>
      </c>
      <c r="R2501" t="s">
        <v>135</v>
      </c>
      <c r="S2501" t="s">
        <v>28</v>
      </c>
      <c r="T2501" t="str">
        <f>VLOOKUP(S2501,'Mapa Oficinas'!$H$7:$I$16,2,FALSE)</f>
        <v>CB</v>
      </c>
      <c r="U2501" t="s">
        <v>29</v>
      </c>
      <c r="V2501" t="str">
        <f>VLOOKUP($R2501,'Mapa Oficinas'!$A$7:$C$46,2,FALSE)</f>
        <v>CABA</v>
      </c>
      <c r="W2501" t="str">
        <f>VLOOKUP($R2501,'Mapa Oficinas'!$A$7:$C$46,3,FALSE)</f>
        <v>Recoleta</v>
      </c>
    </row>
    <row r="2502" spans="1:23" x14ac:dyDescent="0.2">
      <c r="A2502" s="1">
        <v>45867</v>
      </c>
      <c r="B2502" s="20">
        <f t="shared" si="78"/>
        <v>2025</v>
      </c>
      <c r="C2502" s="20">
        <f t="shared" si="79"/>
        <v>7</v>
      </c>
      <c r="D2502" t="s">
        <v>3295</v>
      </c>
      <c r="E2502" s="49">
        <v>1</v>
      </c>
      <c r="F2502" t="s">
        <v>3296</v>
      </c>
      <c r="G2502" t="s">
        <v>21</v>
      </c>
      <c r="H2502" t="s">
        <v>37</v>
      </c>
      <c r="I2502" s="13">
        <v>310000</v>
      </c>
      <c r="J2502" s="13">
        <v>290000</v>
      </c>
      <c r="K2502" s="13">
        <f>IF(J2502&lt;'Mapa Oficinas'!$I$21,0,IF(J2502&gt;'Mapa Oficinas'!$I$20,0,1))</f>
        <v>1</v>
      </c>
      <c r="L2502" t="s">
        <v>23</v>
      </c>
      <c r="M2502" t="s">
        <v>23</v>
      </c>
      <c r="N2502" t="s">
        <v>3297</v>
      </c>
      <c r="O2502" t="s">
        <v>713</v>
      </c>
      <c r="P2502" t="s">
        <v>45</v>
      </c>
      <c r="Q2502">
        <v>2</v>
      </c>
      <c r="R2502" t="s">
        <v>670</v>
      </c>
      <c r="S2502" t="s">
        <v>79</v>
      </c>
      <c r="T2502" t="str">
        <f>VLOOKUP(S2502,'Mapa Oficinas'!$H$7:$I$16,2,FALSE)</f>
        <v>CB</v>
      </c>
      <c r="U2502" t="s">
        <v>29</v>
      </c>
      <c r="V2502" t="str">
        <f>VLOOKUP($R2502,'Mapa Oficinas'!$A$7:$C$46,2,FALSE)</f>
        <v>CABA</v>
      </c>
      <c r="W2502" t="str">
        <f>VLOOKUP($R2502,'Mapa Oficinas'!$A$7:$C$46,3,FALSE)</f>
        <v>Recoleta</v>
      </c>
    </row>
    <row r="2503" spans="1:23" x14ac:dyDescent="0.2">
      <c r="A2503" s="1">
        <v>45783</v>
      </c>
      <c r="B2503" s="20">
        <f t="shared" si="78"/>
        <v>2025</v>
      </c>
      <c r="C2503" s="20">
        <f t="shared" si="79"/>
        <v>5</v>
      </c>
      <c r="D2503">
        <v>10333</v>
      </c>
      <c r="E2503" s="49">
        <v>1</v>
      </c>
      <c r="F2503" t="s">
        <v>1796</v>
      </c>
      <c r="G2503" t="s">
        <v>21</v>
      </c>
      <c r="H2503" t="s">
        <v>37</v>
      </c>
      <c r="I2503" s="13">
        <v>0</v>
      </c>
      <c r="J2503" s="13">
        <v>290000</v>
      </c>
      <c r="K2503" s="13">
        <f>IF(J2503&lt;'Mapa Oficinas'!$I$21,0,IF(J2503&gt;'Mapa Oficinas'!$I$20,0,1))</f>
        <v>1</v>
      </c>
      <c r="L2503" t="s">
        <v>23</v>
      </c>
      <c r="M2503" t="s">
        <v>23</v>
      </c>
      <c r="O2503" t="s">
        <v>50</v>
      </c>
      <c r="P2503" t="s">
        <v>45</v>
      </c>
      <c r="Q2503">
        <v>1</v>
      </c>
      <c r="R2503" t="s">
        <v>67</v>
      </c>
      <c r="S2503" t="s">
        <v>47</v>
      </c>
      <c r="T2503" t="str">
        <f>VLOOKUP(S2503,'Mapa Oficinas'!$H$7:$I$16,2,FALSE)</f>
        <v>Otra Red Búsqueda</v>
      </c>
      <c r="U2503" t="s">
        <v>29</v>
      </c>
      <c r="V2503" t="str">
        <f>VLOOKUP($R2503,'Mapa Oficinas'!$A$7:$C$46,2,FALSE)</f>
        <v>CABA</v>
      </c>
      <c r="W2503" t="str">
        <f>VLOOKUP($R2503,'Mapa Oficinas'!$A$7:$C$46,3,FALSE)</f>
        <v>Barrio Parque</v>
      </c>
    </row>
    <row r="2504" spans="1:23" x14ac:dyDescent="0.2">
      <c r="A2504" s="1">
        <v>45835</v>
      </c>
      <c r="B2504" s="20">
        <f t="shared" si="78"/>
        <v>2025</v>
      </c>
      <c r="C2504" s="20">
        <f t="shared" si="79"/>
        <v>6</v>
      </c>
      <c r="D2504">
        <v>10429</v>
      </c>
      <c r="E2504" s="49">
        <v>1</v>
      </c>
      <c r="F2504" t="s">
        <v>2726</v>
      </c>
      <c r="G2504" t="s">
        <v>21</v>
      </c>
      <c r="H2504" t="s">
        <v>37</v>
      </c>
      <c r="I2504" s="13">
        <v>0</v>
      </c>
      <c r="J2504" s="13">
        <v>290000</v>
      </c>
      <c r="K2504" s="13">
        <f>IF(J2504&lt;'Mapa Oficinas'!$I$21,0,IF(J2504&gt;'Mapa Oficinas'!$I$20,0,1))</f>
        <v>1</v>
      </c>
      <c r="L2504" t="s">
        <v>23</v>
      </c>
      <c r="M2504" t="s">
        <v>23</v>
      </c>
      <c r="O2504" t="s">
        <v>50</v>
      </c>
      <c r="P2504" t="s">
        <v>45</v>
      </c>
      <c r="Q2504">
        <v>1</v>
      </c>
      <c r="R2504" t="s">
        <v>67</v>
      </c>
      <c r="S2504" t="s">
        <v>47</v>
      </c>
      <c r="T2504" t="str">
        <f>VLOOKUP(S2504,'Mapa Oficinas'!$H$7:$I$16,2,FALSE)</f>
        <v>Otra Red Búsqueda</v>
      </c>
      <c r="U2504" t="s">
        <v>29</v>
      </c>
      <c r="V2504" t="str">
        <f>VLOOKUP($R2504,'Mapa Oficinas'!$A$7:$C$46,2,FALSE)</f>
        <v>CABA</v>
      </c>
      <c r="W2504" t="str">
        <f>VLOOKUP($R2504,'Mapa Oficinas'!$A$7:$C$46,3,FALSE)</f>
        <v>Barrio Parque</v>
      </c>
    </row>
    <row r="2505" spans="1:23" x14ac:dyDescent="0.2">
      <c r="A2505" s="1">
        <v>45849</v>
      </c>
      <c r="B2505" s="20">
        <f t="shared" si="78"/>
        <v>2025</v>
      </c>
      <c r="C2505" s="20">
        <f t="shared" si="79"/>
        <v>7</v>
      </c>
      <c r="D2505" t="s">
        <v>2989</v>
      </c>
      <c r="E2505" s="49">
        <v>1</v>
      </c>
      <c r="F2505" t="s">
        <v>2990</v>
      </c>
      <c r="G2505" t="s">
        <v>21</v>
      </c>
      <c r="H2505" t="s">
        <v>37</v>
      </c>
      <c r="I2505" s="13">
        <v>298000</v>
      </c>
      <c r="J2505" s="13">
        <v>290000</v>
      </c>
      <c r="K2505" s="13">
        <f>IF(J2505&lt;'Mapa Oficinas'!$I$21,0,IF(J2505&gt;'Mapa Oficinas'!$I$20,0,1))</f>
        <v>1</v>
      </c>
      <c r="L2505" t="s">
        <v>23</v>
      </c>
      <c r="M2505" t="s">
        <v>23</v>
      </c>
      <c r="N2505" t="s">
        <v>2991</v>
      </c>
      <c r="O2505" t="s">
        <v>1090</v>
      </c>
      <c r="P2505" t="s">
        <v>45</v>
      </c>
      <c r="Q2505">
        <v>2</v>
      </c>
      <c r="R2505" t="s">
        <v>67</v>
      </c>
      <c r="S2505" t="s">
        <v>200</v>
      </c>
      <c r="T2505" t="str">
        <f>VLOOKUP(S2505,'Mapa Oficinas'!$H$7:$I$16,2,FALSE)</f>
        <v>Otra Red Captación</v>
      </c>
      <c r="U2505" t="s">
        <v>29</v>
      </c>
      <c r="V2505" t="str">
        <f>VLOOKUP($R2505,'Mapa Oficinas'!$A$7:$C$46,2,FALSE)</f>
        <v>CABA</v>
      </c>
      <c r="W2505" t="str">
        <f>VLOOKUP($R2505,'Mapa Oficinas'!$A$7:$C$46,3,FALSE)</f>
        <v>Barrio Parque</v>
      </c>
    </row>
    <row r="2506" spans="1:23" x14ac:dyDescent="0.2">
      <c r="A2506" s="1">
        <v>45925</v>
      </c>
      <c r="B2506" s="20">
        <f t="shared" si="78"/>
        <v>2025</v>
      </c>
      <c r="C2506" s="20">
        <f t="shared" si="79"/>
        <v>9</v>
      </c>
      <c r="D2506" t="s">
        <v>4362</v>
      </c>
      <c r="E2506" s="49">
        <v>1</v>
      </c>
      <c r="F2506" t="s">
        <v>4363</v>
      </c>
      <c r="G2506" t="s">
        <v>21</v>
      </c>
      <c r="H2506" t="s">
        <v>81</v>
      </c>
      <c r="I2506" s="13">
        <v>189000</v>
      </c>
      <c r="J2506" s="13">
        <v>290000</v>
      </c>
      <c r="K2506" s="13">
        <f>IF(J2506&lt;'Mapa Oficinas'!$I$21,0,IF(J2506&gt;'Mapa Oficinas'!$I$20,0,1))</f>
        <v>1</v>
      </c>
      <c r="L2506" t="s">
        <v>23</v>
      </c>
      <c r="M2506" t="s">
        <v>23</v>
      </c>
      <c r="N2506" t="s">
        <v>4364</v>
      </c>
      <c r="O2506" t="s">
        <v>39</v>
      </c>
      <c r="P2506" t="s">
        <v>34</v>
      </c>
      <c r="Q2506">
        <v>2</v>
      </c>
      <c r="R2506" t="s">
        <v>40</v>
      </c>
      <c r="S2506" t="s">
        <v>200</v>
      </c>
      <c r="T2506" t="str">
        <f>VLOOKUP(S2506,'Mapa Oficinas'!$H$7:$I$16,2,FALSE)</f>
        <v>Otra Red Captación</v>
      </c>
      <c r="U2506" t="s">
        <v>29</v>
      </c>
      <c r="V2506" t="str">
        <f>VLOOKUP($R2506,'Mapa Oficinas'!$A$7:$C$46,2,FALSE)</f>
        <v>CABA</v>
      </c>
      <c r="W2506" t="str">
        <f>VLOOKUP($R2506,'Mapa Oficinas'!$A$7:$C$46,3,FALSE)</f>
        <v>Núñez</v>
      </c>
    </row>
    <row r="2507" spans="1:23" x14ac:dyDescent="0.2">
      <c r="A2507" s="1">
        <v>45744</v>
      </c>
      <c r="B2507" s="20">
        <f t="shared" si="78"/>
        <v>2025</v>
      </c>
      <c r="C2507" s="20">
        <f t="shared" si="79"/>
        <v>3</v>
      </c>
      <c r="D2507" s="17" t="s">
        <v>1184</v>
      </c>
      <c r="E2507" s="50">
        <v>0</v>
      </c>
      <c r="F2507" s="17" t="s">
        <v>1185</v>
      </c>
      <c r="G2507" s="17" t="s">
        <v>21</v>
      </c>
      <c r="H2507" s="17" t="s">
        <v>119</v>
      </c>
      <c r="I2507" s="18">
        <v>292599</v>
      </c>
      <c r="J2507" s="18">
        <v>292500</v>
      </c>
      <c r="K2507" s="13">
        <f>IF(J2507&lt;'Mapa Oficinas'!$I$21,0,IF(J2507&gt;'Mapa Oficinas'!$I$20,0,1))</f>
        <v>1</v>
      </c>
      <c r="L2507" t="s">
        <v>23</v>
      </c>
      <c r="M2507" t="s">
        <v>23</v>
      </c>
      <c r="N2507" t="s">
        <v>1160</v>
      </c>
      <c r="O2507" t="s">
        <v>209</v>
      </c>
      <c r="P2507" t="s">
        <v>45</v>
      </c>
      <c r="Q2507">
        <v>2</v>
      </c>
      <c r="R2507" t="s">
        <v>121</v>
      </c>
      <c r="S2507" t="s">
        <v>79</v>
      </c>
      <c r="T2507" t="str">
        <f>VLOOKUP(S2507,'Mapa Oficinas'!$H$7:$I$16,2,FALSE)</f>
        <v>CB</v>
      </c>
      <c r="U2507" t="s">
        <v>29</v>
      </c>
      <c r="V2507" t="str">
        <f>VLOOKUP($R2507,'Mapa Oficinas'!$A$7:$C$46,2,FALSE)</f>
        <v>Interior - Río Negro</v>
      </c>
      <c r="W2507" t="str">
        <f>VLOOKUP($R2507,'Mapa Oficinas'!$A$7:$C$46,3,FALSE)</f>
        <v>Bariloche</v>
      </c>
    </row>
    <row r="2508" spans="1:23" x14ac:dyDescent="0.2">
      <c r="A2508" s="1">
        <v>46065</v>
      </c>
      <c r="B2508" s="20">
        <f t="shared" si="78"/>
        <v>2026</v>
      </c>
      <c r="C2508" s="20">
        <f t="shared" si="79"/>
        <v>2</v>
      </c>
      <c r="D2508" t="s">
        <v>6696</v>
      </c>
      <c r="E2508" s="49">
        <v>1</v>
      </c>
      <c r="F2508" t="s">
        <v>6697</v>
      </c>
      <c r="G2508" t="s">
        <v>21</v>
      </c>
      <c r="H2508" t="s">
        <v>37</v>
      </c>
      <c r="I2508" s="13">
        <v>319000</v>
      </c>
      <c r="J2508" s="13">
        <v>293000</v>
      </c>
      <c r="K2508" s="13">
        <f>IF(J2508&lt;'Mapa Oficinas'!$I$21,0,IF(J2508&gt;'Mapa Oficinas'!$I$20,0,1))</f>
        <v>1</v>
      </c>
      <c r="L2508" t="s">
        <v>23</v>
      </c>
      <c r="M2508" t="s">
        <v>23</v>
      </c>
      <c r="N2508" t="s">
        <v>6698</v>
      </c>
      <c r="O2508" t="s">
        <v>5174</v>
      </c>
      <c r="P2508" t="s">
        <v>34</v>
      </c>
      <c r="Q2508">
        <v>1</v>
      </c>
      <c r="R2508" t="s">
        <v>110</v>
      </c>
      <c r="S2508" t="s">
        <v>47</v>
      </c>
      <c r="T2508" t="str">
        <f>VLOOKUP(S2508,'Mapa Oficinas'!$H$7:$I$16,2,FALSE)</f>
        <v>Otra Red Búsqueda</v>
      </c>
      <c r="U2508" t="s">
        <v>29</v>
      </c>
      <c r="V2508" t="str">
        <f>VLOOKUP($R2508,'Mapa Oficinas'!$A$7:$C$46,2,FALSE)</f>
        <v>Zona Norte (GBA)</v>
      </c>
      <c r="W2508" t="str">
        <f>VLOOKUP($R2508,'Mapa Oficinas'!$A$7:$C$46,3,FALSE)</f>
        <v>Nordelta</v>
      </c>
    </row>
    <row r="2509" spans="1:23" x14ac:dyDescent="0.2">
      <c r="A2509" s="1">
        <v>45772</v>
      </c>
      <c r="B2509" s="20">
        <f t="shared" si="78"/>
        <v>2025</v>
      </c>
      <c r="C2509" s="20">
        <f t="shared" si="79"/>
        <v>4</v>
      </c>
      <c r="D2509" t="s">
        <v>1641</v>
      </c>
      <c r="E2509" s="49">
        <v>1</v>
      </c>
      <c r="F2509" t="s">
        <v>1642</v>
      </c>
      <c r="G2509" t="s">
        <v>21</v>
      </c>
      <c r="H2509" t="s">
        <v>37</v>
      </c>
      <c r="I2509" s="13">
        <v>310000</v>
      </c>
      <c r="J2509" s="13">
        <v>293000</v>
      </c>
      <c r="K2509" s="13">
        <f>IF(J2509&lt;'Mapa Oficinas'!$I$21,0,IF(J2509&gt;'Mapa Oficinas'!$I$20,0,1))</f>
        <v>1</v>
      </c>
      <c r="L2509" t="s">
        <v>23</v>
      </c>
      <c r="M2509" t="s">
        <v>23</v>
      </c>
      <c r="N2509" t="s">
        <v>1643</v>
      </c>
      <c r="O2509" t="s">
        <v>141</v>
      </c>
      <c r="P2509" t="s">
        <v>45</v>
      </c>
      <c r="Q2509">
        <v>2</v>
      </c>
      <c r="R2509" t="s">
        <v>62</v>
      </c>
      <c r="S2509" t="s">
        <v>28</v>
      </c>
      <c r="T2509" t="str">
        <f>VLOOKUP(S2509,'Mapa Oficinas'!$H$7:$I$16,2,FALSE)</f>
        <v>CB</v>
      </c>
      <c r="U2509" t="s">
        <v>29</v>
      </c>
      <c r="V2509" t="str">
        <f>VLOOKUP($R2509,'Mapa Oficinas'!$A$7:$C$46,2,FALSE)</f>
        <v>CABA</v>
      </c>
      <c r="W2509" t="str">
        <f>VLOOKUP($R2509,'Mapa Oficinas'!$A$7:$C$46,3,FALSE)</f>
        <v>Villa Urquiza</v>
      </c>
    </row>
    <row r="2510" spans="1:23" x14ac:dyDescent="0.2">
      <c r="A2510" s="1">
        <v>46010</v>
      </c>
      <c r="B2510" s="20">
        <f t="shared" si="78"/>
        <v>2025</v>
      </c>
      <c r="C2510" s="20">
        <f t="shared" si="79"/>
        <v>12</v>
      </c>
      <c r="D2510">
        <v>19122025</v>
      </c>
      <c r="E2510" s="49">
        <v>1</v>
      </c>
      <c r="F2510" t="s">
        <v>5916</v>
      </c>
      <c r="G2510" t="s">
        <v>21</v>
      </c>
      <c r="H2510" t="s">
        <v>100</v>
      </c>
      <c r="I2510" s="13">
        <v>295000</v>
      </c>
      <c r="J2510" s="13">
        <v>295000</v>
      </c>
      <c r="K2510" s="13">
        <f>IF(J2510&lt;'Mapa Oficinas'!$I$21,0,IF(J2510&gt;'Mapa Oficinas'!$I$20,0,1))</f>
        <v>1</v>
      </c>
      <c r="L2510" t="s">
        <v>23</v>
      </c>
      <c r="M2510" t="s">
        <v>23</v>
      </c>
      <c r="O2510" t="s">
        <v>403</v>
      </c>
      <c r="P2510" t="s">
        <v>34</v>
      </c>
      <c r="Q2510">
        <v>1</v>
      </c>
      <c r="R2510" t="s">
        <v>121</v>
      </c>
      <c r="S2510" t="s">
        <v>122</v>
      </c>
      <c r="T2510" t="str">
        <f>VLOOKUP(S2510,'Mapa Oficinas'!$H$7:$I$16,2,FALSE)</f>
        <v>Otra Red Búsqueda</v>
      </c>
      <c r="U2510" t="s">
        <v>29</v>
      </c>
      <c r="V2510" t="str">
        <f>VLOOKUP($R2510,'Mapa Oficinas'!$A$7:$C$46,2,FALSE)</f>
        <v>Interior - Río Negro</v>
      </c>
      <c r="W2510" t="str">
        <f>VLOOKUP($R2510,'Mapa Oficinas'!$A$7:$C$46,3,FALSE)</f>
        <v>Bariloche</v>
      </c>
    </row>
    <row r="2511" spans="1:23" x14ac:dyDescent="0.2">
      <c r="A2511" s="1">
        <v>46022</v>
      </c>
      <c r="B2511" s="20">
        <f t="shared" si="78"/>
        <v>2025</v>
      </c>
      <c r="C2511" s="20">
        <f t="shared" si="79"/>
        <v>12</v>
      </c>
      <c r="D2511" t="s">
        <v>6084</v>
      </c>
      <c r="E2511" s="49">
        <v>1</v>
      </c>
      <c r="F2511" t="s">
        <v>6085</v>
      </c>
      <c r="G2511" t="s">
        <v>21</v>
      </c>
      <c r="H2511" t="s">
        <v>37</v>
      </c>
      <c r="I2511" s="13">
        <v>270000</v>
      </c>
      <c r="J2511" s="13">
        <v>295000</v>
      </c>
      <c r="K2511" s="13">
        <f>IF(J2511&lt;'Mapa Oficinas'!$I$21,0,IF(J2511&gt;'Mapa Oficinas'!$I$20,0,1))</f>
        <v>1</v>
      </c>
      <c r="L2511" t="s">
        <v>23</v>
      </c>
      <c r="M2511" t="s">
        <v>23</v>
      </c>
      <c r="N2511" t="s">
        <v>6086</v>
      </c>
      <c r="O2511" t="s">
        <v>650</v>
      </c>
      <c r="P2511" t="s">
        <v>45</v>
      </c>
      <c r="Q2511">
        <v>2</v>
      </c>
      <c r="R2511" t="s">
        <v>84</v>
      </c>
      <c r="S2511" t="s">
        <v>79</v>
      </c>
      <c r="T2511" t="str">
        <f>VLOOKUP(S2511,'Mapa Oficinas'!$H$7:$I$16,2,FALSE)</f>
        <v>CB</v>
      </c>
      <c r="U2511" t="s">
        <v>29</v>
      </c>
      <c r="V2511" t="str">
        <f>VLOOKUP($R2511,'Mapa Oficinas'!$A$7:$C$46,2,FALSE)</f>
        <v>Interior - Neuquén</v>
      </c>
      <c r="W2511" t="str">
        <f>VLOOKUP($R2511,'Mapa Oficinas'!$A$7:$C$46,3,FALSE)</f>
        <v>Villa La Angostura</v>
      </c>
    </row>
    <row r="2512" spans="1:23" x14ac:dyDescent="0.2">
      <c r="A2512" s="1">
        <v>46037</v>
      </c>
      <c r="B2512" s="20">
        <f t="shared" si="78"/>
        <v>2026</v>
      </c>
      <c r="C2512" s="20">
        <f t="shared" si="79"/>
        <v>1</v>
      </c>
      <c r="D2512" t="s">
        <v>6268</v>
      </c>
      <c r="E2512" s="49">
        <v>1</v>
      </c>
      <c r="F2512" t="s">
        <v>6269</v>
      </c>
      <c r="G2512" t="s">
        <v>21</v>
      </c>
      <c r="H2512" t="s">
        <v>37</v>
      </c>
      <c r="I2512" s="13">
        <v>350000</v>
      </c>
      <c r="J2512" s="13">
        <v>295000</v>
      </c>
      <c r="K2512" s="13">
        <f>IF(J2512&lt;'Mapa Oficinas'!$I$21,0,IF(J2512&gt;'Mapa Oficinas'!$I$20,0,1))</f>
        <v>1</v>
      </c>
      <c r="L2512" t="s">
        <v>23</v>
      </c>
      <c r="M2512" t="s">
        <v>23</v>
      </c>
      <c r="N2512" t="s">
        <v>6270</v>
      </c>
      <c r="O2512" t="s">
        <v>440</v>
      </c>
      <c r="P2512" t="s">
        <v>26</v>
      </c>
      <c r="Q2512">
        <v>2</v>
      </c>
      <c r="R2512" t="s">
        <v>135</v>
      </c>
      <c r="S2512" t="s">
        <v>79</v>
      </c>
      <c r="T2512" t="str">
        <f>VLOOKUP(S2512,'Mapa Oficinas'!$H$7:$I$16,2,FALSE)</f>
        <v>CB</v>
      </c>
      <c r="U2512" t="s">
        <v>29</v>
      </c>
      <c r="V2512" t="str">
        <f>VLOOKUP($R2512,'Mapa Oficinas'!$A$7:$C$46,2,FALSE)</f>
        <v>CABA</v>
      </c>
      <c r="W2512" t="str">
        <f>VLOOKUP($R2512,'Mapa Oficinas'!$A$7:$C$46,3,FALSE)</f>
        <v>Recoleta</v>
      </c>
    </row>
    <row r="2513" spans="1:23" x14ac:dyDescent="0.2">
      <c r="A2513" s="1">
        <v>45807</v>
      </c>
      <c r="B2513" s="20">
        <f t="shared" si="78"/>
        <v>2025</v>
      </c>
      <c r="C2513" s="20">
        <f t="shared" si="79"/>
        <v>5</v>
      </c>
      <c r="D2513" t="s">
        <v>2252</v>
      </c>
      <c r="E2513" s="49">
        <v>1</v>
      </c>
      <c r="F2513" t="s">
        <v>2253</v>
      </c>
      <c r="G2513" t="s">
        <v>21</v>
      </c>
      <c r="H2513" t="s">
        <v>81</v>
      </c>
      <c r="I2513" s="13">
        <v>295000</v>
      </c>
      <c r="J2513" s="13">
        <v>295000</v>
      </c>
      <c r="K2513" s="13">
        <f>IF(J2513&lt;'Mapa Oficinas'!$I$21,0,IF(J2513&gt;'Mapa Oficinas'!$I$20,0,1))</f>
        <v>1</v>
      </c>
      <c r="L2513" t="s">
        <v>23</v>
      </c>
      <c r="M2513" t="s">
        <v>23</v>
      </c>
      <c r="N2513" t="s">
        <v>2254</v>
      </c>
      <c r="O2513" t="s">
        <v>1834</v>
      </c>
      <c r="P2513" t="s">
        <v>34</v>
      </c>
      <c r="Q2513">
        <v>1</v>
      </c>
      <c r="R2513" t="s">
        <v>103</v>
      </c>
      <c r="S2513" t="s">
        <v>47</v>
      </c>
      <c r="T2513" t="str">
        <f>VLOOKUP(S2513,'Mapa Oficinas'!$H$7:$I$16,2,FALSE)</f>
        <v>Otra Red Búsqueda</v>
      </c>
      <c r="U2513" t="s">
        <v>29</v>
      </c>
      <c r="V2513" t="str">
        <f>VLOOKUP($R2513,'Mapa Oficinas'!$A$7:$C$46,2,FALSE)</f>
        <v>Zona Sur (GBA)</v>
      </c>
      <c r="W2513" t="str">
        <f>VLOOKUP($R2513,'Mapa Oficinas'!$A$7:$C$46,3,FALSE)</f>
        <v>La Plata</v>
      </c>
    </row>
    <row r="2514" spans="1:23" x14ac:dyDescent="0.2">
      <c r="A2514" s="1">
        <v>45715</v>
      </c>
      <c r="B2514" s="20">
        <f t="shared" si="78"/>
        <v>2025</v>
      </c>
      <c r="C2514" s="20">
        <f t="shared" si="79"/>
        <v>2</v>
      </c>
      <c r="D2514" t="s">
        <v>776</v>
      </c>
      <c r="E2514" s="49">
        <v>1</v>
      </c>
      <c r="F2514" t="s">
        <v>777</v>
      </c>
      <c r="G2514" t="s">
        <v>21</v>
      </c>
      <c r="H2514" t="s">
        <v>37</v>
      </c>
      <c r="I2514" s="13">
        <v>305000</v>
      </c>
      <c r="J2514" s="13">
        <v>295000</v>
      </c>
      <c r="K2514" s="13">
        <f>IF(J2514&lt;'Mapa Oficinas'!$I$21,0,IF(J2514&gt;'Mapa Oficinas'!$I$20,0,1))</f>
        <v>1</v>
      </c>
      <c r="L2514" t="s">
        <v>23</v>
      </c>
      <c r="M2514" t="s">
        <v>23</v>
      </c>
      <c r="N2514" t="s">
        <v>778</v>
      </c>
      <c r="O2514" t="s">
        <v>713</v>
      </c>
      <c r="P2514" t="s">
        <v>45</v>
      </c>
      <c r="Q2514">
        <v>2</v>
      </c>
      <c r="R2514" t="s">
        <v>170</v>
      </c>
      <c r="S2514" t="s">
        <v>200</v>
      </c>
      <c r="T2514" t="str">
        <f>VLOOKUP(S2514,'Mapa Oficinas'!$H$7:$I$16,2,FALSE)</f>
        <v>Otra Red Captación</v>
      </c>
      <c r="U2514" t="s">
        <v>29</v>
      </c>
      <c r="V2514" t="str">
        <f>VLOOKUP($R2514,'Mapa Oficinas'!$A$7:$C$46,2,FALSE)</f>
        <v>CABA</v>
      </c>
      <c r="W2514" t="str">
        <f>VLOOKUP($R2514,'Mapa Oficinas'!$A$7:$C$46,3,FALSE)</f>
        <v>Belgrano</v>
      </c>
    </row>
    <row r="2515" spans="1:23" x14ac:dyDescent="0.2">
      <c r="A2515" s="1">
        <v>45910</v>
      </c>
      <c r="B2515" s="20">
        <f t="shared" si="78"/>
        <v>2025</v>
      </c>
      <c r="C2515" s="20">
        <f t="shared" si="79"/>
        <v>9</v>
      </c>
      <c r="D2515" t="s">
        <v>4068</v>
      </c>
      <c r="E2515" s="49">
        <v>1</v>
      </c>
      <c r="F2515" t="s">
        <v>4069</v>
      </c>
      <c r="G2515" t="s">
        <v>21</v>
      </c>
      <c r="H2515" t="s">
        <v>37</v>
      </c>
      <c r="I2515" s="13">
        <v>298000</v>
      </c>
      <c r="J2515" s="13">
        <v>295000</v>
      </c>
      <c r="K2515" s="13">
        <f>IF(J2515&lt;'Mapa Oficinas'!$I$21,0,IF(J2515&gt;'Mapa Oficinas'!$I$20,0,1))</f>
        <v>1</v>
      </c>
      <c r="L2515" t="s">
        <v>23</v>
      </c>
      <c r="M2515" t="s">
        <v>23</v>
      </c>
      <c r="N2515" t="s">
        <v>4070</v>
      </c>
      <c r="O2515" t="s">
        <v>713</v>
      </c>
      <c r="P2515" t="s">
        <v>45</v>
      </c>
      <c r="Q2515">
        <v>2</v>
      </c>
      <c r="R2515" t="s">
        <v>46</v>
      </c>
      <c r="S2515" t="s">
        <v>200</v>
      </c>
      <c r="T2515" t="str">
        <f>VLOOKUP(S2515,'Mapa Oficinas'!$H$7:$I$16,2,FALSE)</f>
        <v>Otra Red Captación</v>
      </c>
      <c r="U2515" t="s">
        <v>29</v>
      </c>
      <c r="V2515" t="str">
        <f>VLOOKUP($R2515,'Mapa Oficinas'!$A$7:$C$46,2,FALSE)</f>
        <v>CABA</v>
      </c>
      <c r="W2515" t="str">
        <f>VLOOKUP($R2515,'Mapa Oficinas'!$A$7:$C$46,3,FALSE)</f>
        <v>Palermo</v>
      </c>
    </row>
    <row r="2516" spans="1:23" x14ac:dyDescent="0.2">
      <c r="A2516" s="1">
        <v>46030</v>
      </c>
      <c r="B2516" s="20">
        <f t="shared" si="78"/>
        <v>2026</v>
      </c>
      <c r="C2516" s="20">
        <f t="shared" si="79"/>
        <v>1</v>
      </c>
      <c r="D2516" t="s">
        <v>6147</v>
      </c>
      <c r="E2516" s="49">
        <v>1</v>
      </c>
      <c r="F2516" t="s">
        <v>6148</v>
      </c>
      <c r="G2516" t="s">
        <v>21</v>
      </c>
      <c r="H2516" t="s">
        <v>37</v>
      </c>
      <c r="I2516" s="13">
        <v>299000</v>
      </c>
      <c r="J2516" s="13">
        <v>295000</v>
      </c>
      <c r="K2516" s="13">
        <f>IF(J2516&lt;'Mapa Oficinas'!$I$21,0,IF(J2516&gt;'Mapa Oficinas'!$I$20,0,1))</f>
        <v>1</v>
      </c>
      <c r="L2516" t="s">
        <v>23</v>
      </c>
      <c r="M2516" t="s">
        <v>23</v>
      </c>
      <c r="N2516" t="s">
        <v>6149</v>
      </c>
      <c r="O2516" t="s">
        <v>6150</v>
      </c>
      <c r="P2516" t="s">
        <v>34</v>
      </c>
      <c r="Q2516">
        <v>2</v>
      </c>
      <c r="R2516" t="s">
        <v>46</v>
      </c>
      <c r="S2516" t="s">
        <v>200</v>
      </c>
      <c r="T2516" t="str">
        <f>VLOOKUP(S2516,'Mapa Oficinas'!$H$7:$I$16,2,FALSE)</f>
        <v>Otra Red Captación</v>
      </c>
      <c r="U2516" t="s">
        <v>29</v>
      </c>
      <c r="V2516" t="str">
        <f>VLOOKUP($R2516,'Mapa Oficinas'!$A$7:$C$46,2,FALSE)</f>
        <v>CABA</v>
      </c>
      <c r="W2516" t="str">
        <f>VLOOKUP($R2516,'Mapa Oficinas'!$A$7:$C$46,3,FALSE)</f>
        <v>Palermo</v>
      </c>
    </row>
    <row r="2517" spans="1:23" x14ac:dyDescent="0.2">
      <c r="A2517" s="1">
        <v>45821</v>
      </c>
      <c r="B2517" s="20">
        <f t="shared" si="78"/>
        <v>2025</v>
      </c>
      <c r="C2517" s="20">
        <f t="shared" si="79"/>
        <v>6</v>
      </c>
      <c r="D2517" t="s">
        <v>2511</v>
      </c>
      <c r="E2517" s="49">
        <v>3</v>
      </c>
      <c r="F2517" t="s">
        <v>2512</v>
      </c>
      <c r="G2517" t="s">
        <v>21</v>
      </c>
      <c r="H2517" t="s">
        <v>81</v>
      </c>
      <c r="I2517" s="13">
        <v>310000</v>
      </c>
      <c r="J2517" s="13">
        <v>295000</v>
      </c>
      <c r="K2517" s="13">
        <f>IF(J2517&lt;'Mapa Oficinas'!$I$21,0,IF(J2517&gt;'Mapa Oficinas'!$I$20,0,1))</f>
        <v>1</v>
      </c>
      <c r="L2517" t="s">
        <v>23</v>
      </c>
      <c r="M2517" t="s">
        <v>23</v>
      </c>
      <c r="O2517" t="s">
        <v>2513</v>
      </c>
      <c r="P2517" t="s">
        <v>45</v>
      </c>
      <c r="Q2517">
        <v>2</v>
      </c>
      <c r="R2517" t="s">
        <v>257</v>
      </c>
      <c r="S2517" t="s">
        <v>241</v>
      </c>
      <c r="T2517" t="str">
        <f>VLOOKUP(S2517,'Mapa Oficinas'!$H$7:$I$16,2,FALSE)</f>
        <v>CB</v>
      </c>
      <c r="U2517" t="s">
        <v>29</v>
      </c>
      <c r="V2517" t="str">
        <f>VLOOKUP($R2517,'Mapa Oficinas'!$A$7:$C$46,2,FALSE)</f>
        <v>Zona Norte (GBA)</v>
      </c>
      <c r="W2517" t="str">
        <f>VLOOKUP($R2517,'Mapa Oficinas'!$A$7:$C$46,3,FALSE)</f>
        <v>Pilar</v>
      </c>
    </row>
    <row r="2518" spans="1:23" x14ac:dyDescent="0.2">
      <c r="A2518" s="1">
        <v>45880</v>
      </c>
      <c r="B2518" s="20">
        <f t="shared" si="78"/>
        <v>2025</v>
      </c>
      <c r="C2518" s="20">
        <f t="shared" si="79"/>
        <v>8</v>
      </c>
      <c r="D2518" t="s">
        <v>3526</v>
      </c>
      <c r="E2518" s="49">
        <v>3</v>
      </c>
      <c r="F2518" t="s">
        <v>3527</v>
      </c>
      <c r="G2518" t="s">
        <v>21</v>
      </c>
      <c r="H2518" t="s">
        <v>97</v>
      </c>
      <c r="I2518" s="13">
        <v>240000</v>
      </c>
      <c r="J2518" s="13">
        <v>295000</v>
      </c>
      <c r="K2518" s="13">
        <f>IF(J2518&lt;'Mapa Oficinas'!$I$21,0,IF(J2518&gt;'Mapa Oficinas'!$I$20,0,1))</f>
        <v>1</v>
      </c>
      <c r="L2518" t="s">
        <v>23</v>
      </c>
      <c r="M2518" t="s">
        <v>23</v>
      </c>
      <c r="N2518" t="s">
        <v>3528</v>
      </c>
      <c r="O2518" t="s">
        <v>650</v>
      </c>
      <c r="P2518" t="s">
        <v>45</v>
      </c>
      <c r="Q2518">
        <v>2</v>
      </c>
      <c r="R2518" t="s">
        <v>84</v>
      </c>
      <c r="S2518" t="s">
        <v>241</v>
      </c>
      <c r="T2518" t="str">
        <f>VLOOKUP(S2518,'Mapa Oficinas'!$H$7:$I$16,2,FALSE)</f>
        <v>CB</v>
      </c>
      <c r="U2518" t="s">
        <v>29</v>
      </c>
      <c r="V2518" t="str">
        <f>VLOOKUP($R2518,'Mapa Oficinas'!$A$7:$C$46,2,FALSE)</f>
        <v>Interior - Neuquén</v>
      </c>
      <c r="W2518" t="str">
        <f>VLOOKUP($R2518,'Mapa Oficinas'!$A$7:$C$46,3,FALSE)</f>
        <v>Villa La Angostura</v>
      </c>
    </row>
    <row r="2519" spans="1:23" x14ac:dyDescent="0.2">
      <c r="A2519" s="1">
        <v>45716</v>
      </c>
      <c r="B2519" s="20">
        <f t="shared" si="78"/>
        <v>2025</v>
      </c>
      <c r="C2519" s="20">
        <f t="shared" si="79"/>
        <v>2</v>
      </c>
      <c r="D2519" t="s">
        <v>816</v>
      </c>
      <c r="E2519" s="49">
        <v>1</v>
      </c>
      <c r="F2519" t="s">
        <v>817</v>
      </c>
      <c r="G2519" t="s">
        <v>21</v>
      </c>
      <c r="H2519" t="s">
        <v>37</v>
      </c>
      <c r="I2519" s="13">
        <v>350000</v>
      </c>
      <c r="J2519" s="13">
        <v>295000</v>
      </c>
      <c r="K2519" s="13">
        <f>IF(J2519&lt;'Mapa Oficinas'!$I$21,0,IF(J2519&gt;'Mapa Oficinas'!$I$20,0,1))</f>
        <v>1</v>
      </c>
      <c r="L2519" t="s">
        <v>23</v>
      </c>
      <c r="M2519" t="s">
        <v>23</v>
      </c>
      <c r="N2519" t="s">
        <v>818</v>
      </c>
      <c r="O2519" t="s">
        <v>114</v>
      </c>
      <c r="P2519" t="s">
        <v>55</v>
      </c>
      <c r="Q2519">
        <v>2</v>
      </c>
      <c r="R2519" t="s">
        <v>67</v>
      </c>
      <c r="S2519" t="s">
        <v>28</v>
      </c>
      <c r="T2519" t="str">
        <f>VLOOKUP(S2519,'Mapa Oficinas'!$H$7:$I$16,2,FALSE)</f>
        <v>CB</v>
      </c>
      <c r="U2519" t="s">
        <v>29</v>
      </c>
      <c r="V2519" t="str">
        <f>VLOOKUP($R2519,'Mapa Oficinas'!$A$7:$C$46,2,FALSE)</f>
        <v>CABA</v>
      </c>
      <c r="W2519" t="str">
        <f>VLOOKUP($R2519,'Mapa Oficinas'!$A$7:$C$46,3,FALSE)</f>
        <v>Barrio Parque</v>
      </c>
    </row>
    <row r="2520" spans="1:23" x14ac:dyDescent="0.2">
      <c r="A2520" s="1">
        <v>46038</v>
      </c>
      <c r="B2520" s="20">
        <f t="shared" si="78"/>
        <v>2026</v>
      </c>
      <c r="C2520" s="20">
        <f t="shared" si="79"/>
        <v>1</v>
      </c>
      <c r="D2520" t="s">
        <v>6297</v>
      </c>
      <c r="E2520" s="49">
        <v>1</v>
      </c>
      <c r="F2520" t="s">
        <v>6298</v>
      </c>
      <c r="G2520" t="s">
        <v>21</v>
      </c>
      <c r="H2520" t="s">
        <v>22</v>
      </c>
      <c r="I2520" s="13">
        <v>419900</v>
      </c>
      <c r="J2520" s="13">
        <v>296250</v>
      </c>
      <c r="K2520" s="13">
        <f>IF(J2520&lt;'Mapa Oficinas'!$I$21,0,IF(J2520&gt;'Mapa Oficinas'!$I$20,0,1))</f>
        <v>1</v>
      </c>
      <c r="L2520" t="s">
        <v>23</v>
      </c>
      <c r="M2520" t="s">
        <v>23</v>
      </c>
      <c r="N2520" t="s">
        <v>6299</v>
      </c>
      <c r="O2520" t="s">
        <v>92</v>
      </c>
      <c r="P2520" t="s">
        <v>45</v>
      </c>
      <c r="Q2520">
        <v>2</v>
      </c>
      <c r="R2520" t="s">
        <v>62</v>
      </c>
      <c r="S2520" t="s">
        <v>28</v>
      </c>
      <c r="T2520" t="str">
        <f>VLOOKUP(S2520,'Mapa Oficinas'!$H$7:$I$16,2,FALSE)</f>
        <v>CB</v>
      </c>
      <c r="U2520" t="s">
        <v>29</v>
      </c>
      <c r="V2520" t="str">
        <f>VLOOKUP($R2520,'Mapa Oficinas'!$A$7:$C$46,2,FALSE)</f>
        <v>CABA</v>
      </c>
      <c r="W2520" t="str">
        <f>VLOOKUP($R2520,'Mapa Oficinas'!$A$7:$C$46,3,FALSE)</f>
        <v>Villa Urquiza</v>
      </c>
    </row>
    <row r="2521" spans="1:23" x14ac:dyDescent="0.2">
      <c r="A2521" s="1">
        <v>45954</v>
      </c>
      <c r="B2521" s="20">
        <f t="shared" si="78"/>
        <v>2025</v>
      </c>
      <c r="C2521" s="20">
        <f t="shared" si="79"/>
        <v>10</v>
      </c>
      <c r="D2521">
        <v>10508</v>
      </c>
      <c r="E2521" s="49">
        <v>1</v>
      </c>
      <c r="F2521" t="s">
        <v>4923</v>
      </c>
      <c r="G2521" t="s">
        <v>21</v>
      </c>
      <c r="H2521" t="s">
        <v>37</v>
      </c>
      <c r="I2521" s="13">
        <v>298000</v>
      </c>
      <c r="J2521" s="13">
        <v>298000</v>
      </c>
      <c r="K2521" s="13">
        <f>IF(J2521&lt;'Mapa Oficinas'!$I$21,0,IF(J2521&gt;'Mapa Oficinas'!$I$20,0,1))</f>
        <v>1</v>
      </c>
      <c r="L2521" t="s">
        <v>23</v>
      </c>
      <c r="M2521" t="s">
        <v>23</v>
      </c>
      <c r="N2521" t="s">
        <v>4924</v>
      </c>
      <c r="O2521" t="s">
        <v>141</v>
      </c>
      <c r="P2521" t="s">
        <v>45</v>
      </c>
      <c r="Q2521">
        <v>1</v>
      </c>
      <c r="R2521" t="s">
        <v>67</v>
      </c>
      <c r="S2521" t="s">
        <v>47</v>
      </c>
      <c r="T2521" t="str">
        <f>VLOOKUP(S2521,'Mapa Oficinas'!$H$7:$I$16,2,FALSE)</f>
        <v>Otra Red Búsqueda</v>
      </c>
      <c r="U2521" t="s">
        <v>29</v>
      </c>
      <c r="V2521" t="str">
        <f>VLOOKUP($R2521,'Mapa Oficinas'!$A$7:$C$46,2,FALSE)</f>
        <v>CABA</v>
      </c>
      <c r="W2521" t="str">
        <f>VLOOKUP($R2521,'Mapa Oficinas'!$A$7:$C$46,3,FALSE)</f>
        <v>Barrio Parque</v>
      </c>
    </row>
    <row r="2522" spans="1:23" x14ac:dyDescent="0.2">
      <c r="A2522" s="1">
        <v>45796</v>
      </c>
      <c r="B2522" s="20">
        <f t="shared" si="78"/>
        <v>2025</v>
      </c>
      <c r="C2522" s="20">
        <f t="shared" si="79"/>
        <v>5</v>
      </c>
      <c r="D2522" t="s">
        <v>2024</v>
      </c>
      <c r="E2522" s="49">
        <v>1</v>
      </c>
      <c r="F2522" t="s">
        <v>2025</v>
      </c>
      <c r="G2522" t="s">
        <v>21</v>
      </c>
      <c r="H2522" t="s">
        <v>37</v>
      </c>
      <c r="I2522" s="13">
        <v>299000</v>
      </c>
      <c r="J2522" s="13">
        <v>299000</v>
      </c>
      <c r="K2522" s="13">
        <f>IF(J2522&lt;'Mapa Oficinas'!$I$21,0,IF(J2522&gt;'Mapa Oficinas'!$I$20,0,1))</f>
        <v>1</v>
      </c>
      <c r="L2522" t="s">
        <v>23</v>
      </c>
      <c r="M2522" t="s">
        <v>23</v>
      </c>
      <c r="N2522" t="s">
        <v>2026</v>
      </c>
      <c r="O2522" t="s">
        <v>2027</v>
      </c>
      <c r="P2522" t="s">
        <v>34</v>
      </c>
      <c r="Q2522">
        <v>2</v>
      </c>
      <c r="R2522" t="s">
        <v>110</v>
      </c>
      <c r="S2522" t="s">
        <v>200</v>
      </c>
      <c r="T2522" t="str">
        <f>VLOOKUP(S2522,'Mapa Oficinas'!$H$7:$I$16,2,FALSE)</f>
        <v>Otra Red Captación</v>
      </c>
      <c r="U2522" t="s">
        <v>29</v>
      </c>
      <c r="V2522" t="str">
        <f>VLOOKUP($R2522,'Mapa Oficinas'!$A$7:$C$46,2,FALSE)</f>
        <v>Zona Norte (GBA)</v>
      </c>
      <c r="W2522" t="str">
        <f>VLOOKUP($R2522,'Mapa Oficinas'!$A$7:$C$46,3,FALSE)</f>
        <v>Nordelta</v>
      </c>
    </row>
    <row r="2523" spans="1:23" x14ac:dyDescent="0.2">
      <c r="A2523" s="1">
        <v>45869</v>
      </c>
      <c r="B2523" s="20">
        <f t="shared" si="78"/>
        <v>2025</v>
      </c>
      <c r="C2523" s="20">
        <f t="shared" si="79"/>
        <v>7</v>
      </c>
      <c r="D2523" t="s">
        <v>3364</v>
      </c>
      <c r="E2523" s="49">
        <v>1</v>
      </c>
      <c r="F2523" t="s">
        <v>3365</v>
      </c>
      <c r="G2523" t="s">
        <v>21</v>
      </c>
      <c r="H2523" t="s">
        <v>37</v>
      </c>
      <c r="I2523" s="13">
        <v>317000</v>
      </c>
      <c r="J2523" s="13">
        <v>299000</v>
      </c>
      <c r="K2523" s="13">
        <f>IF(J2523&lt;'Mapa Oficinas'!$I$21,0,IF(J2523&gt;'Mapa Oficinas'!$I$20,0,1))</f>
        <v>1</v>
      </c>
      <c r="L2523" t="s">
        <v>23</v>
      </c>
      <c r="M2523" t="s">
        <v>23</v>
      </c>
      <c r="N2523" t="s">
        <v>3366</v>
      </c>
      <c r="O2523" t="s">
        <v>3367</v>
      </c>
      <c r="P2523" t="s">
        <v>34</v>
      </c>
      <c r="Q2523">
        <v>2</v>
      </c>
      <c r="R2523" t="s">
        <v>670</v>
      </c>
      <c r="S2523" t="s">
        <v>28</v>
      </c>
      <c r="T2523" t="str">
        <f>VLOOKUP(S2523,'Mapa Oficinas'!$H$7:$I$16,2,FALSE)</f>
        <v>CB</v>
      </c>
      <c r="U2523" t="s">
        <v>29</v>
      </c>
      <c r="V2523" t="str">
        <f>VLOOKUP($R2523,'Mapa Oficinas'!$A$7:$C$46,2,FALSE)</f>
        <v>CABA</v>
      </c>
      <c r="W2523" t="str">
        <f>VLOOKUP($R2523,'Mapa Oficinas'!$A$7:$C$46,3,FALSE)</f>
        <v>Recoleta</v>
      </c>
    </row>
    <row r="2524" spans="1:23" x14ac:dyDescent="0.2">
      <c r="A2524" s="1">
        <v>45882</v>
      </c>
      <c r="B2524" s="20">
        <f t="shared" si="78"/>
        <v>2025</v>
      </c>
      <c r="C2524" s="20">
        <f t="shared" si="79"/>
        <v>8</v>
      </c>
      <c r="D2524">
        <v>13082025</v>
      </c>
      <c r="E2524" s="49">
        <v>1</v>
      </c>
      <c r="F2524" t="s">
        <v>3587</v>
      </c>
      <c r="G2524" t="s">
        <v>21</v>
      </c>
      <c r="H2524" t="s">
        <v>100</v>
      </c>
      <c r="I2524" s="13">
        <v>300000</v>
      </c>
      <c r="J2524" s="13">
        <v>300000</v>
      </c>
      <c r="K2524" s="13">
        <f>IF(J2524&lt;'Mapa Oficinas'!$I$21,0,IF(J2524&gt;'Mapa Oficinas'!$I$20,0,1))</f>
        <v>1</v>
      </c>
      <c r="L2524" t="s">
        <v>23</v>
      </c>
      <c r="M2524" t="s">
        <v>23</v>
      </c>
      <c r="O2524" t="s">
        <v>120</v>
      </c>
      <c r="P2524" t="s">
        <v>45</v>
      </c>
      <c r="Q2524">
        <v>1</v>
      </c>
      <c r="R2524" t="s">
        <v>121</v>
      </c>
      <c r="S2524" t="s">
        <v>122</v>
      </c>
      <c r="T2524" t="str">
        <f>VLOOKUP(S2524,'Mapa Oficinas'!$H$7:$I$16,2,FALSE)</f>
        <v>Otra Red Búsqueda</v>
      </c>
      <c r="U2524" t="s">
        <v>29</v>
      </c>
      <c r="V2524" t="str">
        <f>VLOOKUP($R2524,'Mapa Oficinas'!$A$7:$C$46,2,FALSE)</f>
        <v>Interior - Río Negro</v>
      </c>
      <c r="W2524" t="str">
        <f>VLOOKUP($R2524,'Mapa Oficinas'!$A$7:$C$46,3,FALSE)</f>
        <v>Bariloche</v>
      </c>
    </row>
    <row r="2525" spans="1:23" x14ac:dyDescent="0.2">
      <c r="A2525" s="1">
        <v>45846</v>
      </c>
      <c r="B2525" s="20">
        <f t="shared" si="78"/>
        <v>2025</v>
      </c>
      <c r="C2525" s="20">
        <f t="shared" si="79"/>
        <v>7</v>
      </c>
      <c r="D2525" t="s">
        <v>2939</v>
      </c>
      <c r="E2525" s="49">
        <v>1</v>
      </c>
      <c r="F2525" t="s">
        <v>2940</v>
      </c>
      <c r="G2525" t="s">
        <v>21</v>
      </c>
      <c r="H2525" t="s">
        <v>37</v>
      </c>
      <c r="I2525" s="13">
        <v>300000</v>
      </c>
      <c r="J2525" s="13">
        <v>300000</v>
      </c>
      <c r="K2525" s="13">
        <f>IF(J2525&lt;'Mapa Oficinas'!$I$21,0,IF(J2525&gt;'Mapa Oficinas'!$I$20,0,1))</f>
        <v>1</v>
      </c>
      <c r="L2525" t="s">
        <v>23</v>
      </c>
      <c r="M2525" t="s">
        <v>23</v>
      </c>
      <c r="N2525" t="s">
        <v>2941</v>
      </c>
      <c r="O2525" t="s">
        <v>380</v>
      </c>
      <c r="P2525" t="s">
        <v>45</v>
      </c>
      <c r="Q2525">
        <v>1</v>
      </c>
      <c r="R2525" t="s">
        <v>46</v>
      </c>
      <c r="S2525" t="s">
        <v>47</v>
      </c>
      <c r="T2525" t="str">
        <f>VLOOKUP(S2525,'Mapa Oficinas'!$H$7:$I$16,2,FALSE)</f>
        <v>Otra Red Búsqueda</v>
      </c>
      <c r="U2525" t="s">
        <v>29</v>
      </c>
      <c r="V2525" t="str">
        <f>VLOOKUP($R2525,'Mapa Oficinas'!$A$7:$C$46,2,FALSE)</f>
        <v>CABA</v>
      </c>
      <c r="W2525" t="str">
        <f>VLOOKUP($R2525,'Mapa Oficinas'!$A$7:$C$46,3,FALSE)</f>
        <v>Palermo</v>
      </c>
    </row>
    <row r="2526" spans="1:23" x14ac:dyDescent="0.2">
      <c r="A2526" s="1">
        <v>45835</v>
      </c>
      <c r="B2526" s="20">
        <f t="shared" si="78"/>
        <v>2025</v>
      </c>
      <c r="C2526" s="20">
        <f t="shared" si="79"/>
        <v>6</v>
      </c>
      <c r="D2526" t="s">
        <v>2727</v>
      </c>
      <c r="E2526" s="49">
        <v>1</v>
      </c>
      <c r="F2526" t="s">
        <v>2728</v>
      </c>
      <c r="G2526" t="s">
        <v>21</v>
      </c>
      <c r="H2526" t="s">
        <v>37</v>
      </c>
      <c r="I2526" s="13">
        <v>300000</v>
      </c>
      <c r="J2526" s="13">
        <v>300000</v>
      </c>
      <c r="K2526" s="13">
        <f>IF(J2526&lt;'Mapa Oficinas'!$I$21,0,IF(J2526&gt;'Mapa Oficinas'!$I$20,0,1))</f>
        <v>1</v>
      </c>
      <c r="L2526" t="s">
        <v>23</v>
      </c>
      <c r="M2526" t="s">
        <v>23</v>
      </c>
      <c r="N2526" t="s">
        <v>2729</v>
      </c>
      <c r="O2526" t="s">
        <v>190</v>
      </c>
      <c r="P2526" t="s">
        <v>45</v>
      </c>
      <c r="Q2526">
        <v>2</v>
      </c>
      <c r="R2526" t="s">
        <v>67</v>
      </c>
      <c r="S2526" t="s">
        <v>200</v>
      </c>
      <c r="T2526" t="str">
        <f>VLOOKUP(S2526,'Mapa Oficinas'!$H$7:$I$16,2,FALSE)</f>
        <v>Otra Red Captación</v>
      </c>
      <c r="U2526" t="s">
        <v>29</v>
      </c>
      <c r="V2526" t="str">
        <f>VLOOKUP($R2526,'Mapa Oficinas'!$A$7:$C$46,2,FALSE)</f>
        <v>CABA</v>
      </c>
      <c r="W2526" t="str">
        <f>VLOOKUP($R2526,'Mapa Oficinas'!$A$7:$C$46,3,FALSE)</f>
        <v>Barrio Parque</v>
      </c>
    </row>
    <row r="2527" spans="1:23" x14ac:dyDescent="0.2">
      <c r="A2527" s="1">
        <v>46077</v>
      </c>
      <c r="B2527" s="20">
        <f t="shared" si="78"/>
        <v>2026</v>
      </c>
      <c r="C2527" s="20">
        <f t="shared" si="79"/>
        <v>2</v>
      </c>
      <c r="D2527" t="s">
        <v>6842</v>
      </c>
      <c r="E2527" s="49">
        <v>1</v>
      </c>
      <c r="F2527" t="s">
        <v>6843</v>
      </c>
      <c r="G2527" t="s">
        <v>21</v>
      </c>
      <c r="H2527" t="s">
        <v>37</v>
      </c>
      <c r="I2527" s="13">
        <v>330000</v>
      </c>
      <c r="J2527" s="13">
        <v>300000</v>
      </c>
      <c r="K2527" s="13">
        <f>IF(J2527&lt;'Mapa Oficinas'!$I$21,0,IF(J2527&gt;'Mapa Oficinas'!$I$20,0,1))</f>
        <v>1</v>
      </c>
      <c r="L2527" t="s">
        <v>23</v>
      </c>
      <c r="M2527" t="s">
        <v>23</v>
      </c>
      <c r="N2527" t="s">
        <v>6843</v>
      </c>
      <c r="O2527" t="s">
        <v>39</v>
      </c>
      <c r="P2527" t="s">
        <v>34</v>
      </c>
      <c r="Q2527">
        <v>2</v>
      </c>
      <c r="R2527" t="s">
        <v>40</v>
      </c>
      <c r="S2527" t="s">
        <v>200</v>
      </c>
      <c r="T2527" t="str">
        <f>VLOOKUP(S2527,'Mapa Oficinas'!$H$7:$I$16,2,FALSE)</f>
        <v>Otra Red Captación</v>
      </c>
      <c r="U2527" t="s">
        <v>29</v>
      </c>
      <c r="V2527" t="str">
        <f>VLOOKUP($R2527,'Mapa Oficinas'!$A$7:$C$46,2,FALSE)</f>
        <v>CABA</v>
      </c>
      <c r="W2527" t="str">
        <f>VLOOKUP($R2527,'Mapa Oficinas'!$A$7:$C$46,3,FALSE)</f>
        <v>Núñez</v>
      </c>
    </row>
    <row r="2528" spans="1:23" x14ac:dyDescent="0.2">
      <c r="A2528" s="1">
        <v>45671</v>
      </c>
      <c r="B2528" s="20">
        <f t="shared" si="78"/>
        <v>2025</v>
      </c>
      <c r="C2528" s="20">
        <f t="shared" si="79"/>
        <v>1</v>
      </c>
      <c r="D2528">
        <v>10225</v>
      </c>
      <c r="E2528" s="49">
        <v>1</v>
      </c>
      <c r="F2528" t="s">
        <v>228</v>
      </c>
      <c r="G2528" t="s">
        <v>21</v>
      </c>
      <c r="H2528" t="s">
        <v>37</v>
      </c>
      <c r="I2528" s="13">
        <v>0</v>
      </c>
      <c r="J2528" s="13">
        <v>300000</v>
      </c>
      <c r="K2528" s="13">
        <f>IF(J2528&lt;'Mapa Oficinas'!$I$21,0,IF(J2528&gt;'Mapa Oficinas'!$I$20,0,1))</f>
        <v>1</v>
      </c>
      <c r="L2528" t="s">
        <v>23</v>
      </c>
      <c r="M2528" t="s">
        <v>23</v>
      </c>
      <c r="O2528" t="s">
        <v>190</v>
      </c>
      <c r="P2528" t="s">
        <v>45</v>
      </c>
      <c r="Q2528">
        <v>2</v>
      </c>
      <c r="R2528" t="s">
        <v>67</v>
      </c>
      <c r="S2528" t="s">
        <v>28</v>
      </c>
      <c r="T2528" t="str">
        <f>VLOOKUP(S2528,'Mapa Oficinas'!$H$7:$I$16,2,FALSE)</f>
        <v>CB</v>
      </c>
      <c r="U2528" t="s">
        <v>29</v>
      </c>
      <c r="V2528" t="str">
        <f>VLOOKUP($R2528,'Mapa Oficinas'!$A$7:$C$46,2,FALSE)</f>
        <v>CABA</v>
      </c>
      <c r="W2528" t="str">
        <f>VLOOKUP($R2528,'Mapa Oficinas'!$A$7:$C$46,3,FALSE)</f>
        <v>Barrio Parque</v>
      </c>
    </row>
    <row r="2529" spans="1:23" x14ac:dyDescent="0.2">
      <c r="A2529" s="1">
        <v>45709</v>
      </c>
      <c r="B2529" s="20">
        <f t="shared" si="78"/>
        <v>2025</v>
      </c>
      <c r="C2529" s="20">
        <f t="shared" si="79"/>
        <v>2</v>
      </c>
      <c r="D2529" t="s">
        <v>724</v>
      </c>
      <c r="E2529" s="49">
        <v>1</v>
      </c>
      <c r="F2529" t="s">
        <v>725</v>
      </c>
      <c r="G2529" t="s">
        <v>21</v>
      </c>
      <c r="H2529" t="s">
        <v>76</v>
      </c>
      <c r="I2529" s="13">
        <v>1600</v>
      </c>
      <c r="J2529" s="13">
        <v>300000</v>
      </c>
      <c r="K2529" s="13">
        <f>IF(J2529&lt;'Mapa Oficinas'!$I$21,0,IF(J2529&gt;'Mapa Oficinas'!$I$20,0,1))</f>
        <v>1</v>
      </c>
      <c r="L2529" t="s">
        <v>23</v>
      </c>
      <c r="M2529" t="s">
        <v>23</v>
      </c>
      <c r="N2529" t="s">
        <v>726</v>
      </c>
      <c r="O2529" t="s">
        <v>727</v>
      </c>
      <c r="P2529" t="s">
        <v>34</v>
      </c>
      <c r="Q2529">
        <v>2</v>
      </c>
      <c r="R2529" t="s">
        <v>257</v>
      </c>
      <c r="S2529" t="s">
        <v>28</v>
      </c>
      <c r="T2529" t="str">
        <f>VLOOKUP(S2529,'Mapa Oficinas'!$H$7:$I$16,2,FALSE)</f>
        <v>CB</v>
      </c>
      <c r="U2529" t="s">
        <v>29</v>
      </c>
      <c r="V2529" t="str">
        <f>VLOOKUP($R2529,'Mapa Oficinas'!$A$7:$C$46,2,FALSE)</f>
        <v>Zona Norte (GBA)</v>
      </c>
      <c r="W2529" t="str">
        <f>VLOOKUP($R2529,'Mapa Oficinas'!$A$7:$C$46,3,FALSE)</f>
        <v>Pilar</v>
      </c>
    </row>
    <row r="2530" spans="1:23" x14ac:dyDescent="0.2">
      <c r="A2530" s="1">
        <v>45806</v>
      </c>
      <c r="B2530" s="20">
        <f t="shared" si="78"/>
        <v>2025</v>
      </c>
      <c r="C2530" s="20">
        <f t="shared" si="79"/>
        <v>5</v>
      </c>
      <c r="D2530" t="s">
        <v>2219</v>
      </c>
      <c r="E2530" s="49">
        <v>1</v>
      </c>
      <c r="F2530" t="s">
        <v>2220</v>
      </c>
      <c r="G2530" t="s">
        <v>21</v>
      </c>
      <c r="H2530" t="s">
        <v>37</v>
      </c>
      <c r="I2530" s="13">
        <v>330000</v>
      </c>
      <c r="J2530" s="13">
        <v>300000</v>
      </c>
      <c r="K2530" s="13">
        <f>IF(J2530&lt;'Mapa Oficinas'!$I$21,0,IF(J2530&gt;'Mapa Oficinas'!$I$20,0,1))</f>
        <v>1</v>
      </c>
      <c r="L2530" t="s">
        <v>23</v>
      </c>
      <c r="M2530" t="s">
        <v>23</v>
      </c>
      <c r="N2530" t="s">
        <v>2221</v>
      </c>
      <c r="O2530" t="s">
        <v>2222</v>
      </c>
      <c r="P2530" t="s">
        <v>45</v>
      </c>
      <c r="Q2530">
        <v>2</v>
      </c>
      <c r="R2530" t="s">
        <v>27</v>
      </c>
      <c r="S2530" t="s">
        <v>28</v>
      </c>
      <c r="T2530" t="str">
        <f>VLOOKUP(S2530,'Mapa Oficinas'!$H$7:$I$16,2,FALSE)</f>
        <v>CB</v>
      </c>
      <c r="U2530" t="s">
        <v>29</v>
      </c>
      <c r="V2530" t="str">
        <f>VLOOKUP($R2530,'Mapa Oficinas'!$A$7:$C$46,2,FALSE)</f>
        <v>Zona Norte (GBA)</v>
      </c>
      <c r="W2530" t="str">
        <f>VLOOKUP($R2530,'Mapa Oficinas'!$A$7:$C$46,3,FALSE)</f>
        <v>Tigre</v>
      </c>
    </row>
    <row r="2531" spans="1:23" x14ac:dyDescent="0.2">
      <c r="A2531" s="1">
        <v>45909</v>
      </c>
      <c r="B2531" s="20">
        <f t="shared" si="78"/>
        <v>2025</v>
      </c>
      <c r="C2531" s="20">
        <f t="shared" si="79"/>
        <v>9</v>
      </c>
      <c r="D2531" t="s">
        <v>1835</v>
      </c>
      <c r="E2531" s="49">
        <v>1</v>
      </c>
      <c r="F2531" t="s">
        <v>1836</v>
      </c>
      <c r="G2531" t="s">
        <v>21</v>
      </c>
      <c r="H2531" t="s">
        <v>37</v>
      </c>
      <c r="I2531" s="13">
        <v>269000</v>
      </c>
      <c r="J2531" s="13">
        <v>300000</v>
      </c>
      <c r="K2531" s="13">
        <f>IF(J2531&lt;'Mapa Oficinas'!$I$21,0,IF(J2531&gt;'Mapa Oficinas'!$I$20,0,1))</f>
        <v>1</v>
      </c>
      <c r="L2531" t="s">
        <v>23</v>
      </c>
      <c r="M2531" t="s">
        <v>23</v>
      </c>
      <c r="N2531" t="s">
        <v>1837</v>
      </c>
      <c r="O2531" t="s">
        <v>1838</v>
      </c>
      <c r="P2531" t="s">
        <v>34</v>
      </c>
      <c r="Q2531">
        <v>2</v>
      </c>
      <c r="R2531" t="s">
        <v>110</v>
      </c>
      <c r="S2531" t="s">
        <v>28</v>
      </c>
      <c r="T2531" t="str">
        <f>VLOOKUP(S2531,'Mapa Oficinas'!$H$7:$I$16,2,FALSE)</f>
        <v>CB</v>
      </c>
      <c r="U2531" t="s">
        <v>29</v>
      </c>
      <c r="V2531" t="str">
        <f>VLOOKUP($R2531,'Mapa Oficinas'!$A$7:$C$46,2,FALSE)</f>
        <v>Zona Norte (GBA)</v>
      </c>
      <c r="W2531" t="str">
        <f>VLOOKUP($R2531,'Mapa Oficinas'!$A$7:$C$46,3,FALSE)</f>
        <v>Nordelta</v>
      </c>
    </row>
    <row r="2532" spans="1:23" x14ac:dyDescent="0.2">
      <c r="A2532" s="1">
        <v>45922</v>
      </c>
      <c r="B2532" s="20">
        <f t="shared" si="78"/>
        <v>2025</v>
      </c>
      <c r="C2532" s="20">
        <f t="shared" si="79"/>
        <v>9</v>
      </c>
      <c r="D2532" t="s">
        <v>4280</v>
      </c>
      <c r="E2532" s="49">
        <v>1</v>
      </c>
      <c r="F2532" t="s">
        <v>4281</v>
      </c>
      <c r="G2532" t="s">
        <v>21</v>
      </c>
      <c r="H2532" t="s">
        <v>37</v>
      </c>
      <c r="I2532" s="13">
        <v>320000</v>
      </c>
      <c r="J2532" s="13">
        <v>300000</v>
      </c>
      <c r="K2532" s="13">
        <f>IF(J2532&lt;'Mapa Oficinas'!$I$21,0,IF(J2532&gt;'Mapa Oficinas'!$I$20,0,1))</f>
        <v>1</v>
      </c>
      <c r="L2532" t="s">
        <v>23</v>
      </c>
      <c r="M2532" t="s">
        <v>23</v>
      </c>
      <c r="N2532" t="s">
        <v>4282</v>
      </c>
      <c r="O2532" t="s">
        <v>50</v>
      </c>
      <c r="P2532" t="s">
        <v>45</v>
      </c>
      <c r="Q2532">
        <v>2</v>
      </c>
      <c r="R2532" t="s">
        <v>135</v>
      </c>
      <c r="S2532" t="s">
        <v>28</v>
      </c>
      <c r="T2532" t="str">
        <f>VLOOKUP(S2532,'Mapa Oficinas'!$H$7:$I$16,2,FALSE)</f>
        <v>CB</v>
      </c>
      <c r="U2532" t="s">
        <v>29</v>
      </c>
      <c r="V2532" t="str">
        <f>VLOOKUP($R2532,'Mapa Oficinas'!$A$7:$C$46,2,FALSE)</f>
        <v>CABA</v>
      </c>
      <c r="W2532" t="str">
        <f>VLOOKUP($R2532,'Mapa Oficinas'!$A$7:$C$46,3,FALSE)</f>
        <v>Recoleta</v>
      </c>
    </row>
    <row r="2533" spans="1:23" x14ac:dyDescent="0.2">
      <c r="A2533" s="1">
        <v>45929</v>
      </c>
      <c r="B2533" s="20">
        <f t="shared" si="78"/>
        <v>2025</v>
      </c>
      <c r="C2533" s="20">
        <f t="shared" si="79"/>
        <v>9</v>
      </c>
      <c r="D2533" t="s">
        <v>4401</v>
      </c>
      <c r="E2533" s="49">
        <v>1</v>
      </c>
      <c r="F2533" t="s">
        <v>4402</v>
      </c>
      <c r="G2533" t="s">
        <v>21</v>
      </c>
      <c r="H2533" t="s">
        <v>37</v>
      </c>
      <c r="I2533" s="13">
        <v>340000</v>
      </c>
      <c r="J2533" s="13">
        <v>300000</v>
      </c>
      <c r="K2533" s="13">
        <f>IF(J2533&lt;'Mapa Oficinas'!$I$21,0,IF(J2533&gt;'Mapa Oficinas'!$I$20,0,1))</f>
        <v>1</v>
      </c>
      <c r="L2533" t="s">
        <v>23</v>
      </c>
      <c r="M2533" t="s">
        <v>23</v>
      </c>
      <c r="N2533" t="s">
        <v>4403</v>
      </c>
      <c r="O2533" t="s">
        <v>1421</v>
      </c>
      <c r="P2533" t="s">
        <v>45</v>
      </c>
      <c r="Q2533">
        <v>2</v>
      </c>
      <c r="R2533" t="s">
        <v>183</v>
      </c>
      <c r="S2533" t="s">
        <v>28</v>
      </c>
      <c r="T2533" t="str">
        <f>VLOOKUP(S2533,'Mapa Oficinas'!$H$7:$I$16,2,FALSE)</f>
        <v>CB</v>
      </c>
      <c r="U2533" t="s">
        <v>29</v>
      </c>
      <c r="V2533" t="str">
        <f>VLOOKUP($R2533,'Mapa Oficinas'!$A$7:$C$46,2,FALSE)</f>
        <v>Interior - Neuquén</v>
      </c>
      <c r="W2533" t="str">
        <f>VLOOKUP($R2533,'Mapa Oficinas'!$A$7:$C$46,3,FALSE)</f>
        <v>Capital Neuquén</v>
      </c>
    </row>
    <row r="2534" spans="1:23" x14ac:dyDescent="0.2">
      <c r="A2534" s="1">
        <v>46003</v>
      </c>
      <c r="B2534" s="20">
        <f t="shared" si="78"/>
        <v>2025</v>
      </c>
      <c r="C2534" s="20">
        <f t="shared" si="79"/>
        <v>12</v>
      </c>
      <c r="D2534" t="s">
        <v>5766</v>
      </c>
      <c r="E2534" s="49">
        <v>1</v>
      </c>
      <c r="F2534" t="s">
        <v>5767</v>
      </c>
      <c r="G2534" t="s">
        <v>21</v>
      </c>
      <c r="H2534" t="s">
        <v>37</v>
      </c>
      <c r="I2534" s="13">
        <v>349000</v>
      </c>
      <c r="J2534" s="13">
        <v>300000</v>
      </c>
      <c r="K2534" s="13">
        <f>IF(J2534&lt;'Mapa Oficinas'!$I$21,0,IF(J2534&gt;'Mapa Oficinas'!$I$20,0,1))</f>
        <v>1</v>
      </c>
      <c r="L2534" t="s">
        <v>23</v>
      </c>
      <c r="M2534" t="s">
        <v>23</v>
      </c>
      <c r="N2534" t="s">
        <v>5768</v>
      </c>
      <c r="O2534" t="s">
        <v>66</v>
      </c>
      <c r="P2534" t="s">
        <v>61</v>
      </c>
      <c r="Q2534">
        <v>2</v>
      </c>
      <c r="R2534" t="s">
        <v>67</v>
      </c>
      <c r="S2534" t="s">
        <v>28</v>
      </c>
      <c r="T2534" t="str">
        <f>VLOOKUP(S2534,'Mapa Oficinas'!$H$7:$I$16,2,FALSE)</f>
        <v>CB</v>
      </c>
      <c r="U2534" t="s">
        <v>29</v>
      </c>
      <c r="V2534" t="str">
        <f>VLOOKUP($R2534,'Mapa Oficinas'!$A$7:$C$46,2,FALSE)</f>
        <v>CABA</v>
      </c>
      <c r="W2534" t="str">
        <f>VLOOKUP($R2534,'Mapa Oficinas'!$A$7:$C$46,3,FALSE)</f>
        <v>Barrio Parque</v>
      </c>
    </row>
    <row r="2535" spans="1:23" x14ac:dyDescent="0.2">
      <c r="A2535" s="1">
        <v>46080</v>
      </c>
      <c r="B2535" s="20">
        <f t="shared" si="78"/>
        <v>2026</v>
      </c>
      <c r="C2535" s="20">
        <f t="shared" si="79"/>
        <v>2</v>
      </c>
      <c r="D2535" t="s">
        <v>6922</v>
      </c>
      <c r="E2535" s="49">
        <v>1</v>
      </c>
      <c r="F2535" t="s">
        <v>6923</v>
      </c>
      <c r="G2535" t="s">
        <v>21</v>
      </c>
      <c r="H2535" t="s">
        <v>90</v>
      </c>
      <c r="I2535" s="13">
        <v>349000</v>
      </c>
      <c r="J2535" s="13">
        <v>300000</v>
      </c>
      <c r="K2535" s="13">
        <f>IF(J2535&lt;'Mapa Oficinas'!$I$21,0,IF(J2535&gt;'Mapa Oficinas'!$I$20,0,1))</f>
        <v>1</v>
      </c>
      <c r="L2535" t="s">
        <v>23</v>
      </c>
      <c r="M2535" t="s">
        <v>23</v>
      </c>
      <c r="N2535" t="s">
        <v>6924</v>
      </c>
      <c r="O2535" t="s">
        <v>390</v>
      </c>
      <c r="P2535" t="s">
        <v>34</v>
      </c>
      <c r="Q2535">
        <v>2</v>
      </c>
      <c r="R2535" t="s">
        <v>67</v>
      </c>
      <c r="S2535" t="s">
        <v>28</v>
      </c>
      <c r="T2535" t="str">
        <f>VLOOKUP(S2535,'Mapa Oficinas'!$H$7:$I$16,2,FALSE)</f>
        <v>CB</v>
      </c>
      <c r="U2535" t="s">
        <v>29</v>
      </c>
      <c r="V2535" t="str">
        <f>VLOOKUP($R2535,'Mapa Oficinas'!$A$7:$C$46,2,FALSE)</f>
        <v>CABA</v>
      </c>
      <c r="W2535" t="str">
        <f>VLOOKUP($R2535,'Mapa Oficinas'!$A$7:$C$46,3,FALSE)</f>
        <v>Barrio Parque</v>
      </c>
    </row>
    <row r="2536" spans="1:23" x14ac:dyDescent="0.2">
      <c r="A2536" s="1">
        <v>45972</v>
      </c>
      <c r="B2536" s="20">
        <f t="shared" si="78"/>
        <v>2025</v>
      </c>
      <c r="C2536" s="20">
        <f t="shared" si="79"/>
        <v>11</v>
      </c>
      <c r="D2536" t="s">
        <v>5145</v>
      </c>
      <c r="E2536" s="49">
        <v>1</v>
      </c>
      <c r="F2536" t="s">
        <v>5146</v>
      </c>
      <c r="G2536" t="s">
        <v>21</v>
      </c>
      <c r="H2536" t="s">
        <v>37</v>
      </c>
      <c r="I2536" s="13">
        <v>298000</v>
      </c>
      <c r="J2536" s="13">
        <v>302000</v>
      </c>
      <c r="K2536" s="13">
        <f>IF(J2536&lt;'Mapa Oficinas'!$I$21,0,IF(J2536&gt;'Mapa Oficinas'!$I$20,0,1))</f>
        <v>1</v>
      </c>
      <c r="L2536" t="s">
        <v>23</v>
      </c>
      <c r="M2536" t="s">
        <v>23</v>
      </c>
      <c r="N2536" t="s">
        <v>5147</v>
      </c>
      <c r="O2536" t="s">
        <v>4329</v>
      </c>
      <c r="P2536" t="s">
        <v>34</v>
      </c>
      <c r="Q2536">
        <v>1</v>
      </c>
      <c r="R2536" t="s">
        <v>110</v>
      </c>
      <c r="S2536" t="s">
        <v>47</v>
      </c>
      <c r="T2536" t="str">
        <f>VLOOKUP(S2536,'Mapa Oficinas'!$H$7:$I$16,2,FALSE)</f>
        <v>Otra Red Búsqueda</v>
      </c>
      <c r="U2536" t="s">
        <v>29</v>
      </c>
      <c r="V2536" t="str">
        <f>VLOOKUP($R2536,'Mapa Oficinas'!$A$7:$C$46,2,FALSE)</f>
        <v>Zona Norte (GBA)</v>
      </c>
      <c r="W2536" t="str">
        <f>VLOOKUP($R2536,'Mapa Oficinas'!$A$7:$C$46,3,FALSE)</f>
        <v>Nordelta</v>
      </c>
    </row>
    <row r="2537" spans="1:23" x14ac:dyDescent="0.2">
      <c r="A2537" s="1">
        <v>45925</v>
      </c>
      <c r="B2537" s="20">
        <f t="shared" si="78"/>
        <v>2025</v>
      </c>
      <c r="C2537" s="20">
        <f t="shared" si="79"/>
        <v>9</v>
      </c>
      <c r="D2537" t="s">
        <v>4365</v>
      </c>
      <c r="E2537" s="49">
        <v>1</v>
      </c>
      <c r="F2537" t="s">
        <v>4366</v>
      </c>
      <c r="G2537" t="s">
        <v>21</v>
      </c>
      <c r="H2537" t="s">
        <v>37</v>
      </c>
      <c r="I2537" s="13">
        <v>315000</v>
      </c>
      <c r="J2537" s="13">
        <v>302500</v>
      </c>
      <c r="K2537" s="13">
        <f>IF(J2537&lt;'Mapa Oficinas'!$I$21,0,IF(J2537&gt;'Mapa Oficinas'!$I$20,0,1))</f>
        <v>1</v>
      </c>
      <c r="L2537" t="s">
        <v>23</v>
      </c>
      <c r="M2537" t="s">
        <v>23</v>
      </c>
      <c r="N2537" t="s">
        <v>4367</v>
      </c>
      <c r="O2537" t="s">
        <v>470</v>
      </c>
      <c r="P2537" t="s">
        <v>45</v>
      </c>
      <c r="Q2537">
        <v>2</v>
      </c>
      <c r="R2537" t="s">
        <v>67</v>
      </c>
      <c r="S2537" t="s">
        <v>200</v>
      </c>
      <c r="T2537" t="str">
        <f>VLOOKUP(S2537,'Mapa Oficinas'!$H$7:$I$16,2,FALSE)</f>
        <v>Otra Red Captación</v>
      </c>
      <c r="U2537" t="s">
        <v>29</v>
      </c>
      <c r="V2537" t="str">
        <f>VLOOKUP($R2537,'Mapa Oficinas'!$A$7:$C$46,2,FALSE)</f>
        <v>CABA</v>
      </c>
      <c r="W2537" t="str">
        <f>VLOOKUP($R2537,'Mapa Oficinas'!$A$7:$C$46,3,FALSE)</f>
        <v>Barrio Parque</v>
      </c>
    </row>
    <row r="2538" spans="1:23" x14ac:dyDescent="0.2">
      <c r="A2538" s="1">
        <v>45751</v>
      </c>
      <c r="B2538" s="20">
        <f t="shared" si="78"/>
        <v>2025</v>
      </c>
      <c r="C2538" s="20">
        <f t="shared" si="79"/>
        <v>4</v>
      </c>
      <c r="D2538" t="s">
        <v>1295</v>
      </c>
      <c r="E2538" s="49">
        <v>3</v>
      </c>
      <c r="F2538" t="s">
        <v>1296</v>
      </c>
      <c r="G2538" t="s">
        <v>21</v>
      </c>
      <c r="H2538" t="s">
        <v>76</v>
      </c>
      <c r="I2538" s="13">
        <v>308000</v>
      </c>
      <c r="J2538" s="13">
        <v>302500</v>
      </c>
      <c r="K2538" s="13">
        <f>IF(J2538&lt;'Mapa Oficinas'!$I$21,0,IF(J2538&gt;'Mapa Oficinas'!$I$20,0,1))</f>
        <v>1</v>
      </c>
      <c r="L2538" t="s">
        <v>23</v>
      </c>
      <c r="M2538" t="s">
        <v>23</v>
      </c>
      <c r="O2538" t="s">
        <v>1297</v>
      </c>
      <c r="P2538" t="s">
        <v>34</v>
      </c>
      <c r="Q2538">
        <v>2</v>
      </c>
      <c r="R2538" t="s">
        <v>257</v>
      </c>
      <c r="S2538" t="s">
        <v>241</v>
      </c>
      <c r="T2538" t="str">
        <f>VLOOKUP(S2538,'Mapa Oficinas'!$H$7:$I$16,2,FALSE)</f>
        <v>CB</v>
      </c>
      <c r="U2538" t="s">
        <v>29</v>
      </c>
      <c r="V2538" t="str">
        <f>VLOOKUP($R2538,'Mapa Oficinas'!$A$7:$C$46,2,FALSE)</f>
        <v>Zona Norte (GBA)</v>
      </c>
      <c r="W2538" t="str">
        <f>VLOOKUP($R2538,'Mapa Oficinas'!$A$7:$C$46,3,FALSE)</f>
        <v>Pilar</v>
      </c>
    </row>
    <row r="2539" spans="1:23" x14ac:dyDescent="0.2">
      <c r="A2539" s="1">
        <v>45880</v>
      </c>
      <c r="B2539" s="20">
        <f t="shared" si="78"/>
        <v>2025</v>
      </c>
      <c r="C2539" s="20">
        <f t="shared" si="79"/>
        <v>8</v>
      </c>
      <c r="D2539">
        <v>11082025</v>
      </c>
      <c r="E2539" s="49">
        <v>1</v>
      </c>
      <c r="F2539" t="s">
        <v>3529</v>
      </c>
      <c r="G2539" t="s">
        <v>21</v>
      </c>
      <c r="H2539" t="s">
        <v>100</v>
      </c>
      <c r="I2539" s="13">
        <v>305000</v>
      </c>
      <c r="J2539" s="13">
        <v>305000</v>
      </c>
      <c r="K2539" s="13">
        <f>IF(J2539&lt;'Mapa Oficinas'!$I$21,0,IF(J2539&gt;'Mapa Oficinas'!$I$20,0,1))</f>
        <v>1</v>
      </c>
      <c r="L2539" t="s">
        <v>23</v>
      </c>
      <c r="M2539" t="s">
        <v>23</v>
      </c>
      <c r="O2539" t="s">
        <v>120</v>
      </c>
      <c r="P2539" t="s">
        <v>34</v>
      </c>
      <c r="Q2539">
        <v>1</v>
      </c>
      <c r="R2539" t="s">
        <v>121</v>
      </c>
      <c r="S2539" t="s">
        <v>122</v>
      </c>
      <c r="T2539" t="str">
        <f>VLOOKUP(S2539,'Mapa Oficinas'!$H$7:$I$16,2,FALSE)</f>
        <v>Otra Red Búsqueda</v>
      </c>
      <c r="U2539" t="s">
        <v>29</v>
      </c>
      <c r="V2539" t="str">
        <f>VLOOKUP($R2539,'Mapa Oficinas'!$A$7:$C$46,2,FALSE)</f>
        <v>Interior - Río Negro</v>
      </c>
      <c r="W2539" t="str">
        <f>VLOOKUP($R2539,'Mapa Oficinas'!$A$7:$C$46,3,FALSE)</f>
        <v>Bariloche</v>
      </c>
    </row>
    <row r="2540" spans="1:23" x14ac:dyDescent="0.2">
      <c r="A2540" s="1">
        <v>45793</v>
      </c>
      <c r="B2540" s="20">
        <f t="shared" si="78"/>
        <v>2025</v>
      </c>
      <c r="C2540" s="20">
        <f t="shared" si="79"/>
        <v>5</v>
      </c>
      <c r="D2540" t="s">
        <v>1994</v>
      </c>
      <c r="E2540" s="49">
        <v>1</v>
      </c>
      <c r="F2540" t="s">
        <v>1995</v>
      </c>
      <c r="G2540" t="s">
        <v>21</v>
      </c>
      <c r="H2540" t="s">
        <v>37</v>
      </c>
      <c r="I2540" s="13">
        <v>307000</v>
      </c>
      <c r="J2540" s="13">
        <v>307000</v>
      </c>
      <c r="K2540" s="13">
        <f>IF(J2540&lt;'Mapa Oficinas'!$I$21,0,IF(J2540&gt;'Mapa Oficinas'!$I$20,0,1))</f>
        <v>1</v>
      </c>
      <c r="L2540" t="s">
        <v>23</v>
      </c>
      <c r="M2540" t="s">
        <v>23</v>
      </c>
      <c r="N2540" t="s">
        <v>1995</v>
      </c>
      <c r="O2540" t="s">
        <v>190</v>
      </c>
      <c r="P2540" t="s">
        <v>45</v>
      </c>
      <c r="Q2540">
        <v>1</v>
      </c>
      <c r="R2540" t="s">
        <v>46</v>
      </c>
      <c r="S2540" t="s">
        <v>47</v>
      </c>
      <c r="T2540" t="str">
        <f>VLOOKUP(S2540,'Mapa Oficinas'!$H$7:$I$16,2,FALSE)</f>
        <v>Otra Red Búsqueda</v>
      </c>
      <c r="U2540" t="s">
        <v>29</v>
      </c>
      <c r="V2540" t="str">
        <f>VLOOKUP($R2540,'Mapa Oficinas'!$A$7:$C$46,2,FALSE)</f>
        <v>CABA</v>
      </c>
      <c r="W2540" t="str">
        <f>VLOOKUP($R2540,'Mapa Oficinas'!$A$7:$C$46,3,FALSE)</f>
        <v>Palermo</v>
      </c>
    </row>
    <row r="2541" spans="1:23" x14ac:dyDescent="0.2">
      <c r="A2541" s="1">
        <v>45883</v>
      </c>
      <c r="B2541" s="20">
        <f t="shared" si="78"/>
        <v>2025</v>
      </c>
      <c r="C2541" s="20">
        <f t="shared" si="79"/>
        <v>8</v>
      </c>
      <c r="D2541" t="s">
        <v>3605</v>
      </c>
      <c r="E2541" s="49">
        <v>3</v>
      </c>
      <c r="F2541" t="s">
        <v>3606</v>
      </c>
      <c r="G2541" t="s">
        <v>21</v>
      </c>
      <c r="H2541" t="s">
        <v>90</v>
      </c>
      <c r="I2541" s="13">
        <v>325000</v>
      </c>
      <c r="J2541" s="13">
        <v>307000</v>
      </c>
      <c r="K2541" s="13">
        <f>IF(J2541&lt;'Mapa Oficinas'!$I$21,0,IF(J2541&gt;'Mapa Oficinas'!$I$20,0,1))</f>
        <v>1</v>
      </c>
      <c r="L2541" t="s">
        <v>23</v>
      </c>
      <c r="M2541" t="s">
        <v>23</v>
      </c>
      <c r="N2541" t="s">
        <v>3607</v>
      </c>
      <c r="O2541" t="s">
        <v>3608</v>
      </c>
      <c r="P2541" t="s">
        <v>34</v>
      </c>
      <c r="Q2541">
        <v>2</v>
      </c>
      <c r="R2541" t="s">
        <v>823</v>
      </c>
      <c r="S2541" t="s">
        <v>241</v>
      </c>
      <c r="T2541" t="str">
        <f>VLOOKUP(S2541,'Mapa Oficinas'!$H$7:$I$16,2,FALSE)</f>
        <v>CB</v>
      </c>
      <c r="U2541" t="s">
        <v>29</v>
      </c>
      <c r="V2541" t="str">
        <f>VLOOKUP($R2541,'Mapa Oficinas'!$A$7:$C$46,2,FALSE)</f>
        <v>Zona Norte (GBA)</v>
      </c>
      <c r="W2541" t="str">
        <f>VLOOKUP($R2541,'Mapa Oficinas'!$A$7:$C$46,3,FALSE)</f>
        <v>Pilar</v>
      </c>
    </row>
    <row r="2542" spans="1:23" x14ac:dyDescent="0.2">
      <c r="A2542" s="1">
        <v>45658</v>
      </c>
      <c r="B2542" s="20">
        <f t="shared" si="78"/>
        <v>2025</v>
      </c>
      <c r="C2542" s="20">
        <f t="shared" si="79"/>
        <v>1</v>
      </c>
      <c r="D2542" t="s">
        <v>30</v>
      </c>
      <c r="E2542" s="49">
        <v>1</v>
      </c>
      <c r="F2542" t="s">
        <v>31</v>
      </c>
      <c r="G2542" t="s">
        <v>21</v>
      </c>
      <c r="H2542" t="s">
        <v>22</v>
      </c>
      <c r="I2542" s="13">
        <v>315000</v>
      </c>
      <c r="J2542" s="13">
        <v>308000</v>
      </c>
      <c r="K2542" s="13">
        <f>IF(J2542&lt;'Mapa Oficinas'!$I$21,0,IF(J2542&gt;'Mapa Oficinas'!$I$20,0,1))</f>
        <v>1</v>
      </c>
      <c r="L2542" t="s">
        <v>23</v>
      </c>
      <c r="M2542" t="s">
        <v>23</v>
      </c>
      <c r="N2542" t="s">
        <v>32</v>
      </c>
      <c r="O2542" t="s">
        <v>33</v>
      </c>
      <c r="P2542" t="s">
        <v>34</v>
      </c>
      <c r="Q2542">
        <v>2</v>
      </c>
      <c r="R2542" t="s">
        <v>27</v>
      </c>
      <c r="S2542" t="s">
        <v>28</v>
      </c>
      <c r="T2542" t="str">
        <f>VLOOKUP(S2542,'Mapa Oficinas'!$H$7:$I$16,2,FALSE)</f>
        <v>CB</v>
      </c>
      <c r="U2542" t="s">
        <v>29</v>
      </c>
      <c r="V2542" t="str">
        <f>VLOOKUP($R2542,'Mapa Oficinas'!$A$7:$C$46,2,FALSE)</f>
        <v>Zona Norte (GBA)</v>
      </c>
      <c r="W2542" t="str">
        <f>VLOOKUP($R2542,'Mapa Oficinas'!$A$7:$C$46,3,FALSE)</f>
        <v>Tigre</v>
      </c>
    </row>
    <row r="2543" spans="1:23" x14ac:dyDescent="0.2">
      <c r="A2543" s="1">
        <v>45891</v>
      </c>
      <c r="B2543" s="20">
        <f t="shared" si="78"/>
        <v>2025</v>
      </c>
      <c r="C2543" s="20">
        <f t="shared" si="79"/>
        <v>8</v>
      </c>
      <c r="D2543" t="s">
        <v>3730</v>
      </c>
      <c r="E2543" s="49">
        <v>1</v>
      </c>
      <c r="F2543" t="s">
        <v>3731</v>
      </c>
      <c r="G2543" t="s">
        <v>21</v>
      </c>
      <c r="H2543" t="s">
        <v>100</v>
      </c>
      <c r="I2543" s="13">
        <v>340000</v>
      </c>
      <c r="J2543" s="13">
        <v>310000</v>
      </c>
      <c r="K2543" s="13">
        <f>IF(J2543&lt;'Mapa Oficinas'!$I$21,0,IF(J2543&gt;'Mapa Oficinas'!$I$20,0,1))</f>
        <v>1</v>
      </c>
      <c r="L2543" t="s">
        <v>23</v>
      </c>
      <c r="M2543" t="s">
        <v>23</v>
      </c>
      <c r="N2543" t="s">
        <v>3732</v>
      </c>
      <c r="O2543" t="s">
        <v>545</v>
      </c>
      <c r="P2543" t="s">
        <v>26</v>
      </c>
      <c r="Q2543">
        <v>2</v>
      </c>
      <c r="R2543" t="s">
        <v>84</v>
      </c>
      <c r="S2543" t="s">
        <v>79</v>
      </c>
      <c r="T2543" t="str">
        <f>VLOOKUP(S2543,'Mapa Oficinas'!$H$7:$I$16,2,FALSE)</f>
        <v>CB</v>
      </c>
      <c r="U2543" t="s">
        <v>29</v>
      </c>
      <c r="V2543" t="str">
        <f>VLOOKUP($R2543,'Mapa Oficinas'!$A$7:$C$46,2,FALSE)</f>
        <v>Interior - Neuquén</v>
      </c>
      <c r="W2543" t="str">
        <f>VLOOKUP($R2543,'Mapa Oficinas'!$A$7:$C$46,3,FALSE)</f>
        <v>Villa La Angostura</v>
      </c>
    </row>
    <row r="2544" spans="1:23" x14ac:dyDescent="0.2">
      <c r="A2544" s="1">
        <v>45817</v>
      </c>
      <c r="B2544" s="20">
        <f t="shared" si="78"/>
        <v>2025</v>
      </c>
      <c r="C2544" s="20">
        <f t="shared" si="79"/>
        <v>6</v>
      </c>
      <c r="D2544" t="s">
        <v>2398</v>
      </c>
      <c r="E2544" s="49">
        <v>1</v>
      </c>
      <c r="F2544" t="s">
        <v>2399</v>
      </c>
      <c r="G2544" t="s">
        <v>21</v>
      </c>
      <c r="H2544" t="s">
        <v>37</v>
      </c>
      <c r="I2544" s="13">
        <v>310000</v>
      </c>
      <c r="J2544" s="13">
        <v>310000</v>
      </c>
      <c r="K2544" s="13">
        <f>IF(J2544&lt;'Mapa Oficinas'!$I$21,0,IF(J2544&gt;'Mapa Oficinas'!$I$20,0,1))</f>
        <v>1</v>
      </c>
      <c r="L2544" t="s">
        <v>23</v>
      </c>
      <c r="M2544" t="s">
        <v>23</v>
      </c>
      <c r="N2544" t="s">
        <v>2399</v>
      </c>
      <c r="O2544" t="s">
        <v>976</v>
      </c>
      <c r="P2544" t="s">
        <v>45</v>
      </c>
      <c r="Q2544">
        <v>1</v>
      </c>
      <c r="R2544" t="s">
        <v>46</v>
      </c>
      <c r="S2544" t="s">
        <v>47</v>
      </c>
      <c r="T2544" t="str">
        <f>VLOOKUP(S2544,'Mapa Oficinas'!$H$7:$I$16,2,FALSE)</f>
        <v>Otra Red Búsqueda</v>
      </c>
      <c r="U2544" t="s">
        <v>29</v>
      </c>
      <c r="V2544" t="str">
        <f>VLOOKUP($R2544,'Mapa Oficinas'!$A$7:$C$46,2,FALSE)</f>
        <v>CABA</v>
      </c>
      <c r="W2544" t="str">
        <f>VLOOKUP($R2544,'Mapa Oficinas'!$A$7:$C$46,3,FALSE)</f>
        <v>Palermo</v>
      </c>
    </row>
    <row r="2545" spans="1:23" x14ac:dyDescent="0.2">
      <c r="A2545" s="1">
        <v>46002</v>
      </c>
      <c r="B2545" s="20">
        <f t="shared" si="78"/>
        <v>2025</v>
      </c>
      <c r="C2545" s="20">
        <f t="shared" si="79"/>
        <v>12</v>
      </c>
      <c r="D2545">
        <v>10558</v>
      </c>
      <c r="E2545" s="49">
        <v>1</v>
      </c>
      <c r="F2545" t="s">
        <v>5728</v>
      </c>
      <c r="G2545" t="s">
        <v>21</v>
      </c>
      <c r="H2545" t="s">
        <v>37</v>
      </c>
      <c r="I2545" s="13">
        <v>310000</v>
      </c>
      <c r="J2545" s="13">
        <v>310000</v>
      </c>
      <c r="K2545" s="13">
        <f>IF(J2545&lt;'Mapa Oficinas'!$I$21,0,IF(J2545&gt;'Mapa Oficinas'!$I$20,0,1))</f>
        <v>1</v>
      </c>
      <c r="L2545" t="s">
        <v>23</v>
      </c>
      <c r="M2545" t="s">
        <v>23</v>
      </c>
      <c r="N2545" t="s">
        <v>5728</v>
      </c>
      <c r="O2545" t="s">
        <v>50</v>
      </c>
      <c r="P2545" t="s">
        <v>45</v>
      </c>
      <c r="Q2545">
        <v>1</v>
      </c>
      <c r="R2545" t="s">
        <v>67</v>
      </c>
      <c r="S2545" t="s">
        <v>47</v>
      </c>
      <c r="T2545" t="str">
        <f>VLOOKUP(S2545,'Mapa Oficinas'!$H$7:$I$16,2,FALSE)</f>
        <v>Otra Red Búsqueda</v>
      </c>
      <c r="U2545" t="s">
        <v>29</v>
      </c>
      <c r="V2545" t="str">
        <f>VLOOKUP($R2545,'Mapa Oficinas'!$A$7:$C$46,2,FALSE)</f>
        <v>CABA</v>
      </c>
      <c r="W2545" t="str">
        <f>VLOOKUP($R2545,'Mapa Oficinas'!$A$7:$C$46,3,FALSE)</f>
        <v>Barrio Parque</v>
      </c>
    </row>
    <row r="2546" spans="1:23" x14ac:dyDescent="0.2">
      <c r="A2546" s="1">
        <v>46098</v>
      </c>
      <c r="B2546" s="20">
        <f t="shared" si="78"/>
        <v>2026</v>
      </c>
      <c r="C2546" s="20">
        <f t="shared" si="79"/>
        <v>3</v>
      </c>
      <c r="E2546" s="49">
        <v>1</v>
      </c>
      <c r="F2546" t="s">
        <v>7262</v>
      </c>
      <c r="G2546" t="s">
        <v>21</v>
      </c>
      <c r="H2546" t="s">
        <v>37</v>
      </c>
      <c r="I2546" s="13">
        <v>310000</v>
      </c>
      <c r="J2546" s="13">
        <v>310000</v>
      </c>
      <c r="K2546" s="13">
        <f>IF(J2546&lt;'Mapa Oficinas'!$I$21,0,IF(J2546&gt;'Mapa Oficinas'!$I$20,0,1))</f>
        <v>1</v>
      </c>
      <c r="L2546" t="s">
        <v>23</v>
      </c>
      <c r="M2546" t="s">
        <v>23</v>
      </c>
      <c r="N2546" t="s">
        <v>7263</v>
      </c>
      <c r="O2546" t="s">
        <v>675</v>
      </c>
      <c r="P2546" t="s">
        <v>45</v>
      </c>
      <c r="Q2546">
        <v>1</v>
      </c>
      <c r="R2546" t="s">
        <v>135</v>
      </c>
      <c r="S2546" t="s">
        <v>47</v>
      </c>
      <c r="T2546" t="str">
        <f>VLOOKUP(S2546,'Mapa Oficinas'!$H$7:$I$16,2,FALSE)</f>
        <v>Otra Red Búsqueda</v>
      </c>
      <c r="U2546" t="s">
        <v>29</v>
      </c>
      <c r="V2546" t="str">
        <f>VLOOKUP($R2546,'Mapa Oficinas'!$A$7:$C$46,2,FALSE)</f>
        <v>CABA</v>
      </c>
      <c r="W2546" t="str">
        <f>VLOOKUP($R2546,'Mapa Oficinas'!$A$7:$C$46,3,FALSE)</f>
        <v>Recoleta</v>
      </c>
    </row>
    <row r="2547" spans="1:23" x14ac:dyDescent="0.2">
      <c r="A2547" s="1">
        <v>45861</v>
      </c>
      <c r="B2547" s="20">
        <f t="shared" si="78"/>
        <v>2025</v>
      </c>
      <c r="C2547" s="20">
        <f t="shared" si="79"/>
        <v>7</v>
      </c>
      <c r="D2547" t="s">
        <v>3179</v>
      </c>
      <c r="E2547" s="49">
        <v>1</v>
      </c>
      <c r="F2547" t="s">
        <v>3180</v>
      </c>
      <c r="G2547" t="s">
        <v>21</v>
      </c>
      <c r="H2547" t="s">
        <v>37</v>
      </c>
      <c r="I2547" s="13">
        <v>377000</v>
      </c>
      <c r="J2547" s="13">
        <v>310000</v>
      </c>
      <c r="K2547" s="13">
        <f>IF(J2547&lt;'Mapa Oficinas'!$I$21,0,IF(J2547&gt;'Mapa Oficinas'!$I$20,0,1))</f>
        <v>1</v>
      </c>
      <c r="L2547" t="s">
        <v>23</v>
      </c>
      <c r="M2547" t="s">
        <v>23</v>
      </c>
      <c r="N2547" t="s">
        <v>3181</v>
      </c>
      <c r="O2547" t="s">
        <v>3182</v>
      </c>
      <c r="P2547" t="s">
        <v>45</v>
      </c>
      <c r="Q2547">
        <v>2</v>
      </c>
      <c r="R2547" t="s">
        <v>110</v>
      </c>
      <c r="S2547" t="s">
        <v>200</v>
      </c>
      <c r="T2547" t="str">
        <f>VLOOKUP(S2547,'Mapa Oficinas'!$H$7:$I$16,2,FALSE)</f>
        <v>Otra Red Captación</v>
      </c>
      <c r="U2547" t="s">
        <v>29</v>
      </c>
      <c r="V2547" t="str">
        <f>VLOOKUP($R2547,'Mapa Oficinas'!$A$7:$C$46,2,FALSE)</f>
        <v>Zona Norte (GBA)</v>
      </c>
      <c r="W2547" t="str">
        <f>VLOOKUP($R2547,'Mapa Oficinas'!$A$7:$C$46,3,FALSE)</f>
        <v>Nordelta</v>
      </c>
    </row>
    <row r="2548" spans="1:23" x14ac:dyDescent="0.2">
      <c r="A2548" s="1">
        <v>45887</v>
      </c>
      <c r="B2548" s="20">
        <f t="shared" si="78"/>
        <v>2025</v>
      </c>
      <c r="C2548" s="20">
        <f t="shared" si="79"/>
        <v>8</v>
      </c>
      <c r="D2548" t="s">
        <v>3626</v>
      </c>
      <c r="E2548" s="49">
        <v>1</v>
      </c>
      <c r="F2548" t="s">
        <v>3627</v>
      </c>
      <c r="G2548" t="s">
        <v>21</v>
      </c>
      <c r="H2548" t="s">
        <v>37</v>
      </c>
      <c r="I2548" s="13">
        <v>319000</v>
      </c>
      <c r="J2548" s="13">
        <v>310000</v>
      </c>
      <c r="K2548" s="13">
        <f>IF(J2548&lt;'Mapa Oficinas'!$I$21,0,IF(J2548&gt;'Mapa Oficinas'!$I$20,0,1))</f>
        <v>1</v>
      </c>
      <c r="L2548" t="s">
        <v>23</v>
      </c>
      <c r="M2548" t="s">
        <v>23</v>
      </c>
      <c r="N2548" t="s">
        <v>3628</v>
      </c>
      <c r="O2548" t="s">
        <v>1010</v>
      </c>
      <c r="P2548" t="s">
        <v>45</v>
      </c>
      <c r="Q2548">
        <v>2</v>
      </c>
      <c r="R2548" t="s">
        <v>46</v>
      </c>
      <c r="S2548" t="s">
        <v>28</v>
      </c>
      <c r="T2548" t="str">
        <f>VLOOKUP(S2548,'Mapa Oficinas'!$H$7:$I$16,2,FALSE)</f>
        <v>CB</v>
      </c>
      <c r="U2548" t="s">
        <v>29</v>
      </c>
      <c r="V2548" t="str">
        <f>VLOOKUP($R2548,'Mapa Oficinas'!$A$7:$C$46,2,FALSE)</f>
        <v>CABA</v>
      </c>
      <c r="W2548" t="str">
        <f>VLOOKUP($R2548,'Mapa Oficinas'!$A$7:$C$46,3,FALSE)</f>
        <v>Palermo</v>
      </c>
    </row>
    <row r="2549" spans="1:23" x14ac:dyDescent="0.2">
      <c r="A2549" s="1">
        <v>46101</v>
      </c>
      <c r="B2549" s="20">
        <f t="shared" si="78"/>
        <v>2026</v>
      </c>
      <c r="C2549" s="20">
        <f t="shared" si="79"/>
        <v>3</v>
      </c>
      <c r="D2549" t="s">
        <v>7372</v>
      </c>
      <c r="E2549" s="49">
        <v>1</v>
      </c>
      <c r="F2549" t="s">
        <v>7373</v>
      </c>
      <c r="G2549" t="s">
        <v>21</v>
      </c>
      <c r="H2549" t="s">
        <v>37</v>
      </c>
      <c r="I2549" s="13">
        <v>348000</v>
      </c>
      <c r="J2549" s="13">
        <v>310000</v>
      </c>
      <c r="K2549" s="13">
        <f>IF(J2549&lt;'Mapa Oficinas'!$I$21,0,IF(J2549&gt;'Mapa Oficinas'!$I$20,0,1))</f>
        <v>1</v>
      </c>
      <c r="L2549" t="s">
        <v>23</v>
      </c>
      <c r="M2549" t="s">
        <v>23</v>
      </c>
      <c r="N2549" t="s">
        <v>7374</v>
      </c>
      <c r="O2549" t="s">
        <v>25</v>
      </c>
      <c r="P2549" t="s">
        <v>34</v>
      </c>
      <c r="Q2549">
        <v>2</v>
      </c>
      <c r="R2549" t="s">
        <v>135</v>
      </c>
      <c r="S2549" t="s">
        <v>28</v>
      </c>
      <c r="T2549" t="str">
        <f>VLOOKUP(S2549,'Mapa Oficinas'!$H$7:$I$16,2,FALSE)</f>
        <v>CB</v>
      </c>
      <c r="U2549" t="s">
        <v>29</v>
      </c>
      <c r="V2549" t="str">
        <f>VLOOKUP($R2549,'Mapa Oficinas'!$A$7:$C$46,2,FALSE)</f>
        <v>CABA</v>
      </c>
      <c r="W2549" t="str">
        <f>VLOOKUP($R2549,'Mapa Oficinas'!$A$7:$C$46,3,FALSE)</f>
        <v>Recoleta</v>
      </c>
    </row>
    <row r="2550" spans="1:23" x14ac:dyDescent="0.2">
      <c r="A2550" s="1">
        <v>45712</v>
      </c>
      <c r="B2550" s="20">
        <f t="shared" si="78"/>
        <v>2025</v>
      </c>
      <c r="C2550" s="20">
        <f t="shared" si="79"/>
        <v>2</v>
      </c>
      <c r="D2550" t="s">
        <v>746</v>
      </c>
      <c r="E2550" s="49">
        <v>1</v>
      </c>
      <c r="F2550" t="s">
        <v>747</v>
      </c>
      <c r="G2550" t="s">
        <v>21</v>
      </c>
      <c r="H2550" t="s">
        <v>100</v>
      </c>
      <c r="I2550" s="13">
        <v>335000</v>
      </c>
      <c r="J2550" s="13">
        <v>315000</v>
      </c>
      <c r="K2550" s="13">
        <f>IF(J2550&lt;'Mapa Oficinas'!$I$21,0,IF(J2550&gt;'Mapa Oficinas'!$I$20,0,1))</f>
        <v>1</v>
      </c>
      <c r="L2550" t="s">
        <v>23</v>
      </c>
      <c r="M2550" t="s">
        <v>23</v>
      </c>
      <c r="N2550" t="s">
        <v>748</v>
      </c>
      <c r="O2550" t="s">
        <v>314</v>
      </c>
      <c r="P2550" t="s">
        <v>34</v>
      </c>
      <c r="Q2550">
        <v>2</v>
      </c>
      <c r="R2550" t="s">
        <v>121</v>
      </c>
      <c r="S2550" t="s">
        <v>79</v>
      </c>
      <c r="T2550" t="str">
        <f>VLOOKUP(S2550,'Mapa Oficinas'!$H$7:$I$16,2,FALSE)</f>
        <v>CB</v>
      </c>
      <c r="U2550" t="s">
        <v>29</v>
      </c>
      <c r="V2550" t="str">
        <f>VLOOKUP($R2550,'Mapa Oficinas'!$A$7:$C$46,2,FALSE)</f>
        <v>Interior - Río Negro</v>
      </c>
      <c r="W2550" t="str">
        <f>VLOOKUP($R2550,'Mapa Oficinas'!$A$7:$C$46,3,FALSE)</f>
        <v>Bariloche</v>
      </c>
    </row>
    <row r="2551" spans="1:23" x14ac:dyDescent="0.2">
      <c r="A2551" s="1">
        <v>45708</v>
      </c>
      <c r="B2551" s="20">
        <f t="shared" si="78"/>
        <v>2025</v>
      </c>
      <c r="C2551" s="20">
        <f t="shared" si="79"/>
        <v>2</v>
      </c>
      <c r="D2551" t="s">
        <v>706</v>
      </c>
      <c r="E2551" s="49">
        <v>1</v>
      </c>
      <c r="F2551" t="s">
        <v>707</v>
      </c>
      <c r="G2551" t="s">
        <v>21</v>
      </c>
      <c r="H2551" t="s">
        <v>37</v>
      </c>
      <c r="I2551" s="13">
        <v>320000</v>
      </c>
      <c r="J2551" s="13">
        <v>315000</v>
      </c>
      <c r="K2551" s="13">
        <f>IF(J2551&lt;'Mapa Oficinas'!$I$21,0,IF(J2551&gt;'Mapa Oficinas'!$I$20,0,1))</f>
        <v>1</v>
      </c>
      <c r="L2551" t="s">
        <v>23</v>
      </c>
      <c r="M2551" t="s">
        <v>23</v>
      </c>
      <c r="N2551" t="s">
        <v>708</v>
      </c>
      <c r="O2551" t="s">
        <v>709</v>
      </c>
      <c r="P2551" t="s">
        <v>34</v>
      </c>
      <c r="Q2551">
        <v>2</v>
      </c>
      <c r="R2551" t="s">
        <v>46</v>
      </c>
      <c r="S2551" t="s">
        <v>200</v>
      </c>
      <c r="T2551" t="str">
        <f>VLOOKUP(S2551,'Mapa Oficinas'!$H$7:$I$16,2,FALSE)</f>
        <v>Otra Red Captación</v>
      </c>
      <c r="U2551" t="s">
        <v>29</v>
      </c>
      <c r="V2551" t="str">
        <f>VLOOKUP($R2551,'Mapa Oficinas'!$A$7:$C$46,2,FALSE)</f>
        <v>CABA</v>
      </c>
      <c r="W2551" t="str">
        <f>VLOOKUP($R2551,'Mapa Oficinas'!$A$7:$C$46,3,FALSE)</f>
        <v>Palermo</v>
      </c>
    </row>
    <row r="2552" spans="1:23" x14ac:dyDescent="0.2">
      <c r="A2552" s="1">
        <v>45743</v>
      </c>
      <c r="B2552" s="20">
        <f t="shared" si="78"/>
        <v>2025</v>
      </c>
      <c r="C2552" s="20">
        <f t="shared" si="79"/>
        <v>3</v>
      </c>
      <c r="D2552" t="s">
        <v>1140</v>
      </c>
      <c r="E2552" s="49">
        <v>1</v>
      </c>
      <c r="F2552" t="s">
        <v>1141</v>
      </c>
      <c r="G2552" t="s">
        <v>21</v>
      </c>
      <c r="H2552" t="s">
        <v>37</v>
      </c>
      <c r="I2552" s="13">
        <v>284200</v>
      </c>
      <c r="J2552" s="13">
        <v>315000</v>
      </c>
      <c r="K2552" s="13">
        <f>IF(J2552&lt;'Mapa Oficinas'!$I$21,0,IF(J2552&gt;'Mapa Oficinas'!$I$20,0,1))</f>
        <v>1</v>
      </c>
      <c r="L2552" t="s">
        <v>23</v>
      </c>
      <c r="M2552" t="s">
        <v>23</v>
      </c>
      <c r="N2552" t="s">
        <v>1142</v>
      </c>
      <c r="O2552" t="s">
        <v>534</v>
      </c>
      <c r="P2552" t="s">
        <v>45</v>
      </c>
      <c r="Q2552">
        <v>2</v>
      </c>
      <c r="R2552" t="s">
        <v>170</v>
      </c>
      <c r="S2552" t="s">
        <v>28</v>
      </c>
      <c r="T2552" t="str">
        <f>VLOOKUP(S2552,'Mapa Oficinas'!$H$7:$I$16,2,FALSE)</f>
        <v>CB</v>
      </c>
      <c r="U2552" t="s">
        <v>29</v>
      </c>
      <c r="V2552" t="str">
        <f>VLOOKUP($R2552,'Mapa Oficinas'!$A$7:$C$46,2,FALSE)</f>
        <v>CABA</v>
      </c>
      <c r="W2552" t="str">
        <f>VLOOKUP($R2552,'Mapa Oficinas'!$A$7:$C$46,3,FALSE)</f>
        <v>Belgrano</v>
      </c>
    </row>
    <row r="2553" spans="1:23" x14ac:dyDescent="0.2">
      <c r="A2553" s="1">
        <v>45880</v>
      </c>
      <c r="B2553" s="20">
        <f t="shared" si="78"/>
        <v>2025</v>
      </c>
      <c r="C2553" s="20">
        <f t="shared" si="79"/>
        <v>8</v>
      </c>
      <c r="D2553" t="s">
        <v>3530</v>
      </c>
      <c r="E2553" s="49">
        <v>1</v>
      </c>
      <c r="F2553" t="s">
        <v>3531</v>
      </c>
      <c r="G2553" t="s">
        <v>21</v>
      </c>
      <c r="H2553" t="s">
        <v>81</v>
      </c>
      <c r="I2553" s="13">
        <v>350000</v>
      </c>
      <c r="J2553" s="13">
        <v>316000</v>
      </c>
      <c r="K2553" s="13">
        <f>IF(J2553&lt;'Mapa Oficinas'!$I$21,0,IF(J2553&gt;'Mapa Oficinas'!$I$20,0,1))</f>
        <v>1</v>
      </c>
      <c r="L2553" t="s">
        <v>23</v>
      </c>
      <c r="M2553" t="s">
        <v>23</v>
      </c>
      <c r="N2553" t="s">
        <v>3532</v>
      </c>
      <c r="O2553" t="s">
        <v>2002</v>
      </c>
      <c r="P2553" t="s">
        <v>34</v>
      </c>
      <c r="Q2553">
        <v>2</v>
      </c>
      <c r="R2553" t="s">
        <v>2003</v>
      </c>
      <c r="S2553" t="s">
        <v>79</v>
      </c>
      <c r="T2553" t="str">
        <f>VLOOKUP(S2553,'Mapa Oficinas'!$H$7:$I$16,2,FALSE)</f>
        <v>CB</v>
      </c>
      <c r="U2553" t="s">
        <v>29</v>
      </c>
      <c r="V2553" t="str">
        <f>VLOOKUP($R2553,'Mapa Oficinas'!$A$7:$C$46,2,FALSE)</f>
        <v>Interior - Mendoza</v>
      </c>
      <c r="W2553" t="str">
        <f>VLOOKUP($R2553,'Mapa Oficinas'!$A$7:$C$46,3,FALSE)</f>
        <v>San Rafael</v>
      </c>
    </row>
    <row r="2554" spans="1:23" x14ac:dyDescent="0.2">
      <c r="A2554" s="1">
        <v>45751</v>
      </c>
      <c r="B2554" s="20">
        <f t="shared" si="78"/>
        <v>2025</v>
      </c>
      <c r="C2554" s="20">
        <f t="shared" si="79"/>
        <v>4</v>
      </c>
      <c r="D2554" t="s">
        <v>1298</v>
      </c>
      <c r="E2554" s="49">
        <v>1</v>
      </c>
      <c r="F2554" t="s">
        <v>1299</v>
      </c>
      <c r="G2554" t="s">
        <v>21</v>
      </c>
      <c r="H2554" t="s">
        <v>76</v>
      </c>
      <c r="I2554" s="13">
        <v>340000</v>
      </c>
      <c r="J2554" s="13">
        <v>318000</v>
      </c>
      <c r="K2554" s="13">
        <f>IF(J2554&lt;'Mapa Oficinas'!$I$21,0,IF(J2554&gt;'Mapa Oficinas'!$I$20,0,1))</f>
        <v>1</v>
      </c>
      <c r="L2554" t="s">
        <v>23</v>
      </c>
      <c r="M2554" t="s">
        <v>23</v>
      </c>
      <c r="N2554" t="s">
        <v>1300</v>
      </c>
      <c r="O2554" t="s">
        <v>1301</v>
      </c>
      <c r="P2554" t="s">
        <v>34</v>
      </c>
      <c r="Q2554">
        <v>2</v>
      </c>
      <c r="R2554" t="s">
        <v>27</v>
      </c>
      <c r="S2554" t="s">
        <v>200</v>
      </c>
      <c r="T2554" t="str">
        <f>VLOOKUP(S2554,'Mapa Oficinas'!$H$7:$I$16,2,FALSE)</f>
        <v>Otra Red Captación</v>
      </c>
      <c r="U2554" t="s">
        <v>29</v>
      </c>
      <c r="V2554" t="str">
        <f>VLOOKUP($R2554,'Mapa Oficinas'!$A$7:$C$46,2,FALSE)</f>
        <v>Zona Norte (GBA)</v>
      </c>
      <c r="W2554" t="str">
        <f>VLOOKUP($R2554,'Mapa Oficinas'!$A$7:$C$46,3,FALSE)</f>
        <v>Tigre</v>
      </c>
    </row>
    <row r="2555" spans="1:23" x14ac:dyDescent="0.2">
      <c r="A2555" s="1">
        <v>45911</v>
      </c>
      <c r="B2555" s="20">
        <f t="shared" si="78"/>
        <v>2025</v>
      </c>
      <c r="C2555" s="20">
        <f t="shared" si="79"/>
        <v>9</v>
      </c>
      <c r="D2555" t="s">
        <v>4093</v>
      </c>
      <c r="E2555" s="49">
        <v>1</v>
      </c>
      <c r="F2555" t="s">
        <v>4094</v>
      </c>
      <c r="G2555" t="s">
        <v>21</v>
      </c>
      <c r="H2555" t="s">
        <v>81</v>
      </c>
      <c r="I2555" s="13">
        <v>330000</v>
      </c>
      <c r="J2555" s="13">
        <v>320000</v>
      </c>
      <c r="K2555" s="13">
        <f>IF(J2555&lt;'Mapa Oficinas'!$I$21,0,IF(J2555&gt;'Mapa Oficinas'!$I$20,0,1))</f>
        <v>1</v>
      </c>
      <c r="L2555" t="s">
        <v>23</v>
      </c>
      <c r="M2555" t="s">
        <v>23</v>
      </c>
      <c r="N2555" t="s">
        <v>4095</v>
      </c>
      <c r="O2555" t="s">
        <v>50</v>
      </c>
      <c r="P2555" t="s">
        <v>45</v>
      </c>
      <c r="Q2555">
        <v>2</v>
      </c>
      <c r="R2555" t="s">
        <v>135</v>
      </c>
      <c r="S2555" t="s">
        <v>79</v>
      </c>
      <c r="T2555" t="str">
        <f>VLOOKUP(S2555,'Mapa Oficinas'!$H$7:$I$16,2,FALSE)</f>
        <v>CB</v>
      </c>
      <c r="U2555" t="s">
        <v>29</v>
      </c>
      <c r="V2555" t="str">
        <f>VLOOKUP($R2555,'Mapa Oficinas'!$A$7:$C$46,2,FALSE)</f>
        <v>CABA</v>
      </c>
      <c r="W2555" t="str">
        <f>VLOOKUP($R2555,'Mapa Oficinas'!$A$7:$C$46,3,FALSE)</f>
        <v>Recoleta</v>
      </c>
    </row>
    <row r="2556" spans="1:23" x14ac:dyDescent="0.2">
      <c r="A2556" s="1">
        <v>45938</v>
      </c>
      <c r="B2556" s="20">
        <f t="shared" si="78"/>
        <v>2025</v>
      </c>
      <c r="C2556" s="20">
        <f t="shared" si="79"/>
        <v>10</v>
      </c>
      <c r="D2556" t="s">
        <v>4602</v>
      </c>
      <c r="E2556" s="49">
        <v>1</v>
      </c>
      <c r="F2556" t="s">
        <v>4603</v>
      </c>
      <c r="G2556" t="s">
        <v>21</v>
      </c>
      <c r="H2556" t="s">
        <v>90</v>
      </c>
      <c r="I2556" s="13">
        <v>350000</v>
      </c>
      <c r="J2556" s="13">
        <v>320000</v>
      </c>
      <c r="K2556" s="13">
        <f>IF(J2556&lt;'Mapa Oficinas'!$I$21,0,IF(J2556&gt;'Mapa Oficinas'!$I$20,0,1))</f>
        <v>1</v>
      </c>
      <c r="L2556" t="s">
        <v>23</v>
      </c>
      <c r="M2556" t="s">
        <v>23</v>
      </c>
      <c r="N2556" t="s">
        <v>4604</v>
      </c>
      <c r="O2556" t="s">
        <v>634</v>
      </c>
      <c r="P2556" t="s">
        <v>34</v>
      </c>
      <c r="Q2556">
        <v>2</v>
      </c>
      <c r="R2556" t="s">
        <v>62</v>
      </c>
      <c r="S2556" t="s">
        <v>79</v>
      </c>
      <c r="T2556" t="str">
        <f>VLOOKUP(S2556,'Mapa Oficinas'!$H$7:$I$16,2,FALSE)</f>
        <v>CB</v>
      </c>
      <c r="U2556" t="s">
        <v>29</v>
      </c>
      <c r="V2556" t="str">
        <f>VLOOKUP($R2556,'Mapa Oficinas'!$A$7:$C$46,2,FALSE)</f>
        <v>CABA</v>
      </c>
      <c r="W2556" t="str">
        <f>VLOOKUP($R2556,'Mapa Oficinas'!$A$7:$C$46,3,FALSE)</f>
        <v>Villa Urquiza</v>
      </c>
    </row>
    <row r="2557" spans="1:23" x14ac:dyDescent="0.2">
      <c r="A2557" s="1">
        <v>45701</v>
      </c>
      <c r="B2557" s="20">
        <f t="shared" si="78"/>
        <v>2025</v>
      </c>
      <c r="C2557" s="20">
        <f t="shared" si="79"/>
        <v>2</v>
      </c>
      <c r="D2557">
        <v>10288</v>
      </c>
      <c r="E2557" s="49">
        <v>1</v>
      </c>
      <c r="F2557" t="s">
        <v>584</v>
      </c>
      <c r="G2557" t="s">
        <v>21</v>
      </c>
      <c r="H2557" t="s">
        <v>37</v>
      </c>
      <c r="I2557" s="13">
        <v>0</v>
      </c>
      <c r="J2557" s="13">
        <v>320000</v>
      </c>
      <c r="K2557" s="13">
        <f>IF(J2557&lt;'Mapa Oficinas'!$I$21,0,IF(J2557&gt;'Mapa Oficinas'!$I$20,0,1))</f>
        <v>1</v>
      </c>
      <c r="L2557" t="s">
        <v>23</v>
      </c>
      <c r="M2557" t="s">
        <v>23</v>
      </c>
      <c r="O2557" t="s">
        <v>190</v>
      </c>
      <c r="P2557" t="s">
        <v>45</v>
      </c>
      <c r="Q2557">
        <v>1</v>
      </c>
      <c r="R2557" t="s">
        <v>67</v>
      </c>
      <c r="S2557" t="s">
        <v>47</v>
      </c>
      <c r="T2557" t="str">
        <f>VLOOKUP(S2557,'Mapa Oficinas'!$H$7:$I$16,2,FALSE)</f>
        <v>Otra Red Búsqueda</v>
      </c>
      <c r="U2557" t="s">
        <v>29</v>
      </c>
      <c r="V2557" t="str">
        <f>VLOOKUP($R2557,'Mapa Oficinas'!$A$7:$C$46,2,FALSE)</f>
        <v>CABA</v>
      </c>
      <c r="W2557" t="str">
        <f>VLOOKUP($R2557,'Mapa Oficinas'!$A$7:$C$46,3,FALSE)</f>
        <v>Barrio Parque</v>
      </c>
    </row>
    <row r="2558" spans="1:23" x14ac:dyDescent="0.2">
      <c r="A2558" s="1">
        <v>46058</v>
      </c>
      <c r="B2558" s="20">
        <f t="shared" si="78"/>
        <v>2026</v>
      </c>
      <c r="C2558" s="20">
        <f t="shared" si="79"/>
        <v>2</v>
      </c>
      <c r="D2558" t="s">
        <v>6562</v>
      </c>
      <c r="E2558" s="49">
        <v>1</v>
      </c>
      <c r="F2558" t="s">
        <v>6563</v>
      </c>
      <c r="G2558" t="s">
        <v>21</v>
      </c>
      <c r="H2558" t="s">
        <v>37</v>
      </c>
      <c r="I2558" s="13">
        <v>320000</v>
      </c>
      <c r="J2558" s="13">
        <v>320000</v>
      </c>
      <c r="K2558" s="13">
        <f>IF(J2558&lt;'Mapa Oficinas'!$I$21,0,IF(J2558&gt;'Mapa Oficinas'!$I$20,0,1))</f>
        <v>1</v>
      </c>
      <c r="L2558" t="s">
        <v>23</v>
      </c>
      <c r="M2558" t="s">
        <v>23</v>
      </c>
      <c r="N2558" t="s">
        <v>6564</v>
      </c>
      <c r="O2558" t="s">
        <v>92</v>
      </c>
      <c r="P2558" t="s">
        <v>26</v>
      </c>
      <c r="Q2558">
        <v>1</v>
      </c>
      <c r="R2558" t="s">
        <v>670</v>
      </c>
      <c r="S2558" t="s">
        <v>47</v>
      </c>
      <c r="T2558" t="str">
        <f>VLOOKUP(S2558,'Mapa Oficinas'!$H$7:$I$16,2,FALSE)</f>
        <v>Otra Red Búsqueda</v>
      </c>
      <c r="U2558" t="s">
        <v>29</v>
      </c>
      <c r="V2558" t="str">
        <f>VLOOKUP($R2558,'Mapa Oficinas'!$A$7:$C$46,2,FALSE)</f>
        <v>CABA</v>
      </c>
      <c r="W2558" t="str">
        <f>VLOOKUP($R2558,'Mapa Oficinas'!$A$7:$C$46,3,FALSE)</f>
        <v>Recoleta</v>
      </c>
    </row>
    <row r="2559" spans="1:23" x14ac:dyDescent="0.2">
      <c r="A2559" s="1">
        <v>46084</v>
      </c>
      <c r="B2559" s="20">
        <f t="shared" si="78"/>
        <v>2026</v>
      </c>
      <c r="C2559" s="20">
        <f t="shared" si="79"/>
        <v>3</v>
      </c>
      <c r="D2559" t="s">
        <v>6957</v>
      </c>
      <c r="E2559" s="49">
        <v>3</v>
      </c>
      <c r="F2559" t="s">
        <v>6958</v>
      </c>
      <c r="G2559" t="s">
        <v>21</v>
      </c>
      <c r="H2559" t="s">
        <v>37</v>
      </c>
      <c r="I2559" s="13">
        <v>350000</v>
      </c>
      <c r="J2559" s="13">
        <v>320000</v>
      </c>
      <c r="K2559" s="13">
        <f>IF(J2559&lt;'Mapa Oficinas'!$I$21,0,IF(J2559&gt;'Mapa Oficinas'!$I$20,0,1))</f>
        <v>1</v>
      </c>
      <c r="L2559" t="s">
        <v>23</v>
      </c>
      <c r="M2559" t="s">
        <v>23</v>
      </c>
      <c r="N2559" t="s">
        <v>6959</v>
      </c>
      <c r="O2559" t="s">
        <v>253</v>
      </c>
      <c r="P2559" t="s">
        <v>14</v>
      </c>
      <c r="Q2559">
        <v>2</v>
      </c>
      <c r="R2559" t="s">
        <v>40</v>
      </c>
      <c r="S2559" t="s">
        <v>241</v>
      </c>
      <c r="T2559" t="str">
        <f>VLOOKUP(S2559,'Mapa Oficinas'!$H$7:$I$16,2,FALSE)</f>
        <v>CB</v>
      </c>
      <c r="U2559" t="s">
        <v>29</v>
      </c>
      <c r="V2559" t="str">
        <f>VLOOKUP($R2559,'Mapa Oficinas'!$A$7:$C$46,2,FALSE)</f>
        <v>CABA</v>
      </c>
      <c r="W2559" t="str">
        <f>VLOOKUP($R2559,'Mapa Oficinas'!$A$7:$C$46,3,FALSE)</f>
        <v>Núñez</v>
      </c>
    </row>
    <row r="2560" spans="1:23" x14ac:dyDescent="0.2">
      <c r="A2560" s="1">
        <v>45856</v>
      </c>
      <c r="B2560" s="20">
        <f t="shared" si="78"/>
        <v>2025</v>
      </c>
      <c r="C2560" s="20">
        <f t="shared" si="79"/>
        <v>7</v>
      </c>
      <c r="D2560" t="s">
        <v>3126</v>
      </c>
      <c r="E2560" s="49">
        <v>1</v>
      </c>
      <c r="F2560" t="s">
        <v>3127</v>
      </c>
      <c r="G2560" t="s">
        <v>21</v>
      </c>
      <c r="H2560" t="s">
        <v>37</v>
      </c>
      <c r="I2560" s="13">
        <v>350000</v>
      </c>
      <c r="J2560" s="13">
        <v>320000</v>
      </c>
      <c r="K2560" s="13">
        <f>IF(J2560&lt;'Mapa Oficinas'!$I$21,0,IF(J2560&gt;'Mapa Oficinas'!$I$20,0,1))</f>
        <v>1</v>
      </c>
      <c r="L2560" t="s">
        <v>23</v>
      </c>
      <c r="M2560" t="s">
        <v>23</v>
      </c>
      <c r="N2560" t="s">
        <v>3127</v>
      </c>
      <c r="O2560" t="s">
        <v>3128</v>
      </c>
      <c r="P2560" t="s">
        <v>34</v>
      </c>
      <c r="Q2560">
        <v>2</v>
      </c>
      <c r="R2560" t="s">
        <v>257</v>
      </c>
      <c r="S2560" t="s">
        <v>28</v>
      </c>
      <c r="T2560" t="str">
        <f>VLOOKUP(S2560,'Mapa Oficinas'!$H$7:$I$16,2,FALSE)</f>
        <v>CB</v>
      </c>
      <c r="U2560" t="s">
        <v>29</v>
      </c>
      <c r="V2560" t="str">
        <f>VLOOKUP($R2560,'Mapa Oficinas'!$A$7:$C$46,2,FALSE)</f>
        <v>Zona Norte (GBA)</v>
      </c>
      <c r="W2560" t="str">
        <f>VLOOKUP($R2560,'Mapa Oficinas'!$A$7:$C$46,3,FALSE)</f>
        <v>Pilar</v>
      </c>
    </row>
    <row r="2561" spans="1:23" x14ac:dyDescent="0.2">
      <c r="A2561" s="1">
        <v>45947</v>
      </c>
      <c r="B2561" s="20">
        <f t="shared" si="78"/>
        <v>2025</v>
      </c>
      <c r="C2561" s="20">
        <f t="shared" si="79"/>
        <v>10</v>
      </c>
      <c r="D2561" t="s">
        <v>4782</v>
      </c>
      <c r="E2561" s="49">
        <v>1</v>
      </c>
      <c r="F2561" t="s">
        <v>4783</v>
      </c>
      <c r="G2561" t="s">
        <v>21</v>
      </c>
      <c r="H2561" t="s">
        <v>37</v>
      </c>
      <c r="I2561" s="13">
        <v>369000</v>
      </c>
      <c r="J2561" s="13">
        <v>320000</v>
      </c>
      <c r="K2561" s="13">
        <f>IF(J2561&lt;'Mapa Oficinas'!$I$21,0,IF(J2561&gt;'Mapa Oficinas'!$I$20,0,1))</f>
        <v>1</v>
      </c>
      <c r="L2561" t="s">
        <v>23</v>
      </c>
      <c r="M2561" t="s">
        <v>23</v>
      </c>
      <c r="N2561" t="s">
        <v>4784</v>
      </c>
      <c r="O2561" t="s">
        <v>50</v>
      </c>
      <c r="P2561" t="s">
        <v>45</v>
      </c>
      <c r="Q2561">
        <v>2</v>
      </c>
      <c r="R2561" t="s">
        <v>67</v>
      </c>
      <c r="S2561" t="s">
        <v>28</v>
      </c>
      <c r="T2561" t="str">
        <f>VLOOKUP(S2561,'Mapa Oficinas'!$H$7:$I$16,2,FALSE)</f>
        <v>CB</v>
      </c>
      <c r="U2561" t="s">
        <v>29</v>
      </c>
      <c r="V2561" t="str">
        <f>VLOOKUP($R2561,'Mapa Oficinas'!$A$7:$C$46,2,FALSE)</f>
        <v>CABA</v>
      </c>
      <c r="W2561" t="str">
        <f>VLOOKUP($R2561,'Mapa Oficinas'!$A$7:$C$46,3,FALSE)</f>
        <v>Barrio Parque</v>
      </c>
    </row>
    <row r="2562" spans="1:23" x14ac:dyDescent="0.2">
      <c r="A2562" s="1">
        <v>46027</v>
      </c>
      <c r="B2562" s="20">
        <f t="shared" ref="B2562:B2625" si="80">YEAR($A2562)</f>
        <v>2026</v>
      </c>
      <c r="C2562" s="20">
        <f t="shared" ref="C2562:C2625" si="81">MONTH($A2562)</f>
        <v>1</v>
      </c>
      <c r="D2562" t="s">
        <v>6095</v>
      </c>
      <c r="E2562" s="49">
        <v>1</v>
      </c>
      <c r="F2562" t="s">
        <v>6096</v>
      </c>
      <c r="G2562" t="s">
        <v>21</v>
      </c>
      <c r="H2562" t="s">
        <v>100</v>
      </c>
      <c r="I2562" s="13">
        <v>340000</v>
      </c>
      <c r="J2562" s="13">
        <v>320000</v>
      </c>
      <c r="K2562" s="13">
        <f>IF(J2562&lt;'Mapa Oficinas'!$I$21,0,IF(J2562&gt;'Mapa Oficinas'!$I$20,0,1))</f>
        <v>1</v>
      </c>
      <c r="L2562" t="s">
        <v>23</v>
      </c>
      <c r="M2562" t="s">
        <v>23</v>
      </c>
      <c r="N2562" t="s">
        <v>3254</v>
      </c>
      <c r="O2562" t="s">
        <v>120</v>
      </c>
      <c r="P2562" t="s">
        <v>34</v>
      </c>
      <c r="Q2562">
        <v>2</v>
      </c>
      <c r="R2562" t="s">
        <v>121</v>
      </c>
      <c r="S2562" t="s">
        <v>28</v>
      </c>
      <c r="T2562" t="str">
        <f>VLOOKUP(S2562,'Mapa Oficinas'!$H$7:$I$16,2,FALSE)</f>
        <v>CB</v>
      </c>
      <c r="U2562" t="s">
        <v>29</v>
      </c>
      <c r="V2562" t="str">
        <f>VLOOKUP($R2562,'Mapa Oficinas'!$A$7:$C$46,2,FALSE)</f>
        <v>Interior - Río Negro</v>
      </c>
      <c r="W2562" t="str">
        <f>VLOOKUP($R2562,'Mapa Oficinas'!$A$7:$C$46,3,FALSE)</f>
        <v>Bariloche</v>
      </c>
    </row>
    <row r="2563" spans="1:23" x14ac:dyDescent="0.2">
      <c r="A2563" s="1">
        <v>45769</v>
      </c>
      <c r="B2563" s="20">
        <f t="shared" si="80"/>
        <v>2025</v>
      </c>
      <c r="C2563" s="20">
        <f t="shared" si="81"/>
        <v>4</v>
      </c>
      <c r="D2563" t="s">
        <v>1549</v>
      </c>
      <c r="E2563" s="49">
        <v>1</v>
      </c>
      <c r="F2563" t="s">
        <v>1550</v>
      </c>
      <c r="G2563" t="s">
        <v>21</v>
      </c>
      <c r="H2563" t="s">
        <v>37</v>
      </c>
      <c r="I2563" s="13">
        <v>340000</v>
      </c>
      <c r="J2563" s="13">
        <v>325000</v>
      </c>
      <c r="K2563" s="13">
        <f>IF(J2563&lt;'Mapa Oficinas'!$I$21,0,IF(J2563&gt;'Mapa Oficinas'!$I$20,0,1))</f>
        <v>1</v>
      </c>
      <c r="L2563" t="s">
        <v>23</v>
      </c>
      <c r="M2563" t="s">
        <v>23</v>
      </c>
      <c r="N2563" t="s">
        <v>1551</v>
      </c>
      <c r="O2563" t="s">
        <v>1552</v>
      </c>
      <c r="P2563" t="s">
        <v>45</v>
      </c>
      <c r="Q2563">
        <v>2</v>
      </c>
      <c r="R2563" t="s">
        <v>67</v>
      </c>
      <c r="S2563" t="s">
        <v>79</v>
      </c>
      <c r="T2563" t="str">
        <f>VLOOKUP(S2563,'Mapa Oficinas'!$H$7:$I$16,2,FALSE)</f>
        <v>CB</v>
      </c>
      <c r="U2563" t="s">
        <v>29</v>
      </c>
      <c r="V2563" t="str">
        <f>VLOOKUP($R2563,'Mapa Oficinas'!$A$7:$C$46,2,FALSE)</f>
        <v>CABA</v>
      </c>
      <c r="W2563" t="str">
        <f>VLOOKUP($R2563,'Mapa Oficinas'!$A$7:$C$46,3,FALSE)</f>
        <v>Barrio Parque</v>
      </c>
    </row>
    <row r="2564" spans="1:23" x14ac:dyDescent="0.2">
      <c r="A2564" s="1">
        <v>45849</v>
      </c>
      <c r="B2564" s="20">
        <f t="shared" si="80"/>
        <v>2025</v>
      </c>
      <c r="C2564" s="20">
        <f t="shared" si="81"/>
        <v>7</v>
      </c>
      <c r="D2564" t="s">
        <v>2992</v>
      </c>
      <c r="E2564" s="49">
        <v>1</v>
      </c>
      <c r="F2564" t="s">
        <v>2993</v>
      </c>
      <c r="G2564" t="s">
        <v>21</v>
      </c>
      <c r="H2564" t="s">
        <v>81</v>
      </c>
      <c r="I2564" s="13">
        <v>330000</v>
      </c>
      <c r="J2564" s="13">
        <v>325000</v>
      </c>
      <c r="K2564" s="13">
        <f>IF(J2564&lt;'Mapa Oficinas'!$I$21,0,IF(J2564&gt;'Mapa Oficinas'!$I$20,0,1))</f>
        <v>1</v>
      </c>
      <c r="L2564" t="s">
        <v>23</v>
      </c>
      <c r="M2564" t="s">
        <v>23</v>
      </c>
      <c r="N2564" t="s">
        <v>2994</v>
      </c>
      <c r="O2564" t="s">
        <v>2995</v>
      </c>
      <c r="P2564" t="s">
        <v>34</v>
      </c>
      <c r="Q2564">
        <v>2</v>
      </c>
      <c r="R2564" t="s">
        <v>482</v>
      </c>
      <c r="S2564" t="s">
        <v>79</v>
      </c>
      <c r="T2564" t="str">
        <f>VLOOKUP(S2564,'Mapa Oficinas'!$H$7:$I$16,2,FALSE)</f>
        <v>CB</v>
      </c>
      <c r="U2564" t="s">
        <v>29</v>
      </c>
      <c r="V2564" t="str">
        <f>VLOOKUP($R2564,'Mapa Oficinas'!$A$7:$C$46,2,FALSE)</f>
        <v>Interior - Jujuy</v>
      </c>
      <c r="W2564" t="str">
        <f>VLOOKUP($R2564,'Mapa Oficinas'!$A$7:$C$46,3,FALSE)</f>
        <v>Capital Jujuy</v>
      </c>
    </row>
    <row r="2565" spans="1:23" x14ac:dyDescent="0.2">
      <c r="A2565" s="1">
        <v>45693</v>
      </c>
      <c r="B2565" s="20">
        <f t="shared" si="80"/>
        <v>2025</v>
      </c>
      <c r="C2565" s="20">
        <f t="shared" si="81"/>
        <v>2</v>
      </c>
      <c r="D2565" t="s">
        <v>500</v>
      </c>
      <c r="E2565" s="49">
        <v>1</v>
      </c>
      <c r="F2565" t="s">
        <v>501</v>
      </c>
      <c r="G2565" t="s">
        <v>21</v>
      </c>
      <c r="H2565" t="s">
        <v>37</v>
      </c>
      <c r="I2565" s="13">
        <v>339000</v>
      </c>
      <c r="J2565" s="13">
        <v>325000</v>
      </c>
      <c r="K2565" s="13">
        <f>IF(J2565&lt;'Mapa Oficinas'!$I$21,0,IF(J2565&gt;'Mapa Oficinas'!$I$20,0,1))</f>
        <v>1</v>
      </c>
      <c r="L2565" t="s">
        <v>23</v>
      </c>
      <c r="M2565" t="s">
        <v>23</v>
      </c>
      <c r="N2565" t="s">
        <v>502</v>
      </c>
      <c r="O2565" t="s">
        <v>162</v>
      </c>
      <c r="P2565" t="s">
        <v>34</v>
      </c>
      <c r="Q2565">
        <v>2</v>
      </c>
      <c r="R2565" t="s">
        <v>46</v>
      </c>
      <c r="S2565" t="s">
        <v>200</v>
      </c>
      <c r="T2565" t="str">
        <f>VLOOKUP(S2565,'Mapa Oficinas'!$H$7:$I$16,2,FALSE)</f>
        <v>Otra Red Captación</v>
      </c>
      <c r="U2565" t="s">
        <v>29</v>
      </c>
      <c r="V2565" t="str">
        <f>VLOOKUP($R2565,'Mapa Oficinas'!$A$7:$C$46,2,FALSE)</f>
        <v>CABA</v>
      </c>
      <c r="W2565" t="str">
        <f>VLOOKUP($R2565,'Mapa Oficinas'!$A$7:$C$46,3,FALSE)</f>
        <v>Palermo</v>
      </c>
    </row>
    <row r="2566" spans="1:23" x14ac:dyDescent="0.2">
      <c r="A2566" s="1">
        <v>46000</v>
      </c>
      <c r="B2566" s="20">
        <f t="shared" si="80"/>
        <v>2025</v>
      </c>
      <c r="C2566" s="20">
        <f t="shared" si="81"/>
        <v>12</v>
      </c>
      <c r="D2566" t="s">
        <v>5665</v>
      </c>
      <c r="E2566" s="49">
        <v>0</v>
      </c>
      <c r="F2566" t="s">
        <v>5666</v>
      </c>
      <c r="G2566" t="s">
        <v>21</v>
      </c>
      <c r="H2566" t="s">
        <v>37</v>
      </c>
      <c r="I2566" s="13">
        <v>340000</v>
      </c>
      <c r="J2566" s="13">
        <v>325000</v>
      </c>
      <c r="K2566" s="13">
        <f>IF(J2566&lt;'Mapa Oficinas'!$I$21,0,IF(J2566&gt;'Mapa Oficinas'!$I$20,0,1))</f>
        <v>1</v>
      </c>
      <c r="L2566" t="s">
        <v>23</v>
      </c>
      <c r="M2566" t="s">
        <v>23</v>
      </c>
      <c r="N2566" t="s">
        <v>5667</v>
      </c>
      <c r="O2566" t="s">
        <v>3011</v>
      </c>
      <c r="P2566" t="s">
        <v>34</v>
      </c>
      <c r="Q2566">
        <v>1</v>
      </c>
      <c r="R2566" t="s">
        <v>151</v>
      </c>
      <c r="S2566" t="s">
        <v>241</v>
      </c>
      <c r="T2566" t="str">
        <f>VLOOKUP(S2566,'Mapa Oficinas'!$H$7:$I$16,2,FALSE)</f>
        <v>CB</v>
      </c>
      <c r="U2566" t="s">
        <v>29</v>
      </c>
      <c r="V2566" t="str">
        <f>VLOOKUP($R2566,'Mapa Oficinas'!$A$7:$C$46,2,FALSE)</f>
        <v>Interior - Mendoza</v>
      </c>
      <c r="W2566" t="str">
        <f>VLOOKUP($R2566,'Mapa Oficinas'!$A$7:$C$46,3,FALSE)</f>
        <v>Capital Mendoza</v>
      </c>
    </row>
    <row r="2567" spans="1:23" x14ac:dyDescent="0.2">
      <c r="A2567" s="1">
        <v>45996</v>
      </c>
      <c r="B2567" s="20">
        <f t="shared" si="80"/>
        <v>2025</v>
      </c>
      <c r="C2567" s="20">
        <f t="shared" si="81"/>
        <v>12</v>
      </c>
      <c r="D2567" t="s">
        <v>5665</v>
      </c>
      <c r="E2567" s="49">
        <v>1</v>
      </c>
      <c r="F2567" t="s">
        <v>5666</v>
      </c>
      <c r="G2567" t="s">
        <v>21</v>
      </c>
      <c r="H2567" t="s">
        <v>76</v>
      </c>
      <c r="I2567" s="13">
        <v>340000</v>
      </c>
      <c r="J2567" s="13">
        <v>325000</v>
      </c>
      <c r="K2567" s="13">
        <f>IF(J2567&lt;'Mapa Oficinas'!$I$21,0,IF(J2567&gt;'Mapa Oficinas'!$I$20,0,1))</f>
        <v>1</v>
      </c>
      <c r="L2567" t="s">
        <v>23</v>
      </c>
      <c r="M2567" t="s">
        <v>23</v>
      </c>
      <c r="N2567" t="s">
        <v>5667</v>
      </c>
      <c r="O2567" t="s">
        <v>3011</v>
      </c>
      <c r="P2567" t="s">
        <v>34</v>
      </c>
      <c r="Q2567">
        <v>2</v>
      </c>
      <c r="R2567" t="s">
        <v>84</v>
      </c>
      <c r="S2567" t="s">
        <v>241</v>
      </c>
      <c r="T2567" t="str">
        <f>VLOOKUP(S2567,'Mapa Oficinas'!$H$7:$I$16,2,FALSE)</f>
        <v>CB</v>
      </c>
      <c r="U2567" t="s">
        <v>29</v>
      </c>
      <c r="V2567" t="str">
        <f>VLOOKUP($R2567,'Mapa Oficinas'!$A$7:$C$46,2,FALSE)</f>
        <v>Interior - Neuquén</v>
      </c>
      <c r="W2567" t="str">
        <f>VLOOKUP($R2567,'Mapa Oficinas'!$A$7:$C$46,3,FALSE)</f>
        <v>Villa La Angostura</v>
      </c>
    </row>
    <row r="2568" spans="1:23" x14ac:dyDescent="0.2">
      <c r="A2568" s="1">
        <v>46008</v>
      </c>
      <c r="B2568" s="20">
        <f t="shared" si="80"/>
        <v>2025</v>
      </c>
      <c r="C2568" s="20">
        <f t="shared" si="81"/>
        <v>12</v>
      </c>
      <c r="D2568" t="s">
        <v>5857</v>
      </c>
      <c r="E2568" s="49">
        <v>1</v>
      </c>
      <c r="F2568" t="s">
        <v>5858</v>
      </c>
      <c r="G2568" t="s">
        <v>21</v>
      </c>
      <c r="H2568" t="s">
        <v>37</v>
      </c>
      <c r="I2568" s="13">
        <v>334000</v>
      </c>
      <c r="J2568" s="13">
        <v>325000</v>
      </c>
      <c r="K2568" s="13">
        <f>IF(J2568&lt;'Mapa Oficinas'!$I$21,0,IF(J2568&gt;'Mapa Oficinas'!$I$20,0,1))</f>
        <v>1</v>
      </c>
      <c r="L2568" t="s">
        <v>23</v>
      </c>
      <c r="M2568" t="s">
        <v>23</v>
      </c>
      <c r="N2568" t="s">
        <v>5859</v>
      </c>
      <c r="O2568" t="s">
        <v>2504</v>
      </c>
      <c r="P2568" t="s">
        <v>34</v>
      </c>
      <c r="Q2568">
        <v>2</v>
      </c>
      <c r="R2568" t="s">
        <v>670</v>
      </c>
      <c r="S2568" t="s">
        <v>28</v>
      </c>
      <c r="T2568" t="str">
        <f>VLOOKUP(S2568,'Mapa Oficinas'!$H$7:$I$16,2,FALSE)</f>
        <v>CB</v>
      </c>
      <c r="U2568" t="s">
        <v>29</v>
      </c>
      <c r="V2568" t="str">
        <f>VLOOKUP($R2568,'Mapa Oficinas'!$A$7:$C$46,2,FALSE)</f>
        <v>CABA</v>
      </c>
      <c r="W2568" t="str">
        <f>VLOOKUP($R2568,'Mapa Oficinas'!$A$7:$C$46,3,FALSE)</f>
        <v>Recoleta</v>
      </c>
    </row>
    <row r="2569" spans="1:23" x14ac:dyDescent="0.2">
      <c r="A2569" s="1">
        <v>46014</v>
      </c>
      <c r="B2569" s="20">
        <f t="shared" si="80"/>
        <v>2025</v>
      </c>
      <c r="C2569" s="20">
        <f t="shared" si="81"/>
        <v>12</v>
      </c>
      <c r="D2569" t="s">
        <v>5999</v>
      </c>
      <c r="E2569" s="49">
        <v>1</v>
      </c>
      <c r="F2569" t="s">
        <v>6000</v>
      </c>
      <c r="G2569" t="s">
        <v>21</v>
      </c>
      <c r="H2569" t="s">
        <v>37</v>
      </c>
      <c r="I2569" s="13">
        <v>325000</v>
      </c>
      <c r="J2569" s="13">
        <v>325000</v>
      </c>
      <c r="K2569" s="13">
        <f>IF(J2569&lt;'Mapa Oficinas'!$I$21,0,IF(J2569&gt;'Mapa Oficinas'!$I$20,0,1))</f>
        <v>1</v>
      </c>
      <c r="L2569" t="s">
        <v>23</v>
      </c>
      <c r="M2569" t="s">
        <v>23</v>
      </c>
      <c r="N2569" t="s">
        <v>6001</v>
      </c>
      <c r="O2569" t="s">
        <v>822</v>
      </c>
      <c r="P2569" t="s">
        <v>34</v>
      </c>
      <c r="Q2569">
        <v>2</v>
      </c>
      <c r="R2569" t="s">
        <v>67</v>
      </c>
      <c r="S2569" t="s">
        <v>28</v>
      </c>
      <c r="T2569" t="str">
        <f>VLOOKUP(S2569,'Mapa Oficinas'!$H$7:$I$16,2,FALSE)</f>
        <v>CB</v>
      </c>
      <c r="U2569" t="s">
        <v>29</v>
      </c>
      <c r="V2569" t="str">
        <f>VLOOKUP($R2569,'Mapa Oficinas'!$A$7:$C$46,2,FALSE)</f>
        <v>CABA</v>
      </c>
      <c r="W2569" t="str">
        <f>VLOOKUP($R2569,'Mapa Oficinas'!$A$7:$C$46,3,FALSE)</f>
        <v>Barrio Parque</v>
      </c>
    </row>
    <row r="2570" spans="1:23" x14ac:dyDescent="0.2">
      <c r="A2570" s="1">
        <v>45908</v>
      </c>
      <c r="B2570" s="20">
        <f t="shared" si="80"/>
        <v>2025</v>
      </c>
      <c r="C2570" s="20">
        <f t="shared" si="81"/>
        <v>9</v>
      </c>
      <c r="D2570" t="s">
        <v>4036</v>
      </c>
      <c r="E2570" s="49">
        <v>1</v>
      </c>
      <c r="F2570" t="s">
        <v>4037</v>
      </c>
      <c r="G2570" t="s">
        <v>21</v>
      </c>
      <c r="H2570" t="s">
        <v>37</v>
      </c>
      <c r="I2570" s="13">
        <v>252000</v>
      </c>
      <c r="J2570" s="13">
        <v>327600</v>
      </c>
      <c r="K2570" s="13">
        <f>IF(J2570&lt;'Mapa Oficinas'!$I$21,0,IF(J2570&gt;'Mapa Oficinas'!$I$20,0,1))</f>
        <v>1</v>
      </c>
      <c r="L2570" t="s">
        <v>23</v>
      </c>
      <c r="M2570" t="s">
        <v>23</v>
      </c>
      <c r="N2570" t="s">
        <v>4037</v>
      </c>
      <c r="O2570" t="s">
        <v>4038</v>
      </c>
      <c r="P2570" t="s">
        <v>26</v>
      </c>
      <c r="Q2570">
        <v>2</v>
      </c>
      <c r="R2570" t="s">
        <v>110</v>
      </c>
      <c r="S2570" t="s">
        <v>79</v>
      </c>
      <c r="T2570" t="str">
        <f>VLOOKUP(S2570,'Mapa Oficinas'!$H$7:$I$16,2,FALSE)</f>
        <v>CB</v>
      </c>
      <c r="U2570" t="s">
        <v>29</v>
      </c>
      <c r="V2570" t="str">
        <f>VLOOKUP($R2570,'Mapa Oficinas'!$A$7:$C$46,2,FALSE)</f>
        <v>Zona Norte (GBA)</v>
      </c>
      <c r="W2570" t="str">
        <f>VLOOKUP($R2570,'Mapa Oficinas'!$A$7:$C$46,3,FALSE)</f>
        <v>Nordelta</v>
      </c>
    </row>
    <row r="2571" spans="1:23" x14ac:dyDescent="0.2">
      <c r="A2571" s="1">
        <v>46099</v>
      </c>
      <c r="B2571" s="20">
        <f t="shared" si="80"/>
        <v>2026</v>
      </c>
      <c r="C2571" s="20">
        <f t="shared" si="81"/>
        <v>3</v>
      </c>
      <c r="D2571" t="s">
        <v>7290</v>
      </c>
      <c r="E2571" s="49">
        <v>1</v>
      </c>
      <c r="F2571" t="s">
        <v>7290</v>
      </c>
      <c r="G2571" t="s">
        <v>21</v>
      </c>
      <c r="H2571" t="s">
        <v>37</v>
      </c>
      <c r="I2571" s="13">
        <v>355000</v>
      </c>
      <c r="J2571" s="13">
        <v>330000</v>
      </c>
      <c r="K2571" s="13">
        <f>IF(J2571&lt;'Mapa Oficinas'!$I$21,0,IF(J2571&gt;'Mapa Oficinas'!$I$20,0,1))</f>
        <v>1</v>
      </c>
      <c r="L2571" t="s">
        <v>23</v>
      </c>
      <c r="M2571" t="s">
        <v>23</v>
      </c>
      <c r="N2571" t="s">
        <v>7290</v>
      </c>
      <c r="O2571" t="s">
        <v>92</v>
      </c>
      <c r="P2571" t="s">
        <v>45</v>
      </c>
      <c r="Q2571">
        <v>1</v>
      </c>
      <c r="R2571" t="s">
        <v>56</v>
      </c>
      <c r="S2571" t="s">
        <v>122</v>
      </c>
      <c r="T2571" t="str">
        <f>VLOOKUP(S2571,'Mapa Oficinas'!$H$7:$I$16,2,FALSE)</f>
        <v>Otra Red Búsqueda</v>
      </c>
      <c r="U2571" t="s">
        <v>29</v>
      </c>
      <c r="V2571" t="str">
        <f>VLOOKUP($R2571,'Mapa Oficinas'!$A$7:$C$46,2,FALSE)</f>
        <v>Zona Norte (GBA)</v>
      </c>
      <c r="W2571" t="str">
        <f>VLOOKUP($R2571,'Mapa Oficinas'!$A$7:$C$46,3,FALSE)</f>
        <v>Vicente López</v>
      </c>
    </row>
    <row r="2572" spans="1:23" x14ac:dyDescent="0.2">
      <c r="A2572" s="1">
        <v>45792</v>
      </c>
      <c r="B2572" s="20">
        <f t="shared" si="80"/>
        <v>2025</v>
      </c>
      <c r="C2572" s="20">
        <f t="shared" si="81"/>
        <v>5</v>
      </c>
      <c r="D2572" t="s">
        <v>1975</v>
      </c>
      <c r="E2572" s="49">
        <v>1</v>
      </c>
      <c r="F2572" t="s">
        <v>1976</v>
      </c>
      <c r="G2572" t="s">
        <v>21</v>
      </c>
      <c r="H2572" t="s">
        <v>37</v>
      </c>
      <c r="I2572" s="13">
        <v>330000</v>
      </c>
      <c r="J2572" s="13">
        <v>330000</v>
      </c>
      <c r="K2572" s="13">
        <f>IF(J2572&lt;'Mapa Oficinas'!$I$21,0,IF(J2572&gt;'Mapa Oficinas'!$I$20,0,1))</f>
        <v>1</v>
      </c>
      <c r="L2572" t="s">
        <v>23</v>
      </c>
      <c r="M2572" t="s">
        <v>23</v>
      </c>
      <c r="N2572" t="s">
        <v>1977</v>
      </c>
      <c r="O2572" t="s">
        <v>1343</v>
      </c>
      <c r="P2572" t="s">
        <v>45</v>
      </c>
      <c r="Q2572">
        <v>2</v>
      </c>
      <c r="R2572" t="s">
        <v>110</v>
      </c>
      <c r="S2572" t="s">
        <v>79</v>
      </c>
      <c r="T2572" t="str">
        <f>VLOOKUP(S2572,'Mapa Oficinas'!$H$7:$I$16,2,FALSE)</f>
        <v>CB</v>
      </c>
      <c r="U2572" t="s">
        <v>29</v>
      </c>
      <c r="V2572" t="str">
        <f>VLOOKUP($R2572,'Mapa Oficinas'!$A$7:$C$46,2,FALSE)</f>
        <v>Zona Norte (GBA)</v>
      </c>
      <c r="W2572" t="str">
        <f>VLOOKUP($R2572,'Mapa Oficinas'!$A$7:$C$46,3,FALSE)</f>
        <v>Nordelta</v>
      </c>
    </row>
    <row r="2573" spans="1:23" x14ac:dyDescent="0.2">
      <c r="A2573" s="1">
        <v>45860</v>
      </c>
      <c r="B2573" s="20">
        <f t="shared" si="80"/>
        <v>2025</v>
      </c>
      <c r="C2573" s="20">
        <f t="shared" si="81"/>
        <v>7</v>
      </c>
      <c r="D2573" t="s">
        <v>3160</v>
      </c>
      <c r="E2573" s="49">
        <v>1</v>
      </c>
      <c r="F2573" t="s">
        <v>3161</v>
      </c>
      <c r="G2573" t="s">
        <v>21</v>
      </c>
      <c r="H2573" t="s">
        <v>37</v>
      </c>
      <c r="I2573" s="13">
        <v>430000</v>
      </c>
      <c r="J2573" s="13">
        <v>330000</v>
      </c>
      <c r="K2573" s="13">
        <f>IF(J2573&lt;'Mapa Oficinas'!$I$21,0,IF(J2573&gt;'Mapa Oficinas'!$I$20,0,1))</f>
        <v>1</v>
      </c>
      <c r="L2573" t="s">
        <v>23</v>
      </c>
      <c r="M2573" t="s">
        <v>23</v>
      </c>
      <c r="N2573" t="s">
        <v>3162</v>
      </c>
      <c r="O2573" t="s">
        <v>3163</v>
      </c>
      <c r="P2573" t="s">
        <v>34</v>
      </c>
      <c r="Q2573">
        <v>2</v>
      </c>
      <c r="R2573" t="s">
        <v>110</v>
      </c>
      <c r="S2573" t="s">
        <v>79</v>
      </c>
      <c r="T2573" t="str">
        <f>VLOOKUP(S2573,'Mapa Oficinas'!$H$7:$I$16,2,FALSE)</f>
        <v>CB</v>
      </c>
      <c r="U2573" t="s">
        <v>29</v>
      </c>
      <c r="V2573" t="str">
        <f>VLOOKUP($R2573,'Mapa Oficinas'!$A$7:$C$46,2,FALSE)</f>
        <v>Zona Norte (GBA)</v>
      </c>
      <c r="W2573" t="str">
        <f>VLOOKUP($R2573,'Mapa Oficinas'!$A$7:$C$46,3,FALSE)</f>
        <v>Nordelta</v>
      </c>
    </row>
    <row r="2574" spans="1:23" x14ac:dyDescent="0.2">
      <c r="A2574" s="1">
        <v>46108</v>
      </c>
      <c r="B2574" s="20">
        <f t="shared" si="80"/>
        <v>2026</v>
      </c>
      <c r="C2574" s="20">
        <f t="shared" si="81"/>
        <v>3</v>
      </c>
      <c r="D2574" t="s">
        <v>7491</v>
      </c>
      <c r="E2574" s="49">
        <v>1</v>
      </c>
      <c r="F2574" t="s">
        <v>7492</v>
      </c>
      <c r="G2574" t="s">
        <v>21</v>
      </c>
      <c r="H2574" t="s">
        <v>37</v>
      </c>
      <c r="I2574" s="13">
        <v>330000</v>
      </c>
      <c r="J2574" s="13">
        <v>330000</v>
      </c>
      <c r="K2574" s="13">
        <f>IF(J2574&lt;'Mapa Oficinas'!$I$21,0,IF(J2574&gt;'Mapa Oficinas'!$I$20,0,1))</f>
        <v>1</v>
      </c>
      <c r="L2574" t="s">
        <v>23</v>
      </c>
      <c r="M2574" t="s">
        <v>23</v>
      </c>
      <c r="N2574" t="s">
        <v>7492</v>
      </c>
      <c r="O2574" t="s">
        <v>2104</v>
      </c>
      <c r="P2574" t="s">
        <v>45</v>
      </c>
      <c r="Q2574">
        <v>1</v>
      </c>
      <c r="R2574" t="s">
        <v>46</v>
      </c>
      <c r="S2574" t="s">
        <v>47</v>
      </c>
      <c r="T2574" t="str">
        <f>VLOOKUP(S2574,'Mapa Oficinas'!$H$7:$I$16,2,FALSE)</f>
        <v>Otra Red Búsqueda</v>
      </c>
      <c r="U2574" t="s">
        <v>29</v>
      </c>
      <c r="V2574" t="str">
        <f>VLOOKUP($R2574,'Mapa Oficinas'!$A$7:$C$46,2,FALSE)</f>
        <v>CABA</v>
      </c>
      <c r="W2574" t="str">
        <f>VLOOKUP($R2574,'Mapa Oficinas'!$A$7:$C$46,3,FALSE)</f>
        <v>Palermo</v>
      </c>
    </row>
    <row r="2575" spans="1:23" x14ac:dyDescent="0.2">
      <c r="A2575" s="1">
        <v>45762</v>
      </c>
      <c r="B2575" s="20">
        <f t="shared" si="80"/>
        <v>2025</v>
      </c>
      <c r="C2575" s="20">
        <f t="shared" si="81"/>
        <v>4</v>
      </c>
      <c r="D2575" t="s">
        <v>1456</v>
      </c>
      <c r="E2575" s="49">
        <v>1</v>
      </c>
      <c r="F2575" t="s">
        <v>1457</v>
      </c>
      <c r="G2575" t="s">
        <v>21</v>
      </c>
      <c r="H2575" t="s">
        <v>37</v>
      </c>
      <c r="I2575" s="13">
        <v>395000</v>
      </c>
      <c r="J2575" s="13">
        <v>330000</v>
      </c>
      <c r="K2575" s="13">
        <f>IF(J2575&lt;'Mapa Oficinas'!$I$21,0,IF(J2575&gt;'Mapa Oficinas'!$I$20,0,1))</f>
        <v>1</v>
      </c>
      <c r="L2575" t="s">
        <v>23</v>
      </c>
      <c r="M2575" t="s">
        <v>23</v>
      </c>
      <c r="N2575" t="s">
        <v>1458</v>
      </c>
      <c r="O2575" t="s">
        <v>1459</v>
      </c>
      <c r="P2575" t="s">
        <v>34</v>
      </c>
      <c r="Q2575">
        <v>2</v>
      </c>
      <c r="R2575" t="s">
        <v>40</v>
      </c>
      <c r="S2575" t="s">
        <v>28</v>
      </c>
      <c r="T2575" t="str">
        <f>VLOOKUP(S2575,'Mapa Oficinas'!$H$7:$I$16,2,FALSE)</f>
        <v>CB</v>
      </c>
      <c r="U2575" t="s">
        <v>29</v>
      </c>
      <c r="V2575" t="str">
        <f>VLOOKUP($R2575,'Mapa Oficinas'!$A$7:$C$46,2,FALSE)</f>
        <v>CABA</v>
      </c>
      <c r="W2575" t="str">
        <f>VLOOKUP($R2575,'Mapa Oficinas'!$A$7:$C$46,3,FALSE)</f>
        <v>Núñez</v>
      </c>
    </row>
    <row r="2576" spans="1:23" x14ac:dyDescent="0.2">
      <c r="A2576" s="1">
        <v>45784</v>
      </c>
      <c r="B2576" s="20">
        <f t="shared" si="80"/>
        <v>2025</v>
      </c>
      <c r="C2576" s="20">
        <f t="shared" si="81"/>
        <v>5</v>
      </c>
      <c r="D2576" t="s">
        <v>1816</v>
      </c>
      <c r="E2576" s="49">
        <v>1</v>
      </c>
      <c r="F2576" t="s">
        <v>1817</v>
      </c>
      <c r="G2576" t="s">
        <v>21</v>
      </c>
      <c r="H2576" t="s">
        <v>37</v>
      </c>
      <c r="I2576" s="13">
        <v>345000</v>
      </c>
      <c r="J2576" s="13">
        <v>330000</v>
      </c>
      <c r="K2576" s="13">
        <f>IF(J2576&lt;'Mapa Oficinas'!$I$21,0,IF(J2576&gt;'Mapa Oficinas'!$I$20,0,1))</f>
        <v>1</v>
      </c>
      <c r="L2576" t="s">
        <v>23</v>
      </c>
      <c r="M2576" t="s">
        <v>23</v>
      </c>
      <c r="N2576" t="s">
        <v>1818</v>
      </c>
      <c r="O2576" t="s">
        <v>265</v>
      </c>
      <c r="P2576" t="s">
        <v>45</v>
      </c>
      <c r="Q2576">
        <v>2</v>
      </c>
      <c r="R2576" t="s">
        <v>46</v>
      </c>
      <c r="S2576" t="s">
        <v>28</v>
      </c>
      <c r="T2576" t="str">
        <f>VLOOKUP(S2576,'Mapa Oficinas'!$H$7:$I$16,2,FALSE)</f>
        <v>CB</v>
      </c>
      <c r="U2576" t="s">
        <v>29</v>
      </c>
      <c r="V2576" t="str">
        <f>VLOOKUP($R2576,'Mapa Oficinas'!$A$7:$C$46,2,FALSE)</f>
        <v>CABA</v>
      </c>
      <c r="W2576" t="str">
        <f>VLOOKUP($R2576,'Mapa Oficinas'!$A$7:$C$46,3,FALSE)</f>
        <v>Palermo</v>
      </c>
    </row>
    <row r="2577" spans="1:23" x14ac:dyDescent="0.2">
      <c r="A2577" s="1">
        <v>45791</v>
      </c>
      <c r="B2577" s="20">
        <f t="shared" si="80"/>
        <v>2025</v>
      </c>
      <c r="C2577" s="20">
        <f t="shared" si="81"/>
        <v>5</v>
      </c>
      <c r="D2577" t="s">
        <v>1946</v>
      </c>
      <c r="E2577" s="49">
        <v>1</v>
      </c>
      <c r="F2577" t="s">
        <v>1947</v>
      </c>
      <c r="G2577" t="s">
        <v>21</v>
      </c>
      <c r="H2577" t="s">
        <v>37</v>
      </c>
      <c r="I2577" s="13">
        <v>325000</v>
      </c>
      <c r="J2577" s="13">
        <v>330000</v>
      </c>
      <c r="K2577" s="13">
        <f>IF(J2577&lt;'Mapa Oficinas'!$I$21,0,IF(J2577&gt;'Mapa Oficinas'!$I$20,0,1))</f>
        <v>1</v>
      </c>
      <c r="L2577" t="s">
        <v>23</v>
      </c>
      <c r="M2577" t="s">
        <v>23</v>
      </c>
      <c r="N2577" t="s">
        <v>1948</v>
      </c>
      <c r="O2577" t="s">
        <v>1180</v>
      </c>
      <c r="P2577" t="s">
        <v>45</v>
      </c>
      <c r="Q2577">
        <v>2</v>
      </c>
      <c r="R2577" t="s">
        <v>46</v>
      </c>
      <c r="S2577" t="s">
        <v>28</v>
      </c>
      <c r="T2577" t="str">
        <f>VLOOKUP(S2577,'Mapa Oficinas'!$H$7:$I$16,2,FALSE)</f>
        <v>CB</v>
      </c>
      <c r="U2577" t="s">
        <v>29</v>
      </c>
      <c r="V2577" t="str">
        <f>VLOOKUP($R2577,'Mapa Oficinas'!$A$7:$C$46,2,FALSE)</f>
        <v>CABA</v>
      </c>
      <c r="W2577" t="str">
        <f>VLOOKUP($R2577,'Mapa Oficinas'!$A$7:$C$46,3,FALSE)</f>
        <v>Palermo</v>
      </c>
    </row>
    <row r="2578" spans="1:23" x14ac:dyDescent="0.2">
      <c r="A2578" s="1">
        <v>46100</v>
      </c>
      <c r="B2578" s="20">
        <f t="shared" si="80"/>
        <v>2026</v>
      </c>
      <c r="C2578" s="20">
        <f t="shared" si="81"/>
        <v>3</v>
      </c>
      <c r="D2578" t="s">
        <v>7335</v>
      </c>
      <c r="E2578" s="49">
        <v>1</v>
      </c>
      <c r="F2578" t="s">
        <v>7336</v>
      </c>
      <c r="G2578" t="s">
        <v>21</v>
      </c>
      <c r="H2578" t="s">
        <v>37</v>
      </c>
      <c r="I2578" s="13">
        <v>329000</v>
      </c>
      <c r="J2578" s="13">
        <v>330000</v>
      </c>
      <c r="K2578" s="13">
        <f>IF(J2578&lt;'Mapa Oficinas'!$I$21,0,IF(J2578&gt;'Mapa Oficinas'!$I$20,0,1))</f>
        <v>1</v>
      </c>
      <c r="L2578" t="s">
        <v>23</v>
      </c>
      <c r="M2578" t="s">
        <v>23</v>
      </c>
      <c r="N2578" t="s">
        <v>7337</v>
      </c>
      <c r="O2578" t="s">
        <v>7338</v>
      </c>
      <c r="P2578" t="s">
        <v>45</v>
      </c>
      <c r="Q2578">
        <v>2</v>
      </c>
      <c r="R2578" t="s">
        <v>4688</v>
      </c>
      <c r="S2578" t="s">
        <v>28</v>
      </c>
      <c r="T2578" t="str">
        <f>VLOOKUP(S2578,'Mapa Oficinas'!$H$7:$I$16,2,FALSE)</f>
        <v>CB</v>
      </c>
      <c r="U2578" t="s">
        <v>29</v>
      </c>
      <c r="V2578" t="str">
        <f>VLOOKUP($R2578,'Mapa Oficinas'!$A$7:$C$46,2,FALSE)</f>
        <v>Zona Norte (GBA)</v>
      </c>
      <c r="W2578" t="str">
        <f>VLOOKUP($R2578,'Mapa Oficinas'!$A$7:$C$46,3,FALSE)</f>
        <v>San Isidro</v>
      </c>
    </row>
    <row r="2579" spans="1:23" x14ac:dyDescent="0.2">
      <c r="A2579" s="1">
        <v>45974</v>
      </c>
      <c r="B2579" s="20">
        <f t="shared" si="80"/>
        <v>2025</v>
      </c>
      <c r="C2579" s="20">
        <f t="shared" si="81"/>
        <v>11</v>
      </c>
      <c r="D2579" t="s">
        <v>5218</v>
      </c>
      <c r="E2579" s="49">
        <v>1</v>
      </c>
      <c r="F2579" t="s">
        <v>5219</v>
      </c>
      <c r="G2579" t="s">
        <v>21</v>
      </c>
      <c r="H2579" t="s">
        <v>37</v>
      </c>
      <c r="I2579" s="13">
        <v>350000</v>
      </c>
      <c r="J2579" s="13">
        <v>335000</v>
      </c>
      <c r="K2579" s="13">
        <f>IF(J2579&lt;'Mapa Oficinas'!$I$21,0,IF(J2579&gt;'Mapa Oficinas'!$I$20,0,1))</f>
        <v>1</v>
      </c>
      <c r="L2579" t="s">
        <v>23</v>
      </c>
      <c r="M2579" t="s">
        <v>23</v>
      </c>
      <c r="N2579" t="s">
        <v>2178</v>
      </c>
      <c r="O2579" t="s">
        <v>5220</v>
      </c>
      <c r="P2579" t="s">
        <v>34</v>
      </c>
      <c r="Q2579">
        <v>1</v>
      </c>
      <c r="R2579" t="s">
        <v>429</v>
      </c>
      <c r="S2579" t="s">
        <v>152</v>
      </c>
      <c r="T2579" t="str">
        <f>VLOOKUP(S2579,'Mapa Oficinas'!$H$7:$I$16,2,FALSE)</f>
        <v>Otra Red Captación</v>
      </c>
      <c r="U2579" t="s">
        <v>29</v>
      </c>
      <c r="V2579" t="str">
        <f>VLOOKUP($R2579,'Mapa Oficinas'!$A$7:$C$46,2,FALSE)</f>
        <v>Zona Oeste (GBA)</v>
      </c>
      <c r="W2579" t="str">
        <f>VLOOKUP($R2579,'Mapa Oficinas'!$A$7:$C$46,3,FALSE)</f>
        <v>Parque Leloir</v>
      </c>
    </row>
    <row r="2580" spans="1:23" x14ac:dyDescent="0.2">
      <c r="A2580" s="1">
        <v>45686</v>
      </c>
      <c r="B2580" s="20">
        <f t="shared" si="80"/>
        <v>2025</v>
      </c>
      <c r="C2580" s="20">
        <f t="shared" si="81"/>
        <v>1</v>
      </c>
      <c r="D2580" t="s">
        <v>410</v>
      </c>
      <c r="E2580" s="49">
        <v>1</v>
      </c>
      <c r="F2580" t="s">
        <v>411</v>
      </c>
      <c r="G2580" t="s">
        <v>21</v>
      </c>
      <c r="H2580" t="s">
        <v>76</v>
      </c>
      <c r="I2580" s="13">
        <v>360000</v>
      </c>
      <c r="J2580" s="13">
        <v>335000</v>
      </c>
      <c r="K2580" s="13">
        <f>IF(J2580&lt;'Mapa Oficinas'!$I$21,0,IF(J2580&gt;'Mapa Oficinas'!$I$20,0,1))</f>
        <v>1</v>
      </c>
      <c r="L2580" t="s">
        <v>23</v>
      </c>
      <c r="M2580" t="s">
        <v>23</v>
      </c>
      <c r="N2580" t="s">
        <v>412</v>
      </c>
      <c r="O2580" t="s">
        <v>413</v>
      </c>
      <c r="P2580" t="s">
        <v>45</v>
      </c>
      <c r="Q2580">
        <v>2</v>
      </c>
      <c r="R2580" t="s">
        <v>27</v>
      </c>
      <c r="S2580" t="s">
        <v>200</v>
      </c>
      <c r="T2580" t="str">
        <f>VLOOKUP(S2580,'Mapa Oficinas'!$H$7:$I$16,2,FALSE)</f>
        <v>Otra Red Captación</v>
      </c>
      <c r="U2580" t="s">
        <v>29</v>
      </c>
      <c r="V2580" t="str">
        <f>VLOOKUP($R2580,'Mapa Oficinas'!$A$7:$C$46,2,FALSE)</f>
        <v>Zona Norte (GBA)</v>
      </c>
      <c r="W2580" t="str">
        <f>VLOOKUP($R2580,'Mapa Oficinas'!$A$7:$C$46,3,FALSE)</f>
        <v>Tigre</v>
      </c>
    </row>
    <row r="2581" spans="1:23" x14ac:dyDescent="0.2">
      <c r="A2581" s="1">
        <v>45769</v>
      </c>
      <c r="B2581" s="20">
        <f t="shared" si="80"/>
        <v>2025</v>
      </c>
      <c r="C2581" s="20">
        <f t="shared" si="81"/>
        <v>4</v>
      </c>
      <c r="D2581" t="s">
        <v>1553</v>
      </c>
      <c r="E2581" s="49">
        <v>1</v>
      </c>
      <c r="F2581" t="s">
        <v>1554</v>
      </c>
      <c r="G2581" t="s">
        <v>21</v>
      </c>
      <c r="H2581" t="s">
        <v>37</v>
      </c>
      <c r="I2581" s="13">
        <v>320000</v>
      </c>
      <c r="J2581" s="13">
        <v>335000</v>
      </c>
      <c r="K2581" s="13">
        <f>IF(J2581&lt;'Mapa Oficinas'!$I$21,0,IF(J2581&gt;'Mapa Oficinas'!$I$20,0,1))</f>
        <v>1</v>
      </c>
      <c r="L2581" t="s">
        <v>23</v>
      </c>
      <c r="M2581" t="s">
        <v>23</v>
      </c>
      <c r="N2581" t="s">
        <v>1555</v>
      </c>
      <c r="O2581" t="s">
        <v>1556</v>
      </c>
      <c r="P2581" t="s">
        <v>45</v>
      </c>
      <c r="Q2581">
        <v>2</v>
      </c>
      <c r="R2581" t="s">
        <v>110</v>
      </c>
      <c r="S2581" t="s">
        <v>200</v>
      </c>
      <c r="T2581" t="str">
        <f>VLOOKUP(S2581,'Mapa Oficinas'!$H$7:$I$16,2,FALSE)</f>
        <v>Otra Red Captación</v>
      </c>
      <c r="U2581" t="s">
        <v>29</v>
      </c>
      <c r="V2581" t="str">
        <f>VLOOKUP($R2581,'Mapa Oficinas'!$A$7:$C$46,2,FALSE)</f>
        <v>Zona Norte (GBA)</v>
      </c>
      <c r="W2581" t="str">
        <f>VLOOKUP($R2581,'Mapa Oficinas'!$A$7:$C$46,3,FALSE)</f>
        <v>Nordelta</v>
      </c>
    </row>
    <row r="2582" spans="1:23" x14ac:dyDescent="0.2">
      <c r="A2582" s="1">
        <v>45812</v>
      </c>
      <c r="B2582" s="20">
        <f t="shared" si="80"/>
        <v>2025</v>
      </c>
      <c r="C2582" s="20">
        <f t="shared" si="81"/>
        <v>6</v>
      </c>
      <c r="D2582" t="s">
        <v>2316</v>
      </c>
      <c r="E2582" s="49">
        <v>1</v>
      </c>
      <c r="F2582" t="s">
        <v>2317</v>
      </c>
      <c r="G2582" t="s">
        <v>21</v>
      </c>
      <c r="H2582" t="s">
        <v>37</v>
      </c>
      <c r="I2582" s="13">
        <v>349000</v>
      </c>
      <c r="J2582" s="13">
        <v>335000</v>
      </c>
      <c r="K2582" s="13">
        <f>IF(J2582&lt;'Mapa Oficinas'!$I$21,0,IF(J2582&gt;'Mapa Oficinas'!$I$20,0,1))</f>
        <v>1</v>
      </c>
      <c r="L2582" t="s">
        <v>23</v>
      </c>
      <c r="M2582" t="s">
        <v>23</v>
      </c>
      <c r="N2582" t="s">
        <v>2318</v>
      </c>
      <c r="O2582" t="s">
        <v>190</v>
      </c>
      <c r="P2582" t="s">
        <v>45</v>
      </c>
      <c r="Q2582">
        <v>2</v>
      </c>
      <c r="R2582" t="s">
        <v>67</v>
      </c>
      <c r="S2582" t="s">
        <v>200</v>
      </c>
      <c r="T2582" t="str">
        <f>VLOOKUP(S2582,'Mapa Oficinas'!$H$7:$I$16,2,FALSE)</f>
        <v>Otra Red Captación</v>
      </c>
      <c r="U2582" t="s">
        <v>29</v>
      </c>
      <c r="V2582" t="str">
        <f>VLOOKUP($R2582,'Mapa Oficinas'!$A$7:$C$46,2,FALSE)</f>
        <v>CABA</v>
      </c>
      <c r="W2582" t="str">
        <f>VLOOKUP($R2582,'Mapa Oficinas'!$A$7:$C$46,3,FALSE)</f>
        <v>Barrio Parque</v>
      </c>
    </row>
    <row r="2583" spans="1:23" x14ac:dyDescent="0.2">
      <c r="A2583" s="1">
        <v>45762</v>
      </c>
      <c r="B2583" s="20">
        <f t="shared" si="80"/>
        <v>2025</v>
      </c>
      <c r="C2583" s="20">
        <f t="shared" si="81"/>
        <v>4</v>
      </c>
      <c r="D2583" t="s">
        <v>1460</v>
      </c>
      <c r="E2583" s="49">
        <v>1</v>
      </c>
      <c r="F2583" t="s">
        <v>1461</v>
      </c>
      <c r="G2583" t="s">
        <v>21</v>
      </c>
      <c r="H2583" t="s">
        <v>37</v>
      </c>
      <c r="I2583" s="13">
        <v>350000</v>
      </c>
      <c r="J2583" s="13">
        <v>335000</v>
      </c>
      <c r="K2583" s="13">
        <f>IF(J2583&lt;'Mapa Oficinas'!$I$21,0,IF(J2583&gt;'Mapa Oficinas'!$I$20,0,1))</f>
        <v>1</v>
      </c>
      <c r="L2583" t="s">
        <v>23</v>
      </c>
      <c r="M2583" t="s">
        <v>23</v>
      </c>
      <c r="N2583" t="s">
        <v>1462</v>
      </c>
      <c r="O2583" t="s">
        <v>914</v>
      </c>
      <c r="P2583" t="s">
        <v>34</v>
      </c>
      <c r="Q2583">
        <v>2</v>
      </c>
      <c r="R2583" t="s">
        <v>1024</v>
      </c>
      <c r="S2583" t="s">
        <v>28</v>
      </c>
      <c r="T2583" t="str">
        <f>VLOOKUP(S2583,'Mapa Oficinas'!$H$7:$I$16,2,FALSE)</f>
        <v>CB</v>
      </c>
      <c r="U2583" t="s">
        <v>29</v>
      </c>
      <c r="V2583" t="str">
        <f>VLOOKUP($R2583,'Mapa Oficinas'!$A$7:$C$46,2,FALSE)</f>
        <v>CABA</v>
      </c>
      <c r="W2583" t="str">
        <f>VLOOKUP($R2583,'Mapa Oficinas'!$A$7:$C$46,3,FALSE)</f>
        <v>Puerto Madero</v>
      </c>
    </row>
    <row r="2584" spans="1:23" x14ac:dyDescent="0.2">
      <c r="A2584" s="1">
        <v>45692</v>
      </c>
      <c r="B2584" s="20">
        <f t="shared" si="80"/>
        <v>2025</v>
      </c>
      <c r="C2584" s="20">
        <f t="shared" si="81"/>
        <v>2</v>
      </c>
      <c r="D2584" t="s">
        <v>488</v>
      </c>
      <c r="E2584" s="49">
        <v>1</v>
      </c>
      <c r="F2584" t="s">
        <v>489</v>
      </c>
      <c r="G2584" t="s">
        <v>21</v>
      </c>
      <c r="H2584" t="s">
        <v>37</v>
      </c>
      <c r="I2584" s="13">
        <v>340000</v>
      </c>
      <c r="J2584" s="13">
        <v>340000</v>
      </c>
      <c r="K2584" s="13">
        <f>IF(J2584&lt;'Mapa Oficinas'!$I$21,0,IF(J2584&gt;'Mapa Oficinas'!$I$20,0,1))</f>
        <v>1</v>
      </c>
      <c r="L2584" t="s">
        <v>23</v>
      </c>
      <c r="M2584" t="s">
        <v>23</v>
      </c>
      <c r="O2584" t="s">
        <v>490</v>
      </c>
      <c r="P2584" t="s">
        <v>34</v>
      </c>
      <c r="Q2584">
        <v>2</v>
      </c>
      <c r="R2584" t="s">
        <v>183</v>
      </c>
      <c r="S2584" t="s">
        <v>79</v>
      </c>
      <c r="T2584" t="str">
        <f>VLOOKUP(S2584,'Mapa Oficinas'!$H$7:$I$16,2,FALSE)</f>
        <v>CB</v>
      </c>
      <c r="U2584" t="s">
        <v>29</v>
      </c>
      <c r="V2584" t="str">
        <f>VLOOKUP($R2584,'Mapa Oficinas'!$A$7:$C$46,2,FALSE)</f>
        <v>Interior - Neuquén</v>
      </c>
      <c r="W2584" t="str">
        <f>VLOOKUP($R2584,'Mapa Oficinas'!$A$7:$C$46,3,FALSE)</f>
        <v>Capital Neuquén</v>
      </c>
    </row>
    <row r="2585" spans="1:23" x14ac:dyDescent="0.2">
      <c r="A2585" s="1">
        <v>45992</v>
      </c>
      <c r="B2585" s="20">
        <f t="shared" si="80"/>
        <v>2025</v>
      </c>
      <c r="C2585" s="20">
        <f t="shared" si="81"/>
        <v>12</v>
      </c>
      <c r="D2585" t="s">
        <v>5583</v>
      </c>
      <c r="E2585" s="49">
        <v>1</v>
      </c>
      <c r="F2585" t="s">
        <v>5584</v>
      </c>
      <c r="G2585" t="s">
        <v>21</v>
      </c>
      <c r="H2585" t="s">
        <v>81</v>
      </c>
      <c r="I2585" s="13">
        <v>385000</v>
      </c>
      <c r="J2585" s="13">
        <v>340000</v>
      </c>
      <c r="K2585" s="13">
        <f>IF(J2585&lt;'Mapa Oficinas'!$I$21,0,IF(J2585&gt;'Mapa Oficinas'!$I$20,0,1))</f>
        <v>1</v>
      </c>
      <c r="L2585" t="s">
        <v>23</v>
      </c>
      <c r="M2585" t="s">
        <v>23</v>
      </c>
      <c r="N2585" t="s">
        <v>2724</v>
      </c>
      <c r="O2585" t="s">
        <v>2725</v>
      </c>
      <c r="P2585" t="s">
        <v>34</v>
      </c>
      <c r="Q2585">
        <v>2</v>
      </c>
      <c r="R2585" t="s">
        <v>151</v>
      </c>
      <c r="S2585" t="s">
        <v>79</v>
      </c>
      <c r="T2585" t="str">
        <f>VLOOKUP(S2585,'Mapa Oficinas'!$H$7:$I$16,2,FALSE)</f>
        <v>CB</v>
      </c>
      <c r="U2585" t="s">
        <v>29</v>
      </c>
      <c r="V2585" t="str">
        <f>VLOOKUP($R2585,'Mapa Oficinas'!$A$7:$C$46,2,FALSE)</f>
        <v>Interior - Mendoza</v>
      </c>
      <c r="W2585" t="str">
        <f>VLOOKUP($R2585,'Mapa Oficinas'!$A$7:$C$46,3,FALSE)</f>
        <v>Capital Mendoza</v>
      </c>
    </row>
    <row r="2586" spans="1:23" x14ac:dyDescent="0.2">
      <c r="A2586" s="1">
        <v>45846</v>
      </c>
      <c r="B2586" s="20">
        <f t="shared" si="80"/>
        <v>2025</v>
      </c>
      <c r="C2586" s="20">
        <f t="shared" si="81"/>
        <v>7</v>
      </c>
      <c r="D2586" t="s">
        <v>2942</v>
      </c>
      <c r="E2586" s="49">
        <v>1</v>
      </c>
      <c r="F2586" t="s">
        <v>2943</v>
      </c>
      <c r="G2586" t="s">
        <v>21</v>
      </c>
      <c r="H2586" t="s">
        <v>37</v>
      </c>
      <c r="I2586" s="13">
        <v>350000</v>
      </c>
      <c r="J2586" s="13">
        <v>340000</v>
      </c>
      <c r="K2586" s="13">
        <f>IF(J2586&lt;'Mapa Oficinas'!$I$21,0,IF(J2586&gt;'Mapa Oficinas'!$I$20,0,1))</f>
        <v>1</v>
      </c>
      <c r="L2586" t="s">
        <v>23</v>
      </c>
      <c r="M2586" t="s">
        <v>23</v>
      </c>
      <c r="N2586" t="s">
        <v>2944</v>
      </c>
      <c r="O2586" t="s">
        <v>261</v>
      </c>
      <c r="P2586" t="s">
        <v>34</v>
      </c>
      <c r="Q2586">
        <v>2</v>
      </c>
      <c r="R2586" t="s">
        <v>67</v>
      </c>
      <c r="S2586" t="s">
        <v>200</v>
      </c>
      <c r="T2586" t="str">
        <f>VLOOKUP(S2586,'Mapa Oficinas'!$H$7:$I$16,2,FALSE)</f>
        <v>Otra Red Captación</v>
      </c>
      <c r="U2586" t="s">
        <v>29</v>
      </c>
      <c r="V2586" t="str">
        <f>VLOOKUP($R2586,'Mapa Oficinas'!$A$7:$C$46,2,FALSE)</f>
        <v>CABA</v>
      </c>
      <c r="W2586" t="str">
        <f>VLOOKUP($R2586,'Mapa Oficinas'!$A$7:$C$46,3,FALSE)</f>
        <v>Barrio Parque</v>
      </c>
    </row>
    <row r="2587" spans="1:23" x14ac:dyDescent="0.2">
      <c r="A2587" s="1">
        <v>45933</v>
      </c>
      <c r="B2587" s="20">
        <f t="shared" si="80"/>
        <v>2025</v>
      </c>
      <c r="C2587" s="20">
        <f t="shared" si="81"/>
        <v>10</v>
      </c>
      <c r="D2587">
        <v>10447</v>
      </c>
      <c r="E2587" s="49">
        <v>1</v>
      </c>
      <c r="F2587" t="s">
        <v>4499</v>
      </c>
      <c r="G2587" t="s">
        <v>21</v>
      </c>
      <c r="H2587" t="s">
        <v>37</v>
      </c>
      <c r="I2587" s="13">
        <v>0</v>
      </c>
      <c r="J2587" s="13">
        <v>340000</v>
      </c>
      <c r="K2587" s="13">
        <f>IF(J2587&lt;'Mapa Oficinas'!$I$21,0,IF(J2587&gt;'Mapa Oficinas'!$I$20,0,1))</f>
        <v>1</v>
      </c>
      <c r="L2587" t="s">
        <v>23</v>
      </c>
      <c r="M2587" t="s">
        <v>23</v>
      </c>
      <c r="O2587" t="s">
        <v>2104</v>
      </c>
      <c r="P2587" t="s">
        <v>45</v>
      </c>
      <c r="Q2587">
        <v>2</v>
      </c>
      <c r="R2587" t="s">
        <v>67</v>
      </c>
      <c r="S2587" t="s">
        <v>200</v>
      </c>
      <c r="T2587" t="str">
        <f>VLOOKUP(S2587,'Mapa Oficinas'!$H$7:$I$16,2,FALSE)</f>
        <v>Otra Red Captación</v>
      </c>
      <c r="U2587" t="s">
        <v>29</v>
      </c>
      <c r="V2587" t="str">
        <f>VLOOKUP($R2587,'Mapa Oficinas'!$A$7:$C$46,2,FALSE)</f>
        <v>CABA</v>
      </c>
      <c r="W2587" t="str">
        <f>VLOOKUP($R2587,'Mapa Oficinas'!$A$7:$C$46,3,FALSE)</f>
        <v>Barrio Parque</v>
      </c>
    </row>
    <row r="2588" spans="1:23" x14ac:dyDescent="0.2">
      <c r="A2588" s="1">
        <v>45854</v>
      </c>
      <c r="B2588" s="20">
        <f t="shared" si="80"/>
        <v>2025</v>
      </c>
      <c r="C2588" s="20">
        <f t="shared" si="81"/>
        <v>7</v>
      </c>
      <c r="D2588" t="s">
        <v>3080</v>
      </c>
      <c r="E2588" s="49">
        <v>3</v>
      </c>
      <c r="F2588" t="s">
        <v>3081</v>
      </c>
      <c r="G2588" t="s">
        <v>21</v>
      </c>
      <c r="H2588" t="s">
        <v>37</v>
      </c>
      <c r="I2588" s="13">
        <v>370000</v>
      </c>
      <c r="J2588" s="13">
        <v>340000</v>
      </c>
      <c r="K2588" s="13">
        <f>IF(J2588&lt;'Mapa Oficinas'!$I$21,0,IF(J2588&gt;'Mapa Oficinas'!$I$20,0,1))</f>
        <v>1</v>
      </c>
      <c r="L2588" t="s">
        <v>23</v>
      </c>
      <c r="M2588" t="s">
        <v>23</v>
      </c>
      <c r="N2588" t="s">
        <v>3082</v>
      </c>
      <c r="O2588" t="s">
        <v>727</v>
      </c>
      <c r="P2588" t="s">
        <v>34</v>
      </c>
      <c r="Q2588">
        <v>2</v>
      </c>
      <c r="R2588" t="s">
        <v>257</v>
      </c>
      <c r="S2588" t="s">
        <v>241</v>
      </c>
      <c r="T2588" t="str">
        <f>VLOOKUP(S2588,'Mapa Oficinas'!$H$7:$I$16,2,FALSE)</f>
        <v>CB</v>
      </c>
      <c r="U2588" t="s">
        <v>29</v>
      </c>
      <c r="V2588" t="str">
        <f>VLOOKUP($R2588,'Mapa Oficinas'!$A$7:$C$46,2,FALSE)</f>
        <v>Zona Norte (GBA)</v>
      </c>
      <c r="W2588" t="str">
        <f>VLOOKUP($R2588,'Mapa Oficinas'!$A$7:$C$46,3,FALSE)</f>
        <v>Pilar</v>
      </c>
    </row>
    <row r="2589" spans="1:23" x14ac:dyDescent="0.2">
      <c r="A2589" s="1">
        <v>45856</v>
      </c>
      <c r="B2589" s="20">
        <f t="shared" si="80"/>
        <v>2025</v>
      </c>
      <c r="C2589" s="20">
        <f t="shared" si="81"/>
        <v>7</v>
      </c>
      <c r="D2589" t="s">
        <v>3129</v>
      </c>
      <c r="E2589" s="49">
        <v>1</v>
      </c>
      <c r="F2589" t="s">
        <v>3130</v>
      </c>
      <c r="G2589" t="s">
        <v>21</v>
      </c>
      <c r="H2589" t="s">
        <v>37</v>
      </c>
      <c r="I2589" s="13">
        <v>334500</v>
      </c>
      <c r="J2589" s="13">
        <v>340000</v>
      </c>
      <c r="K2589" s="13">
        <f>IF(J2589&lt;'Mapa Oficinas'!$I$21,0,IF(J2589&gt;'Mapa Oficinas'!$I$20,0,1))</f>
        <v>1</v>
      </c>
      <c r="L2589" t="s">
        <v>23</v>
      </c>
      <c r="M2589" t="s">
        <v>23</v>
      </c>
      <c r="N2589" t="s">
        <v>3131</v>
      </c>
      <c r="O2589" t="s">
        <v>380</v>
      </c>
      <c r="P2589" t="s">
        <v>45</v>
      </c>
      <c r="Q2589">
        <v>2</v>
      </c>
      <c r="R2589" t="s">
        <v>1024</v>
      </c>
      <c r="S2589" t="s">
        <v>28</v>
      </c>
      <c r="T2589" t="str">
        <f>VLOOKUP(S2589,'Mapa Oficinas'!$H$7:$I$16,2,FALSE)</f>
        <v>CB</v>
      </c>
      <c r="U2589" t="s">
        <v>29</v>
      </c>
      <c r="V2589" t="str">
        <f>VLOOKUP($R2589,'Mapa Oficinas'!$A$7:$C$46,2,FALSE)</f>
        <v>CABA</v>
      </c>
      <c r="W2589" t="str">
        <f>VLOOKUP($R2589,'Mapa Oficinas'!$A$7:$C$46,3,FALSE)</f>
        <v>Puerto Madero</v>
      </c>
    </row>
    <row r="2590" spans="1:23" x14ac:dyDescent="0.2">
      <c r="A2590" s="1">
        <v>45980</v>
      </c>
      <c r="B2590" s="20">
        <f t="shared" si="80"/>
        <v>2025</v>
      </c>
      <c r="C2590" s="20">
        <f t="shared" si="81"/>
        <v>11</v>
      </c>
      <c r="D2590" t="s">
        <v>5326</v>
      </c>
      <c r="E2590" s="49">
        <v>1</v>
      </c>
      <c r="F2590" t="s">
        <v>5327</v>
      </c>
      <c r="G2590" t="s">
        <v>21</v>
      </c>
      <c r="H2590" t="s">
        <v>37</v>
      </c>
      <c r="I2590" s="13">
        <v>325000</v>
      </c>
      <c r="J2590" s="13">
        <v>342000</v>
      </c>
      <c r="K2590" s="13">
        <f>IF(J2590&lt;'Mapa Oficinas'!$I$21,0,IF(J2590&gt;'Mapa Oficinas'!$I$20,0,1))</f>
        <v>1</v>
      </c>
      <c r="L2590" t="s">
        <v>23</v>
      </c>
      <c r="M2590" t="s">
        <v>23</v>
      </c>
      <c r="N2590" t="s">
        <v>5328</v>
      </c>
      <c r="O2590" t="s">
        <v>5329</v>
      </c>
      <c r="P2590" t="s">
        <v>34</v>
      </c>
      <c r="Q2590">
        <v>1</v>
      </c>
      <c r="R2590" t="s">
        <v>110</v>
      </c>
      <c r="S2590" t="s">
        <v>47</v>
      </c>
      <c r="T2590" t="str">
        <f>VLOOKUP(S2590,'Mapa Oficinas'!$H$7:$I$16,2,FALSE)</f>
        <v>Otra Red Búsqueda</v>
      </c>
      <c r="U2590" t="s">
        <v>29</v>
      </c>
      <c r="V2590" t="str">
        <f>VLOOKUP($R2590,'Mapa Oficinas'!$A$7:$C$46,2,FALSE)</f>
        <v>Zona Norte (GBA)</v>
      </c>
      <c r="W2590" t="str">
        <f>VLOOKUP($R2590,'Mapa Oficinas'!$A$7:$C$46,3,FALSE)</f>
        <v>Nordelta</v>
      </c>
    </row>
    <row r="2591" spans="1:23" x14ac:dyDescent="0.2">
      <c r="A2591" s="1">
        <v>45687</v>
      </c>
      <c r="B2591" s="20">
        <f t="shared" si="80"/>
        <v>2025</v>
      </c>
      <c r="C2591" s="20">
        <f t="shared" si="81"/>
        <v>1</v>
      </c>
      <c r="D2591" t="s">
        <v>453</v>
      </c>
      <c r="E2591" s="49">
        <v>1</v>
      </c>
      <c r="F2591" t="s">
        <v>454</v>
      </c>
      <c r="G2591" t="s">
        <v>21</v>
      </c>
      <c r="H2591" t="s">
        <v>37</v>
      </c>
      <c r="I2591" s="13">
        <v>365000</v>
      </c>
      <c r="J2591" s="13">
        <v>342000</v>
      </c>
      <c r="K2591" s="13">
        <f>IF(J2591&lt;'Mapa Oficinas'!$I$21,0,IF(J2591&gt;'Mapa Oficinas'!$I$20,0,1))</f>
        <v>1</v>
      </c>
      <c r="L2591" t="s">
        <v>23</v>
      </c>
      <c r="M2591" t="s">
        <v>23</v>
      </c>
      <c r="N2591" t="s">
        <v>455</v>
      </c>
      <c r="O2591" t="s">
        <v>456</v>
      </c>
      <c r="P2591" t="s">
        <v>45</v>
      </c>
      <c r="Q2591">
        <v>2</v>
      </c>
      <c r="R2591" t="s">
        <v>110</v>
      </c>
      <c r="S2591" t="s">
        <v>28</v>
      </c>
      <c r="T2591" t="str">
        <f>VLOOKUP(S2591,'Mapa Oficinas'!$H$7:$I$16,2,FALSE)</f>
        <v>CB</v>
      </c>
      <c r="U2591" t="s">
        <v>29</v>
      </c>
      <c r="V2591" t="str">
        <f>VLOOKUP($R2591,'Mapa Oficinas'!$A$7:$C$46,2,FALSE)</f>
        <v>Zona Norte (GBA)</v>
      </c>
      <c r="W2591" t="str">
        <f>VLOOKUP($R2591,'Mapa Oficinas'!$A$7:$C$46,3,FALSE)</f>
        <v>Nordelta</v>
      </c>
    </row>
    <row r="2592" spans="1:23" x14ac:dyDescent="0.2">
      <c r="A2592" s="1">
        <v>45786</v>
      </c>
      <c r="B2592" s="20">
        <f t="shared" si="80"/>
        <v>2025</v>
      </c>
      <c r="C2592" s="20">
        <f t="shared" si="81"/>
        <v>5</v>
      </c>
      <c r="D2592" t="s">
        <v>1852</v>
      </c>
      <c r="E2592" s="49">
        <v>1</v>
      </c>
      <c r="F2592" t="s">
        <v>1853</v>
      </c>
      <c r="G2592" t="s">
        <v>21</v>
      </c>
      <c r="H2592" t="s">
        <v>37</v>
      </c>
      <c r="I2592" s="13">
        <v>355000</v>
      </c>
      <c r="J2592" s="13">
        <v>345000</v>
      </c>
      <c r="K2592" s="13">
        <f>IF(J2592&lt;'Mapa Oficinas'!$I$21,0,IF(J2592&gt;'Mapa Oficinas'!$I$20,0,1))</f>
        <v>1</v>
      </c>
      <c r="L2592" t="s">
        <v>23</v>
      </c>
      <c r="M2592" t="s">
        <v>23</v>
      </c>
      <c r="N2592" t="s">
        <v>1854</v>
      </c>
      <c r="O2592" t="s">
        <v>50</v>
      </c>
      <c r="P2592" t="s">
        <v>45</v>
      </c>
      <c r="Q2592">
        <v>2</v>
      </c>
      <c r="R2592" t="s">
        <v>67</v>
      </c>
      <c r="S2592" t="s">
        <v>28</v>
      </c>
      <c r="T2592" t="str">
        <f>VLOOKUP(S2592,'Mapa Oficinas'!$H$7:$I$16,2,FALSE)</f>
        <v>CB</v>
      </c>
      <c r="U2592" t="s">
        <v>29</v>
      </c>
      <c r="V2592" t="str">
        <f>VLOOKUP($R2592,'Mapa Oficinas'!$A$7:$C$46,2,FALSE)</f>
        <v>CABA</v>
      </c>
      <c r="W2592" t="str">
        <f>VLOOKUP($R2592,'Mapa Oficinas'!$A$7:$C$46,3,FALSE)</f>
        <v>Barrio Parque</v>
      </c>
    </row>
    <row r="2593" spans="1:23" x14ac:dyDescent="0.2">
      <c r="A2593" s="1">
        <v>45973</v>
      </c>
      <c r="B2593" s="20">
        <f t="shared" si="80"/>
        <v>2025</v>
      </c>
      <c r="C2593" s="20">
        <f t="shared" si="81"/>
        <v>11</v>
      </c>
      <c r="D2593" t="s">
        <v>5175</v>
      </c>
      <c r="E2593" s="49">
        <v>1</v>
      </c>
      <c r="F2593" t="s">
        <v>5176</v>
      </c>
      <c r="G2593" t="s">
        <v>21</v>
      </c>
      <c r="H2593" t="s">
        <v>37</v>
      </c>
      <c r="I2593" s="13">
        <v>305000</v>
      </c>
      <c r="J2593" s="13">
        <v>345000</v>
      </c>
      <c r="K2593" s="13">
        <f>IF(J2593&lt;'Mapa Oficinas'!$I$21,0,IF(J2593&gt;'Mapa Oficinas'!$I$20,0,1))</f>
        <v>1</v>
      </c>
      <c r="L2593" t="s">
        <v>23</v>
      </c>
      <c r="M2593" t="s">
        <v>23</v>
      </c>
      <c r="N2593" t="s">
        <v>5177</v>
      </c>
      <c r="O2593" t="s">
        <v>2104</v>
      </c>
      <c r="P2593" t="s">
        <v>45</v>
      </c>
      <c r="Q2593">
        <v>2</v>
      </c>
      <c r="R2593" t="s">
        <v>67</v>
      </c>
      <c r="S2593" t="s">
        <v>28</v>
      </c>
      <c r="T2593" t="str">
        <f>VLOOKUP(S2593,'Mapa Oficinas'!$H$7:$I$16,2,FALSE)</f>
        <v>CB</v>
      </c>
      <c r="U2593" t="s">
        <v>29</v>
      </c>
      <c r="V2593" t="str">
        <f>VLOOKUP($R2593,'Mapa Oficinas'!$A$7:$C$46,2,FALSE)</f>
        <v>CABA</v>
      </c>
      <c r="W2593" t="str">
        <f>VLOOKUP($R2593,'Mapa Oficinas'!$A$7:$C$46,3,FALSE)</f>
        <v>Barrio Parque</v>
      </c>
    </row>
    <row r="2594" spans="1:23" x14ac:dyDescent="0.2">
      <c r="A2594" s="1">
        <v>46017</v>
      </c>
      <c r="B2594" s="20">
        <f t="shared" si="80"/>
        <v>2025</v>
      </c>
      <c r="C2594" s="20">
        <f t="shared" si="81"/>
        <v>12</v>
      </c>
      <c r="D2594" t="s">
        <v>6035</v>
      </c>
      <c r="E2594" s="49">
        <v>1</v>
      </c>
      <c r="F2594" t="s">
        <v>6036</v>
      </c>
      <c r="G2594" t="s">
        <v>21</v>
      </c>
      <c r="H2594" t="s">
        <v>37</v>
      </c>
      <c r="I2594" s="13">
        <v>380000</v>
      </c>
      <c r="J2594" s="13">
        <v>345000</v>
      </c>
      <c r="K2594" s="13">
        <f>IF(J2594&lt;'Mapa Oficinas'!$I$21,0,IF(J2594&gt;'Mapa Oficinas'!$I$20,0,1))</f>
        <v>1</v>
      </c>
      <c r="L2594" t="s">
        <v>23</v>
      </c>
      <c r="M2594" t="s">
        <v>23</v>
      </c>
      <c r="N2594" t="s">
        <v>6037</v>
      </c>
      <c r="O2594" t="s">
        <v>2194</v>
      </c>
      <c r="P2594" t="s">
        <v>45</v>
      </c>
      <c r="Q2594">
        <v>2</v>
      </c>
      <c r="R2594" t="s">
        <v>1024</v>
      </c>
      <c r="S2594" t="s">
        <v>28</v>
      </c>
      <c r="T2594" t="str">
        <f>VLOOKUP(S2594,'Mapa Oficinas'!$H$7:$I$16,2,FALSE)</f>
        <v>CB</v>
      </c>
      <c r="U2594" t="s">
        <v>29</v>
      </c>
      <c r="V2594" t="str">
        <f>VLOOKUP($R2594,'Mapa Oficinas'!$A$7:$C$46,2,FALSE)</f>
        <v>CABA</v>
      </c>
      <c r="W2594" t="str">
        <f>VLOOKUP($R2594,'Mapa Oficinas'!$A$7:$C$46,3,FALSE)</f>
        <v>Puerto Madero</v>
      </c>
    </row>
    <row r="2595" spans="1:23" x14ac:dyDescent="0.2">
      <c r="A2595" s="1">
        <v>45905</v>
      </c>
      <c r="B2595" s="20">
        <f t="shared" si="80"/>
        <v>2025</v>
      </c>
      <c r="C2595" s="20">
        <f t="shared" si="81"/>
        <v>9</v>
      </c>
      <c r="D2595" t="s">
        <v>4019</v>
      </c>
      <c r="E2595" s="49">
        <v>1</v>
      </c>
      <c r="F2595" t="s">
        <v>4020</v>
      </c>
      <c r="G2595" t="s">
        <v>21</v>
      </c>
      <c r="H2595" t="s">
        <v>37</v>
      </c>
      <c r="I2595" s="13">
        <v>349000</v>
      </c>
      <c r="J2595" s="13">
        <v>347000</v>
      </c>
      <c r="K2595" s="13">
        <f>IF(J2595&lt;'Mapa Oficinas'!$I$21,0,IF(J2595&gt;'Mapa Oficinas'!$I$20,0,1))</f>
        <v>1</v>
      </c>
      <c r="L2595" t="s">
        <v>23</v>
      </c>
      <c r="M2595" t="s">
        <v>23</v>
      </c>
      <c r="N2595" t="s">
        <v>4021</v>
      </c>
      <c r="O2595" t="s">
        <v>92</v>
      </c>
      <c r="P2595" t="s">
        <v>61</v>
      </c>
      <c r="Q2595">
        <v>2</v>
      </c>
      <c r="R2595" t="s">
        <v>46</v>
      </c>
      <c r="S2595" t="s">
        <v>28</v>
      </c>
      <c r="T2595" t="str">
        <f>VLOOKUP(S2595,'Mapa Oficinas'!$H$7:$I$16,2,FALSE)</f>
        <v>CB</v>
      </c>
      <c r="U2595" t="s">
        <v>29</v>
      </c>
      <c r="V2595" t="str">
        <f>VLOOKUP($R2595,'Mapa Oficinas'!$A$7:$C$46,2,FALSE)</f>
        <v>CABA</v>
      </c>
      <c r="W2595" t="str">
        <f>VLOOKUP($R2595,'Mapa Oficinas'!$A$7:$C$46,3,FALSE)</f>
        <v>Palermo</v>
      </c>
    </row>
    <row r="2596" spans="1:23" x14ac:dyDescent="0.2">
      <c r="A2596" s="1">
        <v>45771</v>
      </c>
      <c r="B2596" s="20">
        <f t="shared" si="80"/>
        <v>2025</v>
      </c>
      <c r="C2596" s="20">
        <f t="shared" si="81"/>
        <v>4</v>
      </c>
      <c r="D2596" t="s">
        <v>1616</v>
      </c>
      <c r="E2596" s="49">
        <v>1</v>
      </c>
      <c r="F2596" t="s">
        <v>1617</v>
      </c>
      <c r="G2596" t="s">
        <v>21</v>
      </c>
      <c r="H2596" t="s">
        <v>37</v>
      </c>
      <c r="I2596" s="13">
        <v>355000</v>
      </c>
      <c r="J2596" s="13">
        <v>348000</v>
      </c>
      <c r="K2596" s="13">
        <f>IF(J2596&lt;'Mapa Oficinas'!$I$21,0,IF(J2596&gt;'Mapa Oficinas'!$I$20,0,1))</f>
        <v>1</v>
      </c>
      <c r="L2596" t="s">
        <v>23</v>
      </c>
      <c r="M2596" t="s">
        <v>23</v>
      </c>
      <c r="N2596" t="s">
        <v>1618</v>
      </c>
      <c r="O2596" t="s">
        <v>1196</v>
      </c>
      <c r="P2596" t="s">
        <v>45</v>
      </c>
      <c r="Q2596">
        <v>2</v>
      </c>
      <c r="R2596" t="s">
        <v>40</v>
      </c>
      <c r="S2596" t="s">
        <v>28</v>
      </c>
      <c r="T2596" t="str">
        <f>VLOOKUP(S2596,'Mapa Oficinas'!$H$7:$I$16,2,FALSE)</f>
        <v>CB</v>
      </c>
      <c r="U2596" t="s">
        <v>29</v>
      </c>
      <c r="V2596" t="str">
        <f>VLOOKUP($R2596,'Mapa Oficinas'!$A$7:$C$46,2,FALSE)</f>
        <v>CABA</v>
      </c>
      <c r="W2596" t="str">
        <f>VLOOKUP($R2596,'Mapa Oficinas'!$A$7:$C$46,3,FALSE)</f>
        <v>Núñez</v>
      </c>
    </row>
    <row r="2597" spans="1:23" x14ac:dyDescent="0.2">
      <c r="A2597" s="1">
        <v>45786</v>
      </c>
      <c r="B2597" s="20">
        <f t="shared" si="80"/>
        <v>2025</v>
      </c>
      <c r="C2597" s="20">
        <f t="shared" si="81"/>
        <v>5</v>
      </c>
      <c r="D2597">
        <v>10322</v>
      </c>
      <c r="E2597" s="49">
        <v>1</v>
      </c>
      <c r="F2597" t="s">
        <v>1855</v>
      </c>
      <c r="G2597" t="s">
        <v>21</v>
      </c>
      <c r="H2597" t="s">
        <v>37</v>
      </c>
      <c r="I2597" s="13">
        <v>0</v>
      </c>
      <c r="J2597" s="13">
        <v>350000</v>
      </c>
      <c r="K2597" s="13">
        <f>IF(J2597&lt;'Mapa Oficinas'!$I$21,0,IF(J2597&gt;'Mapa Oficinas'!$I$20,0,1))</f>
        <v>1</v>
      </c>
      <c r="L2597" t="s">
        <v>23</v>
      </c>
      <c r="M2597" t="s">
        <v>23</v>
      </c>
      <c r="O2597" t="s">
        <v>190</v>
      </c>
      <c r="P2597" t="s">
        <v>45</v>
      </c>
      <c r="Q2597">
        <v>1</v>
      </c>
      <c r="R2597" t="s">
        <v>67</v>
      </c>
      <c r="S2597" t="s">
        <v>47</v>
      </c>
      <c r="T2597" t="str">
        <f>VLOOKUP(S2597,'Mapa Oficinas'!$H$7:$I$16,2,FALSE)</f>
        <v>Otra Red Búsqueda</v>
      </c>
      <c r="U2597" t="s">
        <v>29</v>
      </c>
      <c r="V2597" t="str">
        <f>VLOOKUP($R2597,'Mapa Oficinas'!$A$7:$C$46,2,FALSE)</f>
        <v>CABA</v>
      </c>
      <c r="W2597" t="str">
        <f>VLOOKUP($R2597,'Mapa Oficinas'!$A$7:$C$46,3,FALSE)</f>
        <v>Barrio Parque</v>
      </c>
    </row>
    <row r="2598" spans="1:23" x14ac:dyDescent="0.2">
      <c r="A2598" s="1">
        <v>45790</v>
      </c>
      <c r="B2598" s="20">
        <f t="shared" si="80"/>
        <v>2025</v>
      </c>
      <c r="C2598" s="20">
        <f t="shared" si="81"/>
        <v>5</v>
      </c>
      <c r="D2598" t="s">
        <v>1908</v>
      </c>
      <c r="E2598" s="49">
        <v>1</v>
      </c>
      <c r="F2598" t="s">
        <v>1909</v>
      </c>
      <c r="G2598" t="s">
        <v>21</v>
      </c>
      <c r="H2598" t="s">
        <v>37</v>
      </c>
      <c r="I2598" s="13">
        <v>360000</v>
      </c>
      <c r="J2598" s="13">
        <v>350000</v>
      </c>
      <c r="K2598" s="13">
        <f>IF(J2598&lt;'Mapa Oficinas'!$I$21,0,IF(J2598&gt;'Mapa Oficinas'!$I$20,0,1))</f>
        <v>1</v>
      </c>
      <c r="L2598" t="s">
        <v>23</v>
      </c>
      <c r="M2598" t="s">
        <v>23</v>
      </c>
      <c r="N2598" t="s">
        <v>1910</v>
      </c>
      <c r="O2598" t="s">
        <v>914</v>
      </c>
      <c r="P2598" t="s">
        <v>34</v>
      </c>
      <c r="Q2598">
        <v>2</v>
      </c>
      <c r="R2598" t="s">
        <v>1024</v>
      </c>
      <c r="S2598" t="s">
        <v>200</v>
      </c>
      <c r="T2598" t="str">
        <f>VLOOKUP(S2598,'Mapa Oficinas'!$H$7:$I$16,2,FALSE)</f>
        <v>Otra Red Captación</v>
      </c>
      <c r="U2598" t="s">
        <v>29</v>
      </c>
      <c r="V2598" t="str">
        <f>VLOOKUP($R2598,'Mapa Oficinas'!$A$7:$C$46,2,FALSE)</f>
        <v>CABA</v>
      </c>
      <c r="W2598" t="str">
        <f>VLOOKUP($R2598,'Mapa Oficinas'!$A$7:$C$46,3,FALSE)</f>
        <v>Puerto Madero</v>
      </c>
    </row>
    <row r="2599" spans="1:23" x14ac:dyDescent="0.2">
      <c r="A2599" s="1">
        <v>45863</v>
      </c>
      <c r="B2599" s="20">
        <f t="shared" si="80"/>
        <v>2025</v>
      </c>
      <c r="C2599" s="20">
        <f t="shared" si="81"/>
        <v>7</v>
      </c>
      <c r="D2599" t="s">
        <v>3239</v>
      </c>
      <c r="E2599" s="49">
        <v>1</v>
      </c>
      <c r="F2599" t="s">
        <v>3240</v>
      </c>
      <c r="G2599" t="s">
        <v>21</v>
      </c>
      <c r="H2599" t="s">
        <v>37</v>
      </c>
      <c r="I2599" s="13">
        <v>398000</v>
      </c>
      <c r="J2599" s="13">
        <v>350000</v>
      </c>
      <c r="K2599" s="13">
        <f>IF(J2599&lt;'Mapa Oficinas'!$I$21,0,IF(J2599&gt;'Mapa Oficinas'!$I$20,0,1))</f>
        <v>1</v>
      </c>
      <c r="L2599" t="s">
        <v>23</v>
      </c>
      <c r="M2599" t="s">
        <v>23</v>
      </c>
      <c r="N2599" t="s">
        <v>3241</v>
      </c>
      <c r="O2599" t="s">
        <v>174</v>
      </c>
      <c r="P2599" t="s">
        <v>34</v>
      </c>
      <c r="Q2599">
        <v>2</v>
      </c>
      <c r="R2599" t="s">
        <v>1294</v>
      </c>
      <c r="S2599" t="s">
        <v>200</v>
      </c>
      <c r="T2599" t="str">
        <f>VLOOKUP(S2599,'Mapa Oficinas'!$H$7:$I$16,2,FALSE)</f>
        <v>Otra Red Captación</v>
      </c>
      <c r="U2599" t="s">
        <v>29</v>
      </c>
      <c r="V2599" t="str">
        <f>VLOOKUP($R2599,'Mapa Oficinas'!$A$7:$C$46,2,FALSE)</f>
        <v>CABA</v>
      </c>
      <c r="W2599" t="str">
        <f>VLOOKUP($R2599,'Mapa Oficinas'!$A$7:$C$46,3,FALSE)</f>
        <v>Núñez</v>
      </c>
    </row>
    <row r="2600" spans="1:23" x14ac:dyDescent="0.2">
      <c r="A2600" s="1">
        <v>45911</v>
      </c>
      <c r="B2600" s="20">
        <f t="shared" si="80"/>
        <v>2025</v>
      </c>
      <c r="C2600" s="20">
        <f t="shared" si="81"/>
        <v>9</v>
      </c>
      <c r="D2600" t="s">
        <v>4096</v>
      </c>
      <c r="E2600" s="49">
        <v>1</v>
      </c>
      <c r="F2600" t="s">
        <v>4097</v>
      </c>
      <c r="G2600" t="s">
        <v>21</v>
      </c>
      <c r="H2600" t="s">
        <v>37</v>
      </c>
      <c r="I2600" s="13">
        <v>375000</v>
      </c>
      <c r="J2600" s="13">
        <v>350000</v>
      </c>
      <c r="K2600" s="13">
        <f>IF(J2600&lt;'Mapa Oficinas'!$I$21,0,IF(J2600&gt;'Mapa Oficinas'!$I$20,0,1))</f>
        <v>1</v>
      </c>
      <c r="L2600" t="s">
        <v>23</v>
      </c>
      <c r="M2600" t="s">
        <v>23</v>
      </c>
      <c r="N2600" t="s">
        <v>4098</v>
      </c>
      <c r="O2600" t="s">
        <v>713</v>
      </c>
      <c r="P2600" t="s">
        <v>45</v>
      </c>
      <c r="Q2600">
        <v>2</v>
      </c>
      <c r="R2600" t="s">
        <v>110</v>
      </c>
      <c r="S2600" t="s">
        <v>200</v>
      </c>
      <c r="T2600" t="str">
        <f>VLOOKUP(S2600,'Mapa Oficinas'!$H$7:$I$16,2,FALSE)</f>
        <v>Otra Red Captación</v>
      </c>
      <c r="U2600" t="s">
        <v>29</v>
      </c>
      <c r="V2600" t="str">
        <f>VLOOKUP($R2600,'Mapa Oficinas'!$A$7:$C$46,2,FALSE)</f>
        <v>Zona Norte (GBA)</v>
      </c>
      <c r="W2600" t="str">
        <f>VLOOKUP($R2600,'Mapa Oficinas'!$A$7:$C$46,3,FALSE)</f>
        <v>Nordelta</v>
      </c>
    </row>
    <row r="2601" spans="1:23" x14ac:dyDescent="0.2">
      <c r="A2601" s="1">
        <v>45898</v>
      </c>
      <c r="B2601" s="20">
        <f t="shared" si="80"/>
        <v>2025</v>
      </c>
      <c r="C2601" s="20">
        <f t="shared" si="81"/>
        <v>8</v>
      </c>
      <c r="D2601" t="s">
        <v>3917</v>
      </c>
      <c r="E2601" s="49">
        <v>3</v>
      </c>
      <c r="F2601" t="s">
        <v>3918</v>
      </c>
      <c r="G2601" t="s">
        <v>21</v>
      </c>
      <c r="H2601" t="s">
        <v>76</v>
      </c>
      <c r="I2601" s="13">
        <v>380000</v>
      </c>
      <c r="J2601" s="13">
        <v>350000</v>
      </c>
      <c r="K2601" s="13">
        <f>IF(J2601&lt;'Mapa Oficinas'!$I$21,0,IF(J2601&gt;'Mapa Oficinas'!$I$20,0,1))</f>
        <v>1</v>
      </c>
      <c r="L2601" t="s">
        <v>23</v>
      </c>
      <c r="M2601" t="s">
        <v>23</v>
      </c>
      <c r="N2601" t="s">
        <v>3918</v>
      </c>
      <c r="O2601" t="s">
        <v>3919</v>
      </c>
      <c r="P2601" t="s">
        <v>34</v>
      </c>
      <c r="Q2601">
        <v>2</v>
      </c>
      <c r="R2601" t="s">
        <v>257</v>
      </c>
      <c r="S2601" t="s">
        <v>241</v>
      </c>
      <c r="T2601" t="str">
        <f>VLOOKUP(S2601,'Mapa Oficinas'!$H$7:$I$16,2,FALSE)</f>
        <v>CB</v>
      </c>
      <c r="U2601" t="s">
        <v>29</v>
      </c>
      <c r="V2601" t="str">
        <f>VLOOKUP($R2601,'Mapa Oficinas'!$A$7:$C$46,2,FALSE)</f>
        <v>Zona Norte (GBA)</v>
      </c>
      <c r="W2601" t="str">
        <f>VLOOKUP($R2601,'Mapa Oficinas'!$A$7:$C$46,3,FALSE)</f>
        <v>Pilar</v>
      </c>
    </row>
    <row r="2602" spans="1:23" x14ac:dyDescent="0.2">
      <c r="A2602" s="1">
        <v>45790</v>
      </c>
      <c r="B2602" s="20">
        <f t="shared" si="80"/>
        <v>2025</v>
      </c>
      <c r="C2602" s="20">
        <f t="shared" si="81"/>
        <v>5</v>
      </c>
      <c r="D2602" t="s">
        <v>1904</v>
      </c>
      <c r="E2602" s="49">
        <v>1</v>
      </c>
      <c r="F2602" t="s">
        <v>1905</v>
      </c>
      <c r="G2602" t="s">
        <v>21</v>
      </c>
      <c r="H2602" t="s">
        <v>37</v>
      </c>
      <c r="I2602" s="13">
        <v>389000</v>
      </c>
      <c r="J2602" s="13">
        <v>350000</v>
      </c>
      <c r="K2602" s="13">
        <f>IF(J2602&lt;'Mapa Oficinas'!$I$21,0,IF(J2602&gt;'Mapa Oficinas'!$I$20,0,1))</f>
        <v>1</v>
      </c>
      <c r="L2602" t="s">
        <v>23</v>
      </c>
      <c r="M2602" t="s">
        <v>23</v>
      </c>
      <c r="N2602" t="s">
        <v>1906</v>
      </c>
      <c r="O2602" t="s">
        <v>1907</v>
      </c>
      <c r="P2602" t="s">
        <v>34</v>
      </c>
      <c r="Q2602">
        <v>2</v>
      </c>
      <c r="R2602" t="s">
        <v>62</v>
      </c>
      <c r="S2602" t="s">
        <v>28</v>
      </c>
      <c r="T2602" t="str">
        <f>VLOOKUP(S2602,'Mapa Oficinas'!$H$7:$I$16,2,FALSE)</f>
        <v>CB</v>
      </c>
      <c r="U2602" t="s">
        <v>29</v>
      </c>
      <c r="V2602" t="str">
        <f>VLOOKUP($R2602,'Mapa Oficinas'!$A$7:$C$46,2,FALSE)</f>
        <v>CABA</v>
      </c>
      <c r="W2602" t="str">
        <f>VLOOKUP($R2602,'Mapa Oficinas'!$A$7:$C$46,3,FALSE)</f>
        <v>Villa Urquiza</v>
      </c>
    </row>
    <row r="2603" spans="1:23" x14ac:dyDescent="0.2">
      <c r="A2603" s="1">
        <v>45900</v>
      </c>
      <c r="B2603" s="20">
        <f t="shared" si="80"/>
        <v>2025</v>
      </c>
      <c r="C2603" s="20">
        <f t="shared" si="81"/>
        <v>8</v>
      </c>
      <c r="D2603" t="s">
        <v>3934</v>
      </c>
      <c r="E2603" s="49">
        <v>1</v>
      </c>
      <c r="F2603" t="s">
        <v>3935</v>
      </c>
      <c r="G2603" t="s">
        <v>21</v>
      </c>
      <c r="H2603" t="s">
        <v>22</v>
      </c>
      <c r="I2603" s="13">
        <v>410000</v>
      </c>
      <c r="J2603" s="13">
        <v>350000</v>
      </c>
      <c r="K2603" s="13">
        <f>IF(J2603&lt;'Mapa Oficinas'!$I$21,0,IF(J2603&gt;'Mapa Oficinas'!$I$20,0,1))</f>
        <v>1</v>
      </c>
      <c r="L2603" t="s">
        <v>23</v>
      </c>
      <c r="M2603" t="s">
        <v>23</v>
      </c>
      <c r="N2603" t="s">
        <v>3936</v>
      </c>
      <c r="O2603" t="s">
        <v>380</v>
      </c>
      <c r="P2603" t="s">
        <v>26</v>
      </c>
      <c r="Q2603">
        <v>2</v>
      </c>
      <c r="R2603" t="s">
        <v>62</v>
      </c>
      <c r="S2603" t="s">
        <v>28</v>
      </c>
      <c r="T2603" t="str">
        <f>VLOOKUP(S2603,'Mapa Oficinas'!$H$7:$I$16,2,FALSE)</f>
        <v>CB</v>
      </c>
      <c r="U2603" t="s">
        <v>29</v>
      </c>
      <c r="V2603" t="str">
        <f>VLOOKUP($R2603,'Mapa Oficinas'!$A$7:$C$46,2,FALSE)</f>
        <v>CABA</v>
      </c>
      <c r="W2603" t="str">
        <f>VLOOKUP($R2603,'Mapa Oficinas'!$A$7:$C$46,3,FALSE)</f>
        <v>Villa Urquiza</v>
      </c>
    </row>
    <row r="2604" spans="1:23" x14ac:dyDescent="0.2">
      <c r="A2604" s="1">
        <v>46006</v>
      </c>
      <c r="B2604" s="20">
        <f t="shared" si="80"/>
        <v>2025</v>
      </c>
      <c r="C2604" s="20">
        <f t="shared" si="81"/>
        <v>12</v>
      </c>
      <c r="D2604" t="s">
        <v>5802</v>
      </c>
      <c r="E2604" s="49">
        <v>1</v>
      </c>
      <c r="F2604" t="s">
        <v>5803</v>
      </c>
      <c r="G2604" t="s">
        <v>21</v>
      </c>
      <c r="H2604" t="s">
        <v>37</v>
      </c>
      <c r="I2604" s="13">
        <v>365000</v>
      </c>
      <c r="J2604" s="13">
        <v>353000</v>
      </c>
      <c r="K2604" s="13">
        <f>IF(J2604&lt;'Mapa Oficinas'!$I$21,0,IF(J2604&gt;'Mapa Oficinas'!$I$20,0,1))</f>
        <v>1</v>
      </c>
      <c r="L2604" t="s">
        <v>23</v>
      </c>
      <c r="M2604" t="s">
        <v>23</v>
      </c>
      <c r="N2604" t="s">
        <v>5804</v>
      </c>
      <c r="O2604" t="s">
        <v>408</v>
      </c>
      <c r="P2604" t="s">
        <v>45</v>
      </c>
      <c r="Q2604">
        <v>2</v>
      </c>
      <c r="R2604" t="s">
        <v>46</v>
      </c>
      <c r="S2604" t="s">
        <v>200</v>
      </c>
      <c r="T2604" t="str">
        <f>VLOOKUP(S2604,'Mapa Oficinas'!$H$7:$I$16,2,FALSE)</f>
        <v>Otra Red Captación</v>
      </c>
      <c r="U2604" t="s">
        <v>29</v>
      </c>
      <c r="V2604" t="str">
        <f>VLOOKUP($R2604,'Mapa Oficinas'!$A$7:$C$46,2,FALSE)</f>
        <v>CABA</v>
      </c>
      <c r="W2604" t="str">
        <f>VLOOKUP($R2604,'Mapa Oficinas'!$A$7:$C$46,3,FALSE)</f>
        <v>Palermo</v>
      </c>
    </row>
    <row r="2605" spans="1:23" x14ac:dyDescent="0.2">
      <c r="A2605" s="1">
        <v>45863</v>
      </c>
      <c r="B2605" s="20">
        <f t="shared" si="80"/>
        <v>2025</v>
      </c>
      <c r="C2605" s="20">
        <f t="shared" si="81"/>
        <v>7</v>
      </c>
      <c r="D2605" t="s">
        <v>3242</v>
      </c>
      <c r="E2605" s="49">
        <v>1</v>
      </c>
      <c r="F2605" t="s">
        <v>3243</v>
      </c>
      <c r="G2605" t="s">
        <v>21</v>
      </c>
      <c r="H2605" t="s">
        <v>37</v>
      </c>
      <c r="I2605" s="13">
        <v>370000</v>
      </c>
      <c r="J2605" s="13">
        <v>355000</v>
      </c>
      <c r="K2605" s="13">
        <f>IF(J2605&lt;'Mapa Oficinas'!$I$21,0,IF(J2605&gt;'Mapa Oficinas'!$I$20,0,1))</f>
        <v>1</v>
      </c>
      <c r="L2605" t="s">
        <v>23</v>
      </c>
      <c r="M2605" t="s">
        <v>23</v>
      </c>
      <c r="N2605" t="s">
        <v>3244</v>
      </c>
      <c r="O2605" t="s">
        <v>3245</v>
      </c>
      <c r="P2605" t="s">
        <v>34</v>
      </c>
      <c r="Q2605">
        <v>2</v>
      </c>
      <c r="R2605" t="s">
        <v>1294</v>
      </c>
      <c r="S2605" t="s">
        <v>200</v>
      </c>
      <c r="T2605" t="str">
        <f>VLOOKUP(S2605,'Mapa Oficinas'!$H$7:$I$16,2,FALSE)</f>
        <v>Otra Red Captación</v>
      </c>
      <c r="U2605" t="s">
        <v>29</v>
      </c>
      <c r="V2605" t="str">
        <f>VLOOKUP($R2605,'Mapa Oficinas'!$A$7:$C$46,2,FALSE)</f>
        <v>CABA</v>
      </c>
      <c r="W2605" t="str">
        <f>VLOOKUP($R2605,'Mapa Oficinas'!$A$7:$C$46,3,FALSE)</f>
        <v>Núñez</v>
      </c>
    </row>
    <row r="2606" spans="1:23" x14ac:dyDescent="0.2">
      <c r="A2606" s="1">
        <v>46109</v>
      </c>
      <c r="B2606" s="20">
        <f t="shared" si="80"/>
        <v>2026</v>
      </c>
      <c r="C2606" s="20">
        <f t="shared" si="81"/>
        <v>3</v>
      </c>
      <c r="D2606" t="s">
        <v>7500</v>
      </c>
      <c r="E2606" s="49">
        <v>1</v>
      </c>
      <c r="F2606" t="s">
        <v>7501</v>
      </c>
      <c r="G2606" t="s">
        <v>21</v>
      </c>
      <c r="H2606" t="s">
        <v>81</v>
      </c>
      <c r="I2606" s="13">
        <v>380000</v>
      </c>
      <c r="J2606" s="13">
        <v>357500</v>
      </c>
      <c r="K2606" s="13">
        <f>IF(J2606&lt;'Mapa Oficinas'!$I$21,0,IF(J2606&gt;'Mapa Oficinas'!$I$20,0,1))</f>
        <v>1</v>
      </c>
      <c r="L2606" t="s">
        <v>23</v>
      </c>
      <c r="M2606" t="s">
        <v>23</v>
      </c>
      <c r="N2606" t="s">
        <v>7502</v>
      </c>
      <c r="O2606" t="s">
        <v>141</v>
      </c>
      <c r="P2606" t="s">
        <v>45</v>
      </c>
      <c r="Q2606">
        <v>2</v>
      </c>
      <c r="R2606" t="s">
        <v>523</v>
      </c>
      <c r="S2606" t="s">
        <v>28</v>
      </c>
      <c r="T2606" t="str">
        <f>VLOOKUP(S2606,'Mapa Oficinas'!$H$7:$I$16,2,FALSE)</f>
        <v>CB</v>
      </c>
      <c r="U2606" t="s">
        <v>29</v>
      </c>
      <c r="V2606" t="str">
        <f>VLOOKUP($R2606,'Mapa Oficinas'!$A$7:$C$46,2,FALSE)</f>
        <v>CABA</v>
      </c>
      <c r="W2606" t="str">
        <f>VLOOKUP($R2606,'Mapa Oficinas'!$A$7:$C$46,3,FALSE)</f>
        <v>Belgrano</v>
      </c>
    </row>
    <row r="2607" spans="1:23" x14ac:dyDescent="0.2">
      <c r="A2607" s="1">
        <v>45883</v>
      </c>
      <c r="B2607" s="20">
        <f t="shared" si="80"/>
        <v>2025</v>
      </c>
      <c r="C2607" s="20">
        <f t="shared" si="81"/>
        <v>8</v>
      </c>
      <c r="D2607" t="s">
        <v>3609</v>
      </c>
      <c r="E2607" s="49">
        <v>1</v>
      </c>
      <c r="F2607" t="s">
        <v>3610</v>
      </c>
      <c r="G2607" t="s">
        <v>21</v>
      </c>
      <c r="H2607" t="s">
        <v>37</v>
      </c>
      <c r="I2607" s="13">
        <v>380000</v>
      </c>
      <c r="J2607" s="13">
        <v>358000</v>
      </c>
      <c r="K2607" s="13">
        <f>IF(J2607&lt;'Mapa Oficinas'!$I$21,0,IF(J2607&gt;'Mapa Oficinas'!$I$20,0,1))</f>
        <v>1</v>
      </c>
      <c r="L2607" t="s">
        <v>23</v>
      </c>
      <c r="M2607" t="s">
        <v>23</v>
      </c>
      <c r="N2607" t="s">
        <v>3611</v>
      </c>
      <c r="O2607" t="s">
        <v>408</v>
      </c>
      <c r="P2607" t="s">
        <v>14</v>
      </c>
      <c r="Q2607">
        <v>2</v>
      </c>
      <c r="R2607" t="s">
        <v>135</v>
      </c>
      <c r="S2607" t="s">
        <v>200</v>
      </c>
      <c r="T2607" t="str">
        <f>VLOOKUP(S2607,'Mapa Oficinas'!$H$7:$I$16,2,FALSE)</f>
        <v>Otra Red Captación</v>
      </c>
      <c r="U2607" t="s">
        <v>29</v>
      </c>
      <c r="V2607" t="str">
        <f>VLOOKUP($R2607,'Mapa Oficinas'!$A$7:$C$46,2,FALSE)</f>
        <v>CABA</v>
      </c>
      <c r="W2607" t="str">
        <f>VLOOKUP($R2607,'Mapa Oficinas'!$A$7:$C$46,3,FALSE)</f>
        <v>Recoleta</v>
      </c>
    </row>
    <row r="2608" spans="1:23" x14ac:dyDescent="0.2">
      <c r="A2608" s="1">
        <v>45936</v>
      </c>
      <c r="B2608" s="20">
        <f t="shared" si="80"/>
        <v>2025</v>
      </c>
      <c r="C2608" s="20">
        <f t="shared" si="81"/>
        <v>10</v>
      </c>
      <c r="D2608" t="s">
        <v>4533</v>
      </c>
      <c r="E2608" s="49">
        <v>1</v>
      </c>
      <c r="F2608" t="s">
        <v>4534</v>
      </c>
      <c r="G2608" t="s">
        <v>21</v>
      </c>
      <c r="H2608" t="s">
        <v>37</v>
      </c>
      <c r="I2608" s="13">
        <v>380000</v>
      </c>
      <c r="J2608" s="13">
        <v>360000</v>
      </c>
      <c r="K2608" s="13">
        <f>IF(J2608&lt;'Mapa Oficinas'!$I$21,0,IF(J2608&gt;'Mapa Oficinas'!$I$20,0,1))</f>
        <v>1</v>
      </c>
      <c r="L2608" t="s">
        <v>23</v>
      </c>
      <c r="M2608" t="s">
        <v>23</v>
      </c>
      <c r="N2608" t="s">
        <v>4534</v>
      </c>
      <c r="O2608" t="s">
        <v>1250</v>
      </c>
      <c r="P2608" t="s">
        <v>45</v>
      </c>
      <c r="Q2608">
        <v>1</v>
      </c>
      <c r="R2608" t="s">
        <v>110</v>
      </c>
      <c r="S2608" t="s">
        <v>47</v>
      </c>
      <c r="T2608" t="str">
        <f>VLOOKUP(S2608,'Mapa Oficinas'!$H$7:$I$16,2,FALSE)</f>
        <v>Otra Red Búsqueda</v>
      </c>
      <c r="U2608" t="s">
        <v>29</v>
      </c>
      <c r="V2608" t="str">
        <f>VLOOKUP($R2608,'Mapa Oficinas'!$A$7:$C$46,2,FALSE)</f>
        <v>Zona Norte (GBA)</v>
      </c>
      <c r="W2608" t="str">
        <f>VLOOKUP($R2608,'Mapa Oficinas'!$A$7:$C$46,3,FALSE)</f>
        <v>Nordelta</v>
      </c>
    </row>
    <row r="2609" spans="1:23" x14ac:dyDescent="0.2">
      <c r="A2609" s="1">
        <v>45736</v>
      </c>
      <c r="B2609" s="20">
        <f t="shared" si="80"/>
        <v>2025</v>
      </c>
      <c r="C2609" s="20">
        <f t="shared" si="81"/>
        <v>3</v>
      </c>
      <c r="D2609" t="s">
        <v>1036</v>
      </c>
      <c r="E2609" s="49">
        <v>1</v>
      </c>
      <c r="F2609" t="s">
        <v>1037</v>
      </c>
      <c r="G2609" t="s">
        <v>21</v>
      </c>
      <c r="H2609" t="s">
        <v>100</v>
      </c>
      <c r="I2609" s="13">
        <v>395000</v>
      </c>
      <c r="J2609" s="13">
        <v>360000</v>
      </c>
      <c r="K2609" s="13">
        <f>IF(J2609&lt;'Mapa Oficinas'!$I$21,0,IF(J2609&gt;'Mapa Oficinas'!$I$20,0,1))</f>
        <v>1</v>
      </c>
      <c r="L2609" t="s">
        <v>23</v>
      </c>
      <c r="M2609" t="s">
        <v>23</v>
      </c>
      <c r="N2609" t="s">
        <v>1038</v>
      </c>
      <c r="O2609" t="s">
        <v>50</v>
      </c>
      <c r="P2609" t="s">
        <v>45</v>
      </c>
      <c r="Q2609">
        <v>2</v>
      </c>
      <c r="R2609" t="s">
        <v>135</v>
      </c>
      <c r="S2609" t="s">
        <v>200</v>
      </c>
      <c r="T2609" t="str">
        <f>VLOOKUP(S2609,'Mapa Oficinas'!$H$7:$I$16,2,FALSE)</f>
        <v>Otra Red Captación</v>
      </c>
      <c r="U2609" t="s">
        <v>29</v>
      </c>
      <c r="V2609" t="str">
        <f>VLOOKUP($R2609,'Mapa Oficinas'!$A$7:$C$46,2,FALSE)</f>
        <v>CABA</v>
      </c>
      <c r="W2609" t="str">
        <f>VLOOKUP($R2609,'Mapa Oficinas'!$A$7:$C$46,3,FALSE)</f>
        <v>Recoleta</v>
      </c>
    </row>
    <row r="2610" spans="1:23" x14ac:dyDescent="0.2">
      <c r="A2610" s="1">
        <v>45797</v>
      </c>
      <c r="B2610" s="20">
        <f t="shared" si="80"/>
        <v>2025</v>
      </c>
      <c r="C2610" s="20">
        <f t="shared" si="81"/>
        <v>5</v>
      </c>
      <c r="D2610" t="s">
        <v>2050</v>
      </c>
      <c r="E2610" s="49">
        <v>1</v>
      </c>
      <c r="F2610" t="s">
        <v>2050</v>
      </c>
      <c r="G2610" t="s">
        <v>21</v>
      </c>
      <c r="H2610" t="s">
        <v>90</v>
      </c>
      <c r="I2610" s="13">
        <v>360000</v>
      </c>
      <c r="J2610" s="13">
        <v>360000</v>
      </c>
      <c r="K2610" s="13">
        <f>IF(J2610&lt;'Mapa Oficinas'!$I$21,0,IF(J2610&gt;'Mapa Oficinas'!$I$20,0,1))</f>
        <v>1</v>
      </c>
      <c r="L2610" t="s">
        <v>23</v>
      </c>
      <c r="M2610" t="s">
        <v>23</v>
      </c>
      <c r="N2610" t="s">
        <v>2050</v>
      </c>
      <c r="O2610" t="s">
        <v>837</v>
      </c>
      <c r="P2610" t="s">
        <v>45</v>
      </c>
      <c r="Q2610">
        <v>2</v>
      </c>
      <c r="R2610" t="s">
        <v>56</v>
      </c>
      <c r="S2610" t="s">
        <v>28</v>
      </c>
      <c r="T2610" t="str">
        <f>VLOOKUP(S2610,'Mapa Oficinas'!$H$7:$I$16,2,FALSE)</f>
        <v>CB</v>
      </c>
      <c r="U2610" t="s">
        <v>29</v>
      </c>
      <c r="V2610" t="str">
        <f>VLOOKUP($R2610,'Mapa Oficinas'!$A$7:$C$46,2,FALSE)</f>
        <v>Zona Norte (GBA)</v>
      </c>
      <c r="W2610" t="str">
        <f>VLOOKUP($R2610,'Mapa Oficinas'!$A$7:$C$46,3,FALSE)</f>
        <v>Vicente López</v>
      </c>
    </row>
    <row r="2611" spans="1:23" x14ac:dyDescent="0.2">
      <c r="A2611" s="1">
        <v>45847</v>
      </c>
      <c r="B2611" s="20">
        <f t="shared" si="80"/>
        <v>2025</v>
      </c>
      <c r="C2611" s="20">
        <f t="shared" si="81"/>
        <v>7</v>
      </c>
      <c r="D2611" t="s">
        <v>2948</v>
      </c>
      <c r="E2611" s="49">
        <v>1</v>
      </c>
      <c r="F2611" t="s">
        <v>2948</v>
      </c>
      <c r="G2611" t="s">
        <v>21</v>
      </c>
      <c r="H2611" t="s">
        <v>37</v>
      </c>
      <c r="I2611" s="13">
        <v>360000</v>
      </c>
      <c r="J2611" s="13">
        <v>360000</v>
      </c>
      <c r="K2611" s="13">
        <f>IF(J2611&lt;'Mapa Oficinas'!$I$21,0,IF(J2611&gt;'Mapa Oficinas'!$I$20,0,1))</f>
        <v>1</v>
      </c>
      <c r="L2611" t="s">
        <v>23</v>
      </c>
      <c r="M2611" t="s">
        <v>23</v>
      </c>
      <c r="N2611" t="s">
        <v>2948</v>
      </c>
      <c r="O2611" t="s">
        <v>116</v>
      </c>
      <c r="P2611" t="s">
        <v>34</v>
      </c>
      <c r="Q2611">
        <v>2</v>
      </c>
      <c r="R2611" t="s">
        <v>62</v>
      </c>
      <c r="S2611" t="s">
        <v>28</v>
      </c>
      <c r="T2611" t="str">
        <f>VLOOKUP(S2611,'Mapa Oficinas'!$H$7:$I$16,2,FALSE)</f>
        <v>CB</v>
      </c>
      <c r="U2611" t="s">
        <v>29</v>
      </c>
      <c r="V2611" t="str">
        <f>VLOOKUP($R2611,'Mapa Oficinas'!$A$7:$C$46,2,FALSE)</f>
        <v>CABA</v>
      </c>
      <c r="W2611" t="str">
        <f>VLOOKUP($R2611,'Mapa Oficinas'!$A$7:$C$46,3,FALSE)</f>
        <v>Villa Urquiza</v>
      </c>
    </row>
    <row r="2612" spans="1:23" x14ac:dyDescent="0.2">
      <c r="A2612" s="1">
        <v>45760</v>
      </c>
      <c r="B2612" s="20">
        <f t="shared" si="80"/>
        <v>2025</v>
      </c>
      <c r="C2612" s="20">
        <f t="shared" si="81"/>
        <v>4</v>
      </c>
      <c r="D2612">
        <v>500760</v>
      </c>
      <c r="E2612" s="49">
        <v>1</v>
      </c>
      <c r="F2612" t="s">
        <v>1402</v>
      </c>
      <c r="G2612" t="s">
        <v>21</v>
      </c>
      <c r="H2612" t="s">
        <v>37</v>
      </c>
      <c r="I2612" s="13">
        <v>370000</v>
      </c>
      <c r="J2612" s="13">
        <v>362500</v>
      </c>
      <c r="K2612" s="13">
        <f>IF(J2612&lt;'Mapa Oficinas'!$I$21,0,IF(J2612&gt;'Mapa Oficinas'!$I$20,0,1))</f>
        <v>1</v>
      </c>
      <c r="L2612" t="s">
        <v>23</v>
      </c>
      <c r="M2612" t="s">
        <v>23</v>
      </c>
      <c r="N2612" t="s">
        <v>1403</v>
      </c>
      <c r="O2612" t="s">
        <v>1404</v>
      </c>
      <c r="P2612" t="s">
        <v>34</v>
      </c>
      <c r="Q2612">
        <v>2</v>
      </c>
      <c r="R2612" t="s">
        <v>110</v>
      </c>
      <c r="S2612" t="s">
        <v>200</v>
      </c>
      <c r="T2612" t="str">
        <f>VLOOKUP(S2612,'Mapa Oficinas'!$H$7:$I$16,2,FALSE)</f>
        <v>Otra Red Captación</v>
      </c>
      <c r="U2612" t="s">
        <v>29</v>
      </c>
      <c r="V2612" t="str">
        <f>VLOOKUP($R2612,'Mapa Oficinas'!$A$7:$C$46,2,FALSE)</f>
        <v>Zona Norte (GBA)</v>
      </c>
      <c r="W2612" t="str">
        <f>VLOOKUP($R2612,'Mapa Oficinas'!$A$7:$C$46,3,FALSE)</f>
        <v>Nordelta</v>
      </c>
    </row>
    <row r="2613" spans="1:23" x14ac:dyDescent="0.2">
      <c r="A2613" s="1">
        <v>46078</v>
      </c>
      <c r="B2613" s="20">
        <f t="shared" si="80"/>
        <v>2026</v>
      </c>
      <c r="C2613" s="20">
        <f t="shared" si="81"/>
        <v>2</v>
      </c>
      <c r="D2613" t="s">
        <v>6854</v>
      </c>
      <c r="E2613" s="49">
        <v>1</v>
      </c>
      <c r="F2613" t="s">
        <v>6855</v>
      </c>
      <c r="G2613" t="s">
        <v>21</v>
      </c>
      <c r="H2613" t="s">
        <v>37</v>
      </c>
      <c r="I2613" s="13">
        <v>440000</v>
      </c>
      <c r="J2613" s="13">
        <v>365000</v>
      </c>
      <c r="K2613" s="13">
        <f>IF(J2613&lt;'Mapa Oficinas'!$I$21,0,IF(J2613&gt;'Mapa Oficinas'!$I$20,0,1))</f>
        <v>1</v>
      </c>
      <c r="L2613" t="s">
        <v>23</v>
      </c>
      <c r="M2613" t="s">
        <v>23</v>
      </c>
      <c r="N2613" t="s">
        <v>6855</v>
      </c>
      <c r="O2613" t="s">
        <v>6856</v>
      </c>
      <c r="P2613" t="s">
        <v>34</v>
      </c>
      <c r="Q2613">
        <v>1</v>
      </c>
      <c r="R2613" t="s">
        <v>110</v>
      </c>
      <c r="S2613" t="s">
        <v>47</v>
      </c>
      <c r="T2613" t="str">
        <f>VLOOKUP(S2613,'Mapa Oficinas'!$H$7:$I$16,2,FALSE)</f>
        <v>Otra Red Búsqueda</v>
      </c>
      <c r="U2613" t="s">
        <v>29</v>
      </c>
      <c r="V2613" t="str">
        <f>VLOOKUP($R2613,'Mapa Oficinas'!$A$7:$C$46,2,FALSE)</f>
        <v>Zona Norte (GBA)</v>
      </c>
      <c r="W2613" t="str">
        <f>VLOOKUP($R2613,'Mapa Oficinas'!$A$7:$C$46,3,FALSE)</f>
        <v>Nordelta</v>
      </c>
    </row>
    <row r="2614" spans="1:23" x14ac:dyDescent="0.2">
      <c r="A2614" s="1">
        <v>46108</v>
      </c>
      <c r="B2614" s="20">
        <f t="shared" si="80"/>
        <v>2026</v>
      </c>
      <c r="C2614" s="20">
        <f t="shared" si="81"/>
        <v>3</v>
      </c>
      <c r="D2614" t="s">
        <v>7493</v>
      </c>
      <c r="E2614" s="49">
        <v>1</v>
      </c>
      <c r="F2614" t="s">
        <v>7494</v>
      </c>
      <c r="G2614" t="s">
        <v>21</v>
      </c>
      <c r="H2614" t="s">
        <v>37</v>
      </c>
      <c r="I2614" s="13">
        <v>385000</v>
      </c>
      <c r="J2614" s="13">
        <v>365000</v>
      </c>
      <c r="K2614" s="13">
        <f>IF(J2614&lt;'Mapa Oficinas'!$I$21,0,IF(J2614&gt;'Mapa Oficinas'!$I$20,0,1))</f>
        <v>1</v>
      </c>
      <c r="L2614" t="s">
        <v>23</v>
      </c>
      <c r="M2614" t="s">
        <v>23</v>
      </c>
      <c r="N2614" t="s">
        <v>7495</v>
      </c>
      <c r="O2614" t="s">
        <v>408</v>
      </c>
      <c r="P2614" t="s">
        <v>45</v>
      </c>
      <c r="Q2614">
        <v>2</v>
      </c>
      <c r="R2614" t="s">
        <v>67</v>
      </c>
      <c r="S2614" t="s">
        <v>200</v>
      </c>
      <c r="T2614" t="str">
        <f>VLOOKUP(S2614,'Mapa Oficinas'!$H$7:$I$16,2,FALSE)</f>
        <v>Otra Red Captación</v>
      </c>
      <c r="U2614" t="s">
        <v>29</v>
      </c>
      <c r="V2614" t="str">
        <f>VLOOKUP($R2614,'Mapa Oficinas'!$A$7:$C$46,2,FALSE)</f>
        <v>CABA</v>
      </c>
      <c r="W2614" t="str">
        <f>VLOOKUP($R2614,'Mapa Oficinas'!$A$7:$C$46,3,FALSE)</f>
        <v>Barrio Parque</v>
      </c>
    </row>
    <row r="2615" spans="1:23" x14ac:dyDescent="0.2">
      <c r="A2615" s="1">
        <v>45702</v>
      </c>
      <c r="B2615" s="20">
        <f t="shared" si="80"/>
        <v>2025</v>
      </c>
      <c r="C2615" s="20">
        <f t="shared" si="81"/>
        <v>2</v>
      </c>
      <c r="D2615" t="s">
        <v>618</v>
      </c>
      <c r="E2615" s="49">
        <v>1</v>
      </c>
      <c r="F2615" t="s">
        <v>619</v>
      </c>
      <c r="G2615" t="s">
        <v>21</v>
      </c>
      <c r="H2615" t="s">
        <v>37</v>
      </c>
      <c r="I2615" s="13">
        <v>375000</v>
      </c>
      <c r="J2615" s="13">
        <v>365000</v>
      </c>
      <c r="K2615" s="13">
        <f>IF(J2615&lt;'Mapa Oficinas'!$I$21,0,IF(J2615&gt;'Mapa Oficinas'!$I$20,0,1))</f>
        <v>1</v>
      </c>
      <c r="L2615" t="s">
        <v>23</v>
      </c>
      <c r="M2615" t="s">
        <v>23</v>
      </c>
      <c r="N2615" t="s">
        <v>620</v>
      </c>
      <c r="O2615" t="s">
        <v>621</v>
      </c>
      <c r="P2615" t="s">
        <v>34</v>
      </c>
      <c r="Q2615">
        <v>2</v>
      </c>
      <c r="R2615" t="s">
        <v>110</v>
      </c>
      <c r="S2615" t="s">
        <v>28</v>
      </c>
      <c r="T2615" t="str">
        <f>VLOOKUP(S2615,'Mapa Oficinas'!$H$7:$I$16,2,FALSE)</f>
        <v>CB</v>
      </c>
      <c r="U2615" t="s">
        <v>29</v>
      </c>
      <c r="V2615" t="str">
        <f>VLOOKUP($R2615,'Mapa Oficinas'!$A$7:$C$46,2,FALSE)</f>
        <v>Zona Norte (GBA)</v>
      </c>
      <c r="W2615" t="str">
        <f>VLOOKUP($R2615,'Mapa Oficinas'!$A$7:$C$46,3,FALSE)</f>
        <v>Nordelta</v>
      </c>
    </row>
    <row r="2616" spans="1:23" x14ac:dyDescent="0.2">
      <c r="A2616" s="1">
        <v>45855</v>
      </c>
      <c r="B2616" s="20">
        <f t="shared" si="80"/>
        <v>2025</v>
      </c>
      <c r="C2616" s="20">
        <f t="shared" si="81"/>
        <v>7</v>
      </c>
      <c r="D2616" t="s">
        <v>3095</v>
      </c>
      <c r="E2616" s="49">
        <v>1</v>
      </c>
      <c r="F2616" t="s">
        <v>3096</v>
      </c>
      <c r="G2616" t="s">
        <v>21</v>
      </c>
      <c r="H2616" t="s">
        <v>37</v>
      </c>
      <c r="I2616" s="13">
        <v>2300</v>
      </c>
      <c r="J2616" s="13">
        <v>365000</v>
      </c>
      <c r="K2616" s="13">
        <f>IF(J2616&lt;'Mapa Oficinas'!$I$21,0,IF(J2616&gt;'Mapa Oficinas'!$I$20,0,1))</f>
        <v>1</v>
      </c>
      <c r="L2616" t="s">
        <v>23</v>
      </c>
      <c r="M2616" t="s">
        <v>23</v>
      </c>
      <c r="N2616" t="s">
        <v>3097</v>
      </c>
      <c r="O2616" t="s">
        <v>3098</v>
      </c>
      <c r="P2616" t="s">
        <v>34</v>
      </c>
      <c r="Q2616">
        <v>2</v>
      </c>
      <c r="R2616" t="s">
        <v>110</v>
      </c>
      <c r="S2616" t="s">
        <v>28</v>
      </c>
      <c r="T2616" t="str">
        <f>VLOOKUP(S2616,'Mapa Oficinas'!$H$7:$I$16,2,FALSE)</f>
        <v>CB</v>
      </c>
      <c r="U2616" t="s">
        <v>29</v>
      </c>
      <c r="V2616" t="str">
        <f>VLOOKUP($R2616,'Mapa Oficinas'!$A$7:$C$46,2,FALSE)</f>
        <v>Zona Norte (GBA)</v>
      </c>
      <c r="W2616" t="str">
        <f>VLOOKUP($R2616,'Mapa Oficinas'!$A$7:$C$46,3,FALSE)</f>
        <v>Nordelta</v>
      </c>
    </row>
    <row r="2617" spans="1:23" x14ac:dyDescent="0.2">
      <c r="A2617" s="1">
        <v>45933</v>
      </c>
      <c r="B2617" s="20">
        <f t="shared" si="80"/>
        <v>2025</v>
      </c>
      <c r="C2617" s="20">
        <f t="shared" si="81"/>
        <v>10</v>
      </c>
      <c r="D2617" t="s">
        <v>4500</v>
      </c>
      <c r="E2617" s="49">
        <v>1</v>
      </c>
      <c r="F2617" t="s">
        <v>4501</v>
      </c>
      <c r="G2617" t="s">
        <v>21</v>
      </c>
      <c r="H2617" t="s">
        <v>37</v>
      </c>
      <c r="I2617" s="13">
        <v>390000</v>
      </c>
      <c r="J2617" s="13">
        <v>365000</v>
      </c>
      <c r="K2617" s="13">
        <f>IF(J2617&lt;'Mapa Oficinas'!$I$21,0,IF(J2617&gt;'Mapa Oficinas'!$I$20,0,1))</f>
        <v>1</v>
      </c>
      <c r="L2617" t="s">
        <v>23</v>
      </c>
      <c r="M2617" t="s">
        <v>23</v>
      </c>
      <c r="N2617" t="s">
        <v>4502</v>
      </c>
      <c r="O2617" t="s">
        <v>190</v>
      </c>
      <c r="P2617" t="s">
        <v>45</v>
      </c>
      <c r="Q2617">
        <v>2</v>
      </c>
      <c r="R2617" t="s">
        <v>523</v>
      </c>
      <c r="S2617" t="s">
        <v>28</v>
      </c>
      <c r="T2617" t="str">
        <f>VLOOKUP(S2617,'Mapa Oficinas'!$H$7:$I$16,2,FALSE)</f>
        <v>CB</v>
      </c>
      <c r="U2617" t="s">
        <v>29</v>
      </c>
      <c r="V2617" t="str">
        <f>VLOOKUP($R2617,'Mapa Oficinas'!$A$7:$C$46,2,FALSE)</f>
        <v>CABA</v>
      </c>
      <c r="W2617" t="str">
        <f>VLOOKUP($R2617,'Mapa Oficinas'!$A$7:$C$46,3,FALSE)</f>
        <v>Belgrano</v>
      </c>
    </row>
    <row r="2618" spans="1:23" x14ac:dyDescent="0.2">
      <c r="A2618" s="1">
        <v>45944</v>
      </c>
      <c r="B2618" s="20">
        <f t="shared" si="80"/>
        <v>2025</v>
      </c>
      <c r="C2618" s="20">
        <f t="shared" si="81"/>
        <v>10</v>
      </c>
      <c r="D2618">
        <v>531383</v>
      </c>
      <c r="E2618" s="49">
        <v>1</v>
      </c>
      <c r="F2618" t="s">
        <v>4689</v>
      </c>
      <c r="G2618" t="s">
        <v>21</v>
      </c>
      <c r="H2618" t="s">
        <v>37</v>
      </c>
      <c r="I2618" s="13">
        <v>475000</v>
      </c>
      <c r="J2618" s="13">
        <v>370000</v>
      </c>
      <c r="K2618" s="13">
        <f>IF(J2618&lt;'Mapa Oficinas'!$I$21,0,IF(J2618&gt;'Mapa Oficinas'!$I$20,0,1))</f>
        <v>1</v>
      </c>
      <c r="L2618" t="s">
        <v>23</v>
      </c>
      <c r="M2618" t="s">
        <v>23</v>
      </c>
      <c r="N2618" t="s">
        <v>4689</v>
      </c>
      <c r="O2618" t="s">
        <v>4690</v>
      </c>
      <c r="P2618" t="s">
        <v>34</v>
      </c>
      <c r="Q2618">
        <v>1</v>
      </c>
      <c r="R2618" t="s">
        <v>110</v>
      </c>
      <c r="S2618" t="s">
        <v>47</v>
      </c>
      <c r="T2618" t="str">
        <f>VLOOKUP(S2618,'Mapa Oficinas'!$H$7:$I$16,2,FALSE)</f>
        <v>Otra Red Búsqueda</v>
      </c>
      <c r="U2618" t="s">
        <v>29</v>
      </c>
      <c r="V2618" t="str">
        <f>VLOOKUP($R2618,'Mapa Oficinas'!$A$7:$C$46,2,FALSE)</f>
        <v>Zona Norte (GBA)</v>
      </c>
      <c r="W2618" t="str">
        <f>VLOOKUP($R2618,'Mapa Oficinas'!$A$7:$C$46,3,FALSE)</f>
        <v>Nordelta</v>
      </c>
    </row>
    <row r="2619" spans="1:23" x14ac:dyDescent="0.2">
      <c r="A2619" s="1">
        <v>45748</v>
      </c>
      <c r="B2619" s="20">
        <f t="shared" si="80"/>
        <v>2025</v>
      </c>
      <c r="C2619" s="20">
        <f t="shared" si="81"/>
        <v>4</v>
      </c>
      <c r="D2619" t="s">
        <v>1243</v>
      </c>
      <c r="E2619" s="49">
        <v>1</v>
      </c>
      <c r="F2619" t="s">
        <v>1244</v>
      </c>
      <c r="G2619" t="s">
        <v>21</v>
      </c>
      <c r="H2619" t="s">
        <v>22</v>
      </c>
      <c r="I2619" s="13">
        <v>394900</v>
      </c>
      <c r="J2619" s="13">
        <v>370000</v>
      </c>
      <c r="K2619" s="13">
        <f>IF(J2619&lt;'Mapa Oficinas'!$I$21,0,IF(J2619&gt;'Mapa Oficinas'!$I$20,0,1))</f>
        <v>1</v>
      </c>
      <c r="L2619" t="s">
        <v>23</v>
      </c>
      <c r="M2619" t="s">
        <v>23</v>
      </c>
      <c r="N2619" t="s">
        <v>1245</v>
      </c>
      <c r="O2619" t="s">
        <v>1246</v>
      </c>
      <c r="P2619" t="s">
        <v>34</v>
      </c>
      <c r="Q2619">
        <v>2</v>
      </c>
      <c r="R2619" t="s">
        <v>27</v>
      </c>
      <c r="S2619" t="s">
        <v>200</v>
      </c>
      <c r="T2619" t="str">
        <f>VLOOKUP(S2619,'Mapa Oficinas'!$H$7:$I$16,2,FALSE)</f>
        <v>Otra Red Captación</v>
      </c>
      <c r="U2619" t="s">
        <v>29</v>
      </c>
      <c r="V2619" t="str">
        <f>VLOOKUP($R2619,'Mapa Oficinas'!$A$7:$C$46,2,FALSE)</f>
        <v>Zona Norte (GBA)</v>
      </c>
      <c r="W2619" t="str">
        <f>VLOOKUP($R2619,'Mapa Oficinas'!$A$7:$C$46,3,FALSE)</f>
        <v>Tigre</v>
      </c>
    </row>
    <row r="2620" spans="1:23" x14ac:dyDescent="0.2">
      <c r="A2620" s="1">
        <v>45805</v>
      </c>
      <c r="B2620" s="20">
        <f t="shared" si="80"/>
        <v>2025</v>
      </c>
      <c r="C2620" s="20">
        <f t="shared" si="81"/>
        <v>5</v>
      </c>
      <c r="D2620" t="s">
        <v>1243</v>
      </c>
      <c r="E2620" s="49">
        <v>1</v>
      </c>
      <c r="F2620" t="s">
        <v>1244</v>
      </c>
      <c r="G2620" t="s">
        <v>21</v>
      </c>
      <c r="H2620" t="s">
        <v>76</v>
      </c>
      <c r="I2620" s="13">
        <v>394900</v>
      </c>
      <c r="J2620" s="13">
        <v>370000</v>
      </c>
      <c r="K2620" s="13">
        <f>IF(J2620&lt;'Mapa Oficinas'!$I$21,0,IF(J2620&gt;'Mapa Oficinas'!$I$20,0,1))</f>
        <v>1</v>
      </c>
      <c r="L2620" t="s">
        <v>23</v>
      </c>
      <c r="M2620" t="s">
        <v>23</v>
      </c>
      <c r="N2620" t="s">
        <v>1245</v>
      </c>
      <c r="O2620" t="s">
        <v>1246</v>
      </c>
      <c r="P2620" t="s">
        <v>34</v>
      </c>
      <c r="Q2620">
        <v>2</v>
      </c>
      <c r="R2620" t="s">
        <v>27</v>
      </c>
      <c r="S2620" t="s">
        <v>200</v>
      </c>
      <c r="T2620" t="str">
        <f>VLOOKUP(S2620,'Mapa Oficinas'!$H$7:$I$16,2,FALSE)</f>
        <v>Otra Red Captación</v>
      </c>
      <c r="U2620" t="s">
        <v>29</v>
      </c>
      <c r="V2620" t="str">
        <f>VLOOKUP($R2620,'Mapa Oficinas'!$A$7:$C$46,2,FALSE)</f>
        <v>Zona Norte (GBA)</v>
      </c>
      <c r="W2620" t="str">
        <f>VLOOKUP($R2620,'Mapa Oficinas'!$A$7:$C$46,3,FALSE)</f>
        <v>Tigre</v>
      </c>
    </row>
    <row r="2621" spans="1:23" x14ac:dyDescent="0.2">
      <c r="A2621" s="1">
        <v>45715</v>
      </c>
      <c r="B2621" s="20">
        <f t="shared" si="80"/>
        <v>2025</v>
      </c>
      <c r="C2621" s="20">
        <f t="shared" si="81"/>
        <v>2</v>
      </c>
      <c r="D2621" t="s">
        <v>779</v>
      </c>
      <c r="E2621" s="49">
        <v>1</v>
      </c>
      <c r="F2621" t="s">
        <v>780</v>
      </c>
      <c r="G2621" t="s">
        <v>21</v>
      </c>
      <c r="H2621" t="s">
        <v>37</v>
      </c>
      <c r="I2621" s="13">
        <v>385000</v>
      </c>
      <c r="J2621" s="13">
        <v>370000</v>
      </c>
      <c r="K2621" s="13">
        <f>IF(J2621&lt;'Mapa Oficinas'!$I$21,0,IF(J2621&gt;'Mapa Oficinas'!$I$20,0,1))</f>
        <v>1</v>
      </c>
      <c r="L2621" t="s">
        <v>23</v>
      </c>
      <c r="M2621" t="s">
        <v>23</v>
      </c>
      <c r="N2621" t="s">
        <v>780</v>
      </c>
      <c r="O2621" t="s">
        <v>781</v>
      </c>
      <c r="P2621" t="s">
        <v>45</v>
      </c>
      <c r="Q2621">
        <v>2</v>
      </c>
      <c r="R2621" t="s">
        <v>257</v>
      </c>
      <c r="S2621" t="s">
        <v>28</v>
      </c>
      <c r="T2621" t="str">
        <f>VLOOKUP(S2621,'Mapa Oficinas'!$H$7:$I$16,2,FALSE)</f>
        <v>CB</v>
      </c>
      <c r="U2621" t="s">
        <v>29</v>
      </c>
      <c r="V2621" t="str">
        <f>VLOOKUP($R2621,'Mapa Oficinas'!$A$7:$C$46,2,FALSE)</f>
        <v>Zona Norte (GBA)</v>
      </c>
      <c r="W2621" t="str">
        <f>VLOOKUP($R2621,'Mapa Oficinas'!$A$7:$C$46,3,FALSE)</f>
        <v>Pilar</v>
      </c>
    </row>
    <row r="2622" spans="1:23" x14ac:dyDescent="0.2">
      <c r="A2622" s="1">
        <v>46057</v>
      </c>
      <c r="B2622" s="20">
        <f t="shared" si="80"/>
        <v>2026</v>
      </c>
      <c r="C2622" s="20">
        <f t="shared" si="81"/>
        <v>2</v>
      </c>
      <c r="D2622" t="s">
        <v>6536</v>
      </c>
      <c r="E2622" s="49">
        <v>1</v>
      </c>
      <c r="F2622" t="s">
        <v>6537</v>
      </c>
      <c r="G2622" t="s">
        <v>21</v>
      </c>
      <c r="H2622" t="s">
        <v>37</v>
      </c>
      <c r="I2622" s="13">
        <v>374000</v>
      </c>
      <c r="J2622" s="13">
        <v>374000</v>
      </c>
      <c r="K2622" s="13">
        <f>IF(J2622&lt;'Mapa Oficinas'!$I$21,0,IF(J2622&gt;'Mapa Oficinas'!$I$20,0,1))</f>
        <v>1</v>
      </c>
      <c r="L2622" t="s">
        <v>23</v>
      </c>
      <c r="M2622" t="s">
        <v>23</v>
      </c>
      <c r="O2622" t="s">
        <v>1459</v>
      </c>
      <c r="P2622" t="s">
        <v>45</v>
      </c>
      <c r="Q2622">
        <v>1</v>
      </c>
      <c r="R2622" t="s">
        <v>46</v>
      </c>
      <c r="S2622" t="s">
        <v>47</v>
      </c>
      <c r="T2622" t="str">
        <f>VLOOKUP(S2622,'Mapa Oficinas'!$H$7:$I$16,2,FALSE)</f>
        <v>Otra Red Búsqueda</v>
      </c>
      <c r="U2622" t="s">
        <v>29</v>
      </c>
      <c r="V2622" t="str">
        <f>VLOOKUP($R2622,'Mapa Oficinas'!$A$7:$C$46,2,FALSE)</f>
        <v>CABA</v>
      </c>
      <c r="W2622" t="str">
        <f>VLOOKUP($R2622,'Mapa Oficinas'!$A$7:$C$46,3,FALSE)</f>
        <v>Palermo</v>
      </c>
    </row>
    <row r="2623" spans="1:23" x14ac:dyDescent="0.2">
      <c r="A2623" s="1">
        <v>45701</v>
      </c>
      <c r="B2623" s="20">
        <f t="shared" si="80"/>
        <v>2025</v>
      </c>
      <c r="C2623" s="20">
        <f t="shared" si="81"/>
        <v>2</v>
      </c>
      <c r="D2623" t="s">
        <v>585</v>
      </c>
      <c r="E2623" s="49">
        <v>1</v>
      </c>
      <c r="F2623" t="s">
        <v>586</v>
      </c>
      <c r="G2623" t="s">
        <v>21</v>
      </c>
      <c r="H2623" t="s">
        <v>119</v>
      </c>
      <c r="I2623" s="13">
        <v>375000</v>
      </c>
      <c r="J2623" s="13">
        <v>375000</v>
      </c>
      <c r="K2623" s="13">
        <f>IF(J2623&lt;'Mapa Oficinas'!$I$21,0,IF(J2623&gt;'Mapa Oficinas'!$I$20,0,1))</f>
        <v>1</v>
      </c>
      <c r="L2623" t="s">
        <v>23</v>
      </c>
      <c r="M2623" t="s">
        <v>23</v>
      </c>
      <c r="N2623" t="s">
        <v>587</v>
      </c>
      <c r="O2623" t="s">
        <v>588</v>
      </c>
      <c r="P2623" t="s">
        <v>34</v>
      </c>
      <c r="Q2623">
        <v>2</v>
      </c>
      <c r="R2623" t="s">
        <v>121</v>
      </c>
      <c r="S2623" t="s">
        <v>79</v>
      </c>
      <c r="T2623" t="str">
        <f>VLOOKUP(S2623,'Mapa Oficinas'!$H$7:$I$16,2,FALSE)</f>
        <v>CB</v>
      </c>
      <c r="U2623" t="s">
        <v>29</v>
      </c>
      <c r="V2623" t="str">
        <f>VLOOKUP($R2623,'Mapa Oficinas'!$A$7:$C$46,2,FALSE)</f>
        <v>Interior - Río Negro</v>
      </c>
      <c r="W2623" t="str">
        <f>VLOOKUP($R2623,'Mapa Oficinas'!$A$7:$C$46,3,FALSE)</f>
        <v>Bariloche</v>
      </c>
    </row>
    <row r="2624" spans="1:23" x14ac:dyDescent="0.2">
      <c r="A2624" s="1">
        <v>45762</v>
      </c>
      <c r="B2624" s="20">
        <f t="shared" si="80"/>
        <v>2025</v>
      </c>
      <c r="C2624" s="20">
        <f t="shared" si="81"/>
        <v>4</v>
      </c>
      <c r="D2624" t="s">
        <v>1463</v>
      </c>
      <c r="E2624" s="49">
        <v>1</v>
      </c>
      <c r="F2624" t="s">
        <v>1464</v>
      </c>
      <c r="G2624" t="s">
        <v>21</v>
      </c>
      <c r="H2624" t="s">
        <v>37</v>
      </c>
      <c r="I2624" s="13">
        <v>60000</v>
      </c>
      <c r="J2624" s="13">
        <v>375000</v>
      </c>
      <c r="K2624" s="13">
        <f>IF(J2624&lt;'Mapa Oficinas'!$I$21,0,IF(J2624&gt;'Mapa Oficinas'!$I$20,0,1))</f>
        <v>1</v>
      </c>
      <c r="L2624" t="s">
        <v>23</v>
      </c>
      <c r="M2624" t="s">
        <v>23</v>
      </c>
      <c r="N2624" t="s">
        <v>1465</v>
      </c>
      <c r="O2624" t="s">
        <v>1196</v>
      </c>
      <c r="P2624" t="s">
        <v>45</v>
      </c>
      <c r="Q2624">
        <v>2</v>
      </c>
      <c r="R2624" t="s">
        <v>110</v>
      </c>
      <c r="S2624" t="s">
        <v>200</v>
      </c>
      <c r="T2624" t="str">
        <f>VLOOKUP(S2624,'Mapa Oficinas'!$H$7:$I$16,2,FALSE)</f>
        <v>Otra Red Captación</v>
      </c>
      <c r="U2624" t="s">
        <v>29</v>
      </c>
      <c r="V2624" t="str">
        <f>VLOOKUP($R2624,'Mapa Oficinas'!$A$7:$C$46,2,FALSE)</f>
        <v>Zona Norte (GBA)</v>
      </c>
      <c r="W2624" t="str">
        <f>VLOOKUP($R2624,'Mapa Oficinas'!$A$7:$C$46,3,FALSE)</f>
        <v>Nordelta</v>
      </c>
    </row>
    <row r="2625" spans="1:23" x14ac:dyDescent="0.2">
      <c r="A2625" s="1">
        <v>45882</v>
      </c>
      <c r="B2625" s="20">
        <f t="shared" si="80"/>
        <v>2025</v>
      </c>
      <c r="C2625" s="20">
        <f t="shared" si="81"/>
        <v>8</v>
      </c>
      <c r="D2625" t="s">
        <v>3588</v>
      </c>
      <c r="E2625" s="49">
        <v>1</v>
      </c>
      <c r="F2625" t="s">
        <v>3589</v>
      </c>
      <c r="G2625" t="s">
        <v>21</v>
      </c>
      <c r="H2625" t="s">
        <v>37</v>
      </c>
      <c r="I2625" s="13">
        <v>370000</v>
      </c>
      <c r="J2625" s="13">
        <v>380000</v>
      </c>
      <c r="K2625" s="13">
        <f>IF(J2625&lt;'Mapa Oficinas'!$I$21,0,IF(J2625&gt;'Mapa Oficinas'!$I$20,0,1))</f>
        <v>1</v>
      </c>
      <c r="L2625" t="s">
        <v>23</v>
      </c>
      <c r="M2625" t="s">
        <v>23</v>
      </c>
      <c r="N2625" t="s">
        <v>3590</v>
      </c>
      <c r="O2625" t="s">
        <v>1222</v>
      </c>
      <c r="P2625" t="s">
        <v>45</v>
      </c>
      <c r="Q2625">
        <v>2</v>
      </c>
      <c r="R2625" t="s">
        <v>67</v>
      </c>
      <c r="S2625" t="s">
        <v>200</v>
      </c>
      <c r="T2625" t="str">
        <f>VLOOKUP(S2625,'Mapa Oficinas'!$H$7:$I$16,2,FALSE)</f>
        <v>Otra Red Captación</v>
      </c>
      <c r="U2625" t="s">
        <v>29</v>
      </c>
      <c r="V2625" t="str">
        <f>VLOOKUP($R2625,'Mapa Oficinas'!$A$7:$C$46,2,FALSE)</f>
        <v>CABA</v>
      </c>
      <c r="W2625" t="str">
        <f>VLOOKUP($R2625,'Mapa Oficinas'!$A$7:$C$46,3,FALSE)</f>
        <v>Barrio Parque</v>
      </c>
    </row>
    <row r="2626" spans="1:23" x14ac:dyDescent="0.2">
      <c r="A2626" s="1">
        <v>46007</v>
      </c>
      <c r="B2626" s="20">
        <f t="shared" ref="B2626:B2689" si="82">YEAR($A2626)</f>
        <v>2025</v>
      </c>
      <c r="C2626" s="20">
        <f t="shared" ref="C2626:C2689" si="83">MONTH($A2626)</f>
        <v>12</v>
      </c>
      <c r="D2626" t="s">
        <v>5816</v>
      </c>
      <c r="E2626" s="49">
        <v>1</v>
      </c>
      <c r="F2626" t="s">
        <v>5817</v>
      </c>
      <c r="G2626" t="s">
        <v>21</v>
      </c>
      <c r="H2626" t="s">
        <v>37</v>
      </c>
      <c r="I2626" s="13">
        <v>395000</v>
      </c>
      <c r="J2626" s="13">
        <v>380000</v>
      </c>
      <c r="K2626" s="13">
        <f>IF(J2626&lt;'Mapa Oficinas'!$I$21,0,IF(J2626&gt;'Mapa Oficinas'!$I$20,0,1))</f>
        <v>1</v>
      </c>
      <c r="L2626" t="s">
        <v>23</v>
      </c>
      <c r="M2626" t="s">
        <v>23</v>
      </c>
      <c r="N2626" t="s">
        <v>5818</v>
      </c>
      <c r="O2626" t="s">
        <v>2194</v>
      </c>
      <c r="P2626" t="s">
        <v>45</v>
      </c>
      <c r="Q2626">
        <v>2</v>
      </c>
      <c r="R2626" t="s">
        <v>135</v>
      </c>
      <c r="S2626" t="s">
        <v>200</v>
      </c>
      <c r="T2626" t="str">
        <f>VLOOKUP(S2626,'Mapa Oficinas'!$H$7:$I$16,2,FALSE)</f>
        <v>Otra Red Captación</v>
      </c>
      <c r="U2626" t="s">
        <v>29</v>
      </c>
      <c r="V2626" t="str">
        <f>VLOOKUP($R2626,'Mapa Oficinas'!$A$7:$C$46,2,FALSE)</f>
        <v>CABA</v>
      </c>
      <c r="W2626" t="str">
        <f>VLOOKUP($R2626,'Mapa Oficinas'!$A$7:$C$46,3,FALSE)</f>
        <v>Recoleta</v>
      </c>
    </row>
    <row r="2627" spans="1:23" x14ac:dyDescent="0.2">
      <c r="A2627" s="1">
        <v>45751</v>
      </c>
      <c r="B2627" s="20">
        <f t="shared" si="82"/>
        <v>2025</v>
      </c>
      <c r="C2627" s="20">
        <f t="shared" si="83"/>
        <v>4</v>
      </c>
      <c r="D2627" t="s">
        <v>1302</v>
      </c>
      <c r="E2627" s="49">
        <v>1</v>
      </c>
      <c r="F2627" t="s">
        <v>1303</v>
      </c>
      <c r="G2627" t="s">
        <v>21</v>
      </c>
      <c r="H2627" t="s">
        <v>76</v>
      </c>
      <c r="I2627" s="13">
        <v>420000</v>
      </c>
      <c r="J2627" s="13">
        <v>380000</v>
      </c>
      <c r="K2627" s="13">
        <f>IF(J2627&lt;'Mapa Oficinas'!$I$21,0,IF(J2627&gt;'Mapa Oficinas'!$I$20,0,1))</f>
        <v>1</v>
      </c>
      <c r="L2627" t="s">
        <v>23</v>
      </c>
      <c r="M2627" t="s">
        <v>23</v>
      </c>
      <c r="N2627" t="s">
        <v>1304</v>
      </c>
      <c r="O2627" t="s">
        <v>1305</v>
      </c>
      <c r="P2627" t="s">
        <v>34</v>
      </c>
      <c r="Q2627">
        <v>2</v>
      </c>
      <c r="R2627" t="s">
        <v>257</v>
      </c>
      <c r="S2627" t="s">
        <v>28</v>
      </c>
      <c r="T2627" t="str">
        <f>VLOOKUP(S2627,'Mapa Oficinas'!$H$7:$I$16,2,FALSE)</f>
        <v>CB</v>
      </c>
      <c r="U2627" t="s">
        <v>29</v>
      </c>
      <c r="V2627" t="str">
        <f>VLOOKUP($R2627,'Mapa Oficinas'!$A$7:$C$46,2,FALSE)</f>
        <v>Zona Norte (GBA)</v>
      </c>
      <c r="W2627" t="str">
        <f>VLOOKUP($R2627,'Mapa Oficinas'!$A$7:$C$46,3,FALSE)</f>
        <v>Pilar</v>
      </c>
    </row>
    <row r="2628" spans="1:23" x14ac:dyDescent="0.2">
      <c r="A2628" s="1">
        <v>45890</v>
      </c>
      <c r="B2628" s="20">
        <f t="shared" si="82"/>
        <v>2025</v>
      </c>
      <c r="C2628" s="20">
        <f t="shared" si="83"/>
        <v>8</v>
      </c>
      <c r="D2628" t="s">
        <v>3709</v>
      </c>
      <c r="E2628" s="49">
        <v>1</v>
      </c>
      <c r="F2628" t="s">
        <v>3710</v>
      </c>
      <c r="G2628" t="s">
        <v>21</v>
      </c>
      <c r="H2628" t="s">
        <v>37</v>
      </c>
      <c r="I2628" s="13">
        <v>450000</v>
      </c>
      <c r="J2628" s="13">
        <v>380000</v>
      </c>
      <c r="K2628" s="13">
        <f>IF(J2628&lt;'Mapa Oficinas'!$I$21,0,IF(J2628&gt;'Mapa Oficinas'!$I$20,0,1))</f>
        <v>1</v>
      </c>
      <c r="L2628" t="s">
        <v>23</v>
      </c>
      <c r="M2628" t="s">
        <v>23</v>
      </c>
      <c r="N2628" t="s">
        <v>3711</v>
      </c>
      <c r="O2628" t="s">
        <v>380</v>
      </c>
      <c r="P2628" t="s">
        <v>34</v>
      </c>
      <c r="Q2628">
        <v>2</v>
      </c>
      <c r="R2628" t="s">
        <v>523</v>
      </c>
      <c r="S2628" t="s">
        <v>28</v>
      </c>
      <c r="T2628" t="str">
        <f>VLOOKUP(S2628,'Mapa Oficinas'!$H$7:$I$16,2,FALSE)</f>
        <v>CB</v>
      </c>
      <c r="U2628" t="s">
        <v>29</v>
      </c>
      <c r="V2628" t="str">
        <f>VLOOKUP($R2628,'Mapa Oficinas'!$A$7:$C$46,2,FALSE)</f>
        <v>CABA</v>
      </c>
      <c r="W2628" t="str">
        <f>VLOOKUP($R2628,'Mapa Oficinas'!$A$7:$C$46,3,FALSE)</f>
        <v>Belgrano</v>
      </c>
    </row>
    <row r="2629" spans="1:23" x14ac:dyDescent="0.2">
      <c r="A2629" s="1">
        <v>45918</v>
      </c>
      <c r="B2629" s="20">
        <f t="shared" si="82"/>
        <v>2025</v>
      </c>
      <c r="C2629" s="20">
        <f t="shared" si="83"/>
        <v>9</v>
      </c>
      <c r="D2629" t="s">
        <v>4232</v>
      </c>
      <c r="E2629" s="49">
        <v>1</v>
      </c>
      <c r="F2629" t="s">
        <v>4233</v>
      </c>
      <c r="G2629" t="s">
        <v>21</v>
      </c>
      <c r="H2629" t="s">
        <v>37</v>
      </c>
      <c r="I2629" s="13">
        <v>440000</v>
      </c>
      <c r="J2629" s="13">
        <v>380000</v>
      </c>
      <c r="K2629" s="13">
        <f>IF(J2629&lt;'Mapa Oficinas'!$I$21,0,IF(J2629&gt;'Mapa Oficinas'!$I$20,0,1))</f>
        <v>1</v>
      </c>
      <c r="L2629" t="s">
        <v>23</v>
      </c>
      <c r="M2629" t="s">
        <v>23</v>
      </c>
      <c r="N2629" t="s">
        <v>4234</v>
      </c>
      <c r="O2629" t="s">
        <v>452</v>
      </c>
      <c r="P2629" t="s">
        <v>61</v>
      </c>
      <c r="Q2629">
        <v>2</v>
      </c>
      <c r="R2629" t="s">
        <v>46</v>
      </c>
      <c r="S2629" t="s">
        <v>28</v>
      </c>
      <c r="T2629" t="str">
        <f>VLOOKUP(S2629,'Mapa Oficinas'!$H$7:$I$16,2,FALSE)</f>
        <v>CB</v>
      </c>
      <c r="U2629" t="s">
        <v>29</v>
      </c>
      <c r="V2629" t="str">
        <f>VLOOKUP($R2629,'Mapa Oficinas'!$A$7:$C$46,2,FALSE)</f>
        <v>CABA</v>
      </c>
      <c r="W2629" t="str">
        <f>VLOOKUP($R2629,'Mapa Oficinas'!$A$7:$C$46,3,FALSE)</f>
        <v>Palermo</v>
      </c>
    </row>
    <row r="2630" spans="1:23" x14ac:dyDescent="0.2">
      <c r="A2630" s="1">
        <v>45854</v>
      </c>
      <c r="B2630" s="20">
        <f t="shared" si="82"/>
        <v>2025</v>
      </c>
      <c r="C2630" s="20">
        <f t="shared" si="83"/>
        <v>7</v>
      </c>
      <c r="D2630" t="s">
        <v>3083</v>
      </c>
      <c r="E2630" s="49">
        <v>1</v>
      </c>
      <c r="F2630" t="s">
        <v>3084</v>
      </c>
      <c r="G2630" t="s">
        <v>21</v>
      </c>
      <c r="H2630" t="s">
        <v>37</v>
      </c>
      <c r="I2630" s="13">
        <v>450000</v>
      </c>
      <c r="J2630" s="13">
        <v>384000</v>
      </c>
      <c r="K2630" s="13">
        <f>IF(J2630&lt;'Mapa Oficinas'!$I$21,0,IF(J2630&gt;'Mapa Oficinas'!$I$20,0,1))</f>
        <v>1</v>
      </c>
      <c r="L2630" t="s">
        <v>23</v>
      </c>
      <c r="M2630" t="s">
        <v>23</v>
      </c>
      <c r="N2630" t="s">
        <v>3085</v>
      </c>
      <c r="O2630" t="s">
        <v>470</v>
      </c>
      <c r="P2630" t="s">
        <v>45</v>
      </c>
      <c r="Q2630">
        <v>2</v>
      </c>
      <c r="R2630" t="s">
        <v>670</v>
      </c>
      <c r="S2630" t="s">
        <v>28</v>
      </c>
      <c r="T2630" t="str">
        <f>VLOOKUP(S2630,'Mapa Oficinas'!$H$7:$I$16,2,FALSE)</f>
        <v>CB</v>
      </c>
      <c r="U2630" t="s">
        <v>29</v>
      </c>
      <c r="V2630" t="str">
        <f>VLOOKUP($R2630,'Mapa Oficinas'!$A$7:$C$46,2,FALSE)</f>
        <v>CABA</v>
      </c>
      <c r="W2630" t="str">
        <f>VLOOKUP($R2630,'Mapa Oficinas'!$A$7:$C$46,3,FALSE)</f>
        <v>Recoleta</v>
      </c>
    </row>
    <row r="2631" spans="1:23" x14ac:dyDescent="0.2">
      <c r="A2631" s="1">
        <v>45688</v>
      </c>
      <c r="B2631" s="20">
        <f t="shared" si="82"/>
        <v>2025</v>
      </c>
      <c r="C2631" s="20">
        <f t="shared" si="83"/>
        <v>1</v>
      </c>
      <c r="D2631">
        <v>10227</v>
      </c>
      <c r="E2631" s="49">
        <v>1</v>
      </c>
      <c r="F2631" t="s">
        <v>466</v>
      </c>
      <c r="G2631" t="s">
        <v>21</v>
      </c>
      <c r="H2631" t="s">
        <v>362</v>
      </c>
      <c r="I2631" s="13">
        <v>0</v>
      </c>
      <c r="J2631" s="13">
        <v>385000</v>
      </c>
      <c r="K2631" s="13">
        <f>IF(J2631&lt;'Mapa Oficinas'!$I$21,0,IF(J2631&gt;'Mapa Oficinas'!$I$20,0,1))</f>
        <v>1</v>
      </c>
      <c r="L2631" t="s">
        <v>23</v>
      </c>
      <c r="M2631" t="s">
        <v>23</v>
      </c>
      <c r="O2631" t="s">
        <v>190</v>
      </c>
      <c r="P2631" t="s">
        <v>45</v>
      </c>
      <c r="Q2631">
        <v>1</v>
      </c>
      <c r="R2631" t="s">
        <v>67</v>
      </c>
      <c r="S2631" t="s">
        <v>47</v>
      </c>
      <c r="T2631" t="str">
        <f>VLOOKUP(S2631,'Mapa Oficinas'!$H$7:$I$16,2,FALSE)</f>
        <v>Otra Red Búsqueda</v>
      </c>
      <c r="U2631" t="s">
        <v>29</v>
      </c>
      <c r="V2631" t="str">
        <f>VLOOKUP($R2631,'Mapa Oficinas'!$A$7:$C$46,2,FALSE)</f>
        <v>CABA</v>
      </c>
      <c r="W2631" t="str">
        <f>VLOOKUP($R2631,'Mapa Oficinas'!$A$7:$C$46,3,FALSE)</f>
        <v>Barrio Parque</v>
      </c>
    </row>
    <row r="2632" spans="1:23" x14ac:dyDescent="0.2">
      <c r="A2632" s="1">
        <v>45877</v>
      </c>
      <c r="B2632" s="20">
        <f t="shared" si="82"/>
        <v>2025</v>
      </c>
      <c r="C2632" s="20">
        <f t="shared" si="83"/>
        <v>8</v>
      </c>
      <c r="D2632" t="s">
        <v>3496</v>
      </c>
      <c r="E2632" s="49">
        <v>1</v>
      </c>
      <c r="F2632" t="s">
        <v>3497</v>
      </c>
      <c r="G2632" t="s">
        <v>21</v>
      </c>
      <c r="H2632" t="s">
        <v>37</v>
      </c>
      <c r="I2632" s="13">
        <v>385000</v>
      </c>
      <c r="J2632" s="13">
        <v>385000</v>
      </c>
      <c r="K2632" s="13">
        <f>IF(J2632&lt;'Mapa Oficinas'!$I$21,0,IF(J2632&gt;'Mapa Oficinas'!$I$20,0,1))</f>
        <v>1</v>
      </c>
      <c r="L2632" t="s">
        <v>23</v>
      </c>
      <c r="M2632" t="s">
        <v>23</v>
      </c>
      <c r="N2632" t="s">
        <v>3498</v>
      </c>
      <c r="O2632" t="s">
        <v>66</v>
      </c>
      <c r="P2632" t="s">
        <v>45</v>
      </c>
      <c r="Q2632">
        <v>1</v>
      </c>
      <c r="R2632" t="s">
        <v>110</v>
      </c>
      <c r="S2632" t="s">
        <v>47</v>
      </c>
      <c r="T2632" t="str">
        <f>VLOOKUP(S2632,'Mapa Oficinas'!$H$7:$I$16,2,FALSE)</f>
        <v>Otra Red Búsqueda</v>
      </c>
      <c r="U2632" t="s">
        <v>29</v>
      </c>
      <c r="V2632" t="str">
        <f>VLOOKUP($R2632,'Mapa Oficinas'!$A$7:$C$46,2,FALSE)</f>
        <v>Zona Norte (GBA)</v>
      </c>
      <c r="W2632" t="str">
        <f>VLOOKUP($R2632,'Mapa Oficinas'!$A$7:$C$46,3,FALSE)</f>
        <v>Nordelta</v>
      </c>
    </row>
    <row r="2633" spans="1:23" x14ac:dyDescent="0.2">
      <c r="A2633" s="1">
        <v>45715</v>
      </c>
      <c r="B2633" s="20">
        <f t="shared" si="82"/>
        <v>2025</v>
      </c>
      <c r="C2633" s="20">
        <f t="shared" si="83"/>
        <v>2</v>
      </c>
      <c r="D2633" t="s">
        <v>782</v>
      </c>
      <c r="E2633" s="49">
        <v>1</v>
      </c>
      <c r="F2633" t="s">
        <v>783</v>
      </c>
      <c r="G2633" t="s">
        <v>21</v>
      </c>
      <c r="H2633" t="s">
        <v>37</v>
      </c>
      <c r="I2633" s="13">
        <v>390000</v>
      </c>
      <c r="J2633" s="13">
        <v>390000</v>
      </c>
      <c r="K2633" s="13">
        <f>IF(J2633&lt;'Mapa Oficinas'!$I$21,0,IF(J2633&gt;'Mapa Oficinas'!$I$20,0,1))</f>
        <v>1</v>
      </c>
      <c r="L2633" t="s">
        <v>23</v>
      </c>
      <c r="M2633" t="s">
        <v>23</v>
      </c>
      <c r="N2633" t="s">
        <v>784</v>
      </c>
      <c r="O2633" t="s">
        <v>190</v>
      </c>
      <c r="P2633" t="s">
        <v>45</v>
      </c>
      <c r="Q2633">
        <v>2</v>
      </c>
      <c r="R2633" t="s">
        <v>46</v>
      </c>
      <c r="S2633" t="s">
        <v>200</v>
      </c>
      <c r="T2633" t="str">
        <f>VLOOKUP(S2633,'Mapa Oficinas'!$H$7:$I$16,2,FALSE)</f>
        <v>Otra Red Captación</v>
      </c>
      <c r="U2633" t="s">
        <v>29</v>
      </c>
      <c r="V2633" t="str">
        <f>VLOOKUP($R2633,'Mapa Oficinas'!$A$7:$C$46,2,FALSE)</f>
        <v>CABA</v>
      </c>
      <c r="W2633" t="str">
        <f>VLOOKUP($R2633,'Mapa Oficinas'!$A$7:$C$46,3,FALSE)</f>
        <v>Palermo</v>
      </c>
    </row>
    <row r="2634" spans="1:23" x14ac:dyDescent="0.2">
      <c r="A2634" s="1">
        <v>45790</v>
      </c>
      <c r="B2634" s="20">
        <f t="shared" si="82"/>
        <v>2025</v>
      </c>
      <c r="C2634" s="20">
        <f t="shared" si="83"/>
        <v>5</v>
      </c>
      <c r="D2634" t="s">
        <v>1911</v>
      </c>
      <c r="E2634" s="49">
        <v>1</v>
      </c>
      <c r="F2634" t="s">
        <v>1912</v>
      </c>
      <c r="G2634" t="s">
        <v>21</v>
      </c>
      <c r="H2634" t="s">
        <v>37</v>
      </c>
      <c r="I2634" s="13">
        <v>410000</v>
      </c>
      <c r="J2634" s="13">
        <v>390000</v>
      </c>
      <c r="K2634" s="13">
        <f>IF(J2634&lt;'Mapa Oficinas'!$I$21,0,IF(J2634&gt;'Mapa Oficinas'!$I$20,0,1))</f>
        <v>1</v>
      </c>
      <c r="L2634" t="s">
        <v>23</v>
      </c>
      <c r="M2634" t="s">
        <v>23</v>
      </c>
      <c r="N2634" t="s">
        <v>1913</v>
      </c>
      <c r="O2634" t="s">
        <v>44</v>
      </c>
      <c r="P2634" t="s">
        <v>45</v>
      </c>
      <c r="Q2634">
        <v>2</v>
      </c>
      <c r="R2634" t="s">
        <v>523</v>
      </c>
      <c r="S2634" t="s">
        <v>28</v>
      </c>
      <c r="T2634" t="str">
        <f>VLOOKUP(S2634,'Mapa Oficinas'!$H$7:$I$16,2,FALSE)</f>
        <v>CB</v>
      </c>
      <c r="U2634" t="s">
        <v>29</v>
      </c>
      <c r="V2634" t="str">
        <f>VLOOKUP($R2634,'Mapa Oficinas'!$A$7:$C$46,2,FALSE)</f>
        <v>CABA</v>
      </c>
      <c r="W2634" t="str">
        <f>VLOOKUP($R2634,'Mapa Oficinas'!$A$7:$C$46,3,FALSE)</f>
        <v>Belgrano</v>
      </c>
    </row>
    <row r="2635" spans="1:23" x14ac:dyDescent="0.2">
      <c r="A2635" s="1">
        <v>46036</v>
      </c>
      <c r="B2635" s="20">
        <f t="shared" si="82"/>
        <v>2026</v>
      </c>
      <c r="C2635" s="20">
        <f t="shared" si="83"/>
        <v>1</v>
      </c>
      <c r="D2635" t="s">
        <v>6247</v>
      </c>
      <c r="E2635" s="49">
        <v>1</v>
      </c>
      <c r="F2635" t="s">
        <v>6248</v>
      </c>
      <c r="G2635" t="s">
        <v>21</v>
      </c>
      <c r="H2635" t="s">
        <v>37</v>
      </c>
      <c r="I2635" s="13">
        <v>390000</v>
      </c>
      <c r="J2635" s="13">
        <v>390000</v>
      </c>
      <c r="K2635" s="13">
        <f>IF(J2635&lt;'Mapa Oficinas'!$I$21,0,IF(J2635&gt;'Mapa Oficinas'!$I$20,0,1))</f>
        <v>1</v>
      </c>
      <c r="L2635" t="s">
        <v>23</v>
      </c>
      <c r="M2635" t="s">
        <v>23</v>
      </c>
      <c r="N2635" t="s">
        <v>6249</v>
      </c>
      <c r="O2635" t="s">
        <v>190</v>
      </c>
      <c r="P2635" t="s">
        <v>45</v>
      </c>
      <c r="Q2635">
        <v>2</v>
      </c>
      <c r="R2635" t="s">
        <v>46</v>
      </c>
      <c r="S2635" t="s">
        <v>28</v>
      </c>
      <c r="T2635" t="str">
        <f>VLOOKUP(S2635,'Mapa Oficinas'!$H$7:$I$16,2,FALSE)</f>
        <v>CB</v>
      </c>
      <c r="U2635" t="s">
        <v>29</v>
      </c>
      <c r="V2635" t="str">
        <f>VLOOKUP($R2635,'Mapa Oficinas'!$A$7:$C$46,2,FALSE)</f>
        <v>CABA</v>
      </c>
      <c r="W2635" t="str">
        <f>VLOOKUP($R2635,'Mapa Oficinas'!$A$7:$C$46,3,FALSE)</f>
        <v>Palermo</v>
      </c>
    </row>
    <row r="2636" spans="1:23" x14ac:dyDescent="0.2">
      <c r="A2636" s="1">
        <v>45755</v>
      </c>
      <c r="B2636" s="20">
        <f t="shared" si="82"/>
        <v>2025</v>
      </c>
      <c r="C2636" s="20">
        <f t="shared" si="83"/>
        <v>4</v>
      </c>
      <c r="D2636" t="s">
        <v>1344</v>
      </c>
      <c r="E2636" s="49">
        <v>1</v>
      </c>
      <c r="F2636" t="s">
        <v>1345</v>
      </c>
      <c r="G2636" t="s">
        <v>21</v>
      </c>
      <c r="H2636" t="s">
        <v>362</v>
      </c>
      <c r="I2636" s="13">
        <v>459000</v>
      </c>
      <c r="J2636" s="13">
        <v>395000</v>
      </c>
      <c r="K2636" s="13">
        <f>IF(J2636&lt;'Mapa Oficinas'!$I$21,0,IF(J2636&gt;'Mapa Oficinas'!$I$20,0,1))</f>
        <v>1</v>
      </c>
      <c r="L2636" t="s">
        <v>23</v>
      </c>
      <c r="M2636" t="s">
        <v>23</v>
      </c>
      <c r="N2636" t="s">
        <v>1346</v>
      </c>
      <c r="O2636" t="s">
        <v>141</v>
      </c>
      <c r="P2636" t="s">
        <v>45</v>
      </c>
      <c r="Q2636">
        <v>2</v>
      </c>
      <c r="R2636" t="s">
        <v>1294</v>
      </c>
      <c r="S2636" t="s">
        <v>79</v>
      </c>
      <c r="T2636" t="str">
        <f>VLOOKUP(S2636,'Mapa Oficinas'!$H$7:$I$16,2,FALSE)</f>
        <v>CB</v>
      </c>
      <c r="U2636" t="s">
        <v>29</v>
      </c>
      <c r="V2636" t="str">
        <f>VLOOKUP($R2636,'Mapa Oficinas'!$A$7:$C$46,2,FALSE)</f>
        <v>CABA</v>
      </c>
      <c r="W2636" t="str">
        <f>VLOOKUP($R2636,'Mapa Oficinas'!$A$7:$C$46,3,FALSE)</f>
        <v>Núñez</v>
      </c>
    </row>
    <row r="2637" spans="1:23" x14ac:dyDescent="0.2">
      <c r="A2637" s="1">
        <v>45923</v>
      </c>
      <c r="B2637" s="20">
        <f t="shared" si="82"/>
        <v>2025</v>
      </c>
      <c r="C2637" s="20">
        <f t="shared" si="83"/>
        <v>9</v>
      </c>
      <c r="D2637" t="s">
        <v>4303</v>
      </c>
      <c r="E2637" s="49">
        <v>1</v>
      </c>
      <c r="F2637" t="s">
        <v>4304</v>
      </c>
      <c r="G2637" t="s">
        <v>21</v>
      </c>
      <c r="H2637" t="s">
        <v>37</v>
      </c>
      <c r="I2637" s="13">
        <v>410000</v>
      </c>
      <c r="J2637" s="13">
        <v>395000</v>
      </c>
      <c r="K2637" s="13">
        <f>IF(J2637&lt;'Mapa Oficinas'!$I$21,0,IF(J2637&gt;'Mapa Oficinas'!$I$20,0,1))</f>
        <v>1</v>
      </c>
      <c r="L2637" t="s">
        <v>23</v>
      </c>
      <c r="M2637" t="s">
        <v>23</v>
      </c>
      <c r="N2637" t="s">
        <v>4304</v>
      </c>
      <c r="O2637" t="s">
        <v>4305</v>
      </c>
      <c r="P2637" t="s">
        <v>26</v>
      </c>
      <c r="Q2637">
        <v>1</v>
      </c>
      <c r="R2637" t="s">
        <v>110</v>
      </c>
      <c r="S2637" t="s">
        <v>47</v>
      </c>
      <c r="T2637" t="str">
        <f>VLOOKUP(S2637,'Mapa Oficinas'!$H$7:$I$16,2,FALSE)</f>
        <v>Otra Red Búsqueda</v>
      </c>
      <c r="U2637" t="s">
        <v>29</v>
      </c>
      <c r="V2637" t="str">
        <f>VLOOKUP($R2637,'Mapa Oficinas'!$A$7:$C$46,2,FALSE)</f>
        <v>Zona Norte (GBA)</v>
      </c>
      <c r="W2637" t="str">
        <f>VLOOKUP($R2637,'Mapa Oficinas'!$A$7:$C$46,3,FALSE)</f>
        <v>Nordelta</v>
      </c>
    </row>
    <row r="2638" spans="1:23" x14ac:dyDescent="0.2">
      <c r="A2638" s="1">
        <v>46086</v>
      </c>
      <c r="B2638" s="20">
        <f t="shared" si="82"/>
        <v>2026</v>
      </c>
      <c r="C2638" s="20">
        <f t="shared" si="83"/>
        <v>3</v>
      </c>
      <c r="D2638" t="s">
        <v>6983</v>
      </c>
      <c r="E2638" s="49">
        <v>3</v>
      </c>
      <c r="F2638" t="s">
        <v>6984</v>
      </c>
      <c r="G2638" t="s">
        <v>21</v>
      </c>
      <c r="H2638" t="s">
        <v>76</v>
      </c>
      <c r="I2638" s="13">
        <v>430000</v>
      </c>
      <c r="J2638" s="13">
        <v>395000</v>
      </c>
      <c r="K2638" s="13">
        <f>IF(J2638&lt;'Mapa Oficinas'!$I$21,0,IF(J2638&gt;'Mapa Oficinas'!$I$20,0,1))</f>
        <v>1</v>
      </c>
      <c r="L2638" t="s">
        <v>23</v>
      </c>
      <c r="M2638" t="s">
        <v>23</v>
      </c>
      <c r="N2638" t="s">
        <v>6985</v>
      </c>
      <c r="O2638" t="s">
        <v>2513</v>
      </c>
      <c r="P2638" t="s">
        <v>45</v>
      </c>
      <c r="Q2638">
        <v>2</v>
      </c>
      <c r="R2638" t="s">
        <v>257</v>
      </c>
      <c r="S2638" t="s">
        <v>241</v>
      </c>
      <c r="T2638" t="str">
        <f>VLOOKUP(S2638,'Mapa Oficinas'!$H$7:$I$16,2,FALSE)</f>
        <v>CB</v>
      </c>
      <c r="U2638" t="s">
        <v>29</v>
      </c>
      <c r="V2638" t="str">
        <f>VLOOKUP($R2638,'Mapa Oficinas'!$A$7:$C$46,2,FALSE)</f>
        <v>Zona Norte (GBA)</v>
      </c>
      <c r="W2638" t="str">
        <f>VLOOKUP($R2638,'Mapa Oficinas'!$A$7:$C$46,3,FALSE)</f>
        <v>Pilar</v>
      </c>
    </row>
    <row r="2639" spans="1:23" x14ac:dyDescent="0.2">
      <c r="A2639" s="1">
        <v>45994</v>
      </c>
      <c r="B2639" s="20">
        <f t="shared" si="82"/>
        <v>2025</v>
      </c>
      <c r="C2639" s="20">
        <f t="shared" si="83"/>
        <v>12</v>
      </c>
      <c r="D2639" t="s">
        <v>1946</v>
      </c>
      <c r="E2639" s="49">
        <v>1</v>
      </c>
      <c r="F2639" t="s">
        <v>1947</v>
      </c>
      <c r="G2639" t="s">
        <v>21</v>
      </c>
      <c r="H2639" t="s">
        <v>37</v>
      </c>
      <c r="I2639" s="13">
        <v>350000</v>
      </c>
      <c r="J2639" s="13">
        <v>395200</v>
      </c>
      <c r="K2639" s="13">
        <f>IF(J2639&lt;'Mapa Oficinas'!$I$21,0,IF(J2639&gt;'Mapa Oficinas'!$I$20,0,1))</f>
        <v>1</v>
      </c>
      <c r="L2639" t="s">
        <v>23</v>
      </c>
      <c r="M2639" t="s">
        <v>23</v>
      </c>
      <c r="N2639" t="s">
        <v>1948</v>
      </c>
      <c r="O2639" t="s">
        <v>1180</v>
      </c>
      <c r="P2639" t="s">
        <v>45</v>
      </c>
      <c r="Q2639">
        <v>2</v>
      </c>
      <c r="R2639" t="s">
        <v>46</v>
      </c>
      <c r="S2639" t="s">
        <v>200</v>
      </c>
      <c r="T2639" t="str">
        <f>VLOOKUP(S2639,'Mapa Oficinas'!$H$7:$I$16,2,FALSE)</f>
        <v>Otra Red Captación</v>
      </c>
      <c r="U2639" t="s">
        <v>29</v>
      </c>
      <c r="V2639" t="str">
        <f>VLOOKUP($R2639,'Mapa Oficinas'!$A$7:$C$46,2,FALSE)</f>
        <v>CABA</v>
      </c>
      <c r="W2639" t="str">
        <f>VLOOKUP($R2639,'Mapa Oficinas'!$A$7:$C$46,3,FALSE)</f>
        <v>Palermo</v>
      </c>
    </row>
    <row r="2640" spans="1:23" x14ac:dyDescent="0.2">
      <c r="A2640" s="1">
        <v>46090</v>
      </c>
      <c r="B2640" s="20">
        <f t="shared" si="82"/>
        <v>2026</v>
      </c>
      <c r="C2640" s="20">
        <f t="shared" si="83"/>
        <v>3</v>
      </c>
      <c r="D2640">
        <v>9032026</v>
      </c>
      <c r="E2640" s="49">
        <v>1</v>
      </c>
      <c r="F2640" t="s">
        <v>7056</v>
      </c>
      <c r="G2640" t="s">
        <v>21</v>
      </c>
      <c r="H2640" t="s">
        <v>100</v>
      </c>
      <c r="I2640" s="13">
        <v>400000</v>
      </c>
      <c r="J2640" s="13">
        <v>400000</v>
      </c>
      <c r="K2640" s="13">
        <f>IF(J2640&lt;'Mapa Oficinas'!$I$21,0,IF(J2640&gt;'Mapa Oficinas'!$I$20,0,1))</f>
        <v>1</v>
      </c>
      <c r="L2640" t="s">
        <v>23</v>
      </c>
      <c r="M2640" t="s">
        <v>23</v>
      </c>
      <c r="O2640" t="s">
        <v>403</v>
      </c>
      <c r="P2640" t="s">
        <v>34</v>
      </c>
      <c r="Q2640">
        <v>1</v>
      </c>
      <c r="R2640" t="s">
        <v>121</v>
      </c>
      <c r="S2640" t="s">
        <v>122</v>
      </c>
      <c r="T2640" t="str">
        <f>VLOOKUP(S2640,'Mapa Oficinas'!$H$7:$I$16,2,FALSE)</f>
        <v>Otra Red Búsqueda</v>
      </c>
      <c r="U2640" t="s">
        <v>29</v>
      </c>
      <c r="V2640" t="str">
        <f>VLOOKUP($R2640,'Mapa Oficinas'!$A$7:$C$46,2,FALSE)</f>
        <v>Interior - Río Negro</v>
      </c>
      <c r="W2640" t="str">
        <f>VLOOKUP($R2640,'Mapa Oficinas'!$A$7:$C$46,3,FALSE)</f>
        <v>Bariloche</v>
      </c>
    </row>
    <row r="2641" spans="1:23" x14ac:dyDescent="0.2">
      <c r="A2641" s="1">
        <v>45960</v>
      </c>
      <c r="B2641" s="20">
        <f t="shared" si="82"/>
        <v>2025</v>
      </c>
      <c r="C2641" s="20">
        <f t="shared" si="83"/>
        <v>10</v>
      </c>
      <c r="D2641" t="s">
        <v>5011</v>
      </c>
      <c r="E2641" s="49">
        <v>1</v>
      </c>
      <c r="F2641" t="s">
        <v>5012</v>
      </c>
      <c r="G2641" t="s">
        <v>21</v>
      </c>
      <c r="H2641" t="s">
        <v>37</v>
      </c>
      <c r="I2641" s="13">
        <v>430000</v>
      </c>
      <c r="J2641" s="13">
        <v>400000</v>
      </c>
      <c r="K2641" s="13">
        <f>IF(J2641&lt;'Mapa Oficinas'!$I$21,0,IF(J2641&gt;'Mapa Oficinas'!$I$20,0,1))</f>
        <v>1</v>
      </c>
      <c r="L2641" t="s">
        <v>23</v>
      </c>
      <c r="M2641" t="s">
        <v>23</v>
      </c>
      <c r="N2641" t="s">
        <v>5013</v>
      </c>
      <c r="O2641" t="s">
        <v>436</v>
      </c>
      <c r="P2641" t="s">
        <v>26</v>
      </c>
      <c r="Q2641">
        <v>2</v>
      </c>
      <c r="R2641" t="s">
        <v>183</v>
      </c>
      <c r="S2641" t="s">
        <v>79</v>
      </c>
      <c r="T2641" t="str">
        <f>VLOOKUP(S2641,'Mapa Oficinas'!$H$7:$I$16,2,FALSE)</f>
        <v>CB</v>
      </c>
      <c r="U2641" t="s">
        <v>29</v>
      </c>
      <c r="V2641" t="str">
        <f>VLOOKUP($R2641,'Mapa Oficinas'!$A$7:$C$46,2,FALSE)</f>
        <v>Interior - Neuquén</v>
      </c>
      <c r="W2641" t="str">
        <f>VLOOKUP($R2641,'Mapa Oficinas'!$A$7:$C$46,3,FALSE)</f>
        <v>Capital Neuquén</v>
      </c>
    </row>
    <row r="2642" spans="1:23" x14ac:dyDescent="0.2">
      <c r="A2642" s="1">
        <v>45959</v>
      </c>
      <c r="B2642" s="20">
        <f t="shared" si="82"/>
        <v>2025</v>
      </c>
      <c r="C2642" s="20">
        <f t="shared" si="83"/>
        <v>10</v>
      </c>
      <c r="D2642">
        <v>10582</v>
      </c>
      <c r="E2642" s="49">
        <v>1</v>
      </c>
      <c r="F2642" t="s">
        <v>4991</v>
      </c>
      <c r="G2642" t="s">
        <v>21</v>
      </c>
      <c r="H2642" t="s">
        <v>37</v>
      </c>
      <c r="I2642" s="13">
        <v>400000</v>
      </c>
      <c r="J2642" s="13">
        <v>400000</v>
      </c>
      <c r="K2642" s="13">
        <f>IF(J2642&lt;'Mapa Oficinas'!$I$21,0,IF(J2642&gt;'Mapa Oficinas'!$I$20,0,1))</f>
        <v>1</v>
      </c>
      <c r="L2642" t="s">
        <v>23</v>
      </c>
      <c r="M2642" t="s">
        <v>23</v>
      </c>
      <c r="N2642" t="s">
        <v>4991</v>
      </c>
      <c r="O2642" t="s">
        <v>190</v>
      </c>
      <c r="P2642" t="s">
        <v>45</v>
      </c>
      <c r="Q2642">
        <v>1</v>
      </c>
      <c r="R2642" t="s">
        <v>67</v>
      </c>
      <c r="S2642" t="s">
        <v>47</v>
      </c>
      <c r="T2642" t="str">
        <f>VLOOKUP(S2642,'Mapa Oficinas'!$H$7:$I$16,2,FALSE)</f>
        <v>Otra Red Búsqueda</v>
      </c>
      <c r="U2642" t="s">
        <v>29</v>
      </c>
      <c r="V2642" t="str">
        <f>VLOOKUP($R2642,'Mapa Oficinas'!$A$7:$C$46,2,FALSE)</f>
        <v>CABA</v>
      </c>
      <c r="W2642" t="str">
        <f>VLOOKUP($R2642,'Mapa Oficinas'!$A$7:$C$46,3,FALSE)</f>
        <v>Barrio Parque</v>
      </c>
    </row>
    <row r="2643" spans="1:23" x14ac:dyDescent="0.2">
      <c r="A2643" s="1">
        <v>46049</v>
      </c>
      <c r="B2643" s="20">
        <f t="shared" si="82"/>
        <v>2026</v>
      </c>
      <c r="C2643" s="20">
        <f t="shared" si="83"/>
        <v>1</v>
      </c>
      <c r="D2643" t="s">
        <v>6425</v>
      </c>
      <c r="E2643" s="49">
        <v>1</v>
      </c>
      <c r="F2643" t="s">
        <v>6426</v>
      </c>
      <c r="G2643" t="s">
        <v>21</v>
      </c>
      <c r="H2643" t="s">
        <v>37</v>
      </c>
      <c r="I2643" s="13">
        <v>400000</v>
      </c>
      <c r="J2643" s="13">
        <v>400000</v>
      </c>
      <c r="K2643" s="13">
        <f>IF(J2643&lt;'Mapa Oficinas'!$I$21,0,IF(J2643&gt;'Mapa Oficinas'!$I$20,0,1))</f>
        <v>1</v>
      </c>
      <c r="L2643" t="s">
        <v>23</v>
      </c>
      <c r="M2643" t="s">
        <v>23</v>
      </c>
      <c r="N2643" t="s">
        <v>6427</v>
      </c>
      <c r="O2643" t="s">
        <v>66</v>
      </c>
      <c r="P2643" t="s">
        <v>45</v>
      </c>
      <c r="Q2643">
        <v>1</v>
      </c>
      <c r="R2643" t="s">
        <v>670</v>
      </c>
      <c r="S2643" t="s">
        <v>47</v>
      </c>
      <c r="T2643" t="str">
        <f>VLOOKUP(S2643,'Mapa Oficinas'!$H$7:$I$16,2,FALSE)</f>
        <v>Otra Red Búsqueda</v>
      </c>
      <c r="U2643" t="s">
        <v>29</v>
      </c>
      <c r="V2643" t="str">
        <f>VLOOKUP($R2643,'Mapa Oficinas'!$A$7:$C$46,2,FALSE)</f>
        <v>CABA</v>
      </c>
      <c r="W2643" t="str">
        <f>VLOOKUP($R2643,'Mapa Oficinas'!$A$7:$C$46,3,FALSE)</f>
        <v>Recoleta</v>
      </c>
    </row>
    <row r="2644" spans="1:23" x14ac:dyDescent="0.2">
      <c r="A2644" s="1">
        <v>45743</v>
      </c>
      <c r="B2644" s="20">
        <f t="shared" si="82"/>
        <v>2025</v>
      </c>
      <c r="C2644" s="20">
        <f t="shared" si="83"/>
        <v>3</v>
      </c>
      <c r="D2644" t="s">
        <v>1143</v>
      </c>
      <c r="E2644" s="49">
        <v>1</v>
      </c>
      <c r="F2644" t="s">
        <v>1144</v>
      </c>
      <c r="G2644" t="s">
        <v>21</v>
      </c>
      <c r="H2644" t="s">
        <v>37</v>
      </c>
      <c r="I2644" s="13">
        <v>450000</v>
      </c>
      <c r="J2644" s="13">
        <v>400000</v>
      </c>
      <c r="K2644" s="13">
        <f>IF(J2644&lt;'Mapa Oficinas'!$I$21,0,IF(J2644&gt;'Mapa Oficinas'!$I$20,0,1))</f>
        <v>1</v>
      </c>
      <c r="L2644" t="s">
        <v>23</v>
      </c>
      <c r="M2644" t="s">
        <v>23</v>
      </c>
      <c r="N2644" t="s">
        <v>1145</v>
      </c>
      <c r="O2644" t="s">
        <v>1146</v>
      </c>
      <c r="P2644" t="s">
        <v>34</v>
      </c>
      <c r="Q2644">
        <v>2</v>
      </c>
      <c r="R2644" t="s">
        <v>110</v>
      </c>
      <c r="S2644" t="s">
        <v>200</v>
      </c>
      <c r="T2644" t="str">
        <f>VLOOKUP(S2644,'Mapa Oficinas'!$H$7:$I$16,2,FALSE)</f>
        <v>Otra Red Captación</v>
      </c>
      <c r="U2644" t="s">
        <v>29</v>
      </c>
      <c r="V2644" t="str">
        <f>VLOOKUP($R2644,'Mapa Oficinas'!$A$7:$C$46,2,FALSE)</f>
        <v>Zona Norte (GBA)</v>
      </c>
      <c r="W2644" t="str">
        <f>VLOOKUP($R2644,'Mapa Oficinas'!$A$7:$C$46,3,FALSE)</f>
        <v>Nordelta</v>
      </c>
    </row>
    <row r="2645" spans="1:23" x14ac:dyDescent="0.2">
      <c r="A2645" s="1">
        <v>46013</v>
      </c>
      <c r="B2645" s="20">
        <f t="shared" si="82"/>
        <v>2025</v>
      </c>
      <c r="C2645" s="20">
        <f t="shared" si="83"/>
        <v>12</v>
      </c>
      <c r="D2645" t="s">
        <v>5954</v>
      </c>
      <c r="E2645" s="49">
        <v>1</v>
      </c>
      <c r="F2645" t="s">
        <v>5955</v>
      </c>
      <c r="G2645" t="s">
        <v>21</v>
      </c>
      <c r="H2645" t="s">
        <v>37</v>
      </c>
      <c r="I2645" s="13">
        <v>445000</v>
      </c>
      <c r="J2645" s="13">
        <v>400000</v>
      </c>
      <c r="K2645" s="13">
        <f>IF(J2645&lt;'Mapa Oficinas'!$I$21,0,IF(J2645&gt;'Mapa Oficinas'!$I$20,0,1))</f>
        <v>1</v>
      </c>
      <c r="L2645" t="s">
        <v>23</v>
      </c>
      <c r="M2645" t="s">
        <v>23</v>
      </c>
      <c r="N2645" t="s">
        <v>5956</v>
      </c>
      <c r="O2645" t="s">
        <v>190</v>
      </c>
      <c r="P2645" t="s">
        <v>34</v>
      </c>
      <c r="Q2645">
        <v>2</v>
      </c>
      <c r="R2645" t="s">
        <v>46</v>
      </c>
      <c r="S2645" t="s">
        <v>200</v>
      </c>
      <c r="T2645" t="str">
        <f>VLOOKUP(S2645,'Mapa Oficinas'!$H$7:$I$16,2,FALSE)</f>
        <v>Otra Red Captación</v>
      </c>
      <c r="U2645" t="s">
        <v>29</v>
      </c>
      <c r="V2645" t="str">
        <f>VLOOKUP($R2645,'Mapa Oficinas'!$A$7:$C$46,2,FALSE)</f>
        <v>CABA</v>
      </c>
      <c r="W2645" t="str">
        <f>VLOOKUP($R2645,'Mapa Oficinas'!$A$7:$C$46,3,FALSE)</f>
        <v>Palermo</v>
      </c>
    </row>
    <row r="2646" spans="1:23" x14ac:dyDescent="0.2">
      <c r="A2646" s="1">
        <v>46108</v>
      </c>
      <c r="B2646" s="20">
        <f t="shared" si="82"/>
        <v>2026</v>
      </c>
      <c r="C2646" s="20">
        <f t="shared" si="83"/>
        <v>3</v>
      </c>
      <c r="D2646" t="s">
        <v>7496</v>
      </c>
      <c r="E2646" s="49">
        <v>1</v>
      </c>
      <c r="F2646" t="s">
        <v>7497</v>
      </c>
      <c r="G2646" t="s">
        <v>21</v>
      </c>
      <c r="H2646" t="s">
        <v>37</v>
      </c>
      <c r="I2646" s="13">
        <v>420000</v>
      </c>
      <c r="J2646" s="13">
        <v>400000</v>
      </c>
      <c r="K2646" s="13">
        <f>IF(J2646&lt;'Mapa Oficinas'!$I$21,0,IF(J2646&gt;'Mapa Oficinas'!$I$20,0,1))</f>
        <v>1</v>
      </c>
      <c r="L2646" t="s">
        <v>23</v>
      </c>
      <c r="M2646" t="s">
        <v>23</v>
      </c>
      <c r="N2646" t="s">
        <v>7498</v>
      </c>
      <c r="O2646" t="s">
        <v>7499</v>
      </c>
      <c r="P2646" t="s">
        <v>34</v>
      </c>
      <c r="Q2646">
        <v>2</v>
      </c>
      <c r="R2646" t="s">
        <v>67</v>
      </c>
      <c r="S2646" t="s">
        <v>200</v>
      </c>
      <c r="T2646" t="str">
        <f>VLOOKUP(S2646,'Mapa Oficinas'!$H$7:$I$16,2,FALSE)</f>
        <v>Otra Red Captación</v>
      </c>
      <c r="U2646" t="s">
        <v>29</v>
      </c>
      <c r="V2646" t="str">
        <f>VLOOKUP($R2646,'Mapa Oficinas'!$A$7:$C$46,2,FALSE)</f>
        <v>CABA</v>
      </c>
      <c r="W2646" t="str">
        <f>VLOOKUP($R2646,'Mapa Oficinas'!$A$7:$C$46,3,FALSE)</f>
        <v>Barrio Parque</v>
      </c>
    </row>
    <row r="2647" spans="1:23" x14ac:dyDescent="0.2">
      <c r="A2647" s="1">
        <v>45747</v>
      </c>
      <c r="B2647" s="20">
        <f t="shared" si="82"/>
        <v>2025</v>
      </c>
      <c r="C2647" s="20">
        <f t="shared" si="83"/>
        <v>3</v>
      </c>
      <c r="D2647" t="s">
        <v>1219</v>
      </c>
      <c r="E2647" s="49">
        <v>1</v>
      </c>
      <c r="F2647" t="s">
        <v>1220</v>
      </c>
      <c r="G2647" t="s">
        <v>21</v>
      </c>
      <c r="H2647" t="s">
        <v>100</v>
      </c>
      <c r="I2647" s="13">
        <v>470000</v>
      </c>
      <c r="J2647" s="13">
        <v>400000</v>
      </c>
      <c r="K2647" s="13">
        <f>IF(J2647&lt;'Mapa Oficinas'!$I$21,0,IF(J2647&gt;'Mapa Oficinas'!$I$20,0,1))</f>
        <v>1</v>
      </c>
      <c r="L2647" t="s">
        <v>23</v>
      </c>
      <c r="M2647" t="s">
        <v>23</v>
      </c>
      <c r="N2647" t="s">
        <v>1221</v>
      </c>
      <c r="O2647" t="s">
        <v>1222</v>
      </c>
      <c r="P2647" t="s">
        <v>45</v>
      </c>
      <c r="Q2647">
        <v>2</v>
      </c>
      <c r="R2647" t="s">
        <v>523</v>
      </c>
      <c r="S2647" t="s">
        <v>28</v>
      </c>
      <c r="T2647" t="str">
        <f>VLOOKUP(S2647,'Mapa Oficinas'!$H$7:$I$16,2,FALSE)</f>
        <v>CB</v>
      </c>
      <c r="U2647" t="s">
        <v>29</v>
      </c>
      <c r="V2647" t="str">
        <f>VLOOKUP($R2647,'Mapa Oficinas'!$A$7:$C$46,2,FALSE)</f>
        <v>CABA</v>
      </c>
      <c r="W2647" t="str">
        <f>VLOOKUP($R2647,'Mapa Oficinas'!$A$7:$C$46,3,FALSE)</f>
        <v>Belgrano</v>
      </c>
    </row>
    <row r="2648" spans="1:23" x14ac:dyDescent="0.2">
      <c r="A2648" s="1">
        <v>45793</v>
      </c>
      <c r="B2648" s="20">
        <f t="shared" si="82"/>
        <v>2025</v>
      </c>
      <c r="C2648" s="20">
        <f t="shared" si="83"/>
        <v>5</v>
      </c>
      <c r="D2648" t="s">
        <v>1996</v>
      </c>
      <c r="E2648" s="49">
        <v>1</v>
      </c>
      <c r="F2648" t="s">
        <v>1997</v>
      </c>
      <c r="G2648" t="s">
        <v>21</v>
      </c>
      <c r="H2648" t="s">
        <v>37</v>
      </c>
      <c r="I2648" s="13">
        <v>390000</v>
      </c>
      <c r="J2648" s="13">
        <v>400000</v>
      </c>
      <c r="K2648" s="13">
        <f>IF(J2648&lt;'Mapa Oficinas'!$I$21,0,IF(J2648&gt;'Mapa Oficinas'!$I$20,0,1))</f>
        <v>1</v>
      </c>
      <c r="L2648" t="s">
        <v>23</v>
      </c>
      <c r="M2648" t="s">
        <v>23</v>
      </c>
      <c r="N2648" t="s">
        <v>1998</v>
      </c>
      <c r="O2648" t="s">
        <v>675</v>
      </c>
      <c r="P2648" t="s">
        <v>45</v>
      </c>
      <c r="Q2648">
        <v>2</v>
      </c>
      <c r="R2648" t="s">
        <v>670</v>
      </c>
      <c r="S2648" t="s">
        <v>28</v>
      </c>
      <c r="T2648" t="str">
        <f>VLOOKUP(S2648,'Mapa Oficinas'!$H$7:$I$16,2,FALSE)</f>
        <v>CB</v>
      </c>
      <c r="U2648" t="s">
        <v>29</v>
      </c>
      <c r="V2648" t="str">
        <f>VLOOKUP($R2648,'Mapa Oficinas'!$A$7:$C$46,2,FALSE)</f>
        <v>CABA</v>
      </c>
      <c r="W2648" t="str">
        <f>VLOOKUP($R2648,'Mapa Oficinas'!$A$7:$C$46,3,FALSE)</f>
        <v>Recoleta</v>
      </c>
    </row>
    <row r="2649" spans="1:23" x14ac:dyDescent="0.2">
      <c r="A2649" s="1">
        <v>45898</v>
      </c>
      <c r="B2649" s="20">
        <f t="shared" si="82"/>
        <v>2025</v>
      </c>
      <c r="C2649" s="20">
        <f t="shared" si="83"/>
        <v>8</v>
      </c>
      <c r="D2649" t="s">
        <v>3920</v>
      </c>
      <c r="E2649" s="49">
        <v>1</v>
      </c>
      <c r="F2649" t="s">
        <v>3921</v>
      </c>
      <c r="G2649" t="s">
        <v>21</v>
      </c>
      <c r="H2649" t="s">
        <v>37</v>
      </c>
      <c r="I2649" s="13">
        <v>430000</v>
      </c>
      <c r="J2649" s="13">
        <v>400000</v>
      </c>
      <c r="K2649" s="13">
        <f>IF(J2649&lt;'Mapa Oficinas'!$I$21,0,IF(J2649&gt;'Mapa Oficinas'!$I$20,0,1))</f>
        <v>1</v>
      </c>
      <c r="L2649" t="s">
        <v>23</v>
      </c>
      <c r="M2649" t="s">
        <v>23</v>
      </c>
      <c r="N2649" t="s">
        <v>3922</v>
      </c>
      <c r="O2649" t="s">
        <v>190</v>
      </c>
      <c r="P2649" t="s">
        <v>45</v>
      </c>
      <c r="Q2649">
        <v>2</v>
      </c>
      <c r="R2649" t="s">
        <v>46</v>
      </c>
      <c r="S2649" t="s">
        <v>28</v>
      </c>
      <c r="T2649" t="str">
        <f>VLOOKUP(S2649,'Mapa Oficinas'!$H$7:$I$16,2,FALSE)</f>
        <v>CB</v>
      </c>
      <c r="U2649" t="s">
        <v>29</v>
      </c>
      <c r="V2649" t="str">
        <f>VLOOKUP($R2649,'Mapa Oficinas'!$A$7:$C$46,2,FALSE)</f>
        <v>CABA</v>
      </c>
      <c r="W2649" t="str">
        <f>VLOOKUP($R2649,'Mapa Oficinas'!$A$7:$C$46,3,FALSE)</f>
        <v>Palermo</v>
      </c>
    </row>
    <row r="2650" spans="1:23" x14ac:dyDescent="0.2">
      <c r="A2650" s="1">
        <v>45958</v>
      </c>
      <c r="B2650" s="20">
        <f t="shared" si="82"/>
        <v>2025</v>
      </c>
      <c r="C2650" s="20">
        <f t="shared" si="83"/>
        <v>10</v>
      </c>
      <c r="D2650" t="s">
        <v>4973</v>
      </c>
      <c r="E2650" s="49">
        <v>1</v>
      </c>
      <c r="F2650" t="s">
        <v>4974</v>
      </c>
      <c r="G2650" t="s">
        <v>21</v>
      </c>
      <c r="H2650" t="s">
        <v>22</v>
      </c>
      <c r="I2650" s="13">
        <v>402500</v>
      </c>
      <c r="J2650" s="13">
        <v>402500</v>
      </c>
      <c r="K2650" s="13">
        <f>IF(J2650&lt;'Mapa Oficinas'!$I$21,0,IF(J2650&gt;'Mapa Oficinas'!$I$20,0,1))</f>
        <v>1</v>
      </c>
      <c r="L2650" t="s">
        <v>23</v>
      </c>
      <c r="M2650" t="s">
        <v>23</v>
      </c>
      <c r="N2650" t="s">
        <v>4975</v>
      </c>
      <c r="O2650" t="s">
        <v>456</v>
      </c>
      <c r="P2650" t="s">
        <v>45</v>
      </c>
      <c r="Q2650">
        <v>1</v>
      </c>
      <c r="R2650" t="s">
        <v>110</v>
      </c>
      <c r="S2650" t="s">
        <v>47</v>
      </c>
      <c r="T2650" t="str">
        <f>VLOOKUP(S2650,'Mapa Oficinas'!$H$7:$I$16,2,FALSE)</f>
        <v>Otra Red Búsqueda</v>
      </c>
      <c r="U2650" t="s">
        <v>29</v>
      </c>
      <c r="V2650" t="str">
        <f>VLOOKUP($R2650,'Mapa Oficinas'!$A$7:$C$46,2,FALSE)</f>
        <v>Zona Norte (GBA)</v>
      </c>
      <c r="W2650" t="str">
        <f>VLOOKUP($R2650,'Mapa Oficinas'!$A$7:$C$46,3,FALSE)</f>
        <v>Nordelta</v>
      </c>
    </row>
    <row r="2651" spans="1:23" x14ac:dyDescent="0.2">
      <c r="A2651" s="1">
        <v>45659</v>
      </c>
      <c r="B2651" s="20">
        <f t="shared" si="82"/>
        <v>2025</v>
      </c>
      <c r="C2651" s="20">
        <f t="shared" si="83"/>
        <v>1</v>
      </c>
      <c r="D2651" t="s">
        <v>41</v>
      </c>
      <c r="E2651" s="49">
        <v>1</v>
      </c>
      <c r="F2651" t="s">
        <v>42</v>
      </c>
      <c r="G2651" t="s">
        <v>21</v>
      </c>
      <c r="H2651" t="s">
        <v>37</v>
      </c>
      <c r="I2651" s="13">
        <v>420000</v>
      </c>
      <c r="J2651" s="13">
        <v>405000</v>
      </c>
      <c r="K2651" s="13">
        <f>IF(J2651&lt;'Mapa Oficinas'!$I$21,0,IF(J2651&gt;'Mapa Oficinas'!$I$20,0,1))</f>
        <v>1</v>
      </c>
      <c r="L2651" t="s">
        <v>23</v>
      </c>
      <c r="M2651" t="s">
        <v>23</v>
      </c>
      <c r="N2651" t="s">
        <v>43</v>
      </c>
      <c r="O2651" t="s">
        <v>44</v>
      </c>
      <c r="P2651" t="s">
        <v>45</v>
      </c>
      <c r="Q2651">
        <v>1</v>
      </c>
      <c r="R2651" t="s">
        <v>46</v>
      </c>
      <c r="S2651" t="s">
        <v>47</v>
      </c>
      <c r="T2651" t="str">
        <f>VLOOKUP(S2651,'Mapa Oficinas'!$H$7:$I$16,2,FALSE)</f>
        <v>Otra Red Búsqueda</v>
      </c>
      <c r="U2651" t="s">
        <v>29</v>
      </c>
      <c r="V2651" t="str">
        <f>VLOOKUP($R2651,'Mapa Oficinas'!$A$7:$C$46,2,FALSE)</f>
        <v>CABA</v>
      </c>
      <c r="W2651" t="str">
        <f>VLOOKUP($R2651,'Mapa Oficinas'!$A$7:$C$46,3,FALSE)</f>
        <v>Palermo</v>
      </c>
    </row>
    <row r="2652" spans="1:23" x14ac:dyDescent="0.2">
      <c r="A2652" s="1">
        <v>46092</v>
      </c>
      <c r="B2652" s="20">
        <f t="shared" si="82"/>
        <v>2026</v>
      </c>
      <c r="C2652" s="20">
        <f t="shared" si="83"/>
        <v>3</v>
      </c>
      <c r="D2652" t="s">
        <v>7120</v>
      </c>
      <c r="E2652" s="49">
        <v>1</v>
      </c>
      <c r="F2652" t="s">
        <v>7121</v>
      </c>
      <c r="G2652" t="s">
        <v>21</v>
      </c>
      <c r="H2652" t="s">
        <v>37</v>
      </c>
      <c r="I2652" s="13">
        <v>449000</v>
      </c>
      <c r="J2652" s="13">
        <v>405000</v>
      </c>
      <c r="K2652" s="13">
        <f>IF(J2652&lt;'Mapa Oficinas'!$I$21,0,IF(J2652&gt;'Mapa Oficinas'!$I$20,0,1))</f>
        <v>1</v>
      </c>
      <c r="L2652" t="s">
        <v>23</v>
      </c>
      <c r="M2652" t="s">
        <v>23</v>
      </c>
      <c r="N2652" t="s">
        <v>7122</v>
      </c>
      <c r="O2652" t="s">
        <v>66</v>
      </c>
      <c r="P2652" t="s">
        <v>45</v>
      </c>
      <c r="Q2652">
        <v>1</v>
      </c>
      <c r="R2652" t="s">
        <v>67</v>
      </c>
      <c r="S2652" t="s">
        <v>47</v>
      </c>
      <c r="T2652" t="str">
        <f>VLOOKUP(S2652,'Mapa Oficinas'!$H$7:$I$16,2,FALSE)</f>
        <v>Otra Red Búsqueda</v>
      </c>
      <c r="U2652" t="s">
        <v>29</v>
      </c>
      <c r="V2652" t="str">
        <f>VLOOKUP($R2652,'Mapa Oficinas'!$A$7:$C$46,2,FALSE)</f>
        <v>CABA</v>
      </c>
      <c r="W2652" t="str">
        <f>VLOOKUP($R2652,'Mapa Oficinas'!$A$7:$C$46,3,FALSE)</f>
        <v>Barrio Parque</v>
      </c>
    </row>
    <row r="2653" spans="1:23" x14ac:dyDescent="0.2">
      <c r="A2653" s="1">
        <v>46111</v>
      </c>
      <c r="B2653" s="20">
        <f t="shared" si="82"/>
        <v>2026</v>
      </c>
      <c r="C2653" s="20">
        <f t="shared" si="83"/>
        <v>3</v>
      </c>
      <c r="D2653" t="s">
        <v>7541</v>
      </c>
      <c r="E2653" s="49">
        <v>1</v>
      </c>
      <c r="F2653" t="s">
        <v>7542</v>
      </c>
      <c r="G2653" t="s">
        <v>21</v>
      </c>
      <c r="H2653" t="s">
        <v>37</v>
      </c>
      <c r="I2653" s="13">
        <v>410000</v>
      </c>
      <c r="J2653" s="13">
        <v>410000</v>
      </c>
      <c r="K2653" s="13">
        <f>IF(J2653&lt;'Mapa Oficinas'!$I$21,0,IF(J2653&gt;'Mapa Oficinas'!$I$20,0,1))</f>
        <v>1</v>
      </c>
      <c r="L2653" t="s">
        <v>23</v>
      </c>
      <c r="M2653" t="s">
        <v>23</v>
      </c>
      <c r="O2653" t="s">
        <v>2322</v>
      </c>
      <c r="P2653" t="s">
        <v>34</v>
      </c>
      <c r="Q2653">
        <v>1</v>
      </c>
      <c r="R2653" t="s">
        <v>151</v>
      </c>
      <c r="S2653" t="s">
        <v>122</v>
      </c>
      <c r="T2653" t="str">
        <f>VLOOKUP(S2653,'Mapa Oficinas'!$H$7:$I$16,2,FALSE)</f>
        <v>Otra Red Búsqueda</v>
      </c>
      <c r="U2653" t="s">
        <v>29</v>
      </c>
      <c r="V2653" t="str">
        <f>VLOOKUP($R2653,'Mapa Oficinas'!$A$7:$C$46,2,FALSE)</f>
        <v>Interior - Mendoza</v>
      </c>
      <c r="W2653" t="str">
        <f>VLOOKUP($R2653,'Mapa Oficinas'!$A$7:$C$46,3,FALSE)</f>
        <v>Capital Mendoza</v>
      </c>
    </row>
    <row r="2654" spans="1:23" x14ac:dyDescent="0.2">
      <c r="A2654" s="1">
        <v>45777</v>
      </c>
      <c r="B2654" s="20">
        <f t="shared" si="82"/>
        <v>2025</v>
      </c>
      <c r="C2654" s="20">
        <f t="shared" si="83"/>
        <v>4</v>
      </c>
      <c r="D2654">
        <v>6</v>
      </c>
      <c r="E2654" s="49">
        <v>1</v>
      </c>
      <c r="F2654" t="s">
        <v>1762</v>
      </c>
      <c r="G2654" t="s">
        <v>21</v>
      </c>
      <c r="H2654" t="s">
        <v>362</v>
      </c>
      <c r="I2654" s="13">
        <v>400000</v>
      </c>
      <c r="J2654" s="13">
        <v>410000</v>
      </c>
      <c r="K2654" s="13">
        <f>IF(J2654&lt;'Mapa Oficinas'!$I$21,0,IF(J2654&gt;'Mapa Oficinas'!$I$20,0,1))</f>
        <v>1</v>
      </c>
      <c r="L2654" t="s">
        <v>23</v>
      </c>
      <c r="M2654" t="s">
        <v>23</v>
      </c>
      <c r="N2654" t="s">
        <v>1763</v>
      </c>
      <c r="O2654" t="s">
        <v>190</v>
      </c>
      <c r="P2654" t="s">
        <v>45</v>
      </c>
      <c r="Q2654">
        <v>1</v>
      </c>
      <c r="R2654" t="s">
        <v>1024</v>
      </c>
      <c r="S2654" t="s">
        <v>47</v>
      </c>
      <c r="T2654" t="str">
        <f>VLOOKUP(S2654,'Mapa Oficinas'!$H$7:$I$16,2,FALSE)</f>
        <v>Otra Red Búsqueda</v>
      </c>
      <c r="U2654" t="s">
        <v>29</v>
      </c>
      <c r="V2654" t="str">
        <f>VLOOKUP($R2654,'Mapa Oficinas'!$A$7:$C$46,2,FALSE)</f>
        <v>CABA</v>
      </c>
      <c r="W2654" t="str">
        <f>VLOOKUP($R2654,'Mapa Oficinas'!$A$7:$C$46,3,FALSE)</f>
        <v>Puerto Madero</v>
      </c>
    </row>
    <row r="2655" spans="1:23" x14ac:dyDescent="0.2">
      <c r="A2655" s="1">
        <v>46071</v>
      </c>
      <c r="B2655" s="20">
        <f t="shared" si="82"/>
        <v>2026</v>
      </c>
      <c r="C2655" s="20">
        <f t="shared" si="83"/>
        <v>2</v>
      </c>
      <c r="D2655" t="s">
        <v>6754</v>
      </c>
      <c r="E2655" s="49">
        <v>1</v>
      </c>
      <c r="F2655" t="s">
        <v>6755</v>
      </c>
      <c r="G2655" t="s">
        <v>21</v>
      </c>
      <c r="H2655" t="s">
        <v>81</v>
      </c>
      <c r="I2655" s="13">
        <v>499000</v>
      </c>
      <c r="J2655" s="13">
        <v>413000</v>
      </c>
      <c r="K2655" s="13">
        <f>IF(J2655&lt;'Mapa Oficinas'!$I$21,0,IF(J2655&gt;'Mapa Oficinas'!$I$20,0,1))</f>
        <v>1</v>
      </c>
      <c r="L2655" t="s">
        <v>23</v>
      </c>
      <c r="M2655" t="s">
        <v>23</v>
      </c>
      <c r="N2655" t="s">
        <v>6756</v>
      </c>
      <c r="O2655" t="s">
        <v>325</v>
      </c>
      <c r="P2655" t="s">
        <v>34</v>
      </c>
      <c r="Q2655">
        <v>1</v>
      </c>
      <c r="R2655" t="s">
        <v>130</v>
      </c>
      <c r="S2655" t="s">
        <v>152</v>
      </c>
      <c r="T2655" t="str">
        <f>VLOOKUP(S2655,'Mapa Oficinas'!$H$7:$I$16,2,FALSE)</f>
        <v>Otra Red Captación</v>
      </c>
      <c r="U2655" t="s">
        <v>29</v>
      </c>
      <c r="V2655" t="str">
        <f>VLOOKUP($R2655,'Mapa Oficinas'!$A$7:$C$46,2,FALSE)</f>
        <v>Interior - Neuquén</v>
      </c>
      <c r="W2655" t="str">
        <f>VLOOKUP($R2655,'Mapa Oficinas'!$A$7:$C$46,3,FALSE)</f>
        <v>San Martín de los Andes</v>
      </c>
    </row>
    <row r="2656" spans="1:23" x14ac:dyDescent="0.2">
      <c r="A2656" s="1">
        <v>46007</v>
      </c>
      <c r="B2656" s="20">
        <f t="shared" si="82"/>
        <v>2025</v>
      </c>
      <c r="C2656" s="20">
        <f t="shared" si="83"/>
        <v>12</v>
      </c>
      <c r="D2656" t="s">
        <v>5819</v>
      </c>
      <c r="E2656" s="49">
        <v>1</v>
      </c>
      <c r="F2656" t="s">
        <v>5820</v>
      </c>
      <c r="G2656" t="s">
        <v>21</v>
      </c>
      <c r="H2656" t="s">
        <v>37</v>
      </c>
      <c r="I2656" s="13">
        <v>425000</v>
      </c>
      <c r="J2656" s="13">
        <v>415000</v>
      </c>
      <c r="K2656" s="13">
        <f>IF(J2656&lt;'Mapa Oficinas'!$I$21,0,IF(J2656&gt;'Mapa Oficinas'!$I$20,0,1))</f>
        <v>1</v>
      </c>
      <c r="L2656" t="s">
        <v>23</v>
      </c>
      <c r="M2656" t="s">
        <v>23</v>
      </c>
      <c r="N2656" t="s">
        <v>5821</v>
      </c>
      <c r="O2656" t="s">
        <v>5822</v>
      </c>
      <c r="P2656" t="s">
        <v>45</v>
      </c>
      <c r="Q2656">
        <v>2</v>
      </c>
      <c r="R2656" t="s">
        <v>67</v>
      </c>
      <c r="S2656" t="s">
        <v>28</v>
      </c>
      <c r="T2656" t="str">
        <f>VLOOKUP(S2656,'Mapa Oficinas'!$H$7:$I$16,2,FALSE)</f>
        <v>CB</v>
      </c>
      <c r="U2656" t="s">
        <v>29</v>
      </c>
      <c r="V2656" t="str">
        <f>VLOOKUP($R2656,'Mapa Oficinas'!$A$7:$C$46,2,FALSE)</f>
        <v>CABA</v>
      </c>
      <c r="W2656" t="str">
        <f>VLOOKUP($R2656,'Mapa Oficinas'!$A$7:$C$46,3,FALSE)</f>
        <v>Barrio Parque</v>
      </c>
    </row>
    <row r="2657" spans="1:23" x14ac:dyDescent="0.2">
      <c r="A2657" s="1">
        <v>45853</v>
      </c>
      <c r="B2657" s="20">
        <f t="shared" si="82"/>
        <v>2025</v>
      </c>
      <c r="C2657" s="20">
        <f t="shared" si="83"/>
        <v>7</v>
      </c>
      <c r="D2657" t="s">
        <v>3058</v>
      </c>
      <c r="E2657" s="49">
        <v>1</v>
      </c>
      <c r="F2657" t="s">
        <v>3059</v>
      </c>
      <c r="G2657" t="s">
        <v>21</v>
      </c>
      <c r="H2657" t="s">
        <v>90</v>
      </c>
      <c r="I2657" s="13">
        <v>440000</v>
      </c>
      <c r="J2657" s="13">
        <v>420000</v>
      </c>
      <c r="K2657" s="13">
        <f>IF(J2657&lt;'Mapa Oficinas'!$I$21,0,IF(J2657&gt;'Mapa Oficinas'!$I$20,0,1))</f>
        <v>1</v>
      </c>
      <c r="L2657" t="s">
        <v>23</v>
      </c>
      <c r="M2657" t="s">
        <v>23</v>
      </c>
      <c r="N2657" t="s">
        <v>3060</v>
      </c>
      <c r="O2657" t="s">
        <v>190</v>
      </c>
      <c r="P2657" t="s">
        <v>45</v>
      </c>
      <c r="Q2657">
        <v>2</v>
      </c>
      <c r="R2657" t="s">
        <v>62</v>
      </c>
      <c r="S2657" t="s">
        <v>28</v>
      </c>
      <c r="T2657" t="str">
        <f>VLOOKUP(S2657,'Mapa Oficinas'!$H$7:$I$16,2,FALSE)</f>
        <v>CB</v>
      </c>
      <c r="U2657" t="s">
        <v>29</v>
      </c>
      <c r="V2657" t="str">
        <f>VLOOKUP($R2657,'Mapa Oficinas'!$A$7:$C$46,2,FALSE)</f>
        <v>CABA</v>
      </c>
      <c r="W2657" t="str">
        <f>VLOOKUP($R2657,'Mapa Oficinas'!$A$7:$C$46,3,FALSE)</f>
        <v>Villa Urquiza</v>
      </c>
    </row>
    <row r="2658" spans="1:23" x14ac:dyDescent="0.2">
      <c r="A2658" s="1">
        <v>45943</v>
      </c>
      <c r="B2658" s="20">
        <f t="shared" si="82"/>
        <v>2025</v>
      </c>
      <c r="C2658" s="20">
        <f t="shared" si="83"/>
        <v>10</v>
      </c>
      <c r="D2658" t="s">
        <v>4649</v>
      </c>
      <c r="E2658" s="49">
        <v>1</v>
      </c>
      <c r="F2658" t="s">
        <v>4650</v>
      </c>
      <c r="G2658" t="s">
        <v>21</v>
      </c>
      <c r="H2658" t="s">
        <v>37</v>
      </c>
      <c r="I2658" s="13">
        <v>470000</v>
      </c>
      <c r="J2658" s="13">
        <v>420000</v>
      </c>
      <c r="K2658" s="13">
        <f>IF(J2658&lt;'Mapa Oficinas'!$I$21,0,IF(J2658&gt;'Mapa Oficinas'!$I$20,0,1))</f>
        <v>1</v>
      </c>
      <c r="L2658" t="s">
        <v>23</v>
      </c>
      <c r="M2658" t="s">
        <v>23</v>
      </c>
      <c r="N2658" t="s">
        <v>4651</v>
      </c>
      <c r="O2658" t="s">
        <v>456</v>
      </c>
      <c r="P2658" t="s">
        <v>34</v>
      </c>
      <c r="Q2658">
        <v>2</v>
      </c>
      <c r="R2658" t="s">
        <v>67</v>
      </c>
      <c r="S2658" t="s">
        <v>28</v>
      </c>
      <c r="T2658" t="str">
        <f>VLOOKUP(S2658,'Mapa Oficinas'!$H$7:$I$16,2,FALSE)</f>
        <v>CB</v>
      </c>
      <c r="U2658" t="s">
        <v>29</v>
      </c>
      <c r="V2658" t="str">
        <f>VLOOKUP($R2658,'Mapa Oficinas'!$A$7:$C$46,2,FALSE)</f>
        <v>CABA</v>
      </c>
      <c r="W2658" t="str">
        <f>VLOOKUP($R2658,'Mapa Oficinas'!$A$7:$C$46,3,FALSE)</f>
        <v>Barrio Parque</v>
      </c>
    </row>
    <row r="2659" spans="1:23" x14ac:dyDescent="0.2">
      <c r="A2659" s="1">
        <v>45988</v>
      </c>
      <c r="B2659" s="20">
        <f t="shared" si="82"/>
        <v>2025</v>
      </c>
      <c r="C2659" s="20">
        <f t="shared" si="83"/>
        <v>11</v>
      </c>
      <c r="D2659" t="s">
        <v>5404</v>
      </c>
      <c r="E2659" s="49">
        <v>1</v>
      </c>
      <c r="F2659" t="s">
        <v>5405</v>
      </c>
      <c r="G2659" t="s">
        <v>21</v>
      </c>
      <c r="H2659" t="s">
        <v>119</v>
      </c>
      <c r="I2659" s="13">
        <v>425000</v>
      </c>
      <c r="J2659" s="13">
        <v>420000</v>
      </c>
      <c r="K2659" s="13">
        <f>IF(J2659&lt;'Mapa Oficinas'!$I$21,0,IF(J2659&gt;'Mapa Oficinas'!$I$20,0,1))</f>
        <v>1</v>
      </c>
      <c r="L2659" t="s">
        <v>23</v>
      </c>
      <c r="M2659" t="s">
        <v>23</v>
      </c>
      <c r="N2659" t="s">
        <v>5406</v>
      </c>
      <c r="O2659" t="s">
        <v>609</v>
      </c>
      <c r="P2659" t="s">
        <v>34</v>
      </c>
      <c r="Q2659">
        <v>2</v>
      </c>
      <c r="R2659" t="s">
        <v>121</v>
      </c>
      <c r="S2659" t="s">
        <v>28</v>
      </c>
      <c r="T2659" t="str">
        <f>VLOOKUP(S2659,'Mapa Oficinas'!$H$7:$I$16,2,FALSE)</f>
        <v>CB</v>
      </c>
      <c r="U2659" t="s">
        <v>29</v>
      </c>
      <c r="V2659" t="str">
        <f>VLOOKUP($R2659,'Mapa Oficinas'!$A$7:$C$46,2,FALSE)</f>
        <v>Interior - Río Negro</v>
      </c>
      <c r="W2659" t="str">
        <f>VLOOKUP($R2659,'Mapa Oficinas'!$A$7:$C$46,3,FALSE)</f>
        <v>Bariloche</v>
      </c>
    </row>
    <row r="2660" spans="1:23" x14ac:dyDescent="0.2">
      <c r="A2660" s="1">
        <v>45814</v>
      </c>
      <c r="B2660" s="20">
        <f t="shared" si="82"/>
        <v>2025</v>
      </c>
      <c r="C2660" s="20">
        <f t="shared" si="83"/>
        <v>6</v>
      </c>
      <c r="D2660" t="s">
        <v>2377</v>
      </c>
      <c r="E2660" s="49">
        <v>1</v>
      </c>
      <c r="F2660" t="s">
        <v>2378</v>
      </c>
      <c r="G2660" t="s">
        <v>21</v>
      </c>
      <c r="H2660" t="s">
        <v>76</v>
      </c>
      <c r="I2660" s="13">
        <v>454500</v>
      </c>
      <c r="J2660" s="13">
        <v>425000</v>
      </c>
      <c r="K2660" s="13">
        <f>IF(J2660&lt;'Mapa Oficinas'!$I$21,0,IF(J2660&gt;'Mapa Oficinas'!$I$20,0,1))</f>
        <v>1</v>
      </c>
      <c r="L2660" t="s">
        <v>23</v>
      </c>
      <c r="M2660" t="s">
        <v>23</v>
      </c>
      <c r="N2660" t="s">
        <v>2379</v>
      </c>
      <c r="O2660" t="s">
        <v>2380</v>
      </c>
      <c r="P2660" t="s">
        <v>34</v>
      </c>
      <c r="Q2660">
        <v>2</v>
      </c>
      <c r="R2660" t="s">
        <v>257</v>
      </c>
      <c r="S2660" t="s">
        <v>28</v>
      </c>
      <c r="T2660" t="str">
        <f>VLOOKUP(S2660,'Mapa Oficinas'!$H$7:$I$16,2,FALSE)</f>
        <v>CB</v>
      </c>
      <c r="U2660" t="s">
        <v>29</v>
      </c>
      <c r="V2660" t="str">
        <f>VLOOKUP($R2660,'Mapa Oficinas'!$A$7:$C$46,2,FALSE)</f>
        <v>Zona Norte (GBA)</v>
      </c>
      <c r="W2660" t="str">
        <f>VLOOKUP($R2660,'Mapa Oficinas'!$A$7:$C$46,3,FALSE)</f>
        <v>Pilar</v>
      </c>
    </row>
    <row r="2661" spans="1:23" x14ac:dyDescent="0.2">
      <c r="A2661" s="1">
        <v>46064</v>
      </c>
      <c r="B2661" s="20">
        <f t="shared" si="82"/>
        <v>2026</v>
      </c>
      <c r="C2661" s="20">
        <f t="shared" si="83"/>
        <v>2</v>
      </c>
      <c r="D2661" t="s">
        <v>6657</v>
      </c>
      <c r="E2661" s="49">
        <v>1</v>
      </c>
      <c r="F2661" t="s">
        <v>6658</v>
      </c>
      <c r="G2661" t="s">
        <v>21</v>
      </c>
      <c r="H2661" t="s">
        <v>37</v>
      </c>
      <c r="I2661" s="13">
        <v>458000</v>
      </c>
      <c r="J2661" s="13">
        <v>430000</v>
      </c>
      <c r="K2661" s="13">
        <f>IF(J2661&lt;'Mapa Oficinas'!$I$21,0,IF(J2661&gt;'Mapa Oficinas'!$I$20,0,1))</f>
        <v>1</v>
      </c>
      <c r="L2661" t="s">
        <v>23</v>
      </c>
      <c r="M2661" t="s">
        <v>23</v>
      </c>
      <c r="N2661" t="s">
        <v>6659</v>
      </c>
      <c r="O2661" t="s">
        <v>6660</v>
      </c>
      <c r="P2661" t="s">
        <v>34</v>
      </c>
      <c r="Q2661">
        <v>2</v>
      </c>
      <c r="R2661" t="s">
        <v>110</v>
      </c>
      <c r="S2661" t="s">
        <v>79</v>
      </c>
      <c r="T2661" t="str">
        <f>VLOOKUP(S2661,'Mapa Oficinas'!$H$7:$I$16,2,FALSE)</f>
        <v>CB</v>
      </c>
      <c r="U2661" t="s">
        <v>29</v>
      </c>
      <c r="V2661" t="str">
        <f>VLOOKUP($R2661,'Mapa Oficinas'!$A$7:$C$46,2,FALSE)</f>
        <v>Zona Norte (GBA)</v>
      </c>
      <c r="W2661" t="str">
        <f>VLOOKUP($R2661,'Mapa Oficinas'!$A$7:$C$46,3,FALSE)</f>
        <v>Nordelta</v>
      </c>
    </row>
    <row r="2662" spans="1:23" x14ac:dyDescent="0.2">
      <c r="A2662" s="1">
        <v>46016</v>
      </c>
      <c r="B2662" s="20">
        <f t="shared" si="82"/>
        <v>2025</v>
      </c>
      <c r="C2662" s="20">
        <f t="shared" si="83"/>
        <v>12</v>
      </c>
      <c r="D2662" t="s">
        <v>6022</v>
      </c>
      <c r="E2662" s="49">
        <v>1</v>
      </c>
      <c r="F2662" t="s">
        <v>6023</v>
      </c>
      <c r="G2662" t="s">
        <v>21</v>
      </c>
      <c r="H2662" t="s">
        <v>22</v>
      </c>
      <c r="I2662" s="13">
        <v>450000</v>
      </c>
      <c r="J2662" s="13">
        <v>430000</v>
      </c>
      <c r="K2662" s="13">
        <f>IF(J2662&lt;'Mapa Oficinas'!$I$21,0,IF(J2662&gt;'Mapa Oficinas'!$I$20,0,1))</f>
        <v>1</v>
      </c>
      <c r="L2662" t="s">
        <v>23</v>
      </c>
      <c r="M2662" t="s">
        <v>23</v>
      </c>
      <c r="N2662" t="s">
        <v>6024</v>
      </c>
      <c r="O2662" t="s">
        <v>4329</v>
      </c>
      <c r="P2662" t="s">
        <v>34</v>
      </c>
      <c r="Q2662">
        <v>2</v>
      </c>
      <c r="R2662" t="s">
        <v>110</v>
      </c>
      <c r="S2662" t="s">
        <v>28</v>
      </c>
      <c r="T2662" t="str">
        <f>VLOOKUP(S2662,'Mapa Oficinas'!$H$7:$I$16,2,FALSE)</f>
        <v>CB</v>
      </c>
      <c r="U2662" t="s">
        <v>29</v>
      </c>
      <c r="V2662" t="str">
        <f>VLOOKUP($R2662,'Mapa Oficinas'!$A$7:$C$46,2,FALSE)</f>
        <v>Zona Norte (GBA)</v>
      </c>
      <c r="W2662" t="str">
        <f>VLOOKUP($R2662,'Mapa Oficinas'!$A$7:$C$46,3,FALSE)</f>
        <v>Nordelta</v>
      </c>
    </row>
    <row r="2663" spans="1:23" x14ac:dyDescent="0.2">
      <c r="A2663" s="1">
        <v>46028</v>
      </c>
      <c r="B2663" s="20">
        <f t="shared" si="82"/>
        <v>2026</v>
      </c>
      <c r="C2663" s="20">
        <f t="shared" si="83"/>
        <v>1</v>
      </c>
      <c r="D2663" t="s">
        <v>6105</v>
      </c>
      <c r="E2663" s="49">
        <v>1</v>
      </c>
      <c r="F2663" t="s">
        <v>6106</v>
      </c>
      <c r="G2663" t="s">
        <v>21</v>
      </c>
      <c r="H2663" t="s">
        <v>37</v>
      </c>
      <c r="I2663" s="13">
        <v>470000</v>
      </c>
      <c r="J2663" s="13">
        <v>430000</v>
      </c>
      <c r="K2663" s="13">
        <f>IF(J2663&lt;'Mapa Oficinas'!$I$21,0,IF(J2663&gt;'Mapa Oficinas'!$I$20,0,1))</f>
        <v>1</v>
      </c>
      <c r="L2663" t="s">
        <v>23</v>
      </c>
      <c r="M2663" t="s">
        <v>23</v>
      </c>
      <c r="N2663" t="s">
        <v>6107</v>
      </c>
      <c r="O2663" t="s">
        <v>1459</v>
      </c>
      <c r="P2663" t="s">
        <v>34</v>
      </c>
      <c r="Q2663">
        <v>2</v>
      </c>
      <c r="R2663" t="s">
        <v>67</v>
      </c>
      <c r="S2663" t="s">
        <v>28</v>
      </c>
      <c r="T2663" t="str">
        <f>VLOOKUP(S2663,'Mapa Oficinas'!$H$7:$I$16,2,FALSE)</f>
        <v>CB</v>
      </c>
      <c r="U2663" t="s">
        <v>29</v>
      </c>
      <c r="V2663" t="str">
        <f>VLOOKUP($R2663,'Mapa Oficinas'!$A$7:$C$46,2,FALSE)</f>
        <v>CABA</v>
      </c>
      <c r="W2663" t="str">
        <f>VLOOKUP($R2663,'Mapa Oficinas'!$A$7:$C$46,3,FALSE)</f>
        <v>Barrio Parque</v>
      </c>
    </row>
    <row r="2664" spans="1:23" x14ac:dyDescent="0.2">
      <c r="A2664" s="1">
        <v>45776</v>
      </c>
      <c r="B2664" s="20">
        <f t="shared" si="82"/>
        <v>2025</v>
      </c>
      <c r="C2664" s="20">
        <f t="shared" si="83"/>
        <v>4</v>
      </c>
      <c r="D2664" t="s">
        <v>1705</v>
      </c>
      <c r="E2664" s="49">
        <v>1</v>
      </c>
      <c r="F2664" t="s">
        <v>1706</v>
      </c>
      <c r="G2664" t="s">
        <v>21</v>
      </c>
      <c r="H2664" t="s">
        <v>37</v>
      </c>
      <c r="I2664" s="13">
        <v>440000</v>
      </c>
      <c r="J2664" s="13">
        <v>440000</v>
      </c>
      <c r="K2664" s="13">
        <f>IF(J2664&lt;'Mapa Oficinas'!$I$21,0,IF(J2664&gt;'Mapa Oficinas'!$I$20,0,1))</f>
        <v>1</v>
      </c>
      <c r="L2664" t="s">
        <v>23</v>
      </c>
      <c r="M2664" t="s">
        <v>23</v>
      </c>
      <c r="N2664" t="s">
        <v>1707</v>
      </c>
      <c r="O2664" t="s">
        <v>162</v>
      </c>
      <c r="P2664" t="s">
        <v>45</v>
      </c>
      <c r="Q2664">
        <v>1</v>
      </c>
      <c r="R2664" t="s">
        <v>523</v>
      </c>
      <c r="S2664" t="s">
        <v>47</v>
      </c>
      <c r="T2664" t="str">
        <f>VLOOKUP(S2664,'Mapa Oficinas'!$H$7:$I$16,2,FALSE)</f>
        <v>Otra Red Búsqueda</v>
      </c>
      <c r="U2664" t="s">
        <v>29</v>
      </c>
      <c r="V2664" t="str">
        <f>VLOOKUP($R2664,'Mapa Oficinas'!$A$7:$C$46,2,FALSE)</f>
        <v>CABA</v>
      </c>
      <c r="W2664" t="str">
        <f>VLOOKUP($R2664,'Mapa Oficinas'!$A$7:$C$46,3,FALSE)</f>
        <v>Belgrano</v>
      </c>
    </row>
    <row r="2665" spans="1:23" x14ac:dyDescent="0.2">
      <c r="A2665" s="1">
        <v>46009</v>
      </c>
      <c r="B2665" s="20">
        <f t="shared" si="82"/>
        <v>2025</v>
      </c>
      <c r="C2665" s="20">
        <f t="shared" si="83"/>
        <v>12</v>
      </c>
      <c r="E2665" s="49">
        <v>1</v>
      </c>
      <c r="F2665" t="s">
        <v>5881</v>
      </c>
      <c r="G2665" t="s">
        <v>21</v>
      </c>
      <c r="H2665" t="s">
        <v>37</v>
      </c>
      <c r="I2665" s="13">
        <v>440000</v>
      </c>
      <c r="J2665" s="13">
        <v>440000</v>
      </c>
      <c r="K2665" s="13">
        <f>IF(J2665&lt;'Mapa Oficinas'!$I$21,0,IF(J2665&gt;'Mapa Oficinas'!$I$20,0,1))</f>
        <v>1</v>
      </c>
      <c r="L2665" t="s">
        <v>23</v>
      </c>
      <c r="M2665" t="s">
        <v>23</v>
      </c>
      <c r="N2665" t="s">
        <v>5882</v>
      </c>
      <c r="O2665" t="s">
        <v>50</v>
      </c>
      <c r="P2665" t="s">
        <v>45</v>
      </c>
      <c r="Q2665">
        <v>1</v>
      </c>
      <c r="R2665" t="s">
        <v>135</v>
      </c>
      <c r="S2665" t="s">
        <v>47</v>
      </c>
      <c r="T2665" t="str">
        <f>VLOOKUP(S2665,'Mapa Oficinas'!$H$7:$I$16,2,FALSE)</f>
        <v>Otra Red Búsqueda</v>
      </c>
      <c r="U2665" t="s">
        <v>29</v>
      </c>
      <c r="V2665" t="str">
        <f>VLOOKUP($R2665,'Mapa Oficinas'!$A$7:$C$46,2,FALSE)</f>
        <v>CABA</v>
      </c>
      <c r="W2665" t="str">
        <f>VLOOKUP($R2665,'Mapa Oficinas'!$A$7:$C$46,3,FALSE)</f>
        <v>Recoleta</v>
      </c>
    </row>
    <row r="2666" spans="1:23" x14ac:dyDescent="0.2">
      <c r="A2666" s="1">
        <v>46030</v>
      </c>
      <c r="B2666" s="20">
        <f t="shared" si="82"/>
        <v>2026</v>
      </c>
      <c r="C2666" s="20">
        <f t="shared" si="83"/>
        <v>1</v>
      </c>
      <c r="D2666" t="s">
        <v>6151</v>
      </c>
      <c r="E2666" s="49">
        <v>1</v>
      </c>
      <c r="F2666" t="s">
        <v>6152</v>
      </c>
      <c r="G2666" t="s">
        <v>21</v>
      </c>
      <c r="H2666" t="s">
        <v>37</v>
      </c>
      <c r="I2666" s="13">
        <v>465000</v>
      </c>
      <c r="J2666" s="13">
        <v>445000</v>
      </c>
      <c r="K2666" s="13">
        <f>IF(J2666&lt;'Mapa Oficinas'!$I$21,0,IF(J2666&gt;'Mapa Oficinas'!$I$20,0,1))</f>
        <v>1</v>
      </c>
      <c r="L2666" t="s">
        <v>23</v>
      </c>
      <c r="M2666" t="s">
        <v>23</v>
      </c>
      <c r="N2666" t="s">
        <v>6153</v>
      </c>
      <c r="O2666" t="s">
        <v>66</v>
      </c>
      <c r="P2666" t="s">
        <v>45</v>
      </c>
      <c r="Q2666">
        <v>2</v>
      </c>
      <c r="R2666" t="s">
        <v>56</v>
      </c>
      <c r="S2666" t="s">
        <v>28</v>
      </c>
      <c r="T2666" t="str">
        <f>VLOOKUP(S2666,'Mapa Oficinas'!$H$7:$I$16,2,FALSE)</f>
        <v>CB</v>
      </c>
      <c r="U2666" t="s">
        <v>29</v>
      </c>
      <c r="V2666" t="str">
        <f>VLOOKUP($R2666,'Mapa Oficinas'!$A$7:$C$46,2,FALSE)</f>
        <v>Zona Norte (GBA)</v>
      </c>
      <c r="W2666" t="str">
        <f>VLOOKUP($R2666,'Mapa Oficinas'!$A$7:$C$46,3,FALSE)</f>
        <v>Vicente López</v>
      </c>
    </row>
    <row r="2667" spans="1:23" x14ac:dyDescent="0.2">
      <c r="A2667" s="1">
        <v>46038</v>
      </c>
      <c r="B2667" s="20">
        <f t="shared" si="82"/>
        <v>2026</v>
      </c>
      <c r="C2667" s="20">
        <f t="shared" si="83"/>
        <v>1</v>
      </c>
      <c r="D2667" t="s">
        <v>6300</v>
      </c>
      <c r="E2667" s="49">
        <v>1</v>
      </c>
      <c r="F2667" t="s">
        <v>6301</v>
      </c>
      <c r="G2667" t="s">
        <v>21</v>
      </c>
      <c r="H2667" t="s">
        <v>37</v>
      </c>
      <c r="I2667" s="13">
        <v>500000</v>
      </c>
      <c r="J2667" s="13">
        <v>449000</v>
      </c>
      <c r="K2667" s="13">
        <f>IF(J2667&lt;'Mapa Oficinas'!$I$21,0,IF(J2667&gt;'Mapa Oficinas'!$I$20,0,1))</f>
        <v>1</v>
      </c>
      <c r="L2667" t="s">
        <v>23</v>
      </c>
      <c r="M2667" t="s">
        <v>23</v>
      </c>
      <c r="N2667" t="s">
        <v>6302</v>
      </c>
      <c r="O2667" t="s">
        <v>1404</v>
      </c>
      <c r="P2667" t="s">
        <v>34</v>
      </c>
      <c r="Q2667">
        <v>1</v>
      </c>
      <c r="R2667" t="s">
        <v>110</v>
      </c>
      <c r="S2667" t="s">
        <v>47</v>
      </c>
      <c r="T2667" t="str">
        <f>VLOOKUP(S2667,'Mapa Oficinas'!$H$7:$I$16,2,FALSE)</f>
        <v>Otra Red Búsqueda</v>
      </c>
      <c r="U2667" t="s">
        <v>29</v>
      </c>
      <c r="V2667" t="str">
        <f>VLOOKUP($R2667,'Mapa Oficinas'!$A$7:$C$46,2,FALSE)</f>
        <v>Zona Norte (GBA)</v>
      </c>
      <c r="W2667" t="str">
        <f>VLOOKUP($R2667,'Mapa Oficinas'!$A$7:$C$46,3,FALSE)</f>
        <v>Nordelta</v>
      </c>
    </row>
    <row r="2668" spans="1:23" x14ac:dyDescent="0.2">
      <c r="A2668" s="1">
        <v>45777</v>
      </c>
      <c r="B2668" s="20">
        <f t="shared" si="82"/>
        <v>2025</v>
      </c>
      <c r="C2668" s="20">
        <f t="shared" si="83"/>
        <v>4</v>
      </c>
      <c r="D2668" t="s">
        <v>1764</v>
      </c>
      <c r="E2668" s="49">
        <v>1</v>
      </c>
      <c r="F2668" t="s">
        <v>1765</v>
      </c>
      <c r="G2668" t="s">
        <v>21</v>
      </c>
      <c r="H2668" t="s">
        <v>100</v>
      </c>
      <c r="I2668" s="13">
        <v>490000</v>
      </c>
      <c r="J2668" s="13">
        <v>450000</v>
      </c>
      <c r="K2668" s="13">
        <f>IF(J2668&lt;'Mapa Oficinas'!$I$21,0,IF(J2668&gt;'Mapa Oficinas'!$I$20,0,1))</f>
        <v>1</v>
      </c>
      <c r="L2668" t="s">
        <v>23</v>
      </c>
      <c r="M2668" t="s">
        <v>23</v>
      </c>
      <c r="N2668" t="s">
        <v>1766</v>
      </c>
      <c r="O2668" t="s">
        <v>1767</v>
      </c>
      <c r="P2668" t="s">
        <v>26</v>
      </c>
      <c r="Q2668">
        <v>1</v>
      </c>
      <c r="R2668" t="s">
        <v>121</v>
      </c>
      <c r="S2668" t="s">
        <v>152</v>
      </c>
      <c r="T2668" t="str">
        <f>VLOOKUP(S2668,'Mapa Oficinas'!$H$7:$I$16,2,FALSE)</f>
        <v>Otra Red Captación</v>
      </c>
      <c r="U2668" t="s">
        <v>29</v>
      </c>
      <c r="V2668" t="str">
        <f>VLOOKUP($R2668,'Mapa Oficinas'!$A$7:$C$46,2,FALSE)</f>
        <v>Interior - Río Negro</v>
      </c>
      <c r="W2668" t="str">
        <f>VLOOKUP($R2668,'Mapa Oficinas'!$A$7:$C$46,3,FALSE)</f>
        <v>Bariloche</v>
      </c>
    </row>
    <row r="2669" spans="1:23" x14ac:dyDescent="0.2">
      <c r="A2669" s="1">
        <v>45835</v>
      </c>
      <c r="B2669" s="20">
        <f t="shared" si="82"/>
        <v>2025</v>
      </c>
      <c r="C2669" s="20">
        <f t="shared" si="83"/>
        <v>6</v>
      </c>
      <c r="D2669" t="s">
        <v>2730</v>
      </c>
      <c r="E2669" s="49">
        <v>1</v>
      </c>
      <c r="F2669" t="s">
        <v>2731</v>
      </c>
      <c r="G2669" t="s">
        <v>21</v>
      </c>
      <c r="H2669" t="s">
        <v>37</v>
      </c>
      <c r="I2669" s="13">
        <v>450000</v>
      </c>
      <c r="J2669" s="13">
        <v>450000</v>
      </c>
      <c r="K2669" s="13">
        <f>IF(J2669&lt;'Mapa Oficinas'!$I$21,0,IF(J2669&gt;'Mapa Oficinas'!$I$20,0,1))</f>
        <v>1</v>
      </c>
      <c r="L2669" t="s">
        <v>23</v>
      </c>
      <c r="M2669" t="s">
        <v>23</v>
      </c>
      <c r="N2669" t="s">
        <v>2732</v>
      </c>
      <c r="O2669" t="s">
        <v>50</v>
      </c>
      <c r="P2669" t="s">
        <v>45</v>
      </c>
      <c r="Q2669">
        <v>2</v>
      </c>
      <c r="R2669" t="s">
        <v>67</v>
      </c>
      <c r="S2669" t="s">
        <v>28</v>
      </c>
      <c r="T2669" t="str">
        <f>VLOOKUP(S2669,'Mapa Oficinas'!$H$7:$I$16,2,FALSE)</f>
        <v>CB</v>
      </c>
      <c r="U2669" t="s">
        <v>29</v>
      </c>
      <c r="V2669" t="str">
        <f>VLOOKUP($R2669,'Mapa Oficinas'!$A$7:$C$46,2,FALSE)</f>
        <v>CABA</v>
      </c>
      <c r="W2669" t="str">
        <f>VLOOKUP($R2669,'Mapa Oficinas'!$A$7:$C$46,3,FALSE)</f>
        <v>Barrio Parque</v>
      </c>
    </row>
    <row r="2670" spans="1:23" x14ac:dyDescent="0.2">
      <c r="A2670" s="1">
        <v>45849</v>
      </c>
      <c r="B2670" s="20">
        <f t="shared" si="82"/>
        <v>2025</v>
      </c>
      <c r="C2670" s="20">
        <f t="shared" si="83"/>
        <v>7</v>
      </c>
      <c r="D2670" t="s">
        <v>2996</v>
      </c>
      <c r="E2670" s="49">
        <v>1</v>
      </c>
      <c r="F2670" t="s">
        <v>2997</v>
      </c>
      <c r="G2670" t="s">
        <v>21</v>
      </c>
      <c r="H2670" t="s">
        <v>22</v>
      </c>
      <c r="I2670" s="13">
        <v>480000</v>
      </c>
      <c r="J2670" s="13">
        <v>450000</v>
      </c>
      <c r="K2670" s="13">
        <f>IF(J2670&lt;'Mapa Oficinas'!$I$21,0,IF(J2670&gt;'Mapa Oficinas'!$I$20,0,1))</f>
        <v>1</v>
      </c>
      <c r="L2670" t="s">
        <v>23</v>
      </c>
      <c r="M2670" t="s">
        <v>23</v>
      </c>
      <c r="N2670" t="s">
        <v>2998</v>
      </c>
      <c r="O2670" t="s">
        <v>1094</v>
      </c>
      <c r="P2670" t="s">
        <v>34</v>
      </c>
      <c r="Q2670">
        <v>2</v>
      </c>
      <c r="R2670" t="s">
        <v>1024</v>
      </c>
      <c r="S2670" t="s">
        <v>28</v>
      </c>
      <c r="T2670" t="str">
        <f>VLOOKUP(S2670,'Mapa Oficinas'!$H$7:$I$16,2,FALSE)</f>
        <v>CB</v>
      </c>
      <c r="U2670" t="s">
        <v>29</v>
      </c>
      <c r="V2670" t="str">
        <f>VLOOKUP($R2670,'Mapa Oficinas'!$A$7:$C$46,2,FALSE)</f>
        <v>CABA</v>
      </c>
      <c r="W2670" t="str">
        <f>VLOOKUP($R2670,'Mapa Oficinas'!$A$7:$C$46,3,FALSE)</f>
        <v>Puerto Madero</v>
      </c>
    </row>
    <row r="2671" spans="1:23" x14ac:dyDescent="0.2">
      <c r="A2671" s="1">
        <v>45891</v>
      </c>
      <c r="B2671" s="20">
        <f t="shared" si="82"/>
        <v>2025</v>
      </c>
      <c r="C2671" s="20">
        <f t="shared" si="83"/>
        <v>8</v>
      </c>
      <c r="D2671" t="s">
        <v>3733</v>
      </c>
      <c r="E2671" s="49">
        <v>1</v>
      </c>
      <c r="F2671" t="s">
        <v>3734</v>
      </c>
      <c r="G2671" t="s">
        <v>21</v>
      </c>
      <c r="H2671" t="s">
        <v>37</v>
      </c>
      <c r="I2671" s="13">
        <v>120000</v>
      </c>
      <c r="J2671" s="13">
        <v>460000</v>
      </c>
      <c r="K2671" s="13">
        <f>IF(J2671&lt;'Mapa Oficinas'!$I$21,0,IF(J2671&gt;'Mapa Oficinas'!$I$20,0,1))</f>
        <v>1</v>
      </c>
      <c r="L2671" t="s">
        <v>23</v>
      </c>
      <c r="M2671" t="s">
        <v>23</v>
      </c>
      <c r="N2671" t="s">
        <v>3735</v>
      </c>
      <c r="O2671" t="s">
        <v>50</v>
      </c>
      <c r="P2671" t="s">
        <v>45</v>
      </c>
      <c r="Q2671">
        <v>1</v>
      </c>
      <c r="R2671" t="s">
        <v>110</v>
      </c>
      <c r="S2671" t="s">
        <v>47</v>
      </c>
      <c r="T2671" t="str">
        <f>VLOOKUP(S2671,'Mapa Oficinas'!$H$7:$I$16,2,FALSE)</f>
        <v>Otra Red Búsqueda</v>
      </c>
      <c r="U2671" t="s">
        <v>29</v>
      </c>
      <c r="V2671" t="str">
        <f>VLOOKUP($R2671,'Mapa Oficinas'!$A$7:$C$46,2,FALSE)</f>
        <v>Zona Norte (GBA)</v>
      </c>
      <c r="W2671" t="str">
        <f>VLOOKUP($R2671,'Mapa Oficinas'!$A$7:$C$46,3,FALSE)</f>
        <v>Nordelta</v>
      </c>
    </row>
    <row r="2672" spans="1:23" x14ac:dyDescent="0.2">
      <c r="A2672" s="1">
        <v>45954</v>
      </c>
      <c r="B2672" s="20">
        <f t="shared" si="82"/>
        <v>2025</v>
      </c>
      <c r="C2672" s="20">
        <f t="shared" si="83"/>
        <v>10</v>
      </c>
      <c r="D2672">
        <v>10574</v>
      </c>
      <c r="E2672" s="49">
        <v>1</v>
      </c>
      <c r="F2672" t="s">
        <v>4925</v>
      </c>
      <c r="G2672" t="s">
        <v>21</v>
      </c>
      <c r="H2672" t="s">
        <v>37</v>
      </c>
      <c r="I2672" s="13">
        <v>460000</v>
      </c>
      <c r="J2672" s="13">
        <v>460000</v>
      </c>
      <c r="K2672" s="13">
        <f>IF(J2672&lt;'Mapa Oficinas'!$I$21,0,IF(J2672&gt;'Mapa Oficinas'!$I$20,0,1))</f>
        <v>1</v>
      </c>
      <c r="L2672" t="s">
        <v>23</v>
      </c>
      <c r="M2672" t="s">
        <v>23</v>
      </c>
      <c r="N2672" t="s">
        <v>4926</v>
      </c>
      <c r="O2672" t="s">
        <v>2104</v>
      </c>
      <c r="P2672" t="s">
        <v>34</v>
      </c>
      <c r="Q2672">
        <v>1</v>
      </c>
      <c r="R2672" t="s">
        <v>67</v>
      </c>
      <c r="S2672" t="s">
        <v>47</v>
      </c>
      <c r="T2672" t="str">
        <f>VLOOKUP(S2672,'Mapa Oficinas'!$H$7:$I$16,2,FALSE)</f>
        <v>Otra Red Búsqueda</v>
      </c>
      <c r="U2672" t="s">
        <v>29</v>
      </c>
      <c r="V2672" t="str">
        <f>VLOOKUP($R2672,'Mapa Oficinas'!$A$7:$C$46,2,FALSE)</f>
        <v>CABA</v>
      </c>
      <c r="W2672" t="str">
        <f>VLOOKUP($R2672,'Mapa Oficinas'!$A$7:$C$46,3,FALSE)</f>
        <v>Barrio Parque</v>
      </c>
    </row>
    <row r="2673" spans="1:23" x14ac:dyDescent="0.2">
      <c r="A2673" s="1">
        <v>45819</v>
      </c>
      <c r="B2673" s="20">
        <f t="shared" si="82"/>
        <v>2025</v>
      </c>
      <c r="C2673" s="20">
        <f t="shared" si="83"/>
        <v>6</v>
      </c>
      <c r="D2673" t="s">
        <v>2444</v>
      </c>
      <c r="E2673" s="49">
        <v>1</v>
      </c>
      <c r="F2673" t="s">
        <v>2445</v>
      </c>
      <c r="G2673" t="s">
        <v>21</v>
      </c>
      <c r="H2673" t="s">
        <v>37</v>
      </c>
      <c r="I2673" s="13">
        <v>490000</v>
      </c>
      <c r="J2673" s="13">
        <v>460000</v>
      </c>
      <c r="K2673" s="13">
        <f>IF(J2673&lt;'Mapa Oficinas'!$I$21,0,IF(J2673&gt;'Mapa Oficinas'!$I$20,0,1))</f>
        <v>1</v>
      </c>
      <c r="L2673" t="s">
        <v>23</v>
      </c>
      <c r="M2673" t="s">
        <v>23</v>
      </c>
      <c r="N2673" t="s">
        <v>2446</v>
      </c>
      <c r="O2673" t="s">
        <v>50</v>
      </c>
      <c r="P2673" t="s">
        <v>45</v>
      </c>
      <c r="Q2673">
        <v>2</v>
      </c>
      <c r="R2673" t="s">
        <v>110</v>
      </c>
      <c r="S2673" t="s">
        <v>28</v>
      </c>
      <c r="T2673" t="str">
        <f>VLOOKUP(S2673,'Mapa Oficinas'!$H$7:$I$16,2,FALSE)</f>
        <v>CB</v>
      </c>
      <c r="U2673" t="s">
        <v>29</v>
      </c>
      <c r="V2673" t="str">
        <f>VLOOKUP($R2673,'Mapa Oficinas'!$A$7:$C$46,2,FALSE)</f>
        <v>Zona Norte (GBA)</v>
      </c>
      <c r="W2673" t="str">
        <f>VLOOKUP($R2673,'Mapa Oficinas'!$A$7:$C$46,3,FALSE)</f>
        <v>Nordelta</v>
      </c>
    </row>
    <row r="2674" spans="1:23" x14ac:dyDescent="0.2">
      <c r="A2674" s="1">
        <v>45926</v>
      </c>
      <c r="B2674" s="20">
        <f t="shared" si="82"/>
        <v>2025</v>
      </c>
      <c r="C2674" s="20">
        <f t="shared" si="83"/>
        <v>9</v>
      </c>
      <c r="D2674" t="s">
        <v>4386</v>
      </c>
      <c r="E2674" s="49">
        <v>1</v>
      </c>
      <c r="F2674" t="s">
        <v>4387</v>
      </c>
      <c r="G2674" t="s">
        <v>21</v>
      </c>
      <c r="H2674" t="s">
        <v>37</v>
      </c>
      <c r="I2674" s="13">
        <v>525000</v>
      </c>
      <c r="J2674" s="13">
        <v>460000</v>
      </c>
      <c r="K2674" s="13">
        <f>IF(J2674&lt;'Mapa Oficinas'!$I$21,0,IF(J2674&gt;'Mapa Oficinas'!$I$20,0,1))</f>
        <v>1</v>
      </c>
      <c r="L2674" t="s">
        <v>23</v>
      </c>
      <c r="M2674" t="s">
        <v>23</v>
      </c>
      <c r="N2674" t="s">
        <v>4388</v>
      </c>
      <c r="O2674" t="s">
        <v>1028</v>
      </c>
      <c r="P2674" t="s">
        <v>34</v>
      </c>
      <c r="Q2674">
        <v>2</v>
      </c>
      <c r="R2674" t="s">
        <v>67</v>
      </c>
      <c r="S2674" t="s">
        <v>28</v>
      </c>
      <c r="T2674" t="str">
        <f>VLOOKUP(S2674,'Mapa Oficinas'!$H$7:$I$16,2,FALSE)</f>
        <v>CB</v>
      </c>
      <c r="U2674" t="s">
        <v>29</v>
      </c>
      <c r="V2674" t="str">
        <f>VLOOKUP($R2674,'Mapa Oficinas'!$A$7:$C$46,2,FALSE)</f>
        <v>CABA</v>
      </c>
      <c r="W2674" t="str">
        <f>VLOOKUP($R2674,'Mapa Oficinas'!$A$7:$C$46,3,FALSE)</f>
        <v>Barrio Parque</v>
      </c>
    </row>
    <row r="2675" spans="1:23" x14ac:dyDescent="0.2">
      <c r="A2675" s="1">
        <v>45960</v>
      </c>
      <c r="B2675" s="20">
        <f t="shared" si="82"/>
        <v>2025</v>
      </c>
      <c r="C2675" s="20">
        <f t="shared" si="83"/>
        <v>10</v>
      </c>
      <c r="D2675" t="s">
        <v>5014</v>
      </c>
      <c r="E2675" s="49">
        <v>1</v>
      </c>
      <c r="F2675" t="s">
        <v>5015</v>
      </c>
      <c r="G2675" t="s">
        <v>21</v>
      </c>
      <c r="H2675" t="s">
        <v>37</v>
      </c>
      <c r="I2675" s="13">
        <v>490000</v>
      </c>
      <c r="J2675" s="13">
        <v>465000</v>
      </c>
      <c r="K2675" s="13">
        <f>IF(J2675&lt;'Mapa Oficinas'!$I$21,0,IF(J2675&gt;'Mapa Oficinas'!$I$20,0,1))</f>
        <v>1</v>
      </c>
      <c r="L2675" t="s">
        <v>23</v>
      </c>
      <c r="M2675" t="s">
        <v>23</v>
      </c>
      <c r="N2675" t="s">
        <v>5016</v>
      </c>
      <c r="O2675" t="s">
        <v>2194</v>
      </c>
      <c r="P2675" t="s">
        <v>45</v>
      </c>
      <c r="Q2675">
        <v>1</v>
      </c>
      <c r="R2675" t="s">
        <v>110</v>
      </c>
      <c r="S2675" t="s">
        <v>47</v>
      </c>
      <c r="T2675" t="str">
        <f>VLOOKUP(S2675,'Mapa Oficinas'!$H$7:$I$16,2,FALSE)</f>
        <v>Otra Red Búsqueda</v>
      </c>
      <c r="U2675" t="s">
        <v>29</v>
      </c>
      <c r="V2675" t="str">
        <f>VLOOKUP($R2675,'Mapa Oficinas'!$A$7:$C$46,2,FALSE)</f>
        <v>Zona Norte (GBA)</v>
      </c>
      <c r="W2675" t="str">
        <f>VLOOKUP($R2675,'Mapa Oficinas'!$A$7:$C$46,3,FALSE)</f>
        <v>Nordelta</v>
      </c>
    </row>
    <row r="2676" spans="1:23" x14ac:dyDescent="0.2">
      <c r="A2676" s="1">
        <v>45819</v>
      </c>
      <c r="B2676" s="20">
        <f t="shared" si="82"/>
        <v>2025</v>
      </c>
      <c r="C2676" s="20">
        <f t="shared" si="83"/>
        <v>6</v>
      </c>
      <c r="D2676" t="s">
        <v>2447</v>
      </c>
      <c r="E2676" s="49">
        <v>1</v>
      </c>
      <c r="F2676" t="s">
        <v>2448</v>
      </c>
      <c r="G2676" t="s">
        <v>21</v>
      </c>
      <c r="H2676" t="s">
        <v>37</v>
      </c>
      <c r="I2676" s="13">
        <v>590000</v>
      </c>
      <c r="J2676" s="13">
        <v>467500</v>
      </c>
      <c r="K2676" s="13">
        <f>IF(J2676&lt;'Mapa Oficinas'!$I$21,0,IF(J2676&gt;'Mapa Oficinas'!$I$20,0,1))</f>
        <v>1</v>
      </c>
      <c r="L2676" t="s">
        <v>23</v>
      </c>
      <c r="M2676" t="s">
        <v>23</v>
      </c>
      <c r="N2676" t="s">
        <v>2449</v>
      </c>
      <c r="O2676" t="s">
        <v>50</v>
      </c>
      <c r="P2676" t="s">
        <v>45</v>
      </c>
      <c r="Q2676">
        <v>2</v>
      </c>
      <c r="R2676" t="s">
        <v>110</v>
      </c>
      <c r="S2676" t="s">
        <v>200</v>
      </c>
      <c r="T2676" t="str">
        <f>VLOOKUP(S2676,'Mapa Oficinas'!$H$7:$I$16,2,FALSE)</f>
        <v>Otra Red Captación</v>
      </c>
      <c r="U2676" t="s">
        <v>29</v>
      </c>
      <c r="V2676" t="str">
        <f>VLOOKUP($R2676,'Mapa Oficinas'!$A$7:$C$46,2,FALSE)</f>
        <v>Zona Norte (GBA)</v>
      </c>
      <c r="W2676" t="str">
        <f>VLOOKUP($R2676,'Mapa Oficinas'!$A$7:$C$46,3,FALSE)</f>
        <v>Nordelta</v>
      </c>
    </row>
    <row r="2677" spans="1:23" x14ac:dyDescent="0.2">
      <c r="A2677" s="1">
        <v>45819</v>
      </c>
      <c r="B2677" s="20">
        <f t="shared" si="82"/>
        <v>2025</v>
      </c>
      <c r="C2677" s="20">
        <f t="shared" si="83"/>
        <v>6</v>
      </c>
      <c r="E2677" s="49">
        <v>1</v>
      </c>
      <c r="F2677" t="s">
        <v>2450</v>
      </c>
      <c r="G2677" t="s">
        <v>21</v>
      </c>
      <c r="H2677" t="s">
        <v>81</v>
      </c>
      <c r="I2677" s="13">
        <v>549000</v>
      </c>
      <c r="J2677" s="13">
        <v>475000</v>
      </c>
      <c r="K2677" s="13">
        <f>IF(J2677&lt;'Mapa Oficinas'!$I$21,0,IF(J2677&gt;'Mapa Oficinas'!$I$20,0,1))</f>
        <v>1</v>
      </c>
      <c r="L2677" t="s">
        <v>23</v>
      </c>
      <c r="M2677" t="s">
        <v>23</v>
      </c>
      <c r="O2677" t="s">
        <v>1305</v>
      </c>
      <c r="P2677" t="s">
        <v>34</v>
      </c>
      <c r="Q2677">
        <v>2</v>
      </c>
      <c r="R2677" t="s">
        <v>257</v>
      </c>
      <c r="S2677" t="s">
        <v>28</v>
      </c>
      <c r="T2677" t="str">
        <f>VLOOKUP(S2677,'Mapa Oficinas'!$H$7:$I$16,2,FALSE)</f>
        <v>CB</v>
      </c>
      <c r="U2677" t="s">
        <v>29</v>
      </c>
      <c r="V2677" t="str">
        <f>VLOOKUP($R2677,'Mapa Oficinas'!$A$7:$C$46,2,FALSE)</f>
        <v>Zona Norte (GBA)</v>
      </c>
      <c r="W2677" t="str">
        <f>VLOOKUP($R2677,'Mapa Oficinas'!$A$7:$C$46,3,FALSE)</f>
        <v>Pilar</v>
      </c>
    </row>
    <row r="2678" spans="1:23" x14ac:dyDescent="0.2">
      <c r="A2678" s="1">
        <v>46112</v>
      </c>
      <c r="B2678" s="20">
        <f t="shared" si="82"/>
        <v>2026</v>
      </c>
      <c r="C2678" s="20">
        <f t="shared" si="83"/>
        <v>3</v>
      </c>
      <c r="D2678" t="s">
        <v>7588</v>
      </c>
      <c r="E2678" s="49">
        <v>1</v>
      </c>
      <c r="F2678" t="s">
        <v>7589</v>
      </c>
      <c r="G2678" t="s">
        <v>21</v>
      </c>
      <c r="H2678" t="s">
        <v>37</v>
      </c>
      <c r="I2678" s="13">
        <v>475000</v>
      </c>
      <c r="J2678" s="13">
        <v>475000</v>
      </c>
      <c r="K2678" s="13">
        <f>IF(J2678&lt;'Mapa Oficinas'!$I$21,0,IF(J2678&gt;'Mapa Oficinas'!$I$20,0,1))</f>
        <v>1</v>
      </c>
      <c r="L2678" t="s">
        <v>23</v>
      </c>
      <c r="M2678" t="s">
        <v>23</v>
      </c>
      <c r="N2678" t="s">
        <v>7590</v>
      </c>
      <c r="O2678" t="s">
        <v>174</v>
      </c>
      <c r="P2678" t="s">
        <v>34</v>
      </c>
      <c r="Q2678">
        <v>2</v>
      </c>
      <c r="R2678" t="s">
        <v>67</v>
      </c>
      <c r="S2678" t="s">
        <v>28</v>
      </c>
      <c r="T2678" t="str">
        <f>VLOOKUP(S2678,'Mapa Oficinas'!$H$7:$I$16,2,FALSE)</f>
        <v>CB</v>
      </c>
      <c r="U2678" t="s">
        <v>29</v>
      </c>
      <c r="V2678" t="str">
        <f>VLOOKUP($R2678,'Mapa Oficinas'!$A$7:$C$46,2,FALSE)</f>
        <v>CABA</v>
      </c>
      <c r="W2678" t="str">
        <f>VLOOKUP($R2678,'Mapa Oficinas'!$A$7:$C$46,3,FALSE)</f>
        <v>Barrio Parque</v>
      </c>
    </row>
    <row r="2679" spans="1:23" x14ac:dyDescent="0.2">
      <c r="A2679" s="1">
        <v>45959</v>
      </c>
      <c r="B2679" s="20">
        <f t="shared" si="82"/>
        <v>2025</v>
      </c>
      <c r="C2679" s="20">
        <f t="shared" si="83"/>
        <v>10</v>
      </c>
      <c r="D2679" t="s">
        <v>4992</v>
      </c>
      <c r="E2679" s="49">
        <v>1</v>
      </c>
      <c r="F2679" t="s">
        <v>4993</v>
      </c>
      <c r="G2679" t="s">
        <v>21</v>
      </c>
      <c r="H2679" t="s">
        <v>37</v>
      </c>
      <c r="I2679" s="13">
        <v>490000</v>
      </c>
      <c r="J2679" s="13">
        <v>480000</v>
      </c>
      <c r="K2679" s="13">
        <f>IF(J2679&lt;'Mapa Oficinas'!$I$21,0,IF(J2679&gt;'Mapa Oficinas'!$I$20,0,1))</f>
        <v>1</v>
      </c>
      <c r="L2679" t="s">
        <v>23</v>
      </c>
      <c r="M2679" t="s">
        <v>23</v>
      </c>
      <c r="N2679" t="s">
        <v>4994</v>
      </c>
      <c r="O2679" t="s">
        <v>4995</v>
      </c>
      <c r="P2679" t="s">
        <v>34</v>
      </c>
      <c r="Q2679">
        <v>1</v>
      </c>
      <c r="R2679" t="s">
        <v>56</v>
      </c>
      <c r="S2679" t="s">
        <v>122</v>
      </c>
      <c r="T2679" t="str">
        <f>VLOOKUP(S2679,'Mapa Oficinas'!$H$7:$I$16,2,FALSE)</f>
        <v>Otra Red Búsqueda</v>
      </c>
      <c r="U2679" t="s">
        <v>29</v>
      </c>
      <c r="V2679" t="str">
        <f>VLOOKUP($R2679,'Mapa Oficinas'!$A$7:$C$46,2,FALSE)</f>
        <v>Zona Norte (GBA)</v>
      </c>
      <c r="W2679" t="str">
        <f>VLOOKUP($R2679,'Mapa Oficinas'!$A$7:$C$46,3,FALSE)</f>
        <v>Vicente López</v>
      </c>
    </row>
    <row r="2680" spans="1:23" x14ac:dyDescent="0.2">
      <c r="A2680" s="1">
        <v>45737</v>
      </c>
      <c r="B2680" s="20">
        <f t="shared" si="82"/>
        <v>2025</v>
      </c>
      <c r="C2680" s="20">
        <f t="shared" si="83"/>
        <v>3</v>
      </c>
      <c r="D2680" t="s">
        <v>1057</v>
      </c>
      <c r="E2680" s="49">
        <v>1</v>
      </c>
      <c r="F2680" t="s">
        <v>1058</v>
      </c>
      <c r="G2680" t="s">
        <v>21</v>
      </c>
      <c r="H2680" t="s">
        <v>37</v>
      </c>
      <c r="I2680" s="13">
        <v>489000</v>
      </c>
      <c r="J2680" s="13">
        <v>480000</v>
      </c>
      <c r="K2680" s="13">
        <f>IF(J2680&lt;'Mapa Oficinas'!$I$21,0,IF(J2680&gt;'Mapa Oficinas'!$I$20,0,1))</f>
        <v>1</v>
      </c>
      <c r="L2680" t="s">
        <v>23</v>
      </c>
      <c r="M2680" t="s">
        <v>23</v>
      </c>
      <c r="N2680" t="s">
        <v>1059</v>
      </c>
      <c r="O2680" t="s">
        <v>1060</v>
      </c>
      <c r="P2680" t="s">
        <v>45</v>
      </c>
      <c r="Q2680">
        <v>2</v>
      </c>
      <c r="R2680" t="s">
        <v>56</v>
      </c>
      <c r="S2680" t="s">
        <v>28</v>
      </c>
      <c r="T2680" t="str">
        <f>VLOOKUP(S2680,'Mapa Oficinas'!$H$7:$I$16,2,FALSE)</f>
        <v>CB</v>
      </c>
      <c r="U2680" t="s">
        <v>29</v>
      </c>
      <c r="V2680" t="str">
        <f>VLOOKUP($R2680,'Mapa Oficinas'!$A$7:$C$46,2,FALSE)</f>
        <v>Zona Norte (GBA)</v>
      </c>
      <c r="W2680" t="str">
        <f>VLOOKUP($R2680,'Mapa Oficinas'!$A$7:$C$46,3,FALSE)</f>
        <v>Vicente López</v>
      </c>
    </row>
    <row r="2681" spans="1:23" x14ac:dyDescent="0.2">
      <c r="A2681" s="1">
        <v>45867</v>
      </c>
      <c r="B2681" s="20">
        <f t="shared" si="82"/>
        <v>2025</v>
      </c>
      <c r="C2681" s="20">
        <f t="shared" si="83"/>
        <v>7</v>
      </c>
      <c r="D2681" t="s">
        <v>3298</v>
      </c>
      <c r="E2681" s="49">
        <v>1</v>
      </c>
      <c r="F2681" t="s">
        <v>3299</v>
      </c>
      <c r="G2681" t="s">
        <v>21</v>
      </c>
      <c r="H2681" t="s">
        <v>37</v>
      </c>
      <c r="I2681" s="13">
        <v>559000</v>
      </c>
      <c r="J2681" s="13">
        <v>483300</v>
      </c>
      <c r="K2681" s="13">
        <f>IF(J2681&lt;'Mapa Oficinas'!$I$21,0,IF(J2681&gt;'Mapa Oficinas'!$I$20,0,1))</f>
        <v>1</v>
      </c>
      <c r="L2681" t="s">
        <v>23</v>
      </c>
      <c r="M2681" t="s">
        <v>23</v>
      </c>
      <c r="N2681" t="s">
        <v>3300</v>
      </c>
      <c r="O2681" t="s">
        <v>265</v>
      </c>
      <c r="P2681" t="s">
        <v>45</v>
      </c>
      <c r="Q2681">
        <v>2</v>
      </c>
      <c r="R2681" t="s">
        <v>67</v>
      </c>
      <c r="S2681" t="s">
        <v>28</v>
      </c>
      <c r="T2681" t="str">
        <f>VLOOKUP(S2681,'Mapa Oficinas'!$H$7:$I$16,2,FALSE)</f>
        <v>CB</v>
      </c>
      <c r="U2681" t="s">
        <v>29</v>
      </c>
      <c r="V2681" t="str">
        <f>VLOOKUP($R2681,'Mapa Oficinas'!$A$7:$C$46,2,FALSE)</f>
        <v>CABA</v>
      </c>
      <c r="W2681" t="str">
        <f>VLOOKUP($R2681,'Mapa Oficinas'!$A$7:$C$46,3,FALSE)</f>
        <v>Barrio Parque</v>
      </c>
    </row>
    <row r="2682" spans="1:23" x14ac:dyDescent="0.2">
      <c r="A2682" s="1">
        <v>45819</v>
      </c>
      <c r="B2682" s="20">
        <f t="shared" si="82"/>
        <v>2025</v>
      </c>
      <c r="C2682" s="20">
        <f t="shared" si="83"/>
        <v>6</v>
      </c>
      <c r="D2682" t="s">
        <v>2451</v>
      </c>
      <c r="E2682" s="49">
        <v>1</v>
      </c>
      <c r="F2682" t="s">
        <v>2452</v>
      </c>
      <c r="G2682" t="s">
        <v>21</v>
      </c>
      <c r="H2682" t="s">
        <v>76</v>
      </c>
      <c r="I2682" s="13">
        <v>520000</v>
      </c>
      <c r="J2682" s="13">
        <v>490000</v>
      </c>
      <c r="K2682" s="13">
        <f>IF(J2682&lt;'Mapa Oficinas'!$I$21,0,IF(J2682&gt;'Mapa Oficinas'!$I$20,0,1))</f>
        <v>1</v>
      </c>
      <c r="L2682" t="s">
        <v>23</v>
      </c>
      <c r="M2682" t="s">
        <v>23</v>
      </c>
      <c r="N2682" t="s">
        <v>2453</v>
      </c>
      <c r="O2682" t="s">
        <v>317</v>
      </c>
      <c r="P2682" t="s">
        <v>34</v>
      </c>
      <c r="Q2682">
        <v>2</v>
      </c>
      <c r="R2682" t="s">
        <v>257</v>
      </c>
      <c r="S2682" t="s">
        <v>28</v>
      </c>
      <c r="T2682" t="str">
        <f>VLOOKUP(S2682,'Mapa Oficinas'!$H$7:$I$16,2,FALSE)</f>
        <v>CB</v>
      </c>
      <c r="U2682" t="s">
        <v>29</v>
      </c>
      <c r="V2682" t="str">
        <f>VLOOKUP($R2682,'Mapa Oficinas'!$A$7:$C$46,2,FALSE)</f>
        <v>Zona Norte (GBA)</v>
      </c>
      <c r="W2682" t="str">
        <f>VLOOKUP($R2682,'Mapa Oficinas'!$A$7:$C$46,3,FALSE)</f>
        <v>Pilar</v>
      </c>
    </row>
    <row r="2683" spans="1:23" x14ac:dyDescent="0.2">
      <c r="A2683" s="1">
        <v>46093</v>
      </c>
      <c r="B2683" s="20">
        <f t="shared" si="82"/>
        <v>2026</v>
      </c>
      <c r="C2683" s="20">
        <f t="shared" si="83"/>
        <v>3</v>
      </c>
      <c r="D2683" t="s">
        <v>7153</v>
      </c>
      <c r="E2683" s="49">
        <v>1</v>
      </c>
      <c r="F2683" t="s">
        <v>7154</v>
      </c>
      <c r="G2683" t="s">
        <v>21</v>
      </c>
      <c r="H2683" t="s">
        <v>81</v>
      </c>
      <c r="I2683" s="13">
        <v>525000</v>
      </c>
      <c r="J2683" s="13">
        <v>495000</v>
      </c>
      <c r="K2683" s="13">
        <f>IF(J2683&lt;'Mapa Oficinas'!$I$21,0,IF(J2683&gt;'Mapa Oficinas'!$I$20,0,1))</f>
        <v>1</v>
      </c>
      <c r="L2683" t="s">
        <v>23</v>
      </c>
      <c r="M2683" t="s">
        <v>23</v>
      </c>
      <c r="N2683" t="s">
        <v>7155</v>
      </c>
      <c r="O2683" t="s">
        <v>1239</v>
      </c>
      <c r="P2683" t="s">
        <v>34</v>
      </c>
      <c r="Q2683">
        <v>2</v>
      </c>
      <c r="R2683" t="s">
        <v>130</v>
      </c>
      <c r="S2683" t="s">
        <v>79</v>
      </c>
      <c r="T2683" t="str">
        <f>VLOOKUP(S2683,'Mapa Oficinas'!$H$7:$I$16,2,FALSE)</f>
        <v>CB</v>
      </c>
      <c r="U2683" t="s">
        <v>29</v>
      </c>
      <c r="V2683" t="str">
        <f>VLOOKUP($R2683,'Mapa Oficinas'!$A$7:$C$46,2,FALSE)</f>
        <v>Interior - Neuquén</v>
      </c>
      <c r="W2683" t="str">
        <f>VLOOKUP($R2683,'Mapa Oficinas'!$A$7:$C$46,3,FALSE)</f>
        <v>San Martín de los Andes</v>
      </c>
    </row>
    <row r="2684" spans="1:23" x14ac:dyDescent="0.2">
      <c r="A2684" s="1">
        <v>45736</v>
      </c>
      <c r="B2684" s="20">
        <f t="shared" si="82"/>
        <v>2025</v>
      </c>
      <c r="C2684" s="20">
        <f t="shared" si="83"/>
        <v>3</v>
      </c>
      <c r="D2684" t="s">
        <v>1039</v>
      </c>
      <c r="E2684" s="49">
        <v>1</v>
      </c>
      <c r="F2684" t="s">
        <v>1040</v>
      </c>
      <c r="G2684" t="s">
        <v>21</v>
      </c>
      <c r="H2684" t="s">
        <v>37</v>
      </c>
      <c r="I2684" s="13">
        <v>650000</v>
      </c>
      <c r="J2684" s="13">
        <v>500000</v>
      </c>
      <c r="K2684" s="13">
        <f>IF(J2684&lt;'Mapa Oficinas'!$I$21,0,IF(J2684&gt;'Mapa Oficinas'!$I$20,0,1))</f>
        <v>1</v>
      </c>
      <c r="L2684" t="s">
        <v>23</v>
      </c>
      <c r="M2684" t="s">
        <v>23</v>
      </c>
      <c r="N2684" t="s">
        <v>1041</v>
      </c>
      <c r="O2684" t="s">
        <v>50</v>
      </c>
      <c r="P2684" t="s">
        <v>26</v>
      </c>
      <c r="Q2684">
        <v>2</v>
      </c>
      <c r="R2684" t="s">
        <v>67</v>
      </c>
      <c r="S2684" t="s">
        <v>28</v>
      </c>
      <c r="T2684" t="str">
        <f>VLOOKUP(S2684,'Mapa Oficinas'!$H$7:$I$16,2,FALSE)</f>
        <v>CB</v>
      </c>
      <c r="U2684" t="s">
        <v>29</v>
      </c>
      <c r="V2684" t="str">
        <f>VLOOKUP($R2684,'Mapa Oficinas'!$A$7:$C$46,2,FALSE)</f>
        <v>CABA</v>
      </c>
      <c r="W2684" t="str">
        <f>VLOOKUP($R2684,'Mapa Oficinas'!$A$7:$C$46,3,FALSE)</f>
        <v>Barrio Parque</v>
      </c>
    </row>
    <row r="2685" spans="1:23" x14ac:dyDescent="0.2">
      <c r="A2685" s="1">
        <v>45744</v>
      </c>
      <c r="B2685" s="20">
        <f t="shared" si="82"/>
        <v>2025</v>
      </c>
      <c r="C2685" s="20">
        <f t="shared" si="83"/>
        <v>3</v>
      </c>
      <c r="D2685" t="s">
        <v>1186</v>
      </c>
      <c r="E2685" s="49">
        <v>1</v>
      </c>
      <c r="F2685" t="s">
        <v>1186</v>
      </c>
      <c r="G2685" t="s">
        <v>21</v>
      </c>
      <c r="H2685" t="s">
        <v>37</v>
      </c>
      <c r="I2685" s="13">
        <v>500000</v>
      </c>
      <c r="J2685" s="13">
        <v>500000</v>
      </c>
      <c r="K2685" s="13">
        <f>IF(J2685&lt;'Mapa Oficinas'!$I$21,0,IF(J2685&gt;'Mapa Oficinas'!$I$20,0,1))</f>
        <v>1</v>
      </c>
      <c r="L2685" t="s">
        <v>23</v>
      </c>
      <c r="M2685" t="s">
        <v>23</v>
      </c>
      <c r="N2685" t="s">
        <v>1186</v>
      </c>
      <c r="O2685" t="s">
        <v>380</v>
      </c>
      <c r="P2685" t="s">
        <v>26</v>
      </c>
      <c r="Q2685">
        <v>2</v>
      </c>
      <c r="R2685" t="s">
        <v>56</v>
      </c>
      <c r="S2685" t="s">
        <v>28</v>
      </c>
      <c r="T2685" t="str">
        <f>VLOOKUP(S2685,'Mapa Oficinas'!$H$7:$I$16,2,FALSE)</f>
        <v>CB</v>
      </c>
      <c r="U2685" t="s">
        <v>29</v>
      </c>
      <c r="V2685" t="str">
        <f>VLOOKUP($R2685,'Mapa Oficinas'!$A$7:$C$46,2,FALSE)</f>
        <v>Zona Norte (GBA)</v>
      </c>
      <c r="W2685" t="str">
        <f>VLOOKUP($R2685,'Mapa Oficinas'!$A$7:$C$46,3,FALSE)</f>
        <v>Vicente López</v>
      </c>
    </row>
    <row r="2686" spans="1:23" x14ac:dyDescent="0.2">
      <c r="A2686" s="1">
        <v>46097</v>
      </c>
      <c r="B2686" s="20">
        <f t="shared" si="82"/>
        <v>2026</v>
      </c>
      <c r="C2686" s="20">
        <f t="shared" si="83"/>
        <v>3</v>
      </c>
      <c r="D2686" t="s">
        <v>7222</v>
      </c>
      <c r="E2686" s="49">
        <v>1</v>
      </c>
      <c r="F2686" t="s">
        <v>7223</v>
      </c>
      <c r="G2686" t="s">
        <v>21</v>
      </c>
      <c r="H2686" t="s">
        <v>22</v>
      </c>
      <c r="I2686" s="13">
        <v>990000</v>
      </c>
      <c r="J2686" s="13">
        <v>510000</v>
      </c>
      <c r="K2686" s="13">
        <f>IF(J2686&lt;'Mapa Oficinas'!$I$21,0,IF(J2686&gt;'Mapa Oficinas'!$I$20,0,1))</f>
        <v>1</v>
      </c>
      <c r="L2686" t="s">
        <v>23</v>
      </c>
      <c r="M2686" t="s">
        <v>23</v>
      </c>
      <c r="N2686" t="s">
        <v>7224</v>
      </c>
      <c r="O2686" t="s">
        <v>5826</v>
      </c>
      <c r="P2686" t="s">
        <v>34</v>
      </c>
      <c r="Q2686">
        <v>1</v>
      </c>
      <c r="R2686" t="s">
        <v>110</v>
      </c>
      <c r="S2686" t="s">
        <v>47</v>
      </c>
      <c r="T2686" t="str">
        <f>VLOOKUP(S2686,'Mapa Oficinas'!$H$7:$I$16,2,FALSE)</f>
        <v>Otra Red Búsqueda</v>
      </c>
      <c r="U2686" t="s">
        <v>29</v>
      </c>
      <c r="V2686" t="str">
        <f>VLOOKUP($R2686,'Mapa Oficinas'!$A$7:$C$46,2,FALSE)</f>
        <v>Zona Norte (GBA)</v>
      </c>
      <c r="W2686" t="str">
        <f>VLOOKUP($R2686,'Mapa Oficinas'!$A$7:$C$46,3,FALSE)</f>
        <v>Nordelta</v>
      </c>
    </row>
    <row r="2687" spans="1:23" x14ac:dyDescent="0.2">
      <c r="A2687" s="1">
        <v>45945</v>
      </c>
      <c r="B2687" s="20">
        <f t="shared" si="82"/>
        <v>2025</v>
      </c>
      <c r="C2687" s="20">
        <f t="shared" si="83"/>
        <v>10</v>
      </c>
      <c r="E2687" s="49">
        <v>1</v>
      </c>
      <c r="F2687" t="s">
        <v>4729</v>
      </c>
      <c r="G2687" t="s">
        <v>21</v>
      </c>
      <c r="H2687" t="s">
        <v>90</v>
      </c>
      <c r="I2687" s="13">
        <v>515000</v>
      </c>
      <c r="J2687" s="13">
        <v>515000</v>
      </c>
      <c r="K2687" s="13">
        <f>IF(J2687&lt;'Mapa Oficinas'!$I$21,0,IF(J2687&gt;'Mapa Oficinas'!$I$20,0,1))</f>
        <v>1</v>
      </c>
      <c r="L2687" t="s">
        <v>23</v>
      </c>
      <c r="M2687" t="s">
        <v>23</v>
      </c>
      <c r="N2687" t="s">
        <v>4730</v>
      </c>
      <c r="O2687" t="s">
        <v>66</v>
      </c>
      <c r="P2687" t="s">
        <v>45</v>
      </c>
      <c r="Q2687">
        <v>1</v>
      </c>
      <c r="R2687" t="s">
        <v>40</v>
      </c>
      <c r="S2687" t="s">
        <v>47</v>
      </c>
      <c r="T2687" t="str">
        <f>VLOOKUP(S2687,'Mapa Oficinas'!$H$7:$I$16,2,FALSE)</f>
        <v>Otra Red Búsqueda</v>
      </c>
      <c r="U2687" t="s">
        <v>29</v>
      </c>
      <c r="V2687" t="str">
        <f>VLOOKUP($R2687,'Mapa Oficinas'!$A$7:$C$46,2,FALSE)</f>
        <v>CABA</v>
      </c>
      <c r="W2687" t="str">
        <f>VLOOKUP($R2687,'Mapa Oficinas'!$A$7:$C$46,3,FALSE)</f>
        <v>Núñez</v>
      </c>
    </row>
    <row r="2688" spans="1:23" x14ac:dyDescent="0.2">
      <c r="A2688" s="1">
        <v>46091</v>
      </c>
      <c r="B2688" s="20">
        <f t="shared" si="82"/>
        <v>2026</v>
      </c>
      <c r="C2688" s="20">
        <f t="shared" si="83"/>
        <v>3</v>
      </c>
      <c r="D2688">
        <v>10722</v>
      </c>
      <c r="E2688" s="49">
        <v>1</v>
      </c>
      <c r="F2688" t="s">
        <v>7079</v>
      </c>
      <c r="G2688" t="s">
        <v>21</v>
      </c>
      <c r="H2688" t="s">
        <v>37</v>
      </c>
      <c r="I2688" s="13">
        <v>515000</v>
      </c>
      <c r="J2688" s="13">
        <v>515000</v>
      </c>
      <c r="K2688" s="13">
        <f>IF(J2688&lt;'Mapa Oficinas'!$I$21,0,IF(J2688&gt;'Mapa Oficinas'!$I$20,0,1))</f>
        <v>1</v>
      </c>
      <c r="L2688" t="s">
        <v>23</v>
      </c>
      <c r="M2688" t="s">
        <v>23</v>
      </c>
      <c r="N2688" t="s">
        <v>7080</v>
      </c>
      <c r="O2688" t="s">
        <v>675</v>
      </c>
      <c r="P2688" t="s">
        <v>45</v>
      </c>
      <c r="Q2688">
        <v>1</v>
      </c>
      <c r="R2688" t="s">
        <v>67</v>
      </c>
      <c r="S2688" t="s">
        <v>47</v>
      </c>
      <c r="T2688" t="str">
        <f>VLOOKUP(S2688,'Mapa Oficinas'!$H$7:$I$16,2,FALSE)</f>
        <v>Otra Red Búsqueda</v>
      </c>
      <c r="U2688" t="s">
        <v>29</v>
      </c>
      <c r="V2688" t="str">
        <f>VLOOKUP($R2688,'Mapa Oficinas'!$A$7:$C$46,2,FALSE)</f>
        <v>CABA</v>
      </c>
      <c r="W2688" t="str">
        <f>VLOOKUP($R2688,'Mapa Oficinas'!$A$7:$C$46,3,FALSE)</f>
        <v>Barrio Parque</v>
      </c>
    </row>
    <row r="2689" spans="1:23" x14ac:dyDescent="0.2">
      <c r="A2689" s="1">
        <v>45979</v>
      </c>
      <c r="B2689" s="20">
        <f t="shared" si="82"/>
        <v>2025</v>
      </c>
      <c r="C2689" s="20">
        <f t="shared" si="83"/>
        <v>11</v>
      </c>
      <c r="D2689">
        <v>14112025</v>
      </c>
      <c r="E2689" s="49">
        <v>1</v>
      </c>
      <c r="F2689" t="s">
        <v>5306</v>
      </c>
      <c r="G2689" t="s">
        <v>21</v>
      </c>
      <c r="H2689" t="s">
        <v>119</v>
      </c>
      <c r="I2689" s="13">
        <v>520000</v>
      </c>
      <c r="J2689" s="13">
        <v>520000</v>
      </c>
      <c r="K2689" s="13">
        <f>IF(J2689&lt;'Mapa Oficinas'!$I$21,0,IF(J2689&gt;'Mapa Oficinas'!$I$20,0,1))</f>
        <v>1</v>
      </c>
      <c r="L2689" t="s">
        <v>23</v>
      </c>
      <c r="M2689" t="s">
        <v>23</v>
      </c>
      <c r="O2689" t="s">
        <v>5307</v>
      </c>
      <c r="P2689" t="s">
        <v>26</v>
      </c>
      <c r="Q2689">
        <v>1</v>
      </c>
      <c r="R2689" t="s">
        <v>121</v>
      </c>
      <c r="S2689" t="s">
        <v>122</v>
      </c>
      <c r="T2689" t="str">
        <f>VLOOKUP(S2689,'Mapa Oficinas'!$H$7:$I$16,2,FALSE)</f>
        <v>Otra Red Búsqueda</v>
      </c>
      <c r="U2689" t="s">
        <v>29</v>
      </c>
      <c r="V2689" t="str">
        <f>VLOOKUP($R2689,'Mapa Oficinas'!$A$7:$C$46,2,FALSE)</f>
        <v>Interior - Río Negro</v>
      </c>
      <c r="W2689" t="str">
        <f>VLOOKUP($R2689,'Mapa Oficinas'!$A$7:$C$46,3,FALSE)</f>
        <v>Bariloche</v>
      </c>
    </row>
    <row r="2690" spans="1:23" x14ac:dyDescent="0.2">
      <c r="A2690" s="1">
        <v>45819</v>
      </c>
      <c r="B2690" s="20">
        <f t="shared" ref="B2690:B2746" si="84">YEAR($A2690)</f>
        <v>2025</v>
      </c>
      <c r="C2690" s="20">
        <f t="shared" ref="C2690:C2746" si="85">MONTH($A2690)</f>
        <v>6</v>
      </c>
      <c r="D2690">
        <v>15</v>
      </c>
      <c r="E2690" s="49">
        <v>1</v>
      </c>
      <c r="F2690" t="s">
        <v>2454</v>
      </c>
      <c r="G2690" t="s">
        <v>21</v>
      </c>
      <c r="H2690" t="s">
        <v>81</v>
      </c>
      <c r="I2690" s="13">
        <v>520000</v>
      </c>
      <c r="J2690" s="13">
        <v>520000</v>
      </c>
      <c r="K2690" s="13">
        <f>IF(J2690&lt;'Mapa Oficinas'!$I$21,0,IF(J2690&gt;'Mapa Oficinas'!$I$20,0,1))</f>
        <v>1</v>
      </c>
      <c r="L2690" t="s">
        <v>23</v>
      </c>
      <c r="M2690" t="s">
        <v>23</v>
      </c>
      <c r="N2690" t="s">
        <v>2455</v>
      </c>
      <c r="O2690" t="s">
        <v>675</v>
      </c>
      <c r="P2690" t="s">
        <v>45</v>
      </c>
      <c r="Q2690">
        <v>1</v>
      </c>
      <c r="R2690" t="s">
        <v>1024</v>
      </c>
      <c r="S2690" t="s">
        <v>47</v>
      </c>
      <c r="T2690" t="str">
        <f>VLOOKUP(S2690,'Mapa Oficinas'!$H$7:$I$16,2,FALSE)</f>
        <v>Otra Red Búsqueda</v>
      </c>
      <c r="U2690" t="s">
        <v>29</v>
      </c>
      <c r="V2690" t="str">
        <f>VLOOKUP($R2690,'Mapa Oficinas'!$A$7:$C$46,2,FALSE)</f>
        <v>CABA</v>
      </c>
      <c r="W2690" t="str">
        <f>VLOOKUP($R2690,'Mapa Oficinas'!$A$7:$C$46,3,FALSE)</f>
        <v>Puerto Madero</v>
      </c>
    </row>
    <row r="2691" spans="1:23" x14ac:dyDescent="0.2">
      <c r="A2691" s="1">
        <v>45924</v>
      </c>
      <c r="B2691" s="20">
        <f t="shared" si="84"/>
        <v>2025</v>
      </c>
      <c r="C2691" s="20">
        <f t="shared" si="85"/>
        <v>9</v>
      </c>
      <c r="D2691" t="s">
        <v>4330</v>
      </c>
      <c r="E2691" s="49">
        <v>1</v>
      </c>
      <c r="F2691" t="s">
        <v>4331</v>
      </c>
      <c r="G2691" t="s">
        <v>21</v>
      </c>
      <c r="H2691" t="s">
        <v>81</v>
      </c>
      <c r="I2691" s="13">
        <v>590000</v>
      </c>
      <c r="J2691" s="13">
        <v>525000</v>
      </c>
      <c r="K2691" s="13">
        <f>IF(J2691&lt;'Mapa Oficinas'!$I$21,0,IF(J2691&gt;'Mapa Oficinas'!$I$20,0,1))</f>
        <v>1</v>
      </c>
      <c r="L2691" t="s">
        <v>23</v>
      </c>
      <c r="M2691" t="s">
        <v>23</v>
      </c>
      <c r="N2691" t="s">
        <v>4332</v>
      </c>
      <c r="O2691" t="s">
        <v>4333</v>
      </c>
      <c r="P2691" t="s">
        <v>26</v>
      </c>
      <c r="Q2691">
        <v>1</v>
      </c>
      <c r="R2691" t="s">
        <v>84</v>
      </c>
      <c r="S2691" t="s">
        <v>152</v>
      </c>
      <c r="T2691" t="str">
        <f>VLOOKUP(S2691,'Mapa Oficinas'!$H$7:$I$16,2,FALSE)</f>
        <v>Otra Red Captación</v>
      </c>
      <c r="U2691" t="s">
        <v>29</v>
      </c>
      <c r="V2691" t="str">
        <f>VLOOKUP($R2691,'Mapa Oficinas'!$A$7:$C$46,2,FALSE)</f>
        <v>Interior - Neuquén</v>
      </c>
      <c r="W2691" t="str">
        <f>VLOOKUP($R2691,'Mapa Oficinas'!$A$7:$C$46,3,FALSE)</f>
        <v>Villa La Angostura</v>
      </c>
    </row>
    <row r="2692" spans="1:23" x14ac:dyDescent="0.2">
      <c r="A2692" s="1">
        <v>45819</v>
      </c>
      <c r="B2692" s="20">
        <f t="shared" si="84"/>
        <v>2025</v>
      </c>
      <c r="C2692" s="20">
        <f t="shared" si="85"/>
        <v>6</v>
      </c>
      <c r="D2692" t="s">
        <v>2456</v>
      </c>
      <c r="E2692" s="49">
        <v>1</v>
      </c>
      <c r="F2692" t="s">
        <v>2457</v>
      </c>
      <c r="G2692" t="s">
        <v>21</v>
      </c>
      <c r="H2692" t="s">
        <v>37</v>
      </c>
      <c r="I2692" s="13">
        <v>650000</v>
      </c>
      <c r="J2692" s="13">
        <v>525000</v>
      </c>
      <c r="K2692" s="13">
        <f>IF(J2692&lt;'Mapa Oficinas'!$I$21,0,IF(J2692&gt;'Mapa Oficinas'!$I$20,0,1))</f>
        <v>1</v>
      </c>
      <c r="L2692" t="s">
        <v>23</v>
      </c>
      <c r="M2692" t="s">
        <v>23</v>
      </c>
      <c r="N2692" t="s">
        <v>2458</v>
      </c>
      <c r="O2692" t="s">
        <v>50</v>
      </c>
      <c r="P2692" t="s">
        <v>45</v>
      </c>
      <c r="Q2692">
        <v>2</v>
      </c>
      <c r="R2692" t="s">
        <v>670</v>
      </c>
      <c r="S2692" t="s">
        <v>200</v>
      </c>
      <c r="T2692" t="str">
        <f>VLOOKUP(S2692,'Mapa Oficinas'!$H$7:$I$16,2,FALSE)</f>
        <v>Otra Red Captación</v>
      </c>
      <c r="U2692" t="s">
        <v>29</v>
      </c>
      <c r="V2692" t="str">
        <f>VLOOKUP($R2692,'Mapa Oficinas'!$A$7:$C$46,2,FALSE)</f>
        <v>CABA</v>
      </c>
      <c r="W2692" t="str">
        <f>VLOOKUP($R2692,'Mapa Oficinas'!$A$7:$C$46,3,FALSE)</f>
        <v>Recoleta</v>
      </c>
    </row>
    <row r="2693" spans="1:23" x14ac:dyDescent="0.2">
      <c r="A2693" s="1">
        <v>45876</v>
      </c>
      <c r="B2693" s="20">
        <f t="shared" si="84"/>
        <v>2025</v>
      </c>
      <c r="C2693" s="20">
        <f t="shared" si="85"/>
        <v>8</v>
      </c>
      <c r="E2693" s="49">
        <v>3</v>
      </c>
      <c r="F2693" t="s">
        <v>3465</v>
      </c>
      <c r="G2693" t="s">
        <v>21</v>
      </c>
      <c r="H2693" t="s">
        <v>37</v>
      </c>
      <c r="I2693" s="13">
        <v>530000</v>
      </c>
      <c r="J2693" s="13">
        <v>525000</v>
      </c>
      <c r="K2693" s="13">
        <f>IF(J2693&lt;'Mapa Oficinas'!$I$21,0,IF(J2693&gt;'Mapa Oficinas'!$I$20,0,1))</f>
        <v>1</v>
      </c>
      <c r="L2693" t="s">
        <v>23</v>
      </c>
      <c r="M2693" t="s">
        <v>23</v>
      </c>
      <c r="N2693" t="s">
        <v>3466</v>
      </c>
      <c r="O2693" t="s">
        <v>50</v>
      </c>
      <c r="P2693" t="s">
        <v>45</v>
      </c>
      <c r="Q2693">
        <v>2</v>
      </c>
      <c r="R2693" t="s">
        <v>523</v>
      </c>
      <c r="S2693" t="s">
        <v>241</v>
      </c>
      <c r="T2693" t="str">
        <f>VLOOKUP(S2693,'Mapa Oficinas'!$H$7:$I$16,2,FALSE)</f>
        <v>CB</v>
      </c>
      <c r="U2693" t="s">
        <v>29</v>
      </c>
      <c r="V2693" t="str">
        <f>VLOOKUP($R2693,'Mapa Oficinas'!$A$7:$C$46,2,FALSE)</f>
        <v>CABA</v>
      </c>
      <c r="W2693" t="str">
        <f>VLOOKUP($R2693,'Mapa Oficinas'!$A$7:$C$46,3,FALSE)</f>
        <v>Belgrano</v>
      </c>
    </row>
    <row r="2694" spans="1:23" x14ac:dyDescent="0.2">
      <c r="A2694" s="1">
        <v>45819</v>
      </c>
      <c r="B2694" s="20">
        <f t="shared" si="84"/>
        <v>2025</v>
      </c>
      <c r="C2694" s="20">
        <f t="shared" si="85"/>
        <v>6</v>
      </c>
      <c r="D2694" t="s">
        <v>2459</v>
      </c>
      <c r="E2694" s="49">
        <v>1</v>
      </c>
      <c r="F2694" t="s">
        <v>2460</v>
      </c>
      <c r="G2694" t="s">
        <v>21</v>
      </c>
      <c r="H2694" t="s">
        <v>37</v>
      </c>
      <c r="I2694" s="13">
        <v>900000</v>
      </c>
      <c r="J2694" s="13">
        <v>525000</v>
      </c>
      <c r="K2694" s="13">
        <f>IF(J2694&lt;'Mapa Oficinas'!$I$21,0,IF(J2694&gt;'Mapa Oficinas'!$I$20,0,1))</f>
        <v>1</v>
      </c>
      <c r="L2694" t="s">
        <v>23</v>
      </c>
      <c r="M2694" t="s">
        <v>23</v>
      </c>
      <c r="N2694" t="s">
        <v>2461</v>
      </c>
      <c r="O2694" t="s">
        <v>2462</v>
      </c>
      <c r="P2694" t="s">
        <v>34</v>
      </c>
      <c r="Q2694">
        <v>2</v>
      </c>
      <c r="R2694" t="s">
        <v>110</v>
      </c>
      <c r="S2694" t="s">
        <v>28</v>
      </c>
      <c r="T2694" t="str">
        <f>VLOOKUP(S2694,'Mapa Oficinas'!$H$7:$I$16,2,FALSE)</f>
        <v>CB</v>
      </c>
      <c r="U2694" t="s">
        <v>29</v>
      </c>
      <c r="V2694" t="str">
        <f>VLOOKUP($R2694,'Mapa Oficinas'!$A$7:$C$46,2,FALSE)</f>
        <v>Zona Norte (GBA)</v>
      </c>
      <c r="W2694" t="str">
        <f>VLOOKUP($R2694,'Mapa Oficinas'!$A$7:$C$46,3,FALSE)</f>
        <v>Nordelta</v>
      </c>
    </row>
    <row r="2695" spans="1:23" x14ac:dyDescent="0.2">
      <c r="A2695" s="1">
        <v>46111</v>
      </c>
      <c r="B2695" s="20">
        <f t="shared" si="84"/>
        <v>2026</v>
      </c>
      <c r="C2695" s="20">
        <f t="shared" si="85"/>
        <v>3</v>
      </c>
      <c r="D2695" t="s">
        <v>7543</v>
      </c>
      <c r="E2695" s="49">
        <v>1</v>
      </c>
      <c r="F2695" t="s">
        <v>7543</v>
      </c>
      <c r="G2695" t="s">
        <v>21</v>
      </c>
      <c r="H2695" t="s">
        <v>37</v>
      </c>
      <c r="I2695" s="13">
        <v>530000</v>
      </c>
      <c r="J2695" s="13">
        <v>530000</v>
      </c>
      <c r="K2695" s="13">
        <f>IF(J2695&lt;'Mapa Oficinas'!$I$21,0,IF(J2695&gt;'Mapa Oficinas'!$I$20,0,1))</f>
        <v>1</v>
      </c>
      <c r="L2695" t="s">
        <v>23</v>
      </c>
      <c r="M2695" t="s">
        <v>23</v>
      </c>
      <c r="O2695" t="s">
        <v>2322</v>
      </c>
      <c r="P2695" t="s">
        <v>34</v>
      </c>
      <c r="Q2695">
        <v>2</v>
      </c>
      <c r="R2695" t="s">
        <v>151</v>
      </c>
      <c r="S2695" t="s">
        <v>28</v>
      </c>
      <c r="T2695" t="str">
        <f>VLOOKUP(S2695,'Mapa Oficinas'!$H$7:$I$16,2,FALSE)</f>
        <v>CB</v>
      </c>
      <c r="U2695" t="s">
        <v>29</v>
      </c>
      <c r="V2695" t="str">
        <f>VLOOKUP($R2695,'Mapa Oficinas'!$A$7:$C$46,2,FALSE)</f>
        <v>Interior - Mendoza</v>
      </c>
      <c r="W2695" t="str">
        <f>VLOOKUP($R2695,'Mapa Oficinas'!$A$7:$C$46,3,FALSE)</f>
        <v>Capital Mendoza</v>
      </c>
    </row>
    <row r="2696" spans="1:23" x14ac:dyDescent="0.2">
      <c r="A2696" s="1">
        <v>45861</v>
      </c>
      <c r="B2696" s="20">
        <f t="shared" si="84"/>
        <v>2025</v>
      </c>
      <c r="C2696" s="20">
        <f t="shared" si="85"/>
        <v>7</v>
      </c>
      <c r="D2696">
        <v>10445</v>
      </c>
      <c r="E2696" s="49">
        <v>0</v>
      </c>
      <c r="F2696" t="s">
        <v>3183</v>
      </c>
      <c r="G2696" t="s">
        <v>21</v>
      </c>
      <c r="H2696" t="s">
        <v>37</v>
      </c>
      <c r="I2696" s="13">
        <v>540000</v>
      </c>
      <c r="J2696" s="13">
        <v>540000</v>
      </c>
      <c r="K2696" s="13">
        <f>IF(J2696&lt;'Mapa Oficinas'!$I$21,0,IF(J2696&gt;'Mapa Oficinas'!$I$20,0,1))</f>
        <v>1</v>
      </c>
      <c r="L2696" t="s">
        <v>23</v>
      </c>
      <c r="M2696" t="s">
        <v>23</v>
      </c>
      <c r="O2696" t="s">
        <v>837</v>
      </c>
      <c r="P2696" t="s">
        <v>45</v>
      </c>
      <c r="Q2696">
        <v>2</v>
      </c>
      <c r="R2696" t="s">
        <v>67</v>
      </c>
      <c r="S2696" t="s">
        <v>232</v>
      </c>
      <c r="T2696" t="str">
        <f>VLOOKUP(S2696,'Mapa Oficinas'!$H$7:$I$16,2,FALSE)</f>
        <v>CB</v>
      </c>
      <c r="U2696" t="s">
        <v>29</v>
      </c>
      <c r="V2696" t="str">
        <f>VLOOKUP($R2696,'Mapa Oficinas'!$A$7:$C$46,2,FALSE)</f>
        <v>CABA</v>
      </c>
      <c r="W2696" t="str">
        <f>VLOOKUP($R2696,'Mapa Oficinas'!$A$7:$C$46,3,FALSE)</f>
        <v>Barrio Parque</v>
      </c>
    </row>
    <row r="2697" spans="1:23" x14ac:dyDescent="0.2">
      <c r="A2697" s="1">
        <v>45861</v>
      </c>
      <c r="B2697" s="20">
        <f t="shared" si="84"/>
        <v>2025</v>
      </c>
      <c r="C2697" s="20">
        <f t="shared" si="85"/>
        <v>7</v>
      </c>
      <c r="D2697" t="s">
        <v>3184</v>
      </c>
      <c r="E2697" s="49">
        <v>1</v>
      </c>
      <c r="F2697" t="s">
        <v>3185</v>
      </c>
      <c r="G2697" t="s">
        <v>21</v>
      </c>
      <c r="H2697" t="s">
        <v>37</v>
      </c>
      <c r="I2697" s="13">
        <v>560000</v>
      </c>
      <c r="J2697" s="13">
        <v>540000</v>
      </c>
      <c r="K2697" s="13">
        <f>IF(J2697&lt;'Mapa Oficinas'!$I$21,0,IF(J2697&gt;'Mapa Oficinas'!$I$20,0,1))</f>
        <v>1</v>
      </c>
      <c r="L2697" t="s">
        <v>23</v>
      </c>
      <c r="M2697" t="s">
        <v>23</v>
      </c>
      <c r="N2697" t="s">
        <v>3185</v>
      </c>
      <c r="O2697" t="s">
        <v>1250</v>
      </c>
      <c r="P2697" t="s">
        <v>34</v>
      </c>
      <c r="Q2697">
        <v>2</v>
      </c>
      <c r="R2697" t="s">
        <v>110</v>
      </c>
      <c r="S2697" t="s">
        <v>232</v>
      </c>
      <c r="T2697" t="str">
        <f>VLOOKUP(S2697,'Mapa Oficinas'!$H$7:$I$16,2,FALSE)</f>
        <v>CB</v>
      </c>
      <c r="U2697" t="s">
        <v>29</v>
      </c>
      <c r="V2697" t="str">
        <f>VLOOKUP($R2697,'Mapa Oficinas'!$A$7:$C$46,2,FALSE)</f>
        <v>Zona Norte (GBA)</v>
      </c>
      <c r="W2697" t="str">
        <f>VLOOKUP($R2697,'Mapa Oficinas'!$A$7:$C$46,3,FALSE)</f>
        <v>Nordelta</v>
      </c>
    </row>
    <row r="2698" spans="1:23" x14ac:dyDescent="0.2">
      <c r="A2698" s="1">
        <v>45877</v>
      </c>
      <c r="B2698" s="20">
        <f t="shared" si="84"/>
        <v>2025</v>
      </c>
      <c r="C2698" s="20">
        <f t="shared" si="85"/>
        <v>8</v>
      </c>
      <c r="D2698" t="s">
        <v>3499</v>
      </c>
      <c r="E2698" s="49">
        <v>1</v>
      </c>
      <c r="F2698" t="s">
        <v>3500</v>
      </c>
      <c r="G2698" t="s">
        <v>21</v>
      </c>
      <c r="H2698" t="s">
        <v>37</v>
      </c>
      <c r="I2698" s="13">
        <v>570000</v>
      </c>
      <c r="J2698" s="13">
        <v>540000</v>
      </c>
      <c r="K2698" s="13">
        <f>IF(J2698&lt;'Mapa Oficinas'!$I$21,0,IF(J2698&gt;'Mapa Oficinas'!$I$20,0,1))</f>
        <v>1</v>
      </c>
      <c r="L2698" t="s">
        <v>23</v>
      </c>
      <c r="M2698" t="s">
        <v>23</v>
      </c>
      <c r="N2698" t="s">
        <v>3501</v>
      </c>
      <c r="O2698" t="s">
        <v>408</v>
      </c>
      <c r="P2698" t="s">
        <v>45</v>
      </c>
      <c r="Q2698">
        <v>2</v>
      </c>
      <c r="R2698" t="s">
        <v>67</v>
      </c>
      <c r="S2698" t="s">
        <v>200</v>
      </c>
      <c r="T2698" t="str">
        <f>VLOOKUP(S2698,'Mapa Oficinas'!$H$7:$I$16,2,FALSE)</f>
        <v>Otra Red Captación</v>
      </c>
      <c r="U2698" t="s">
        <v>29</v>
      </c>
      <c r="V2698" t="str">
        <f>VLOOKUP($R2698,'Mapa Oficinas'!$A$7:$C$46,2,FALSE)</f>
        <v>CABA</v>
      </c>
      <c r="W2698" t="str">
        <f>VLOOKUP($R2698,'Mapa Oficinas'!$A$7:$C$46,3,FALSE)</f>
        <v>Barrio Parque</v>
      </c>
    </row>
    <row r="2699" spans="1:23" x14ac:dyDescent="0.2">
      <c r="A2699" s="1">
        <v>45807</v>
      </c>
      <c r="B2699" s="20">
        <f t="shared" si="84"/>
        <v>2025</v>
      </c>
      <c r="C2699" s="20">
        <f t="shared" si="85"/>
        <v>5</v>
      </c>
      <c r="D2699">
        <v>10342</v>
      </c>
      <c r="E2699" s="49">
        <v>1</v>
      </c>
      <c r="F2699" t="s">
        <v>2255</v>
      </c>
      <c r="G2699" t="s">
        <v>21</v>
      </c>
      <c r="H2699" t="s">
        <v>81</v>
      </c>
      <c r="I2699" s="13">
        <v>0</v>
      </c>
      <c r="J2699" s="13">
        <v>540000</v>
      </c>
      <c r="K2699" s="13">
        <f>IF(J2699&lt;'Mapa Oficinas'!$I$21,0,IF(J2699&gt;'Mapa Oficinas'!$I$20,0,1))</f>
        <v>1</v>
      </c>
      <c r="L2699" t="s">
        <v>23</v>
      </c>
      <c r="M2699" t="s">
        <v>23</v>
      </c>
      <c r="N2699" t="s">
        <v>2255</v>
      </c>
      <c r="O2699" t="s">
        <v>675</v>
      </c>
      <c r="P2699" t="s">
        <v>45</v>
      </c>
      <c r="Q2699">
        <v>2</v>
      </c>
      <c r="R2699" t="s">
        <v>67</v>
      </c>
      <c r="S2699" t="s">
        <v>28</v>
      </c>
      <c r="T2699" t="str">
        <f>VLOOKUP(S2699,'Mapa Oficinas'!$H$7:$I$16,2,FALSE)</f>
        <v>CB</v>
      </c>
      <c r="U2699" t="s">
        <v>29</v>
      </c>
      <c r="V2699" t="str">
        <f>VLOOKUP($R2699,'Mapa Oficinas'!$A$7:$C$46,2,FALSE)</f>
        <v>CABA</v>
      </c>
      <c r="W2699" t="str">
        <f>VLOOKUP($R2699,'Mapa Oficinas'!$A$7:$C$46,3,FALSE)</f>
        <v>Barrio Parque</v>
      </c>
    </row>
    <row r="2700" spans="1:23" x14ac:dyDescent="0.2">
      <c r="A2700" s="1">
        <v>45973</v>
      </c>
      <c r="B2700" s="20">
        <f t="shared" si="84"/>
        <v>2025</v>
      </c>
      <c r="C2700" s="20">
        <f t="shared" si="85"/>
        <v>11</v>
      </c>
      <c r="D2700" t="s">
        <v>5178</v>
      </c>
      <c r="E2700" s="49">
        <v>1</v>
      </c>
      <c r="F2700" t="s">
        <v>5179</v>
      </c>
      <c r="G2700" t="s">
        <v>21</v>
      </c>
      <c r="H2700" t="s">
        <v>230</v>
      </c>
      <c r="I2700" s="13">
        <v>700000</v>
      </c>
      <c r="J2700" s="13">
        <v>550000</v>
      </c>
      <c r="K2700" s="13">
        <f>IF(J2700&lt;'Mapa Oficinas'!$I$21,0,IF(J2700&gt;'Mapa Oficinas'!$I$20,0,1))</f>
        <v>1</v>
      </c>
      <c r="L2700" t="s">
        <v>23</v>
      </c>
      <c r="M2700" t="s">
        <v>23</v>
      </c>
      <c r="N2700" t="s">
        <v>5180</v>
      </c>
      <c r="O2700" t="s">
        <v>141</v>
      </c>
      <c r="P2700" t="s">
        <v>26</v>
      </c>
      <c r="Q2700">
        <v>2</v>
      </c>
      <c r="R2700" t="s">
        <v>67</v>
      </c>
      <c r="S2700" t="s">
        <v>79</v>
      </c>
      <c r="T2700" t="str">
        <f>VLOOKUP(S2700,'Mapa Oficinas'!$H$7:$I$16,2,FALSE)</f>
        <v>CB</v>
      </c>
      <c r="U2700" t="s">
        <v>29</v>
      </c>
      <c r="V2700" t="str">
        <f>VLOOKUP($R2700,'Mapa Oficinas'!$A$7:$C$46,2,FALSE)</f>
        <v>CABA</v>
      </c>
      <c r="W2700" t="str">
        <f>VLOOKUP($R2700,'Mapa Oficinas'!$A$7:$C$46,3,FALSE)</f>
        <v>Barrio Parque</v>
      </c>
    </row>
    <row r="2701" spans="1:23" x14ac:dyDescent="0.2">
      <c r="A2701" s="1">
        <v>45755</v>
      </c>
      <c r="B2701" s="20">
        <f t="shared" si="84"/>
        <v>2025</v>
      </c>
      <c r="C2701" s="20">
        <f t="shared" si="85"/>
        <v>4</v>
      </c>
      <c r="D2701" t="s">
        <v>1347</v>
      </c>
      <c r="E2701" s="49">
        <v>1</v>
      </c>
      <c r="F2701" t="s">
        <v>1348</v>
      </c>
      <c r="G2701" t="s">
        <v>21</v>
      </c>
      <c r="H2701" t="s">
        <v>37</v>
      </c>
      <c r="I2701" s="13">
        <v>560000</v>
      </c>
      <c r="J2701" s="13">
        <v>550000</v>
      </c>
      <c r="K2701" s="13">
        <f>IF(J2701&lt;'Mapa Oficinas'!$I$21,0,IF(J2701&gt;'Mapa Oficinas'!$I$20,0,1))</f>
        <v>1</v>
      </c>
      <c r="L2701" t="s">
        <v>23</v>
      </c>
      <c r="M2701" t="s">
        <v>23</v>
      </c>
      <c r="N2701" t="s">
        <v>1349</v>
      </c>
      <c r="O2701" t="s">
        <v>727</v>
      </c>
      <c r="P2701" t="s">
        <v>34</v>
      </c>
      <c r="Q2701">
        <v>2</v>
      </c>
      <c r="R2701" t="s">
        <v>257</v>
      </c>
      <c r="S2701" t="s">
        <v>28</v>
      </c>
      <c r="T2701" t="str">
        <f>VLOOKUP(S2701,'Mapa Oficinas'!$H$7:$I$16,2,FALSE)</f>
        <v>CB</v>
      </c>
      <c r="U2701" t="s">
        <v>29</v>
      </c>
      <c r="V2701" t="str">
        <f>VLOOKUP($R2701,'Mapa Oficinas'!$A$7:$C$46,2,FALSE)</f>
        <v>Zona Norte (GBA)</v>
      </c>
      <c r="W2701" t="str">
        <f>VLOOKUP($R2701,'Mapa Oficinas'!$A$7:$C$46,3,FALSE)</f>
        <v>Pilar</v>
      </c>
    </row>
    <row r="2702" spans="1:23" x14ac:dyDescent="0.2">
      <c r="A2702" s="1">
        <v>46076</v>
      </c>
      <c r="B2702" s="20">
        <f t="shared" si="84"/>
        <v>2026</v>
      </c>
      <c r="C2702" s="20">
        <f t="shared" si="85"/>
        <v>2</v>
      </c>
      <c r="D2702" t="s">
        <v>6826</v>
      </c>
      <c r="E2702" s="49">
        <v>1</v>
      </c>
      <c r="F2702" t="s">
        <v>6827</v>
      </c>
      <c r="G2702" t="s">
        <v>21</v>
      </c>
      <c r="H2702" t="s">
        <v>37</v>
      </c>
      <c r="I2702" s="13">
        <v>590000</v>
      </c>
      <c r="J2702" s="13">
        <v>555000</v>
      </c>
      <c r="K2702" s="13">
        <f>IF(J2702&lt;'Mapa Oficinas'!$I$21,0,IF(J2702&gt;'Mapa Oficinas'!$I$20,0,1))</f>
        <v>1</v>
      </c>
      <c r="L2702" t="s">
        <v>23</v>
      </c>
      <c r="M2702" t="s">
        <v>23</v>
      </c>
      <c r="N2702" t="s">
        <v>6828</v>
      </c>
      <c r="O2702" t="s">
        <v>50</v>
      </c>
      <c r="P2702" t="s">
        <v>45</v>
      </c>
      <c r="Q2702">
        <v>2</v>
      </c>
      <c r="R2702" t="s">
        <v>46</v>
      </c>
      <c r="S2702" t="s">
        <v>28</v>
      </c>
      <c r="T2702" t="str">
        <f>VLOOKUP(S2702,'Mapa Oficinas'!$H$7:$I$16,2,FALSE)</f>
        <v>CB</v>
      </c>
      <c r="U2702" t="s">
        <v>29</v>
      </c>
      <c r="V2702" t="str">
        <f>VLOOKUP($R2702,'Mapa Oficinas'!$A$7:$C$46,2,FALSE)</f>
        <v>CABA</v>
      </c>
      <c r="W2702" t="str">
        <f>VLOOKUP($R2702,'Mapa Oficinas'!$A$7:$C$46,3,FALSE)</f>
        <v>Palermo</v>
      </c>
    </row>
    <row r="2703" spans="1:23" x14ac:dyDescent="0.2">
      <c r="A2703" s="1">
        <v>45748</v>
      </c>
      <c r="B2703" s="20">
        <f t="shared" si="84"/>
        <v>2025</v>
      </c>
      <c r="C2703" s="20">
        <f t="shared" si="85"/>
        <v>4</v>
      </c>
      <c r="D2703" t="s">
        <v>1247</v>
      </c>
      <c r="E2703" s="49">
        <v>1</v>
      </c>
      <c r="F2703" t="s">
        <v>1248</v>
      </c>
      <c r="G2703" t="s">
        <v>21</v>
      </c>
      <c r="H2703" t="s">
        <v>76</v>
      </c>
      <c r="I2703" s="13">
        <v>590000</v>
      </c>
      <c r="J2703" s="13">
        <v>575000</v>
      </c>
      <c r="K2703" s="13">
        <f>IF(J2703&lt;'Mapa Oficinas'!$I$21,0,IF(J2703&gt;'Mapa Oficinas'!$I$20,0,1))</f>
        <v>1</v>
      </c>
      <c r="L2703" t="s">
        <v>23</v>
      </c>
      <c r="M2703" t="s">
        <v>23</v>
      </c>
      <c r="N2703" t="s">
        <v>1249</v>
      </c>
      <c r="O2703" t="s">
        <v>1250</v>
      </c>
      <c r="P2703" t="s">
        <v>34</v>
      </c>
      <c r="Q2703">
        <v>1</v>
      </c>
      <c r="R2703" t="s">
        <v>27</v>
      </c>
      <c r="S2703" t="s">
        <v>47</v>
      </c>
      <c r="T2703" t="str">
        <f>VLOOKUP(S2703,'Mapa Oficinas'!$H$7:$I$16,2,FALSE)</f>
        <v>Otra Red Búsqueda</v>
      </c>
      <c r="U2703" t="s">
        <v>29</v>
      </c>
      <c r="V2703" t="str">
        <f>VLOOKUP($R2703,'Mapa Oficinas'!$A$7:$C$46,2,FALSE)</f>
        <v>Zona Norte (GBA)</v>
      </c>
      <c r="W2703" t="str">
        <f>VLOOKUP($R2703,'Mapa Oficinas'!$A$7:$C$46,3,FALSE)</f>
        <v>Tigre</v>
      </c>
    </row>
    <row r="2704" spans="1:23" x14ac:dyDescent="0.2">
      <c r="A2704" s="1">
        <v>45938</v>
      </c>
      <c r="B2704" s="20">
        <f t="shared" si="84"/>
        <v>2025</v>
      </c>
      <c r="C2704" s="20">
        <f t="shared" si="85"/>
        <v>10</v>
      </c>
      <c r="D2704" t="s">
        <v>4605</v>
      </c>
      <c r="E2704" s="49">
        <v>1</v>
      </c>
      <c r="F2704" t="s">
        <v>4606</v>
      </c>
      <c r="G2704" t="s">
        <v>21</v>
      </c>
      <c r="H2704" t="s">
        <v>37</v>
      </c>
      <c r="I2704" s="13">
        <v>630000</v>
      </c>
      <c r="J2704" s="13">
        <v>580000</v>
      </c>
      <c r="K2704" s="13">
        <f>IF(J2704&lt;'Mapa Oficinas'!$I$21,0,IF(J2704&gt;'Mapa Oficinas'!$I$20,0,1))</f>
        <v>1</v>
      </c>
      <c r="L2704" t="s">
        <v>23</v>
      </c>
      <c r="M2704" t="s">
        <v>23</v>
      </c>
      <c r="N2704" t="s">
        <v>4607</v>
      </c>
      <c r="O2704" t="s">
        <v>4608</v>
      </c>
      <c r="P2704" t="s">
        <v>26</v>
      </c>
      <c r="Q2704">
        <v>2</v>
      </c>
      <c r="R2704" t="s">
        <v>27</v>
      </c>
      <c r="S2704" t="s">
        <v>200</v>
      </c>
      <c r="T2704" t="str">
        <f>VLOOKUP(S2704,'Mapa Oficinas'!$H$7:$I$16,2,FALSE)</f>
        <v>Otra Red Captación</v>
      </c>
      <c r="U2704" t="s">
        <v>29</v>
      </c>
      <c r="V2704" t="str">
        <f>VLOOKUP($R2704,'Mapa Oficinas'!$A$7:$C$46,2,FALSE)</f>
        <v>Zona Norte (GBA)</v>
      </c>
      <c r="W2704" t="str">
        <f>VLOOKUP($R2704,'Mapa Oficinas'!$A$7:$C$46,3,FALSE)</f>
        <v>Tigre</v>
      </c>
    </row>
    <row r="2705" spans="1:23" x14ac:dyDescent="0.2">
      <c r="A2705" s="1">
        <v>45688</v>
      </c>
      <c r="B2705" s="20">
        <f t="shared" si="84"/>
        <v>2025</v>
      </c>
      <c r="C2705" s="20">
        <f t="shared" si="85"/>
        <v>1</v>
      </c>
      <c r="D2705" t="s">
        <v>467</v>
      </c>
      <c r="E2705" s="49">
        <v>1</v>
      </c>
      <c r="F2705" t="s">
        <v>468</v>
      </c>
      <c r="G2705" t="s">
        <v>21</v>
      </c>
      <c r="H2705" t="s">
        <v>37</v>
      </c>
      <c r="I2705" s="13">
        <v>600000</v>
      </c>
      <c r="J2705" s="13">
        <v>580000</v>
      </c>
      <c r="K2705" s="13">
        <f>IF(J2705&lt;'Mapa Oficinas'!$I$21,0,IF(J2705&gt;'Mapa Oficinas'!$I$20,0,1))</f>
        <v>1</v>
      </c>
      <c r="L2705" t="s">
        <v>23</v>
      </c>
      <c r="M2705" t="s">
        <v>23</v>
      </c>
      <c r="N2705" t="s">
        <v>469</v>
      </c>
      <c r="O2705" t="s">
        <v>470</v>
      </c>
      <c r="P2705" t="s">
        <v>34</v>
      </c>
      <c r="Q2705">
        <v>2</v>
      </c>
      <c r="R2705" t="s">
        <v>67</v>
      </c>
      <c r="S2705" t="s">
        <v>28</v>
      </c>
      <c r="T2705" t="str">
        <f>VLOOKUP(S2705,'Mapa Oficinas'!$H$7:$I$16,2,FALSE)</f>
        <v>CB</v>
      </c>
      <c r="U2705" t="s">
        <v>29</v>
      </c>
      <c r="V2705" t="str">
        <f>VLOOKUP($R2705,'Mapa Oficinas'!$A$7:$C$46,2,FALSE)</f>
        <v>CABA</v>
      </c>
      <c r="W2705" t="str">
        <f>VLOOKUP($R2705,'Mapa Oficinas'!$A$7:$C$46,3,FALSE)</f>
        <v>Barrio Parque</v>
      </c>
    </row>
    <row r="2706" spans="1:23" x14ac:dyDescent="0.2">
      <c r="A2706" s="1">
        <v>45889</v>
      </c>
      <c r="B2706" s="20">
        <f t="shared" si="84"/>
        <v>2025</v>
      </c>
      <c r="C2706" s="20">
        <f t="shared" si="85"/>
        <v>8</v>
      </c>
      <c r="D2706" t="s">
        <v>3686</v>
      </c>
      <c r="E2706" s="49">
        <v>1</v>
      </c>
      <c r="F2706" t="s">
        <v>3687</v>
      </c>
      <c r="G2706" t="s">
        <v>21</v>
      </c>
      <c r="H2706" t="s">
        <v>37</v>
      </c>
      <c r="I2706" s="13">
        <v>595000</v>
      </c>
      <c r="J2706" s="13">
        <v>585000</v>
      </c>
      <c r="K2706" s="13">
        <f>IF(J2706&lt;'Mapa Oficinas'!$I$21,0,IF(J2706&gt;'Mapa Oficinas'!$I$20,0,1))</f>
        <v>1</v>
      </c>
      <c r="L2706" t="s">
        <v>23</v>
      </c>
      <c r="M2706" t="s">
        <v>23</v>
      </c>
      <c r="N2706" t="s">
        <v>3688</v>
      </c>
      <c r="O2706" t="s">
        <v>50</v>
      </c>
      <c r="P2706" t="s">
        <v>45</v>
      </c>
      <c r="Q2706">
        <v>2</v>
      </c>
      <c r="R2706" t="s">
        <v>67</v>
      </c>
      <c r="S2706" t="s">
        <v>200</v>
      </c>
      <c r="T2706" t="str">
        <f>VLOOKUP(S2706,'Mapa Oficinas'!$H$7:$I$16,2,FALSE)</f>
        <v>Otra Red Captación</v>
      </c>
      <c r="U2706" t="s">
        <v>29</v>
      </c>
      <c r="V2706" t="str">
        <f>VLOOKUP($R2706,'Mapa Oficinas'!$A$7:$C$46,2,FALSE)</f>
        <v>CABA</v>
      </c>
      <c r="W2706" t="str">
        <f>VLOOKUP($R2706,'Mapa Oficinas'!$A$7:$C$46,3,FALSE)</f>
        <v>Barrio Parque</v>
      </c>
    </row>
    <row r="2707" spans="1:23" x14ac:dyDescent="0.2">
      <c r="A2707" s="1">
        <v>46007</v>
      </c>
      <c r="B2707" s="20">
        <f t="shared" si="84"/>
        <v>2025</v>
      </c>
      <c r="C2707" s="20">
        <f t="shared" si="85"/>
        <v>12</v>
      </c>
      <c r="D2707" t="s">
        <v>5823</v>
      </c>
      <c r="E2707" s="49">
        <v>1</v>
      </c>
      <c r="F2707" t="s">
        <v>5824</v>
      </c>
      <c r="G2707" t="s">
        <v>21</v>
      </c>
      <c r="H2707" t="s">
        <v>37</v>
      </c>
      <c r="I2707" s="13">
        <v>590000</v>
      </c>
      <c r="J2707" s="13">
        <v>590000</v>
      </c>
      <c r="K2707" s="13">
        <f>IF(J2707&lt;'Mapa Oficinas'!$I$21,0,IF(J2707&gt;'Mapa Oficinas'!$I$20,0,1))</f>
        <v>1</v>
      </c>
      <c r="L2707" t="s">
        <v>23</v>
      </c>
      <c r="M2707" t="s">
        <v>23</v>
      </c>
      <c r="N2707" t="s">
        <v>5825</v>
      </c>
      <c r="O2707" t="s">
        <v>5826</v>
      </c>
      <c r="P2707" t="s">
        <v>34</v>
      </c>
      <c r="Q2707">
        <v>1</v>
      </c>
      <c r="R2707" t="s">
        <v>110</v>
      </c>
      <c r="S2707" t="s">
        <v>47</v>
      </c>
      <c r="T2707" t="str">
        <f>VLOOKUP(S2707,'Mapa Oficinas'!$H$7:$I$16,2,FALSE)</f>
        <v>Otra Red Búsqueda</v>
      </c>
      <c r="U2707" t="s">
        <v>29</v>
      </c>
      <c r="V2707" t="str">
        <f>VLOOKUP($R2707,'Mapa Oficinas'!$A$7:$C$46,2,FALSE)</f>
        <v>Zona Norte (GBA)</v>
      </c>
      <c r="W2707" t="str">
        <f>VLOOKUP($R2707,'Mapa Oficinas'!$A$7:$C$46,3,FALSE)</f>
        <v>Nordelta</v>
      </c>
    </row>
    <row r="2708" spans="1:23" x14ac:dyDescent="0.2">
      <c r="A2708" s="1">
        <v>46072</v>
      </c>
      <c r="B2708" s="20">
        <f t="shared" si="84"/>
        <v>2026</v>
      </c>
      <c r="C2708" s="20">
        <f t="shared" si="85"/>
        <v>2</v>
      </c>
      <c r="D2708" t="s">
        <v>6765</v>
      </c>
      <c r="E2708" s="49">
        <v>1</v>
      </c>
      <c r="F2708" t="s">
        <v>6766</v>
      </c>
      <c r="G2708" t="s">
        <v>21</v>
      </c>
      <c r="H2708" t="s">
        <v>37</v>
      </c>
      <c r="I2708" s="13">
        <v>680000</v>
      </c>
      <c r="J2708" s="13">
        <v>600000</v>
      </c>
      <c r="K2708" s="13">
        <f>IF(J2708&lt;'Mapa Oficinas'!$I$21,0,IF(J2708&gt;'Mapa Oficinas'!$I$20,0,1))</f>
        <v>1</v>
      </c>
      <c r="L2708" t="s">
        <v>23</v>
      </c>
      <c r="M2708" t="s">
        <v>23</v>
      </c>
      <c r="N2708" t="s">
        <v>6767</v>
      </c>
      <c r="O2708" t="s">
        <v>50</v>
      </c>
      <c r="P2708" t="s">
        <v>45</v>
      </c>
      <c r="Q2708">
        <v>2</v>
      </c>
      <c r="R2708" t="s">
        <v>670</v>
      </c>
      <c r="S2708" t="s">
        <v>28</v>
      </c>
      <c r="T2708" t="str">
        <f>VLOOKUP(S2708,'Mapa Oficinas'!$H$7:$I$16,2,FALSE)</f>
        <v>CB</v>
      </c>
      <c r="U2708" t="s">
        <v>29</v>
      </c>
      <c r="V2708" t="str">
        <f>VLOOKUP($R2708,'Mapa Oficinas'!$A$7:$C$46,2,FALSE)</f>
        <v>CABA</v>
      </c>
      <c r="W2708" t="str">
        <f>VLOOKUP($R2708,'Mapa Oficinas'!$A$7:$C$46,3,FALSE)</f>
        <v>Recoleta</v>
      </c>
    </row>
    <row r="2709" spans="1:23" x14ac:dyDescent="0.2">
      <c r="A2709" s="1">
        <v>45890</v>
      </c>
      <c r="B2709" s="20">
        <f t="shared" si="84"/>
        <v>2025</v>
      </c>
      <c r="C2709" s="20">
        <f t="shared" si="85"/>
        <v>8</v>
      </c>
      <c r="D2709" t="s">
        <v>3712</v>
      </c>
      <c r="E2709" s="49">
        <v>1</v>
      </c>
      <c r="F2709" t="s">
        <v>3713</v>
      </c>
      <c r="G2709" t="s">
        <v>21</v>
      </c>
      <c r="H2709" t="s">
        <v>863</v>
      </c>
      <c r="I2709" s="13">
        <v>620000</v>
      </c>
      <c r="J2709" s="13">
        <v>620000</v>
      </c>
      <c r="K2709" s="13">
        <f>IF(J2709&lt;'Mapa Oficinas'!$I$21,0,IF(J2709&gt;'Mapa Oficinas'!$I$20,0,1))</f>
        <v>1</v>
      </c>
      <c r="L2709" t="s">
        <v>23</v>
      </c>
      <c r="M2709" t="s">
        <v>23</v>
      </c>
      <c r="N2709" t="s">
        <v>3714</v>
      </c>
      <c r="O2709" t="s">
        <v>3304</v>
      </c>
      <c r="P2709" t="s">
        <v>26</v>
      </c>
      <c r="Q2709">
        <v>1</v>
      </c>
      <c r="R2709" t="s">
        <v>73</v>
      </c>
      <c r="S2709" t="s">
        <v>152</v>
      </c>
      <c r="T2709" t="str">
        <f>VLOOKUP(S2709,'Mapa Oficinas'!$H$7:$I$16,2,FALSE)</f>
        <v>Otra Red Captación</v>
      </c>
      <c r="U2709" t="s">
        <v>29</v>
      </c>
      <c r="V2709" t="str">
        <f>VLOOKUP($R2709,'Mapa Oficinas'!$A$7:$C$46,2,FALSE)</f>
        <v>Interior - Salta</v>
      </c>
      <c r="W2709" t="str">
        <f>VLOOKUP($R2709,'Mapa Oficinas'!$A$7:$C$46,3,FALSE)</f>
        <v>San Lorenzo Chico</v>
      </c>
    </row>
    <row r="2710" spans="1:23" x14ac:dyDescent="0.2">
      <c r="A2710" s="1">
        <v>45912</v>
      </c>
      <c r="B2710" s="20">
        <f t="shared" si="84"/>
        <v>2025</v>
      </c>
      <c r="C2710" s="20">
        <f t="shared" si="85"/>
        <v>9</v>
      </c>
      <c r="D2710" t="s">
        <v>4120</v>
      </c>
      <c r="E2710" s="49">
        <v>1</v>
      </c>
      <c r="F2710" t="s">
        <v>4121</v>
      </c>
      <c r="G2710" t="s">
        <v>21</v>
      </c>
      <c r="H2710" t="s">
        <v>37</v>
      </c>
      <c r="I2710" s="13">
        <v>719900</v>
      </c>
      <c r="J2710" s="13">
        <v>620440</v>
      </c>
      <c r="K2710" s="13">
        <f>IF(J2710&lt;'Mapa Oficinas'!$I$21,0,IF(J2710&gt;'Mapa Oficinas'!$I$20,0,1))</f>
        <v>1</v>
      </c>
      <c r="L2710" t="s">
        <v>23</v>
      </c>
      <c r="M2710" t="s">
        <v>23</v>
      </c>
      <c r="N2710" t="s">
        <v>4122</v>
      </c>
      <c r="O2710" t="s">
        <v>92</v>
      </c>
      <c r="P2710" t="s">
        <v>45</v>
      </c>
      <c r="Q2710">
        <v>2</v>
      </c>
      <c r="R2710" t="s">
        <v>67</v>
      </c>
      <c r="S2710" t="s">
        <v>200</v>
      </c>
      <c r="T2710" t="str">
        <f>VLOOKUP(S2710,'Mapa Oficinas'!$H$7:$I$16,2,FALSE)</f>
        <v>Otra Red Captación</v>
      </c>
      <c r="U2710" t="s">
        <v>29</v>
      </c>
      <c r="V2710" t="str">
        <f>VLOOKUP($R2710,'Mapa Oficinas'!$A$7:$C$46,2,FALSE)</f>
        <v>CABA</v>
      </c>
      <c r="W2710" t="str">
        <f>VLOOKUP($R2710,'Mapa Oficinas'!$A$7:$C$46,3,FALSE)</f>
        <v>Barrio Parque</v>
      </c>
    </row>
    <row r="2711" spans="1:23" x14ac:dyDescent="0.2">
      <c r="A2711" s="1">
        <v>46034</v>
      </c>
      <c r="B2711" s="20">
        <f t="shared" si="84"/>
        <v>2026</v>
      </c>
      <c r="C2711" s="20">
        <f t="shared" si="85"/>
        <v>1</v>
      </c>
      <c r="E2711" s="49">
        <v>0</v>
      </c>
      <c r="F2711" t="s">
        <v>6186</v>
      </c>
      <c r="G2711" t="s">
        <v>21</v>
      </c>
      <c r="H2711" t="s">
        <v>37</v>
      </c>
      <c r="I2711" s="13">
        <v>640000</v>
      </c>
      <c r="J2711" s="13">
        <v>623000</v>
      </c>
      <c r="K2711" s="13">
        <f>IF(J2711&lt;'Mapa Oficinas'!$I$21,0,IF(J2711&gt;'Mapa Oficinas'!$I$20,0,1))</f>
        <v>1</v>
      </c>
      <c r="L2711" t="s">
        <v>23</v>
      </c>
      <c r="M2711" t="s">
        <v>23</v>
      </c>
      <c r="N2711" t="s">
        <v>6187</v>
      </c>
      <c r="O2711" t="s">
        <v>66</v>
      </c>
      <c r="P2711" t="s">
        <v>45</v>
      </c>
      <c r="Q2711">
        <v>2</v>
      </c>
      <c r="R2711" t="s">
        <v>523</v>
      </c>
      <c r="S2711" t="s">
        <v>232</v>
      </c>
      <c r="T2711" t="str">
        <f>VLOOKUP(S2711,'Mapa Oficinas'!$H$7:$I$16,2,FALSE)</f>
        <v>CB</v>
      </c>
      <c r="U2711" t="s">
        <v>29</v>
      </c>
      <c r="V2711" t="str">
        <f>VLOOKUP($R2711,'Mapa Oficinas'!$A$7:$C$46,2,FALSE)</f>
        <v>CABA</v>
      </c>
      <c r="W2711" t="str">
        <f>VLOOKUP($R2711,'Mapa Oficinas'!$A$7:$C$46,3,FALSE)</f>
        <v>Belgrano</v>
      </c>
    </row>
    <row r="2712" spans="1:23" x14ac:dyDescent="0.2">
      <c r="A2712" s="1">
        <v>46034</v>
      </c>
      <c r="B2712" s="20">
        <f t="shared" si="84"/>
        <v>2026</v>
      </c>
      <c r="C2712" s="20">
        <f t="shared" si="85"/>
        <v>1</v>
      </c>
      <c r="D2712" t="s">
        <v>6183</v>
      </c>
      <c r="E2712" s="49">
        <v>1</v>
      </c>
      <c r="F2712" t="s">
        <v>6184</v>
      </c>
      <c r="G2712" t="s">
        <v>21</v>
      </c>
      <c r="H2712" t="s">
        <v>37</v>
      </c>
      <c r="I2712" s="13">
        <v>690000</v>
      </c>
      <c r="J2712" s="13">
        <v>623000</v>
      </c>
      <c r="K2712" s="13">
        <f>IF(J2712&lt;'Mapa Oficinas'!$I$21,0,IF(J2712&gt;'Mapa Oficinas'!$I$20,0,1))</f>
        <v>1</v>
      </c>
      <c r="L2712" t="s">
        <v>23</v>
      </c>
      <c r="M2712" t="s">
        <v>23</v>
      </c>
      <c r="N2712" t="s">
        <v>6185</v>
      </c>
      <c r="O2712" t="s">
        <v>190</v>
      </c>
      <c r="P2712" t="s">
        <v>45</v>
      </c>
      <c r="Q2712">
        <v>2</v>
      </c>
      <c r="R2712" t="s">
        <v>67</v>
      </c>
      <c r="S2712" t="s">
        <v>232</v>
      </c>
      <c r="T2712" t="str">
        <f>VLOOKUP(S2712,'Mapa Oficinas'!$H$7:$I$16,2,FALSE)</f>
        <v>CB</v>
      </c>
      <c r="U2712" t="s">
        <v>29</v>
      </c>
      <c r="V2712" t="str">
        <f>VLOOKUP($R2712,'Mapa Oficinas'!$A$7:$C$46,2,FALSE)</f>
        <v>CABA</v>
      </c>
      <c r="W2712" t="str">
        <f>VLOOKUP($R2712,'Mapa Oficinas'!$A$7:$C$46,3,FALSE)</f>
        <v>Barrio Parque</v>
      </c>
    </row>
    <row r="2713" spans="1:23" x14ac:dyDescent="0.2">
      <c r="A2713" s="1">
        <v>45849</v>
      </c>
      <c r="B2713" s="20">
        <f t="shared" si="84"/>
        <v>2025</v>
      </c>
      <c r="C2713" s="20">
        <f t="shared" si="85"/>
        <v>7</v>
      </c>
      <c r="D2713" t="s">
        <v>2999</v>
      </c>
      <c r="E2713" s="49">
        <v>1</v>
      </c>
      <c r="F2713" t="s">
        <v>3000</v>
      </c>
      <c r="G2713" t="s">
        <v>21</v>
      </c>
      <c r="H2713" t="s">
        <v>90</v>
      </c>
      <c r="I2713" s="13">
        <v>695000</v>
      </c>
      <c r="J2713" s="13">
        <v>625000</v>
      </c>
      <c r="K2713" s="13">
        <f>IF(J2713&lt;'Mapa Oficinas'!$I$21,0,IF(J2713&gt;'Mapa Oficinas'!$I$20,0,1))</f>
        <v>1</v>
      </c>
      <c r="L2713" t="s">
        <v>23</v>
      </c>
      <c r="M2713" t="s">
        <v>23</v>
      </c>
      <c r="N2713" t="s">
        <v>3001</v>
      </c>
      <c r="O2713" t="s">
        <v>2104</v>
      </c>
      <c r="P2713" t="s">
        <v>34</v>
      </c>
      <c r="Q2713">
        <v>2</v>
      </c>
      <c r="R2713" t="s">
        <v>1024</v>
      </c>
      <c r="S2713" t="s">
        <v>28</v>
      </c>
      <c r="T2713" t="str">
        <f>VLOOKUP(S2713,'Mapa Oficinas'!$H$7:$I$16,2,FALSE)</f>
        <v>CB</v>
      </c>
      <c r="U2713" t="s">
        <v>29</v>
      </c>
      <c r="V2713" t="str">
        <f>VLOOKUP($R2713,'Mapa Oficinas'!$A$7:$C$46,2,FALSE)</f>
        <v>CABA</v>
      </c>
      <c r="W2713" t="str">
        <f>VLOOKUP($R2713,'Mapa Oficinas'!$A$7:$C$46,3,FALSE)</f>
        <v>Puerto Madero</v>
      </c>
    </row>
    <row r="2714" spans="1:23" x14ac:dyDescent="0.2">
      <c r="A2714" s="1">
        <v>45876</v>
      </c>
      <c r="B2714" s="20">
        <f t="shared" si="84"/>
        <v>2025</v>
      </c>
      <c r="C2714" s="20">
        <f t="shared" si="85"/>
        <v>8</v>
      </c>
      <c r="D2714" t="s">
        <v>1302</v>
      </c>
      <c r="E2714" s="49">
        <v>3</v>
      </c>
      <c r="F2714" t="s">
        <v>3467</v>
      </c>
      <c r="G2714" t="s">
        <v>21</v>
      </c>
      <c r="H2714" t="s">
        <v>76</v>
      </c>
      <c r="I2714" s="13">
        <v>630000</v>
      </c>
      <c r="J2714" s="13">
        <v>630000</v>
      </c>
      <c r="K2714" s="13">
        <f>IF(J2714&lt;'Mapa Oficinas'!$I$21,0,IF(J2714&gt;'Mapa Oficinas'!$I$20,0,1))</f>
        <v>1</v>
      </c>
      <c r="L2714" t="s">
        <v>23</v>
      </c>
      <c r="M2714" t="s">
        <v>23</v>
      </c>
      <c r="N2714" t="s">
        <v>1304</v>
      </c>
      <c r="O2714" t="s">
        <v>1305</v>
      </c>
      <c r="P2714" t="s">
        <v>34</v>
      </c>
      <c r="Q2714">
        <v>2</v>
      </c>
      <c r="R2714" t="s">
        <v>257</v>
      </c>
      <c r="S2714" t="s">
        <v>241</v>
      </c>
      <c r="T2714" t="str">
        <f>VLOOKUP(S2714,'Mapa Oficinas'!$H$7:$I$16,2,FALSE)</f>
        <v>CB</v>
      </c>
      <c r="U2714" t="s">
        <v>29</v>
      </c>
      <c r="V2714" t="str">
        <f>VLOOKUP($R2714,'Mapa Oficinas'!$A$7:$C$46,2,FALSE)</f>
        <v>Zona Norte (GBA)</v>
      </c>
      <c r="W2714" t="str">
        <f>VLOOKUP($R2714,'Mapa Oficinas'!$A$7:$C$46,3,FALSE)</f>
        <v>Pilar</v>
      </c>
    </row>
    <row r="2715" spans="1:23" x14ac:dyDescent="0.2">
      <c r="A2715" s="1">
        <v>46006</v>
      </c>
      <c r="B2715" s="20">
        <f t="shared" si="84"/>
        <v>2025</v>
      </c>
      <c r="C2715" s="20">
        <f t="shared" si="85"/>
        <v>12</v>
      </c>
      <c r="D2715" t="s">
        <v>5805</v>
      </c>
      <c r="E2715" s="49">
        <v>1</v>
      </c>
      <c r="F2715" t="s">
        <v>5806</v>
      </c>
      <c r="G2715" t="s">
        <v>21</v>
      </c>
      <c r="H2715" t="s">
        <v>37</v>
      </c>
      <c r="I2715" s="13">
        <v>679000</v>
      </c>
      <c r="J2715" s="13">
        <v>630000</v>
      </c>
      <c r="K2715" s="13">
        <f>IF(J2715&lt;'Mapa Oficinas'!$I$21,0,IF(J2715&gt;'Mapa Oficinas'!$I$20,0,1))</f>
        <v>1</v>
      </c>
      <c r="L2715" t="s">
        <v>23</v>
      </c>
      <c r="M2715" t="s">
        <v>23</v>
      </c>
      <c r="N2715" t="s">
        <v>5807</v>
      </c>
      <c r="O2715" t="s">
        <v>2222</v>
      </c>
      <c r="P2715" t="s">
        <v>45</v>
      </c>
      <c r="Q2715">
        <v>2</v>
      </c>
      <c r="R2715" t="s">
        <v>62</v>
      </c>
      <c r="S2715" t="s">
        <v>28</v>
      </c>
      <c r="T2715" t="str">
        <f>VLOOKUP(S2715,'Mapa Oficinas'!$H$7:$I$16,2,FALSE)</f>
        <v>CB</v>
      </c>
      <c r="U2715" t="s">
        <v>29</v>
      </c>
      <c r="V2715" t="str">
        <f>VLOOKUP($R2715,'Mapa Oficinas'!$A$7:$C$46,2,FALSE)</f>
        <v>CABA</v>
      </c>
      <c r="W2715" t="str">
        <f>VLOOKUP($R2715,'Mapa Oficinas'!$A$7:$C$46,3,FALSE)</f>
        <v>Villa Urquiza</v>
      </c>
    </row>
    <row r="2716" spans="1:23" x14ac:dyDescent="0.2">
      <c r="A2716" s="1">
        <v>45965</v>
      </c>
      <c r="B2716" s="20">
        <f t="shared" si="84"/>
        <v>2025</v>
      </c>
      <c r="C2716" s="20">
        <f t="shared" si="85"/>
        <v>11</v>
      </c>
      <c r="D2716" t="s">
        <v>5049</v>
      </c>
      <c r="E2716" s="49">
        <v>1</v>
      </c>
      <c r="F2716" t="s">
        <v>5050</v>
      </c>
      <c r="G2716" t="s">
        <v>21</v>
      </c>
      <c r="H2716" t="s">
        <v>37</v>
      </c>
      <c r="I2716" s="13">
        <v>635000</v>
      </c>
      <c r="J2716" s="13">
        <v>635000</v>
      </c>
      <c r="K2716" s="13">
        <f>IF(J2716&lt;'Mapa Oficinas'!$I$21,0,IF(J2716&gt;'Mapa Oficinas'!$I$20,0,1))</f>
        <v>1</v>
      </c>
      <c r="L2716" t="s">
        <v>23</v>
      </c>
      <c r="M2716" t="s">
        <v>23</v>
      </c>
      <c r="N2716" t="s">
        <v>5050</v>
      </c>
      <c r="O2716" t="s">
        <v>174</v>
      </c>
      <c r="P2716" t="s">
        <v>45</v>
      </c>
      <c r="Q2716">
        <v>1</v>
      </c>
      <c r="R2716" t="s">
        <v>46</v>
      </c>
      <c r="S2716" t="s">
        <v>47</v>
      </c>
      <c r="T2716" t="str">
        <f>VLOOKUP(S2716,'Mapa Oficinas'!$H$7:$I$16,2,FALSE)</f>
        <v>Otra Red Búsqueda</v>
      </c>
      <c r="U2716" t="s">
        <v>29</v>
      </c>
      <c r="V2716" t="str">
        <f>VLOOKUP($R2716,'Mapa Oficinas'!$A$7:$C$46,2,FALSE)</f>
        <v>CABA</v>
      </c>
      <c r="W2716" t="str">
        <f>VLOOKUP($R2716,'Mapa Oficinas'!$A$7:$C$46,3,FALSE)</f>
        <v>Palermo</v>
      </c>
    </row>
    <row r="2717" spans="1:23" x14ac:dyDescent="0.2">
      <c r="A2717" s="1">
        <v>46052</v>
      </c>
      <c r="B2717" s="20">
        <f t="shared" si="84"/>
        <v>2026</v>
      </c>
      <c r="C2717" s="20">
        <f t="shared" si="85"/>
        <v>1</v>
      </c>
      <c r="D2717" t="s">
        <v>6491</v>
      </c>
      <c r="E2717" s="49">
        <v>1</v>
      </c>
      <c r="F2717" t="s">
        <v>6492</v>
      </c>
      <c r="G2717" t="s">
        <v>21</v>
      </c>
      <c r="H2717" t="s">
        <v>37</v>
      </c>
      <c r="I2717" s="13">
        <v>750000</v>
      </c>
      <c r="J2717" s="13">
        <v>640000</v>
      </c>
      <c r="K2717" s="13">
        <f>IF(J2717&lt;'Mapa Oficinas'!$I$21,0,IF(J2717&gt;'Mapa Oficinas'!$I$20,0,1))</f>
        <v>1</v>
      </c>
      <c r="L2717" t="s">
        <v>23</v>
      </c>
      <c r="M2717" t="s">
        <v>23</v>
      </c>
      <c r="N2717" t="s">
        <v>6493</v>
      </c>
      <c r="O2717" t="s">
        <v>141</v>
      </c>
      <c r="P2717" t="s">
        <v>34</v>
      </c>
      <c r="Q2717">
        <v>2</v>
      </c>
      <c r="R2717" t="s">
        <v>135</v>
      </c>
      <c r="S2717" t="s">
        <v>28</v>
      </c>
      <c r="T2717" t="str">
        <f>VLOOKUP(S2717,'Mapa Oficinas'!$H$7:$I$16,2,FALSE)</f>
        <v>CB</v>
      </c>
      <c r="U2717" t="s">
        <v>29</v>
      </c>
      <c r="V2717" t="str">
        <f>VLOOKUP($R2717,'Mapa Oficinas'!$A$7:$C$46,2,FALSE)</f>
        <v>CABA</v>
      </c>
      <c r="W2717" t="str">
        <f>VLOOKUP($R2717,'Mapa Oficinas'!$A$7:$C$46,3,FALSE)</f>
        <v>Recoleta</v>
      </c>
    </row>
    <row r="2718" spans="1:23" x14ac:dyDescent="0.2">
      <c r="A2718" s="1">
        <v>45803</v>
      </c>
      <c r="B2718" s="20">
        <f t="shared" si="84"/>
        <v>2025</v>
      </c>
      <c r="C2718" s="20">
        <f t="shared" si="85"/>
        <v>5</v>
      </c>
      <c r="D2718" t="s">
        <v>2139</v>
      </c>
      <c r="E2718" s="49">
        <v>1</v>
      </c>
      <c r="F2718" t="s">
        <v>2140</v>
      </c>
      <c r="G2718" t="s">
        <v>21</v>
      </c>
      <c r="H2718" t="s">
        <v>119</v>
      </c>
      <c r="I2718" s="13">
        <v>650000</v>
      </c>
      <c r="J2718" s="13">
        <v>650000</v>
      </c>
      <c r="K2718" s="13">
        <f>IF(J2718&lt;'Mapa Oficinas'!$I$21,0,IF(J2718&gt;'Mapa Oficinas'!$I$20,0,1))</f>
        <v>1</v>
      </c>
      <c r="L2718" t="s">
        <v>23</v>
      </c>
      <c r="M2718" t="s">
        <v>23</v>
      </c>
      <c r="N2718" t="s">
        <v>2141</v>
      </c>
      <c r="O2718" t="s">
        <v>1277</v>
      </c>
      <c r="P2718" t="s">
        <v>34</v>
      </c>
      <c r="Q2718">
        <v>2</v>
      </c>
      <c r="R2718" t="s">
        <v>121</v>
      </c>
      <c r="S2718" t="s">
        <v>79</v>
      </c>
      <c r="T2718" t="str">
        <f>VLOOKUP(S2718,'Mapa Oficinas'!$H$7:$I$16,2,FALSE)</f>
        <v>CB</v>
      </c>
      <c r="U2718" t="s">
        <v>29</v>
      </c>
      <c r="V2718" t="str">
        <f>VLOOKUP($R2718,'Mapa Oficinas'!$A$7:$C$46,2,FALSE)</f>
        <v>Interior - Río Negro</v>
      </c>
      <c r="W2718" t="str">
        <f>VLOOKUP($R2718,'Mapa Oficinas'!$A$7:$C$46,3,FALSE)</f>
        <v>Bariloche</v>
      </c>
    </row>
    <row r="2719" spans="1:23" x14ac:dyDescent="0.2">
      <c r="A2719" s="1">
        <v>46009</v>
      </c>
      <c r="B2719" s="20">
        <f t="shared" si="84"/>
        <v>2025</v>
      </c>
      <c r="C2719" s="20">
        <f t="shared" si="85"/>
        <v>12</v>
      </c>
      <c r="D2719" t="s">
        <v>5883</v>
      </c>
      <c r="E2719" s="49">
        <v>1</v>
      </c>
      <c r="F2719" t="s">
        <v>5884</v>
      </c>
      <c r="G2719" t="s">
        <v>21</v>
      </c>
      <c r="H2719" t="s">
        <v>37</v>
      </c>
      <c r="I2719" s="13">
        <v>650000</v>
      </c>
      <c r="J2719" s="13">
        <v>650000</v>
      </c>
      <c r="K2719" s="13">
        <f>IF(J2719&lt;'Mapa Oficinas'!$I$21,0,IF(J2719&gt;'Mapa Oficinas'!$I$20,0,1))</f>
        <v>1</v>
      </c>
      <c r="L2719" t="s">
        <v>23</v>
      </c>
      <c r="M2719" t="s">
        <v>23</v>
      </c>
      <c r="N2719" t="s">
        <v>5885</v>
      </c>
      <c r="O2719" t="s">
        <v>50</v>
      </c>
      <c r="P2719" t="s">
        <v>45</v>
      </c>
      <c r="Q2719">
        <v>1</v>
      </c>
      <c r="R2719" t="s">
        <v>670</v>
      </c>
      <c r="S2719" t="s">
        <v>47</v>
      </c>
      <c r="T2719" t="str">
        <f>VLOOKUP(S2719,'Mapa Oficinas'!$H$7:$I$16,2,FALSE)</f>
        <v>Otra Red Búsqueda</v>
      </c>
      <c r="U2719" t="s">
        <v>29</v>
      </c>
      <c r="V2719" t="str">
        <f>VLOOKUP($R2719,'Mapa Oficinas'!$A$7:$C$46,2,FALSE)</f>
        <v>CABA</v>
      </c>
      <c r="W2719" t="str">
        <f>VLOOKUP($R2719,'Mapa Oficinas'!$A$7:$C$46,3,FALSE)</f>
        <v>Recoleta</v>
      </c>
    </row>
    <row r="2720" spans="1:23" x14ac:dyDescent="0.2">
      <c r="A2720" s="1">
        <v>45842</v>
      </c>
      <c r="B2720" s="20">
        <f t="shared" si="84"/>
        <v>2025</v>
      </c>
      <c r="C2720" s="20">
        <f t="shared" si="85"/>
        <v>7</v>
      </c>
      <c r="D2720" t="s">
        <v>2895</v>
      </c>
      <c r="E2720" s="49">
        <v>1</v>
      </c>
      <c r="F2720" t="s">
        <v>2896</v>
      </c>
      <c r="G2720" t="s">
        <v>21</v>
      </c>
      <c r="H2720" t="s">
        <v>37</v>
      </c>
      <c r="I2720" s="13">
        <v>750000</v>
      </c>
      <c r="J2720" s="13">
        <v>650000</v>
      </c>
      <c r="K2720" s="13">
        <f>IF(J2720&lt;'Mapa Oficinas'!$I$21,0,IF(J2720&gt;'Mapa Oficinas'!$I$20,0,1))</f>
        <v>1</v>
      </c>
      <c r="L2720" t="s">
        <v>23</v>
      </c>
      <c r="M2720" t="s">
        <v>23</v>
      </c>
      <c r="N2720" t="s">
        <v>2897</v>
      </c>
      <c r="O2720" t="s">
        <v>50</v>
      </c>
      <c r="P2720" t="s">
        <v>45</v>
      </c>
      <c r="Q2720">
        <v>2</v>
      </c>
      <c r="R2720" t="s">
        <v>257</v>
      </c>
      <c r="S2720" t="s">
        <v>28</v>
      </c>
      <c r="T2720" t="str">
        <f>VLOOKUP(S2720,'Mapa Oficinas'!$H$7:$I$16,2,FALSE)</f>
        <v>CB</v>
      </c>
      <c r="U2720" t="s">
        <v>29</v>
      </c>
      <c r="V2720" t="str">
        <f>VLOOKUP($R2720,'Mapa Oficinas'!$A$7:$C$46,2,FALSE)</f>
        <v>Zona Norte (GBA)</v>
      </c>
      <c r="W2720" t="str">
        <f>VLOOKUP($R2720,'Mapa Oficinas'!$A$7:$C$46,3,FALSE)</f>
        <v>Pilar</v>
      </c>
    </row>
    <row r="2721" spans="1:23" x14ac:dyDescent="0.2">
      <c r="A2721" s="1">
        <v>45707</v>
      </c>
      <c r="B2721" s="20">
        <f t="shared" si="84"/>
        <v>2025</v>
      </c>
      <c r="C2721" s="20">
        <f t="shared" si="85"/>
        <v>2</v>
      </c>
      <c r="D2721" t="s">
        <v>683</v>
      </c>
      <c r="E2721" s="49">
        <v>1</v>
      </c>
      <c r="F2721" t="s">
        <v>683</v>
      </c>
      <c r="G2721" t="s">
        <v>21</v>
      </c>
      <c r="H2721" t="s">
        <v>37</v>
      </c>
      <c r="I2721" s="13">
        <v>665000</v>
      </c>
      <c r="J2721" s="13">
        <v>665000</v>
      </c>
      <c r="K2721" s="13">
        <f>IF(J2721&lt;'Mapa Oficinas'!$I$21,0,IF(J2721&gt;'Mapa Oficinas'!$I$20,0,1))</f>
        <v>1</v>
      </c>
      <c r="L2721" t="s">
        <v>23</v>
      </c>
      <c r="M2721" t="s">
        <v>23</v>
      </c>
      <c r="N2721" t="s">
        <v>683</v>
      </c>
      <c r="O2721" t="s">
        <v>684</v>
      </c>
      <c r="P2721" t="s">
        <v>26</v>
      </c>
      <c r="Q2721">
        <v>2</v>
      </c>
      <c r="R2721" t="s">
        <v>56</v>
      </c>
      <c r="S2721" t="s">
        <v>28</v>
      </c>
      <c r="T2721" t="str">
        <f>VLOOKUP(S2721,'Mapa Oficinas'!$H$7:$I$16,2,FALSE)</f>
        <v>CB</v>
      </c>
      <c r="U2721" t="s">
        <v>29</v>
      </c>
      <c r="V2721" t="str">
        <f>VLOOKUP($R2721,'Mapa Oficinas'!$A$7:$C$46,2,FALSE)</f>
        <v>Zona Norte (GBA)</v>
      </c>
      <c r="W2721" t="str">
        <f>VLOOKUP($R2721,'Mapa Oficinas'!$A$7:$C$46,3,FALSE)</f>
        <v>Vicente López</v>
      </c>
    </row>
    <row r="2722" spans="1:23" x14ac:dyDescent="0.2">
      <c r="A2722" s="1">
        <v>45756</v>
      </c>
      <c r="B2722" s="20">
        <f t="shared" si="84"/>
        <v>2025</v>
      </c>
      <c r="C2722" s="20">
        <f t="shared" si="85"/>
        <v>4</v>
      </c>
      <c r="D2722" t="s">
        <v>683</v>
      </c>
      <c r="E2722" s="49">
        <v>1</v>
      </c>
      <c r="F2722" t="s">
        <v>683</v>
      </c>
      <c r="G2722" t="s">
        <v>21</v>
      </c>
      <c r="H2722" t="s">
        <v>37</v>
      </c>
      <c r="I2722" s="13">
        <v>665000</v>
      </c>
      <c r="J2722" s="13">
        <v>665000</v>
      </c>
      <c r="K2722" s="13">
        <f>IF(J2722&lt;'Mapa Oficinas'!$I$21,0,IF(J2722&gt;'Mapa Oficinas'!$I$20,0,1))</f>
        <v>1</v>
      </c>
      <c r="L2722" t="s">
        <v>23</v>
      </c>
      <c r="M2722" t="s">
        <v>23</v>
      </c>
      <c r="N2722" t="s">
        <v>683</v>
      </c>
      <c r="O2722" t="s">
        <v>684</v>
      </c>
      <c r="P2722" t="s">
        <v>26</v>
      </c>
      <c r="Q2722">
        <v>2</v>
      </c>
      <c r="R2722" t="s">
        <v>56</v>
      </c>
      <c r="S2722" t="s">
        <v>28</v>
      </c>
      <c r="T2722" t="str">
        <f>VLOOKUP(S2722,'Mapa Oficinas'!$H$7:$I$16,2,FALSE)</f>
        <v>CB</v>
      </c>
      <c r="U2722" t="s">
        <v>29</v>
      </c>
      <c r="V2722" t="str">
        <f>VLOOKUP($R2722,'Mapa Oficinas'!$A$7:$C$46,2,FALSE)</f>
        <v>Zona Norte (GBA)</v>
      </c>
      <c r="W2722" t="str">
        <f>VLOOKUP($R2722,'Mapa Oficinas'!$A$7:$C$46,3,FALSE)</f>
        <v>Vicente López</v>
      </c>
    </row>
    <row r="2723" spans="1:23" x14ac:dyDescent="0.2">
      <c r="A2723" s="1">
        <v>46009</v>
      </c>
      <c r="B2723" s="20">
        <f t="shared" si="84"/>
        <v>2025</v>
      </c>
      <c r="C2723" s="20">
        <f t="shared" si="85"/>
        <v>12</v>
      </c>
      <c r="D2723" t="s">
        <v>5886</v>
      </c>
      <c r="E2723" s="49">
        <v>1</v>
      </c>
      <c r="F2723" t="s">
        <v>5887</v>
      </c>
      <c r="G2723" t="s">
        <v>21</v>
      </c>
      <c r="H2723" t="s">
        <v>37</v>
      </c>
      <c r="I2723" s="13">
        <v>790000</v>
      </c>
      <c r="J2723" s="13">
        <v>670000</v>
      </c>
      <c r="K2723" s="13">
        <f>IF(J2723&lt;'Mapa Oficinas'!$I$21,0,IF(J2723&gt;'Mapa Oficinas'!$I$20,0,1))</f>
        <v>1</v>
      </c>
      <c r="L2723" t="s">
        <v>23</v>
      </c>
      <c r="M2723" t="s">
        <v>23</v>
      </c>
      <c r="N2723" t="s">
        <v>5887</v>
      </c>
      <c r="O2723" t="s">
        <v>1222</v>
      </c>
      <c r="P2723" t="s">
        <v>45</v>
      </c>
      <c r="Q2723">
        <v>2</v>
      </c>
      <c r="R2723" t="s">
        <v>257</v>
      </c>
      <c r="S2723" t="s">
        <v>28</v>
      </c>
      <c r="T2723" t="str">
        <f>VLOOKUP(S2723,'Mapa Oficinas'!$H$7:$I$16,2,FALSE)</f>
        <v>CB</v>
      </c>
      <c r="U2723" t="s">
        <v>29</v>
      </c>
      <c r="V2723" t="str">
        <f>VLOOKUP($R2723,'Mapa Oficinas'!$A$7:$C$46,2,FALSE)</f>
        <v>Zona Norte (GBA)</v>
      </c>
      <c r="W2723" t="str">
        <f>VLOOKUP($R2723,'Mapa Oficinas'!$A$7:$C$46,3,FALSE)</f>
        <v>Pilar</v>
      </c>
    </row>
    <row r="2724" spans="1:23" x14ac:dyDescent="0.2">
      <c r="A2724" s="1">
        <v>45706</v>
      </c>
      <c r="B2724" s="20">
        <f t="shared" si="84"/>
        <v>2025</v>
      </c>
      <c r="C2724" s="20">
        <f t="shared" si="85"/>
        <v>2</v>
      </c>
      <c r="D2724" t="s">
        <v>672</v>
      </c>
      <c r="E2724" s="49">
        <v>1</v>
      </c>
      <c r="F2724" t="s">
        <v>673</v>
      </c>
      <c r="G2724" t="s">
        <v>21</v>
      </c>
      <c r="H2724" t="s">
        <v>37</v>
      </c>
      <c r="I2724" s="13">
        <v>605000</v>
      </c>
      <c r="J2724" s="13">
        <v>680000</v>
      </c>
      <c r="K2724" s="13">
        <f>IF(J2724&lt;'Mapa Oficinas'!$I$21,0,IF(J2724&gt;'Mapa Oficinas'!$I$20,0,1))</f>
        <v>1</v>
      </c>
      <c r="L2724" t="s">
        <v>23</v>
      </c>
      <c r="M2724" t="s">
        <v>23</v>
      </c>
      <c r="N2724" t="s">
        <v>674</v>
      </c>
      <c r="O2724" t="s">
        <v>675</v>
      </c>
      <c r="P2724" t="s">
        <v>45</v>
      </c>
      <c r="Q2724">
        <v>2</v>
      </c>
      <c r="R2724" t="s">
        <v>135</v>
      </c>
      <c r="S2724" t="s">
        <v>28</v>
      </c>
      <c r="T2724" t="str">
        <f>VLOOKUP(S2724,'Mapa Oficinas'!$H$7:$I$16,2,FALSE)</f>
        <v>CB</v>
      </c>
      <c r="U2724" t="s">
        <v>29</v>
      </c>
      <c r="V2724" t="str">
        <f>VLOOKUP($R2724,'Mapa Oficinas'!$A$7:$C$46,2,FALSE)</f>
        <v>CABA</v>
      </c>
      <c r="W2724" t="str">
        <f>VLOOKUP($R2724,'Mapa Oficinas'!$A$7:$C$46,3,FALSE)</f>
        <v>Recoleta</v>
      </c>
    </row>
    <row r="2725" spans="1:23" x14ac:dyDescent="0.2">
      <c r="A2725" s="1">
        <v>45910</v>
      </c>
      <c r="B2725" s="20">
        <f t="shared" si="84"/>
        <v>2025</v>
      </c>
      <c r="C2725" s="20">
        <f t="shared" si="85"/>
        <v>9</v>
      </c>
      <c r="D2725" t="s">
        <v>4071</v>
      </c>
      <c r="E2725" s="49">
        <v>1</v>
      </c>
      <c r="F2725" t="s">
        <v>4072</v>
      </c>
      <c r="G2725" t="s">
        <v>21</v>
      </c>
      <c r="H2725" t="s">
        <v>37</v>
      </c>
      <c r="I2725" s="13">
        <v>700000</v>
      </c>
      <c r="J2725" s="13">
        <v>682500</v>
      </c>
      <c r="K2725" s="13">
        <f>IF(J2725&lt;'Mapa Oficinas'!$I$21,0,IF(J2725&gt;'Mapa Oficinas'!$I$20,0,1))</f>
        <v>1</v>
      </c>
      <c r="L2725" t="s">
        <v>23</v>
      </c>
      <c r="M2725" t="s">
        <v>23</v>
      </c>
      <c r="N2725" t="s">
        <v>4073</v>
      </c>
      <c r="O2725" t="s">
        <v>408</v>
      </c>
      <c r="P2725" t="s">
        <v>26</v>
      </c>
      <c r="Q2725">
        <v>2</v>
      </c>
      <c r="R2725" t="s">
        <v>56</v>
      </c>
      <c r="S2725" t="s">
        <v>79</v>
      </c>
      <c r="T2725" t="str">
        <f>VLOOKUP(S2725,'Mapa Oficinas'!$H$7:$I$16,2,FALSE)</f>
        <v>CB</v>
      </c>
      <c r="U2725" t="s">
        <v>29</v>
      </c>
      <c r="V2725" t="str">
        <f>VLOOKUP($R2725,'Mapa Oficinas'!$A$7:$C$46,2,FALSE)</f>
        <v>Zona Norte (GBA)</v>
      </c>
      <c r="W2725" t="str">
        <f>VLOOKUP($R2725,'Mapa Oficinas'!$A$7:$C$46,3,FALSE)</f>
        <v>Vicente López</v>
      </c>
    </row>
    <row r="2726" spans="1:23" x14ac:dyDescent="0.2">
      <c r="A2726" s="1">
        <v>45852</v>
      </c>
      <c r="B2726" s="20">
        <f t="shared" si="84"/>
        <v>2025</v>
      </c>
      <c r="C2726" s="20">
        <f t="shared" si="85"/>
        <v>7</v>
      </c>
      <c r="D2726">
        <v>19</v>
      </c>
      <c r="E2726" s="49">
        <v>1</v>
      </c>
      <c r="F2726" t="s">
        <v>3034</v>
      </c>
      <c r="G2726" t="s">
        <v>21</v>
      </c>
      <c r="H2726" t="s">
        <v>81</v>
      </c>
      <c r="I2726" s="13">
        <v>675000</v>
      </c>
      <c r="J2726" s="13">
        <v>690000</v>
      </c>
      <c r="K2726" s="13">
        <f>IF(J2726&lt;'Mapa Oficinas'!$I$21,0,IF(J2726&gt;'Mapa Oficinas'!$I$20,0,1))</f>
        <v>1</v>
      </c>
      <c r="L2726" t="s">
        <v>23</v>
      </c>
      <c r="M2726" t="s">
        <v>23</v>
      </c>
      <c r="N2726" t="s">
        <v>3035</v>
      </c>
      <c r="O2726" t="s">
        <v>675</v>
      </c>
      <c r="P2726" t="s">
        <v>45</v>
      </c>
      <c r="Q2726">
        <v>1</v>
      </c>
      <c r="R2726" t="s">
        <v>1024</v>
      </c>
      <c r="S2726" t="s">
        <v>47</v>
      </c>
      <c r="T2726" t="str">
        <f>VLOOKUP(S2726,'Mapa Oficinas'!$H$7:$I$16,2,FALSE)</f>
        <v>Otra Red Búsqueda</v>
      </c>
      <c r="U2726" t="s">
        <v>29</v>
      </c>
      <c r="V2726" t="str">
        <f>VLOOKUP($R2726,'Mapa Oficinas'!$A$7:$C$46,2,FALSE)</f>
        <v>CABA</v>
      </c>
      <c r="W2726" t="str">
        <f>VLOOKUP($R2726,'Mapa Oficinas'!$A$7:$C$46,3,FALSE)</f>
        <v>Puerto Madero</v>
      </c>
    </row>
    <row r="2727" spans="1:23" x14ac:dyDescent="0.2">
      <c r="A2727" s="1">
        <v>45832</v>
      </c>
      <c r="B2727" s="20">
        <f t="shared" si="84"/>
        <v>2025</v>
      </c>
      <c r="C2727" s="20">
        <f t="shared" si="85"/>
        <v>6</v>
      </c>
      <c r="D2727" t="s">
        <v>2623</v>
      </c>
      <c r="E2727" s="49">
        <v>1</v>
      </c>
      <c r="F2727" t="s">
        <v>2624</v>
      </c>
      <c r="G2727" t="s">
        <v>21</v>
      </c>
      <c r="H2727" t="s">
        <v>37</v>
      </c>
      <c r="I2727" s="13">
        <v>750000</v>
      </c>
      <c r="J2727" s="13">
        <v>700000</v>
      </c>
      <c r="K2727" s="13">
        <f>IF(J2727&lt;'Mapa Oficinas'!$I$21,0,IF(J2727&gt;'Mapa Oficinas'!$I$20,0,1))</f>
        <v>1</v>
      </c>
      <c r="L2727" t="s">
        <v>23</v>
      </c>
      <c r="M2727" t="s">
        <v>23</v>
      </c>
      <c r="N2727" t="s">
        <v>2625</v>
      </c>
      <c r="O2727" t="s">
        <v>860</v>
      </c>
      <c r="P2727" t="s">
        <v>34</v>
      </c>
      <c r="Q2727">
        <v>2</v>
      </c>
      <c r="R2727" t="s">
        <v>84</v>
      </c>
      <c r="S2727" t="s">
        <v>28</v>
      </c>
      <c r="T2727" t="str">
        <f>VLOOKUP(S2727,'Mapa Oficinas'!$H$7:$I$16,2,FALSE)</f>
        <v>CB</v>
      </c>
      <c r="U2727" t="s">
        <v>29</v>
      </c>
      <c r="V2727" t="str">
        <f>VLOOKUP($R2727,'Mapa Oficinas'!$A$7:$C$46,2,FALSE)</f>
        <v>Interior - Neuquén</v>
      </c>
      <c r="W2727" t="str">
        <f>VLOOKUP($R2727,'Mapa Oficinas'!$A$7:$C$46,3,FALSE)</f>
        <v>Villa La Angostura</v>
      </c>
    </row>
    <row r="2728" spans="1:23" x14ac:dyDescent="0.2">
      <c r="A2728" s="1">
        <v>45908</v>
      </c>
      <c r="B2728" s="20">
        <f t="shared" si="84"/>
        <v>2025</v>
      </c>
      <c r="C2728" s="20">
        <f t="shared" si="85"/>
        <v>9</v>
      </c>
      <c r="E2728" s="49">
        <v>1</v>
      </c>
      <c r="F2728" t="s">
        <v>4039</v>
      </c>
      <c r="G2728" t="s">
        <v>21</v>
      </c>
      <c r="H2728" t="s">
        <v>81</v>
      </c>
      <c r="I2728" s="13">
        <v>730000</v>
      </c>
      <c r="J2728" s="13">
        <v>730000</v>
      </c>
      <c r="K2728" s="13">
        <f>IF(J2728&lt;'Mapa Oficinas'!$I$21,0,IF(J2728&gt;'Mapa Oficinas'!$I$20,0,1))</f>
        <v>1</v>
      </c>
      <c r="L2728" t="s">
        <v>23</v>
      </c>
      <c r="M2728" t="s">
        <v>23</v>
      </c>
      <c r="N2728" t="s">
        <v>4040</v>
      </c>
      <c r="O2728" t="s">
        <v>1196</v>
      </c>
      <c r="P2728" t="s">
        <v>34</v>
      </c>
      <c r="Q2728">
        <v>1</v>
      </c>
      <c r="R2728" t="s">
        <v>823</v>
      </c>
      <c r="S2728" t="s">
        <v>122</v>
      </c>
      <c r="T2728" t="str">
        <f>VLOOKUP(S2728,'Mapa Oficinas'!$H$7:$I$16,2,FALSE)</f>
        <v>Otra Red Búsqueda</v>
      </c>
      <c r="U2728" t="s">
        <v>29</v>
      </c>
      <c r="V2728" t="str">
        <f>VLOOKUP($R2728,'Mapa Oficinas'!$A$7:$C$46,2,FALSE)</f>
        <v>Zona Norte (GBA)</v>
      </c>
      <c r="W2728" t="str">
        <f>VLOOKUP($R2728,'Mapa Oficinas'!$A$7:$C$46,3,FALSE)</f>
        <v>Pilar</v>
      </c>
    </row>
    <row r="2729" spans="1:23" x14ac:dyDescent="0.2">
      <c r="A2729" s="1">
        <v>45832</v>
      </c>
      <c r="B2729" s="20">
        <f t="shared" si="84"/>
        <v>2025</v>
      </c>
      <c r="C2729" s="20">
        <f t="shared" si="85"/>
        <v>6</v>
      </c>
      <c r="D2729" t="s">
        <v>2626</v>
      </c>
      <c r="E2729" s="49">
        <v>1</v>
      </c>
      <c r="F2729" t="s">
        <v>2627</v>
      </c>
      <c r="G2729" t="s">
        <v>21</v>
      </c>
      <c r="H2729" t="s">
        <v>81</v>
      </c>
      <c r="I2729" s="13">
        <v>790000</v>
      </c>
      <c r="J2729" s="13">
        <v>750000</v>
      </c>
      <c r="K2729" s="13">
        <f>IF(J2729&lt;'Mapa Oficinas'!$I$21,0,IF(J2729&gt;'Mapa Oficinas'!$I$20,0,1))</f>
        <v>1</v>
      </c>
      <c r="L2729" t="s">
        <v>23</v>
      </c>
      <c r="M2729" t="s">
        <v>23</v>
      </c>
      <c r="N2729" t="s">
        <v>2628</v>
      </c>
      <c r="O2729" t="s">
        <v>261</v>
      </c>
      <c r="P2729" t="s">
        <v>26</v>
      </c>
      <c r="Q2729">
        <v>2</v>
      </c>
      <c r="R2729" t="s">
        <v>67</v>
      </c>
      <c r="S2729" t="s">
        <v>79</v>
      </c>
      <c r="T2729" t="str">
        <f>VLOOKUP(S2729,'Mapa Oficinas'!$H$7:$I$16,2,FALSE)</f>
        <v>CB</v>
      </c>
      <c r="U2729" t="s">
        <v>29</v>
      </c>
      <c r="V2729" t="str">
        <f>VLOOKUP($R2729,'Mapa Oficinas'!$A$7:$C$46,2,FALSE)</f>
        <v>CABA</v>
      </c>
      <c r="W2729" t="str">
        <f>VLOOKUP($R2729,'Mapa Oficinas'!$A$7:$C$46,3,FALSE)</f>
        <v>Barrio Parque</v>
      </c>
    </row>
    <row r="2730" spans="1:23" x14ac:dyDescent="0.2">
      <c r="A2730" s="1">
        <v>45741</v>
      </c>
      <c r="B2730" s="20">
        <f t="shared" si="84"/>
        <v>2025</v>
      </c>
      <c r="C2730" s="20">
        <f t="shared" si="85"/>
        <v>3</v>
      </c>
      <c r="D2730" t="s">
        <v>1100</v>
      </c>
      <c r="E2730" s="49">
        <v>1</v>
      </c>
      <c r="F2730" t="s">
        <v>1101</v>
      </c>
      <c r="G2730" t="s">
        <v>21</v>
      </c>
      <c r="H2730" t="s">
        <v>37</v>
      </c>
      <c r="I2730" s="13">
        <v>3200</v>
      </c>
      <c r="J2730" s="13">
        <v>780000</v>
      </c>
      <c r="K2730" s="13">
        <f>IF(J2730&lt;'Mapa Oficinas'!$I$21,0,IF(J2730&gt;'Mapa Oficinas'!$I$20,0,1))</f>
        <v>1</v>
      </c>
      <c r="L2730" t="s">
        <v>23</v>
      </c>
      <c r="M2730" t="s">
        <v>23</v>
      </c>
      <c r="N2730" t="s">
        <v>1102</v>
      </c>
      <c r="O2730" t="s">
        <v>675</v>
      </c>
      <c r="P2730" t="s">
        <v>45</v>
      </c>
      <c r="Q2730">
        <v>2</v>
      </c>
      <c r="R2730" t="s">
        <v>56</v>
      </c>
      <c r="S2730" t="s">
        <v>28</v>
      </c>
      <c r="T2730" t="str">
        <f>VLOOKUP(S2730,'Mapa Oficinas'!$H$7:$I$16,2,FALSE)</f>
        <v>CB</v>
      </c>
      <c r="U2730" t="s">
        <v>29</v>
      </c>
      <c r="V2730" t="str">
        <f>VLOOKUP($R2730,'Mapa Oficinas'!$A$7:$C$46,2,FALSE)</f>
        <v>Zona Norte (GBA)</v>
      </c>
      <c r="W2730" t="str">
        <f>VLOOKUP($R2730,'Mapa Oficinas'!$A$7:$C$46,3,FALSE)</f>
        <v>Vicente López</v>
      </c>
    </row>
    <row r="2731" spans="1:23" x14ac:dyDescent="0.2">
      <c r="A2731" s="1">
        <v>45944</v>
      </c>
      <c r="B2731" s="20">
        <f t="shared" si="84"/>
        <v>2025</v>
      </c>
      <c r="C2731" s="20">
        <f t="shared" si="85"/>
        <v>10</v>
      </c>
      <c r="D2731" t="s">
        <v>4691</v>
      </c>
      <c r="E2731" s="49">
        <v>1</v>
      </c>
      <c r="F2731" t="s">
        <v>4692</v>
      </c>
      <c r="G2731" t="s">
        <v>21</v>
      </c>
      <c r="H2731" t="s">
        <v>37</v>
      </c>
      <c r="I2731" s="13">
        <v>900000</v>
      </c>
      <c r="J2731" s="13">
        <v>785000</v>
      </c>
      <c r="K2731" s="13">
        <f>IF(J2731&lt;'Mapa Oficinas'!$I$21,0,IF(J2731&gt;'Mapa Oficinas'!$I$20,0,1))</f>
        <v>1</v>
      </c>
      <c r="L2731" t="s">
        <v>23</v>
      </c>
      <c r="M2731" t="s">
        <v>23</v>
      </c>
      <c r="N2731" t="s">
        <v>4693</v>
      </c>
      <c r="O2731" t="s">
        <v>50</v>
      </c>
      <c r="P2731" t="s">
        <v>45</v>
      </c>
      <c r="Q2731">
        <v>2</v>
      </c>
      <c r="R2731" t="s">
        <v>67</v>
      </c>
      <c r="S2731" t="s">
        <v>28</v>
      </c>
      <c r="T2731" t="str">
        <f>VLOOKUP(S2731,'Mapa Oficinas'!$H$7:$I$16,2,FALSE)</f>
        <v>CB</v>
      </c>
      <c r="U2731" t="s">
        <v>29</v>
      </c>
      <c r="V2731" t="str">
        <f>VLOOKUP($R2731,'Mapa Oficinas'!$A$7:$C$46,2,FALSE)</f>
        <v>CABA</v>
      </c>
      <c r="W2731" t="str">
        <f>VLOOKUP($R2731,'Mapa Oficinas'!$A$7:$C$46,3,FALSE)</f>
        <v>Barrio Parque</v>
      </c>
    </row>
    <row r="2732" spans="1:23" x14ac:dyDescent="0.2">
      <c r="A2732" s="1">
        <v>45965</v>
      </c>
      <c r="B2732" s="20">
        <f t="shared" si="84"/>
        <v>2025</v>
      </c>
      <c r="C2732" s="20">
        <f t="shared" si="85"/>
        <v>11</v>
      </c>
      <c r="D2732" t="s">
        <v>5051</v>
      </c>
      <c r="E2732" s="49">
        <v>1</v>
      </c>
      <c r="F2732" t="s">
        <v>5052</v>
      </c>
      <c r="G2732" t="s">
        <v>21</v>
      </c>
      <c r="H2732" t="s">
        <v>37</v>
      </c>
      <c r="I2732" s="13">
        <v>870000</v>
      </c>
      <c r="J2732" s="13">
        <v>795000</v>
      </c>
      <c r="K2732" s="13">
        <f>IF(J2732&lt;'Mapa Oficinas'!$I$21,0,IF(J2732&gt;'Mapa Oficinas'!$I$20,0,1))</f>
        <v>1</v>
      </c>
      <c r="L2732" t="s">
        <v>23</v>
      </c>
      <c r="M2732" t="s">
        <v>23</v>
      </c>
      <c r="N2732" t="s">
        <v>5053</v>
      </c>
      <c r="O2732" t="s">
        <v>174</v>
      </c>
      <c r="P2732" t="s">
        <v>34</v>
      </c>
      <c r="Q2732">
        <v>2</v>
      </c>
      <c r="R2732" t="s">
        <v>46</v>
      </c>
      <c r="S2732" t="s">
        <v>200</v>
      </c>
      <c r="T2732" t="str">
        <f>VLOOKUP(S2732,'Mapa Oficinas'!$H$7:$I$16,2,FALSE)</f>
        <v>Otra Red Captación</v>
      </c>
      <c r="U2732" t="s">
        <v>29</v>
      </c>
      <c r="V2732" t="str">
        <f>VLOOKUP($R2732,'Mapa Oficinas'!$A$7:$C$46,2,FALSE)</f>
        <v>CABA</v>
      </c>
      <c r="W2732" t="str">
        <f>VLOOKUP($R2732,'Mapa Oficinas'!$A$7:$C$46,3,FALSE)</f>
        <v>Palermo</v>
      </c>
    </row>
    <row r="2733" spans="1:23" x14ac:dyDescent="0.2">
      <c r="A2733" s="1">
        <v>45814</v>
      </c>
      <c r="B2733" s="20">
        <f t="shared" si="84"/>
        <v>2025</v>
      </c>
      <c r="C2733" s="20">
        <f t="shared" si="85"/>
        <v>6</v>
      </c>
      <c r="D2733" t="s">
        <v>2381</v>
      </c>
      <c r="E2733" s="49">
        <v>1</v>
      </c>
      <c r="F2733" t="s">
        <v>2382</v>
      </c>
      <c r="G2733" t="s">
        <v>21</v>
      </c>
      <c r="H2733" t="s">
        <v>37</v>
      </c>
      <c r="I2733" s="13">
        <v>839000</v>
      </c>
      <c r="J2733" s="13">
        <v>815000</v>
      </c>
      <c r="K2733" s="13">
        <f>IF(J2733&lt;'Mapa Oficinas'!$I$21,0,IF(J2733&gt;'Mapa Oficinas'!$I$20,0,1))</f>
        <v>1</v>
      </c>
      <c r="L2733" t="s">
        <v>23</v>
      </c>
      <c r="M2733" t="s">
        <v>23</v>
      </c>
      <c r="N2733" t="s">
        <v>2383</v>
      </c>
      <c r="O2733" t="s">
        <v>713</v>
      </c>
      <c r="P2733" t="s">
        <v>45</v>
      </c>
      <c r="Q2733">
        <v>2</v>
      </c>
      <c r="R2733" t="s">
        <v>67</v>
      </c>
      <c r="S2733" t="s">
        <v>79</v>
      </c>
      <c r="T2733" t="str">
        <f>VLOOKUP(S2733,'Mapa Oficinas'!$H$7:$I$16,2,FALSE)</f>
        <v>CB</v>
      </c>
      <c r="U2733" t="s">
        <v>29</v>
      </c>
      <c r="V2733" t="str">
        <f>VLOOKUP($R2733,'Mapa Oficinas'!$A$7:$C$46,2,FALSE)</f>
        <v>CABA</v>
      </c>
      <c r="W2733" t="str">
        <f>VLOOKUP($R2733,'Mapa Oficinas'!$A$7:$C$46,3,FALSE)</f>
        <v>Barrio Parque</v>
      </c>
    </row>
    <row r="2734" spans="1:23" x14ac:dyDescent="0.2">
      <c r="A2734" s="1">
        <v>46098</v>
      </c>
      <c r="B2734" s="20">
        <f t="shared" si="84"/>
        <v>2026</v>
      </c>
      <c r="C2734" s="20">
        <f t="shared" si="85"/>
        <v>3</v>
      </c>
      <c r="D2734" t="s">
        <v>7222</v>
      </c>
      <c r="E2734" s="49">
        <v>1</v>
      </c>
      <c r="F2734" t="s">
        <v>7223</v>
      </c>
      <c r="G2734" t="s">
        <v>21</v>
      </c>
      <c r="H2734" t="s">
        <v>22</v>
      </c>
      <c r="I2734" s="13">
        <v>990000</v>
      </c>
      <c r="J2734" s="13">
        <v>830000</v>
      </c>
      <c r="K2734" s="13">
        <f>IF(J2734&lt;'Mapa Oficinas'!$I$21,0,IF(J2734&gt;'Mapa Oficinas'!$I$20,0,1))</f>
        <v>1</v>
      </c>
      <c r="L2734" t="s">
        <v>23</v>
      </c>
      <c r="M2734" t="s">
        <v>23</v>
      </c>
      <c r="N2734" t="s">
        <v>7224</v>
      </c>
      <c r="O2734" t="s">
        <v>5826</v>
      </c>
      <c r="P2734" t="s">
        <v>34</v>
      </c>
      <c r="Q2734">
        <v>1</v>
      </c>
      <c r="R2734" t="s">
        <v>110</v>
      </c>
      <c r="S2734" t="s">
        <v>47</v>
      </c>
      <c r="T2734" t="str">
        <f>VLOOKUP(S2734,'Mapa Oficinas'!$H$7:$I$16,2,FALSE)</f>
        <v>Otra Red Búsqueda</v>
      </c>
      <c r="U2734" t="s">
        <v>29</v>
      </c>
      <c r="V2734" t="str">
        <f>VLOOKUP($R2734,'Mapa Oficinas'!$A$7:$C$46,2,FALSE)</f>
        <v>Zona Norte (GBA)</v>
      </c>
      <c r="W2734" t="str">
        <f>VLOOKUP($R2734,'Mapa Oficinas'!$A$7:$C$46,3,FALSE)</f>
        <v>Nordelta</v>
      </c>
    </row>
    <row r="2735" spans="1:23" x14ac:dyDescent="0.2">
      <c r="A2735" s="1">
        <v>45659</v>
      </c>
      <c r="B2735" s="20">
        <f t="shared" si="84"/>
        <v>2025</v>
      </c>
      <c r="C2735" s="20">
        <f t="shared" si="85"/>
        <v>1</v>
      </c>
      <c r="D2735" t="s">
        <v>48</v>
      </c>
      <c r="E2735" s="49">
        <v>1</v>
      </c>
      <c r="F2735" t="s">
        <v>49</v>
      </c>
      <c r="G2735" t="s">
        <v>21</v>
      </c>
      <c r="H2735" t="s">
        <v>37</v>
      </c>
      <c r="I2735" s="13">
        <v>900000</v>
      </c>
      <c r="J2735" s="13">
        <v>900000</v>
      </c>
      <c r="K2735" s="13">
        <f>IF(J2735&lt;'Mapa Oficinas'!$I$21,0,IF(J2735&gt;'Mapa Oficinas'!$I$20,0,1))</f>
        <v>1</v>
      </c>
      <c r="L2735" t="s">
        <v>23</v>
      </c>
      <c r="M2735" t="s">
        <v>23</v>
      </c>
      <c r="N2735" t="s">
        <v>49</v>
      </c>
      <c r="O2735" t="s">
        <v>50</v>
      </c>
      <c r="P2735" t="s">
        <v>45</v>
      </c>
      <c r="Q2735">
        <v>1</v>
      </c>
      <c r="R2735" t="s">
        <v>46</v>
      </c>
      <c r="S2735" t="s">
        <v>47</v>
      </c>
      <c r="T2735" t="str">
        <f>VLOOKUP(S2735,'Mapa Oficinas'!$H$7:$I$16,2,FALSE)</f>
        <v>Otra Red Búsqueda</v>
      </c>
      <c r="U2735" t="s">
        <v>29</v>
      </c>
      <c r="V2735" t="str">
        <f>VLOOKUP($R2735,'Mapa Oficinas'!$A$7:$C$46,2,FALSE)</f>
        <v>CABA</v>
      </c>
      <c r="W2735" t="str">
        <f>VLOOKUP($R2735,'Mapa Oficinas'!$A$7:$C$46,3,FALSE)</f>
        <v>Palermo</v>
      </c>
    </row>
    <row r="2736" spans="1:23" x14ac:dyDescent="0.2">
      <c r="A2736" s="1">
        <v>45747</v>
      </c>
      <c r="B2736" s="20">
        <f t="shared" si="84"/>
        <v>2025</v>
      </c>
      <c r="C2736" s="20">
        <f t="shared" si="85"/>
        <v>3</v>
      </c>
      <c r="D2736">
        <v>10313</v>
      </c>
      <c r="E2736" s="49">
        <v>1</v>
      </c>
      <c r="F2736" t="s">
        <v>1223</v>
      </c>
      <c r="G2736" t="s">
        <v>21</v>
      </c>
      <c r="H2736" t="s">
        <v>362</v>
      </c>
      <c r="I2736" s="13">
        <v>0</v>
      </c>
      <c r="J2736" s="13">
        <v>900000</v>
      </c>
      <c r="K2736" s="13">
        <f>IF(J2736&lt;'Mapa Oficinas'!$I$21,0,IF(J2736&gt;'Mapa Oficinas'!$I$20,0,1))</f>
        <v>1</v>
      </c>
      <c r="L2736" t="s">
        <v>23</v>
      </c>
      <c r="M2736" t="s">
        <v>23</v>
      </c>
      <c r="O2736" t="s">
        <v>1224</v>
      </c>
      <c r="P2736" t="s">
        <v>34</v>
      </c>
      <c r="Q2736">
        <v>2</v>
      </c>
      <c r="R2736" t="s">
        <v>67</v>
      </c>
      <c r="S2736" t="s">
        <v>28</v>
      </c>
      <c r="T2736" t="str">
        <f>VLOOKUP(S2736,'Mapa Oficinas'!$H$7:$I$16,2,FALSE)</f>
        <v>CB</v>
      </c>
      <c r="U2736" t="s">
        <v>29</v>
      </c>
      <c r="V2736" t="str">
        <f>VLOOKUP($R2736,'Mapa Oficinas'!$A$7:$C$46,2,FALSE)</f>
        <v>CABA</v>
      </c>
      <c r="W2736" t="str">
        <f>VLOOKUP($R2736,'Mapa Oficinas'!$A$7:$C$46,3,FALSE)</f>
        <v>Barrio Parque</v>
      </c>
    </row>
    <row r="2737" spans="1:23" x14ac:dyDescent="0.2">
      <c r="A2737" s="1">
        <v>45813</v>
      </c>
      <c r="B2737" s="20">
        <f t="shared" si="84"/>
        <v>2025</v>
      </c>
      <c r="C2737" s="20">
        <f t="shared" si="85"/>
        <v>6</v>
      </c>
      <c r="D2737">
        <v>10313</v>
      </c>
      <c r="E2737" s="49">
        <v>1</v>
      </c>
      <c r="F2737" t="s">
        <v>1223</v>
      </c>
      <c r="G2737" t="s">
        <v>21</v>
      </c>
      <c r="H2737" t="s">
        <v>362</v>
      </c>
      <c r="I2737" s="13">
        <v>0</v>
      </c>
      <c r="J2737" s="13">
        <v>900000</v>
      </c>
      <c r="K2737" s="13">
        <f>IF(J2737&lt;'Mapa Oficinas'!$I$21,0,IF(J2737&gt;'Mapa Oficinas'!$I$20,0,1))</f>
        <v>1</v>
      </c>
      <c r="L2737" t="s">
        <v>23</v>
      </c>
      <c r="M2737" t="s">
        <v>23</v>
      </c>
      <c r="O2737" t="s">
        <v>1224</v>
      </c>
      <c r="P2737" t="s">
        <v>34</v>
      </c>
      <c r="Q2737">
        <v>2</v>
      </c>
      <c r="R2737" t="s">
        <v>67</v>
      </c>
      <c r="S2737" t="s">
        <v>28</v>
      </c>
      <c r="T2737" t="str">
        <f>VLOOKUP(S2737,'Mapa Oficinas'!$H$7:$I$16,2,FALSE)</f>
        <v>CB</v>
      </c>
      <c r="U2737" t="s">
        <v>29</v>
      </c>
      <c r="V2737" t="str">
        <f>VLOOKUP($R2737,'Mapa Oficinas'!$A$7:$C$46,2,FALSE)</f>
        <v>CABA</v>
      </c>
      <c r="W2737" t="str">
        <f>VLOOKUP($R2737,'Mapa Oficinas'!$A$7:$C$46,3,FALSE)</f>
        <v>Barrio Parque</v>
      </c>
    </row>
    <row r="2738" spans="1:23" x14ac:dyDescent="0.2">
      <c r="A2738" s="1">
        <v>45908</v>
      </c>
      <c r="B2738" s="20">
        <f t="shared" si="84"/>
        <v>2025</v>
      </c>
      <c r="C2738" s="20">
        <f t="shared" si="85"/>
        <v>9</v>
      </c>
      <c r="D2738" t="s">
        <v>4041</v>
      </c>
      <c r="E2738" s="49">
        <v>1</v>
      </c>
      <c r="F2738" t="s">
        <v>4042</v>
      </c>
      <c r="G2738" t="s">
        <v>21</v>
      </c>
      <c r="H2738" t="s">
        <v>81</v>
      </c>
      <c r="I2738" s="13">
        <v>1000000</v>
      </c>
      <c r="J2738" s="13">
        <v>950000</v>
      </c>
      <c r="K2738" s="13">
        <f>IF(J2738&lt;'Mapa Oficinas'!$I$21,0,IF(J2738&gt;'Mapa Oficinas'!$I$20,0,1))</f>
        <v>1</v>
      </c>
      <c r="L2738" t="s">
        <v>23</v>
      </c>
      <c r="M2738" t="s">
        <v>23</v>
      </c>
      <c r="N2738" t="s">
        <v>4043</v>
      </c>
      <c r="O2738" t="s">
        <v>141</v>
      </c>
      <c r="P2738" t="s">
        <v>26</v>
      </c>
      <c r="Q2738">
        <v>2</v>
      </c>
      <c r="R2738" t="s">
        <v>170</v>
      </c>
      <c r="S2738" t="s">
        <v>200</v>
      </c>
      <c r="T2738" t="str">
        <f>VLOOKUP(S2738,'Mapa Oficinas'!$H$7:$I$16,2,FALSE)</f>
        <v>Otra Red Captación</v>
      </c>
      <c r="U2738" t="s">
        <v>29</v>
      </c>
      <c r="V2738" t="str">
        <f>VLOOKUP($R2738,'Mapa Oficinas'!$A$7:$C$46,2,FALSE)</f>
        <v>CABA</v>
      </c>
      <c r="W2738" t="str">
        <f>VLOOKUP($R2738,'Mapa Oficinas'!$A$7:$C$46,3,FALSE)</f>
        <v>Belgrano</v>
      </c>
    </row>
    <row r="2739" spans="1:23" x14ac:dyDescent="0.2">
      <c r="A2739" s="1">
        <v>45889</v>
      </c>
      <c r="B2739" s="20">
        <f t="shared" si="84"/>
        <v>2025</v>
      </c>
      <c r="C2739" s="20">
        <f t="shared" si="85"/>
        <v>8</v>
      </c>
      <c r="D2739">
        <v>29</v>
      </c>
      <c r="E2739" s="49">
        <v>1</v>
      </c>
      <c r="F2739" t="s">
        <v>3689</v>
      </c>
      <c r="G2739" t="s">
        <v>21</v>
      </c>
      <c r="H2739" t="s">
        <v>37</v>
      </c>
      <c r="I2739" s="13">
        <v>1000000</v>
      </c>
      <c r="J2739" s="13">
        <v>1000000</v>
      </c>
      <c r="K2739" s="13">
        <f>IF(J2739&lt;'Mapa Oficinas'!$I$21,0,IF(J2739&gt;'Mapa Oficinas'!$I$20,0,1))</f>
        <v>1</v>
      </c>
      <c r="L2739" t="s">
        <v>23</v>
      </c>
      <c r="M2739" t="s">
        <v>23</v>
      </c>
      <c r="N2739" t="s">
        <v>3690</v>
      </c>
      <c r="O2739" t="s">
        <v>675</v>
      </c>
      <c r="P2739" t="s">
        <v>45</v>
      </c>
      <c r="Q2739">
        <v>1</v>
      </c>
      <c r="R2739" t="s">
        <v>1024</v>
      </c>
      <c r="S2739" t="s">
        <v>47</v>
      </c>
      <c r="T2739" t="str">
        <f>VLOOKUP(S2739,'Mapa Oficinas'!$H$7:$I$16,2,FALSE)</f>
        <v>Otra Red Búsqueda</v>
      </c>
      <c r="U2739" t="s">
        <v>29</v>
      </c>
      <c r="V2739" t="str">
        <f>VLOOKUP($R2739,'Mapa Oficinas'!$A$7:$C$46,2,FALSE)</f>
        <v>CABA</v>
      </c>
      <c r="W2739" t="str">
        <f>VLOOKUP($R2739,'Mapa Oficinas'!$A$7:$C$46,3,FALSE)</f>
        <v>Puerto Madero</v>
      </c>
    </row>
    <row r="2740" spans="1:23" x14ac:dyDescent="0.2">
      <c r="A2740" s="1">
        <v>45881</v>
      </c>
      <c r="B2740" s="20">
        <f t="shared" si="84"/>
        <v>2025</v>
      </c>
      <c r="C2740" s="20">
        <f t="shared" si="85"/>
        <v>8</v>
      </c>
      <c r="D2740" t="s">
        <v>3556</v>
      </c>
      <c r="E2740" s="49">
        <v>1</v>
      </c>
      <c r="F2740" t="s">
        <v>3557</v>
      </c>
      <c r="G2740" t="s">
        <v>21</v>
      </c>
      <c r="H2740" t="s">
        <v>81</v>
      </c>
      <c r="I2740" s="13">
        <v>1230000</v>
      </c>
      <c r="J2740" s="13">
        <v>1130000</v>
      </c>
      <c r="K2740" s="13">
        <f>IF(J2740&lt;'Mapa Oficinas'!$I$21,0,IF(J2740&gt;'Mapa Oficinas'!$I$20,0,1))</f>
        <v>0</v>
      </c>
      <c r="L2740" t="s">
        <v>23</v>
      </c>
      <c r="M2740" t="s">
        <v>23</v>
      </c>
      <c r="N2740" t="s">
        <v>3558</v>
      </c>
      <c r="O2740" t="s">
        <v>3559</v>
      </c>
      <c r="P2740" t="s">
        <v>3560</v>
      </c>
      <c r="Q2740">
        <v>2</v>
      </c>
      <c r="R2740" t="s">
        <v>167</v>
      </c>
      <c r="S2740" t="s">
        <v>79</v>
      </c>
      <c r="T2740" t="str">
        <f>VLOOKUP(S2740,'Mapa Oficinas'!$H$7:$I$16,2,FALSE)</f>
        <v>CB</v>
      </c>
      <c r="U2740" t="s">
        <v>29</v>
      </c>
      <c r="V2740" t="str">
        <f>VLOOKUP($R2740,'Mapa Oficinas'!$A$7:$C$46,2,FALSE)</f>
        <v>Interior - Santa Fe</v>
      </c>
      <c r="W2740" t="str">
        <f>VLOOKUP($R2740,'Mapa Oficinas'!$A$7:$C$46,3,FALSE)</f>
        <v>Capital Santa Fe</v>
      </c>
    </row>
    <row r="2741" spans="1:23" x14ac:dyDescent="0.2">
      <c r="A2741" s="1">
        <v>45835</v>
      </c>
      <c r="B2741" s="20">
        <f t="shared" si="84"/>
        <v>2025</v>
      </c>
      <c r="C2741" s="20">
        <f t="shared" si="85"/>
        <v>6</v>
      </c>
      <c r="D2741" t="s">
        <v>2733</v>
      </c>
      <c r="E2741" s="49">
        <v>1</v>
      </c>
      <c r="F2741" t="s">
        <v>2734</v>
      </c>
      <c r="G2741" t="s">
        <v>21</v>
      </c>
      <c r="H2741" t="s">
        <v>37</v>
      </c>
      <c r="I2741" s="13">
        <v>1145000</v>
      </c>
      <c r="J2741" s="13">
        <v>1175000</v>
      </c>
      <c r="K2741" s="13">
        <f>IF(J2741&lt;'Mapa Oficinas'!$I$21,0,IF(J2741&gt;'Mapa Oficinas'!$I$20,0,1))</f>
        <v>0</v>
      </c>
      <c r="L2741" t="s">
        <v>23</v>
      </c>
      <c r="M2741" t="s">
        <v>23</v>
      </c>
      <c r="N2741" t="s">
        <v>2735</v>
      </c>
      <c r="O2741" t="s">
        <v>2736</v>
      </c>
      <c r="P2741" t="s">
        <v>34</v>
      </c>
      <c r="Q2741">
        <v>2</v>
      </c>
      <c r="R2741" t="s">
        <v>46</v>
      </c>
      <c r="S2741" t="s">
        <v>79</v>
      </c>
      <c r="T2741" t="str">
        <f>VLOOKUP(S2741,'Mapa Oficinas'!$H$7:$I$16,2,FALSE)</f>
        <v>CB</v>
      </c>
      <c r="U2741" t="s">
        <v>29</v>
      </c>
      <c r="V2741" t="str">
        <f>VLOOKUP($R2741,'Mapa Oficinas'!$A$7:$C$46,2,FALSE)</f>
        <v>CABA</v>
      </c>
      <c r="W2741" t="str">
        <f>VLOOKUP($R2741,'Mapa Oficinas'!$A$7:$C$46,3,FALSE)</f>
        <v>Palermo</v>
      </c>
    </row>
    <row r="2742" spans="1:23" x14ac:dyDescent="0.2">
      <c r="A2742" s="1">
        <v>46020</v>
      </c>
      <c r="B2742" s="20">
        <f t="shared" si="84"/>
        <v>2025</v>
      </c>
      <c r="C2742" s="20">
        <f t="shared" si="85"/>
        <v>12</v>
      </c>
      <c r="D2742" t="s">
        <v>6073</v>
      </c>
      <c r="E2742" s="49">
        <v>1</v>
      </c>
      <c r="F2742" t="s">
        <v>6074</v>
      </c>
      <c r="G2742" t="s">
        <v>21</v>
      </c>
      <c r="H2742" t="s">
        <v>37</v>
      </c>
      <c r="I2742" s="13">
        <v>1350000</v>
      </c>
      <c r="J2742" s="13">
        <v>1210000</v>
      </c>
      <c r="K2742" s="13">
        <f>IF(J2742&lt;'Mapa Oficinas'!$I$21,0,IF(J2742&gt;'Mapa Oficinas'!$I$20,0,1))</f>
        <v>0</v>
      </c>
      <c r="L2742" t="s">
        <v>23</v>
      </c>
      <c r="M2742" t="s">
        <v>23</v>
      </c>
      <c r="N2742" t="s">
        <v>6075</v>
      </c>
      <c r="O2742" t="s">
        <v>390</v>
      </c>
      <c r="P2742" t="s">
        <v>45</v>
      </c>
      <c r="Q2742">
        <v>2</v>
      </c>
      <c r="R2742" t="s">
        <v>46</v>
      </c>
      <c r="S2742" t="s">
        <v>28</v>
      </c>
      <c r="T2742" t="str">
        <f>VLOOKUP(S2742,'Mapa Oficinas'!$H$7:$I$16,2,FALSE)</f>
        <v>CB</v>
      </c>
      <c r="U2742" t="s">
        <v>29</v>
      </c>
      <c r="V2742" t="str">
        <f>VLOOKUP($R2742,'Mapa Oficinas'!$A$7:$C$46,2,FALSE)</f>
        <v>CABA</v>
      </c>
      <c r="W2742" t="str">
        <f>VLOOKUP($R2742,'Mapa Oficinas'!$A$7:$C$46,3,FALSE)</f>
        <v>Palermo</v>
      </c>
    </row>
    <row r="2743" spans="1:23" x14ac:dyDescent="0.2">
      <c r="A2743" s="1">
        <v>45925</v>
      </c>
      <c r="B2743" s="20">
        <f t="shared" si="84"/>
        <v>2025</v>
      </c>
      <c r="C2743" s="20">
        <f t="shared" si="85"/>
        <v>9</v>
      </c>
      <c r="E2743" s="49">
        <v>1</v>
      </c>
      <c r="F2743" t="s">
        <v>4368</v>
      </c>
      <c r="G2743" t="s">
        <v>21</v>
      </c>
      <c r="H2743" t="s">
        <v>97</v>
      </c>
      <c r="I2743" s="13">
        <v>1250000</v>
      </c>
      <c r="J2743" s="13">
        <v>1250000</v>
      </c>
      <c r="K2743" s="13">
        <f>IF(J2743&lt;'Mapa Oficinas'!$I$21,0,IF(J2743&gt;'Mapa Oficinas'!$I$20,0,1))</f>
        <v>0</v>
      </c>
      <c r="L2743" t="s">
        <v>23</v>
      </c>
      <c r="M2743" t="s">
        <v>23</v>
      </c>
      <c r="N2743" t="s">
        <v>4369</v>
      </c>
      <c r="O2743" t="s">
        <v>83</v>
      </c>
      <c r="P2743" t="s">
        <v>26</v>
      </c>
      <c r="Q2743">
        <v>2</v>
      </c>
      <c r="R2743" t="s">
        <v>84</v>
      </c>
      <c r="S2743" t="s">
        <v>28</v>
      </c>
      <c r="T2743" t="str">
        <f>VLOOKUP(S2743,'Mapa Oficinas'!$H$7:$I$16,2,FALSE)</f>
        <v>CB</v>
      </c>
      <c r="U2743" t="s">
        <v>29</v>
      </c>
      <c r="V2743" t="str">
        <f>VLOOKUP($R2743,'Mapa Oficinas'!$A$7:$C$46,2,FALSE)</f>
        <v>Interior - Neuquén</v>
      </c>
      <c r="W2743" t="str">
        <f>VLOOKUP($R2743,'Mapa Oficinas'!$A$7:$C$46,3,FALSE)</f>
        <v>Villa La Angostura</v>
      </c>
    </row>
    <row r="2744" spans="1:23" x14ac:dyDescent="0.2">
      <c r="A2744" s="1">
        <v>45925</v>
      </c>
      <c r="B2744" s="20">
        <f t="shared" si="84"/>
        <v>2025</v>
      </c>
      <c r="C2744" s="20">
        <f t="shared" si="85"/>
        <v>9</v>
      </c>
      <c r="E2744" s="49">
        <v>1</v>
      </c>
      <c r="F2744" t="s">
        <v>4368</v>
      </c>
      <c r="G2744" t="s">
        <v>21</v>
      </c>
      <c r="H2744" t="s">
        <v>97</v>
      </c>
      <c r="I2744" s="13">
        <v>1250000</v>
      </c>
      <c r="J2744" s="13">
        <v>1250000</v>
      </c>
      <c r="K2744" s="13">
        <f>IF(J2744&lt;'Mapa Oficinas'!$I$21,0,IF(J2744&gt;'Mapa Oficinas'!$I$20,0,1))</f>
        <v>0</v>
      </c>
      <c r="L2744" t="s">
        <v>23</v>
      </c>
      <c r="M2744" t="s">
        <v>23</v>
      </c>
      <c r="N2744" t="s">
        <v>4370</v>
      </c>
      <c r="O2744" t="s">
        <v>83</v>
      </c>
      <c r="P2744" t="s">
        <v>26</v>
      </c>
      <c r="Q2744">
        <v>2</v>
      </c>
      <c r="R2744" t="s">
        <v>84</v>
      </c>
      <c r="S2744" t="s">
        <v>28</v>
      </c>
      <c r="T2744" t="str">
        <f>VLOOKUP(S2744,'Mapa Oficinas'!$H$7:$I$16,2,FALSE)</f>
        <v>CB</v>
      </c>
      <c r="U2744" t="s">
        <v>29</v>
      </c>
      <c r="V2744" t="str">
        <f>VLOOKUP($R2744,'Mapa Oficinas'!$A$7:$C$46,2,FALSE)</f>
        <v>Interior - Neuquén</v>
      </c>
      <c r="W2744" t="str">
        <f>VLOOKUP($R2744,'Mapa Oficinas'!$A$7:$C$46,3,FALSE)</f>
        <v>Villa La Angostura</v>
      </c>
    </row>
    <row r="2745" spans="1:23" x14ac:dyDescent="0.2">
      <c r="A2745" s="1">
        <v>46090</v>
      </c>
      <c r="B2745" s="20">
        <f t="shared" si="84"/>
        <v>2026</v>
      </c>
      <c r="C2745" s="20">
        <f t="shared" si="85"/>
        <v>3</v>
      </c>
      <c r="D2745" t="s">
        <v>7057</v>
      </c>
      <c r="E2745" s="49">
        <v>1</v>
      </c>
      <c r="F2745" t="s">
        <v>7058</v>
      </c>
      <c r="G2745" t="s">
        <v>21</v>
      </c>
      <c r="H2745" t="s">
        <v>37</v>
      </c>
      <c r="I2745" s="13">
        <v>1479246</v>
      </c>
      <c r="J2745" s="13">
        <v>1360906</v>
      </c>
      <c r="K2745" s="13">
        <f>IF(J2745&lt;'Mapa Oficinas'!$I$21,0,IF(J2745&gt;'Mapa Oficinas'!$I$20,0,1))</f>
        <v>0</v>
      </c>
      <c r="L2745" t="s">
        <v>23</v>
      </c>
      <c r="M2745" t="s">
        <v>23</v>
      </c>
      <c r="N2745" t="s">
        <v>7059</v>
      </c>
      <c r="O2745" t="s">
        <v>50</v>
      </c>
      <c r="P2745" t="s">
        <v>26</v>
      </c>
      <c r="Q2745">
        <v>2</v>
      </c>
      <c r="R2745" t="s">
        <v>67</v>
      </c>
      <c r="S2745" t="s">
        <v>28</v>
      </c>
      <c r="T2745" t="str">
        <f>VLOOKUP(S2745,'Mapa Oficinas'!$H$7:$I$16,2,FALSE)</f>
        <v>CB</v>
      </c>
      <c r="U2745" t="s">
        <v>29</v>
      </c>
      <c r="V2745" t="str">
        <f>VLOOKUP($R2745,'Mapa Oficinas'!$A$7:$C$46,2,FALSE)</f>
        <v>CABA</v>
      </c>
      <c r="W2745" t="str">
        <f>VLOOKUP($R2745,'Mapa Oficinas'!$A$7:$C$46,3,FALSE)</f>
        <v>Barrio Parque</v>
      </c>
    </row>
    <row r="2746" spans="1:23" x14ac:dyDescent="0.2">
      <c r="A2746" s="1">
        <v>45797</v>
      </c>
      <c r="B2746" s="20">
        <f t="shared" si="84"/>
        <v>2025</v>
      </c>
      <c r="C2746" s="20">
        <f t="shared" si="85"/>
        <v>5</v>
      </c>
      <c r="E2746" s="49">
        <v>3</v>
      </c>
      <c r="F2746" t="s">
        <v>2051</v>
      </c>
      <c r="G2746" t="s">
        <v>21</v>
      </c>
      <c r="H2746" t="s">
        <v>100</v>
      </c>
      <c r="I2746" s="13">
        <v>3200000</v>
      </c>
      <c r="J2746" s="13">
        <v>2793333</v>
      </c>
      <c r="K2746" s="13">
        <f>IF(J2746&lt;'Mapa Oficinas'!$I$21,0,IF(J2746&gt;'Mapa Oficinas'!$I$20,0,1))</f>
        <v>0</v>
      </c>
      <c r="L2746" t="s">
        <v>23</v>
      </c>
      <c r="M2746" t="s">
        <v>23</v>
      </c>
      <c r="N2746" t="s">
        <v>2052</v>
      </c>
      <c r="O2746" t="s">
        <v>650</v>
      </c>
      <c r="P2746" t="s">
        <v>34</v>
      </c>
      <c r="Q2746">
        <v>2</v>
      </c>
      <c r="R2746" t="s">
        <v>84</v>
      </c>
      <c r="S2746" t="s">
        <v>241</v>
      </c>
      <c r="T2746" t="str">
        <f>VLOOKUP(S2746,'Mapa Oficinas'!$H$7:$I$16,2,FALSE)</f>
        <v>CB</v>
      </c>
      <c r="U2746" t="s">
        <v>29</v>
      </c>
      <c r="V2746" t="str">
        <f>VLOOKUP($R2746,'Mapa Oficinas'!$A$7:$C$46,2,FALSE)</f>
        <v>Interior - Neuquén</v>
      </c>
      <c r="W2746" t="str">
        <f>VLOOKUP($R2746,'Mapa Oficinas'!$A$7:$C$46,3,FALSE)</f>
        <v>Villa La Angostura</v>
      </c>
    </row>
  </sheetData>
  <autoFilter ref="A1:W2746" xr:uid="{00000000-0001-0000-0100-000000000000}">
    <sortState xmlns:xlrd2="http://schemas.microsoft.com/office/spreadsheetml/2017/richdata2" ref="A2:W2746">
      <sortCondition ref="J1:J2746"/>
    </sortState>
  </autoFilter>
  <sortState xmlns:xlrd2="http://schemas.microsoft.com/office/spreadsheetml/2017/richdata2" ref="A630:W1357">
    <sortCondition ref="J2:J135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zoomScaleNormal="100" workbookViewId="0">
      <selection activeCell="I21" sqref="I21"/>
    </sheetView>
  </sheetViews>
  <sheetFormatPr baseColWidth="10" defaultColWidth="8.6640625" defaultRowHeight="15" x14ac:dyDescent="0.2"/>
  <cols>
    <col min="1" max="1" width="24" style="2" customWidth="1"/>
    <col min="2" max="2" width="22" style="2" customWidth="1"/>
    <col min="3" max="3" width="24" style="2" customWidth="1"/>
    <col min="4" max="4" width="22" style="2" customWidth="1"/>
    <col min="5" max="5" width="8.6640625" style="2" customWidth="1"/>
    <col min="6" max="7" width="8.6640625" style="2"/>
    <col min="8" max="8" width="71.6640625" style="2" customWidth="1"/>
    <col min="9" max="9" width="9.1640625" style="2" bestFit="1" customWidth="1"/>
    <col min="10" max="16384" width="8.6640625" style="2"/>
  </cols>
  <sheetData>
    <row r="1" spans="1:9" ht="30" customHeight="1" x14ac:dyDescent="0.2">
      <c r="A1" s="54" t="s">
        <v>7591</v>
      </c>
      <c r="B1" s="55"/>
      <c r="C1" s="55"/>
      <c r="D1" s="55"/>
      <c r="E1" s="55"/>
    </row>
    <row r="2" spans="1:9" x14ac:dyDescent="0.2">
      <c r="A2" s="55"/>
      <c r="B2" s="55"/>
      <c r="C2" s="55"/>
      <c r="D2" s="55"/>
      <c r="E2" s="55"/>
    </row>
    <row r="4" spans="1:9" x14ac:dyDescent="0.2">
      <c r="A4" s="3" t="s">
        <v>7592</v>
      </c>
    </row>
    <row r="6" spans="1:9" ht="27.75" customHeight="1" x14ac:dyDescent="0.2">
      <c r="A6" s="4" t="s">
        <v>14</v>
      </c>
      <c r="B6" s="4" t="s">
        <v>17</v>
      </c>
      <c r="C6" s="4" t="s">
        <v>18</v>
      </c>
      <c r="D6" s="4" t="s">
        <v>7593</v>
      </c>
    </row>
    <row r="7" spans="1:9" x14ac:dyDescent="0.2">
      <c r="A7" s="5" t="s">
        <v>67</v>
      </c>
      <c r="B7" s="5" t="s">
        <v>7594</v>
      </c>
      <c r="C7" s="5" t="s">
        <v>7595</v>
      </c>
      <c r="D7" s="6"/>
      <c r="H7" t="s">
        <v>122</v>
      </c>
      <c r="I7" s="2" t="s">
        <v>8565</v>
      </c>
    </row>
    <row r="8" spans="1:9" x14ac:dyDescent="0.2">
      <c r="A8" s="7" t="s">
        <v>170</v>
      </c>
      <c r="B8" s="7" t="s">
        <v>7594</v>
      </c>
      <c r="C8" s="7" t="s">
        <v>7596</v>
      </c>
      <c r="D8" s="8"/>
      <c r="H8" t="s">
        <v>152</v>
      </c>
      <c r="I8" s="2" t="s">
        <v>8566</v>
      </c>
    </row>
    <row r="9" spans="1:9" x14ac:dyDescent="0.2">
      <c r="A9" s="5" t="s">
        <v>523</v>
      </c>
      <c r="B9" s="5" t="s">
        <v>7594</v>
      </c>
      <c r="C9" s="5" t="s">
        <v>7596</v>
      </c>
      <c r="D9" s="6"/>
      <c r="H9" t="s">
        <v>79</v>
      </c>
      <c r="I9" s="2" t="s">
        <v>8567</v>
      </c>
    </row>
    <row r="10" spans="1:9" x14ac:dyDescent="0.2">
      <c r="A10" s="7" t="s">
        <v>372</v>
      </c>
      <c r="B10" s="7" t="s">
        <v>7594</v>
      </c>
      <c r="C10" s="7" t="s">
        <v>7597</v>
      </c>
      <c r="D10" s="8"/>
      <c r="H10" t="s">
        <v>232</v>
      </c>
      <c r="I10" s="2" t="s">
        <v>8567</v>
      </c>
    </row>
    <row r="11" spans="1:9" x14ac:dyDescent="0.2">
      <c r="A11" s="5" t="s">
        <v>5631</v>
      </c>
      <c r="B11" s="5" t="s">
        <v>7594</v>
      </c>
      <c r="C11" s="5" t="s">
        <v>7597</v>
      </c>
      <c r="D11" s="6"/>
      <c r="H11" t="s">
        <v>47</v>
      </c>
      <c r="I11" s="2" t="s">
        <v>8565</v>
      </c>
    </row>
    <row r="12" spans="1:9" x14ac:dyDescent="0.2">
      <c r="A12" s="7" t="s">
        <v>1294</v>
      </c>
      <c r="B12" s="7" t="s">
        <v>7594</v>
      </c>
      <c r="C12" s="7" t="s">
        <v>7598</v>
      </c>
      <c r="D12" s="8"/>
      <c r="H12" t="s">
        <v>200</v>
      </c>
      <c r="I12" s="2" t="s">
        <v>8566</v>
      </c>
    </row>
    <row r="13" spans="1:9" x14ac:dyDescent="0.2">
      <c r="A13" s="5" t="s">
        <v>40</v>
      </c>
      <c r="B13" s="5" t="s">
        <v>7594</v>
      </c>
      <c r="C13" s="5" t="s">
        <v>7598</v>
      </c>
      <c r="D13" s="6"/>
      <c r="H13" t="s">
        <v>241</v>
      </c>
      <c r="I13" s="2" t="s">
        <v>8567</v>
      </c>
    </row>
    <row r="14" spans="1:9" x14ac:dyDescent="0.2">
      <c r="A14" s="7" t="s">
        <v>1605</v>
      </c>
      <c r="B14" s="7" t="s">
        <v>7594</v>
      </c>
      <c r="C14" s="7" t="s">
        <v>7598</v>
      </c>
      <c r="D14" s="8"/>
      <c r="H14" t="s">
        <v>404</v>
      </c>
      <c r="I14" s="2" t="s">
        <v>8567</v>
      </c>
    </row>
    <row r="15" spans="1:9" x14ac:dyDescent="0.2">
      <c r="A15" s="5" t="s">
        <v>5456</v>
      </c>
      <c r="B15" s="5" t="s">
        <v>7594</v>
      </c>
      <c r="C15" s="5" t="s">
        <v>7598</v>
      </c>
      <c r="D15" s="6"/>
      <c r="H15" t="s">
        <v>1265</v>
      </c>
      <c r="I15" s="2" t="s">
        <v>8567</v>
      </c>
    </row>
    <row r="16" spans="1:9" x14ac:dyDescent="0.2">
      <c r="A16" s="7" t="s">
        <v>321</v>
      </c>
      <c r="B16" s="7" t="s">
        <v>7594</v>
      </c>
      <c r="C16" s="7" t="s">
        <v>7599</v>
      </c>
      <c r="D16" s="8"/>
      <c r="H16" t="s">
        <v>28</v>
      </c>
      <c r="I16" s="2" t="s">
        <v>8567</v>
      </c>
    </row>
    <row r="17" spans="1:10" x14ac:dyDescent="0.2">
      <c r="A17" s="5" t="s">
        <v>5714</v>
      </c>
      <c r="B17" s="5" t="s">
        <v>7594</v>
      </c>
      <c r="C17" s="5" t="s">
        <v>7599</v>
      </c>
      <c r="D17" s="6"/>
    </row>
    <row r="18" spans="1:10" x14ac:dyDescent="0.2">
      <c r="A18" s="7" t="s">
        <v>142</v>
      </c>
      <c r="B18" s="7" t="s">
        <v>7594</v>
      </c>
      <c r="C18" s="7" t="s">
        <v>7599</v>
      </c>
      <c r="D18" s="8"/>
    </row>
    <row r="19" spans="1:10" x14ac:dyDescent="0.2">
      <c r="A19" s="5" t="s">
        <v>46</v>
      </c>
      <c r="B19" s="5" t="s">
        <v>7594</v>
      </c>
      <c r="C19" s="5" t="s">
        <v>7599</v>
      </c>
      <c r="D19" s="6"/>
      <c r="J19" s="34">
        <v>0.3</v>
      </c>
    </row>
    <row r="20" spans="1:10" x14ac:dyDescent="0.2">
      <c r="A20" s="7" t="s">
        <v>1024</v>
      </c>
      <c r="B20" s="7" t="s">
        <v>7594</v>
      </c>
      <c r="C20" s="7" t="s">
        <v>7600</v>
      </c>
      <c r="D20" s="8"/>
      <c r="H20" s="2" t="s">
        <v>8593</v>
      </c>
      <c r="I20" s="33">
        <v>1000000</v>
      </c>
      <c r="J20" s="33">
        <f>I20*J19</f>
        <v>300000</v>
      </c>
    </row>
    <row r="21" spans="1:10" x14ac:dyDescent="0.2">
      <c r="A21" s="5" t="s">
        <v>135</v>
      </c>
      <c r="B21" s="5" t="s">
        <v>7594</v>
      </c>
      <c r="C21" s="5" t="s">
        <v>7601</v>
      </c>
      <c r="D21" s="6"/>
      <c r="H21" s="2" t="s">
        <v>8594</v>
      </c>
      <c r="I21" s="33">
        <v>69999</v>
      </c>
      <c r="J21" s="33">
        <f>I21*J19</f>
        <v>20999.7</v>
      </c>
    </row>
    <row r="22" spans="1:10" x14ac:dyDescent="0.2">
      <c r="A22" s="7" t="s">
        <v>670</v>
      </c>
      <c r="B22" s="7" t="s">
        <v>7594</v>
      </c>
      <c r="C22" s="7" t="s">
        <v>7601</v>
      </c>
      <c r="D22" s="8"/>
    </row>
    <row r="23" spans="1:10" x14ac:dyDescent="0.2">
      <c r="A23" s="5" t="s">
        <v>5367</v>
      </c>
      <c r="B23" s="5" t="s">
        <v>7594</v>
      </c>
      <c r="C23" s="5" t="s">
        <v>7602</v>
      </c>
      <c r="D23" s="6"/>
    </row>
    <row r="24" spans="1:10" x14ac:dyDescent="0.2">
      <c r="A24" s="7" t="s">
        <v>62</v>
      </c>
      <c r="B24" s="7" t="s">
        <v>7594</v>
      </c>
      <c r="C24" s="7" t="s">
        <v>7603</v>
      </c>
      <c r="D24" s="8"/>
    </row>
    <row r="25" spans="1:10" x14ac:dyDescent="0.2">
      <c r="A25" s="5" t="s">
        <v>482</v>
      </c>
      <c r="B25" s="5" t="s">
        <v>7604</v>
      </c>
      <c r="C25" s="5" t="s">
        <v>7605</v>
      </c>
      <c r="D25" s="6"/>
    </row>
    <row r="26" spans="1:10" x14ac:dyDescent="0.2">
      <c r="A26" s="7" t="s">
        <v>151</v>
      </c>
      <c r="B26" s="7" t="s">
        <v>7606</v>
      </c>
      <c r="C26" s="7" t="s">
        <v>7607</v>
      </c>
      <c r="D26" s="8"/>
    </row>
    <row r="27" spans="1:10" x14ac:dyDescent="0.2">
      <c r="A27" s="5" t="s">
        <v>7608</v>
      </c>
      <c r="B27" s="5" t="s">
        <v>7606</v>
      </c>
      <c r="C27" s="5" t="s">
        <v>7609</v>
      </c>
      <c r="D27" s="6"/>
    </row>
    <row r="28" spans="1:10" x14ac:dyDescent="0.2">
      <c r="A28" s="7" t="s">
        <v>2003</v>
      </c>
      <c r="B28" s="7" t="s">
        <v>7606</v>
      </c>
      <c r="C28" s="7" t="s">
        <v>7610</v>
      </c>
      <c r="D28" s="8"/>
    </row>
    <row r="29" spans="1:10" x14ac:dyDescent="0.2">
      <c r="A29" s="5" t="s">
        <v>183</v>
      </c>
      <c r="B29" s="5" t="s">
        <v>7611</v>
      </c>
      <c r="C29" s="5" t="s">
        <v>7612</v>
      </c>
      <c r="D29" s="6"/>
    </row>
    <row r="30" spans="1:10" x14ac:dyDescent="0.2">
      <c r="A30" s="7" t="s">
        <v>130</v>
      </c>
      <c r="B30" s="7" t="s">
        <v>7611</v>
      </c>
      <c r="C30" s="7" t="s">
        <v>7613</v>
      </c>
      <c r="D30" s="8"/>
    </row>
    <row r="31" spans="1:10" x14ac:dyDescent="0.2">
      <c r="A31" s="5" t="s">
        <v>84</v>
      </c>
      <c r="B31" s="5" t="s">
        <v>7611</v>
      </c>
      <c r="C31" s="5" t="s">
        <v>7614</v>
      </c>
      <c r="D31" s="6"/>
    </row>
    <row r="32" spans="1:10" x14ac:dyDescent="0.2">
      <c r="A32" s="7" t="s">
        <v>121</v>
      </c>
      <c r="B32" s="7" t="s">
        <v>7615</v>
      </c>
      <c r="C32" s="7" t="s">
        <v>7616</v>
      </c>
      <c r="D32" s="8"/>
    </row>
    <row r="33" spans="1:4" x14ac:dyDescent="0.2">
      <c r="A33" s="5" t="s">
        <v>73</v>
      </c>
      <c r="B33" s="5" t="s">
        <v>7617</v>
      </c>
      <c r="C33" s="5" t="s">
        <v>7618</v>
      </c>
      <c r="D33" s="6"/>
    </row>
    <row r="34" spans="1:4" x14ac:dyDescent="0.2">
      <c r="A34" s="7" t="s">
        <v>5831</v>
      </c>
      <c r="B34" s="7" t="s">
        <v>7619</v>
      </c>
      <c r="C34" s="7" t="s">
        <v>7620</v>
      </c>
      <c r="D34" s="8"/>
    </row>
    <row r="35" spans="1:4" x14ac:dyDescent="0.2">
      <c r="A35" s="5" t="s">
        <v>167</v>
      </c>
      <c r="B35" s="5" t="s">
        <v>7621</v>
      </c>
      <c r="C35" s="5" t="s">
        <v>7622</v>
      </c>
      <c r="D35" s="6"/>
    </row>
    <row r="36" spans="1:4" x14ac:dyDescent="0.2">
      <c r="A36" s="7" t="s">
        <v>7623</v>
      </c>
      <c r="B36" s="7" t="s">
        <v>7624</v>
      </c>
      <c r="C36" s="7" t="s">
        <v>7625</v>
      </c>
      <c r="D36" s="8"/>
    </row>
    <row r="37" spans="1:4" x14ac:dyDescent="0.2">
      <c r="A37" s="5" t="s">
        <v>495</v>
      </c>
      <c r="B37" s="5" t="s">
        <v>7626</v>
      </c>
      <c r="C37" s="5" t="s">
        <v>7627</v>
      </c>
      <c r="D37" s="6"/>
    </row>
    <row r="38" spans="1:4" x14ac:dyDescent="0.2">
      <c r="A38" s="7" t="s">
        <v>110</v>
      </c>
      <c r="B38" s="7" t="s">
        <v>7626</v>
      </c>
      <c r="C38" s="7" t="s">
        <v>6220</v>
      </c>
      <c r="D38" s="8"/>
    </row>
    <row r="39" spans="1:4" x14ac:dyDescent="0.2">
      <c r="A39" s="5" t="s">
        <v>823</v>
      </c>
      <c r="B39" s="5" t="s">
        <v>7626</v>
      </c>
      <c r="C39" s="5" t="s">
        <v>6762</v>
      </c>
      <c r="D39" s="6"/>
    </row>
    <row r="40" spans="1:4" x14ac:dyDescent="0.2">
      <c r="A40" s="7" t="s">
        <v>257</v>
      </c>
      <c r="B40" s="7" t="s">
        <v>7626</v>
      </c>
      <c r="C40" s="7" t="s">
        <v>6762</v>
      </c>
      <c r="D40" s="8"/>
    </row>
    <row r="41" spans="1:4" x14ac:dyDescent="0.2">
      <c r="A41" s="5" t="s">
        <v>4688</v>
      </c>
      <c r="B41" s="5" t="s">
        <v>7626</v>
      </c>
      <c r="C41" s="5" t="s">
        <v>7628</v>
      </c>
      <c r="D41" s="6"/>
    </row>
    <row r="42" spans="1:4" x14ac:dyDescent="0.2">
      <c r="A42" s="7" t="s">
        <v>27</v>
      </c>
      <c r="B42" s="7" t="s">
        <v>7626</v>
      </c>
      <c r="C42" s="7" t="s">
        <v>2910</v>
      </c>
      <c r="D42" s="8"/>
    </row>
    <row r="43" spans="1:4" x14ac:dyDescent="0.2">
      <c r="A43" s="5" t="s">
        <v>56</v>
      </c>
      <c r="B43" s="5" t="s">
        <v>7626</v>
      </c>
      <c r="C43" s="5" t="s">
        <v>7629</v>
      </c>
      <c r="D43" s="6"/>
    </row>
    <row r="44" spans="1:4" x14ac:dyDescent="0.2">
      <c r="A44" s="7" t="s">
        <v>429</v>
      </c>
      <c r="B44" s="7" t="s">
        <v>7630</v>
      </c>
      <c r="C44" s="7" t="s">
        <v>7631</v>
      </c>
      <c r="D44" s="8"/>
    </row>
    <row r="45" spans="1:4" x14ac:dyDescent="0.2">
      <c r="A45" s="5" t="s">
        <v>517</v>
      </c>
      <c r="B45" s="5" t="s">
        <v>7632</v>
      </c>
      <c r="C45" s="5" t="s">
        <v>7633</v>
      </c>
      <c r="D45" s="6"/>
    </row>
    <row r="46" spans="1:4" x14ac:dyDescent="0.2">
      <c r="A46" s="7" t="s">
        <v>103</v>
      </c>
      <c r="B46" s="7" t="s">
        <v>7632</v>
      </c>
      <c r="C46" s="7" t="s">
        <v>7634</v>
      </c>
      <c r="D46" s="8"/>
    </row>
  </sheetData>
  <mergeCells count="1">
    <mergeCell ref="A1: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380"/>
  <sheetViews>
    <sheetView topLeftCell="A332" workbookViewId="0">
      <selection activeCell="G383" sqref="G383"/>
    </sheetView>
  </sheetViews>
  <sheetFormatPr baseColWidth="10" defaultRowHeight="15" x14ac:dyDescent="0.2"/>
  <sheetData>
    <row r="2" spans="1:17" x14ac:dyDescent="0.2">
      <c r="A2" s="10">
        <v>45943</v>
      </c>
      <c r="B2" s="11">
        <v>9102025</v>
      </c>
      <c r="C2" s="11"/>
      <c r="D2" s="11" t="s">
        <v>7635</v>
      </c>
      <c r="E2" s="11" t="s">
        <v>21</v>
      </c>
      <c r="F2" s="11" t="s">
        <v>100</v>
      </c>
      <c r="G2" s="12">
        <v>43000</v>
      </c>
      <c r="H2" s="12">
        <v>750</v>
      </c>
      <c r="I2" s="11" t="s">
        <v>23</v>
      </c>
      <c r="J2" s="11" t="s">
        <v>23</v>
      </c>
      <c r="K2" s="11"/>
      <c r="L2" s="11" t="s">
        <v>120</v>
      </c>
      <c r="M2" s="11" t="s">
        <v>26</v>
      </c>
      <c r="N2" s="11">
        <v>1</v>
      </c>
      <c r="O2" s="11" t="s">
        <v>121</v>
      </c>
      <c r="P2" s="11" t="s">
        <v>241</v>
      </c>
      <c r="Q2" s="11" t="s">
        <v>29</v>
      </c>
    </row>
    <row r="3" spans="1:17" x14ac:dyDescent="0.2">
      <c r="A3" s="10">
        <v>45798</v>
      </c>
      <c r="B3" s="11" t="s">
        <v>2582</v>
      </c>
      <c r="C3" s="11"/>
      <c r="D3" s="11" t="s">
        <v>2583</v>
      </c>
      <c r="E3" s="11" t="s">
        <v>21</v>
      </c>
      <c r="F3" s="11" t="s">
        <v>37</v>
      </c>
      <c r="G3" s="12">
        <v>102194</v>
      </c>
      <c r="H3" s="12">
        <v>1000</v>
      </c>
      <c r="I3" s="11" t="s">
        <v>23</v>
      </c>
      <c r="J3" s="11" t="s">
        <v>23</v>
      </c>
      <c r="K3" s="11" t="s">
        <v>2583</v>
      </c>
      <c r="L3" s="11" t="s">
        <v>595</v>
      </c>
      <c r="M3" s="11" t="s">
        <v>45</v>
      </c>
      <c r="N3" s="11">
        <v>2</v>
      </c>
      <c r="O3" s="11" t="s">
        <v>110</v>
      </c>
      <c r="P3" s="11" t="s">
        <v>79</v>
      </c>
      <c r="Q3" s="11" t="s">
        <v>29</v>
      </c>
    </row>
    <row r="4" spans="1:17" x14ac:dyDescent="0.2">
      <c r="A4" s="10">
        <v>45992</v>
      </c>
      <c r="B4" s="11" t="s">
        <v>7636</v>
      </c>
      <c r="C4" s="11"/>
      <c r="D4" s="11" t="s">
        <v>7637</v>
      </c>
      <c r="E4" s="11" t="s">
        <v>21</v>
      </c>
      <c r="F4" s="11" t="s">
        <v>37</v>
      </c>
      <c r="G4" s="12">
        <v>31900</v>
      </c>
      <c r="H4" s="12">
        <v>2000</v>
      </c>
      <c r="I4" s="11" t="s">
        <v>23</v>
      </c>
      <c r="J4" s="11" t="s">
        <v>1927</v>
      </c>
      <c r="K4" s="11" t="s">
        <v>7638</v>
      </c>
      <c r="L4" s="11" t="s">
        <v>3389</v>
      </c>
      <c r="M4" s="11" t="s">
        <v>45</v>
      </c>
      <c r="N4" s="11">
        <v>2</v>
      </c>
      <c r="O4" s="11" t="s">
        <v>151</v>
      </c>
      <c r="P4" s="11" t="s">
        <v>28</v>
      </c>
      <c r="Q4" s="11" t="s">
        <v>29</v>
      </c>
    </row>
    <row r="5" spans="1:17" x14ac:dyDescent="0.2">
      <c r="A5" s="10">
        <v>45706</v>
      </c>
      <c r="B5" s="11" t="s">
        <v>7639</v>
      </c>
      <c r="C5" s="11"/>
      <c r="D5" s="11" t="s">
        <v>7640</v>
      </c>
      <c r="E5" s="11" t="s">
        <v>21</v>
      </c>
      <c r="F5" s="11" t="s">
        <v>37</v>
      </c>
      <c r="G5" s="12">
        <v>800</v>
      </c>
      <c r="H5" s="12">
        <v>3000</v>
      </c>
      <c r="I5" s="11" t="s">
        <v>23</v>
      </c>
      <c r="J5" s="11" t="s">
        <v>23</v>
      </c>
      <c r="K5" s="11" t="s">
        <v>7640</v>
      </c>
      <c r="L5" s="11" t="s">
        <v>7378</v>
      </c>
      <c r="M5" s="11" t="s">
        <v>45</v>
      </c>
      <c r="N5" s="11">
        <v>2</v>
      </c>
      <c r="O5" s="11" t="s">
        <v>110</v>
      </c>
      <c r="P5" s="11" t="s">
        <v>28</v>
      </c>
      <c r="Q5" s="11" t="s">
        <v>29</v>
      </c>
    </row>
    <row r="6" spans="1:17" x14ac:dyDescent="0.2">
      <c r="A6" s="10">
        <v>45758</v>
      </c>
      <c r="B6" s="11" t="s">
        <v>7641</v>
      </c>
      <c r="C6" s="11"/>
      <c r="D6" s="11" t="s">
        <v>7642</v>
      </c>
      <c r="E6" s="11" t="s">
        <v>21</v>
      </c>
      <c r="F6" s="11" t="s">
        <v>37</v>
      </c>
      <c r="G6" s="12">
        <v>5200</v>
      </c>
      <c r="H6" s="12">
        <v>4500</v>
      </c>
      <c r="I6" s="11" t="s">
        <v>23</v>
      </c>
      <c r="J6" s="11" t="s">
        <v>23</v>
      </c>
      <c r="K6" s="11" t="s">
        <v>7642</v>
      </c>
      <c r="L6" s="11" t="s">
        <v>7643</v>
      </c>
      <c r="M6" s="11" t="s">
        <v>26</v>
      </c>
      <c r="N6" s="11">
        <v>2</v>
      </c>
      <c r="O6" s="11" t="s">
        <v>103</v>
      </c>
      <c r="P6" s="11" t="s">
        <v>28</v>
      </c>
      <c r="Q6" s="11" t="s">
        <v>29</v>
      </c>
    </row>
    <row r="7" spans="1:17" x14ac:dyDescent="0.2">
      <c r="A7" s="10">
        <v>45721</v>
      </c>
      <c r="B7" s="11" t="s">
        <v>7641</v>
      </c>
      <c r="C7" s="11"/>
      <c r="D7" s="11" t="s">
        <v>7642</v>
      </c>
      <c r="E7" s="11" t="s">
        <v>21</v>
      </c>
      <c r="F7" s="11" t="s">
        <v>76</v>
      </c>
      <c r="G7" s="12">
        <v>5300</v>
      </c>
      <c r="H7" s="12">
        <v>4774</v>
      </c>
      <c r="I7" s="11" t="s">
        <v>23</v>
      </c>
      <c r="J7" s="11" t="s">
        <v>23</v>
      </c>
      <c r="K7" s="11" t="s">
        <v>7642</v>
      </c>
      <c r="L7" s="11" t="s">
        <v>7643</v>
      </c>
      <c r="M7" s="11" t="s">
        <v>26</v>
      </c>
      <c r="N7" s="11">
        <v>2</v>
      </c>
      <c r="O7" s="11" t="s">
        <v>103</v>
      </c>
      <c r="P7" s="11" t="s">
        <v>28</v>
      </c>
      <c r="Q7" s="11" t="s">
        <v>29</v>
      </c>
    </row>
    <row r="8" spans="1:17" x14ac:dyDescent="0.2">
      <c r="A8" s="10">
        <v>45992</v>
      </c>
      <c r="B8" s="11" t="s">
        <v>3386</v>
      </c>
      <c r="C8" s="11"/>
      <c r="D8" s="11" t="s">
        <v>3387</v>
      </c>
      <c r="E8" s="11" t="s">
        <v>21</v>
      </c>
      <c r="F8" s="11" t="s">
        <v>37</v>
      </c>
      <c r="G8" s="12">
        <v>48000</v>
      </c>
      <c r="H8" s="12">
        <v>4840</v>
      </c>
      <c r="I8" s="11" t="s">
        <v>23</v>
      </c>
      <c r="J8" s="11" t="s">
        <v>23</v>
      </c>
      <c r="K8" s="11" t="s">
        <v>3388</v>
      </c>
      <c r="L8" s="11" t="s">
        <v>3389</v>
      </c>
      <c r="M8" s="11" t="s">
        <v>34</v>
      </c>
      <c r="N8" s="11">
        <v>2</v>
      </c>
      <c r="O8" s="11" t="s">
        <v>151</v>
      </c>
      <c r="P8" s="11" t="s">
        <v>28</v>
      </c>
      <c r="Q8" s="11" t="s">
        <v>29</v>
      </c>
    </row>
    <row r="9" spans="1:17" x14ac:dyDescent="0.2">
      <c r="A9" s="10">
        <v>45952</v>
      </c>
      <c r="B9" s="11" t="s">
        <v>7644</v>
      </c>
      <c r="C9" s="11"/>
      <c r="D9" s="11" t="s">
        <v>7645</v>
      </c>
      <c r="E9" s="11" t="s">
        <v>21</v>
      </c>
      <c r="F9" s="11" t="s">
        <v>70</v>
      </c>
      <c r="G9" s="12">
        <v>4900</v>
      </c>
      <c r="H9" s="12">
        <v>4900</v>
      </c>
      <c r="I9" s="11" t="s">
        <v>23</v>
      </c>
      <c r="J9" s="11" t="s">
        <v>23</v>
      </c>
      <c r="K9" s="11" t="s">
        <v>7646</v>
      </c>
      <c r="L9" s="11" t="s">
        <v>1321</v>
      </c>
      <c r="M9" s="11" t="s">
        <v>1625</v>
      </c>
      <c r="N9" s="11">
        <v>2</v>
      </c>
      <c r="O9" s="11" t="s">
        <v>151</v>
      </c>
      <c r="P9" s="11" t="s">
        <v>28</v>
      </c>
      <c r="Q9" s="11" t="s">
        <v>29</v>
      </c>
    </row>
    <row r="10" spans="1:17" x14ac:dyDescent="0.2">
      <c r="A10" s="10">
        <v>45992</v>
      </c>
      <c r="B10" s="11" t="s">
        <v>3008</v>
      </c>
      <c r="C10" s="11"/>
      <c r="D10" s="11" t="s">
        <v>3009</v>
      </c>
      <c r="E10" s="11" t="s">
        <v>21</v>
      </c>
      <c r="F10" s="11" t="s">
        <v>37</v>
      </c>
      <c r="G10" s="12">
        <v>140000</v>
      </c>
      <c r="H10" s="12">
        <v>5000</v>
      </c>
      <c r="I10" s="11" t="s">
        <v>23</v>
      </c>
      <c r="J10" s="11" t="s">
        <v>23</v>
      </c>
      <c r="K10" s="11" t="s">
        <v>3010</v>
      </c>
      <c r="L10" s="11" t="s">
        <v>3011</v>
      </c>
      <c r="M10" s="11" t="s">
        <v>34</v>
      </c>
      <c r="N10" s="11">
        <v>1</v>
      </c>
      <c r="O10" s="11" t="s">
        <v>151</v>
      </c>
      <c r="P10" s="11" t="s">
        <v>122</v>
      </c>
      <c r="Q10" s="11" t="s">
        <v>29</v>
      </c>
    </row>
    <row r="11" spans="1:17" x14ac:dyDescent="0.2">
      <c r="A11" s="10">
        <v>45777</v>
      </c>
      <c r="B11" s="11" t="s">
        <v>7647</v>
      </c>
      <c r="C11" s="11"/>
      <c r="D11" s="11" t="s">
        <v>7648</v>
      </c>
      <c r="E11" s="11" t="s">
        <v>21</v>
      </c>
      <c r="F11" s="11" t="s">
        <v>37</v>
      </c>
      <c r="G11" s="12">
        <v>7000</v>
      </c>
      <c r="H11" s="12">
        <v>5000</v>
      </c>
      <c r="I11" s="11" t="s">
        <v>23</v>
      </c>
      <c r="J11" s="11" t="s">
        <v>23</v>
      </c>
      <c r="K11" s="11" t="s">
        <v>7649</v>
      </c>
      <c r="L11" s="11" t="s">
        <v>105</v>
      </c>
      <c r="M11" s="11" t="s">
        <v>1625</v>
      </c>
      <c r="N11" s="11">
        <v>2</v>
      </c>
      <c r="O11" s="11" t="s">
        <v>67</v>
      </c>
      <c r="P11" s="11" t="s">
        <v>28</v>
      </c>
      <c r="Q11" s="11" t="s">
        <v>29</v>
      </c>
    </row>
    <row r="12" spans="1:17" x14ac:dyDescent="0.2">
      <c r="A12" s="10">
        <v>45951</v>
      </c>
      <c r="B12" s="11" t="s">
        <v>7650</v>
      </c>
      <c r="C12" s="11"/>
      <c r="D12" s="11" t="s">
        <v>7651</v>
      </c>
      <c r="E12" s="11" t="s">
        <v>21</v>
      </c>
      <c r="F12" s="11" t="s">
        <v>22</v>
      </c>
      <c r="G12" s="12">
        <v>650</v>
      </c>
      <c r="H12" s="12">
        <v>5200</v>
      </c>
      <c r="I12" s="11" t="s">
        <v>23</v>
      </c>
      <c r="J12" s="11" t="s">
        <v>23</v>
      </c>
      <c r="K12" s="11" t="s">
        <v>7651</v>
      </c>
      <c r="L12" s="11" t="s">
        <v>2443</v>
      </c>
      <c r="M12" s="11" t="s">
        <v>45</v>
      </c>
      <c r="N12" s="11">
        <v>2</v>
      </c>
      <c r="O12" s="11" t="s">
        <v>110</v>
      </c>
      <c r="P12" s="11" t="s">
        <v>28</v>
      </c>
      <c r="Q12" s="11" t="s">
        <v>29</v>
      </c>
    </row>
    <row r="13" spans="1:17" x14ac:dyDescent="0.2">
      <c r="A13" s="10">
        <v>45842</v>
      </c>
      <c r="B13" s="11" t="s">
        <v>7641</v>
      </c>
      <c r="C13" s="11"/>
      <c r="D13" s="11" t="s">
        <v>7642</v>
      </c>
      <c r="E13" s="11" t="s">
        <v>21</v>
      </c>
      <c r="F13" s="11" t="s">
        <v>37</v>
      </c>
      <c r="G13" s="12">
        <v>5200</v>
      </c>
      <c r="H13" s="12">
        <v>5200</v>
      </c>
      <c r="I13" s="11" t="s">
        <v>23</v>
      </c>
      <c r="J13" s="11" t="s">
        <v>23</v>
      </c>
      <c r="K13" s="11" t="s">
        <v>7642</v>
      </c>
      <c r="L13" s="11" t="s">
        <v>7643</v>
      </c>
      <c r="M13" s="11" t="s">
        <v>26</v>
      </c>
      <c r="N13" s="11">
        <v>2</v>
      </c>
      <c r="O13" s="11" t="s">
        <v>103</v>
      </c>
      <c r="P13" s="11" t="s">
        <v>28</v>
      </c>
      <c r="Q13" s="11" t="s">
        <v>29</v>
      </c>
    </row>
    <row r="14" spans="1:17" x14ac:dyDescent="0.2">
      <c r="A14" s="10">
        <v>45954</v>
      </c>
      <c r="B14" s="11" t="s">
        <v>7652</v>
      </c>
      <c r="C14" s="11"/>
      <c r="D14" s="11" t="s">
        <v>7653</v>
      </c>
      <c r="E14" s="11" t="s">
        <v>21</v>
      </c>
      <c r="F14" s="11" t="s">
        <v>100</v>
      </c>
      <c r="G14" s="12">
        <v>2800</v>
      </c>
      <c r="H14" s="12">
        <v>5600</v>
      </c>
      <c r="I14" s="11" t="s">
        <v>23</v>
      </c>
      <c r="J14" s="11" t="s">
        <v>23</v>
      </c>
      <c r="K14" s="11" t="s">
        <v>285</v>
      </c>
      <c r="L14" s="11" t="s">
        <v>403</v>
      </c>
      <c r="M14" s="11" t="s">
        <v>34</v>
      </c>
      <c r="N14" s="11">
        <v>2</v>
      </c>
      <c r="O14" s="11" t="s">
        <v>121</v>
      </c>
      <c r="P14" s="11" t="s">
        <v>241</v>
      </c>
      <c r="Q14" s="11" t="s">
        <v>29</v>
      </c>
    </row>
    <row r="15" spans="1:17" x14ac:dyDescent="0.2">
      <c r="A15" s="10">
        <v>45992</v>
      </c>
      <c r="B15" s="11" t="s">
        <v>7654</v>
      </c>
      <c r="C15" s="11"/>
      <c r="D15" s="11" t="s">
        <v>7655</v>
      </c>
      <c r="E15" s="11" t="s">
        <v>21</v>
      </c>
      <c r="F15" s="11" t="s">
        <v>37</v>
      </c>
      <c r="G15" s="12">
        <v>600</v>
      </c>
      <c r="H15" s="12">
        <v>6000</v>
      </c>
      <c r="I15" s="11" t="s">
        <v>23</v>
      </c>
      <c r="J15" s="11" t="s">
        <v>23</v>
      </c>
      <c r="K15" s="11" t="s">
        <v>7656</v>
      </c>
      <c r="L15" s="11" t="s">
        <v>7657</v>
      </c>
      <c r="M15" s="11" t="s">
        <v>45</v>
      </c>
      <c r="N15" s="11">
        <v>1</v>
      </c>
      <c r="O15" s="11" t="s">
        <v>151</v>
      </c>
      <c r="P15" s="11" t="s">
        <v>122</v>
      </c>
      <c r="Q15" s="11" t="s">
        <v>29</v>
      </c>
    </row>
    <row r="16" spans="1:17" x14ac:dyDescent="0.2">
      <c r="A16" s="10">
        <v>45744</v>
      </c>
      <c r="B16" s="11" t="s">
        <v>7658</v>
      </c>
      <c r="C16" s="11"/>
      <c r="D16" s="11" t="s">
        <v>7659</v>
      </c>
      <c r="E16" s="11" t="s">
        <v>21</v>
      </c>
      <c r="F16" s="11" t="s">
        <v>37</v>
      </c>
      <c r="G16" s="12">
        <v>7000</v>
      </c>
      <c r="H16" s="12">
        <v>6000</v>
      </c>
      <c r="I16" s="11" t="s">
        <v>23</v>
      </c>
      <c r="J16" s="11" t="s">
        <v>23</v>
      </c>
      <c r="K16" s="11" t="s">
        <v>7660</v>
      </c>
      <c r="L16" s="11" t="s">
        <v>50</v>
      </c>
      <c r="M16" s="11" t="s">
        <v>1625</v>
      </c>
      <c r="N16" s="11">
        <v>2</v>
      </c>
      <c r="O16" s="11" t="s">
        <v>670</v>
      </c>
      <c r="P16" s="11" t="s">
        <v>28</v>
      </c>
      <c r="Q16" s="11" t="s">
        <v>29</v>
      </c>
    </row>
    <row r="17" spans="1:17" x14ac:dyDescent="0.2">
      <c r="A17" s="10">
        <v>45933</v>
      </c>
      <c r="B17" s="11" t="s">
        <v>7661</v>
      </c>
      <c r="C17" s="11"/>
      <c r="D17" s="11" t="s">
        <v>7662</v>
      </c>
      <c r="E17" s="11" t="s">
        <v>21</v>
      </c>
      <c r="F17" s="11" t="s">
        <v>221</v>
      </c>
      <c r="G17" s="12">
        <v>7000</v>
      </c>
      <c r="H17" s="12">
        <v>6500</v>
      </c>
      <c r="I17" s="11" t="s">
        <v>23</v>
      </c>
      <c r="J17" s="11" t="s">
        <v>23</v>
      </c>
      <c r="K17" s="11" t="s">
        <v>7663</v>
      </c>
      <c r="L17" s="11" t="s">
        <v>223</v>
      </c>
      <c r="M17" s="11" t="s">
        <v>1625</v>
      </c>
      <c r="N17" s="11">
        <v>2</v>
      </c>
      <c r="O17" s="11" t="s">
        <v>167</v>
      </c>
      <c r="P17" s="11" t="s">
        <v>28</v>
      </c>
      <c r="Q17" s="11" t="s">
        <v>29</v>
      </c>
    </row>
    <row r="18" spans="1:17" x14ac:dyDescent="0.2">
      <c r="A18" s="10">
        <v>46084</v>
      </c>
      <c r="B18" s="11" t="s">
        <v>7664</v>
      </c>
      <c r="C18" s="11"/>
      <c r="D18" s="11" t="s">
        <v>7665</v>
      </c>
      <c r="E18" s="11" t="s">
        <v>21</v>
      </c>
      <c r="F18" s="11" t="s">
        <v>81</v>
      </c>
      <c r="G18" s="12">
        <v>7000</v>
      </c>
      <c r="H18" s="12">
        <v>7000</v>
      </c>
      <c r="I18" s="11" t="s">
        <v>23</v>
      </c>
      <c r="J18" s="11" t="s">
        <v>23</v>
      </c>
      <c r="K18" s="11" t="s">
        <v>7666</v>
      </c>
      <c r="L18" s="11" t="s">
        <v>223</v>
      </c>
      <c r="M18" s="11" t="s">
        <v>1625</v>
      </c>
      <c r="N18" s="11">
        <v>2</v>
      </c>
      <c r="O18" s="11" t="s">
        <v>167</v>
      </c>
      <c r="P18" s="11" t="s">
        <v>79</v>
      </c>
      <c r="Q18" s="11" t="s">
        <v>29</v>
      </c>
    </row>
    <row r="19" spans="1:17" x14ac:dyDescent="0.2">
      <c r="A19" s="10">
        <v>45775</v>
      </c>
      <c r="B19" s="11" t="s">
        <v>7667</v>
      </c>
      <c r="C19" s="11"/>
      <c r="D19" s="11" t="s">
        <v>7668</v>
      </c>
      <c r="E19" s="11" t="s">
        <v>21</v>
      </c>
      <c r="F19" s="11" t="s">
        <v>37</v>
      </c>
      <c r="G19" s="12">
        <v>550</v>
      </c>
      <c r="H19" s="12">
        <v>7200</v>
      </c>
      <c r="I19" s="11" t="s">
        <v>23</v>
      </c>
      <c r="J19" s="11" t="s">
        <v>23</v>
      </c>
      <c r="K19" s="11" t="s">
        <v>7668</v>
      </c>
      <c r="L19" s="11" t="s">
        <v>7669</v>
      </c>
      <c r="M19" s="11" t="s">
        <v>45</v>
      </c>
      <c r="N19" s="11">
        <v>2</v>
      </c>
      <c r="O19" s="11" t="s">
        <v>110</v>
      </c>
      <c r="P19" s="11" t="s">
        <v>200</v>
      </c>
      <c r="Q19" s="11" t="s">
        <v>29</v>
      </c>
    </row>
    <row r="20" spans="1:17" x14ac:dyDescent="0.2">
      <c r="A20" s="10">
        <v>45993</v>
      </c>
      <c r="B20" s="11" t="s">
        <v>7670</v>
      </c>
      <c r="C20" s="11"/>
      <c r="D20" s="11" t="s">
        <v>7671</v>
      </c>
      <c r="E20" s="11" t="s">
        <v>21</v>
      </c>
      <c r="F20" s="11" t="s">
        <v>70</v>
      </c>
      <c r="G20" s="12">
        <v>8000</v>
      </c>
      <c r="H20" s="12">
        <v>7300</v>
      </c>
      <c r="I20" s="11" t="s">
        <v>23</v>
      </c>
      <c r="J20" s="11" t="s">
        <v>23</v>
      </c>
      <c r="K20" s="11" t="s">
        <v>7672</v>
      </c>
      <c r="L20" s="11" t="s">
        <v>7673</v>
      </c>
      <c r="M20" s="11" t="s">
        <v>26</v>
      </c>
      <c r="N20" s="11">
        <v>2</v>
      </c>
      <c r="O20" s="11" t="s">
        <v>73</v>
      </c>
      <c r="P20" s="11" t="s">
        <v>79</v>
      </c>
      <c r="Q20" s="11" t="s">
        <v>29</v>
      </c>
    </row>
    <row r="21" spans="1:17" x14ac:dyDescent="0.2">
      <c r="A21" s="10">
        <v>45660</v>
      </c>
      <c r="B21" s="11" t="s">
        <v>7674</v>
      </c>
      <c r="C21" s="11"/>
      <c r="D21" s="11" t="s">
        <v>7675</v>
      </c>
      <c r="E21" s="11" t="s">
        <v>21</v>
      </c>
      <c r="F21" s="11" t="s">
        <v>76</v>
      </c>
      <c r="G21" s="12">
        <v>9000</v>
      </c>
      <c r="H21" s="12">
        <v>7500</v>
      </c>
      <c r="I21" s="11" t="s">
        <v>23</v>
      </c>
      <c r="J21" s="11" t="s">
        <v>23</v>
      </c>
      <c r="K21" s="11" t="s">
        <v>7676</v>
      </c>
      <c r="L21" s="11" t="s">
        <v>3596</v>
      </c>
      <c r="M21" s="11" t="s">
        <v>26</v>
      </c>
      <c r="N21" s="11">
        <v>2</v>
      </c>
      <c r="O21" s="11" t="s">
        <v>73</v>
      </c>
      <c r="P21" s="11" t="s">
        <v>28</v>
      </c>
      <c r="Q21" s="11" t="s">
        <v>29</v>
      </c>
    </row>
    <row r="22" spans="1:17" x14ac:dyDescent="0.2">
      <c r="A22" s="10">
        <v>46101</v>
      </c>
      <c r="B22" s="11" t="s">
        <v>7677</v>
      </c>
      <c r="C22" s="11"/>
      <c r="D22" s="11" t="s">
        <v>7678</v>
      </c>
      <c r="E22" s="11" t="s">
        <v>21</v>
      </c>
      <c r="F22" s="11" t="s">
        <v>37</v>
      </c>
      <c r="G22" s="12">
        <v>9000</v>
      </c>
      <c r="H22" s="12">
        <v>7800</v>
      </c>
      <c r="I22" s="11" t="s">
        <v>23</v>
      </c>
      <c r="J22" s="11" t="s">
        <v>23</v>
      </c>
      <c r="K22" s="11" t="s">
        <v>7679</v>
      </c>
      <c r="L22" s="11" t="s">
        <v>7680</v>
      </c>
      <c r="M22" s="11" t="s">
        <v>26</v>
      </c>
      <c r="N22" s="11">
        <v>2</v>
      </c>
      <c r="O22" s="11" t="s">
        <v>62</v>
      </c>
      <c r="P22" s="11" t="s">
        <v>28</v>
      </c>
      <c r="Q22" s="11" t="s">
        <v>29</v>
      </c>
    </row>
    <row r="23" spans="1:17" x14ac:dyDescent="0.2">
      <c r="A23" s="10">
        <v>45712</v>
      </c>
      <c r="B23" s="11" t="s">
        <v>7681</v>
      </c>
      <c r="C23" s="11"/>
      <c r="D23" s="11" t="s">
        <v>7682</v>
      </c>
      <c r="E23" s="11" t="s">
        <v>21</v>
      </c>
      <c r="F23" s="11" t="s">
        <v>70</v>
      </c>
      <c r="G23" s="12">
        <v>8000</v>
      </c>
      <c r="H23" s="12">
        <v>8000</v>
      </c>
      <c r="I23" s="11" t="s">
        <v>23</v>
      </c>
      <c r="J23" s="11" t="s">
        <v>23</v>
      </c>
      <c r="K23" s="11" t="s">
        <v>7683</v>
      </c>
      <c r="L23" s="11" t="s">
        <v>1116</v>
      </c>
      <c r="M23" s="11" t="s">
        <v>26</v>
      </c>
      <c r="N23" s="11">
        <v>2</v>
      </c>
      <c r="O23" s="11" t="s">
        <v>73</v>
      </c>
      <c r="P23" s="11" t="s">
        <v>28</v>
      </c>
      <c r="Q23" s="11" t="s">
        <v>29</v>
      </c>
    </row>
    <row r="24" spans="1:17" x14ac:dyDescent="0.2">
      <c r="A24" s="10">
        <v>45784</v>
      </c>
      <c r="B24" s="11" t="s">
        <v>7684</v>
      </c>
      <c r="C24" s="11"/>
      <c r="D24" s="11" t="s">
        <v>7685</v>
      </c>
      <c r="E24" s="11" t="s">
        <v>21</v>
      </c>
      <c r="F24" s="11" t="s">
        <v>22</v>
      </c>
      <c r="G24" s="12">
        <v>9000</v>
      </c>
      <c r="H24" s="12">
        <v>8250</v>
      </c>
      <c r="I24" s="11" t="s">
        <v>23</v>
      </c>
      <c r="J24" s="11" t="s">
        <v>23</v>
      </c>
      <c r="K24" s="11" t="s">
        <v>7686</v>
      </c>
      <c r="L24" s="11" t="s">
        <v>2752</v>
      </c>
      <c r="M24" s="11" t="s">
        <v>26</v>
      </c>
      <c r="N24" s="11">
        <v>2</v>
      </c>
      <c r="O24" s="11" t="s">
        <v>103</v>
      </c>
      <c r="P24" s="11" t="s">
        <v>28</v>
      </c>
      <c r="Q24" s="11" t="s">
        <v>29</v>
      </c>
    </row>
    <row r="25" spans="1:17" x14ac:dyDescent="0.2">
      <c r="A25" s="10">
        <v>45784</v>
      </c>
      <c r="B25" s="11" t="s">
        <v>7684</v>
      </c>
      <c r="C25" s="11"/>
      <c r="D25" s="11" t="s">
        <v>7685</v>
      </c>
      <c r="E25" s="11" t="s">
        <v>21</v>
      </c>
      <c r="F25" s="11" t="s">
        <v>76</v>
      </c>
      <c r="G25" s="12">
        <v>9000</v>
      </c>
      <c r="H25" s="12">
        <v>8250</v>
      </c>
      <c r="I25" s="11" t="s">
        <v>23</v>
      </c>
      <c r="J25" s="11" t="s">
        <v>23</v>
      </c>
      <c r="K25" s="11" t="s">
        <v>7686</v>
      </c>
      <c r="L25" s="11" t="s">
        <v>2752</v>
      </c>
      <c r="M25" s="11" t="s">
        <v>26</v>
      </c>
      <c r="N25" s="11">
        <v>2</v>
      </c>
      <c r="O25" s="11" t="s">
        <v>103</v>
      </c>
      <c r="P25" s="11" t="s">
        <v>28</v>
      </c>
      <c r="Q25" s="11" t="s">
        <v>29</v>
      </c>
    </row>
    <row r="26" spans="1:17" x14ac:dyDescent="0.2">
      <c r="A26" s="10">
        <v>46014</v>
      </c>
      <c r="B26" s="11" t="s">
        <v>7687</v>
      </c>
      <c r="C26" s="11"/>
      <c r="D26" s="11" t="s">
        <v>7688</v>
      </c>
      <c r="E26" s="11" t="s">
        <v>21</v>
      </c>
      <c r="F26" s="11" t="s">
        <v>37</v>
      </c>
      <c r="G26" s="12">
        <v>900</v>
      </c>
      <c r="H26" s="12">
        <v>8260</v>
      </c>
      <c r="I26" s="11" t="s">
        <v>23</v>
      </c>
      <c r="J26" s="11" t="s">
        <v>23</v>
      </c>
      <c r="K26" s="11" t="s">
        <v>7689</v>
      </c>
      <c r="L26" s="11" t="s">
        <v>7690</v>
      </c>
      <c r="M26" s="11" t="s">
        <v>45</v>
      </c>
      <c r="N26" s="11">
        <v>2</v>
      </c>
      <c r="O26" s="11" t="s">
        <v>110</v>
      </c>
      <c r="P26" s="11" t="s">
        <v>79</v>
      </c>
      <c r="Q26" s="11" t="s">
        <v>29</v>
      </c>
    </row>
    <row r="27" spans="1:17" x14ac:dyDescent="0.2">
      <c r="A27" s="10">
        <v>45929</v>
      </c>
      <c r="B27" s="11" t="s">
        <v>7691</v>
      </c>
      <c r="C27" s="11"/>
      <c r="D27" s="11" t="s">
        <v>7692</v>
      </c>
      <c r="E27" s="11" t="s">
        <v>21</v>
      </c>
      <c r="F27" s="11" t="s">
        <v>76</v>
      </c>
      <c r="G27" s="12">
        <v>700</v>
      </c>
      <c r="H27" s="12">
        <v>8400</v>
      </c>
      <c r="I27" s="11" t="s">
        <v>23</v>
      </c>
      <c r="J27" s="11" t="s">
        <v>23</v>
      </c>
      <c r="K27" s="11" t="s">
        <v>7693</v>
      </c>
      <c r="L27" s="11" t="s">
        <v>7694</v>
      </c>
      <c r="M27" s="11" t="s">
        <v>34</v>
      </c>
      <c r="N27" s="11">
        <v>2</v>
      </c>
      <c r="O27" s="11" t="s">
        <v>84</v>
      </c>
      <c r="P27" s="11" t="s">
        <v>28</v>
      </c>
      <c r="Q27" s="11" t="s">
        <v>29</v>
      </c>
    </row>
    <row r="28" spans="1:17" x14ac:dyDescent="0.2">
      <c r="A28" s="10">
        <v>45992</v>
      </c>
      <c r="B28" s="11" t="s">
        <v>7695</v>
      </c>
      <c r="C28" s="11"/>
      <c r="D28" s="11" t="s">
        <v>7696</v>
      </c>
      <c r="E28" s="11" t="s">
        <v>21</v>
      </c>
      <c r="F28" s="11" t="s">
        <v>37</v>
      </c>
      <c r="G28" s="12">
        <v>34000</v>
      </c>
      <c r="H28" s="12">
        <v>8450</v>
      </c>
      <c r="I28" s="11" t="s">
        <v>23</v>
      </c>
      <c r="J28" s="11" t="s">
        <v>23</v>
      </c>
      <c r="K28" s="11"/>
      <c r="L28" s="11" t="s">
        <v>1646</v>
      </c>
      <c r="M28" s="11" t="s">
        <v>34</v>
      </c>
      <c r="N28" s="11">
        <v>1</v>
      </c>
      <c r="O28" s="11" t="s">
        <v>151</v>
      </c>
      <c r="P28" s="11" t="s">
        <v>122</v>
      </c>
      <c r="Q28" s="11" t="s">
        <v>29</v>
      </c>
    </row>
    <row r="29" spans="1:17" x14ac:dyDescent="0.2">
      <c r="A29" s="10">
        <v>46077</v>
      </c>
      <c r="B29" s="11" t="s">
        <v>7697</v>
      </c>
      <c r="C29" s="11"/>
      <c r="D29" s="11" t="s">
        <v>7698</v>
      </c>
      <c r="E29" s="11" t="s">
        <v>21</v>
      </c>
      <c r="F29" s="11" t="s">
        <v>97</v>
      </c>
      <c r="G29" s="12">
        <v>8500</v>
      </c>
      <c r="H29" s="12">
        <v>8500</v>
      </c>
      <c r="I29" s="11" t="s">
        <v>23</v>
      </c>
      <c r="J29" s="11" t="s">
        <v>23</v>
      </c>
      <c r="K29" s="11" t="s">
        <v>7699</v>
      </c>
      <c r="L29" s="11" t="s">
        <v>7700</v>
      </c>
      <c r="M29" s="11" t="s">
        <v>26</v>
      </c>
      <c r="N29" s="11">
        <v>2</v>
      </c>
      <c r="O29" s="11" t="s">
        <v>429</v>
      </c>
      <c r="P29" s="11" t="s">
        <v>28</v>
      </c>
      <c r="Q29" s="11" t="s">
        <v>29</v>
      </c>
    </row>
    <row r="30" spans="1:17" x14ac:dyDescent="0.2">
      <c r="A30" s="10">
        <v>46066</v>
      </c>
      <c r="B30" s="11" t="s">
        <v>7701</v>
      </c>
      <c r="C30" s="11"/>
      <c r="D30" s="11" t="s">
        <v>7702</v>
      </c>
      <c r="E30" s="11" t="s">
        <v>21</v>
      </c>
      <c r="F30" s="11" t="s">
        <v>81</v>
      </c>
      <c r="G30" s="12">
        <v>10000</v>
      </c>
      <c r="H30" s="12">
        <v>8500</v>
      </c>
      <c r="I30" s="11" t="s">
        <v>23</v>
      </c>
      <c r="J30" s="11" t="s">
        <v>23</v>
      </c>
      <c r="K30" s="11" t="s">
        <v>7702</v>
      </c>
      <c r="L30" s="11" t="s">
        <v>4514</v>
      </c>
      <c r="M30" s="11" t="s">
        <v>26</v>
      </c>
      <c r="N30" s="11">
        <v>2</v>
      </c>
      <c r="O30" s="11" t="s">
        <v>167</v>
      </c>
      <c r="P30" s="11" t="s">
        <v>79</v>
      </c>
      <c r="Q30" s="11" t="s">
        <v>29</v>
      </c>
    </row>
    <row r="31" spans="1:17" x14ac:dyDescent="0.2">
      <c r="A31" s="10">
        <v>46066</v>
      </c>
      <c r="B31" s="11" t="s">
        <v>7703</v>
      </c>
      <c r="C31" s="11"/>
      <c r="D31" s="11" t="s">
        <v>7702</v>
      </c>
      <c r="E31" s="11" t="s">
        <v>21</v>
      </c>
      <c r="F31" s="11" t="s">
        <v>81</v>
      </c>
      <c r="G31" s="12">
        <v>10000</v>
      </c>
      <c r="H31" s="12">
        <v>8500</v>
      </c>
      <c r="I31" s="11" t="s">
        <v>23</v>
      </c>
      <c r="J31" s="11" t="s">
        <v>23</v>
      </c>
      <c r="K31" s="11" t="s">
        <v>7702</v>
      </c>
      <c r="L31" s="11" t="s">
        <v>4514</v>
      </c>
      <c r="M31" s="11" t="s">
        <v>26</v>
      </c>
      <c r="N31" s="11">
        <v>2</v>
      </c>
      <c r="O31" s="11" t="s">
        <v>167</v>
      </c>
      <c r="P31" s="11" t="s">
        <v>79</v>
      </c>
      <c r="Q31" s="11" t="s">
        <v>29</v>
      </c>
    </row>
    <row r="32" spans="1:17" x14ac:dyDescent="0.2">
      <c r="A32" s="10">
        <v>46066</v>
      </c>
      <c r="B32" s="11" t="s">
        <v>7704</v>
      </c>
      <c r="C32" s="11"/>
      <c r="D32" s="11" t="s">
        <v>7702</v>
      </c>
      <c r="E32" s="11" t="s">
        <v>21</v>
      </c>
      <c r="F32" s="11" t="s">
        <v>81</v>
      </c>
      <c r="G32" s="12">
        <v>10000</v>
      </c>
      <c r="H32" s="12">
        <v>8500</v>
      </c>
      <c r="I32" s="11" t="s">
        <v>23</v>
      </c>
      <c r="J32" s="11" t="s">
        <v>23</v>
      </c>
      <c r="K32" s="11" t="s">
        <v>7702</v>
      </c>
      <c r="L32" s="11" t="s">
        <v>4514</v>
      </c>
      <c r="M32" s="11" t="s">
        <v>26</v>
      </c>
      <c r="N32" s="11">
        <v>2</v>
      </c>
      <c r="O32" s="11" t="s">
        <v>167</v>
      </c>
      <c r="P32" s="11" t="s">
        <v>79</v>
      </c>
      <c r="Q32" s="11" t="s">
        <v>29</v>
      </c>
    </row>
    <row r="33" spans="1:17" x14ac:dyDescent="0.2">
      <c r="A33" s="10">
        <v>46059</v>
      </c>
      <c r="B33" s="11" t="s">
        <v>7705</v>
      </c>
      <c r="C33" s="11"/>
      <c r="D33" s="11" t="s">
        <v>7702</v>
      </c>
      <c r="E33" s="11" t="s">
        <v>21</v>
      </c>
      <c r="F33" s="11" t="s">
        <v>81</v>
      </c>
      <c r="G33" s="12">
        <v>10000</v>
      </c>
      <c r="H33" s="12">
        <v>8500</v>
      </c>
      <c r="I33" s="11" t="s">
        <v>23</v>
      </c>
      <c r="J33" s="11" t="s">
        <v>23</v>
      </c>
      <c r="K33" s="11" t="s">
        <v>7702</v>
      </c>
      <c r="L33" s="11" t="s">
        <v>4514</v>
      </c>
      <c r="M33" s="11" t="s">
        <v>26</v>
      </c>
      <c r="N33" s="11">
        <v>2</v>
      </c>
      <c r="O33" s="11" t="s">
        <v>167</v>
      </c>
      <c r="P33" s="11" t="s">
        <v>79</v>
      </c>
      <c r="Q33" s="11" t="s">
        <v>29</v>
      </c>
    </row>
    <row r="34" spans="1:17" x14ac:dyDescent="0.2">
      <c r="A34" s="10">
        <v>46059</v>
      </c>
      <c r="B34" s="11" t="s">
        <v>7706</v>
      </c>
      <c r="C34" s="11"/>
      <c r="D34" s="11" t="s">
        <v>7702</v>
      </c>
      <c r="E34" s="11" t="s">
        <v>21</v>
      </c>
      <c r="F34" s="11" t="s">
        <v>81</v>
      </c>
      <c r="G34" s="12">
        <v>10000</v>
      </c>
      <c r="H34" s="12">
        <v>8500</v>
      </c>
      <c r="I34" s="11" t="s">
        <v>23</v>
      </c>
      <c r="J34" s="11" t="s">
        <v>23</v>
      </c>
      <c r="K34" s="11" t="s">
        <v>7702</v>
      </c>
      <c r="L34" s="11" t="s">
        <v>4514</v>
      </c>
      <c r="M34" s="11" t="s">
        <v>26</v>
      </c>
      <c r="N34" s="11">
        <v>2</v>
      </c>
      <c r="O34" s="11" t="s">
        <v>167</v>
      </c>
      <c r="P34" s="11" t="s">
        <v>79</v>
      </c>
      <c r="Q34" s="11" t="s">
        <v>29</v>
      </c>
    </row>
    <row r="35" spans="1:17" x14ac:dyDescent="0.2">
      <c r="A35" s="10">
        <v>45816</v>
      </c>
      <c r="B35" s="11" t="s">
        <v>7674</v>
      </c>
      <c r="C35" s="11"/>
      <c r="D35" s="11" t="s">
        <v>7675</v>
      </c>
      <c r="E35" s="11" t="s">
        <v>21</v>
      </c>
      <c r="F35" s="11" t="s">
        <v>70</v>
      </c>
      <c r="G35" s="12">
        <v>8600</v>
      </c>
      <c r="H35" s="12">
        <v>8600</v>
      </c>
      <c r="I35" s="11" t="s">
        <v>23</v>
      </c>
      <c r="J35" s="11" t="s">
        <v>23</v>
      </c>
      <c r="K35" s="11" t="s">
        <v>7676</v>
      </c>
      <c r="L35" s="11" t="s">
        <v>3596</v>
      </c>
      <c r="M35" s="11" t="s">
        <v>26</v>
      </c>
      <c r="N35" s="11">
        <v>2</v>
      </c>
      <c r="O35" s="11" t="s">
        <v>73</v>
      </c>
      <c r="P35" s="11" t="s">
        <v>79</v>
      </c>
      <c r="Q35" s="11" t="s">
        <v>29</v>
      </c>
    </row>
    <row r="36" spans="1:17" x14ac:dyDescent="0.2">
      <c r="A36" s="10">
        <v>45973</v>
      </c>
      <c r="B36" s="11" t="s">
        <v>7701</v>
      </c>
      <c r="C36" s="11"/>
      <c r="D36" s="11" t="s">
        <v>7702</v>
      </c>
      <c r="E36" s="11" t="s">
        <v>21</v>
      </c>
      <c r="F36" s="11" t="s">
        <v>70</v>
      </c>
      <c r="G36" s="12">
        <v>10000</v>
      </c>
      <c r="H36" s="12">
        <v>9000</v>
      </c>
      <c r="I36" s="11" t="s">
        <v>23</v>
      </c>
      <c r="J36" s="11" t="s">
        <v>23</v>
      </c>
      <c r="K36" s="11" t="s">
        <v>7702</v>
      </c>
      <c r="L36" s="11" t="s">
        <v>4514</v>
      </c>
      <c r="M36" s="11" t="s">
        <v>26</v>
      </c>
      <c r="N36" s="11">
        <v>2</v>
      </c>
      <c r="O36" s="11" t="s">
        <v>167</v>
      </c>
      <c r="P36" s="11" t="s">
        <v>79</v>
      </c>
      <c r="Q36" s="11" t="s">
        <v>29</v>
      </c>
    </row>
    <row r="37" spans="1:17" x14ac:dyDescent="0.2">
      <c r="A37" s="10">
        <v>45926</v>
      </c>
      <c r="B37" s="11" t="s">
        <v>7707</v>
      </c>
      <c r="C37" s="11"/>
      <c r="D37" s="11" t="s">
        <v>7708</v>
      </c>
      <c r="E37" s="11" t="s">
        <v>21</v>
      </c>
      <c r="F37" s="11" t="s">
        <v>22</v>
      </c>
      <c r="G37" s="12">
        <v>450000</v>
      </c>
      <c r="H37" s="12">
        <v>9000</v>
      </c>
      <c r="I37" s="11" t="s">
        <v>23</v>
      </c>
      <c r="J37" s="11" t="s">
        <v>1927</v>
      </c>
      <c r="K37" s="11" t="s">
        <v>7709</v>
      </c>
      <c r="L37" s="11" t="s">
        <v>1907</v>
      </c>
      <c r="M37" s="11" t="s">
        <v>45</v>
      </c>
      <c r="N37" s="11">
        <v>2</v>
      </c>
      <c r="O37" s="11" t="s">
        <v>62</v>
      </c>
      <c r="P37" s="11" t="s">
        <v>28</v>
      </c>
      <c r="Q37" s="11" t="s">
        <v>29</v>
      </c>
    </row>
    <row r="38" spans="1:17" x14ac:dyDescent="0.2">
      <c r="A38" s="10">
        <v>45897</v>
      </c>
      <c r="B38" s="11" t="s">
        <v>7710</v>
      </c>
      <c r="C38" s="11"/>
      <c r="D38" s="11" t="s">
        <v>7711</v>
      </c>
      <c r="E38" s="11" t="s">
        <v>21</v>
      </c>
      <c r="F38" s="11" t="s">
        <v>70</v>
      </c>
      <c r="G38" s="12">
        <v>11000</v>
      </c>
      <c r="H38" s="12">
        <v>9000</v>
      </c>
      <c r="I38" s="11" t="s">
        <v>23</v>
      </c>
      <c r="J38" s="11" t="s">
        <v>23</v>
      </c>
      <c r="K38" s="11" t="s">
        <v>7712</v>
      </c>
      <c r="L38" s="11" t="s">
        <v>7673</v>
      </c>
      <c r="M38" s="11" t="s">
        <v>26</v>
      </c>
      <c r="N38" s="11">
        <v>2</v>
      </c>
      <c r="O38" s="11" t="s">
        <v>73</v>
      </c>
      <c r="P38" s="11" t="s">
        <v>28</v>
      </c>
      <c r="Q38" s="11" t="s">
        <v>29</v>
      </c>
    </row>
    <row r="39" spans="1:17" x14ac:dyDescent="0.2">
      <c r="A39" s="10">
        <v>45780</v>
      </c>
      <c r="B39" s="11" t="s">
        <v>7684</v>
      </c>
      <c r="C39" s="11"/>
      <c r="D39" s="11" t="s">
        <v>7685</v>
      </c>
      <c r="E39" s="11" t="s">
        <v>21</v>
      </c>
      <c r="F39" s="11" t="s">
        <v>100</v>
      </c>
      <c r="G39" s="12">
        <v>9000</v>
      </c>
      <c r="H39" s="12">
        <v>9000</v>
      </c>
      <c r="I39" s="11" t="s">
        <v>23</v>
      </c>
      <c r="J39" s="11" t="s">
        <v>23</v>
      </c>
      <c r="K39" s="11" t="s">
        <v>7686</v>
      </c>
      <c r="L39" s="11" t="s">
        <v>2752</v>
      </c>
      <c r="M39" s="11" t="s">
        <v>26</v>
      </c>
      <c r="N39" s="11">
        <v>2</v>
      </c>
      <c r="O39" s="11" t="s">
        <v>103</v>
      </c>
      <c r="P39" s="11" t="s">
        <v>28</v>
      </c>
      <c r="Q39" s="11" t="s">
        <v>29</v>
      </c>
    </row>
    <row r="40" spans="1:17" x14ac:dyDescent="0.2">
      <c r="A40" s="10">
        <v>45780</v>
      </c>
      <c r="B40" s="11" t="s">
        <v>7684</v>
      </c>
      <c r="C40" s="11"/>
      <c r="D40" s="11" t="s">
        <v>7685</v>
      </c>
      <c r="E40" s="11" t="s">
        <v>21</v>
      </c>
      <c r="F40" s="11" t="s">
        <v>81</v>
      </c>
      <c r="G40" s="12">
        <v>9000</v>
      </c>
      <c r="H40" s="12">
        <v>9000</v>
      </c>
      <c r="I40" s="11" t="s">
        <v>23</v>
      </c>
      <c r="J40" s="11" t="s">
        <v>23</v>
      </c>
      <c r="K40" s="11" t="s">
        <v>7686</v>
      </c>
      <c r="L40" s="11" t="s">
        <v>2752</v>
      </c>
      <c r="M40" s="11" t="s">
        <v>26</v>
      </c>
      <c r="N40" s="11">
        <v>2</v>
      </c>
      <c r="O40" s="11" t="s">
        <v>103</v>
      </c>
      <c r="P40" s="11" t="s">
        <v>28</v>
      </c>
      <c r="Q40" s="11" t="s">
        <v>29</v>
      </c>
    </row>
    <row r="41" spans="1:17" x14ac:dyDescent="0.2">
      <c r="A41" s="10">
        <v>46094</v>
      </c>
      <c r="B41" s="11" t="s">
        <v>7713</v>
      </c>
      <c r="C41" s="11"/>
      <c r="D41" s="11" t="s">
        <v>7714</v>
      </c>
      <c r="E41" s="11" t="s">
        <v>21</v>
      </c>
      <c r="F41" s="11" t="s">
        <v>37</v>
      </c>
      <c r="G41" s="12">
        <v>0</v>
      </c>
      <c r="H41" s="12">
        <v>9500</v>
      </c>
      <c r="I41" s="11" t="s">
        <v>23</v>
      </c>
      <c r="J41" s="11" t="s">
        <v>23</v>
      </c>
      <c r="K41" s="11"/>
      <c r="L41" s="11" t="s">
        <v>7715</v>
      </c>
      <c r="M41" s="11" t="s">
        <v>26</v>
      </c>
      <c r="N41" s="11">
        <v>1</v>
      </c>
      <c r="O41" s="11" t="s">
        <v>151</v>
      </c>
      <c r="P41" s="11" t="s">
        <v>122</v>
      </c>
      <c r="Q41" s="11" t="s">
        <v>29</v>
      </c>
    </row>
    <row r="42" spans="1:17" x14ac:dyDescent="0.2">
      <c r="A42" s="10">
        <v>45841</v>
      </c>
      <c r="B42" s="11" t="s">
        <v>7716</v>
      </c>
      <c r="C42" s="11"/>
      <c r="D42" s="11" t="s">
        <v>7717</v>
      </c>
      <c r="E42" s="11" t="s">
        <v>21</v>
      </c>
      <c r="F42" s="11" t="s">
        <v>100</v>
      </c>
      <c r="G42" s="12">
        <v>10000</v>
      </c>
      <c r="H42" s="12">
        <v>9500</v>
      </c>
      <c r="I42" s="11" t="s">
        <v>23</v>
      </c>
      <c r="J42" s="11" t="s">
        <v>23</v>
      </c>
      <c r="K42" s="11" t="s">
        <v>285</v>
      </c>
      <c r="L42" s="11" t="s">
        <v>209</v>
      </c>
      <c r="M42" s="11" t="s">
        <v>1625</v>
      </c>
      <c r="N42" s="11">
        <v>2</v>
      </c>
      <c r="O42" s="11" t="s">
        <v>121</v>
      </c>
      <c r="P42" s="11" t="s">
        <v>28</v>
      </c>
      <c r="Q42" s="11" t="s">
        <v>29</v>
      </c>
    </row>
    <row r="43" spans="1:17" x14ac:dyDescent="0.2">
      <c r="A43" s="10">
        <v>45761</v>
      </c>
      <c r="B43" s="11" t="s">
        <v>7718</v>
      </c>
      <c r="C43" s="11"/>
      <c r="D43" s="11" t="s">
        <v>7719</v>
      </c>
      <c r="E43" s="11" t="s">
        <v>21</v>
      </c>
      <c r="F43" s="11" t="s">
        <v>81</v>
      </c>
      <c r="G43" s="12">
        <v>10500</v>
      </c>
      <c r="H43" s="12">
        <v>9551</v>
      </c>
      <c r="I43" s="11" t="s">
        <v>23</v>
      </c>
      <c r="J43" s="11" t="s">
        <v>23</v>
      </c>
      <c r="K43" s="11" t="s">
        <v>7720</v>
      </c>
      <c r="L43" s="11" t="s">
        <v>7721</v>
      </c>
      <c r="M43" s="11" t="s">
        <v>26</v>
      </c>
      <c r="N43" s="11">
        <v>2</v>
      </c>
      <c r="O43" s="11" t="s">
        <v>482</v>
      </c>
      <c r="P43" s="11" t="s">
        <v>79</v>
      </c>
      <c r="Q43" s="11" t="s">
        <v>29</v>
      </c>
    </row>
    <row r="44" spans="1:17" x14ac:dyDescent="0.2">
      <c r="A44" s="10">
        <v>45854</v>
      </c>
      <c r="B44" s="11" t="s">
        <v>7722</v>
      </c>
      <c r="C44" s="11"/>
      <c r="D44" s="11" t="s">
        <v>7723</v>
      </c>
      <c r="E44" s="11" t="s">
        <v>21</v>
      </c>
      <c r="F44" s="11" t="s">
        <v>76</v>
      </c>
      <c r="G44" s="12">
        <v>9600</v>
      </c>
      <c r="H44" s="12">
        <v>9600</v>
      </c>
      <c r="I44" s="11" t="s">
        <v>23</v>
      </c>
      <c r="J44" s="11" t="s">
        <v>23</v>
      </c>
      <c r="K44" s="11" t="s">
        <v>7724</v>
      </c>
      <c r="L44" s="11" t="s">
        <v>7725</v>
      </c>
      <c r="M44" s="11" t="s">
        <v>26</v>
      </c>
      <c r="N44" s="11">
        <v>2</v>
      </c>
      <c r="O44" s="11" t="s">
        <v>73</v>
      </c>
      <c r="P44" s="11" t="s">
        <v>79</v>
      </c>
      <c r="Q44" s="11" t="s">
        <v>29</v>
      </c>
    </row>
    <row r="45" spans="1:17" x14ac:dyDescent="0.2">
      <c r="A45" s="10">
        <v>46065</v>
      </c>
      <c r="B45" s="11" t="s">
        <v>7726</v>
      </c>
      <c r="C45" s="11"/>
      <c r="D45" s="11" t="s">
        <v>7727</v>
      </c>
      <c r="E45" s="11" t="s">
        <v>21</v>
      </c>
      <c r="F45" s="11" t="s">
        <v>70</v>
      </c>
      <c r="G45" s="12">
        <v>10500</v>
      </c>
      <c r="H45" s="12">
        <v>9965</v>
      </c>
      <c r="I45" s="11" t="s">
        <v>23</v>
      </c>
      <c r="J45" s="11" t="s">
        <v>23</v>
      </c>
      <c r="K45" s="11" t="s">
        <v>7728</v>
      </c>
      <c r="L45" s="11" t="s">
        <v>3596</v>
      </c>
      <c r="M45" s="11" t="s">
        <v>26</v>
      </c>
      <c r="N45" s="11">
        <v>2</v>
      </c>
      <c r="O45" s="11" t="s">
        <v>73</v>
      </c>
      <c r="P45" s="11" t="s">
        <v>28</v>
      </c>
      <c r="Q45" s="11" t="s">
        <v>29</v>
      </c>
    </row>
    <row r="46" spans="1:17" x14ac:dyDescent="0.2">
      <c r="A46" s="10">
        <v>46063</v>
      </c>
      <c r="B46" s="11" t="s">
        <v>7729</v>
      </c>
      <c r="C46" s="11"/>
      <c r="D46" s="11" t="s">
        <v>7730</v>
      </c>
      <c r="E46" s="11" t="s">
        <v>21</v>
      </c>
      <c r="F46" s="11" t="s">
        <v>37</v>
      </c>
      <c r="G46" s="12">
        <v>10000</v>
      </c>
      <c r="H46" s="12">
        <v>10000</v>
      </c>
      <c r="I46" s="11" t="s">
        <v>23</v>
      </c>
      <c r="J46" s="11" t="s">
        <v>23</v>
      </c>
      <c r="K46" s="11" t="s">
        <v>7731</v>
      </c>
      <c r="L46" s="11" t="s">
        <v>7732</v>
      </c>
      <c r="M46" s="11" t="s">
        <v>26</v>
      </c>
      <c r="N46" s="11">
        <v>2</v>
      </c>
      <c r="O46" s="11" t="s">
        <v>73</v>
      </c>
      <c r="P46" s="11" t="s">
        <v>28</v>
      </c>
      <c r="Q46" s="11" t="s">
        <v>29</v>
      </c>
    </row>
    <row r="47" spans="1:17" x14ac:dyDescent="0.2">
      <c r="A47" s="10">
        <v>46056</v>
      </c>
      <c r="B47" s="11" t="s">
        <v>7733</v>
      </c>
      <c r="C47" s="11"/>
      <c r="D47" s="11" t="s">
        <v>7734</v>
      </c>
      <c r="E47" s="11" t="s">
        <v>21</v>
      </c>
      <c r="F47" s="11" t="s">
        <v>70</v>
      </c>
      <c r="G47" s="12">
        <v>10500</v>
      </c>
      <c r="H47" s="12">
        <v>10000</v>
      </c>
      <c r="I47" s="11" t="s">
        <v>23</v>
      </c>
      <c r="J47" s="11" t="s">
        <v>23</v>
      </c>
      <c r="K47" s="11" t="s">
        <v>7735</v>
      </c>
      <c r="L47" s="11" t="s">
        <v>1116</v>
      </c>
      <c r="M47" s="11" t="s">
        <v>26</v>
      </c>
      <c r="N47" s="11">
        <v>2</v>
      </c>
      <c r="O47" s="11" t="s">
        <v>73</v>
      </c>
      <c r="P47" s="11" t="s">
        <v>28</v>
      </c>
      <c r="Q47" s="11" t="s">
        <v>29</v>
      </c>
    </row>
    <row r="48" spans="1:17" x14ac:dyDescent="0.2">
      <c r="A48" s="10">
        <v>46036</v>
      </c>
      <c r="B48" s="11" t="s">
        <v>7684</v>
      </c>
      <c r="C48" s="11"/>
      <c r="D48" s="11" t="s">
        <v>7685</v>
      </c>
      <c r="E48" s="11" t="s">
        <v>21</v>
      </c>
      <c r="F48" s="11" t="s">
        <v>37</v>
      </c>
      <c r="G48" s="12">
        <v>10000</v>
      </c>
      <c r="H48" s="12">
        <v>10000</v>
      </c>
      <c r="I48" s="11" t="s">
        <v>23</v>
      </c>
      <c r="J48" s="11" t="s">
        <v>23</v>
      </c>
      <c r="K48" s="11" t="s">
        <v>7686</v>
      </c>
      <c r="L48" s="11" t="s">
        <v>2752</v>
      </c>
      <c r="M48" s="11" t="s">
        <v>26</v>
      </c>
      <c r="N48" s="11">
        <v>2</v>
      </c>
      <c r="O48" s="11" t="s">
        <v>103</v>
      </c>
      <c r="P48" s="11" t="s">
        <v>28</v>
      </c>
      <c r="Q48" s="11" t="s">
        <v>29</v>
      </c>
    </row>
    <row r="49" spans="1:17" x14ac:dyDescent="0.2">
      <c r="A49" s="10">
        <v>46028</v>
      </c>
      <c r="B49" s="11" t="s">
        <v>7736</v>
      </c>
      <c r="C49" s="11"/>
      <c r="D49" s="11" t="s">
        <v>7737</v>
      </c>
      <c r="E49" s="11" t="s">
        <v>21</v>
      </c>
      <c r="F49" s="11" t="s">
        <v>70</v>
      </c>
      <c r="G49" s="12">
        <v>12000</v>
      </c>
      <c r="H49" s="12">
        <v>10000</v>
      </c>
      <c r="I49" s="11" t="s">
        <v>23</v>
      </c>
      <c r="J49" s="11" t="s">
        <v>23</v>
      </c>
      <c r="K49" s="11" t="s">
        <v>7738</v>
      </c>
      <c r="L49" s="11" t="s">
        <v>223</v>
      </c>
      <c r="M49" s="11" t="s">
        <v>26</v>
      </c>
      <c r="N49" s="11">
        <v>2</v>
      </c>
      <c r="O49" s="11" t="s">
        <v>167</v>
      </c>
      <c r="P49" s="11" t="s">
        <v>28</v>
      </c>
      <c r="Q49" s="11" t="s">
        <v>29</v>
      </c>
    </row>
    <row r="50" spans="1:17" x14ac:dyDescent="0.2">
      <c r="A50" s="10">
        <v>45992</v>
      </c>
      <c r="B50" s="11" t="s">
        <v>578</v>
      </c>
      <c r="C50" s="11"/>
      <c r="D50" s="11" t="s">
        <v>579</v>
      </c>
      <c r="E50" s="11" t="s">
        <v>21</v>
      </c>
      <c r="F50" s="11" t="s">
        <v>37</v>
      </c>
      <c r="G50" s="12">
        <v>115000</v>
      </c>
      <c r="H50" s="12">
        <v>10000</v>
      </c>
      <c r="I50" s="11" t="s">
        <v>23</v>
      </c>
      <c r="J50" s="11" t="s">
        <v>23</v>
      </c>
      <c r="K50" s="11" t="s">
        <v>580</v>
      </c>
      <c r="L50" s="11" t="s">
        <v>581</v>
      </c>
      <c r="M50" s="11" t="s">
        <v>34</v>
      </c>
      <c r="N50" s="11">
        <v>1</v>
      </c>
      <c r="O50" s="11" t="s">
        <v>151</v>
      </c>
      <c r="P50" s="11" t="s">
        <v>122</v>
      </c>
      <c r="Q50" s="11" t="s">
        <v>29</v>
      </c>
    </row>
    <row r="51" spans="1:17" x14ac:dyDescent="0.2">
      <c r="A51" s="10">
        <v>45981</v>
      </c>
      <c r="B51" s="11" t="s">
        <v>7739</v>
      </c>
      <c r="C51" s="11"/>
      <c r="D51" s="11" t="s">
        <v>7740</v>
      </c>
      <c r="E51" s="11" t="s">
        <v>21</v>
      </c>
      <c r="F51" s="11" t="s">
        <v>37</v>
      </c>
      <c r="G51" s="12">
        <v>13000</v>
      </c>
      <c r="H51" s="12">
        <v>10000</v>
      </c>
      <c r="I51" s="11" t="s">
        <v>23</v>
      </c>
      <c r="J51" s="11" t="s">
        <v>23</v>
      </c>
      <c r="K51" s="11" t="s">
        <v>7741</v>
      </c>
      <c r="L51" s="11" t="s">
        <v>7742</v>
      </c>
      <c r="M51" s="11" t="s">
        <v>26</v>
      </c>
      <c r="N51" s="11">
        <v>2</v>
      </c>
      <c r="O51" s="11" t="s">
        <v>670</v>
      </c>
      <c r="P51" s="11" t="s">
        <v>28</v>
      </c>
      <c r="Q51" s="11" t="s">
        <v>29</v>
      </c>
    </row>
    <row r="52" spans="1:17" x14ac:dyDescent="0.2">
      <c r="A52" s="10">
        <v>45965</v>
      </c>
      <c r="B52" s="11" t="s">
        <v>7743</v>
      </c>
      <c r="C52" s="11"/>
      <c r="D52" s="11" t="s">
        <v>7744</v>
      </c>
      <c r="E52" s="11" t="s">
        <v>21</v>
      </c>
      <c r="F52" s="11" t="s">
        <v>81</v>
      </c>
      <c r="G52" s="12">
        <v>10500</v>
      </c>
      <c r="H52" s="12">
        <v>10000</v>
      </c>
      <c r="I52" s="11" t="s">
        <v>23</v>
      </c>
      <c r="J52" s="11" t="s">
        <v>23</v>
      </c>
      <c r="K52" s="11" t="s">
        <v>7745</v>
      </c>
      <c r="L52" s="11" t="s">
        <v>7746</v>
      </c>
      <c r="M52" s="11" t="s">
        <v>26</v>
      </c>
      <c r="N52" s="11">
        <v>2</v>
      </c>
      <c r="O52" s="11" t="s">
        <v>482</v>
      </c>
      <c r="P52" s="11" t="s">
        <v>28</v>
      </c>
      <c r="Q52" s="11" t="s">
        <v>29</v>
      </c>
    </row>
    <row r="53" spans="1:17" x14ac:dyDescent="0.2">
      <c r="A53" s="10">
        <v>45938</v>
      </c>
      <c r="B53" s="11" t="s">
        <v>7747</v>
      </c>
      <c r="C53" s="11"/>
      <c r="D53" s="11" t="s">
        <v>7748</v>
      </c>
      <c r="E53" s="11" t="s">
        <v>21</v>
      </c>
      <c r="F53" s="11" t="s">
        <v>81</v>
      </c>
      <c r="G53" s="12">
        <v>13000</v>
      </c>
      <c r="H53" s="12">
        <v>10000</v>
      </c>
      <c r="I53" s="11" t="s">
        <v>23</v>
      </c>
      <c r="J53" s="11" t="s">
        <v>23</v>
      </c>
      <c r="K53" s="11" t="s">
        <v>7749</v>
      </c>
      <c r="L53" s="11" t="s">
        <v>7750</v>
      </c>
      <c r="M53" s="11" t="s">
        <v>26</v>
      </c>
      <c r="N53" s="11">
        <v>2</v>
      </c>
      <c r="O53" s="11" t="s">
        <v>167</v>
      </c>
      <c r="P53" s="11" t="s">
        <v>28</v>
      </c>
      <c r="Q53" s="11" t="s">
        <v>29</v>
      </c>
    </row>
    <row r="54" spans="1:17" x14ac:dyDescent="0.2">
      <c r="A54" s="10">
        <v>45856</v>
      </c>
      <c r="B54" s="11" t="s">
        <v>7684</v>
      </c>
      <c r="C54" s="11"/>
      <c r="D54" s="11" t="s">
        <v>7685</v>
      </c>
      <c r="E54" s="11" t="s">
        <v>21</v>
      </c>
      <c r="F54" s="11" t="s">
        <v>37</v>
      </c>
      <c r="G54" s="12">
        <v>12000</v>
      </c>
      <c r="H54" s="12">
        <v>10000</v>
      </c>
      <c r="I54" s="11" t="s">
        <v>23</v>
      </c>
      <c r="J54" s="11" t="s">
        <v>23</v>
      </c>
      <c r="K54" s="11" t="s">
        <v>7686</v>
      </c>
      <c r="L54" s="11" t="s">
        <v>2752</v>
      </c>
      <c r="M54" s="11" t="s">
        <v>26</v>
      </c>
      <c r="N54" s="11">
        <v>2</v>
      </c>
      <c r="O54" s="11" t="s">
        <v>103</v>
      </c>
      <c r="P54" s="11" t="s">
        <v>28</v>
      </c>
      <c r="Q54" s="11" t="s">
        <v>29</v>
      </c>
    </row>
    <row r="55" spans="1:17" x14ac:dyDescent="0.2">
      <c r="A55" s="10">
        <v>45853</v>
      </c>
      <c r="B55" s="11" t="s">
        <v>7751</v>
      </c>
      <c r="C55" s="11"/>
      <c r="D55" s="11" t="s">
        <v>7752</v>
      </c>
      <c r="E55" s="11" t="s">
        <v>21</v>
      </c>
      <c r="F55" s="11" t="s">
        <v>37</v>
      </c>
      <c r="G55" s="12">
        <v>10000</v>
      </c>
      <c r="H55" s="12">
        <v>10000</v>
      </c>
      <c r="I55" s="11" t="s">
        <v>23</v>
      </c>
      <c r="J55" s="11" t="s">
        <v>23</v>
      </c>
      <c r="K55" s="11" t="s">
        <v>7753</v>
      </c>
      <c r="L55" s="11" t="s">
        <v>105</v>
      </c>
      <c r="M55" s="11" t="s">
        <v>1625</v>
      </c>
      <c r="N55" s="11">
        <v>2</v>
      </c>
      <c r="O55" s="11" t="s">
        <v>135</v>
      </c>
      <c r="P55" s="11" t="s">
        <v>28</v>
      </c>
      <c r="Q55" s="11" t="s">
        <v>29</v>
      </c>
    </row>
    <row r="56" spans="1:17" x14ac:dyDescent="0.2">
      <c r="A56" s="10">
        <v>45839</v>
      </c>
      <c r="B56" s="11" t="s">
        <v>7684</v>
      </c>
      <c r="C56" s="11"/>
      <c r="D56" s="11" t="s">
        <v>7685</v>
      </c>
      <c r="E56" s="11" t="s">
        <v>21</v>
      </c>
      <c r="F56" s="11" t="s">
        <v>37</v>
      </c>
      <c r="G56" s="12">
        <v>12000</v>
      </c>
      <c r="H56" s="12">
        <v>10000</v>
      </c>
      <c r="I56" s="11" t="s">
        <v>23</v>
      </c>
      <c r="J56" s="11" t="s">
        <v>23</v>
      </c>
      <c r="K56" s="11" t="s">
        <v>7686</v>
      </c>
      <c r="L56" s="11" t="s">
        <v>2752</v>
      </c>
      <c r="M56" s="11" t="s">
        <v>26</v>
      </c>
      <c r="N56" s="11">
        <v>2</v>
      </c>
      <c r="O56" s="11" t="s">
        <v>103</v>
      </c>
      <c r="P56" s="11" t="s">
        <v>28</v>
      </c>
      <c r="Q56" s="11" t="s">
        <v>29</v>
      </c>
    </row>
    <row r="57" spans="1:17" x14ac:dyDescent="0.2">
      <c r="A57" s="10">
        <v>45839</v>
      </c>
      <c r="B57" s="11" t="s">
        <v>7684</v>
      </c>
      <c r="C57" s="11"/>
      <c r="D57" s="11" t="s">
        <v>7685</v>
      </c>
      <c r="E57" s="11" t="s">
        <v>21</v>
      </c>
      <c r="F57" s="11" t="s">
        <v>37</v>
      </c>
      <c r="G57" s="12">
        <v>12000</v>
      </c>
      <c r="H57" s="12">
        <v>10000</v>
      </c>
      <c r="I57" s="11" t="s">
        <v>23</v>
      </c>
      <c r="J57" s="11" t="s">
        <v>23</v>
      </c>
      <c r="K57" s="11" t="s">
        <v>7686</v>
      </c>
      <c r="L57" s="11" t="s">
        <v>2752</v>
      </c>
      <c r="M57" s="11" t="s">
        <v>26</v>
      </c>
      <c r="N57" s="11">
        <v>2</v>
      </c>
      <c r="O57" s="11" t="s">
        <v>103</v>
      </c>
      <c r="P57" s="11" t="s">
        <v>28</v>
      </c>
      <c r="Q57" s="11" t="s">
        <v>29</v>
      </c>
    </row>
    <row r="58" spans="1:17" x14ac:dyDescent="0.2">
      <c r="A58" s="10">
        <v>45837</v>
      </c>
      <c r="B58" s="11" t="s">
        <v>7754</v>
      </c>
      <c r="C58" s="11"/>
      <c r="D58" s="11" t="s">
        <v>7755</v>
      </c>
      <c r="E58" s="11" t="s">
        <v>21</v>
      </c>
      <c r="F58" s="11" t="s">
        <v>37</v>
      </c>
      <c r="G58" s="12">
        <v>155000</v>
      </c>
      <c r="H58" s="12">
        <v>10000</v>
      </c>
      <c r="I58" s="11" t="s">
        <v>23</v>
      </c>
      <c r="J58" s="11" t="s">
        <v>23</v>
      </c>
      <c r="K58" s="11" t="s">
        <v>7756</v>
      </c>
      <c r="L58" s="11" t="s">
        <v>4177</v>
      </c>
      <c r="M58" s="11" t="s">
        <v>34</v>
      </c>
      <c r="N58" s="11">
        <v>2</v>
      </c>
      <c r="O58" s="11" t="s">
        <v>110</v>
      </c>
      <c r="P58" s="11" t="s">
        <v>28</v>
      </c>
      <c r="Q58" s="11" t="s">
        <v>29</v>
      </c>
    </row>
    <row r="59" spans="1:17" x14ac:dyDescent="0.2">
      <c r="A59" s="10">
        <v>45775</v>
      </c>
      <c r="B59" s="11" t="s">
        <v>7757</v>
      </c>
      <c r="C59" s="11"/>
      <c r="D59" s="11" t="s">
        <v>7758</v>
      </c>
      <c r="E59" s="11" t="s">
        <v>21</v>
      </c>
      <c r="F59" s="11" t="s">
        <v>76</v>
      </c>
      <c r="G59" s="12">
        <v>10000</v>
      </c>
      <c r="H59" s="12">
        <v>10000</v>
      </c>
      <c r="I59" s="11" t="s">
        <v>23</v>
      </c>
      <c r="J59" s="11" t="s">
        <v>23</v>
      </c>
      <c r="K59" s="11" t="s">
        <v>7759</v>
      </c>
      <c r="L59" s="11" t="s">
        <v>7760</v>
      </c>
      <c r="M59" s="11" t="s">
        <v>26</v>
      </c>
      <c r="N59" s="11">
        <v>2</v>
      </c>
      <c r="O59" s="11" t="s">
        <v>482</v>
      </c>
      <c r="P59" s="11" t="s">
        <v>79</v>
      </c>
      <c r="Q59" s="11" t="s">
        <v>29</v>
      </c>
    </row>
    <row r="60" spans="1:17" x14ac:dyDescent="0.2">
      <c r="A60" s="10">
        <v>45760</v>
      </c>
      <c r="B60" s="11"/>
      <c r="C60" s="11"/>
      <c r="D60" s="11" t="s">
        <v>7761</v>
      </c>
      <c r="E60" s="11" t="s">
        <v>21</v>
      </c>
      <c r="F60" s="11" t="s">
        <v>97</v>
      </c>
      <c r="G60" s="12">
        <v>10000</v>
      </c>
      <c r="H60" s="12">
        <v>10000</v>
      </c>
      <c r="I60" s="11" t="s">
        <v>23</v>
      </c>
      <c r="J60" s="11" t="s">
        <v>23</v>
      </c>
      <c r="K60" s="11"/>
      <c r="L60" s="11" t="s">
        <v>6276</v>
      </c>
      <c r="M60" s="11" t="s">
        <v>26</v>
      </c>
      <c r="N60" s="11">
        <v>1</v>
      </c>
      <c r="O60" s="11" t="s">
        <v>130</v>
      </c>
      <c r="P60" s="11" t="s">
        <v>122</v>
      </c>
      <c r="Q60" s="11" t="s">
        <v>29</v>
      </c>
    </row>
    <row r="61" spans="1:17" x14ac:dyDescent="0.2">
      <c r="A61" s="10">
        <v>45713</v>
      </c>
      <c r="B61" s="11"/>
      <c r="C61" s="11"/>
      <c r="D61" s="11" t="s">
        <v>7762</v>
      </c>
      <c r="E61" s="11" t="s">
        <v>21</v>
      </c>
      <c r="F61" s="11" t="s">
        <v>81</v>
      </c>
      <c r="G61" s="12">
        <v>10000</v>
      </c>
      <c r="H61" s="12">
        <v>10000</v>
      </c>
      <c r="I61" s="11" t="s">
        <v>23</v>
      </c>
      <c r="J61" s="11" t="s">
        <v>23</v>
      </c>
      <c r="K61" s="11"/>
      <c r="L61" s="11" t="s">
        <v>6276</v>
      </c>
      <c r="M61" s="11" t="s">
        <v>26</v>
      </c>
      <c r="N61" s="11">
        <v>1</v>
      </c>
      <c r="O61" s="11" t="s">
        <v>130</v>
      </c>
      <c r="P61" s="11" t="s">
        <v>122</v>
      </c>
      <c r="Q61" s="11" t="s">
        <v>29</v>
      </c>
    </row>
    <row r="62" spans="1:17" x14ac:dyDescent="0.2">
      <c r="A62" s="10">
        <v>45700</v>
      </c>
      <c r="B62" s="11" t="s">
        <v>7763</v>
      </c>
      <c r="C62" s="11"/>
      <c r="D62" s="11" t="s">
        <v>7764</v>
      </c>
      <c r="E62" s="11" t="s">
        <v>21</v>
      </c>
      <c r="F62" s="11" t="s">
        <v>90</v>
      </c>
      <c r="G62" s="12">
        <v>10500</v>
      </c>
      <c r="H62" s="12">
        <v>10000</v>
      </c>
      <c r="I62" s="11" t="s">
        <v>23</v>
      </c>
      <c r="J62" s="11" t="s">
        <v>23</v>
      </c>
      <c r="K62" s="11" t="s">
        <v>7765</v>
      </c>
      <c r="L62" s="11" t="s">
        <v>1958</v>
      </c>
      <c r="M62" s="11" t="s">
        <v>1625</v>
      </c>
      <c r="N62" s="11">
        <v>2</v>
      </c>
      <c r="O62" s="11" t="s">
        <v>103</v>
      </c>
      <c r="P62" s="11" t="s">
        <v>28</v>
      </c>
      <c r="Q62" s="11" t="s">
        <v>29</v>
      </c>
    </row>
    <row r="63" spans="1:17" x14ac:dyDescent="0.2">
      <c r="A63" s="10">
        <v>46108</v>
      </c>
      <c r="B63" s="11" t="s">
        <v>7766</v>
      </c>
      <c r="C63" s="11"/>
      <c r="D63" s="11" t="s">
        <v>7767</v>
      </c>
      <c r="E63" s="11" t="s">
        <v>21</v>
      </c>
      <c r="F63" s="11" t="s">
        <v>37</v>
      </c>
      <c r="G63" s="12">
        <v>15000</v>
      </c>
      <c r="H63" s="12">
        <v>10500</v>
      </c>
      <c r="I63" s="11" t="s">
        <v>23</v>
      </c>
      <c r="J63" s="11" t="s">
        <v>23</v>
      </c>
      <c r="K63" s="11" t="s">
        <v>7768</v>
      </c>
      <c r="L63" s="11" t="s">
        <v>66</v>
      </c>
      <c r="M63" s="11" t="s">
        <v>1625</v>
      </c>
      <c r="N63" s="11">
        <v>2</v>
      </c>
      <c r="O63" s="11" t="s">
        <v>62</v>
      </c>
      <c r="P63" s="11" t="s">
        <v>28</v>
      </c>
      <c r="Q63" s="11" t="s">
        <v>29</v>
      </c>
    </row>
    <row r="64" spans="1:17" x14ac:dyDescent="0.2">
      <c r="A64" s="10">
        <v>46087</v>
      </c>
      <c r="B64" s="11" t="s">
        <v>7769</v>
      </c>
      <c r="C64" s="11"/>
      <c r="D64" s="11" t="s">
        <v>7770</v>
      </c>
      <c r="E64" s="11" t="s">
        <v>21</v>
      </c>
      <c r="F64" s="11" t="s">
        <v>70</v>
      </c>
      <c r="G64" s="12">
        <v>10500</v>
      </c>
      <c r="H64" s="12">
        <v>10500</v>
      </c>
      <c r="I64" s="11" t="s">
        <v>23</v>
      </c>
      <c r="J64" s="11" t="s">
        <v>23</v>
      </c>
      <c r="K64" s="11" t="s">
        <v>7728</v>
      </c>
      <c r="L64" s="11" t="s">
        <v>3596</v>
      </c>
      <c r="M64" s="11" t="s">
        <v>26</v>
      </c>
      <c r="N64" s="11">
        <v>2</v>
      </c>
      <c r="O64" s="11" t="s">
        <v>73</v>
      </c>
      <c r="P64" s="11" t="s">
        <v>28</v>
      </c>
      <c r="Q64" s="11" t="s">
        <v>29</v>
      </c>
    </row>
    <row r="65" spans="1:17" x14ac:dyDescent="0.2">
      <c r="A65" s="10">
        <v>45912</v>
      </c>
      <c r="B65" s="11" t="s">
        <v>7771</v>
      </c>
      <c r="C65" s="11"/>
      <c r="D65" s="11" t="s">
        <v>7772</v>
      </c>
      <c r="E65" s="11" t="s">
        <v>21</v>
      </c>
      <c r="F65" s="11" t="s">
        <v>70</v>
      </c>
      <c r="G65" s="12">
        <v>12000</v>
      </c>
      <c r="H65" s="12">
        <v>10500</v>
      </c>
      <c r="I65" s="11" t="s">
        <v>23</v>
      </c>
      <c r="J65" s="11" t="s">
        <v>23</v>
      </c>
      <c r="K65" s="11" t="s">
        <v>7773</v>
      </c>
      <c r="L65" s="11" t="s">
        <v>7774</v>
      </c>
      <c r="M65" s="11" t="s">
        <v>26</v>
      </c>
      <c r="N65" s="11">
        <v>2</v>
      </c>
      <c r="O65" s="11" t="s">
        <v>73</v>
      </c>
      <c r="P65" s="11" t="s">
        <v>28</v>
      </c>
      <c r="Q65" s="11" t="s">
        <v>29</v>
      </c>
    </row>
    <row r="66" spans="1:17" x14ac:dyDescent="0.2">
      <c r="A66" s="10">
        <v>45777</v>
      </c>
      <c r="B66" s="11" t="s">
        <v>7775</v>
      </c>
      <c r="C66" s="11"/>
      <c r="D66" s="11" t="s">
        <v>7776</v>
      </c>
      <c r="E66" s="11" t="s">
        <v>21</v>
      </c>
      <c r="F66" s="11" t="s">
        <v>70</v>
      </c>
      <c r="G66" s="12">
        <v>10000</v>
      </c>
      <c r="H66" s="12">
        <v>10500</v>
      </c>
      <c r="I66" s="11" t="s">
        <v>23</v>
      </c>
      <c r="J66" s="11" t="s">
        <v>23</v>
      </c>
      <c r="K66" s="11" t="s">
        <v>7777</v>
      </c>
      <c r="L66" s="11" t="s">
        <v>717</v>
      </c>
      <c r="M66" s="11" t="s">
        <v>26</v>
      </c>
      <c r="N66" s="11">
        <v>2</v>
      </c>
      <c r="O66" s="11" t="s">
        <v>73</v>
      </c>
      <c r="P66" s="11" t="s">
        <v>28</v>
      </c>
      <c r="Q66" s="11" t="s">
        <v>29</v>
      </c>
    </row>
    <row r="67" spans="1:17" x14ac:dyDescent="0.2">
      <c r="A67" s="10">
        <v>45687</v>
      </c>
      <c r="B67" s="11" t="s">
        <v>7778</v>
      </c>
      <c r="C67" s="11"/>
      <c r="D67" s="11" t="s">
        <v>7779</v>
      </c>
      <c r="E67" s="11" t="s">
        <v>21</v>
      </c>
      <c r="F67" s="11" t="s">
        <v>70</v>
      </c>
      <c r="G67" s="12">
        <v>10500</v>
      </c>
      <c r="H67" s="12">
        <v>10500</v>
      </c>
      <c r="I67" s="11" t="s">
        <v>23</v>
      </c>
      <c r="J67" s="11" t="s">
        <v>23</v>
      </c>
      <c r="K67" s="11" t="s">
        <v>7780</v>
      </c>
      <c r="L67" s="11" t="s">
        <v>3596</v>
      </c>
      <c r="M67" s="11" t="s">
        <v>26</v>
      </c>
      <c r="N67" s="11">
        <v>2</v>
      </c>
      <c r="O67" s="11" t="s">
        <v>73</v>
      </c>
      <c r="P67" s="11" t="s">
        <v>28</v>
      </c>
      <c r="Q67" s="11" t="s">
        <v>29</v>
      </c>
    </row>
    <row r="68" spans="1:17" x14ac:dyDescent="0.2">
      <c r="A68" s="10">
        <v>46111</v>
      </c>
      <c r="B68" s="11" t="s">
        <v>7781</v>
      </c>
      <c r="C68" s="11"/>
      <c r="D68" s="11" t="s">
        <v>7782</v>
      </c>
      <c r="E68" s="11" t="s">
        <v>21</v>
      </c>
      <c r="F68" s="11" t="s">
        <v>37</v>
      </c>
      <c r="G68" s="12">
        <v>12000</v>
      </c>
      <c r="H68" s="12">
        <v>10600</v>
      </c>
      <c r="I68" s="11" t="s">
        <v>23</v>
      </c>
      <c r="J68" s="11" t="s">
        <v>23</v>
      </c>
      <c r="K68" s="11" t="s">
        <v>7783</v>
      </c>
      <c r="L68" s="11" t="s">
        <v>380</v>
      </c>
      <c r="M68" s="11" t="s">
        <v>1625</v>
      </c>
      <c r="N68" s="11">
        <v>2</v>
      </c>
      <c r="O68" s="11" t="s">
        <v>5714</v>
      </c>
      <c r="P68" s="11" t="s">
        <v>28</v>
      </c>
      <c r="Q68" s="11" t="s">
        <v>29</v>
      </c>
    </row>
    <row r="69" spans="1:17" x14ac:dyDescent="0.2">
      <c r="A69" s="10">
        <v>46049</v>
      </c>
      <c r="B69" s="11" t="s">
        <v>7784</v>
      </c>
      <c r="C69" s="11"/>
      <c r="D69" s="11" t="s">
        <v>7785</v>
      </c>
      <c r="E69" s="11" t="s">
        <v>21</v>
      </c>
      <c r="F69" s="11" t="s">
        <v>70</v>
      </c>
      <c r="G69" s="12">
        <v>12500</v>
      </c>
      <c r="H69" s="12">
        <v>11000</v>
      </c>
      <c r="I69" s="11" t="s">
        <v>23</v>
      </c>
      <c r="J69" s="11" t="s">
        <v>23</v>
      </c>
      <c r="K69" s="11" t="s">
        <v>7786</v>
      </c>
      <c r="L69" s="11" t="s">
        <v>1116</v>
      </c>
      <c r="M69" s="11" t="s">
        <v>26</v>
      </c>
      <c r="N69" s="11">
        <v>2</v>
      </c>
      <c r="O69" s="11" t="s">
        <v>73</v>
      </c>
      <c r="P69" s="11" t="s">
        <v>28</v>
      </c>
      <c r="Q69" s="11" t="s">
        <v>29</v>
      </c>
    </row>
    <row r="70" spans="1:17" x14ac:dyDescent="0.2">
      <c r="A70" s="10">
        <v>45658</v>
      </c>
      <c r="B70" s="11" t="s">
        <v>7787</v>
      </c>
      <c r="C70" s="11"/>
      <c r="D70" s="11" t="s">
        <v>7788</v>
      </c>
      <c r="E70" s="11" t="s">
        <v>21</v>
      </c>
      <c r="F70" s="11" t="s">
        <v>37</v>
      </c>
      <c r="G70" s="12">
        <v>13000</v>
      </c>
      <c r="H70" s="12">
        <v>11000</v>
      </c>
      <c r="I70" s="11" t="s">
        <v>23</v>
      </c>
      <c r="J70" s="11" t="s">
        <v>23</v>
      </c>
      <c r="K70" s="11" t="s">
        <v>7789</v>
      </c>
      <c r="L70" s="11" t="s">
        <v>50</v>
      </c>
      <c r="M70" s="11" t="s">
        <v>1625</v>
      </c>
      <c r="N70" s="11">
        <v>2</v>
      </c>
      <c r="O70" s="11" t="s">
        <v>135</v>
      </c>
      <c r="P70" s="11" t="s">
        <v>28</v>
      </c>
      <c r="Q70" s="11" t="s">
        <v>29</v>
      </c>
    </row>
    <row r="71" spans="1:17" x14ac:dyDescent="0.2">
      <c r="A71" s="10">
        <v>45973</v>
      </c>
      <c r="B71" s="11" t="s">
        <v>7790</v>
      </c>
      <c r="C71" s="11"/>
      <c r="D71" s="11" t="s">
        <v>7791</v>
      </c>
      <c r="E71" s="11" t="s">
        <v>21</v>
      </c>
      <c r="F71" s="11" t="s">
        <v>37</v>
      </c>
      <c r="G71" s="12">
        <v>13000</v>
      </c>
      <c r="H71" s="12">
        <v>11500</v>
      </c>
      <c r="I71" s="11" t="s">
        <v>23</v>
      </c>
      <c r="J71" s="11" t="s">
        <v>23</v>
      </c>
      <c r="K71" s="11" t="s">
        <v>7792</v>
      </c>
      <c r="L71" s="11" t="s">
        <v>50</v>
      </c>
      <c r="M71" s="11" t="s">
        <v>1625</v>
      </c>
      <c r="N71" s="11">
        <v>2</v>
      </c>
      <c r="O71" s="11" t="s">
        <v>670</v>
      </c>
      <c r="P71" s="11" t="s">
        <v>79</v>
      </c>
      <c r="Q71" s="11" t="s">
        <v>29</v>
      </c>
    </row>
    <row r="72" spans="1:17" x14ac:dyDescent="0.2">
      <c r="A72" s="10">
        <v>45946</v>
      </c>
      <c r="B72" s="11" t="s">
        <v>7793</v>
      </c>
      <c r="C72" s="11"/>
      <c r="D72" s="11" t="s">
        <v>7794</v>
      </c>
      <c r="E72" s="11" t="s">
        <v>21</v>
      </c>
      <c r="F72" s="11" t="s">
        <v>70</v>
      </c>
      <c r="G72" s="12">
        <v>12000</v>
      </c>
      <c r="H72" s="12">
        <v>11500</v>
      </c>
      <c r="I72" s="11" t="s">
        <v>23</v>
      </c>
      <c r="J72" s="11" t="s">
        <v>23</v>
      </c>
      <c r="K72" s="11" t="s">
        <v>7795</v>
      </c>
      <c r="L72" s="11" t="s">
        <v>717</v>
      </c>
      <c r="M72" s="11" t="s">
        <v>26</v>
      </c>
      <c r="N72" s="11">
        <v>2</v>
      </c>
      <c r="O72" s="11" t="s">
        <v>73</v>
      </c>
      <c r="P72" s="11" t="s">
        <v>79</v>
      </c>
      <c r="Q72" s="11" t="s">
        <v>29</v>
      </c>
    </row>
    <row r="73" spans="1:17" x14ac:dyDescent="0.2">
      <c r="A73" s="10">
        <v>45827</v>
      </c>
      <c r="B73" s="11" t="s">
        <v>7796</v>
      </c>
      <c r="C73" s="11"/>
      <c r="D73" s="11" t="s">
        <v>7797</v>
      </c>
      <c r="E73" s="11" t="s">
        <v>21</v>
      </c>
      <c r="F73" s="11" t="s">
        <v>70</v>
      </c>
      <c r="G73" s="12">
        <v>12000</v>
      </c>
      <c r="H73" s="12">
        <v>11500</v>
      </c>
      <c r="I73" s="11" t="s">
        <v>23</v>
      </c>
      <c r="J73" s="11" t="s">
        <v>23</v>
      </c>
      <c r="K73" s="11" t="s">
        <v>7798</v>
      </c>
      <c r="L73" s="11" t="s">
        <v>717</v>
      </c>
      <c r="M73" s="11" t="s">
        <v>26</v>
      </c>
      <c r="N73" s="11">
        <v>2</v>
      </c>
      <c r="O73" s="11" t="s">
        <v>73</v>
      </c>
      <c r="P73" s="11" t="s">
        <v>28</v>
      </c>
      <c r="Q73" s="11" t="s">
        <v>29</v>
      </c>
    </row>
    <row r="74" spans="1:17" x14ac:dyDescent="0.2">
      <c r="A74" s="10">
        <v>45721</v>
      </c>
      <c r="B74" s="11" t="s">
        <v>7799</v>
      </c>
      <c r="C74" s="11"/>
      <c r="D74" s="11" t="s">
        <v>7800</v>
      </c>
      <c r="E74" s="11" t="s">
        <v>21</v>
      </c>
      <c r="F74" s="11" t="s">
        <v>70</v>
      </c>
      <c r="G74" s="12">
        <v>13000</v>
      </c>
      <c r="H74" s="12">
        <v>11500</v>
      </c>
      <c r="I74" s="11" t="s">
        <v>23</v>
      </c>
      <c r="J74" s="11" t="s">
        <v>23</v>
      </c>
      <c r="K74" s="11" t="s">
        <v>7801</v>
      </c>
      <c r="L74" s="11" t="s">
        <v>7732</v>
      </c>
      <c r="M74" s="11" t="s">
        <v>26</v>
      </c>
      <c r="N74" s="11">
        <v>2</v>
      </c>
      <c r="O74" s="11" t="s">
        <v>73</v>
      </c>
      <c r="P74" s="11" t="s">
        <v>79</v>
      </c>
      <c r="Q74" s="11" t="s">
        <v>29</v>
      </c>
    </row>
    <row r="75" spans="1:17" x14ac:dyDescent="0.2">
      <c r="A75" s="10">
        <v>45761</v>
      </c>
      <c r="B75" s="11" t="s">
        <v>7802</v>
      </c>
      <c r="C75" s="11"/>
      <c r="D75" s="11" t="s">
        <v>7803</v>
      </c>
      <c r="E75" s="11" t="s">
        <v>21</v>
      </c>
      <c r="F75" s="11" t="s">
        <v>76</v>
      </c>
      <c r="G75" s="12">
        <v>14900</v>
      </c>
      <c r="H75" s="12">
        <v>11540</v>
      </c>
      <c r="I75" s="11" t="s">
        <v>23</v>
      </c>
      <c r="J75" s="11" t="s">
        <v>23</v>
      </c>
      <c r="K75" s="11" t="s">
        <v>7804</v>
      </c>
      <c r="L75" s="11" t="s">
        <v>7805</v>
      </c>
      <c r="M75" s="11" t="s">
        <v>26</v>
      </c>
      <c r="N75" s="11">
        <v>2</v>
      </c>
      <c r="O75" s="11" t="s">
        <v>482</v>
      </c>
      <c r="P75" s="11" t="s">
        <v>28</v>
      </c>
      <c r="Q75" s="11" t="s">
        <v>29</v>
      </c>
    </row>
    <row r="76" spans="1:17" x14ac:dyDescent="0.2">
      <c r="A76" s="10">
        <v>45743</v>
      </c>
      <c r="B76" s="11" t="s">
        <v>7806</v>
      </c>
      <c r="C76" s="11"/>
      <c r="D76" s="11" t="s">
        <v>7807</v>
      </c>
      <c r="E76" s="11" t="s">
        <v>21</v>
      </c>
      <c r="F76" s="11" t="s">
        <v>76</v>
      </c>
      <c r="G76" s="12">
        <v>12000</v>
      </c>
      <c r="H76" s="12">
        <v>11600</v>
      </c>
      <c r="I76" s="11" t="s">
        <v>23</v>
      </c>
      <c r="J76" s="11" t="s">
        <v>23</v>
      </c>
      <c r="K76" s="11" t="s">
        <v>7808</v>
      </c>
      <c r="L76" s="11" t="s">
        <v>1116</v>
      </c>
      <c r="M76" s="11" t="s">
        <v>26</v>
      </c>
      <c r="N76" s="11">
        <v>1</v>
      </c>
      <c r="O76" s="11" t="s">
        <v>73</v>
      </c>
      <c r="P76" s="11" t="s">
        <v>122</v>
      </c>
      <c r="Q76" s="11" t="s">
        <v>29</v>
      </c>
    </row>
    <row r="77" spans="1:17" x14ac:dyDescent="0.2">
      <c r="A77" s="10">
        <v>46072</v>
      </c>
      <c r="B77" s="11" t="s">
        <v>7809</v>
      </c>
      <c r="C77" s="11"/>
      <c r="D77" s="11" t="s">
        <v>7810</v>
      </c>
      <c r="E77" s="11" t="s">
        <v>21</v>
      </c>
      <c r="F77" s="11" t="s">
        <v>81</v>
      </c>
      <c r="G77" s="12">
        <v>12000</v>
      </c>
      <c r="H77" s="12">
        <v>12000</v>
      </c>
      <c r="I77" s="11" t="s">
        <v>23</v>
      </c>
      <c r="J77" s="11" t="s">
        <v>23</v>
      </c>
      <c r="K77" s="11" t="s">
        <v>7811</v>
      </c>
      <c r="L77" s="11" t="s">
        <v>717</v>
      </c>
      <c r="M77" s="11" t="s">
        <v>26</v>
      </c>
      <c r="N77" s="11">
        <v>2</v>
      </c>
      <c r="O77" s="11" t="s">
        <v>73</v>
      </c>
      <c r="P77" s="11" t="s">
        <v>28</v>
      </c>
      <c r="Q77" s="11" t="s">
        <v>29</v>
      </c>
    </row>
    <row r="78" spans="1:17" x14ac:dyDescent="0.2">
      <c r="A78" s="10">
        <v>46051</v>
      </c>
      <c r="B78" s="11" t="s">
        <v>7812</v>
      </c>
      <c r="C78" s="11"/>
      <c r="D78" s="11" t="s">
        <v>7813</v>
      </c>
      <c r="E78" s="11" t="s">
        <v>21</v>
      </c>
      <c r="F78" s="11" t="s">
        <v>37</v>
      </c>
      <c r="G78" s="12">
        <v>12000</v>
      </c>
      <c r="H78" s="12">
        <v>12000</v>
      </c>
      <c r="I78" s="11" t="s">
        <v>23</v>
      </c>
      <c r="J78" s="11" t="s">
        <v>23</v>
      </c>
      <c r="K78" s="11" t="s">
        <v>7814</v>
      </c>
      <c r="L78" s="11" t="s">
        <v>2194</v>
      </c>
      <c r="M78" s="11" t="s">
        <v>1625</v>
      </c>
      <c r="N78" s="11">
        <v>2</v>
      </c>
      <c r="O78" s="11" t="s">
        <v>62</v>
      </c>
      <c r="P78" s="11" t="s">
        <v>28</v>
      </c>
      <c r="Q78" s="11" t="s">
        <v>29</v>
      </c>
    </row>
    <row r="79" spans="1:17" x14ac:dyDescent="0.2">
      <c r="A79" s="10">
        <v>46050</v>
      </c>
      <c r="B79" s="11" t="s">
        <v>7815</v>
      </c>
      <c r="C79" s="11"/>
      <c r="D79" s="11" t="s">
        <v>7816</v>
      </c>
      <c r="E79" s="11" t="s">
        <v>21</v>
      </c>
      <c r="F79" s="11" t="s">
        <v>70</v>
      </c>
      <c r="G79" s="12">
        <v>12000</v>
      </c>
      <c r="H79" s="12">
        <v>12000</v>
      </c>
      <c r="I79" s="11" t="s">
        <v>23</v>
      </c>
      <c r="J79" s="11" t="s">
        <v>23</v>
      </c>
      <c r="K79" s="11" t="s">
        <v>7817</v>
      </c>
      <c r="L79" s="11" t="s">
        <v>7818</v>
      </c>
      <c r="M79" s="11" t="s">
        <v>26</v>
      </c>
      <c r="N79" s="11">
        <v>2</v>
      </c>
      <c r="O79" s="11" t="s">
        <v>73</v>
      </c>
      <c r="P79" s="11" t="s">
        <v>28</v>
      </c>
      <c r="Q79" s="11" t="s">
        <v>29</v>
      </c>
    </row>
    <row r="80" spans="1:17" x14ac:dyDescent="0.2">
      <c r="A80" s="10">
        <v>45952</v>
      </c>
      <c r="B80" s="11" t="s">
        <v>7819</v>
      </c>
      <c r="C80" s="11"/>
      <c r="D80" s="11" t="s">
        <v>7820</v>
      </c>
      <c r="E80" s="11" t="s">
        <v>21</v>
      </c>
      <c r="F80" s="11" t="s">
        <v>37</v>
      </c>
      <c r="G80" s="12">
        <v>17000</v>
      </c>
      <c r="H80" s="12">
        <v>12000</v>
      </c>
      <c r="I80" s="11" t="s">
        <v>23</v>
      </c>
      <c r="J80" s="11" t="s">
        <v>23</v>
      </c>
      <c r="K80" s="11" t="s">
        <v>7821</v>
      </c>
      <c r="L80" s="11" t="s">
        <v>50</v>
      </c>
      <c r="M80" s="11" t="s">
        <v>1625</v>
      </c>
      <c r="N80" s="11">
        <v>2</v>
      </c>
      <c r="O80" s="11" t="s">
        <v>46</v>
      </c>
      <c r="P80" s="11" t="s">
        <v>28</v>
      </c>
      <c r="Q80" s="11" t="s">
        <v>29</v>
      </c>
    </row>
    <row r="81" spans="1:17" x14ac:dyDescent="0.2">
      <c r="A81" s="10">
        <v>45944</v>
      </c>
      <c r="B81" s="11" t="s">
        <v>7822</v>
      </c>
      <c r="C81" s="11"/>
      <c r="D81" s="11" t="s">
        <v>7823</v>
      </c>
      <c r="E81" s="11" t="s">
        <v>21</v>
      </c>
      <c r="F81" s="11" t="s">
        <v>70</v>
      </c>
      <c r="G81" s="12">
        <v>12500</v>
      </c>
      <c r="H81" s="12">
        <v>12000</v>
      </c>
      <c r="I81" s="11" t="s">
        <v>23</v>
      </c>
      <c r="J81" s="11" t="s">
        <v>23</v>
      </c>
      <c r="K81" s="11" t="s">
        <v>7824</v>
      </c>
      <c r="L81" s="11" t="s">
        <v>7825</v>
      </c>
      <c r="M81" s="11" t="s">
        <v>26</v>
      </c>
      <c r="N81" s="11">
        <v>2</v>
      </c>
      <c r="O81" s="11" t="s">
        <v>482</v>
      </c>
      <c r="P81" s="11" t="s">
        <v>79</v>
      </c>
      <c r="Q81" s="11" t="s">
        <v>29</v>
      </c>
    </row>
    <row r="82" spans="1:17" x14ac:dyDescent="0.2">
      <c r="A82" s="10">
        <v>45904</v>
      </c>
      <c r="B82" s="11" t="s">
        <v>7684</v>
      </c>
      <c r="C82" s="11"/>
      <c r="D82" s="11" t="s">
        <v>7685</v>
      </c>
      <c r="E82" s="11" t="s">
        <v>21</v>
      </c>
      <c r="F82" s="11" t="s">
        <v>90</v>
      </c>
      <c r="G82" s="12">
        <v>10000</v>
      </c>
      <c r="H82" s="12">
        <v>12000</v>
      </c>
      <c r="I82" s="11" t="s">
        <v>23</v>
      </c>
      <c r="J82" s="11" t="s">
        <v>23</v>
      </c>
      <c r="K82" s="11" t="s">
        <v>7686</v>
      </c>
      <c r="L82" s="11" t="s">
        <v>2752</v>
      </c>
      <c r="M82" s="11" t="s">
        <v>26</v>
      </c>
      <c r="N82" s="11">
        <v>2</v>
      </c>
      <c r="O82" s="11" t="s">
        <v>103</v>
      </c>
      <c r="P82" s="11" t="s">
        <v>28</v>
      </c>
      <c r="Q82" s="11" t="s">
        <v>29</v>
      </c>
    </row>
    <row r="83" spans="1:17" x14ac:dyDescent="0.2">
      <c r="A83" s="10">
        <v>45839</v>
      </c>
      <c r="B83" s="11" t="s">
        <v>7684</v>
      </c>
      <c r="C83" s="11"/>
      <c r="D83" s="11" t="s">
        <v>7685</v>
      </c>
      <c r="E83" s="11" t="s">
        <v>21</v>
      </c>
      <c r="F83" s="11" t="s">
        <v>37</v>
      </c>
      <c r="G83" s="12">
        <v>12000</v>
      </c>
      <c r="H83" s="12">
        <v>12000</v>
      </c>
      <c r="I83" s="11" t="s">
        <v>23</v>
      </c>
      <c r="J83" s="11" t="s">
        <v>23</v>
      </c>
      <c r="K83" s="11" t="s">
        <v>7686</v>
      </c>
      <c r="L83" s="11" t="s">
        <v>2752</v>
      </c>
      <c r="M83" s="11" t="s">
        <v>26</v>
      </c>
      <c r="N83" s="11">
        <v>2</v>
      </c>
      <c r="O83" s="11" t="s">
        <v>103</v>
      </c>
      <c r="P83" s="11" t="s">
        <v>28</v>
      </c>
      <c r="Q83" s="11" t="s">
        <v>29</v>
      </c>
    </row>
    <row r="84" spans="1:17" x14ac:dyDescent="0.2">
      <c r="A84" s="10">
        <v>45696</v>
      </c>
      <c r="B84" s="11" t="s">
        <v>7826</v>
      </c>
      <c r="C84" s="11"/>
      <c r="D84" s="11" t="s">
        <v>7827</v>
      </c>
      <c r="E84" s="11" t="s">
        <v>21</v>
      </c>
      <c r="F84" s="11" t="s">
        <v>100</v>
      </c>
      <c r="G84" s="12">
        <v>12000</v>
      </c>
      <c r="H84" s="12">
        <v>12000</v>
      </c>
      <c r="I84" s="11" t="s">
        <v>23</v>
      </c>
      <c r="J84" s="11" t="s">
        <v>23</v>
      </c>
      <c r="K84" s="11" t="s">
        <v>7828</v>
      </c>
      <c r="L84" s="11" t="s">
        <v>7829</v>
      </c>
      <c r="M84" s="11" t="s">
        <v>26</v>
      </c>
      <c r="N84" s="11">
        <v>2</v>
      </c>
      <c r="O84" s="11" t="s">
        <v>103</v>
      </c>
      <c r="P84" s="11" t="s">
        <v>28</v>
      </c>
      <c r="Q84" s="11" t="s">
        <v>29</v>
      </c>
    </row>
    <row r="85" spans="1:17" x14ac:dyDescent="0.2">
      <c r="A85" s="10">
        <v>46034</v>
      </c>
      <c r="B85" s="11" t="s">
        <v>7830</v>
      </c>
      <c r="C85" s="11"/>
      <c r="D85" s="11" t="s">
        <v>7830</v>
      </c>
      <c r="E85" s="11" t="s">
        <v>21</v>
      </c>
      <c r="F85" s="11" t="s">
        <v>22</v>
      </c>
      <c r="G85" s="12">
        <v>49000</v>
      </c>
      <c r="H85" s="12">
        <v>12250</v>
      </c>
      <c r="I85" s="11" t="s">
        <v>23</v>
      </c>
      <c r="J85" s="11" t="s">
        <v>23</v>
      </c>
      <c r="K85" s="11" t="s">
        <v>7830</v>
      </c>
      <c r="L85" s="11" t="s">
        <v>116</v>
      </c>
      <c r="M85" s="11" t="s">
        <v>45</v>
      </c>
      <c r="N85" s="11">
        <v>2</v>
      </c>
      <c r="O85" s="11" t="s">
        <v>62</v>
      </c>
      <c r="P85" s="11" t="s">
        <v>28</v>
      </c>
      <c r="Q85" s="11" t="s">
        <v>29</v>
      </c>
    </row>
    <row r="86" spans="1:17" x14ac:dyDescent="0.2">
      <c r="A86" s="10">
        <v>45937</v>
      </c>
      <c r="B86" s="11" t="s">
        <v>7822</v>
      </c>
      <c r="C86" s="11"/>
      <c r="D86" s="11" t="s">
        <v>7823</v>
      </c>
      <c r="E86" s="11" t="s">
        <v>21</v>
      </c>
      <c r="F86" s="11" t="s">
        <v>70</v>
      </c>
      <c r="G86" s="12">
        <v>12500</v>
      </c>
      <c r="H86" s="12">
        <v>12500</v>
      </c>
      <c r="I86" s="11" t="s">
        <v>23</v>
      </c>
      <c r="J86" s="11" t="s">
        <v>23</v>
      </c>
      <c r="K86" s="11" t="s">
        <v>7824</v>
      </c>
      <c r="L86" s="11" t="s">
        <v>7825</v>
      </c>
      <c r="M86" s="11" t="s">
        <v>26</v>
      </c>
      <c r="N86" s="11">
        <v>2</v>
      </c>
      <c r="O86" s="11" t="s">
        <v>482</v>
      </c>
      <c r="P86" s="11" t="s">
        <v>28</v>
      </c>
      <c r="Q86" s="11" t="s">
        <v>29</v>
      </c>
    </row>
    <row r="87" spans="1:17" x14ac:dyDescent="0.2">
      <c r="A87" s="10">
        <v>45761</v>
      </c>
      <c r="B87" s="11" t="s">
        <v>7831</v>
      </c>
      <c r="C87" s="11"/>
      <c r="D87" s="11" t="s">
        <v>7832</v>
      </c>
      <c r="E87" s="11" t="s">
        <v>21</v>
      </c>
      <c r="F87" s="11" t="s">
        <v>76</v>
      </c>
      <c r="G87" s="12">
        <v>12500</v>
      </c>
      <c r="H87" s="12">
        <v>12500</v>
      </c>
      <c r="I87" s="11" t="s">
        <v>23</v>
      </c>
      <c r="J87" s="11" t="s">
        <v>23</v>
      </c>
      <c r="K87" s="11" t="s">
        <v>7731</v>
      </c>
      <c r="L87" s="11" t="s">
        <v>1116</v>
      </c>
      <c r="M87" s="11" t="s">
        <v>26</v>
      </c>
      <c r="N87" s="11">
        <v>2</v>
      </c>
      <c r="O87" s="11" t="s">
        <v>73</v>
      </c>
      <c r="P87" s="11" t="s">
        <v>28</v>
      </c>
      <c r="Q87" s="11" t="s">
        <v>29</v>
      </c>
    </row>
    <row r="88" spans="1:17" x14ac:dyDescent="0.2">
      <c r="A88" s="10">
        <v>45750</v>
      </c>
      <c r="B88" s="11" t="s">
        <v>7833</v>
      </c>
      <c r="C88" s="11"/>
      <c r="D88" s="11" t="s">
        <v>7834</v>
      </c>
      <c r="E88" s="11" t="s">
        <v>21</v>
      </c>
      <c r="F88" s="11" t="s">
        <v>221</v>
      </c>
      <c r="G88" s="12">
        <v>14000</v>
      </c>
      <c r="H88" s="12">
        <v>12500</v>
      </c>
      <c r="I88" s="11" t="s">
        <v>23</v>
      </c>
      <c r="J88" s="11" t="s">
        <v>23</v>
      </c>
      <c r="K88" s="11" t="s">
        <v>7835</v>
      </c>
      <c r="L88" s="11" t="s">
        <v>7836</v>
      </c>
      <c r="M88" s="11" t="s">
        <v>26</v>
      </c>
      <c r="N88" s="11">
        <v>2</v>
      </c>
      <c r="O88" s="11" t="s">
        <v>167</v>
      </c>
      <c r="P88" s="11" t="s">
        <v>28</v>
      </c>
      <c r="Q88" s="11" t="s">
        <v>29</v>
      </c>
    </row>
    <row r="89" spans="1:17" x14ac:dyDescent="0.2">
      <c r="A89" s="10">
        <v>45936</v>
      </c>
      <c r="B89" s="11" t="s">
        <v>7837</v>
      </c>
      <c r="C89" s="11"/>
      <c r="D89" s="11" t="s">
        <v>7838</v>
      </c>
      <c r="E89" s="11" t="s">
        <v>21</v>
      </c>
      <c r="F89" s="11" t="s">
        <v>76</v>
      </c>
      <c r="G89" s="12">
        <v>13000</v>
      </c>
      <c r="H89" s="12">
        <v>12800</v>
      </c>
      <c r="I89" s="11" t="s">
        <v>23</v>
      </c>
      <c r="J89" s="11" t="s">
        <v>23</v>
      </c>
      <c r="K89" s="11" t="s">
        <v>7839</v>
      </c>
      <c r="L89" s="11" t="s">
        <v>1116</v>
      </c>
      <c r="M89" s="11" t="s">
        <v>26</v>
      </c>
      <c r="N89" s="11">
        <v>2</v>
      </c>
      <c r="O89" s="11" t="s">
        <v>73</v>
      </c>
      <c r="P89" s="11" t="s">
        <v>28</v>
      </c>
      <c r="Q89" s="11" t="s">
        <v>29</v>
      </c>
    </row>
    <row r="90" spans="1:17" x14ac:dyDescent="0.2">
      <c r="A90" s="10">
        <v>46002</v>
      </c>
      <c r="B90" s="11" t="s">
        <v>7840</v>
      </c>
      <c r="C90" s="11"/>
      <c r="D90" s="11" t="s">
        <v>7841</v>
      </c>
      <c r="E90" s="11" t="s">
        <v>21</v>
      </c>
      <c r="F90" s="11" t="s">
        <v>37</v>
      </c>
      <c r="G90" s="12">
        <v>15000</v>
      </c>
      <c r="H90" s="12">
        <v>13000</v>
      </c>
      <c r="I90" s="11" t="s">
        <v>23</v>
      </c>
      <c r="J90" s="11" t="s">
        <v>23</v>
      </c>
      <c r="K90" s="11" t="s">
        <v>7842</v>
      </c>
      <c r="L90" s="11" t="s">
        <v>50</v>
      </c>
      <c r="M90" s="11" t="s">
        <v>1625</v>
      </c>
      <c r="N90" s="11">
        <v>2</v>
      </c>
      <c r="O90" s="11" t="s">
        <v>670</v>
      </c>
      <c r="P90" s="11" t="s">
        <v>28</v>
      </c>
      <c r="Q90" s="11" t="s">
        <v>29</v>
      </c>
    </row>
    <row r="91" spans="1:17" x14ac:dyDescent="0.2">
      <c r="A91" s="10">
        <v>45852</v>
      </c>
      <c r="B91" s="11" t="s">
        <v>7843</v>
      </c>
      <c r="C91" s="11"/>
      <c r="D91" s="11" t="s">
        <v>7844</v>
      </c>
      <c r="E91" s="11" t="s">
        <v>21</v>
      </c>
      <c r="F91" s="11" t="s">
        <v>81</v>
      </c>
      <c r="G91" s="12">
        <v>13000</v>
      </c>
      <c r="H91" s="12">
        <v>13000</v>
      </c>
      <c r="I91" s="11" t="s">
        <v>23</v>
      </c>
      <c r="J91" s="11" t="s">
        <v>23</v>
      </c>
      <c r="K91" s="11" t="s">
        <v>7845</v>
      </c>
      <c r="L91" s="11" t="s">
        <v>7760</v>
      </c>
      <c r="M91" s="11" t="s">
        <v>26</v>
      </c>
      <c r="N91" s="11">
        <v>2</v>
      </c>
      <c r="O91" s="11" t="s">
        <v>482</v>
      </c>
      <c r="P91" s="11" t="s">
        <v>79</v>
      </c>
      <c r="Q91" s="11" t="s">
        <v>29</v>
      </c>
    </row>
    <row r="92" spans="1:17" x14ac:dyDescent="0.2">
      <c r="A92" s="10">
        <v>45835</v>
      </c>
      <c r="B92" s="11" t="s">
        <v>7846</v>
      </c>
      <c r="C92" s="11"/>
      <c r="D92" s="11" t="s">
        <v>7847</v>
      </c>
      <c r="E92" s="11" t="s">
        <v>21</v>
      </c>
      <c r="F92" s="11" t="s">
        <v>90</v>
      </c>
      <c r="G92" s="12">
        <v>13000</v>
      </c>
      <c r="H92" s="12">
        <v>13000</v>
      </c>
      <c r="I92" s="11" t="s">
        <v>23</v>
      </c>
      <c r="J92" s="11" t="s">
        <v>23</v>
      </c>
      <c r="K92" s="11" t="s">
        <v>7848</v>
      </c>
      <c r="L92" s="11" t="s">
        <v>50</v>
      </c>
      <c r="M92" s="11" t="s">
        <v>1625</v>
      </c>
      <c r="N92" s="11">
        <v>2</v>
      </c>
      <c r="O92" s="11" t="s">
        <v>670</v>
      </c>
      <c r="P92" s="11" t="s">
        <v>28</v>
      </c>
      <c r="Q92" s="11" t="s">
        <v>29</v>
      </c>
    </row>
    <row r="93" spans="1:17" x14ac:dyDescent="0.2">
      <c r="A93" s="10">
        <v>45992</v>
      </c>
      <c r="B93" s="11" t="s">
        <v>7849</v>
      </c>
      <c r="C93" s="11"/>
      <c r="D93" s="11" t="s">
        <v>7850</v>
      </c>
      <c r="E93" s="11" t="s">
        <v>21</v>
      </c>
      <c r="F93" s="11" t="s">
        <v>37</v>
      </c>
      <c r="G93" s="12">
        <v>14000</v>
      </c>
      <c r="H93" s="12">
        <v>13500</v>
      </c>
      <c r="I93" s="11" t="s">
        <v>23</v>
      </c>
      <c r="J93" s="11" t="s">
        <v>23</v>
      </c>
      <c r="K93" s="11" t="s">
        <v>7851</v>
      </c>
      <c r="L93" s="11" t="s">
        <v>581</v>
      </c>
      <c r="M93" s="11" t="s">
        <v>26</v>
      </c>
      <c r="N93" s="11">
        <v>2</v>
      </c>
      <c r="O93" s="11" t="s">
        <v>151</v>
      </c>
      <c r="P93" s="11" t="s">
        <v>79</v>
      </c>
      <c r="Q93" s="11" t="s">
        <v>29</v>
      </c>
    </row>
    <row r="94" spans="1:17" x14ac:dyDescent="0.2">
      <c r="A94" s="10">
        <v>45925</v>
      </c>
      <c r="B94" s="11" t="s">
        <v>7852</v>
      </c>
      <c r="C94" s="11"/>
      <c r="D94" s="11" t="s">
        <v>7853</v>
      </c>
      <c r="E94" s="11" t="s">
        <v>21</v>
      </c>
      <c r="F94" s="11" t="s">
        <v>100</v>
      </c>
      <c r="G94" s="12">
        <v>16000</v>
      </c>
      <c r="H94" s="12">
        <v>13700</v>
      </c>
      <c r="I94" s="11" t="s">
        <v>23</v>
      </c>
      <c r="J94" s="11" t="s">
        <v>23</v>
      </c>
      <c r="K94" s="11" t="s">
        <v>7854</v>
      </c>
      <c r="L94" s="11" t="s">
        <v>1190</v>
      </c>
      <c r="M94" s="11" t="s">
        <v>26</v>
      </c>
      <c r="N94" s="11">
        <v>1</v>
      </c>
      <c r="O94" s="11" t="s">
        <v>183</v>
      </c>
      <c r="P94" s="11" t="s">
        <v>152</v>
      </c>
      <c r="Q94" s="11" t="s">
        <v>29</v>
      </c>
    </row>
    <row r="95" spans="1:17" x14ac:dyDescent="0.2">
      <c r="A95" s="10">
        <v>46100</v>
      </c>
      <c r="B95" s="11" t="s">
        <v>7855</v>
      </c>
      <c r="C95" s="11"/>
      <c r="D95" s="11" t="s">
        <v>7856</v>
      </c>
      <c r="E95" s="11" t="s">
        <v>21</v>
      </c>
      <c r="F95" s="11" t="s">
        <v>70</v>
      </c>
      <c r="G95" s="12">
        <v>23</v>
      </c>
      <c r="H95" s="12">
        <v>13800</v>
      </c>
      <c r="I95" s="11" t="s">
        <v>23</v>
      </c>
      <c r="J95" s="11" t="s">
        <v>23</v>
      </c>
      <c r="K95" s="11" t="s">
        <v>7857</v>
      </c>
      <c r="L95" s="11" t="s">
        <v>3351</v>
      </c>
      <c r="M95" s="11" t="s">
        <v>26</v>
      </c>
      <c r="N95" s="11">
        <v>1</v>
      </c>
      <c r="O95" s="11" t="s">
        <v>73</v>
      </c>
      <c r="P95" s="11" t="s">
        <v>152</v>
      </c>
      <c r="Q95" s="11" t="s">
        <v>29</v>
      </c>
    </row>
    <row r="96" spans="1:17" x14ac:dyDescent="0.2">
      <c r="A96" s="10">
        <v>45805</v>
      </c>
      <c r="B96" s="11" t="s">
        <v>7858</v>
      </c>
      <c r="C96" s="11"/>
      <c r="D96" s="11" t="s">
        <v>7859</v>
      </c>
      <c r="E96" s="11" t="s">
        <v>21</v>
      </c>
      <c r="F96" s="11" t="s">
        <v>230</v>
      </c>
      <c r="G96" s="12">
        <v>15000</v>
      </c>
      <c r="H96" s="12">
        <v>14000</v>
      </c>
      <c r="I96" s="11" t="s">
        <v>23</v>
      </c>
      <c r="J96" s="11" t="s">
        <v>23</v>
      </c>
      <c r="K96" s="11" t="s">
        <v>7860</v>
      </c>
      <c r="L96" s="11" t="s">
        <v>223</v>
      </c>
      <c r="M96" s="11" t="s">
        <v>14</v>
      </c>
      <c r="N96" s="11">
        <v>1</v>
      </c>
      <c r="O96" s="11" t="s">
        <v>167</v>
      </c>
      <c r="P96" s="11" t="s">
        <v>152</v>
      </c>
      <c r="Q96" s="11" t="s">
        <v>29</v>
      </c>
    </row>
    <row r="97" spans="1:17" x14ac:dyDescent="0.2">
      <c r="A97" s="10">
        <v>45733</v>
      </c>
      <c r="B97" s="11" t="s">
        <v>7861</v>
      </c>
      <c r="C97" s="11"/>
      <c r="D97" s="11" t="s">
        <v>7862</v>
      </c>
      <c r="E97" s="11" t="s">
        <v>21</v>
      </c>
      <c r="F97" s="11" t="s">
        <v>100</v>
      </c>
      <c r="G97" s="12">
        <v>15000</v>
      </c>
      <c r="H97" s="12">
        <v>14000</v>
      </c>
      <c r="I97" s="11" t="s">
        <v>23</v>
      </c>
      <c r="J97" s="11" t="s">
        <v>23</v>
      </c>
      <c r="K97" s="11" t="s">
        <v>285</v>
      </c>
      <c r="L97" s="11" t="s">
        <v>209</v>
      </c>
      <c r="M97" s="11" t="s">
        <v>1625</v>
      </c>
      <c r="N97" s="11">
        <v>2</v>
      </c>
      <c r="O97" s="11" t="s">
        <v>121</v>
      </c>
      <c r="P97" s="11" t="s">
        <v>79</v>
      </c>
      <c r="Q97" s="11" t="s">
        <v>29</v>
      </c>
    </row>
    <row r="98" spans="1:17" x14ac:dyDescent="0.2">
      <c r="A98" s="10">
        <v>46101</v>
      </c>
      <c r="B98" s="11" t="s">
        <v>7855</v>
      </c>
      <c r="C98" s="11"/>
      <c r="D98" s="11" t="s">
        <v>7856</v>
      </c>
      <c r="E98" s="11" t="s">
        <v>21</v>
      </c>
      <c r="F98" s="11" t="s">
        <v>70</v>
      </c>
      <c r="G98" s="12">
        <v>23</v>
      </c>
      <c r="H98" s="12">
        <v>14400</v>
      </c>
      <c r="I98" s="11" t="s">
        <v>23</v>
      </c>
      <c r="J98" s="11" t="s">
        <v>23</v>
      </c>
      <c r="K98" s="11" t="s">
        <v>7857</v>
      </c>
      <c r="L98" s="11" t="s">
        <v>3351</v>
      </c>
      <c r="M98" s="11" t="s">
        <v>26</v>
      </c>
      <c r="N98" s="11">
        <v>1</v>
      </c>
      <c r="O98" s="11" t="s">
        <v>73</v>
      </c>
      <c r="P98" s="11" t="s">
        <v>152</v>
      </c>
      <c r="Q98" s="11" t="s">
        <v>29</v>
      </c>
    </row>
    <row r="99" spans="1:17" x14ac:dyDescent="0.2">
      <c r="A99" s="10">
        <v>45712</v>
      </c>
      <c r="B99" s="11" t="s">
        <v>7863</v>
      </c>
      <c r="C99" s="11"/>
      <c r="D99" s="11" t="s">
        <v>7864</v>
      </c>
      <c r="E99" s="11" t="s">
        <v>21</v>
      </c>
      <c r="F99" s="11" t="s">
        <v>37</v>
      </c>
      <c r="G99" s="12">
        <v>1200</v>
      </c>
      <c r="H99" s="12">
        <v>14400</v>
      </c>
      <c r="I99" s="11" t="s">
        <v>23</v>
      </c>
      <c r="J99" s="11" t="s">
        <v>23</v>
      </c>
      <c r="K99" s="11" t="s">
        <v>7865</v>
      </c>
      <c r="L99" s="11" t="s">
        <v>7866</v>
      </c>
      <c r="M99" s="11" t="s">
        <v>45</v>
      </c>
      <c r="N99" s="11">
        <v>2</v>
      </c>
      <c r="O99" s="11" t="s">
        <v>110</v>
      </c>
      <c r="P99" s="11" t="s">
        <v>28</v>
      </c>
      <c r="Q99" s="11" t="s">
        <v>29</v>
      </c>
    </row>
    <row r="100" spans="1:17" x14ac:dyDescent="0.2">
      <c r="A100" s="10">
        <v>46108</v>
      </c>
      <c r="B100" s="11" t="s">
        <v>7450</v>
      </c>
      <c r="C100" s="11"/>
      <c r="D100" s="11" t="s">
        <v>7451</v>
      </c>
      <c r="E100" s="11" t="s">
        <v>21</v>
      </c>
      <c r="F100" s="11" t="s">
        <v>22</v>
      </c>
      <c r="G100" s="12">
        <v>750000</v>
      </c>
      <c r="H100" s="12">
        <v>15000</v>
      </c>
      <c r="I100" s="11" t="s">
        <v>23</v>
      </c>
      <c r="J100" s="11" t="s">
        <v>1927</v>
      </c>
      <c r="K100" s="11" t="s">
        <v>7452</v>
      </c>
      <c r="L100" s="11" t="s">
        <v>3456</v>
      </c>
      <c r="M100" s="11" t="s">
        <v>45</v>
      </c>
      <c r="N100" s="11">
        <v>2</v>
      </c>
      <c r="O100" s="11" t="s">
        <v>62</v>
      </c>
      <c r="P100" s="11" t="s">
        <v>28</v>
      </c>
      <c r="Q100" s="11" t="s">
        <v>29</v>
      </c>
    </row>
    <row r="101" spans="1:17" x14ac:dyDescent="0.2">
      <c r="A101" s="10">
        <v>46105</v>
      </c>
      <c r="B101" s="11" t="s">
        <v>7867</v>
      </c>
      <c r="C101" s="11"/>
      <c r="D101" s="11" t="s">
        <v>7868</v>
      </c>
      <c r="E101" s="11" t="s">
        <v>21</v>
      </c>
      <c r="F101" s="11" t="s">
        <v>37</v>
      </c>
      <c r="G101" s="12">
        <v>15000</v>
      </c>
      <c r="H101" s="12">
        <v>15000</v>
      </c>
      <c r="I101" s="11" t="s">
        <v>23</v>
      </c>
      <c r="J101" s="11" t="s">
        <v>23</v>
      </c>
      <c r="K101" s="11"/>
      <c r="L101" s="11" t="s">
        <v>7869</v>
      </c>
      <c r="M101" s="11" t="s">
        <v>1625</v>
      </c>
      <c r="N101" s="11">
        <v>2</v>
      </c>
      <c r="O101" s="11" t="s">
        <v>110</v>
      </c>
      <c r="P101" s="11" t="s">
        <v>28</v>
      </c>
      <c r="Q101" s="11" t="s">
        <v>29</v>
      </c>
    </row>
    <row r="102" spans="1:17" x14ac:dyDescent="0.2">
      <c r="A102" s="10">
        <v>46101</v>
      </c>
      <c r="B102" s="11" t="s">
        <v>7870</v>
      </c>
      <c r="C102" s="11"/>
      <c r="D102" s="11" t="s">
        <v>7871</v>
      </c>
      <c r="E102" s="11" t="s">
        <v>21</v>
      </c>
      <c r="F102" s="11" t="s">
        <v>37</v>
      </c>
      <c r="G102" s="12">
        <v>16000</v>
      </c>
      <c r="H102" s="12">
        <v>15000</v>
      </c>
      <c r="I102" s="11" t="s">
        <v>23</v>
      </c>
      <c r="J102" s="11" t="s">
        <v>23</v>
      </c>
      <c r="K102" s="11" t="s">
        <v>7872</v>
      </c>
      <c r="L102" s="11" t="s">
        <v>1239</v>
      </c>
      <c r="M102" s="11" t="s">
        <v>26</v>
      </c>
      <c r="N102" s="11">
        <v>2</v>
      </c>
      <c r="O102" s="11" t="s">
        <v>130</v>
      </c>
      <c r="P102" s="11" t="s">
        <v>28</v>
      </c>
      <c r="Q102" s="11" t="s">
        <v>29</v>
      </c>
    </row>
    <row r="103" spans="1:17" x14ac:dyDescent="0.2">
      <c r="A103" s="10">
        <v>46058</v>
      </c>
      <c r="B103" s="11" t="s">
        <v>7873</v>
      </c>
      <c r="C103" s="11"/>
      <c r="D103" s="11" t="s">
        <v>7874</v>
      </c>
      <c r="E103" s="11" t="s">
        <v>21</v>
      </c>
      <c r="F103" s="11" t="s">
        <v>76</v>
      </c>
      <c r="G103" s="12">
        <v>16000</v>
      </c>
      <c r="H103" s="12">
        <v>15000</v>
      </c>
      <c r="I103" s="11" t="s">
        <v>23</v>
      </c>
      <c r="J103" s="11" t="s">
        <v>23</v>
      </c>
      <c r="K103" s="11" t="s">
        <v>7875</v>
      </c>
      <c r="L103" s="11" t="s">
        <v>1417</v>
      </c>
      <c r="M103" s="11" t="s">
        <v>26</v>
      </c>
      <c r="N103" s="11">
        <v>2</v>
      </c>
      <c r="O103" s="11" t="s">
        <v>167</v>
      </c>
      <c r="P103" s="11" t="s">
        <v>28</v>
      </c>
      <c r="Q103" s="11" t="s">
        <v>29</v>
      </c>
    </row>
    <row r="104" spans="1:17" x14ac:dyDescent="0.2">
      <c r="A104" s="10">
        <v>46048</v>
      </c>
      <c r="B104" s="11" t="s">
        <v>7876</v>
      </c>
      <c r="C104" s="11"/>
      <c r="D104" s="11" t="s">
        <v>7877</v>
      </c>
      <c r="E104" s="11" t="s">
        <v>21</v>
      </c>
      <c r="F104" s="11" t="s">
        <v>70</v>
      </c>
      <c r="G104" s="12">
        <v>15000</v>
      </c>
      <c r="H104" s="12">
        <v>15000</v>
      </c>
      <c r="I104" s="11" t="s">
        <v>23</v>
      </c>
      <c r="J104" s="11" t="s">
        <v>23</v>
      </c>
      <c r="K104" s="11" t="s">
        <v>7878</v>
      </c>
      <c r="L104" s="11" t="s">
        <v>223</v>
      </c>
      <c r="M104" s="11" t="s">
        <v>26</v>
      </c>
      <c r="N104" s="11">
        <v>2</v>
      </c>
      <c r="O104" s="11" t="s">
        <v>167</v>
      </c>
      <c r="P104" s="11" t="s">
        <v>28</v>
      </c>
      <c r="Q104" s="11" t="s">
        <v>29</v>
      </c>
    </row>
    <row r="105" spans="1:17" x14ac:dyDescent="0.2">
      <c r="A105" s="10">
        <v>45959</v>
      </c>
      <c r="B105" s="11" t="s">
        <v>7879</v>
      </c>
      <c r="C105" s="11"/>
      <c r="D105" s="11" t="s">
        <v>7879</v>
      </c>
      <c r="E105" s="11" t="s">
        <v>21</v>
      </c>
      <c r="F105" s="11" t="s">
        <v>22</v>
      </c>
      <c r="G105" s="12">
        <v>15000</v>
      </c>
      <c r="H105" s="12">
        <v>15000</v>
      </c>
      <c r="I105" s="11" t="s">
        <v>23</v>
      </c>
      <c r="J105" s="11" t="s">
        <v>23</v>
      </c>
      <c r="K105" s="11" t="s">
        <v>7879</v>
      </c>
      <c r="L105" s="11" t="s">
        <v>116</v>
      </c>
      <c r="M105" s="11" t="s">
        <v>45</v>
      </c>
      <c r="N105" s="11">
        <v>2</v>
      </c>
      <c r="O105" s="11" t="s">
        <v>62</v>
      </c>
      <c r="P105" s="11" t="s">
        <v>79</v>
      </c>
      <c r="Q105" s="11" t="s">
        <v>29</v>
      </c>
    </row>
    <row r="106" spans="1:17" x14ac:dyDescent="0.2">
      <c r="A106" s="10">
        <v>45958</v>
      </c>
      <c r="B106" s="11" t="s">
        <v>7880</v>
      </c>
      <c r="C106" s="11"/>
      <c r="D106" s="11" t="s">
        <v>7881</v>
      </c>
      <c r="E106" s="11" t="s">
        <v>21</v>
      </c>
      <c r="F106" s="11" t="s">
        <v>81</v>
      </c>
      <c r="G106" s="12">
        <v>15000</v>
      </c>
      <c r="H106" s="12">
        <v>15000</v>
      </c>
      <c r="I106" s="11" t="s">
        <v>23</v>
      </c>
      <c r="J106" s="11" t="s">
        <v>23</v>
      </c>
      <c r="K106" s="11" t="s">
        <v>7882</v>
      </c>
      <c r="L106" s="11" t="s">
        <v>223</v>
      </c>
      <c r="M106" s="11" t="s">
        <v>26</v>
      </c>
      <c r="N106" s="11">
        <v>2</v>
      </c>
      <c r="O106" s="11" t="s">
        <v>167</v>
      </c>
      <c r="P106" s="11" t="s">
        <v>28</v>
      </c>
      <c r="Q106" s="11" t="s">
        <v>29</v>
      </c>
    </row>
    <row r="107" spans="1:17" x14ac:dyDescent="0.2">
      <c r="A107" s="10">
        <v>45906</v>
      </c>
      <c r="B107" s="11" t="s">
        <v>7883</v>
      </c>
      <c r="C107" s="11"/>
      <c r="D107" s="11" t="s">
        <v>7884</v>
      </c>
      <c r="E107" s="11" t="s">
        <v>21</v>
      </c>
      <c r="F107" s="11" t="s">
        <v>37</v>
      </c>
      <c r="G107" s="12">
        <v>15000</v>
      </c>
      <c r="H107" s="12">
        <v>15000</v>
      </c>
      <c r="I107" s="11" t="s">
        <v>23</v>
      </c>
      <c r="J107" s="11" t="s">
        <v>23</v>
      </c>
      <c r="K107" s="11" t="s">
        <v>7885</v>
      </c>
      <c r="L107" s="11" t="s">
        <v>932</v>
      </c>
      <c r="M107" s="11" t="s">
        <v>26</v>
      </c>
      <c r="N107" s="11">
        <v>2</v>
      </c>
      <c r="O107" s="11" t="s">
        <v>517</v>
      </c>
      <c r="P107" s="11" t="s">
        <v>28</v>
      </c>
      <c r="Q107" s="11" t="s">
        <v>29</v>
      </c>
    </row>
    <row r="108" spans="1:17" x14ac:dyDescent="0.2">
      <c r="A108" s="10">
        <v>45836</v>
      </c>
      <c r="B108" s="11" t="s">
        <v>7886</v>
      </c>
      <c r="C108" s="11"/>
      <c r="D108" s="11" t="s">
        <v>7887</v>
      </c>
      <c r="E108" s="11" t="s">
        <v>21</v>
      </c>
      <c r="F108" s="11" t="s">
        <v>37</v>
      </c>
      <c r="G108" s="12">
        <v>14000</v>
      </c>
      <c r="H108" s="12">
        <v>15000</v>
      </c>
      <c r="I108" s="11" t="s">
        <v>23</v>
      </c>
      <c r="J108" s="11" t="s">
        <v>23</v>
      </c>
      <c r="K108" s="11" t="s">
        <v>7888</v>
      </c>
      <c r="L108" s="11" t="s">
        <v>1206</v>
      </c>
      <c r="M108" s="11" t="s">
        <v>26</v>
      </c>
      <c r="N108" s="11">
        <v>2</v>
      </c>
      <c r="O108" s="11" t="s">
        <v>183</v>
      </c>
      <c r="P108" s="11" t="s">
        <v>200</v>
      </c>
      <c r="Q108" s="11" t="s">
        <v>29</v>
      </c>
    </row>
    <row r="109" spans="1:17" x14ac:dyDescent="0.2">
      <c r="A109" s="10">
        <v>45821</v>
      </c>
      <c r="B109" s="11" t="s">
        <v>7889</v>
      </c>
      <c r="C109" s="11"/>
      <c r="D109" s="11" t="s">
        <v>7890</v>
      </c>
      <c r="E109" s="11" t="s">
        <v>21</v>
      </c>
      <c r="F109" s="11" t="s">
        <v>37</v>
      </c>
      <c r="G109" s="12">
        <v>15000</v>
      </c>
      <c r="H109" s="12">
        <v>15000</v>
      </c>
      <c r="I109" s="11" t="s">
        <v>23</v>
      </c>
      <c r="J109" s="11" t="s">
        <v>23</v>
      </c>
      <c r="K109" s="11" t="s">
        <v>7891</v>
      </c>
      <c r="L109" s="11" t="s">
        <v>50</v>
      </c>
      <c r="M109" s="11" t="s">
        <v>1625</v>
      </c>
      <c r="N109" s="11">
        <v>2</v>
      </c>
      <c r="O109" s="11" t="s">
        <v>46</v>
      </c>
      <c r="P109" s="11" t="s">
        <v>28</v>
      </c>
      <c r="Q109" s="11" t="s">
        <v>29</v>
      </c>
    </row>
    <row r="110" spans="1:17" x14ac:dyDescent="0.2">
      <c r="A110" s="10">
        <v>45803</v>
      </c>
      <c r="B110" s="11" t="s">
        <v>7892</v>
      </c>
      <c r="C110" s="11"/>
      <c r="D110" s="11" t="s">
        <v>7893</v>
      </c>
      <c r="E110" s="11" t="s">
        <v>21</v>
      </c>
      <c r="F110" s="11" t="s">
        <v>37</v>
      </c>
      <c r="G110" s="12">
        <v>15000</v>
      </c>
      <c r="H110" s="12">
        <v>15000</v>
      </c>
      <c r="I110" s="11" t="s">
        <v>23</v>
      </c>
      <c r="J110" s="11" t="s">
        <v>23</v>
      </c>
      <c r="K110" s="11"/>
      <c r="L110" s="11" t="s">
        <v>679</v>
      </c>
      <c r="M110" s="11" t="s">
        <v>26</v>
      </c>
      <c r="N110" s="11">
        <v>2</v>
      </c>
      <c r="O110" s="11" t="s">
        <v>183</v>
      </c>
      <c r="P110" s="11" t="s">
        <v>28</v>
      </c>
      <c r="Q110" s="11" t="s">
        <v>29</v>
      </c>
    </row>
    <row r="111" spans="1:17" x14ac:dyDescent="0.2">
      <c r="A111" s="10">
        <v>45685</v>
      </c>
      <c r="B111" s="11" t="s">
        <v>7894</v>
      </c>
      <c r="C111" s="11"/>
      <c r="D111" s="11" t="s">
        <v>7895</v>
      </c>
      <c r="E111" s="11" t="s">
        <v>21</v>
      </c>
      <c r="F111" s="11" t="s">
        <v>70</v>
      </c>
      <c r="G111" s="12">
        <v>15000</v>
      </c>
      <c r="H111" s="12">
        <v>15000</v>
      </c>
      <c r="I111" s="11" t="s">
        <v>23</v>
      </c>
      <c r="J111" s="11" t="s">
        <v>23</v>
      </c>
      <c r="K111" s="11" t="s">
        <v>7896</v>
      </c>
      <c r="L111" s="11" t="s">
        <v>1116</v>
      </c>
      <c r="M111" s="11" t="s">
        <v>26</v>
      </c>
      <c r="N111" s="11">
        <v>2</v>
      </c>
      <c r="O111" s="11" t="s">
        <v>73</v>
      </c>
      <c r="P111" s="11" t="s">
        <v>28</v>
      </c>
      <c r="Q111" s="11" t="s">
        <v>29</v>
      </c>
    </row>
    <row r="112" spans="1:17" x14ac:dyDescent="0.2">
      <c r="A112" s="10">
        <v>45665</v>
      </c>
      <c r="B112" s="11" t="s">
        <v>7897</v>
      </c>
      <c r="C112" s="11"/>
      <c r="D112" s="11" t="s">
        <v>7898</v>
      </c>
      <c r="E112" s="11" t="s">
        <v>21</v>
      </c>
      <c r="F112" s="11" t="s">
        <v>221</v>
      </c>
      <c r="G112" s="12">
        <v>15000</v>
      </c>
      <c r="H112" s="12">
        <v>15000</v>
      </c>
      <c r="I112" s="11" t="s">
        <v>23</v>
      </c>
      <c r="J112" s="11" t="s">
        <v>23</v>
      </c>
      <c r="K112" s="11" t="s">
        <v>7899</v>
      </c>
      <c r="L112" s="11" t="s">
        <v>7900</v>
      </c>
      <c r="M112" s="11" t="s">
        <v>55</v>
      </c>
      <c r="N112" s="11">
        <v>2</v>
      </c>
      <c r="O112" s="11" t="s">
        <v>823</v>
      </c>
      <c r="P112" s="11" t="s">
        <v>28</v>
      </c>
      <c r="Q112" s="11" t="s">
        <v>29</v>
      </c>
    </row>
    <row r="113" spans="1:17" x14ac:dyDescent="0.2">
      <c r="A113" s="10">
        <v>46083</v>
      </c>
      <c r="B113" s="11" t="s">
        <v>7901</v>
      </c>
      <c r="C113" s="11"/>
      <c r="D113" s="11" t="s">
        <v>7902</v>
      </c>
      <c r="E113" s="11" t="s">
        <v>21</v>
      </c>
      <c r="F113" s="11" t="s">
        <v>81</v>
      </c>
      <c r="G113" s="12">
        <v>17900</v>
      </c>
      <c r="H113" s="12">
        <v>15500</v>
      </c>
      <c r="I113" s="11" t="s">
        <v>23</v>
      </c>
      <c r="J113" s="11" t="s">
        <v>23</v>
      </c>
      <c r="K113" s="11" t="s">
        <v>7903</v>
      </c>
      <c r="L113" s="11" t="s">
        <v>6276</v>
      </c>
      <c r="M113" s="11" t="s">
        <v>26</v>
      </c>
      <c r="N113" s="11">
        <v>2</v>
      </c>
      <c r="O113" s="11" t="s">
        <v>130</v>
      </c>
      <c r="P113" s="11" t="s">
        <v>28</v>
      </c>
      <c r="Q113" s="11" t="s">
        <v>29</v>
      </c>
    </row>
    <row r="114" spans="1:17" x14ac:dyDescent="0.2">
      <c r="A114" s="10">
        <v>45877</v>
      </c>
      <c r="B114" s="11" t="s">
        <v>7904</v>
      </c>
      <c r="C114" s="11"/>
      <c r="D114" s="11" t="s">
        <v>7905</v>
      </c>
      <c r="E114" s="11" t="s">
        <v>21</v>
      </c>
      <c r="F114" s="11" t="s">
        <v>37</v>
      </c>
      <c r="G114" s="12">
        <v>1300</v>
      </c>
      <c r="H114" s="12">
        <v>15600</v>
      </c>
      <c r="I114" s="11" t="s">
        <v>23</v>
      </c>
      <c r="J114" s="11" t="s">
        <v>23</v>
      </c>
      <c r="K114" s="11" t="s">
        <v>7906</v>
      </c>
      <c r="L114" s="11" t="s">
        <v>50</v>
      </c>
      <c r="M114" s="11" t="s">
        <v>45</v>
      </c>
      <c r="N114" s="11">
        <v>2</v>
      </c>
      <c r="O114" s="11" t="s">
        <v>67</v>
      </c>
      <c r="P114" s="11" t="s">
        <v>28</v>
      </c>
      <c r="Q114" s="11" t="s">
        <v>29</v>
      </c>
    </row>
    <row r="115" spans="1:17" x14ac:dyDescent="0.2">
      <c r="A115" s="10">
        <v>45974</v>
      </c>
      <c r="B115" s="11" t="s">
        <v>7907</v>
      </c>
      <c r="C115" s="11"/>
      <c r="D115" s="11" t="s">
        <v>7908</v>
      </c>
      <c r="E115" s="11" t="s">
        <v>21</v>
      </c>
      <c r="F115" s="11" t="s">
        <v>119</v>
      </c>
      <c r="G115" s="12">
        <v>17500</v>
      </c>
      <c r="H115" s="12">
        <v>16000</v>
      </c>
      <c r="I115" s="11" t="s">
        <v>23</v>
      </c>
      <c r="J115" s="11" t="s">
        <v>23</v>
      </c>
      <c r="K115" s="11" t="s">
        <v>7909</v>
      </c>
      <c r="L115" s="11" t="s">
        <v>7910</v>
      </c>
      <c r="M115" s="11" t="s">
        <v>2934</v>
      </c>
      <c r="N115" s="11">
        <v>2</v>
      </c>
      <c r="O115" s="11" t="s">
        <v>121</v>
      </c>
      <c r="P115" s="11" t="s">
        <v>79</v>
      </c>
      <c r="Q115" s="11" t="s">
        <v>29</v>
      </c>
    </row>
    <row r="116" spans="1:17" x14ac:dyDescent="0.2">
      <c r="A116" s="10">
        <v>45797</v>
      </c>
      <c r="B116" s="11"/>
      <c r="C116" s="11"/>
      <c r="D116" s="11" t="s">
        <v>7911</v>
      </c>
      <c r="E116" s="11" t="s">
        <v>21</v>
      </c>
      <c r="F116" s="11" t="s">
        <v>81</v>
      </c>
      <c r="G116" s="12">
        <v>16000</v>
      </c>
      <c r="H116" s="12">
        <v>16000</v>
      </c>
      <c r="I116" s="11" t="s">
        <v>23</v>
      </c>
      <c r="J116" s="11" t="s">
        <v>23</v>
      </c>
      <c r="K116" s="11"/>
      <c r="L116" s="11" t="s">
        <v>6276</v>
      </c>
      <c r="M116" s="11" t="s">
        <v>26</v>
      </c>
      <c r="N116" s="11">
        <v>1</v>
      </c>
      <c r="O116" s="11" t="s">
        <v>130</v>
      </c>
      <c r="P116" s="11" t="s">
        <v>122</v>
      </c>
      <c r="Q116" s="11" t="s">
        <v>29</v>
      </c>
    </row>
    <row r="117" spans="1:17" x14ac:dyDescent="0.2">
      <c r="A117" s="10">
        <v>45995</v>
      </c>
      <c r="B117" s="11" t="s">
        <v>7912</v>
      </c>
      <c r="C117" s="11"/>
      <c r="D117" s="11" t="s">
        <v>7913</v>
      </c>
      <c r="E117" s="11" t="s">
        <v>21</v>
      </c>
      <c r="F117" s="11" t="s">
        <v>37</v>
      </c>
      <c r="G117" s="12">
        <v>65000</v>
      </c>
      <c r="H117" s="12">
        <v>16250</v>
      </c>
      <c r="I117" s="11" t="s">
        <v>23</v>
      </c>
      <c r="J117" s="11" t="s">
        <v>23</v>
      </c>
      <c r="K117" s="11" t="s">
        <v>7912</v>
      </c>
      <c r="L117" s="11" t="s">
        <v>116</v>
      </c>
      <c r="M117" s="11" t="s">
        <v>45</v>
      </c>
      <c r="N117" s="11">
        <v>2</v>
      </c>
      <c r="O117" s="11" t="s">
        <v>62</v>
      </c>
      <c r="P117" s="11" t="s">
        <v>28</v>
      </c>
      <c r="Q117" s="11" t="s">
        <v>29</v>
      </c>
    </row>
    <row r="118" spans="1:17" x14ac:dyDescent="0.2">
      <c r="A118" s="10">
        <v>45680</v>
      </c>
      <c r="B118" s="11" t="s">
        <v>7914</v>
      </c>
      <c r="C118" s="11"/>
      <c r="D118" s="11" t="s">
        <v>7915</v>
      </c>
      <c r="E118" s="11" t="s">
        <v>21</v>
      </c>
      <c r="F118" s="11" t="s">
        <v>100</v>
      </c>
      <c r="G118" s="12">
        <v>16284</v>
      </c>
      <c r="H118" s="12">
        <v>16274</v>
      </c>
      <c r="I118" s="11" t="s">
        <v>23</v>
      </c>
      <c r="J118" s="11" t="s">
        <v>23</v>
      </c>
      <c r="K118" s="11" t="s">
        <v>7915</v>
      </c>
      <c r="L118" s="11" t="s">
        <v>3538</v>
      </c>
      <c r="M118" s="11" t="s">
        <v>26</v>
      </c>
      <c r="N118" s="11">
        <v>2</v>
      </c>
      <c r="O118" s="11" t="s">
        <v>103</v>
      </c>
      <c r="P118" s="11" t="s">
        <v>28</v>
      </c>
      <c r="Q118" s="11" t="s">
        <v>29</v>
      </c>
    </row>
    <row r="119" spans="1:17" x14ac:dyDescent="0.2">
      <c r="A119" s="10">
        <v>45831</v>
      </c>
      <c r="B119" s="11" t="s">
        <v>7916</v>
      </c>
      <c r="C119" s="11"/>
      <c r="D119" s="11" t="s">
        <v>7917</v>
      </c>
      <c r="E119" s="11" t="s">
        <v>21</v>
      </c>
      <c r="F119" s="11" t="s">
        <v>100</v>
      </c>
      <c r="G119" s="12">
        <v>17600</v>
      </c>
      <c r="H119" s="12">
        <v>16417</v>
      </c>
      <c r="I119" s="11" t="s">
        <v>23</v>
      </c>
      <c r="J119" s="11" t="s">
        <v>23</v>
      </c>
      <c r="K119" s="11" t="s">
        <v>203</v>
      </c>
      <c r="L119" s="11" t="s">
        <v>204</v>
      </c>
      <c r="M119" s="11" t="s">
        <v>26</v>
      </c>
      <c r="N119" s="11">
        <v>2</v>
      </c>
      <c r="O119" s="11" t="s">
        <v>121</v>
      </c>
      <c r="P119" s="11" t="s">
        <v>79</v>
      </c>
      <c r="Q119" s="11" t="s">
        <v>29</v>
      </c>
    </row>
    <row r="120" spans="1:17" x14ac:dyDescent="0.2">
      <c r="A120" s="10">
        <v>45861</v>
      </c>
      <c r="B120" s="11" t="s">
        <v>7918</v>
      </c>
      <c r="C120" s="11"/>
      <c r="D120" s="11" t="s">
        <v>7919</v>
      </c>
      <c r="E120" s="11" t="s">
        <v>21</v>
      </c>
      <c r="F120" s="11" t="s">
        <v>37</v>
      </c>
      <c r="G120" s="12">
        <v>18000</v>
      </c>
      <c r="H120" s="12">
        <v>16500</v>
      </c>
      <c r="I120" s="11" t="s">
        <v>23</v>
      </c>
      <c r="J120" s="11" t="s">
        <v>23</v>
      </c>
      <c r="K120" s="11" t="s">
        <v>7920</v>
      </c>
      <c r="L120" s="11" t="s">
        <v>223</v>
      </c>
      <c r="M120" s="11" t="s">
        <v>14</v>
      </c>
      <c r="N120" s="11">
        <v>1</v>
      </c>
      <c r="O120" s="11" t="s">
        <v>167</v>
      </c>
      <c r="P120" s="11" t="s">
        <v>122</v>
      </c>
      <c r="Q120" s="11" t="s">
        <v>29</v>
      </c>
    </row>
    <row r="121" spans="1:17" x14ac:dyDescent="0.2">
      <c r="A121" s="10">
        <v>45874</v>
      </c>
      <c r="B121" s="11" t="s">
        <v>7921</v>
      </c>
      <c r="C121" s="11"/>
      <c r="D121" s="11" t="s">
        <v>7922</v>
      </c>
      <c r="E121" s="11" t="s">
        <v>21</v>
      </c>
      <c r="F121" s="11" t="s">
        <v>37</v>
      </c>
      <c r="G121" s="12">
        <v>10000</v>
      </c>
      <c r="H121" s="12">
        <v>16660</v>
      </c>
      <c r="I121" s="11" t="s">
        <v>23</v>
      </c>
      <c r="J121" s="11" t="s">
        <v>23</v>
      </c>
      <c r="K121" s="11" t="s">
        <v>7923</v>
      </c>
      <c r="L121" s="11" t="s">
        <v>1194</v>
      </c>
      <c r="M121" s="11" t="s">
        <v>26</v>
      </c>
      <c r="N121" s="11">
        <v>2</v>
      </c>
      <c r="O121" s="11" t="s">
        <v>183</v>
      </c>
      <c r="P121" s="11" t="s">
        <v>28</v>
      </c>
      <c r="Q121" s="11" t="s">
        <v>29</v>
      </c>
    </row>
    <row r="122" spans="1:17" x14ac:dyDescent="0.2">
      <c r="A122" s="10">
        <v>45749</v>
      </c>
      <c r="B122" s="11" t="s">
        <v>7924</v>
      </c>
      <c r="C122" s="11"/>
      <c r="D122" s="11" t="s">
        <v>7925</v>
      </c>
      <c r="E122" s="11" t="s">
        <v>21</v>
      </c>
      <c r="F122" s="11" t="s">
        <v>37</v>
      </c>
      <c r="G122" s="12">
        <v>10000</v>
      </c>
      <c r="H122" s="12">
        <v>16660</v>
      </c>
      <c r="I122" s="11" t="s">
        <v>23</v>
      </c>
      <c r="J122" s="11" t="s">
        <v>23</v>
      </c>
      <c r="K122" s="11" t="s">
        <v>7926</v>
      </c>
      <c r="L122" s="11" t="s">
        <v>7927</v>
      </c>
      <c r="M122" s="11" t="s">
        <v>26</v>
      </c>
      <c r="N122" s="11">
        <v>2</v>
      </c>
      <c r="O122" s="11" t="s">
        <v>183</v>
      </c>
      <c r="P122" s="11" t="s">
        <v>28</v>
      </c>
      <c r="Q122" s="11" t="s">
        <v>29</v>
      </c>
    </row>
    <row r="123" spans="1:17" x14ac:dyDescent="0.2">
      <c r="A123" s="10">
        <v>45747</v>
      </c>
      <c r="B123" s="11" t="s">
        <v>7928</v>
      </c>
      <c r="C123" s="11"/>
      <c r="D123" s="11" t="s">
        <v>7929</v>
      </c>
      <c r="E123" s="11" t="s">
        <v>21</v>
      </c>
      <c r="F123" s="11" t="s">
        <v>37</v>
      </c>
      <c r="G123" s="12">
        <v>4500</v>
      </c>
      <c r="H123" s="12">
        <v>16660</v>
      </c>
      <c r="I123" s="11" t="s">
        <v>23</v>
      </c>
      <c r="J123" s="11" t="s">
        <v>23</v>
      </c>
      <c r="K123" s="11" t="s">
        <v>7930</v>
      </c>
      <c r="L123" s="11" t="s">
        <v>1194</v>
      </c>
      <c r="M123" s="11" t="s">
        <v>26</v>
      </c>
      <c r="N123" s="11">
        <v>2</v>
      </c>
      <c r="O123" s="11" t="s">
        <v>183</v>
      </c>
      <c r="P123" s="11" t="s">
        <v>79</v>
      </c>
      <c r="Q123" s="11" t="s">
        <v>29</v>
      </c>
    </row>
    <row r="124" spans="1:17" x14ac:dyDescent="0.2">
      <c r="A124" s="10">
        <v>46031</v>
      </c>
      <c r="B124" s="11" t="s">
        <v>7931</v>
      </c>
      <c r="C124" s="11"/>
      <c r="D124" s="11" t="s">
        <v>7932</v>
      </c>
      <c r="E124" s="11" t="s">
        <v>21</v>
      </c>
      <c r="F124" s="11" t="s">
        <v>221</v>
      </c>
      <c r="G124" s="12">
        <v>11000000</v>
      </c>
      <c r="H124" s="12">
        <v>17000</v>
      </c>
      <c r="I124" s="11" t="s">
        <v>23</v>
      </c>
      <c r="J124" s="11" t="s">
        <v>1927</v>
      </c>
      <c r="K124" s="11" t="s">
        <v>7933</v>
      </c>
      <c r="L124" s="11" t="s">
        <v>1194</v>
      </c>
      <c r="M124" s="11" t="s">
        <v>26</v>
      </c>
      <c r="N124" s="11">
        <v>2</v>
      </c>
      <c r="O124" s="11" t="s">
        <v>183</v>
      </c>
      <c r="P124" s="11" t="s">
        <v>79</v>
      </c>
      <c r="Q124" s="11" t="s">
        <v>29</v>
      </c>
    </row>
    <row r="125" spans="1:17" x14ac:dyDescent="0.2">
      <c r="A125" s="10">
        <v>46008</v>
      </c>
      <c r="B125" s="11" t="s">
        <v>7934</v>
      </c>
      <c r="C125" s="11"/>
      <c r="D125" s="11" t="s">
        <v>7935</v>
      </c>
      <c r="E125" s="11" t="s">
        <v>21</v>
      </c>
      <c r="F125" s="11" t="s">
        <v>22</v>
      </c>
      <c r="G125" s="12">
        <v>19000</v>
      </c>
      <c r="H125" s="12">
        <v>17000</v>
      </c>
      <c r="I125" s="11" t="s">
        <v>23</v>
      </c>
      <c r="J125" s="11" t="s">
        <v>23</v>
      </c>
      <c r="K125" s="11" t="s">
        <v>7936</v>
      </c>
      <c r="L125" s="11" t="s">
        <v>7937</v>
      </c>
      <c r="M125" s="11" t="s">
        <v>14</v>
      </c>
      <c r="N125" s="11">
        <v>2</v>
      </c>
      <c r="O125" s="11" t="s">
        <v>27</v>
      </c>
      <c r="P125" s="11" t="s">
        <v>28</v>
      </c>
      <c r="Q125" s="11" t="s">
        <v>29</v>
      </c>
    </row>
    <row r="126" spans="1:17" x14ac:dyDescent="0.2">
      <c r="A126" s="10">
        <v>45972</v>
      </c>
      <c r="B126" s="11" t="s">
        <v>7938</v>
      </c>
      <c r="C126" s="11"/>
      <c r="D126" s="11" t="s">
        <v>7939</v>
      </c>
      <c r="E126" s="11" t="s">
        <v>21</v>
      </c>
      <c r="F126" s="11" t="s">
        <v>22</v>
      </c>
      <c r="G126" s="12">
        <v>900000</v>
      </c>
      <c r="H126" s="12">
        <v>17000</v>
      </c>
      <c r="I126" s="11" t="s">
        <v>23</v>
      </c>
      <c r="J126" s="11" t="s">
        <v>1927</v>
      </c>
      <c r="K126" s="11" t="s">
        <v>7940</v>
      </c>
      <c r="L126" s="11" t="s">
        <v>141</v>
      </c>
      <c r="M126" s="11" t="s">
        <v>45</v>
      </c>
      <c r="N126" s="11">
        <v>2</v>
      </c>
      <c r="O126" s="11" t="s">
        <v>62</v>
      </c>
      <c r="P126" s="11" t="s">
        <v>28</v>
      </c>
      <c r="Q126" s="11" t="s">
        <v>29</v>
      </c>
    </row>
    <row r="127" spans="1:17" x14ac:dyDescent="0.2">
      <c r="A127" s="10">
        <v>45857</v>
      </c>
      <c r="B127" s="11" t="s">
        <v>7941</v>
      </c>
      <c r="C127" s="11"/>
      <c r="D127" s="11" t="s">
        <v>7942</v>
      </c>
      <c r="E127" s="11" t="s">
        <v>21</v>
      </c>
      <c r="F127" s="11" t="s">
        <v>37</v>
      </c>
      <c r="G127" s="12">
        <v>18200</v>
      </c>
      <c r="H127" s="12">
        <v>17000</v>
      </c>
      <c r="I127" s="11" t="s">
        <v>23</v>
      </c>
      <c r="J127" s="11" t="s">
        <v>23</v>
      </c>
      <c r="K127" s="11" t="s">
        <v>7943</v>
      </c>
      <c r="L127" s="11" t="s">
        <v>7944</v>
      </c>
      <c r="M127" s="11" t="s">
        <v>26</v>
      </c>
      <c r="N127" s="11">
        <v>2</v>
      </c>
      <c r="O127" s="11" t="s">
        <v>183</v>
      </c>
      <c r="P127" s="11" t="s">
        <v>200</v>
      </c>
      <c r="Q127" s="11" t="s">
        <v>29</v>
      </c>
    </row>
    <row r="128" spans="1:17" x14ac:dyDescent="0.2">
      <c r="A128" s="10">
        <v>45968</v>
      </c>
      <c r="B128" s="11" t="s">
        <v>7945</v>
      </c>
      <c r="C128" s="11"/>
      <c r="D128" s="11" t="s">
        <v>7877</v>
      </c>
      <c r="E128" s="11" t="s">
        <v>21</v>
      </c>
      <c r="F128" s="11" t="s">
        <v>76</v>
      </c>
      <c r="G128" s="12">
        <v>15000</v>
      </c>
      <c r="H128" s="12">
        <v>17100</v>
      </c>
      <c r="I128" s="11" t="s">
        <v>23</v>
      </c>
      <c r="J128" s="11" t="s">
        <v>23</v>
      </c>
      <c r="K128" s="11" t="s">
        <v>7877</v>
      </c>
      <c r="L128" s="11" t="s">
        <v>223</v>
      </c>
      <c r="M128" s="11" t="s">
        <v>26</v>
      </c>
      <c r="N128" s="11">
        <v>2</v>
      </c>
      <c r="O128" s="11" t="s">
        <v>167</v>
      </c>
      <c r="P128" s="11" t="s">
        <v>28</v>
      </c>
      <c r="Q128" s="11" t="s">
        <v>29</v>
      </c>
    </row>
    <row r="129" spans="1:17" x14ac:dyDescent="0.2">
      <c r="A129" s="10">
        <v>46077</v>
      </c>
      <c r="B129" s="11" t="s">
        <v>7946</v>
      </c>
      <c r="C129" s="11"/>
      <c r="D129" s="11" t="s">
        <v>7947</v>
      </c>
      <c r="E129" s="11" t="s">
        <v>21</v>
      </c>
      <c r="F129" s="11" t="s">
        <v>37</v>
      </c>
      <c r="G129" s="12">
        <v>18000</v>
      </c>
      <c r="H129" s="12">
        <v>17500</v>
      </c>
      <c r="I129" s="11" t="s">
        <v>23</v>
      </c>
      <c r="J129" s="11" t="s">
        <v>23</v>
      </c>
      <c r="K129" s="11" t="s">
        <v>2178</v>
      </c>
      <c r="L129" s="11" t="s">
        <v>7948</v>
      </c>
      <c r="M129" s="11" t="s">
        <v>26</v>
      </c>
      <c r="N129" s="11">
        <v>1</v>
      </c>
      <c r="O129" s="11" t="s">
        <v>429</v>
      </c>
      <c r="P129" s="11" t="s">
        <v>152</v>
      </c>
      <c r="Q129" s="11" t="s">
        <v>29</v>
      </c>
    </row>
    <row r="130" spans="1:17" x14ac:dyDescent="0.2">
      <c r="A130" s="10">
        <v>45992</v>
      </c>
      <c r="B130" s="11" t="s">
        <v>7949</v>
      </c>
      <c r="C130" s="11"/>
      <c r="D130" s="11" t="s">
        <v>7950</v>
      </c>
      <c r="E130" s="11" t="s">
        <v>21</v>
      </c>
      <c r="F130" s="11" t="s">
        <v>37</v>
      </c>
      <c r="G130" s="12">
        <v>18900</v>
      </c>
      <c r="H130" s="12">
        <v>17500</v>
      </c>
      <c r="I130" s="11" t="s">
        <v>23</v>
      </c>
      <c r="J130" s="11" t="s">
        <v>23</v>
      </c>
      <c r="K130" s="11" t="s">
        <v>7951</v>
      </c>
      <c r="L130" s="11" t="s">
        <v>7952</v>
      </c>
      <c r="M130" s="11" t="s">
        <v>26</v>
      </c>
      <c r="N130" s="11">
        <v>1</v>
      </c>
      <c r="O130" s="11" t="s">
        <v>151</v>
      </c>
      <c r="P130" s="11" t="s">
        <v>122</v>
      </c>
      <c r="Q130" s="11" t="s">
        <v>29</v>
      </c>
    </row>
    <row r="131" spans="1:17" x14ac:dyDescent="0.2">
      <c r="A131" s="10">
        <v>45754</v>
      </c>
      <c r="B131" s="11" t="s">
        <v>7949</v>
      </c>
      <c r="C131" s="11"/>
      <c r="D131" s="11" t="s">
        <v>7950</v>
      </c>
      <c r="E131" s="11" t="s">
        <v>21</v>
      </c>
      <c r="F131" s="11" t="s">
        <v>90</v>
      </c>
      <c r="G131" s="12">
        <v>18900</v>
      </c>
      <c r="H131" s="12">
        <v>17500</v>
      </c>
      <c r="I131" s="11" t="s">
        <v>23</v>
      </c>
      <c r="J131" s="11" t="s">
        <v>23</v>
      </c>
      <c r="K131" s="11" t="s">
        <v>7951</v>
      </c>
      <c r="L131" s="11" t="s">
        <v>7952</v>
      </c>
      <c r="M131" s="11" t="s">
        <v>26</v>
      </c>
      <c r="N131" s="11">
        <v>2</v>
      </c>
      <c r="O131" s="11" t="s">
        <v>151</v>
      </c>
      <c r="P131" s="11" t="s">
        <v>200</v>
      </c>
      <c r="Q131" s="11" t="s">
        <v>29</v>
      </c>
    </row>
    <row r="132" spans="1:17" x14ac:dyDescent="0.2">
      <c r="A132" s="10">
        <v>46098</v>
      </c>
      <c r="B132" s="11" t="s">
        <v>7953</v>
      </c>
      <c r="C132" s="11"/>
      <c r="D132" s="11" t="s">
        <v>7954</v>
      </c>
      <c r="E132" s="11" t="s">
        <v>21</v>
      </c>
      <c r="F132" s="11" t="s">
        <v>37</v>
      </c>
      <c r="G132" s="12">
        <v>18000</v>
      </c>
      <c r="H132" s="12">
        <v>18000</v>
      </c>
      <c r="I132" s="11" t="s">
        <v>23</v>
      </c>
      <c r="J132" s="11" t="s">
        <v>23</v>
      </c>
      <c r="K132" s="11" t="s">
        <v>7955</v>
      </c>
      <c r="L132" s="11" t="s">
        <v>2013</v>
      </c>
      <c r="M132" s="11" t="s">
        <v>1625</v>
      </c>
      <c r="N132" s="11">
        <v>2</v>
      </c>
      <c r="O132" s="11" t="s">
        <v>135</v>
      </c>
      <c r="P132" s="11" t="s">
        <v>28</v>
      </c>
      <c r="Q132" s="11" t="s">
        <v>29</v>
      </c>
    </row>
    <row r="133" spans="1:17" x14ac:dyDescent="0.2">
      <c r="A133" s="10">
        <v>46097</v>
      </c>
      <c r="B133" s="11" t="s">
        <v>7956</v>
      </c>
      <c r="C133" s="11"/>
      <c r="D133" s="11" t="s">
        <v>7957</v>
      </c>
      <c r="E133" s="11" t="s">
        <v>21</v>
      </c>
      <c r="F133" s="11" t="s">
        <v>70</v>
      </c>
      <c r="G133" s="12">
        <v>18000</v>
      </c>
      <c r="H133" s="12">
        <v>18000</v>
      </c>
      <c r="I133" s="11" t="s">
        <v>23</v>
      </c>
      <c r="J133" s="11" t="s">
        <v>23</v>
      </c>
      <c r="K133" s="11" t="s">
        <v>7958</v>
      </c>
      <c r="L133" s="11" t="s">
        <v>1116</v>
      </c>
      <c r="M133" s="11" t="s">
        <v>26</v>
      </c>
      <c r="N133" s="11">
        <v>2</v>
      </c>
      <c r="O133" s="11" t="s">
        <v>73</v>
      </c>
      <c r="P133" s="11" t="s">
        <v>79</v>
      </c>
      <c r="Q133" s="11" t="s">
        <v>29</v>
      </c>
    </row>
    <row r="134" spans="1:17" x14ac:dyDescent="0.2">
      <c r="A134" s="10">
        <v>46078</v>
      </c>
      <c r="B134" s="11" t="s">
        <v>7959</v>
      </c>
      <c r="C134" s="11"/>
      <c r="D134" s="11" t="s">
        <v>7960</v>
      </c>
      <c r="E134" s="11" t="s">
        <v>21</v>
      </c>
      <c r="F134" s="11" t="s">
        <v>22</v>
      </c>
      <c r="G134" s="12">
        <v>18000</v>
      </c>
      <c r="H134" s="12">
        <v>18000</v>
      </c>
      <c r="I134" s="11" t="s">
        <v>23</v>
      </c>
      <c r="J134" s="11" t="s">
        <v>23</v>
      </c>
      <c r="K134" s="11"/>
      <c r="L134" s="11" t="s">
        <v>932</v>
      </c>
      <c r="M134" s="11" t="s">
        <v>26</v>
      </c>
      <c r="N134" s="11">
        <v>2</v>
      </c>
      <c r="O134" s="11" t="s">
        <v>321</v>
      </c>
      <c r="P134" s="11" t="s">
        <v>28</v>
      </c>
      <c r="Q134" s="11" t="s">
        <v>29</v>
      </c>
    </row>
    <row r="135" spans="1:17" x14ac:dyDescent="0.2">
      <c r="A135" s="10">
        <v>46065</v>
      </c>
      <c r="B135" s="11" t="s">
        <v>7961</v>
      </c>
      <c r="C135" s="11"/>
      <c r="D135" s="11" t="s">
        <v>7962</v>
      </c>
      <c r="E135" s="11" t="s">
        <v>21</v>
      </c>
      <c r="F135" s="11" t="s">
        <v>22</v>
      </c>
      <c r="G135" s="12">
        <v>20000</v>
      </c>
      <c r="H135" s="12">
        <v>18000</v>
      </c>
      <c r="I135" s="11" t="s">
        <v>23</v>
      </c>
      <c r="J135" s="11" t="s">
        <v>23</v>
      </c>
      <c r="K135" s="11" t="s">
        <v>7963</v>
      </c>
      <c r="L135" s="11" t="s">
        <v>4724</v>
      </c>
      <c r="M135" s="11" t="s">
        <v>26</v>
      </c>
      <c r="N135" s="11">
        <v>2</v>
      </c>
      <c r="O135" s="11" t="s">
        <v>517</v>
      </c>
      <c r="P135" s="11" t="s">
        <v>28</v>
      </c>
      <c r="Q135" s="11" t="s">
        <v>29</v>
      </c>
    </row>
    <row r="136" spans="1:17" x14ac:dyDescent="0.2">
      <c r="A136" s="10">
        <v>46044</v>
      </c>
      <c r="B136" s="11" t="s">
        <v>7964</v>
      </c>
      <c r="C136" s="11"/>
      <c r="D136" s="11" t="s">
        <v>4493</v>
      </c>
      <c r="E136" s="11" t="s">
        <v>21</v>
      </c>
      <c r="F136" s="11" t="s">
        <v>70</v>
      </c>
      <c r="G136" s="12">
        <v>18000</v>
      </c>
      <c r="H136" s="12">
        <v>18000</v>
      </c>
      <c r="I136" s="11" t="s">
        <v>23</v>
      </c>
      <c r="J136" s="11" t="s">
        <v>23</v>
      </c>
      <c r="K136" s="11" t="s">
        <v>7965</v>
      </c>
      <c r="L136" s="11" t="s">
        <v>2852</v>
      </c>
      <c r="M136" s="11" t="s">
        <v>34</v>
      </c>
      <c r="N136" s="11">
        <v>2</v>
      </c>
      <c r="O136" s="11" t="s">
        <v>2003</v>
      </c>
      <c r="P136" s="11" t="s">
        <v>28</v>
      </c>
      <c r="Q136" s="11" t="s">
        <v>29</v>
      </c>
    </row>
    <row r="137" spans="1:17" x14ac:dyDescent="0.2">
      <c r="A137" s="10">
        <v>46029</v>
      </c>
      <c r="B137" s="11" t="s">
        <v>7966</v>
      </c>
      <c r="C137" s="11"/>
      <c r="D137" s="11" t="s">
        <v>7967</v>
      </c>
      <c r="E137" s="11" t="s">
        <v>21</v>
      </c>
      <c r="F137" s="11" t="s">
        <v>37</v>
      </c>
      <c r="G137" s="12">
        <v>18000</v>
      </c>
      <c r="H137" s="12">
        <v>18000</v>
      </c>
      <c r="I137" s="11" t="s">
        <v>23</v>
      </c>
      <c r="J137" s="11" t="s">
        <v>23</v>
      </c>
      <c r="K137" s="11" t="s">
        <v>7968</v>
      </c>
      <c r="L137" s="11" t="s">
        <v>92</v>
      </c>
      <c r="M137" s="11" t="s">
        <v>1625</v>
      </c>
      <c r="N137" s="11">
        <v>2</v>
      </c>
      <c r="O137" s="11" t="s">
        <v>670</v>
      </c>
      <c r="P137" s="11" t="s">
        <v>28</v>
      </c>
      <c r="Q137" s="11" t="s">
        <v>29</v>
      </c>
    </row>
    <row r="138" spans="1:17" x14ac:dyDescent="0.2">
      <c r="A138" s="10">
        <v>46027</v>
      </c>
      <c r="B138" s="11" t="s">
        <v>7969</v>
      </c>
      <c r="C138" s="11"/>
      <c r="D138" s="11" t="s">
        <v>7970</v>
      </c>
      <c r="E138" s="11" t="s">
        <v>21</v>
      </c>
      <c r="F138" s="11" t="s">
        <v>37</v>
      </c>
      <c r="G138" s="12">
        <v>19000</v>
      </c>
      <c r="H138" s="12">
        <v>18000</v>
      </c>
      <c r="I138" s="11" t="s">
        <v>23</v>
      </c>
      <c r="J138" s="11" t="s">
        <v>23</v>
      </c>
      <c r="K138" s="11" t="s">
        <v>7971</v>
      </c>
      <c r="L138" s="11" t="s">
        <v>581</v>
      </c>
      <c r="M138" s="11" t="s">
        <v>26</v>
      </c>
      <c r="N138" s="11">
        <v>2</v>
      </c>
      <c r="O138" s="11" t="s">
        <v>7608</v>
      </c>
      <c r="P138" s="11" t="s">
        <v>28</v>
      </c>
      <c r="Q138" s="11" t="s">
        <v>29</v>
      </c>
    </row>
    <row r="139" spans="1:17" x14ac:dyDescent="0.2">
      <c r="A139" s="10">
        <v>46022</v>
      </c>
      <c r="B139" s="11"/>
      <c r="C139" s="11"/>
      <c r="D139" s="11" t="s">
        <v>7972</v>
      </c>
      <c r="E139" s="11" t="s">
        <v>21</v>
      </c>
      <c r="F139" s="11" t="s">
        <v>97</v>
      </c>
      <c r="G139" s="12">
        <v>20000</v>
      </c>
      <c r="H139" s="12">
        <v>18000</v>
      </c>
      <c r="I139" s="11" t="s">
        <v>23</v>
      </c>
      <c r="J139" s="11" t="s">
        <v>23</v>
      </c>
      <c r="K139" s="11" t="s">
        <v>82</v>
      </c>
      <c r="L139" s="11" t="s">
        <v>83</v>
      </c>
      <c r="M139" s="11" t="s">
        <v>1625</v>
      </c>
      <c r="N139" s="11">
        <v>2</v>
      </c>
      <c r="O139" s="11" t="s">
        <v>84</v>
      </c>
      <c r="P139" s="11" t="s">
        <v>79</v>
      </c>
      <c r="Q139" s="11" t="s">
        <v>29</v>
      </c>
    </row>
    <row r="140" spans="1:17" x14ac:dyDescent="0.2">
      <c r="A140" s="10">
        <v>46022</v>
      </c>
      <c r="B140" s="11"/>
      <c r="C140" s="11"/>
      <c r="D140" s="11" t="s">
        <v>7973</v>
      </c>
      <c r="E140" s="11" t="s">
        <v>21</v>
      </c>
      <c r="F140" s="11" t="s">
        <v>97</v>
      </c>
      <c r="G140" s="12">
        <v>20000</v>
      </c>
      <c r="H140" s="12">
        <v>18000</v>
      </c>
      <c r="I140" s="11" t="s">
        <v>23</v>
      </c>
      <c r="J140" s="11" t="s">
        <v>23</v>
      </c>
      <c r="K140" s="11" t="s">
        <v>82</v>
      </c>
      <c r="L140" s="11" t="s">
        <v>83</v>
      </c>
      <c r="M140" s="11" t="s">
        <v>1625</v>
      </c>
      <c r="N140" s="11">
        <v>2</v>
      </c>
      <c r="O140" s="11" t="s">
        <v>84</v>
      </c>
      <c r="P140" s="11" t="s">
        <v>79</v>
      </c>
      <c r="Q140" s="11" t="s">
        <v>29</v>
      </c>
    </row>
    <row r="141" spans="1:17" x14ac:dyDescent="0.2">
      <c r="A141" s="10">
        <v>46008</v>
      </c>
      <c r="B141" s="11" t="s">
        <v>7974</v>
      </c>
      <c r="C141" s="11"/>
      <c r="D141" s="11" t="s">
        <v>7967</v>
      </c>
      <c r="E141" s="11" t="s">
        <v>21</v>
      </c>
      <c r="F141" s="11" t="s">
        <v>37</v>
      </c>
      <c r="G141" s="12">
        <v>18000</v>
      </c>
      <c r="H141" s="12">
        <v>18000</v>
      </c>
      <c r="I141" s="11" t="s">
        <v>23</v>
      </c>
      <c r="J141" s="11" t="s">
        <v>23</v>
      </c>
      <c r="K141" s="11" t="s">
        <v>7968</v>
      </c>
      <c r="L141" s="11" t="s">
        <v>92</v>
      </c>
      <c r="M141" s="11" t="s">
        <v>1625</v>
      </c>
      <c r="N141" s="11">
        <v>2</v>
      </c>
      <c r="O141" s="11" t="s">
        <v>670</v>
      </c>
      <c r="P141" s="11" t="s">
        <v>28</v>
      </c>
      <c r="Q141" s="11" t="s">
        <v>29</v>
      </c>
    </row>
    <row r="142" spans="1:17" x14ac:dyDescent="0.2">
      <c r="A142" s="10">
        <v>45876</v>
      </c>
      <c r="B142" s="11" t="s">
        <v>7975</v>
      </c>
      <c r="C142" s="11"/>
      <c r="D142" s="11" t="s">
        <v>7976</v>
      </c>
      <c r="E142" s="11" t="s">
        <v>21</v>
      </c>
      <c r="F142" s="11" t="s">
        <v>221</v>
      </c>
      <c r="G142" s="12">
        <v>20000</v>
      </c>
      <c r="H142" s="12">
        <v>18000</v>
      </c>
      <c r="I142" s="11" t="s">
        <v>23</v>
      </c>
      <c r="J142" s="11" t="s">
        <v>23</v>
      </c>
      <c r="K142" s="11" t="s">
        <v>7977</v>
      </c>
      <c r="L142" s="11" t="s">
        <v>1629</v>
      </c>
      <c r="M142" s="11" t="s">
        <v>26</v>
      </c>
      <c r="N142" s="11">
        <v>2</v>
      </c>
      <c r="O142" s="11" t="s">
        <v>482</v>
      </c>
      <c r="P142" s="11" t="s">
        <v>28</v>
      </c>
      <c r="Q142" s="11" t="s">
        <v>29</v>
      </c>
    </row>
    <row r="143" spans="1:17" x14ac:dyDescent="0.2">
      <c r="A143" s="10">
        <v>45875</v>
      </c>
      <c r="B143" s="11" t="s">
        <v>7978</v>
      </c>
      <c r="C143" s="11"/>
      <c r="D143" s="11" t="s">
        <v>7979</v>
      </c>
      <c r="E143" s="11" t="s">
        <v>21</v>
      </c>
      <c r="F143" s="11" t="s">
        <v>37</v>
      </c>
      <c r="G143" s="12">
        <v>35000</v>
      </c>
      <c r="H143" s="12">
        <v>18000</v>
      </c>
      <c r="I143" s="11" t="s">
        <v>23</v>
      </c>
      <c r="J143" s="11" t="s">
        <v>23</v>
      </c>
      <c r="K143" s="11" t="s">
        <v>7933</v>
      </c>
      <c r="L143" s="11" t="s">
        <v>679</v>
      </c>
      <c r="M143" s="11" t="s">
        <v>7980</v>
      </c>
      <c r="N143" s="11">
        <v>2</v>
      </c>
      <c r="O143" s="11" t="s">
        <v>183</v>
      </c>
      <c r="P143" s="11" t="s">
        <v>28</v>
      </c>
      <c r="Q143" s="11" t="s">
        <v>29</v>
      </c>
    </row>
    <row r="144" spans="1:17" x14ac:dyDescent="0.2">
      <c r="A144" s="10">
        <v>45737</v>
      </c>
      <c r="B144" s="11" t="s">
        <v>7981</v>
      </c>
      <c r="C144" s="11"/>
      <c r="D144" s="11" t="s">
        <v>7982</v>
      </c>
      <c r="E144" s="11" t="s">
        <v>21</v>
      </c>
      <c r="F144" s="11" t="s">
        <v>81</v>
      </c>
      <c r="G144" s="12">
        <v>18000</v>
      </c>
      <c r="H144" s="12">
        <v>18000</v>
      </c>
      <c r="I144" s="11" t="s">
        <v>23</v>
      </c>
      <c r="J144" s="11" t="s">
        <v>23</v>
      </c>
      <c r="K144" s="11"/>
      <c r="L144" s="11" t="s">
        <v>7700</v>
      </c>
      <c r="M144" s="11" t="s">
        <v>26</v>
      </c>
      <c r="N144" s="11">
        <v>1</v>
      </c>
      <c r="O144" s="11" t="s">
        <v>429</v>
      </c>
      <c r="P144" s="11" t="s">
        <v>122</v>
      </c>
      <c r="Q144" s="11" t="s">
        <v>29</v>
      </c>
    </row>
    <row r="145" spans="1:17" x14ac:dyDescent="0.2">
      <c r="A145" s="10">
        <v>45694</v>
      </c>
      <c r="B145" s="11" t="s">
        <v>7983</v>
      </c>
      <c r="C145" s="11"/>
      <c r="D145" s="11" t="s">
        <v>7984</v>
      </c>
      <c r="E145" s="11" t="s">
        <v>21</v>
      </c>
      <c r="F145" s="11" t="s">
        <v>100</v>
      </c>
      <c r="G145" s="12">
        <v>18000</v>
      </c>
      <c r="H145" s="12">
        <v>18000</v>
      </c>
      <c r="I145" s="11" t="s">
        <v>23</v>
      </c>
      <c r="J145" s="11" t="s">
        <v>23</v>
      </c>
      <c r="K145" s="11" t="s">
        <v>7985</v>
      </c>
      <c r="L145" s="11" t="s">
        <v>7986</v>
      </c>
      <c r="M145" s="11" t="s">
        <v>26</v>
      </c>
      <c r="N145" s="11">
        <v>2</v>
      </c>
      <c r="O145" s="11" t="s">
        <v>121</v>
      </c>
      <c r="P145" s="11" t="s">
        <v>28</v>
      </c>
      <c r="Q145" s="11" t="s">
        <v>29</v>
      </c>
    </row>
    <row r="146" spans="1:17" x14ac:dyDescent="0.2">
      <c r="A146" s="10">
        <v>45659</v>
      </c>
      <c r="B146" s="11" t="s">
        <v>7987</v>
      </c>
      <c r="C146" s="11"/>
      <c r="D146" s="11" t="s">
        <v>7988</v>
      </c>
      <c r="E146" s="11" t="s">
        <v>21</v>
      </c>
      <c r="F146" s="11" t="s">
        <v>37</v>
      </c>
      <c r="G146" s="12">
        <v>21000</v>
      </c>
      <c r="H146" s="12">
        <v>18000</v>
      </c>
      <c r="I146" s="11" t="s">
        <v>23</v>
      </c>
      <c r="J146" s="11" t="s">
        <v>23</v>
      </c>
      <c r="K146" s="11" t="s">
        <v>7989</v>
      </c>
      <c r="L146" s="11" t="s">
        <v>7750</v>
      </c>
      <c r="M146" s="11" t="s">
        <v>26</v>
      </c>
      <c r="N146" s="11">
        <v>2</v>
      </c>
      <c r="O146" s="11" t="s">
        <v>167</v>
      </c>
      <c r="P146" s="11" t="s">
        <v>28</v>
      </c>
      <c r="Q146" s="11" t="s">
        <v>29</v>
      </c>
    </row>
    <row r="147" spans="1:17" x14ac:dyDescent="0.2">
      <c r="A147" s="10">
        <v>45735</v>
      </c>
      <c r="B147" s="11" t="s">
        <v>7990</v>
      </c>
      <c r="C147" s="11"/>
      <c r="D147" s="11" t="s">
        <v>7991</v>
      </c>
      <c r="E147" s="11" t="s">
        <v>21</v>
      </c>
      <c r="F147" s="11" t="s">
        <v>76</v>
      </c>
      <c r="G147" s="12">
        <v>18500</v>
      </c>
      <c r="H147" s="12">
        <v>18500</v>
      </c>
      <c r="I147" s="11" t="s">
        <v>23</v>
      </c>
      <c r="J147" s="11" t="s">
        <v>23</v>
      </c>
      <c r="K147" s="11" t="s">
        <v>7992</v>
      </c>
      <c r="L147" s="11" t="s">
        <v>1116</v>
      </c>
      <c r="M147" s="11" t="s">
        <v>26</v>
      </c>
      <c r="N147" s="11">
        <v>2</v>
      </c>
      <c r="O147" s="11" t="s">
        <v>73</v>
      </c>
      <c r="P147" s="11" t="s">
        <v>79</v>
      </c>
      <c r="Q147" s="11" t="s">
        <v>29</v>
      </c>
    </row>
    <row r="148" spans="1:17" x14ac:dyDescent="0.2">
      <c r="A148" s="10">
        <v>45930</v>
      </c>
      <c r="B148" s="11" t="s">
        <v>7993</v>
      </c>
      <c r="C148" s="11"/>
      <c r="D148" s="11" t="s">
        <v>7994</v>
      </c>
      <c r="E148" s="11" t="s">
        <v>21</v>
      </c>
      <c r="F148" s="11" t="s">
        <v>100</v>
      </c>
      <c r="G148" s="12">
        <v>21000</v>
      </c>
      <c r="H148" s="12">
        <v>18600</v>
      </c>
      <c r="I148" s="11" t="s">
        <v>23</v>
      </c>
      <c r="J148" s="11" t="s">
        <v>23</v>
      </c>
      <c r="K148" s="11" t="s">
        <v>3346</v>
      </c>
      <c r="L148" s="11" t="s">
        <v>3347</v>
      </c>
      <c r="M148" s="11" t="s">
        <v>26</v>
      </c>
      <c r="N148" s="11">
        <v>1</v>
      </c>
      <c r="O148" s="11" t="s">
        <v>121</v>
      </c>
      <c r="P148" s="11" t="s">
        <v>122</v>
      </c>
      <c r="Q148" s="11" t="s">
        <v>29</v>
      </c>
    </row>
    <row r="149" spans="1:17" x14ac:dyDescent="0.2">
      <c r="A149" s="10">
        <v>45796</v>
      </c>
      <c r="B149" s="11" t="s">
        <v>7995</v>
      </c>
      <c r="C149" s="11"/>
      <c r="D149" s="11" t="s">
        <v>5612</v>
      </c>
      <c r="E149" s="11" t="s">
        <v>21</v>
      </c>
      <c r="F149" s="11" t="s">
        <v>70</v>
      </c>
      <c r="G149" s="12">
        <v>20000</v>
      </c>
      <c r="H149" s="12">
        <v>18600</v>
      </c>
      <c r="I149" s="11" t="s">
        <v>23</v>
      </c>
      <c r="J149" s="11" t="s">
        <v>23</v>
      </c>
      <c r="K149" s="11" t="s">
        <v>7996</v>
      </c>
      <c r="L149" s="11" t="s">
        <v>1116</v>
      </c>
      <c r="M149" s="11" t="s">
        <v>26</v>
      </c>
      <c r="N149" s="11">
        <v>2</v>
      </c>
      <c r="O149" s="11" t="s">
        <v>73</v>
      </c>
      <c r="P149" s="11" t="s">
        <v>28</v>
      </c>
      <c r="Q149" s="11" t="s">
        <v>29</v>
      </c>
    </row>
    <row r="150" spans="1:17" x14ac:dyDescent="0.2">
      <c r="A150" s="10">
        <v>46078</v>
      </c>
      <c r="B150" s="11" t="s">
        <v>7997</v>
      </c>
      <c r="C150" s="11"/>
      <c r="D150" s="11" t="s">
        <v>7998</v>
      </c>
      <c r="E150" s="11" t="s">
        <v>21</v>
      </c>
      <c r="F150" s="11" t="s">
        <v>22</v>
      </c>
      <c r="G150" s="12">
        <v>22000</v>
      </c>
      <c r="H150" s="12">
        <v>19000</v>
      </c>
      <c r="I150" s="11" t="s">
        <v>23</v>
      </c>
      <c r="J150" s="11" t="s">
        <v>23</v>
      </c>
      <c r="K150" s="11" t="s">
        <v>7999</v>
      </c>
      <c r="L150" s="11" t="s">
        <v>8000</v>
      </c>
      <c r="M150" s="11" t="s">
        <v>2681</v>
      </c>
      <c r="N150" s="11">
        <v>2</v>
      </c>
      <c r="O150" s="11" t="s">
        <v>151</v>
      </c>
      <c r="P150" s="11" t="s">
        <v>28</v>
      </c>
      <c r="Q150" s="11" t="s">
        <v>29</v>
      </c>
    </row>
    <row r="151" spans="1:17" x14ac:dyDescent="0.2">
      <c r="A151" s="10">
        <v>45842</v>
      </c>
      <c r="B151" s="11" t="s">
        <v>8001</v>
      </c>
      <c r="C151" s="11"/>
      <c r="D151" s="11" t="s">
        <v>8002</v>
      </c>
      <c r="E151" s="11" t="s">
        <v>21</v>
      </c>
      <c r="F151" s="11" t="s">
        <v>37</v>
      </c>
      <c r="G151" s="12">
        <v>19000</v>
      </c>
      <c r="H151" s="12">
        <v>19000</v>
      </c>
      <c r="I151" s="11" t="s">
        <v>23</v>
      </c>
      <c r="J151" s="11" t="s">
        <v>23</v>
      </c>
      <c r="K151" s="11" t="s">
        <v>8002</v>
      </c>
      <c r="L151" s="11" t="s">
        <v>390</v>
      </c>
      <c r="M151" s="11" t="s">
        <v>1625</v>
      </c>
      <c r="N151" s="11">
        <v>2</v>
      </c>
      <c r="O151" s="11" t="s">
        <v>56</v>
      </c>
      <c r="P151" s="11" t="s">
        <v>28</v>
      </c>
      <c r="Q151" s="11" t="s">
        <v>29</v>
      </c>
    </row>
    <row r="152" spans="1:17" x14ac:dyDescent="0.2">
      <c r="A152" s="10">
        <v>45987</v>
      </c>
      <c r="B152" s="11" t="s">
        <v>8003</v>
      </c>
      <c r="C152" s="11"/>
      <c r="D152" s="11" t="s">
        <v>8004</v>
      </c>
      <c r="E152" s="11" t="s">
        <v>21</v>
      </c>
      <c r="F152" s="11" t="s">
        <v>37</v>
      </c>
      <c r="G152" s="12">
        <v>20500</v>
      </c>
      <c r="H152" s="12">
        <v>19300</v>
      </c>
      <c r="I152" s="11" t="s">
        <v>23</v>
      </c>
      <c r="J152" s="11" t="s">
        <v>23</v>
      </c>
      <c r="K152" s="11" t="s">
        <v>8005</v>
      </c>
      <c r="L152" s="11" t="s">
        <v>8006</v>
      </c>
      <c r="M152" s="11" t="s">
        <v>26</v>
      </c>
      <c r="N152" s="11">
        <v>2</v>
      </c>
      <c r="O152" s="11" t="s">
        <v>151</v>
      </c>
      <c r="P152" s="11" t="s">
        <v>28</v>
      </c>
      <c r="Q152" s="11" t="s">
        <v>29</v>
      </c>
    </row>
    <row r="153" spans="1:17" x14ac:dyDescent="0.2">
      <c r="A153" s="10">
        <v>45790</v>
      </c>
      <c r="B153" s="11" t="s">
        <v>8007</v>
      </c>
      <c r="C153" s="11"/>
      <c r="D153" s="11" t="s">
        <v>8008</v>
      </c>
      <c r="E153" s="11" t="s">
        <v>21</v>
      </c>
      <c r="F153" s="11" t="s">
        <v>37</v>
      </c>
      <c r="G153" s="12">
        <v>26000</v>
      </c>
      <c r="H153" s="12">
        <v>19500</v>
      </c>
      <c r="I153" s="11" t="s">
        <v>23</v>
      </c>
      <c r="J153" s="11" t="s">
        <v>23</v>
      </c>
      <c r="K153" s="11" t="s">
        <v>4364</v>
      </c>
      <c r="L153" s="11" t="s">
        <v>39</v>
      </c>
      <c r="M153" s="11" t="s">
        <v>26</v>
      </c>
      <c r="N153" s="11">
        <v>2</v>
      </c>
      <c r="O153" s="11" t="s">
        <v>40</v>
      </c>
      <c r="P153" s="11" t="s">
        <v>28</v>
      </c>
      <c r="Q153" s="11" t="s">
        <v>29</v>
      </c>
    </row>
    <row r="154" spans="1:17" x14ac:dyDescent="0.2">
      <c r="A154" s="10">
        <v>45918</v>
      </c>
      <c r="B154" s="11" t="s">
        <v>8009</v>
      </c>
      <c r="C154" s="11"/>
      <c r="D154" s="11" t="s">
        <v>8010</v>
      </c>
      <c r="E154" s="11" t="s">
        <v>21</v>
      </c>
      <c r="F154" s="11" t="s">
        <v>100</v>
      </c>
      <c r="G154" s="12">
        <v>21000</v>
      </c>
      <c r="H154" s="12">
        <v>19569</v>
      </c>
      <c r="I154" s="11" t="s">
        <v>23</v>
      </c>
      <c r="J154" s="11" t="s">
        <v>23</v>
      </c>
      <c r="K154" s="11" t="s">
        <v>8011</v>
      </c>
      <c r="L154" s="11" t="s">
        <v>8012</v>
      </c>
      <c r="M154" s="11" t="s">
        <v>26</v>
      </c>
      <c r="N154" s="11">
        <v>2</v>
      </c>
      <c r="O154" s="11" t="s">
        <v>121</v>
      </c>
      <c r="P154" s="11" t="s">
        <v>79</v>
      </c>
      <c r="Q154" s="11" t="s">
        <v>29</v>
      </c>
    </row>
    <row r="155" spans="1:17" x14ac:dyDescent="0.2">
      <c r="A155" s="10">
        <v>45792</v>
      </c>
      <c r="B155" s="11" t="s">
        <v>8013</v>
      </c>
      <c r="C155" s="11"/>
      <c r="D155" s="11" t="s">
        <v>8014</v>
      </c>
      <c r="E155" s="11" t="s">
        <v>21</v>
      </c>
      <c r="F155" s="11" t="s">
        <v>37</v>
      </c>
      <c r="G155" s="12">
        <v>20000</v>
      </c>
      <c r="H155" s="12">
        <v>19800</v>
      </c>
      <c r="I155" s="11" t="s">
        <v>23</v>
      </c>
      <c r="J155" s="11" t="s">
        <v>23</v>
      </c>
      <c r="K155" s="11" t="s">
        <v>8015</v>
      </c>
      <c r="L155" s="11" t="s">
        <v>8016</v>
      </c>
      <c r="M155" s="11" t="s">
        <v>26</v>
      </c>
      <c r="N155" s="11">
        <v>2</v>
      </c>
      <c r="O155" s="11" t="s">
        <v>151</v>
      </c>
      <c r="P155" s="11" t="s">
        <v>28</v>
      </c>
      <c r="Q155" s="11" t="s">
        <v>29</v>
      </c>
    </row>
    <row r="156" spans="1:17" x14ac:dyDescent="0.2">
      <c r="A156" s="10">
        <v>46011</v>
      </c>
      <c r="B156" s="11" t="s">
        <v>8017</v>
      </c>
      <c r="C156" s="11"/>
      <c r="D156" s="11" t="s">
        <v>8018</v>
      </c>
      <c r="E156" s="11" t="s">
        <v>21</v>
      </c>
      <c r="F156" s="11" t="s">
        <v>37</v>
      </c>
      <c r="G156" s="12">
        <v>22000</v>
      </c>
      <c r="H156" s="12">
        <v>20000</v>
      </c>
      <c r="I156" s="11" t="s">
        <v>23</v>
      </c>
      <c r="J156" s="11" t="s">
        <v>23</v>
      </c>
      <c r="K156" s="11" t="s">
        <v>8019</v>
      </c>
      <c r="L156" s="11" t="s">
        <v>8020</v>
      </c>
      <c r="M156" s="11" t="s">
        <v>26</v>
      </c>
      <c r="N156" s="11">
        <v>2</v>
      </c>
      <c r="O156" s="11" t="s">
        <v>7623</v>
      </c>
      <c r="P156" s="11" t="s">
        <v>28</v>
      </c>
      <c r="Q156" s="11" t="s">
        <v>29</v>
      </c>
    </row>
    <row r="157" spans="1:17" x14ac:dyDescent="0.2">
      <c r="A157" s="10">
        <v>45979</v>
      </c>
      <c r="B157" s="11" t="s">
        <v>8021</v>
      </c>
      <c r="C157" s="11"/>
      <c r="D157" s="11" t="s">
        <v>8021</v>
      </c>
      <c r="E157" s="11" t="s">
        <v>21</v>
      </c>
      <c r="F157" s="11" t="s">
        <v>22</v>
      </c>
      <c r="G157" s="12">
        <v>80000</v>
      </c>
      <c r="H157" s="12">
        <v>20000</v>
      </c>
      <c r="I157" s="11" t="s">
        <v>23</v>
      </c>
      <c r="J157" s="11" t="s">
        <v>23</v>
      </c>
      <c r="K157" s="11" t="s">
        <v>8021</v>
      </c>
      <c r="L157" s="11"/>
      <c r="M157" s="11" t="s">
        <v>34</v>
      </c>
      <c r="N157" s="11">
        <v>2</v>
      </c>
      <c r="O157" s="11" t="s">
        <v>62</v>
      </c>
      <c r="P157" s="11" t="s">
        <v>28</v>
      </c>
      <c r="Q157" s="11" t="s">
        <v>29</v>
      </c>
    </row>
    <row r="158" spans="1:17" x14ac:dyDescent="0.2">
      <c r="A158" s="10">
        <v>45946</v>
      </c>
      <c r="B158" s="11" t="s">
        <v>8022</v>
      </c>
      <c r="C158" s="11"/>
      <c r="D158" s="11" t="s">
        <v>8023</v>
      </c>
      <c r="E158" s="11" t="s">
        <v>21</v>
      </c>
      <c r="F158" s="11" t="s">
        <v>81</v>
      </c>
      <c r="G158" s="12">
        <v>20000</v>
      </c>
      <c r="H158" s="12">
        <v>20000</v>
      </c>
      <c r="I158" s="11" t="s">
        <v>23</v>
      </c>
      <c r="J158" s="11" t="s">
        <v>23</v>
      </c>
      <c r="K158" s="11" t="s">
        <v>8024</v>
      </c>
      <c r="L158" s="11" t="s">
        <v>223</v>
      </c>
      <c r="M158" s="11" t="s">
        <v>45</v>
      </c>
      <c r="N158" s="11">
        <v>1</v>
      </c>
      <c r="O158" s="11" t="s">
        <v>167</v>
      </c>
      <c r="P158" s="11" t="s">
        <v>152</v>
      </c>
      <c r="Q158" s="11" t="s">
        <v>29</v>
      </c>
    </row>
    <row r="159" spans="1:17" x14ac:dyDescent="0.2">
      <c r="A159" s="10">
        <v>45880</v>
      </c>
      <c r="B159" s="11" t="s">
        <v>8025</v>
      </c>
      <c r="C159" s="11"/>
      <c r="D159" s="11" t="s">
        <v>8026</v>
      </c>
      <c r="E159" s="11" t="s">
        <v>21</v>
      </c>
      <c r="F159" s="11" t="s">
        <v>70</v>
      </c>
      <c r="G159" s="12">
        <v>20000</v>
      </c>
      <c r="H159" s="12">
        <v>20000</v>
      </c>
      <c r="I159" s="11" t="s">
        <v>23</v>
      </c>
      <c r="J159" s="11" t="s">
        <v>23</v>
      </c>
      <c r="K159" s="11" t="s">
        <v>8026</v>
      </c>
      <c r="L159" s="11" t="s">
        <v>8027</v>
      </c>
      <c r="M159" s="11" t="s">
        <v>26</v>
      </c>
      <c r="N159" s="11">
        <v>2</v>
      </c>
      <c r="O159" s="11" t="s">
        <v>167</v>
      </c>
      <c r="P159" s="11" t="s">
        <v>28</v>
      </c>
      <c r="Q159" s="11" t="s">
        <v>29</v>
      </c>
    </row>
    <row r="160" spans="1:17" x14ac:dyDescent="0.2">
      <c r="A160" s="10">
        <v>45880</v>
      </c>
      <c r="B160" s="11" t="s">
        <v>8028</v>
      </c>
      <c r="C160" s="11"/>
      <c r="D160" s="11" t="s">
        <v>8029</v>
      </c>
      <c r="E160" s="11" t="s">
        <v>21</v>
      </c>
      <c r="F160" s="11" t="s">
        <v>37</v>
      </c>
      <c r="G160" s="12">
        <v>20000</v>
      </c>
      <c r="H160" s="12">
        <v>20000</v>
      </c>
      <c r="I160" s="11" t="s">
        <v>23</v>
      </c>
      <c r="J160" s="11" t="s">
        <v>23</v>
      </c>
      <c r="K160" s="11" t="s">
        <v>8030</v>
      </c>
      <c r="L160" s="11" t="s">
        <v>5363</v>
      </c>
      <c r="M160" s="11" t="s">
        <v>26</v>
      </c>
      <c r="N160" s="11">
        <v>2</v>
      </c>
      <c r="O160" s="11" t="s">
        <v>429</v>
      </c>
      <c r="P160" s="11" t="s">
        <v>28</v>
      </c>
      <c r="Q160" s="11" t="s">
        <v>29</v>
      </c>
    </row>
    <row r="161" spans="1:17" x14ac:dyDescent="0.2">
      <c r="A161" s="10">
        <v>45785</v>
      </c>
      <c r="B161" s="11" t="s">
        <v>8031</v>
      </c>
      <c r="C161" s="11"/>
      <c r="D161" s="11" t="s">
        <v>8032</v>
      </c>
      <c r="E161" s="11" t="s">
        <v>21</v>
      </c>
      <c r="F161" s="11" t="s">
        <v>81</v>
      </c>
      <c r="G161" s="12">
        <v>22000</v>
      </c>
      <c r="H161" s="12">
        <v>20000</v>
      </c>
      <c r="I161" s="11" t="s">
        <v>23</v>
      </c>
      <c r="J161" s="11" t="s">
        <v>23</v>
      </c>
      <c r="K161" s="11" t="s">
        <v>8033</v>
      </c>
      <c r="L161" s="11" t="s">
        <v>1408</v>
      </c>
      <c r="M161" s="11" t="s">
        <v>26</v>
      </c>
      <c r="N161" s="11">
        <v>2</v>
      </c>
      <c r="O161" s="11" t="s">
        <v>482</v>
      </c>
      <c r="P161" s="11" t="s">
        <v>28</v>
      </c>
      <c r="Q161" s="11" t="s">
        <v>29</v>
      </c>
    </row>
    <row r="162" spans="1:17" x14ac:dyDescent="0.2">
      <c r="A162" s="10">
        <v>45784</v>
      </c>
      <c r="B162" s="11" t="s">
        <v>8034</v>
      </c>
      <c r="C162" s="11"/>
      <c r="D162" s="11" t="s">
        <v>8035</v>
      </c>
      <c r="E162" s="11" t="s">
        <v>21</v>
      </c>
      <c r="F162" s="11" t="s">
        <v>90</v>
      </c>
      <c r="G162" s="12">
        <v>23000</v>
      </c>
      <c r="H162" s="12">
        <v>20000</v>
      </c>
      <c r="I162" s="11" t="s">
        <v>23</v>
      </c>
      <c r="J162" s="11" t="s">
        <v>23</v>
      </c>
      <c r="K162" s="11" t="s">
        <v>8036</v>
      </c>
      <c r="L162" s="11" t="s">
        <v>2194</v>
      </c>
      <c r="M162" s="11" t="s">
        <v>55</v>
      </c>
      <c r="N162" s="11">
        <v>2</v>
      </c>
      <c r="O162" s="11" t="s">
        <v>56</v>
      </c>
      <c r="P162" s="11" t="s">
        <v>28</v>
      </c>
      <c r="Q162" s="11" t="s">
        <v>29</v>
      </c>
    </row>
    <row r="163" spans="1:17" x14ac:dyDescent="0.2">
      <c r="A163" s="10">
        <v>45763</v>
      </c>
      <c r="B163" s="11" t="s">
        <v>8037</v>
      </c>
      <c r="C163" s="11"/>
      <c r="D163" s="11" t="s">
        <v>8038</v>
      </c>
      <c r="E163" s="11" t="s">
        <v>21</v>
      </c>
      <c r="F163" s="11" t="s">
        <v>362</v>
      </c>
      <c r="G163" s="12">
        <v>20000</v>
      </c>
      <c r="H163" s="12">
        <v>20000</v>
      </c>
      <c r="I163" s="11" t="s">
        <v>23</v>
      </c>
      <c r="J163" s="11" t="s">
        <v>23</v>
      </c>
      <c r="K163" s="11"/>
      <c r="L163" s="11"/>
      <c r="M163" s="11" t="s">
        <v>34</v>
      </c>
      <c r="N163" s="11">
        <v>1</v>
      </c>
      <c r="O163" s="11" t="s">
        <v>167</v>
      </c>
      <c r="P163" s="11" t="s">
        <v>122</v>
      </c>
      <c r="Q163" s="11" t="s">
        <v>29</v>
      </c>
    </row>
    <row r="164" spans="1:17" x14ac:dyDescent="0.2">
      <c r="A164" s="10">
        <v>45727</v>
      </c>
      <c r="B164" s="11" t="s">
        <v>8039</v>
      </c>
      <c r="C164" s="11"/>
      <c r="D164" s="11" t="s">
        <v>8040</v>
      </c>
      <c r="E164" s="11" t="s">
        <v>21</v>
      </c>
      <c r="F164" s="11" t="s">
        <v>22</v>
      </c>
      <c r="G164" s="12">
        <v>20000</v>
      </c>
      <c r="H164" s="12">
        <v>20000</v>
      </c>
      <c r="I164" s="11" t="s">
        <v>23</v>
      </c>
      <c r="J164" s="11" t="s">
        <v>23</v>
      </c>
      <c r="K164" s="11"/>
      <c r="L164" s="11" t="s">
        <v>1865</v>
      </c>
      <c r="M164" s="11" t="s">
        <v>26</v>
      </c>
      <c r="N164" s="11">
        <v>2</v>
      </c>
      <c r="O164" s="11" t="s">
        <v>321</v>
      </c>
      <c r="P164" s="11" t="s">
        <v>79</v>
      </c>
      <c r="Q164" s="11" t="s">
        <v>29</v>
      </c>
    </row>
    <row r="165" spans="1:17" x14ac:dyDescent="0.2">
      <c r="A165" s="10">
        <v>45706</v>
      </c>
      <c r="B165" s="11" t="s">
        <v>8041</v>
      </c>
      <c r="C165" s="11"/>
      <c r="D165" s="11" t="s">
        <v>8042</v>
      </c>
      <c r="E165" s="11" t="s">
        <v>21</v>
      </c>
      <c r="F165" s="11" t="s">
        <v>37</v>
      </c>
      <c r="G165" s="12">
        <v>20000</v>
      </c>
      <c r="H165" s="12">
        <v>20000</v>
      </c>
      <c r="I165" s="11" t="s">
        <v>23</v>
      </c>
      <c r="J165" s="11" t="s">
        <v>23</v>
      </c>
      <c r="K165" s="11" t="s">
        <v>8043</v>
      </c>
      <c r="L165" s="11" t="s">
        <v>1014</v>
      </c>
      <c r="M165" s="11" t="s">
        <v>26</v>
      </c>
      <c r="N165" s="11">
        <v>2</v>
      </c>
      <c r="O165" s="11" t="s">
        <v>103</v>
      </c>
      <c r="P165" s="11" t="s">
        <v>28</v>
      </c>
      <c r="Q165" s="11" t="s">
        <v>29</v>
      </c>
    </row>
    <row r="166" spans="1:17" x14ac:dyDescent="0.2">
      <c r="A166" s="10">
        <v>45687</v>
      </c>
      <c r="B166" s="11" t="s">
        <v>8044</v>
      </c>
      <c r="C166" s="11"/>
      <c r="D166" s="11" t="s">
        <v>8044</v>
      </c>
      <c r="E166" s="11" t="s">
        <v>21</v>
      </c>
      <c r="F166" s="11" t="s">
        <v>22</v>
      </c>
      <c r="G166" s="12">
        <v>20000</v>
      </c>
      <c r="H166" s="12">
        <v>20000</v>
      </c>
      <c r="I166" s="11" t="s">
        <v>23</v>
      </c>
      <c r="J166" s="11" t="s">
        <v>23</v>
      </c>
      <c r="K166" s="11" t="s">
        <v>8044</v>
      </c>
      <c r="L166" s="11" t="s">
        <v>8045</v>
      </c>
      <c r="M166" s="11" t="s">
        <v>26</v>
      </c>
      <c r="N166" s="11">
        <v>2</v>
      </c>
      <c r="O166" s="11" t="s">
        <v>62</v>
      </c>
      <c r="P166" s="11" t="s">
        <v>28</v>
      </c>
      <c r="Q166" s="11" t="s">
        <v>29</v>
      </c>
    </row>
    <row r="167" spans="1:17" x14ac:dyDescent="0.2">
      <c r="A167" s="10">
        <v>45678</v>
      </c>
      <c r="B167" s="11" t="s">
        <v>8046</v>
      </c>
      <c r="C167" s="11"/>
      <c r="D167" s="11" t="s">
        <v>8047</v>
      </c>
      <c r="E167" s="11" t="s">
        <v>21</v>
      </c>
      <c r="F167" s="11" t="s">
        <v>22</v>
      </c>
      <c r="G167" s="12">
        <v>22000</v>
      </c>
      <c r="H167" s="12">
        <v>20000</v>
      </c>
      <c r="I167" s="11" t="s">
        <v>23</v>
      </c>
      <c r="J167" s="11" t="s">
        <v>23</v>
      </c>
      <c r="K167" s="11"/>
      <c r="L167" s="11" t="s">
        <v>932</v>
      </c>
      <c r="M167" s="11" t="s">
        <v>26</v>
      </c>
      <c r="N167" s="11">
        <v>2</v>
      </c>
      <c r="O167" s="11" t="s">
        <v>321</v>
      </c>
      <c r="P167" s="11" t="s">
        <v>232</v>
      </c>
      <c r="Q167" s="11" t="s">
        <v>29</v>
      </c>
    </row>
    <row r="168" spans="1:17" x14ac:dyDescent="0.2">
      <c r="A168" s="10">
        <v>45771</v>
      </c>
      <c r="B168" s="11" t="s">
        <v>7641</v>
      </c>
      <c r="C168" s="11"/>
      <c r="D168" s="11" t="s">
        <v>7642</v>
      </c>
      <c r="E168" s="11" t="s">
        <v>21</v>
      </c>
      <c r="F168" s="11" t="s">
        <v>37</v>
      </c>
      <c r="G168" s="12">
        <v>5200</v>
      </c>
      <c r="H168" s="12">
        <v>20166</v>
      </c>
      <c r="I168" s="11" t="s">
        <v>23</v>
      </c>
      <c r="J168" s="11" t="s">
        <v>23</v>
      </c>
      <c r="K168" s="11" t="s">
        <v>7642</v>
      </c>
      <c r="L168" s="11" t="s">
        <v>7643</v>
      </c>
      <c r="M168" s="11" t="s">
        <v>26</v>
      </c>
      <c r="N168" s="11">
        <v>2</v>
      </c>
      <c r="O168" s="11" t="s">
        <v>103</v>
      </c>
      <c r="P168" s="11" t="s">
        <v>28</v>
      </c>
      <c r="Q168" s="11" t="s">
        <v>29</v>
      </c>
    </row>
    <row r="169" spans="1:17" x14ac:dyDescent="0.2">
      <c r="A169" s="10">
        <v>46086</v>
      </c>
      <c r="B169" s="11" t="s">
        <v>8048</v>
      </c>
      <c r="C169" s="11"/>
      <c r="D169" s="11" t="s">
        <v>8049</v>
      </c>
      <c r="E169" s="11" t="s">
        <v>21</v>
      </c>
      <c r="F169" s="11" t="s">
        <v>70</v>
      </c>
      <c r="G169" s="12">
        <v>23000</v>
      </c>
      <c r="H169" s="12">
        <v>20500</v>
      </c>
      <c r="I169" s="11" t="s">
        <v>23</v>
      </c>
      <c r="J169" s="11" t="s">
        <v>23</v>
      </c>
      <c r="K169" s="11" t="s">
        <v>8050</v>
      </c>
      <c r="L169" s="11" t="s">
        <v>78</v>
      </c>
      <c r="M169" s="11" t="s">
        <v>26</v>
      </c>
      <c r="N169" s="11">
        <v>2</v>
      </c>
      <c r="O169" s="11" t="s">
        <v>73</v>
      </c>
      <c r="P169" s="11" t="s">
        <v>28</v>
      </c>
      <c r="Q169" s="11" t="s">
        <v>29</v>
      </c>
    </row>
    <row r="170" spans="1:17" x14ac:dyDescent="0.2">
      <c r="A170" s="10">
        <v>45975</v>
      </c>
      <c r="B170" s="11" t="s">
        <v>8051</v>
      </c>
      <c r="C170" s="11"/>
      <c r="D170" s="11" t="s">
        <v>8052</v>
      </c>
      <c r="E170" s="11" t="s">
        <v>21</v>
      </c>
      <c r="F170" s="11" t="s">
        <v>37</v>
      </c>
      <c r="G170" s="12">
        <v>28000</v>
      </c>
      <c r="H170" s="12">
        <v>21000</v>
      </c>
      <c r="I170" s="11" t="s">
        <v>23</v>
      </c>
      <c r="J170" s="11" t="s">
        <v>23</v>
      </c>
      <c r="K170" s="11" t="s">
        <v>4537</v>
      </c>
      <c r="L170" s="11" t="s">
        <v>4538</v>
      </c>
      <c r="M170" s="11" t="s">
        <v>61</v>
      </c>
      <c r="N170" s="11">
        <v>2</v>
      </c>
      <c r="O170" s="11" t="s">
        <v>56</v>
      </c>
      <c r="P170" s="11" t="s">
        <v>404</v>
      </c>
      <c r="Q170" s="11" t="s">
        <v>29</v>
      </c>
    </row>
    <row r="171" spans="1:17" x14ac:dyDescent="0.2">
      <c r="A171" s="10">
        <v>45958</v>
      </c>
      <c r="B171" s="11" t="s">
        <v>8009</v>
      </c>
      <c r="C171" s="11"/>
      <c r="D171" s="11" t="s">
        <v>8010</v>
      </c>
      <c r="E171" s="11" t="s">
        <v>21</v>
      </c>
      <c r="F171" s="11" t="s">
        <v>100</v>
      </c>
      <c r="G171" s="12">
        <v>21000</v>
      </c>
      <c r="H171" s="12">
        <v>21000</v>
      </c>
      <c r="I171" s="11" t="s">
        <v>23</v>
      </c>
      <c r="J171" s="11" t="s">
        <v>23</v>
      </c>
      <c r="K171" s="11" t="s">
        <v>8011</v>
      </c>
      <c r="L171" s="11" t="s">
        <v>8012</v>
      </c>
      <c r="M171" s="11" t="s">
        <v>26</v>
      </c>
      <c r="N171" s="11">
        <v>2</v>
      </c>
      <c r="O171" s="11" t="s">
        <v>121</v>
      </c>
      <c r="P171" s="11" t="s">
        <v>79</v>
      </c>
      <c r="Q171" s="11" t="s">
        <v>29</v>
      </c>
    </row>
    <row r="172" spans="1:17" x14ac:dyDescent="0.2">
      <c r="A172" s="10">
        <v>45930</v>
      </c>
      <c r="B172" s="11" t="s">
        <v>8053</v>
      </c>
      <c r="C172" s="11"/>
      <c r="D172" s="11" t="s">
        <v>8054</v>
      </c>
      <c r="E172" s="11" t="s">
        <v>21</v>
      </c>
      <c r="F172" s="11" t="s">
        <v>90</v>
      </c>
      <c r="G172" s="12">
        <v>23000</v>
      </c>
      <c r="H172" s="12">
        <v>21000</v>
      </c>
      <c r="I172" s="11" t="s">
        <v>23</v>
      </c>
      <c r="J172" s="11" t="s">
        <v>23</v>
      </c>
      <c r="K172" s="11" t="s">
        <v>8055</v>
      </c>
      <c r="L172" s="11" t="s">
        <v>8056</v>
      </c>
      <c r="M172" s="11" t="s">
        <v>61</v>
      </c>
      <c r="N172" s="11">
        <v>2</v>
      </c>
      <c r="O172" s="11" t="s">
        <v>103</v>
      </c>
      <c r="P172" s="11" t="s">
        <v>1265</v>
      </c>
      <c r="Q172" s="11" t="s">
        <v>29</v>
      </c>
    </row>
    <row r="173" spans="1:17" x14ac:dyDescent="0.2">
      <c r="A173" s="10">
        <v>45895</v>
      </c>
      <c r="B173" s="11" t="s">
        <v>8057</v>
      </c>
      <c r="C173" s="11"/>
      <c r="D173" s="11" t="s">
        <v>8058</v>
      </c>
      <c r="E173" s="11" t="s">
        <v>21</v>
      </c>
      <c r="F173" s="11" t="s">
        <v>37</v>
      </c>
      <c r="G173" s="12">
        <v>27000</v>
      </c>
      <c r="H173" s="12">
        <v>21000</v>
      </c>
      <c r="I173" s="11" t="s">
        <v>23</v>
      </c>
      <c r="J173" s="11" t="s">
        <v>23</v>
      </c>
      <c r="K173" s="11" t="s">
        <v>8059</v>
      </c>
      <c r="L173" s="11" t="s">
        <v>621</v>
      </c>
      <c r="M173" s="11" t="s">
        <v>26</v>
      </c>
      <c r="N173" s="11">
        <v>2</v>
      </c>
      <c r="O173" s="11" t="s">
        <v>1024</v>
      </c>
      <c r="P173" s="11" t="s">
        <v>200</v>
      </c>
      <c r="Q173" s="11" t="s">
        <v>29</v>
      </c>
    </row>
    <row r="174" spans="1:17" x14ac:dyDescent="0.2">
      <c r="A174" s="10">
        <v>45880</v>
      </c>
      <c r="B174" s="11" t="s">
        <v>7993</v>
      </c>
      <c r="C174" s="11"/>
      <c r="D174" s="11" t="s">
        <v>7994</v>
      </c>
      <c r="E174" s="11" t="s">
        <v>21</v>
      </c>
      <c r="F174" s="11" t="s">
        <v>100</v>
      </c>
      <c r="G174" s="12">
        <v>21000</v>
      </c>
      <c r="H174" s="12">
        <v>21000</v>
      </c>
      <c r="I174" s="11" t="s">
        <v>23</v>
      </c>
      <c r="J174" s="11" t="s">
        <v>23</v>
      </c>
      <c r="K174" s="11" t="s">
        <v>3346</v>
      </c>
      <c r="L174" s="11" t="s">
        <v>3347</v>
      </c>
      <c r="M174" s="11" t="s">
        <v>26</v>
      </c>
      <c r="N174" s="11">
        <v>2</v>
      </c>
      <c r="O174" s="11" t="s">
        <v>121</v>
      </c>
      <c r="P174" s="11" t="s">
        <v>28</v>
      </c>
      <c r="Q174" s="11" t="s">
        <v>29</v>
      </c>
    </row>
    <row r="175" spans="1:17" x14ac:dyDescent="0.2">
      <c r="A175" s="10">
        <v>45852</v>
      </c>
      <c r="B175" s="11" t="s">
        <v>8060</v>
      </c>
      <c r="C175" s="11"/>
      <c r="D175" s="11" t="s">
        <v>8061</v>
      </c>
      <c r="E175" s="11" t="s">
        <v>21</v>
      </c>
      <c r="F175" s="11" t="s">
        <v>100</v>
      </c>
      <c r="G175" s="12">
        <v>25000</v>
      </c>
      <c r="H175" s="12">
        <v>21000</v>
      </c>
      <c r="I175" s="11" t="s">
        <v>23</v>
      </c>
      <c r="J175" s="11" t="s">
        <v>23</v>
      </c>
      <c r="K175" s="11" t="s">
        <v>8062</v>
      </c>
      <c r="L175" s="11" t="s">
        <v>7643</v>
      </c>
      <c r="M175" s="11" t="s">
        <v>26</v>
      </c>
      <c r="N175" s="11">
        <v>1</v>
      </c>
      <c r="O175" s="11" t="s">
        <v>103</v>
      </c>
      <c r="P175" s="11" t="s">
        <v>47</v>
      </c>
      <c r="Q175" s="11" t="s">
        <v>29</v>
      </c>
    </row>
    <row r="176" spans="1:17" x14ac:dyDescent="0.2">
      <c r="A176" s="10">
        <v>45840</v>
      </c>
      <c r="B176" s="11" t="s">
        <v>8063</v>
      </c>
      <c r="C176" s="11"/>
      <c r="D176" s="11" t="s">
        <v>8064</v>
      </c>
      <c r="E176" s="11" t="s">
        <v>21</v>
      </c>
      <c r="F176" s="11" t="s">
        <v>70</v>
      </c>
      <c r="G176" s="12">
        <v>22000</v>
      </c>
      <c r="H176" s="12">
        <v>21000</v>
      </c>
      <c r="I176" s="11" t="s">
        <v>23</v>
      </c>
      <c r="J176" s="11" t="s">
        <v>23</v>
      </c>
      <c r="K176" s="11" t="s">
        <v>8065</v>
      </c>
      <c r="L176" s="11" t="s">
        <v>129</v>
      </c>
      <c r="M176" s="11" t="s">
        <v>26</v>
      </c>
      <c r="N176" s="11">
        <v>2</v>
      </c>
      <c r="O176" s="11" t="s">
        <v>130</v>
      </c>
      <c r="P176" s="11" t="s">
        <v>28</v>
      </c>
      <c r="Q176" s="11" t="s">
        <v>29</v>
      </c>
    </row>
    <row r="177" spans="1:17" x14ac:dyDescent="0.2">
      <c r="A177" s="10">
        <v>45744</v>
      </c>
      <c r="B177" s="11" t="s">
        <v>8066</v>
      </c>
      <c r="C177" s="11"/>
      <c r="D177" s="11" t="s">
        <v>8067</v>
      </c>
      <c r="E177" s="11" t="s">
        <v>21</v>
      </c>
      <c r="F177" s="11" t="s">
        <v>100</v>
      </c>
      <c r="G177" s="12">
        <v>24000</v>
      </c>
      <c r="H177" s="12">
        <v>21000</v>
      </c>
      <c r="I177" s="11" t="s">
        <v>23</v>
      </c>
      <c r="J177" s="11" t="s">
        <v>23</v>
      </c>
      <c r="K177" s="11" t="s">
        <v>8067</v>
      </c>
      <c r="L177" s="11" t="s">
        <v>7829</v>
      </c>
      <c r="M177" s="11" t="s">
        <v>26</v>
      </c>
      <c r="N177" s="11">
        <v>2</v>
      </c>
      <c r="O177" s="11" t="s">
        <v>103</v>
      </c>
      <c r="P177" s="11" t="s">
        <v>28</v>
      </c>
      <c r="Q177" s="11" t="s">
        <v>29</v>
      </c>
    </row>
    <row r="178" spans="1:17" x14ac:dyDescent="0.2">
      <c r="A178" s="10">
        <v>45699</v>
      </c>
      <c r="B178" s="11" t="s">
        <v>8068</v>
      </c>
      <c r="C178" s="11"/>
      <c r="D178" s="11" t="s">
        <v>8069</v>
      </c>
      <c r="E178" s="11" t="s">
        <v>21</v>
      </c>
      <c r="F178" s="11" t="s">
        <v>37</v>
      </c>
      <c r="G178" s="12">
        <v>23780</v>
      </c>
      <c r="H178" s="12">
        <v>21000</v>
      </c>
      <c r="I178" s="11" t="s">
        <v>23</v>
      </c>
      <c r="J178" s="11" t="s">
        <v>23</v>
      </c>
      <c r="K178" s="11" t="s">
        <v>8070</v>
      </c>
      <c r="L178" s="11" t="s">
        <v>8071</v>
      </c>
      <c r="M178" s="11" t="s">
        <v>26</v>
      </c>
      <c r="N178" s="11">
        <v>2</v>
      </c>
      <c r="O178" s="11" t="s">
        <v>110</v>
      </c>
      <c r="P178" s="11" t="s">
        <v>28</v>
      </c>
      <c r="Q178" s="11" t="s">
        <v>29</v>
      </c>
    </row>
    <row r="179" spans="1:17" x14ac:dyDescent="0.2">
      <c r="A179" s="10">
        <v>45834</v>
      </c>
      <c r="B179" s="11" t="s">
        <v>8072</v>
      </c>
      <c r="C179" s="11"/>
      <c r="D179" s="11" t="s">
        <v>8073</v>
      </c>
      <c r="E179" s="11" t="s">
        <v>21</v>
      </c>
      <c r="F179" s="11" t="s">
        <v>81</v>
      </c>
      <c r="G179" s="12">
        <v>22500</v>
      </c>
      <c r="H179" s="12">
        <v>21154</v>
      </c>
      <c r="I179" s="11" t="s">
        <v>23</v>
      </c>
      <c r="J179" s="11" t="s">
        <v>23</v>
      </c>
      <c r="K179" s="11"/>
      <c r="L179" s="11" t="s">
        <v>5691</v>
      </c>
      <c r="M179" s="11" t="s">
        <v>26</v>
      </c>
      <c r="N179" s="11">
        <v>2</v>
      </c>
      <c r="O179" s="11" t="s">
        <v>257</v>
      </c>
      <c r="P179" s="11" t="s">
        <v>28</v>
      </c>
      <c r="Q179" s="11" t="s">
        <v>29</v>
      </c>
    </row>
    <row r="180" spans="1:17" x14ac:dyDescent="0.2">
      <c r="A180" s="10">
        <v>45820</v>
      </c>
      <c r="B180" s="11" t="s">
        <v>8074</v>
      </c>
      <c r="C180" s="11"/>
      <c r="D180" s="11" t="s">
        <v>8075</v>
      </c>
      <c r="E180" s="11" t="s">
        <v>21</v>
      </c>
      <c r="F180" s="11" t="s">
        <v>100</v>
      </c>
      <c r="G180" s="12">
        <v>29000</v>
      </c>
      <c r="H180" s="12">
        <v>21500</v>
      </c>
      <c r="I180" s="11" t="s">
        <v>23</v>
      </c>
      <c r="J180" s="11" t="s">
        <v>23</v>
      </c>
      <c r="K180" s="11" t="s">
        <v>8076</v>
      </c>
      <c r="L180" s="11" t="s">
        <v>7986</v>
      </c>
      <c r="M180" s="11" t="s">
        <v>26</v>
      </c>
      <c r="N180" s="11">
        <v>2</v>
      </c>
      <c r="O180" s="11" t="s">
        <v>121</v>
      </c>
      <c r="P180" s="11" t="s">
        <v>79</v>
      </c>
      <c r="Q180" s="11" t="s">
        <v>29</v>
      </c>
    </row>
    <row r="181" spans="1:17" x14ac:dyDescent="0.2">
      <c r="A181" s="10">
        <v>45992</v>
      </c>
      <c r="B181" s="11" t="s">
        <v>2692</v>
      </c>
      <c r="C181" s="11"/>
      <c r="D181" s="11" t="s">
        <v>2692</v>
      </c>
      <c r="E181" s="11" t="s">
        <v>21</v>
      </c>
      <c r="F181" s="11" t="s">
        <v>37</v>
      </c>
      <c r="G181" s="12">
        <v>55000</v>
      </c>
      <c r="H181" s="12">
        <v>21650</v>
      </c>
      <c r="I181" s="11" t="s">
        <v>23</v>
      </c>
      <c r="J181" s="11" t="s">
        <v>23</v>
      </c>
      <c r="K181" s="11"/>
      <c r="L181" s="11" t="s">
        <v>1646</v>
      </c>
      <c r="M181" s="11" t="s">
        <v>45</v>
      </c>
      <c r="N181" s="11">
        <v>1</v>
      </c>
      <c r="O181" s="11" t="s">
        <v>151</v>
      </c>
      <c r="P181" s="11" t="s">
        <v>122</v>
      </c>
      <c r="Q181" s="11" t="s">
        <v>29</v>
      </c>
    </row>
    <row r="182" spans="1:17" x14ac:dyDescent="0.2">
      <c r="A182" s="10">
        <v>46057</v>
      </c>
      <c r="B182" s="11" t="s">
        <v>8077</v>
      </c>
      <c r="C182" s="11"/>
      <c r="D182" s="11" t="s">
        <v>8078</v>
      </c>
      <c r="E182" s="11" t="s">
        <v>21</v>
      </c>
      <c r="F182" s="11" t="s">
        <v>70</v>
      </c>
      <c r="G182" s="12">
        <v>22500</v>
      </c>
      <c r="H182" s="12">
        <v>22000</v>
      </c>
      <c r="I182" s="11" t="s">
        <v>23</v>
      </c>
      <c r="J182" s="11" t="s">
        <v>23</v>
      </c>
      <c r="K182" s="11" t="s">
        <v>8079</v>
      </c>
      <c r="L182" s="11" t="s">
        <v>8080</v>
      </c>
      <c r="M182" s="11" t="s">
        <v>26</v>
      </c>
      <c r="N182" s="11">
        <v>2</v>
      </c>
      <c r="O182" s="11" t="s">
        <v>482</v>
      </c>
      <c r="P182" s="11" t="s">
        <v>28</v>
      </c>
      <c r="Q182" s="11" t="s">
        <v>29</v>
      </c>
    </row>
    <row r="183" spans="1:17" x14ac:dyDescent="0.2">
      <c r="A183" s="10">
        <v>45959</v>
      </c>
      <c r="B183" s="11">
        <v>10485</v>
      </c>
      <c r="C183" s="11"/>
      <c r="D183" s="11" t="s">
        <v>8081</v>
      </c>
      <c r="E183" s="11" t="s">
        <v>21</v>
      </c>
      <c r="F183" s="11" t="s">
        <v>37</v>
      </c>
      <c r="G183" s="12">
        <v>22000</v>
      </c>
      <c r="H183" s="12">
        <v>22000</v>
      </c>
      <c r="I183" s="11" t="s">
        <v>23</v>
      </c>
      <c r="J183" s="11" t="s">
        <v>23</v>
      </c>
      <c r="K183" s="11" t="s">
        <v>8082</v>
      </c>
      <c r="L183" s="11" t="s">
        <v>1196</v>
      </c>
      <c r="M183" s="11" t="s">
        <v>1625</v>
      </c>
      <c r="N183" s="11">
        <v>2</v>
      </c>
      <c r="O183" s="11" t="s">
        <v>67</v>
      </c>
      <c r="P183" s="11" t="s">
        <v>28</v>
      </c>
      <c r="Q183" s="11" t="s">
        <v>29</v>
      </c>
    </row>
    <row r="184" spans="1:17" x14ac:dyDescent="0.2">
      <c r="A184" s="10">
        <v>45952</v>
      </c>
      <c r="B184" s="11" t="s">
        <v>7636</v>
      </c>
      <c r="C184" s="11"/>
      <c r="D184" s="11" t="s">
        <v>7637</v>
      </c>
      <c r="E184" s="11" t="s">
        <v>21</v>
      </c>
      <c r="F184" s="11" t="s">
        <v>70</v>
      </c>
      <c r="G184" s="12">
        <v>31900</v>
      </c>
      <c r="H184" s="12">
        <v>22000</v>
      </c>
      <c r="I184" s="11" t="s">
        <v>23</v>
      </c>
      <c r="J184" s="11" t="s">
        <v>1927</v>
      </c>
      <c r="K184" s="11" t="s">
        <v>7638</v>
      </c>
      <c r="L184" s="11" t="s">
        <v>3389</v>
      </c>
      <c r="M184" s="11" t="s">
        <v>45</v>
      </c>
      <c r="N184" s="11">
        <v>2</v>
      </c>
      <c r="O184" s="11" t="s">
        <v>151</v>
      </c>
      <c r="P184" s="11" t="s">
        <v>28</v>
      </c>
      <c r="Q184" s="11" t="s">
        <v>29</v>
      </c>
    </row>
    <row r="185" spans="1:17" x14ac:dyDescent="0.2">
      <c r="A185" s="10">
        <v>45910</v>
      </c>
      <c r="B185" s="11" t="s">
        <v>8083</v>
      </c>
      <c r="C185" s="11"/>
      <c r="D185" s="11" t="s">
        <v>8084</v>
      </c>
      <c r="E185" s="11" t="s">
        <v>21</v>
      </c>
      <c r="F185" s="11" t="s">
        <v>76</v>
      </c>
      <c r="G185" s="12">
        <v>22000</v>
      </c>
      <c r="H185" s="12">
        <v>22000</v>
      </c>
      <c r="I185" s="11" t="s">
        <v>23</v>
      </c>
      <c r="J185" s="11" t="s">
        <v>23</v>
      </c>
      <c r="K185" s="11" t="s">
        <v>8085</v>
      </c>
      <c r="L185" s="11" t="s">
        <v>1116</v>
      </c>
      <c r="M185" s="11" t="s">
        <v>26</v>
      </c>
      <c r="N185" s="11">
        <v>2</v>
      </c>
      <c r="O185" s="11" t="s">
        <v>73</v>
      </c>
      <c r="P185" s="11" t="s">
        <v>28</v>
      </c>
      <c r="Q185" s="11" t="s">
        <v>29</v>
      </c>
    </row>
    <row r="186" spans="1:17" x14ac:dyDescent="0.2">
      <c r="A186" s="10">
        <v>45882</v>
      </c>
      <c r="B186" s="11" t="s">
        <v>8086</v>
      </c>
      <c r="C186" s="11"/>
      <c r="D186" s="11" t="s">
        <v>8087</v>
      </c>
      <c r="E186" s="11" t="s">
        <v>21</v>
      </c>
      <c r="F186" s="11" t="s">
        <v>100</v>
      </c>
      <c r="G186" s="12">
        <v>22000</v>
      </c>
      <c r="H186" s="12">
        <v>22000</v>
      </c>
      <c r="I186" s="11" t="s">
        <v>23</v>
      </c>
      <c r="J186" s="11" t="s">
        <v>23</v>
      </c>
      <c r="K186" s="11" t="s">
        <v>8088</v>
      </c>
      <c r="L186" s="11" t="s">
        <v>120</v>
      </c>
      <c r="M186" s="11" t="s">
        <v>26</v>
      </c>
      <c r="N186" s="11">
        <v>2</v>
      </c>
      <c r="O186" s="11" t="s">
        <v>121</v>
      </c>
      <c r="P186" s="11" t="s">
        <v>79</v>
      </c>
      <c r="Q186" s="11" t="s">
        <v>29</v>
      </c>
    </row>
    <row r="187" spans="1:17" x14ac:dyDescent="0.2">
      <c r="A187" s="10">
        <v>45841</v>
      </c>
      <c r="B187" s="11" t="s">
        <v>8089</v>
      </c>
      <c r="C187" s="11"/>
      <c r="D187" s="11" t="s">
        <v>8090</v>
      </c>
      <c r="E187" s="11" t="s">
        <v>21</v>
      </c>
      <c r="F187" s="11" t="s">
        <v>22</v>
      </c>
      <c r="G187" s="12">
        <v>22000</v>
      </c>
      <c r="H187" s="12">
        <v>22000</v>
      </c>
      <c r="I187" s="11" t="s">
        <v>23</v>
      </c>
      <c r="J187" s="11" t="s">
        <v>23</v>
      </c>
      <c r="K187" s="11"/>
      <c r="L187" s="11" t="s">
        <v>932</v>
      </c>
      <c r="M187" s="11" t="s">
        <v>26</v>
      </c>
      <c r="N187" s="11">
        <v>2</v>
      </c>
      <c r="O187" s="11" t="s">
        <v>321</v>
      </c>
      <c r="P187" s="11" t="s">
        <v>79</v>
      </c>
      <c r="Q187" s="11" t="s">
        <v>29</v>
      </c>
    </row>
    <row r="188" spans="1:17" x14ac:dyDescent="0.2">
      <c r="A188" s="10">
        <v>45736</v>
      </c>
      <c r="B188" s="11" t="s">
        <v>8091</v>
      </c>
      <c r="C188" s="11"/>
      <c r="D188" s="11" t="s">
        <v>8091</v>
      </c>
      <c r="E188" s="11" t="s">
        <v>21</v>
      </c>
      <c r="F188" s="11" t="s">
        <v>90</v>
      </c>
      <c r="G188" s="12">
        <v>22000</v>
      </c>
      <c r="H188" s="12">
        <v>22000</v>
      </c>
      <c r="I188" s="11" t="s">
        <v>23</v>
      </c>
      <c r="J188" s="11" t="s">
        <v>23</v>
      </c>
      <c r="K188" s="11" t="s">
        <v>8091</v>
      </c>
      <c r="L188" s="11" t="s">
        <v>8092</v>
      </c>
      <c r="M188" s="11" t="s">
        <v>26</v>
      </c>
      <c r="N188" s="11">
        <v>2</v>
      </c>
      <c r="O188" s="11" t="s">
        <v>56</v>
      </c>
      <c r="P188" s="11" t="s">
        <v>28</v>
      </c>
      <c r="Q188" s="11" t="s">
        <v>29</v>
      </c>
    </row>
    <row r="189" spans="1:17" x14ac:dyDescent="0.2">
      <c r="A189" s="10">
        <v>45686</v>
      </c>
      <c r="B189" s="11" t="s">
        <v>8093</v>
      </c>
      <c r="C189" s="11"/>
      <c r="D189" s="11" t="s">
        <v>8094</v>
      </c>
      <c r="E189" s="11" t="s">
        <v>21</v>
      </c>
      <c r="F189" s="11" t="s">
        <v>221</v>
      </c>
      <c r="G189" s="12">
        <v>24000</v>
      </c>
      <c r="H189" s="12">
        <v>22000</v>
      </c>
      <c r="I189" s="11" t="s">
        <v>23</v>
      </c>
      <c r="J189" s="11" t="s">
        <v>23</v>
      </c>
      <c r="K189" s="11" t="s">
        <v>8095</v>
      </c>
      <c r="L189" s="11" t="s">
        <v>3304</v>
      </c>
      <c r="M189" s="11" t="s">
        <v>26</v>
      </c>
      <c r="N189" s="11">
        <v>2</v>
      </c>
      <c r="O189" s="11" t="s">
        <v>73</v>
      </c>
      <c r="P189" s="11" t="s">
        <v>28</v>
      </c>
      <c r="Q189" s="11" t="s">
        <v>29</v>
      </c>
    </row>
    <row r="190" spans="1:17" x14ac:dyDescent="0.2">
      <c r="A190" s="10">
        <v>45678</v>
      </c>
      <c r="B190" s="11" t="s">
        <v>8096</v>
      </c>
      <c r="C190" s="11"/>
      <c r="D190" s="11" t="s">
        <v>8097</v>
      </c>
      <c r="E190" s="11" t="s">
        <v>21</v>
      </c>
      <c r="F190" s="11" t="s">
        <v>37</v>
      </c>
      <c r="G190" s="12">
        <v>21999</v>
      </c>
      <c r="H190" s="12">
        <v>22000</v>
      </c>
      <c r="I190" s="11" t="s">
        <v>23</v>
      </c>
      <c r="J190" s="11" t="s">
        <v>23</v>
      </c>
      <c r="K190" s="11" t="s">
        <v>8098</v>
      </c>
      <c r="L190" s="11" t="s">
        <v>4724</v>
      </c>
      <c r="M190" s="11" t="s">
        <v>26</v>
      </c>
      <c r="N190" s="11">
        <v>2</v>
      </c>
      <c r="O190" s="11" t="s">
        <v>517</v>
      </c>
      <c r="P190" s="11" t="s">
        <v>232</v>
      </c>
      <c r="Q190" s="11" t="s">
        <v>29</v>
      </c>
    </row>
    <row r="191" spans="1:17" x14ac:dyDescent="0.2">
      <c r="A191" s="10">
        <v>45677</v>
      </c>
      <c r="B191" s="11"/>
      <c r="C191" s="11"/>
      <c r="D191" s="11" t="s">
        <v>8099</v>
      </c>
      <c r="E191" s="11" t="s">
        <v>21</v>
      </c>
      <c r="F191" s="11" t="s">
        <v>81</v>
      </c>
      <c r="G191" s="12">
        <v>22000</v>
      </c>
      <c r="H191" s="12">
        <v>22000</v>
      </c>
      <c r="I191" s="11" t="s">
        <v>23</v>
      </c>
      <c r="J191" s="11" t="s">
        <v>23</v>
      </c>
      <c r="K191" s="11"/>
      <c r="L191" s="11" t="s">
        <v>1239</v>
      </c>
      <c r="M191" s="11" t="s">
        <v>26</v>
      </c>
      <c r="N191" s="11">
        <v>2</v>
      </c>
      <c r="O191" s="11" t="s">
        <v>130</v>
      </c>
      <c r="P191" s="11" t="s">
        <v>28</v>
      </c>
      <c r="Q191" s="11" t="s">
        <v>29</v>
      </c>
    </row>
    <row r="192" spans="1:17" x14ac:dyDescent="0.2">
      <c r="A192" s="10">
        <v>46065</v>
      </c>
      <c r="B192" s="11" t="s">
        <v>8100</v>
      </c>
      <c r="C192" s="11"/>
      <c r="D192" s="11" t="s">
        <v>8101</v>
      </c>
      <c r="E192" s="11" t="s">
        <v>21</v>
      </c>
      <c r="F192" s="11" t="s">
        <v>81</v>
      </c>
      <c r="G192" s="12">
        <v>23000</v>
      </c>
      <c r="H192" s="12">
        <v>22089</v>
      </c>
      <c r="I192" s="11" t="s">
        <v>23</v>
      </c>
      <c r="J192" s="11" t="s">
        <v>23</v>
      </c>
      <c r="K192" s="11" t="s">
        <v>8102</v>
      </c>
      <c r="L192" s="11" t="s">
        <v>8103</v>
      </c>
      <c r="M192" s="11" t="s">
        <v>26</v>
      </c>
      <c r="N192" s="11">
        <v>2</v>
      </c>
      <c r="O192" s="11" t="s">
        <v>482</v>
      </c>
      <c r="P192" s="11" t="s">
        <v>28</v>
      </c>
      <c r="Q192" s="11" t="s">
        <v>29</v>
      </c>
    </row>
    <row r="193" spans="1:17" x14ac:dyDescent="0.2">
      <c r="A193" s="10">
        <v>46111</v>
      </c>
      <c r="B193" s="11" t="s">
        <v>7450</v>
      </c>
      <c r="C193" s="11"/>
      <c r="D193" s="11" t="s">
        <v>7451</v>
      </c>
      <c r="E193" s="11" t="s">
        <v>21</v>
      </c>
      <c r="F193" s="11" t="s">
        <v>90</v>
      </c>
      <c r="G193" s="12">
        <v>750000</v>
      </c>
      <c r="H193" s="12">
        <v>22500</v>
      </c>
      <c r="I193" s="11" t="s">
        <v>23</v>
      </c>
      <c r="J193" s="11" t="s">
        <v>1927</v>
      </c>
      <c r="K193" s="11" t="s">
        <v>7452</v>
      </c>
      <c r="L193" s="11" t="s">
        <v>3456</v>
      </c>
      <c r="M193" s="11" t="s">
        <v>45</v>
      </c>
      <c r="N193" s="11">
        <v>2</v>
      </c>
      <c r="O193" s="11" t="s">
        <v>62</v>
      </c>
      <c r="P193" s="11" t="s">
        <v>28</v>
      </c>
      <c r="Q193" s="11" t="s">
        <v>29</v>
      </c>
    </row>
    <row r="194" spans="1:17" x14ac:dyDescent="0.2">
      <c r="A194" s="10">
        <v>45748</v>
      </c>
      <c r="B194" s="11" t="s">
        <v>8104</v>
      </c>
      <c r="C194" s="11"/>
      <c r="D194" s="11" t="s">
        <v>8105</v>
      </c>
      <c r="E194" s="11" t="s">
        <v>21</v>
      </c>
      <c r="F194" s="11" t="s">
        <v>221</v>
      </c>
      <c r="G194" s="12">
        <v>25000</v>
      </c>
      <c r="H194" s="12">
        <v>22500</v>
      </c>
      <c r="I194" s="11" t="s">
        <v>23</v>
      </c>
      <c r="J194" s="11" t="s">
        <v>23</v>
      </c>
      <c r="K194" s="11" t="s">
        <v>8106</v>
      </c>
      <c r="L194" s="11" t="s">
        <v>8107</v>
      </c>
      <c r="M194" s="11" t="s">
        <v>26</v>
      </c>
      <c r="N194" s="11">
        <v>2</v>
      </c>
      <c r="O194" s="11" t="s">
        <v>130</v>
      </c>
      <c r="P194" s="11" t="s">
        <v>28</v>
      </c>
      <c r="Q194" s="11" t="s">
        <v>29</v>
      </c>
    </row>
    <row r="195" spans="1:17" x14ac:dyDescent="0.2">
      <c r="A195" s="10">
        <v>46076</v>
      </c>
      <c r="B195" s="11" t="s">
        <v>8108</v>
      </c>
      <c r="C195" s="11"/>
      <c r="D195" s="11" t="s">
        <v>8109</v>
      </c>
      <c r="E195" s="11" t="s">
        <v>21</v>
      </c>
      <c r="F195" s="11" t="s">
        <v>37</v>
      </c>
      <c r="G195" s="12">
        <v>26000</v>
      </c>
      <c r="H195" s="12">
        <v>23000</v>
      </c>
      <c r="I195" s="11" t="s">
        <v>23</v>
      </c>
      <c r="J195" s="11" t="s">
        <v>23</v>
      </c>
      <c r="K195" s="11" t="s">
        <v>8110</v>
      </c>
      <c r="L195" s="11" t="s">
        <v>992</v>
      </c>
      <c r="M195" s="11" t="s">
        <v>14</v>
      </c>
      <c r="N195" s="11">
        <v>2</v>
      </c>
      <c r="O195" s="11" t="s">
        <v>56</v>
      </c>
      <c r="P195" s="11" t="s">
        <v>28</v>
      </c>
      <c r="Q195" s="11" t="s">
        <v>29</v>
      </c>
    </row>
    <row r="196" spans="1:17" x14ac:dyDescent="0.2">
      <c r="A196" s="10">
        <v>46073</v>
      </c>
      <c r="B196" s="11" t="s">
        <v>8111</v>
      </c>
      <c r="C196" s="11"/>
      <c r="D196" s="11" t="s">
        <v>8112</v>
      </c>
      <c r="E196" s="11" t="s">
        <v>21</v>
      </c>
      <c r="F196" s="11" t="s">
        <v>37</v>
      </c>
      <c r="G196" s="12">
        <v>23000</v>
      </c>
      <c r="H196" s="12">
        <v>23000</v>
      </c>
      <c r="I196" s="11" t="s">
        <v>23</v>
      </c>
      <c r="J196" s="11" t="s">
        <v>23</v>
      </c>
      <c r="K196" s="11" t="s">
        <v>8113</v>
      </c>
      <c r="L196" s="11" t="s">
        <v>8114</v>
      </c>
      <c r="M196" s="11" t="s">
        <v>26</v>
      </c>
      <c r="N196" s="11">
        <v>2</v>
      </c>
      <c r="O196" s="11" t="s">
        <v>142</v>
      </c>
      <c r="P196" s="11" t="s">
        <v>28</v>
      </c>
      <c r="Q196" s="11" t="s">
        <v>29</v>
      </c>
    </row>
    <row r="197" spans="1:17" x14ac:dyDescent="0.2">
      <c r="A197" s="10">
        <v>46045</v>
      </c>
      <c r="B197" s="11" t="s">
        <v>8115</v>
      </c>
      <c r="C197" s="11"/>
      <c r="D197" s="11" t="s">
        <v>8116</v>
      </c>
      <c r="E197" s="11" t="s">
        <v>21</v>
      </c>
      <c r="F197" s="11" t="s">
        <v>37</v>
      </c>
      <c r="G197" s="12">
        <v>29000</v>
      </c>
      <c r="H197" s="12">
        <v>23000</v>
      </c>
      <c r="I197" s="11" t="s">
        <v>23</v>
      </c>
      <c r="J197" s="11" t="s">
        <v>23</v>
      </c>
      <c r="K197" s="11" t="s">
        <v>8117</v>
      </c>
      <c r="L197" s="11" t="s">
        <v>2917</v>
      </c>
      <c r="M197" s="11" t="s">
        <v>34</v>
      </c>
      <c r="N197" s="11">
        <v>2</v>
      </c>
      <c r="O197" s="11" t="s">
        <v>429</v>
      </c>
      <c r="P197" s="11" t="s">
        <v>28</v>
      </c>
      <c r="Q197" s="11" t="s">
        <v>29</v>
      </c>
    </row>
    <row r="198" spans="1:17" x14ac:dyDescent="0.2">
      <c r="A198" s="10">
        <v>45813</v>
      </c>
      <c r="B198" s="11" t="s">
        <v>8118</v>
      </c>
      <c r="C198" s="11"/>
      <c r="D198" s="11" t="s">
        <v>8119</v>
      </c>
      <c r="E198" s="11" t="s">
        <v>21</v>
      </c>
      <c r="F198" s="11" t="s">
        <v>81</v>
      </c>
      <c r="G198" s="12">
        <v>25000</v>
      </c>
      <c r="H198" s="12">
        <v>23333</v>
      </c>
      <c r="I198" s="11" t="s">
        <v>23</v>
      </c>
      <c r="J198" s="11" t="s">
        <v>23</v>
      </c>
      <c r="K198" s="11" t="s">
        <v>8120</v>
      </c>
      <c r="L198" s="11" t="s">
        <v>4447</v>
      </c>
      <c r="M198" s="11" t="s">
        <v>26</v>
      </c>
      <c r="N198" s="11">
        <v>2</v>
      </c>
      <c r="O198" s="11" t="s">
        <v>151</v>
      </c>
      <c r="P198" s="11" t="s">
        <v>28</v>
      </c>
      <c r="Q198" s="11" t="s">
        <v>29</v>
      </c>
    </row>
    <row r="199" spans="1:17" x14ac:dyDescent="0.2">
      <c r="A199" s="10">
        <v>45994</v>
      </c>
      <c r="B199" s="11" t="s">
        <v>8121</v>
      </c>
      <c r="C199" s="11"/>
      <c r="D199" s="11" t="s">
        <v>8122</v>
      </c>
      <c r="E199" s="11" t="s">
        <v>21</v>
      </c>
      <c r="F199" s="11" t="s">
        <v>70</v>
      </c>
      <c r="G199" s="12">
        <v>24000</v>
      </c>
      <c r="H199" s="12">
        <v>23500</v>
      </c>
      <c r="I199" s="11" t="s">
        <v>23</v>
      </c>
      <c r="J199" s="11" t="s">
        <v>23</v>
      </c>
      <c r="K199" s="11" t="s">
        <v>8123</v>
      </c>
      <c r="L199" s="11" t="s">
        <v>1116</v>
      </c>
      <c r="M199" s="11" t="s">
        <v>26</v>
      </c>
      <c r="N199" s="11">
        <v>2</v>
      </c>
      <c r="O199" s="11" t="s">
        <v>73</v>
      </c>
      <c r="P199" s="11" t="s">
        <v>28</v>
      </c>
      <c r="Q199" s="11" t="s">
        <v>29</v>
      </c>
    </row>
    <row r="200" spans="1:17" x14ac:dyDescent="0.2">
      <c r="A200" s="10">
        <v>45992</v>
      </c>
      <c r="B200" s="11" t="s">
        <v>574</v>
      </c>
      <c r="C200" s="11"/>
      <c r="D200" s="11" t="s">
        <v>575</v>
      </c>
      <c r="E200" s="11" t="s">
        <v>21</v>
      </c>
      <c r="F200" s="11" t="s">
        <v>37</v>
      </c>
      <c r="G200" s="12">
        <v>48000</v>
      </c>
      <c r="H200" s="12">
        <v>23970</v>
      </c>
      <c r="I200" s="11" t="s">
        <v>23</v>
      </c>
      <c r="J200" s="11" t="s">
        <v>23</v>
      </c>
      <c r="K200" s="11" t="s">
        <v>576</v>
      </c>
      <c r="L200" s="11" t="s">
        <v>577</v>
      </c>
      <c r="M200" s="11" t="s">
        <v>34</v>
      </c>
      <c r="N200" s="11">
        <v>1</v>
      </c>
      <c r="O200" s="11" t="s">
        <v>151</v>
      </c>
      <c r="P200" s="11" t="s">
        <v>122</v>
      </c>
      <c r="Q200" s="11" t="s">
        <v>29</v>
      </c>
    </row>
    <row r="201" spans="1:17" x14ac:dyDescent="0.2">
      <c r="A201" s="10">
        <v>46101</v>
      </c>
      <c r="B201" s="11" t="s">
        <v>878</v>
      </c>
      <c r="C201" s="11"/>
      <c r="D201" s="11" t="s">
        <v>8124</v>
      </c>
      <c r="E201" s="11" t="s">
        <v>21</v>
      </c>
      <c r="F201" s="11" t="s">
        <v>22</v>
      </c>
      <c r="G201" s="12">
        <v>25000</v>
      </c>
      <c r="H201" s="12">
        <v>24000</v>
      </c>
      <c r="I201" s="11" t="s">
        <v>23</v>
      </c>
      <c r="J201" s="11" t="s">
        <v>23</v>
      </c>
      <c r="K201" s="11"/>
      <c r="L201" s="11" t="s">
        <v>1120</v>
      </c>
      <c r="M201" s="11" t="s">
        <v>26</v>
      </c>
      <c r="N201" s="11">
        <v>2</v>
      </c>
      <c r="O201" s="11" t="s">
        <v>257</v>
      </c>
      <c r="P201" s="11" t="s">
        <v>28</v>
      </c>
      <c r="Q201" s="11" t="s">
        <v>29</v>
      </c>
    </row>
    <row r="202" spans="1:17" x14ac:dyDescent="0.2">
      <c r="A202" s="10">
        <v>46056</v>
      </c>
      <c r="B202" s="11" t="s">
        <v>8125</v>
      </c>
      <c r="C202" s="11"/>
      <c r="D202" s="11" t="s">
        <v>8126</v>
      </c>
      <c r="E202" s="11" t="s">
        <v>21</v>
      </c>
      <c r="F202" s="11" t="s">
        <v>81</v>
      </c>
      <c r="G202" s="12">
        <v>30000</v>
      </c>
      <c r="H202" s="12">
        <v>24000</v>
      </c>
      <c r="I202" s="11" t="s">
        <v>23</v>
      </c>
      <c r="J202" s="11" t="s">
        <v>23</v>
      </c>
      <c r="K202" s="11" t="s">
        <v>8127</v>
      </c>
      <c r="L202" s="11" t="s">
        <v>223</v>
      </c>
      <c r="M202" s="11" t="s">
        <v>1625</v>
      </c>
      <c r="N202" s="11">
        <v>2</v>
      </c>
      <c r="O202" s="11" t="s">
        <v>167</v>
      </c>
      <c r="P202" s="11" t="s">
        <v>79</v>
      </c>
      <c r="Q202" s="11" t="s">
        <v>29</v>
      </c>
    </row>
    <row r="203" spans="1:17" x14ac:dyDescent="0.2">
      <c r="A203" s="10">
        <v>46029</v>
      </c>
      <c r="B203" s="11" t="s">
        <v>8128</v>
      </c>
      <c r="C203" s="11"/>
      <c r="D203" s="11" t="s">
        <v>8129</v>
      </c>
      <c r="E203" s="11" t="s">
        <v>21</v>
      </c>
      <c r="F203" s="11" t="s">
        <v>37</v>
      </c>
      <c r="G203" s="12">
        <v>25000</v>
      </c>
      <c r="H203" s="12">
        <v>24000</v>
      </c>
      <c r="I203" s="11" t="s">
        <v>23</v>
      </c>
      <c r="J203" s="11" t="s">
        <v>23</v>
      </c>
      <c r="K203" s="11" t="s">
        <v>8130</v>
      </c>
      <c r="L203" s="11" t="s">
        <v>150</v>
      </c>
      <c r="M203" s="11" t="s">
        <v>26</v>
      </c>
      <c r="N203" s="11">
        <v>2</v>
      </c>
      <c r="O203" s="11" t="s">
        <v>151</v>
      </c>
      <c r="P203" s="11" t="s">
        <v>28</v>
      </c>
      <c r="Q203" s="11" t="s">
        <v>29</v>
      </c>
    </row>
    <row r="204" spans="1:17" x14ac:dyDescent="0.2">
      <c r="A204" s="10">
        <v>45943</v>
      </c>
      <c r="B204" s="11" t="s">
        <v>8131</v>
      </c>
      <c r="C204" s="11"/>
      <c r="D204" s="11" t="s">
        <v>8132</v>
      </c>
      <c r="E204" s="11" t="s">
        <v>21</v>
      </c>
      <c r="F204" s="11" t="s">
        <v>37</v>
      </c>
      <c r="G204" s="12">
        <v>11000</v>
      </c>
      <c r="H204" s="12">
        <v>24000</v>
      </c>
      <c r="I204" s="11" t="s">
        <v>23</v>
      </c>
      <c r="J204" s="11" t="s">
        <v>23</v>
      </c>
      <c r="K204" s="11" t="s">
        <v>8133</v>
      </c>
      <c r="L204" s="11" t="s">
        <v>8134</v>
      </c>
      <c r="M204" s="11" t="s">
        <v>26</v>
      </c>
      <c r="N204" s="11">
        <v>2</v>
      </c>
      <c r="O204" s="11" t="s">
        <v>429</v>
      </c>
      <c r="P204" s="11" t="s">
        <v>28</v>
      </c>
      <c r="Q204" s="11" t="s">
        <v>29</v>
      </c>
    </row>
    <row r="205" spans="1:17" x14ac:dyDescent="0.2">
      <c r="A205" s="10">
        <v>45838</v>
      </c>
      <c r="B205" s="11" t="s">
        <v>8135</v>
      </c>
      <c r="C205" s="11"/>
      <c r="D205" s="11" t="s">
        <v>8136</v>
      </c>
      <c r="E205" s="11" t="s">
        <v>21</v>
      </c>
      <c r="F205" s="11" t="s">
        <v>37</v>
      </c>
      <c r="G205" s="12">
        <v>24000</v>
      </c>
      <c r="H205" s="12">
        <v>24000</v>
      </c>
      <c r="I205" s="11" t="s">
        <v>23</v>
      </c>
      <c r="J205" s="11" t="s">
        <v>23</v>
      </c>
      <c r="K205" s="11"/>
      <c r="L205" s="11" t="s">
        <v>1190</v>
      </c>
      <c r="M205" s="11" t="s">
        <v>26</v>
      </c>
      <c r="N205" s="11">
        <v>2</v>
      </c>
      <c r="O205" s="11" t="s">
        <v>183</v>
      </c>
      <c r="P205" s="11" t="s">
        <v>28</v>
      </c>
      <c r="Q205" s="11" t="s">
        <v>29</v>
      </c>
    </row>
    <row r="206" spans="1:17" x14ac:dyDescent="0.2">
      <c r="A206" s="10">
        <v>45800</v>
      </c>
      <c r="B206" s="11" t="s">
        <v>8137</v>
      </c>
      <c r="C206" s="11"/>
      <c r="D206" s="11" t="s">
        <v>8137</v>
      </c>
      <c r="E206" s="11" t="s">
        <v>21</v>
      </c>
      <c r="F206" s="11" t="s">
        <v>37</v>
      </c>
      <c r="G206" s="12">
        <v>24000</v>
      </c>
      <c r="H206" s="12">
        <v>24000</v>
      </c>
      <c r="I206" s="11" t="s">
        <v>23</v>
      </c>
      <c r="J206" s="11" t="s">
        <v>23</v>
      </c>
      <c r="K206" s="11"/>
      <c r="L206" s="11" t="s">
        <v>303</v>
      </c>
      <c r="M206" s="11" t="s">
        <v>26</v>
      </c>
      <c r="N206" s="11">
        <v>1</v>
      </c>
      <c r="O206" s="11" t="s">
        <v>183</v>
      </c>
      <c r="P206" s="11" t="s">
        <v>47</v>
      </c>
      <c r="Q206" s="11" t="s">
        <v>29</v>
      </c>
    </row>
    <row r="207" spans="1:17" x14ac:dyDescent="0.2">
      <c r="A207" s="10">
        <v>45790</v>
      </c>
      <c r="B207" s="11" t="s">
        <v>8138</v>
      </c>
      <c r="C207" s="11"/>
      <c r="D207" s="11" t="s">
        <v>8139</v>
      </c>
      <c r="E207" s="11" t="s">
        <v>21</v>
      </c>
      <c r="F207" s="11" t="s">
        <v>22</v>
      </c>
      <c r="G207" s="12">
        <v>24000</v>
      </c>
      <c r="H207" s="12">
        <v>24000</v>
      </c>
      <c r="I207" s="11" t="s">
        <v>23</v>
      </c>
      <c r="J207" s="11" t="s">
        <v>23</v>
      </c>
      <c r="K207" s="11"/>
      <c r="L207" s="11" t="s">
        <v>932</v>
      </c>
      <c r="M207" s="11" t="s">
        <v>26</v>
      </c>
      <c r="N207" s="11">
        <v>2</v>
      </c>
      <c r="O207" s="11" t="s">
        <v>321</v>
      </c>
      <c r="P207" s="11" t="s">
        <v>28</v>
      </c>
      <c r="Q207" s="11" t="s">
        <v>29</v>
      </c>
    </row>
    <row r="208" spans="1:17" x14ac:dyDescent="0.2">
      <c r="A208" s="10">
        <v>45761</v>
      </c>
      <c r="B208" s="11" t="s">
        <v>8140</v>
      </c>
      <c r="C208" s="11"/>
      <c r="D208" s="11" t="s">
        <v>8141</v>
      </c>
      <c r="E208" s="11" t="s">
        <v>21</v>
      </c>
      <c r="F208" s="11" t="s">
        <v>37</v>
      </c>
      <c r="G208" s="12">
        <v>24500</v>
      </c>
      <c r="H208" s="12">
        <v>24000</v>
      </c>
      <c r="I208" s="11" t="s">
        <v>23</v>
      </c>
      <c r="J208" s="11" t="s">
        <v>23</v>
      </c>
      <c r="K208" s="11" t="s">
        <v>8142</v>
      </c>
      <c r="L208" s="11" t="s">
        <v>4542</v>
      </c>
      <c r="M208" s="11" t="s">
        <v>26</v>
      </c>
      <c r="N208" s="11">
        <v>2</v>
      </c>
      <c r="O208" s="11" t="s">
        <v>183</v>
      </c>
      <c r="P208" s="11" t="s">
        <v>28</v>
      </c>
      <c r="Q208" s="11" t="s">
        <v>29</v>
      </c>
    </row>
    <row r="209" spans="1:17" x14ac:dyDescent="0.2">
      <c r="A209" s="10">
        <v>45855</v>
      </c>
      <c r="B209" s="11" t="s">
        <v>8143</v>
      </c>
      <c r="C209" s="11"/>
      <c r="D209" s="11" t="s">
        <v>8144</v>
      </c>
      <c r="E209" s="11" t="s">
        <v>21</v>
      </c>
      <c r="F209" s="11" t="s">
        <v>70</v>
      </c>
      <c r="G209" s="12">
        <v>26000</v>
      </c>
      <c r="H209" s="12">
        <v>24500</v>
      </c>
      <c r="I209" s="11" t="s">
        <v>23</v>
      </c>
      <c r="J209" s="11" t="s">
        <v>23</v>
      </c>
      <c r="K209" s="11" t="s">
        <v>8145</v>
      </c>
      <c r="L209" s="11" t="s">
        <v>282</v>
      </c>
      <c r="M209" s="11" t="s">
        <v>26</v>
      </c>
      <c r="N209" s="11">
        <v>2</v>
      </c>
      <c r="O209" s="11" t="s">
        <v>73</v>
      </c>
      <c r="P209" s="11" t="s">
        <v>28</v>
      </c>
      <c r="Q209" s="11" t="s">
        <v>29</v>
      </c>
    </row>
    <row r="210" spans="1:17" x14ac:dyDescent="0.2">
      <c r="A210" s="10">
        <v>45825</v>
      </c>
      <c r="B210" s="11"/>
      <c r="C210" s="11"/>
      <c r="D210" s="11" t="s">
        <v>8146</v>
      </c>
      <c r="E210" s="11" t="s">
        <v>21</v>
      </c>
      <c r="F210" s="11" t="s">
        <v>76</v>
      </c>
      <c r="G210" s="12">
        <v>24800</v>
      </c>
      <c r="H210" s="12">
        <v>24800</v>
      </c>
      <c r="I210" s="11" t="s">
        <v>23</v>
      </c>
      <c r="J210" s="11" t="s">
        <v>23</v>
      </c>
      <c r="K210" s="11" t="s">
        <v>8147</v>
      </c>
      <c r="L210" s="11" t="s">
        <v>2031</v>
      </c>
      <c r="M210" s="11" t="s">
        <v>26</v>
      </c>
      <c r="N210" s="11">
        <v>1</v>
      </c>
      <c r="O210" s="11" t="s">
        <v>130</v>
      </c>
      <c r="P210" s="11" t="s">
        <v>122</v>
      </c>
      <c r="Q210" s="11" t="s">
        <v>29</v>
      </c>
    </row>
    <row r="211" spans="1:17" x14ac:dyDescent="0.2">
      <c r="A211" s="10">
        <v>45825</v>
      </c>
      <c r="B211" s="11"/>
      <c r="C211" s="11"/>
      <c r="D211" s="11" t="s">
        <v>8148</v>
      </c>
      <c r="E211" s="11" t="s">
        <v>21</v>
      </c>
      <c r="F211" s="11" t="s">
        <v>81</v>
      </c>
      <c r="G211" s="12">
        <v>24800</v>
      </c>
      <c r="H211" s="12">
        <v>24800</v>
      </c>
      <c r="I211" s="11" t="s">
        <v>23</v>
      </c>
      <c r="J211" s="11" t="s">
        <v>23</v>
      </c>
      <c r="K211" s="11"/>
      <c r="L211" s="11" t="s">
        <v>2031</v>
      </c>
      <c r="M211" s="11" t="s">
        <v>26</v>
      </c>
      <c r="N211" s="11">
        <v>1</v>
      </c>
      <c r="O211" s="11" t="s">
        <v>130</v>
      </c>
      <c r="P211" s="11" t="s">
        <v>122</v>
      </c>
      <c r="Q211" s="11" t="s">
        <v>29</v>
      </c>
    </row>
    <row r="212" spans="1:17" x14ac:dyDescent="0.2">
      <c r="A212" s="10">
        <v>46035</v>
      </c>
      <c r="B212" s="11"/>
      <c r="C212" s="11"/>
      <c r="D212" s="11" t="s">
        <v>8149</v>
      </c>
      <c r="E212" s="11" t="s">
        <v>21</v>
      </c>
      <c r="F212" s="11" t="s">
        <v>81</v>
      </c>
      <c r="G212" s="12">
        <v>25000</v>
      </c>
      <c r="H212" s="12">
        <v>25000</v>
      </c>
      <c r="I212" s="11" t="s">
        <v>23</v>
      </c>
      <c r="J212" s="11" t="s">
        <v>23</v>
      </c>
      <c r="K212" s="11"/>
      <c r="L212" s="11" t="s">
        <v>1239</v>
      </c>
      <c r="M212" s="11" t="s">
        <v>26</v>
      </c>
      <c r="N212" s="11">
        <v>1</v>
      </c>
      <c r="O212" s="11" t="s">
        <v>130</v>
      </c>
      <c r="P212" s="11" t="s">
        <v>122</v>
      </c>
      <c r="Q212" s="11" t="s">
        <v>29</v>
      </c>
    </row>
    <row r="213" spans="1:17" x14ac:dyDescent="0.2">
      <c r="A213" s="10">
        <v>46029</v>
      </c>
      <c r="B213" s="11" t="s">
        <v>8150</v>
      </c>
      <c r="C213" s="11"/>
      <c r="D213" s="11" t="s">
        <v>8151</v>
      </c>
      <c r="E213" s="11" t="s">
        <v>21</v>
      </c>
      <c r="F213" s="11" t="s">
        <v>37</v>
      </c>
      <c r="G213" s="12">
        <v>36000</v>
      </c>
      <c r="H213" s="12">
        <v>25000</v>
      </c>
      <c r="I213" s="11" t="s">
        <v>23</v>
      </c>
      <c r="J213" s="11" t="s">
        <v>23</v>
      </c>
      <c r="K213" s="11" t="s">
        <v>8152</v>
      </c>
      <c r="L213" s="11" t="s">
        <v>8153</v>
      </c>
      <c r="M213" s="11" t="s">
        <v>61</v>
      </c>
      <c r="N213" s="11">
        <v>2</v>
      </c>
      <c r="O213" s="11" t="s">
        <v>517</v>
      </c>
      <c r="P213" s="11" t="s">
        <v>200</v>
      </c>
      <c r="Q213" s="11" t="s">
        <v>29</v>
      </c>
    </row>
    <row r="214" spans="1:17" x14ac:dyDescent="0.2">
      <c r="A214" s="10">
        <v>46013</v>
      </c>
      <c r="B214" s="11" t="s">
        <v>8154</v>
      </c>
      <c r="C214" s="11"/>
      <c r="D214" s="11" t="s">
        <v>8155</v>
      </c>
      <c r="E214" s="11" t="s">
        <v>21</v>
      </c>
      <c r="F214" s="11" t="s">
        <v>37</v>
      </c>
      <c r="G214" s="12">
        <v>27000</v>
      </c>
      <c r="H214" s="12">
        <v>25000</v>
      </c>
      <c r="I214" s="11" t="s">
        <v>23</v>
      </c>
      <c r="J214" s="11" t="s">
        <v>23</v>
      </c>
      <c r="K214" s="11" t="s">
        <v>8156</v>
      </c>
      <c r="L214" s="11" t="s">
        <v>440</v>
      </c>
      <c r="M214" s="11" t="s">
        <v>45</v>
      </c>
      <c r="N214" s="11">
        <v>2</v>
      </c>
      <c r="O214" s="11" t="s">
        <v>670</v>
      </c>
      <c r="P214" s="11" t="s">
        <v>28</v>
      </c>
      <c r="Q214" s="11" t="s">
        <v>29</v>
      </c>
    </row>
    <row r="215" spans="1:17" x14ac:dyDescent="0.2">
      <c r="A215" s="10">
        <v>45992</v>
      </c>
      <c r="B215" s="11" t="s">
        <v>8157</v>
      </c>
      <c r="C215" s="11"/>
      <c r="D215" s="11" t="s">
        <v>8158</v>
      </c>
      <c r="E215" s="11" t="s">
        <v>21</v>
      </c>
      <c r="F215" s="11" t="s">
        <v>37</v>
      </c>
      <c r="G215" s="12">
        <v>26500</v>
      </c>
      <c r="H215" s="12">
        <v>25000</v>
      </c>
      <c r="I215" s="11" t="s">
        <v>23</v>
      </c>
      <c r="J215" s="11" t="s">
        <v>23</v>
      </c>
      <c r="K215" s="11" t="s">
        <v>8159</v>
      </c>
      <c r="L215" s="11" t="s">
        <v>8160</v>
      </c>
      <c r="M215" s="11" t="s">
        <v>26</v>
      </c>
      <c r="N215" s="11">
        <v>2</v>
      </c>
      <c r="O215" s="11" t="s">
        <v>151</v>
      </c>
      <c r="P215" s="11" t="s">
        <v>28</v>
      </c>
      <c r="Q215" s="11" t="s">
        <v>29</v>
      </c>
    </row>
    <row r="216" spans="1:17" x14ac:dyDescent="0.2">
      <c r="A216" s="10">
        <v>45992</v>
      </c>
      <c r="B216" s="11" t="s">
        <v>8161</v>
      </c>
      <c r="C216" s="11"/>
      <c r="D216" s="11" t="s">
        <v>8162</v>
      </c>
      <c r="E216" s="11" t="s">
        <v>21</v>
      </c>
      <c r="F216" s="11" t="s">
        <v>37</v>
      </c>
      <c r="G216" s="12">
        <v>25000</v>
      </c>
      <c r="H216" s="12">
        <v>25000</v>
      </c>
      <c r="I216" s="11" t="s">
        <v>23</v>
      </c>
      <c r="J216" s="11" t="s">
        <v>23</v>
      </c>
      <c r="K216" s="11" t="s">
        <v>8163</v>
      </c>
      <c r="L216" s="11" t="s">
        <v>8164</v>
      </c>
      <c r="M216" s="11" t="s">
        <v>26</v>
      </c>
      <c r="N216" s="11">
        <v>2</v>
      </c>
      <c r="O216" s="11" t="s">
        <v>151</v>
      </c>
      <c r="P216" s="11" t="s">
        <v>28</v>
      </c>
      <c r="Q216" s="11" t="s">
        <v>29</v>
      </c>
    </row>
    <row r="217" spans="1:17" x14ac:dyDescent="0.2">
      <c r="A217" s="10">
        <v>45951</v>
      </c>
      <c r="B217" s="11" t="s">
        <v>8165</v>
      </c>
      <c r="C217" s="11"/>
      <c r="D217" s="11" t="s">
        <v>8166</v>
      </c>
      <c r="E217" s="11" t="s">
        <v>21</v>
      </c>
      <c r="F217" s="11" t="s">
        <v>70</v>
      </c>
      <c r="G217" s="12">
        <v>26000</v>
      </c>
      <c r="H217" s="12">
        <v>25000</v>
      </c>
      <c r="I217" s="11" t="s">
        <v>23</v>
      </c>
      <c r="J217" s="11" t="s">
        <v>23</v>
      </c>
      <c r="K217" s="11" t="s">
        <v>8167</v>
      </c>
      <c r="L217" s="11" t="s">
        <v>1190</v>
      </c>
      <c r="M217" s="11" t="s">
        <v>26</v>
      </c>
      <c r="N217" s="11">
        <v>2</v>
      </c>
      <c r="O217" s="11" t="s">
        <v>183</v>
      </c>
      <c r="P217" s="11" t="s">
        <v>28</v>
      </c>
      <c r="Q217" s="11" t="s">
        <v>29</v>
      </c>
    </row>
    <row r="218" spans="1:17" x14ac:dyDescent="0.2">
      <c r="A218" s="10">
        <v>45911</v>
      </c>
      <c r="B218" s="11" t="s">
        <v>8168</v>
      </c>
      <c r="C218" s="11"/>
      <c r="D218" s="11" t="s">
        <v>8169</v>
      </c>
      <c r="E218" s="11" t="s">
        <v>21</v>
      </c>
      <c r="F218" s="11" t="s">
        <v>76</v>
      </c>
      <c r="G218" s="12">
        <v>25000</v>
      </c>
      <c r="H218" s="12">
        <v>25000</v>
      </c>
      <c r="I218" s="11" t="s">
        <v>23</v>
      </c>
      <c r="J218" s="11" t="s">
        <v>23</v>
      </c>
      <c r="K218" s="11" t="s">
        <v>8170</v>
      </c>
      <c r="L218" s="11" t="s">
        <v>7673</v>
      </c>
      <c r="M218" s="11" t="s">
        <v>26</v>
      </c>
      <c r="N218" s="11">
        <v>2</v>
      </c>
      <c r="O218" s="11" t="s">
        <v>73</v>
      </c>
      <c r="P218" s="11" t="s">
        <v>28</v>
      </c>
      <c r="Q218" s="11" t="s">
        <v>29</v>
      </c>
    </row>
    <row r="219" spans="1:17" x14ac:dyDescent="0.2">
      <c r="A219" s="10">
        <v>45869</v>
      </c>
      <c r="B219" s="11" t="s">
        <v>8171</v>
      </c>
      <c r="C219" s="11"/>
      <c r="D219" s="11" t="s">
        <v>8172</v>
      </c>
      <c r="E219" s="11" t="s">
        <v>21</v>
      </c>
      <c r="F219" s="11" t="s">
        <v>37</v>
      </c>
      <c r="G219" s="12">
        <v>30000</v>
      </c>
      <c r="H219" s="12">
        <v>25000</v>
      </c>
      <c r="I219" s="11" t="s">
        <v>23</v>
      </c>
      <c r="J219" s="11" t="s">
        <v>23</v>
      </c>
      <c r="K219" s="11" t="s">
        <v>8173</v>
      </c>
      <c r="L219" s="11" t="s">
        <v>8174</v>
      </c>
      <c r="M219" s="11" t="s">
        <v>26</v>
      </c>
      <c r="N219" s="11">
        <v>2</v>
      </c>
      <c r="O219" s="11" t="s">
        <v>823</v>
      </c>
      <c r="P219" s="11" t="s">
        <v>28</v>
      </c>
      <c r="Q219" s="11" t="s">
        <v>29</v>
      </c>
    </row>
    <row r="220" spans="1:17" x14ac:dyDescent="0.2">
      <c r="A220" s="10">
        <v>45813</v>
      </c>
      <c r="B220" s="11" t="s">
        <v>8175</v>
      </c>
      <c r="C220" s="11"/>
      <c r="D220" s="11" t="s">
        <v>8176</v>
      </c>
      <c r="E220" s="11" t="s">
        <v>21</v>
      </c>
      <c r="F220" s="11" t="s">
        <v>8177</v>
      </c>
      <c r="G220" s="12">
        <v>26000</v>
      </c>
      <c r="H220" s="12">
        <v>25000</v>
      </c>
      <c r="I220" s="11" t="s">
        <v>23</v>
      </c>
      <c r="J220" s="11" t="s">
        <v>23</v>
      </c>
      <c r="K220" s="11" t="s">
        <v>8178</v>
      </c>
      <c r="L220" s="11" t="s">
        <v>8160</v>
      </c>
      <c r="M220" s="11" t="s">
        <v>26</v>
      </c>
      <c r="N220" s="11">
        <v>2</v>
      </c>
      <c r="O220" s="11" t="s">
        <v>151</v>
      </c>
      <c r="P220" s="11" t="s">
        <v>28</v>
      </c>
      <c r="Q220" s="11" t="s">
        <v>29</v>
      </c>
    </row>
    <row r="221" spans="1:17" x14ac:dyDescent="0.2">
      <c r="A221" s="10">
        <v>45771</v>
      </c>
      <c r="B221" s="11" t="s">
        <v>8179</v>
      </c>
      <c r="C221" s="11"/>
      <c r="D221" s="11" t="s">
        <v>8180</v>
      </c>
      <c r="E221" s="11" t="s">
        <v>21</v>
      </c>
      <c r="F221" s="11" t="s">
        <v>22</v>
      </c>
      <c r="G221" s="12">
        <v>25000</v>
      </c>
      <c r="H221" s="12">
        <v>25000</v>
      </c>
      <c r="I221" s="11" t="s">
        <v>23</v>
      </c>
      <c r="J221" s="11" t="s">
        <v>23</v>
      </c>
      <c r="K221" s="11"/>
      <c r="L221" s="11" t="s">
        <v>932</v>
      </c>
      <c r="M221" s="11" t="s">
        <v>26</v>
      </c>
      <c r="N221" s="11">
        <v>2</v>
      </c>
      <c r="O221" s="11" t="s">
        <v>321</v>
      </c>
      <c r="P221" s="11" t="s">
        <v>28</v>
      </c>
      <c r="Q221" s="11" t="s">
        <v>29</v>
      </c>
    </row>
    <row r="222" spans="1:17" x14ac:dyDescent="0.2">
      <c r="A222" s="10">
        <v>45744</v>
      </c>
      <c r="B222" s="11" t="s">
        <v>8181</v>
      </c>
      <c r="C222" s="11"/>
      <c r="D222" s="11" t="s">
        <v>8182</v>
      </c>
      <c r="E222" s="11" t="s">
        <v>21</v>
      </c>
      <c r="F222" s="11" t="s">
        <v>37</v>
      </c>
      <c r="G222" s="12">
        <v>25000</v>
      </c>
      <c r="H222" s="12">
        <v>25000</v>
      </c>
      <c r="I222" s="11" t="s">
        <v>23</v>
      </c>
      <c r="J222" s="11" t="s">
        <v>23</v>
      </c>
      <c r="K222" s="11" t="s">
        <v>8183</v>
      </c>
      <c r="L222" s="11" t="s">
        <v>8184</v>
      </c>
      <c r="M222" s="11" t="s">
        <v>26</v>
      </c>
      <c r="N222" s="11">
        <v>2</v>
      </c>
      <c r="O222" s="11" t="s">
        <v>67</v>
      </c>
      <c r="P222" s="11" t="s">
        <v>28</v>
      </c>
      <c r="Q222" s="11" t="s">
        <v>29</v>
      </c>
    </row>
    <row r="223" spans="1:17" x14ac:dyDescent="0.2">
      <c r="A223" s="10">
        <v>45716</v>
      </c>
      <c r="B223" s="11" t="s">
        <v>8185</v>
      </c>
      <c r="C223" s="11"/>
      <c r="D223" s="11" t="s">
        <v>8186</v>
      </c>
      <c r="E223" s="11" t="s">
        <v>21</v>
      </c>
      <c r="F223" s="11" t="s">
        <v>76</v>
      </c>
      <c r="G223" s="12">
        <v>25000</v>
      </c>
      <c r="H223" s="12">
        <v>25000</v>
      </c>
      <c r="I223" s="11" t="s">
        <v>23</v>
      </c>
      <c r="J223" s="11" t="s">
        <v>23</v>
      </c>
      <c r="K223" s="11" t="s">
        <v>8187</v>
      </c>
      <c r="L223" s="11" t="s">
        <v>8188</v>
      </c>
      <c r="M223" s="11" t="s">
        <v>34</v>
      </c>
      <c r="N223" s="11">
        <v>1</v>
      </c>
      <c r="O223" s="11" t="s">
        <v>167</v>
      </c>
      <c r="P223" s="11" t="s">
        <v>152</v>
      </c>
      <c r="Q223" s="11" t="s">
        <v>29</v>
      </c>
    </row>
    <row r="224" spans="1:17" x14ac:dyDescent="0.2">
      <c r="A224" s="10">
        <v>45674</v>
      </c>
      <c r="B224" s="11" t="s">
        <v>168</v>
      </c>
      <c r="C224" s="11"/>
      <c r="D224" s="11" t="s">
        <v>168</v>
      </c>
      <c r="E224" s="11" t="s">
        <v>21</v>
      </c>
      <c r="F224" s="11" t="s">
        <v>37</v>
      </c>
      <c r="G224" s="12">
        <v>25000</v>
      </c>
      <c r="H224" s="12">
        <v>25000</v>
      </c>
      <c r="I224" s="11" t="s">
        <v>23</v>
      </c>
      <c r="J224" s="11" t="s">
        <v>23</v>
      </c>
      <c r="K224" s="11" t="s">
        <v>8189</v>
      </c>
      <c r="L224" s="11" t="s">
        <v>2566</v>
      </c>
      <c r="M224" s="11" t="s">
        <v>45</v>
      </c>
      <c r="N224" s="11">
        <v>1</v>
      </c>
      <c r="O224" s="11" t="s">
        <v>170</v>
      </c>
      <c r="P224" s="11" t="s">
        <v>47</v>
      </c>
      <c r="Q224" s="11" t="s">
        <v>29</v>
      </c>
    </row>
    <row r="225" spans="1:17" x14ac:dyDescent="0.2">
      <c r="A225" s="10">
        <v>45940</v>
      </c>
      <c r="B225" s="11" t="s">
        <v>8190</v>
      </c>
      <c r="C225" s="11"/>
      <c r="D225" s="11" t="s">
        <v>8191</v>
      </c>
      <c r="E225" s="11" t="s">
        <v>21</v>
      </c>
      <c r="F225" s="11" t="s">
        <v>70</v>
      </c>
      <c r="G225" s="12">
        <v>27000</v>
      </c>
      <c r="H225" s="12">
        <v>26000</v>
      </c>
      <c r="I225" s="11" t="s">
        <v>23</v>
      </c>
      <c r="J225" s="11" t="s">
        <v>23</v>
      </c>
      <c r="K225" s="11" t="s">
        <v>5030</v>
      </c>
      <c r="L225" s="11" t="s">
        <v>1116</v>
      </c>
      <c r="M225" s="11" t="s">
        <v>26</v>
      </c>
      <c r="N225" s="11">
        <v>2</v>
      </c>
      <c r="O225" s="11" t="s">
        <v>73</v>
      </c>
      <c r="P225" s="11" t="s">
        <v>28</v>
      </c>
      <c r="Q225" s="11" t="s">
        <v>29</v>
      </c>
    </row>
    <row r="226" spans="1:17" x14ac:dyDescent="0.2">
      <c r="A226" s="10">
        <v>45933</v>
      </c>
      <c r="B226" s="11">
        <v>10550</v>
      </c>
      <c r="C226" s="11"/>
      <c r="D226" s="11" t="s">
        <v>8192</v>
      </c>
      <c r="E226" s="11" t="s">
        <v>21</v>
      </c>
      <c r="F226" s="11" t="s">
        <v>37</v>
      </c>
      <c r="G226" s="12">
        <v>0</v>
      </c>
      <c r="H226" s="12">
        <v>26000</v>
      </c>
      <c r="I226" s="11" t="s">
        <v>23</v>
      </c>
      <c r="J226" s="11" t="s">
        <v>23</v>
      </c>
      <c r="K226" s="11"/>
      <c r="L226" s="11" t="s">
        <v>50</v>
      </c>
      <c r="M226" s="11" t="s">
        <v>1625</v>
      </c>
      <c r="N226" s="11">
        <v>1</v>
      </c>
      <c r="O226" s="11" t="s">
        <v>67</v>
      </c>
      <c r="P226" s="11" t="s">
        <v>47</v>
      </c>
      <c r="Q226" s="11" t="s">
        <v>29</v>
      </c>
    </row>
    <row r="227" spans="1:17" x14ac:dyDescent="0.2">
      <c r="A227" s="10">
        <v>45878</v>
      </c>
      <c r="B227" s="11"/>
      <c r="C227" s="11"/>
      <c r="D227" s="11" t="s">
        <v>8193</v>
      </c>
      <c r="E227" s="11" t="s">
        <v>21</v>
      </c>
      <c r="F227" s="11" t="s">
        <v>81</v>
      </c>
      <c r="G227" s="12">
        <v>26000</v>
      </c>
      <c r="H227" s="12">
        <v>26000</v>
      </c>
      <c r="I227" s="11" t="s">
        <v>23</v>
      </c>
      <c r="J227" s="11" t="s">
        <v>23</v>
      </c>
      <c r="K227" s="11" t="s">
        <v>1621</v>
      </c>
      <c r="L227" s="11" t="s">
        <v>505</v>
      </c>
      <c r="M227" s="11" t="s">
        <v>26</v>
      </c>
      <c r="N227" s="11">
        <v>2</v>
      </c>
      <c r="O227" s="11" t="s">
        <v>84</v>
      </c>
      <c r="P227" s="11" t="s">
        <v>241</v>
      </c>
      <c r="Q227" s="11" t="s">
        <v>29</v>
      </c>
    </row>
    <row r="228" spans="1:17" x14ac:dyDescent="0.2">
      <c r="A228" s="10">
        <v>45878</v>
      </c>
      <c r="B228" s="11"/>
      <c r="C228" s="11"/>
      <c r="D228" s="11" t="s">
        <v>8194</v>
      </c>
      <c r="E228" s="11" t="s">
        <v>21</v>
      </c>
      <c r="F228" s="11" t="s">
        <v>97</v>
      </c>
      <c r="G228" s="12">
        <v>26000</v>
      </c>
      <c r="H228" s="12">
        <v>26000</v>
      </c>
      <c r="I228" s="11" t="s">
        <v>23</v>
      </c>
      <c r="J228" s="11" t="s">
        <v>23</v>
      </c>
      <c r="K228" s="11" t="s">
        <v>1621</v>
      </c>
      <c r="L228" s="11" t="s">
        <v>505</v>
      </c>
      <c r="M228" s="11" t="s">
        <v>26</v>
      </c>
      <c r="N228" s="11">
        <v>2</v>
      </c>
      <c r="O228" s="11" t="s">
        <v>84</v>
      </c>
      <c r="P228" s="11" t="s">
        <v>241</v>
      </c>
      <c r="Q228" s="11" t="s">
        <v>29</v>
      </c>
    </row>
    <row r="229" spans="1:17" x14ac:dyDescent="0.2">
      <c r="A229" s="10">
        <v>45878</v>
      </c>
      <c r="B229" s="11"/>
      <c r="C229" s="11"/>
      <c r="D229" s="11" t="s">
        <v>8195</v>
      </c>
      <c r="E229" s="11" t="s">
        <v>21</v>
      </c>
      <c r="F229" s="11" t="s">
        <v>97</v>
      </c>
      <c r="G229" s="12">
        <v>26000</v>
      </c>
      <c r="H229" s="12">
        <v>26000</v>
      </c>
      <c r="I229" s="11" t="s">
        <v>23</v>
      </c>
      <c r="J229" s="11" t="s">
        <v>23</v>
      </c>
      <c r="K229" s="11" t="s">
        <v>1621</v>
      </c>
      <c r="L229" s="11" t="s">
        <v>1507</v>
      </c>
      <c r="M229" s="11" t="s">
        <v>26</v>
      </c>
      <c r="N229" s="11">
        <v>2</v>
      </c>
      <c r="O229" s="11" t="s">
        <v>84</v>
      </c>
      <c r="P229" s="11" t="s">
        <v>241</v>
      </c>
      <c r="Q229" s="11" t="s">
        <v>29</v>
      </c>
    </row>
    <row r="230" spans="1:17" x14ac:dyDescent="0.2">
      <c r="A230" s="10">
        <v>45878</v>
      </c>
      <c r="B230" s="11"/>
      <c r="C230" s="11"/>
      <c r="D230" s="11" t="s">
        <v>6788</v>
      </c>
      <c r="E230" s="11" t="s">
        <v>21</v>
      </c>
      <c r="F230" s="11" t="s">
        <v>97</v>
      </c>
      <c r="G230" s="12">
        <v>26000</v>
      </c>
      <c r="H230" s="12">
        <v>26000</v>
      </c>
      <c r="I230" s="11" t="s">
        <v>23</v>
      </c>
      <c r="J230" s="11" t="s">
        <v>23</v>
      </c>
      <c r="K230" s="11" t="s">
        <v>1621</v>
      </c>
      <c r="L230" s="11" t="s">
        <v>505</v>
      </c>
      <c r="M230" s="11" t="s">
        <v>26</v>
      </c>
      <c r="N230" s="11">
        <v>2</v>
      </c>
      <c r="O230" s="11" t="s">
        <v>84</v>
      </c>
      <c r="P230" s="11" t="s">
        <v>241</v>
      </c>
      <c r="Q230" s="11" t="s">
        <v>29</v>
      </c>
    </row>
    <row r="231" spans="1:17" x14ac:dyDescent="0.2">
      <c r="A231" s="10">
        <v>45878</v>
      </c>
      <c r="B231" s="11"/>
      <c r="C231" s="11"/>
      <c r="D231" s="11" t="s">
        <v>8196</v>
      </c>
      <c r="E231" s="11" t="s">
        <v>21</v>
      </c>
      <c r="F231" s="11" t="s">
        <v>97</v>
      </c>
      <c r="G231" s="12">
        <v>26000</v>
      </c>
      <c r="H231" s="12">
        <v>26000</v>
      </c>
      <c r="I231" s="11" t="s">
        <v>23</v>
      </c>
      <c r="J231" s="11" t="s">
        <v>23</v>
      </c>
      <c r="K231" s="11" t="s">
        <v>1621</v>
      </c>
      <c r="L231" s="11" t="s">
        <v>505</v>
      </c>
      <c r="M231" s="11" t="s">
        <v>26</v>
      </c>
      <c r="N231" s="11">
        <v>2</v>
      </c>
      <c r="O231" s="11" t="s">
        <v>84</v>
      </c>
      <c r="P231" s="11" t="s">
        <v>241</v>
      </c>
      <c r="Q231" s="11" t="s">
        <v>29</v>
      </c>
    </row>
    <row r="232" spans="1:17" x14ac:dyDescent="0.2">
      <c r="A232" s="10">
        <v>45878</v>
      </c>
      <c r="B232" s="11"/>
      <c r="C232" s="11"/>
      <c r="D232" s="11" t="s">
        <v>8197</v>
      </c>
      <c r="E232" s="11" t="s">
        <v>21</v>
      </c>
      <c r="F232" s="11" t="s">
        <v>97</v>
      </c>
      <c r="G232" s="12">
        <v>26000</v>
      </c>
      <c r="H232" s="12">
        <v>26000</v>
      </c>
      <c r="I232" s="11" t="s">
        <v>23</v>
      </c>
      <c r="J232" s="11" t="s">
        <v>23</v>
      </c>
      <c r="K232" s="11" t="s">
        <v>1621</v>
      </c>
      <c r="L232" s="11" t="s">
        <v>505</v>
      </c>
      <c r="M232" s="11" t="s">
        <v>26</v>
      </c>
      <c r="N232" s="11">
        <v>2</v>
      </c>
      <c r="O232" s="11" t="s">
        <v>84</v>
      </c>
      <c r="P232" s="11" t="s">
        <v>241</v>
      </c>
      <c r="Q232" s="11" t="s">
        <v>29</v>
      </c>
    </row>
    <row r="233" spans="1:17" x14ac:dyDescent="0.2">
      <c r="A233" s="10">
        <v>45878</v>
      </c>
      <c r="B233" s="11"/>
      <c r="C233" s="11"/>
      <c r="D233" s="11" t="s">
        <v>8198</v>
      </c>
      <c r="E233" s="11" t="s">
        <v>21</v>
      </c>
      <c r="F233" s="11" t="s">
        <v>97</v>
      </c>
      <c r="G233" s="12">
        <v>26000</v>
      </c>
      <c r="H233" s="12">
        <v>26000</v>
      </c>
      <c r="I233" s="11" t="s">
        <v>23</v>
      </c>
      <c r="J233" s="11" t="s">
        <v>23</v>
      </c>
      <c r="K233" s="11" t="s">
        <v>1621</v>
      </c>
      <c r="L233" s="11" t="s">
        <v>505</v>
      </c>
      <c r="M233" s="11" t="s">
        <v>26</v>
      </c>
      <c r="N233" s="11">
        <v>2</v>
      </c>
      <c r="O233" s="11" t="s">
        <v>84</v>
      </c>
      <c r="P233" s="11" t="s">
        <v>241</v>
      </c>
      <c r="Q233" s="11" t="s">
        <v>29</v>
      </c>
    </row>
    <row r="234" spans="1:17" x14ac:dyDescent="0.2">
      <c r="A234" s="10">
        <v>45878</v>
      </c>
      <c r="B234" s="11"/>
      <c r="C234" s="11"/>
      <c r="D234" s="11" t="s">
        <v>8199</v>
      </c>
      <c r="E234" s="11" t="s">
        <v>21</v>
      </c>
      <c r="F234" s="11" t="s">
        <v>97</v>
      </c>
      <c r="G234" s="12">
        <v>26000</v>
      </c>
      <c r="H234" s="12">
        <v>26000</v>
      </c>
      <c r="I234" s="11" t="s">
        <v>23</v>
      </c>
      <c r="J234" s="11" t="s">
        <v>23</v>
      </c>
      <c r="K234" s="11" t="s">
        <v>1621</v>
      </c>
      <c r="L234" s="11" t="s">
        <v>505</v>
      </c>
      <c r="M234" s="11" t="s">
        <v>26</v>
      </c>
      <c r="N234" s="11">
        <v>2</v>
      </c>
      <c r="O234" s="11" t="s">
        <v>84</v>
      </c>
      <c r="P234" s="11" t="s">
        <v>241</v>
      </c>
      <c r="Q234" s="11" t="s">
        <v>29</v>
      </c>
    </row>
    <row r="235" spans="1:17" x14ac:dyDescent="0.2">
      <c r="A235" s="10">
        <v>45878</v>
      </c>
      <c r="B235" s="11"/>
      <c r="C235" s="11"/>
      <c r="D235" s="11" t="s">
        <v>8200</v>
      </c>
      <c r="E235" s="11" t="s">
        <v>21</v>
      </c>
      <c r="F235" s="11" t="s">
        <v>97</v>
      </c>
      <c r="G235" s="12">
        <v>26000</v>
      </c>
      <c r="H235" s="12">
        <v>26000</v>
      </c>
      <c r="I235" s="11" t="s">
        <v>23</v>
      </c>
      <c r="J235" s="11" t="s">
        <v>23</v>
      </c>
      <c r="K235" s="11" t="s">
        <v>1621</v>
      </c>
      <c r="L235" s="11" t="s">
        <v>505</v>
      </c>
      <c r="M235" s="11" t="s">
        <v>26</v>
      </c>
      <c r="N235" s="11">
        <v>2</v>
      </c>
      <c r="O235" s="11" t="s">
        <v>84</v>
      </c>
      <c r="P235" s="11" t="s">
        <v>241</v>
      </c>
      <c r="Q235" s="11" t="s">
        <v>29</v>
      </c>
    </row>
    <row r="236" spans="1:17" x14ac:dyDescent="0.2">
      <c r="A236" s="10">
        <v>45878</v>
      </c>
      <c r="B236" s="11"/>
      <c r="C236" s="11"/>
      <c r="D236" s="11" t="s">
        <v>8201</v>
      </c>
      <c r="E236" s="11" t="s">
        <v>21</v>
      </c>
      <c r="F236" s="11" t="s">
        <v>97</v>
      </c>
      <c r="G236" s="12">
        <v>26000</v>
      </c>
      <c r="H236" s="12">
        <v>26000</v>
      </c>
      <c r="I236" s="11" t="s">
        <v>23</v>
      </c>
      <c r="J236" s="11" t="s">
        <v>23</v>
      </c>
      <c r="K236" s="11" t="s">
        <v>1621</v>
      </c>
      <c r="L236" s="11" t="s">
        <v>505</v>
      </c>
      <c r="M236" s="11" t="s">
        <v>26</v>
      </c>
      <c r="N236" s="11">
        <v>2</v>
      </c>
      <c r="O236" s="11" t="s">
        <v>84</v>
      </c>
      <c r="P236" s="11" t="s">
        <v>241</v>
      </c>
      <c r="Q236" s="11" t="s">
        <v>29</v>
      </c>
    </row>
    <row r="237" spans="1:17" x14ac:dyDescent="0.2">
      <c r="A237" s="10">
        <v>45878</v>
      </c>
      <c r="B237" s="11"/>
      <c r="C237" s="11"/>
      <c r="D237" s="11" t="s">
        <v>8202</v>
      </c>
      <c r="E237" s="11" t="s">
        <v>21</v>
      </c>
      <c r="F237" s="11" t="s">
        <v>97</v>
      </c>
      <c r="G237" s="12">
        <v>26000</v>
      </c>
      <c r="H237" s="12">
        <v>26000</v>
      </c>
      <c r="I237" s="11" t="s">
        <v>23</v>
      </c>
      <c r="J237" s="11" t="s">
        <v>23</v>
      </c>
      <c r="K237" s="11" t="s">
        <v>1621</v>
      </c>
      <c r="L237" s="11" t="s">
        <v>505</v>
      </c>
      <c r="M237" s="11" t="s">
        <v>26</v>
      </c>
      <c r="N237" s="11">
        <v>2</v>
      </c>
      <c r="O237" s="11" t="s">
        <v>84</v>
      </c>
      <c r="P237" s="11" t="s">
        <v>241</v>
      </c>
      <c r="Q237" s="11" t="s">
        <v>29</v>
      </c>
    </row>
    <row r="238" spans="1:17" x14ac:dyDescent="0.2">
      <c r="A238" s="10">
        <v>45878</v>
      </c>
      <c r="B238" s="11"/>
      <c r="C238" s="11"/>
      <c r="D238" s="11" t="s">
        <v>8202</v>
      </c>
      <c r="E238" s="11" t="s">
        <v>21</v>
      </c>
      <c r="F238" s="11" t="s">
        <v>97</v>
      </c>
      <c r="G238" s="12">
        <v>26000</v>
      </c>
      <c r="H238" s="12">
        <v>26000</v>
      </c>
      <c r="I238" s="11" t="s">
        <v>23</v>
      </c>
      <c r="J238" s="11" t="s">
        <v>23</v>
      </c>
      <c r="K238" s="11" t="s">
        <v>1621</v>
      </c>
      <c r="L238" s="11" t="s">
        <v>505</v>
      </c>
      <c r="M238" s="11" t="s">
        <v>26</v>
      </c>
      <c r="N238" s="11">
        <v>2</v>
      </c>
      <c r="O238" s="11" t="s">
        <v>84</v>
      </c>
      <c r="P238" s="11" t="s">
        <v>241</v>
      </c>
      <c r="Q238" s="11" t="s">
        <v>29</v>
      </c>
    </row>
    <row r="239" spans="1:17" x14ac:dyDescent="0.2">
      <c r="A239" s="10">
        <v>45798</v>
      </c>
      <c r="B239" s="11" t="s">
        <v>8203</v>
      </c>
      <c r="C239" s="11"/>
      <c r="D239" s="11" t="s">
        <v>8204</v>
      </c>
      <c r="E239" s="11" t="s">
        <v>21</v>
      </c>
      <c r="F239" s="11" t="s">
        <v>37</v>
      </c>
      <c r="G239" s="12">
        <v>21000</v>
      </c>
      <c r="H239" s="12">
        <v>26000</v>
      </c>
      <c r="I239" s="11" t="s">
        <v>23</v>
      </c>
      <c r="J239" s="11" t="s">
        <v>23</v>
      </c>
      <c r="K239" s="11" t="s">
        <v>8205</v>
      </c>
      <c r="L239" s="11" t="s">
        <v>5220</v>
      </c>
      <c r="M239" s="11" t="s">
        <v>26</v>
      </c>
      <c r="N239" s="11">
        <v>2</v>
      </c>
      <c r="O239" s="11" t="s">
        <v>429</v>
      </c>
      <c r="P239" s="11" t="s">
        <v>28</v>
      </c>
      <c r="Q239" s="11" t="s">
        <v>29</v>
      </c>
    </row>
    <row r="240" spans="1:17" x14ac:dyDescent="0.2">
      <c r="A240" s="10">
        <v>45772</v>
      </c>
      <c r="B240" s="11" t="s">
        <v>8206</v>
      </c>
      <c r="C240" s="11"/>
      <c r="D240" s="11" t="s">
        <v>8207</v>
      </c>
      <c r="E240" s="11" t="s">
        <v>21</v>
      </c>
      <c r="F240" s="11" t="s">
        <v>76</v>
      </c>
      <c r="G240" s="12">
        <v>28000</v>
      </c>
      <c r="H240" s="12">
        <v>26000</v>
      </c>
      <c r="I240" s="11" t="s">
        <v>23</v>
      </c>
      <c r="J240" s="11" t="s">
        <v>23</v>
      </c>
      <c r="K240" s="11" t="s">
        <v>8208</v>
      </c>
      <c r="L240" s="11" t="s">
        <v>223</v>
      </c>
      <c r="M240" s="11" t="s">
        <v>55</v>
      </c>
      <c r="N240" s="11">
        <v>2</v>
      </c>
      <c r="O240" s="11" t="s">
        <v>167</v>
      </c>
      <c r="P240" s="11" t="s">
        <v>28</v>
      </c>
      <c r="Q240" s="11" t="s">
        <v>29</v>
      </c>
    </row>
    <row r="241" spans="1:17" x14ac:dyDescent="0.2">
      <c r="A241" s="10">
        <v>45708</v>
      </c>
      <c r="B241" s="11" t="s">
        <v>8209</v>
      </c>
      <c r="C241" s="11"/>
      <c r="D241" s="11" t="s">
        <v>8210</v>
      </c>
      <c r="E241" s="11" t="s">
        <v>21</v>
      </c>
      <c r="F241" s="11" t="s">
        <v>119</v>
      </c>
      <c r="G241" s="12">
        <v>26347</v>
      </c>
      <c r="H241" s="12">
        <v>26347</v>
      </c>
      <c r="I241" s="11" t="s">
        <v>23</v>
      </c>
      <c r="J241" s="11" t="s">
        <v>23</v>
      </c>
      <c r="K241" s="11"/>
      <c r="L241" s="11" t="s">
        <v>120</v>
      </c>
      <c r="M241" s="11" t="s">
        <v>26</v>
      </c>
      <c r="N241" s="11">
        <v>1</v>
      </c>
      <c r="O241" s="11" t="s">
        <v>121</v>
      </c>
      <c r="P241" s="11" t="s">
        <v>122</v>
      </c>
      <c r="Q241" s="11" t="s">
        <v>29</v>
      </c>
    </row>
    <row r="242" spans="1:17" x14ac:dyDescent="0.2">
      <c r="A242" s="10">
        <v>45674</v>
      </c>
      <c r="B242" s="11" t="s">
        <v>8211</v>
      </c>
      <c r="C242" s="11"/>
      <c r="D242" s="11" t="s">
        <v>8212</v>
      </c>
      <c r="E242" s="11" t="s">
        <v>21</v>
      </c>
      <c r="F242" s="11" t="s">
        <v>100</v>
      </c>
      <c r="G242" s="12">
        <v>0</v>
      </c>
      <c r="H242" s="12">
        <v>26347</v>
      </c>
      <c r="I242" s="11" t="s">
        <v>23</v>
      </c>
      <c r="J242" s="11" t="s">
        <v>23</v>
      </c>
      <c r="K242" s="11"/>
      <c r="L242" s="11" t="s">
        <v>120</v>
      </c>
      <c r="M242" s="11" t="s">
        <v>26</v>
      </c>
      <c r="N242" s="11">
        <v>1</v>
      </c>
      <c r="O242" s="11" t="s">
        <v>121</v>
      </c>
      <c r="P242" s="11" t="s">
        <v>122</v>
      </c>
      <c r="Q242" s="11" t="s">
        <v>29</v>
      </c>
    </row>
    <row r="243" spans="1:17" x14ac:dyDescent="0.2">
      <c r="A243" s="10">
        <v>45775</v>
      </c>
      <c r="B243" s="11" t="s">
        <v>8213</v>
      </c>
      <c r="C243" s="11"/>
      <c r="D243" s="11" t="s">
        <v>8214</v>
      </c>
      <c r="E243" s="11" t="s">
        <v>21</v>
      </c>
      <c r="F243" s="11" t="s">
        <v>37</v>
      </c>
      <c r="G243" s="12">
        <v>1200</v>
      </c>
      <c r="H243" s="12">
        <v>26400</v>
      </c>
      <c r="I243" s="11" t="s">
        <v>23</v>
      </c>
      <c r="J243" s="11" t="s">
        <v>23</v>
      </c>
      <c r="K243" s="11" t="s">
        <v>8215</v>
      </c>
      <c r="L243" s="11" t="s">
        <v>8216</v>
      </c>
      <c r="M243" s="11" t="s">
        <v>34</v>
      </c>
      <c r="N243" s="11">
        <v>2</v>
      </c>
      <c r="O243" s="11" t="s">
        <v>110</v>
      </c>
      <c r="P243" s="11" t="s">
        <v>79</v>
      </c>
      <c r="Q243" s="11" t="s">
        <v>29</v>
      </c>
    </row>
    <row r="244" spans="1:17" x14ac:dyDescent="0.2">
      <c r="A244" s="10">
        <v>46072</v>
      </c>
      <c r="B244" s="11" t="s">
        <v>8217</v>
      </c>
      <c r="C244" s="11"/>
      <c r="D244" s="11" t="s">
        <v>8218</v>
      </c>
      <c r="E244" s="11" t="s">
        <v>21</v>
      </c>
      <c r="F244" s="11" t="s">
        <v>76</v>
      </c>
      <c r="G244" s="12">
        <v>29000</v>
      </c>
      <c r="H244" s="12">
        <v>26500</v>
      </c>
      <c r="I244" s="11" t="s">
        <v>23</v>
      </c>
      <c r="J244" s="11" t="s">
        <v>23</v>
      </c>
      <c r="K244" s="11" t="s">
        <v>8219</v>
      </c>
      <c r="L244" s="11" t="s">
        <v>8220</v>
      </c>
      <c r="M244" s="11" t="s">
        <v>45</v>
      </c>
      <c r="N244" s="11">
        <v>2</v>
      </c>
      <c r="O244" s="11" t="s">
        <v>167</v>
      </c>
      <c r="P244" s="11" t="s">
        <v>28</v>
      </c>
      <c r="Q244" s="11" t="s">
        <v>29</v>
      </c>
    </row>
    <row r="245" spans="1:17" x14ac:dyDescent="0.2">
      <c r="A245" s="10">
        <v>45980</v>
      </c>
      <c r="B245" s="11" t="s">
        <v>6228</v>
      </c>
      <c r="C245" s="11"/>
      <c r="D245" s="11" t="s">
        <v>6228</v>
      </c>
      <c r="E245" s="11" t="s">
        <v>21</v>
      </c>
      <c r="F245" s="11" t="s">
        <v>37</v>
      </c>
      <c r="G245" s="12">
        <v>106000</v>
      </c>
      <c r="H245" s="12">
        <v>26500</v>
      </c>
      <c r="I245" s="11" t="s">
        <v>23</v>
      </c>
      <c r="J245" s="11" t="s">
        <v>23</v>
      </c>
      <c r="K245" s="11" t="s">
        <v>6228</v>
      </c>
      <c r="L245" s="11" t="s">
        <v>116</v>
      </c>
      <c r="M245" s="11" t="s">
        <v>45</v>
      </c>
      <c r="N245" s="11">
        <v>2</v>
      </c>
      <c r="O245" s="11" t="s">
        <v>62</v>
      </c>
      <c r="P245" s="11" t="s">
        <v>28</v>
      </c>
      <c r="Q245" s="11" t="s">
        <v>29</v>
      </c>
    </row>
    <row r="246" spans="1:17" x14ac:dyDescent="0.2">
      <c r="A246" s="10">
        <v>45734</v>
      </c>
      <c r="B246" s="11" t="s">
        <v>8221</v>
      </c>
      <c r="C246" s="11"/>
      <c r="D246" s="11" t="s">
        <v>8222</v>
      </c>
      <c r="E246" s="11" t="s">
        <v>21</v>
      </c>
      <c r="F246" s="11" t="s">
        <v>100</v>
      </c>
      <c r="G246" s="12">
        <v>34000</v>
      </c>
      <c r="H246" s="12">
        <v>26500</v>
      </c>
      <c r="I246" s="11" t="s">
        <v>23</v>
      </c>
      <c r="J246" s="11" t="s">
        <v>23</v>
      </c>
      <c r="K246" s="11" t="s">
        <v>8223</v>
      </c>
      <c r="L246" s="11" t="s">
        <v>7986</v>
      </c>
      <c r="M246" s="11" t="s">
        <v>26</v>
      </c>
      <c r="N246" s="11">
        <v>2</v>
      </c>
      <c r="O246" s="11" t="s">
        <v>121</v>
      </c>
      <c r="P246" s="11" t="s">
        <v>28</v>
      </c>
      <c r="Q246" s="11" t="s">
        <v>29</v>
      </c>
    </row>
    <row r="247" spans="1:17" x14ac:dyDescent="0.2">
      <c r="A247" s="10">
        <v>45674</v>
      </c>
      <c r="B247" s="11" t="s">
        <v>8224</v>
      </c>
      <c r="C247" s="11"/>
      <c r="D247" s="11" t="s">
        <v>8225</v>
      </c>
      <c r="E247" s="11" t="s">
        <v>21</v>
      </c>
      <c r="F247" s="11" t="s">
        <v>100</v>
      </c>
      <c r="G247" s="12">
        <v>26609</v>
      </c>
      <c r="H247" s="12">
        <v>26609</v>
      </c>
      <c r="I247" s="11" t="s">
        <v>23</v>
      </c>
      <c r="J247" s="11" t="s">
        <v>23</v>
      </c>
      <c r="K247" s="11"/>
      <c r="L247" s="11" t="s">
        <v>120</v>
      </c>
      <c r="M247" s="11" t="s">
        <v>26</v>
      </c>
      <c r="N247" s="11">
        <v>1</v>
      </c>
      <c r="O247" s="11" t="s">
        <v>121</v>
      </c>
      <c r="P247" s="11" t="s">
        <v>122</v>
      </c>
      <c r="Q247" s="11" t="s">
        <v>29</v>
      </c>
    </row>
    <row r="248" spans="1:17" x14ac:dyDescent="0.2">
      <c r="A248" s="10">
        <v>45846</v>
      </c>
      <c r="B248" s="11" t="s">
        <v>8226</v>
      </c>
      <c r="C248" s="11"/>
      <c r="D248" s="11" t="s">
        <v>8227</v>
      </c>
      <c r="E248" s="11" t="s">
        <v>21</v>
      </c>
      <c r="F248" s="11" t="s">
        <v>37</v>
      </c>
      <c r="G248" s="12">
        <v>28900</v>
      </c>
      <c r="H248" s="12">
        <v>26900</v>
      </c>
      <c r="I248" s="11" t="s">
        <v>23</v>
      </c>
      <c r="J248" s="11" t="s">
        <v>23</v>
      </c>
      <c r="K248" s="11" t="s">
        <v>8228</v>
      </c>
      <c r="L248" s="11" t="s">
        <v>440</v>
      </c>
      <c r="M248" s="11" t="s">
        <v>55</v>
      </c>
      <c r="N248" s="11">
        <v>2</v>
      </c>
      <c r="O248" s="11" t="s">
        <v>67</v>
      </c>
      <c r="P248" s="11" t="s">
        <v>28</v>
      </c>
      <c r="Q248" s="11" t="s">
        <v>29</v>
      </c>
    </row>
    <row r="249" spans="1:17" x14ac:dyDescent="0.2">
      <c r="A249" s="10">
        <v>46090</v>
      </c>
      <c r="B249" s="11" t="s">
        <v>8229</v>
      </c>
      <c r="C249" s="11"/>
      <c r="D249" s="11" t="s">
        <v>8230</v>
      </c>
      <c r="E249" s="11" t="s">
        <v>21</v>
      </c>
      <c r="F249" s="11" t="s">
        <v>37</v>
      </c>
      <c r="G249" s="12">
        <v>32000</v>
      </c>
      <c r="H249" s="12">
        <v>27000</v>
      </c>
      <c r="I249" s="11" t="s">
        <v>23</v>
      </c>
      <c r="J249" s="11" t="s">
        <v>23</v>
      </c>
      <c r="K249" s="11" t="s">
        <v>8231</v>
      </c>
      <c r="L249" s="11" t="s">
        <v>223</v>
      </c>
      <c r="M249" s="11" t="s">
        <v>34</v>
      </c>
      <c r="N249" s="11">
        <v>1</v>
      </c>
      <c r="O249" s="11" t="s">
        <v>167</v>
      </c>
      <c r="P249" s="11" t="s">
        <v>122</v>
      </c>
      <c r="Q249" s="11" t="s">
        <v>29</v>
      </c>
    </row>
    <row r="250" spans="1:17" x14ac:dyDescent="0.2">
      <c r="A250" s="10">
        <v>45992</v>
      </c>
      <c r="B250" s="11" t="s">
        <v>8232</v>
      </c>
      <c r="C250" s="11"/>
      <c r="D250" s="11" t="s">
        <v>8233</v>
      </c>
      <c r="E250" s="11" t="s">
        <v>21</v>
      </c>
      <c r="F250" s="11" t="s">
        <v>81</v>
      </c>
      <c r="G250" s="12">
        <v>27000</v>
      </c>
      <c r="H250" s="12">
        <v>27000</v>
      </c>
      <c r="I250" s="11" t="s">
        <v>23</v>
      </c>
      <c r="J250" s="11" t="s">
        <v>23</v>
      </c>
      <c r="K250" s="11"/>
      <c r="L250" s="11" t="s">
        <v>8234</v>
      </c>
      <c r="M250" s="11" t="s">
        <v>26</v>
      </c>
      <c r="N250" s="11">
        <v>1</v>
      </c>
      <c r="O250" s="11" t="s">
        <v>151</v>
      </c>
      <c r="P250" s="11" t="s">
        <v>122</v>
      </c>
      <c r="Q250" s="11" t="s">
        <v>29</v>
      </c>
    </row>
    <row r="251" spans="1:17" x14ac:dyDescent="0.2">
      <c r="A251" s="10">
        <v>45954</v>
      </c>
      <c r="B251" s="11"/>
      <c r="C251" s="11"/>
      <c r="D251" s="11" t="s">
        <v>8235</v>
      </c>
      <c r="E251" s="11" t="s">
        <v>21</v>
      </c>
      <c r="F251" s="11" t="s">
        <v>37</v>
      </c>
      <c r="G251" s="12">
        <v>27000</v>
      </c>
      <c r="H251" s="12">
        <v>27000</v>
      </c>
      <c r="I251" s="11" t="s">
        <v>23</v>
      </c>
      <c r="J251" s="11" t="s">
        <v>23</v>
      </c>
      <c r="K251" s="11"/>
      <c r="L251" s="11" t="s">
        <v>102</v>
      </c>
      <c r="M251" s="11" t="s">
        <v>26</v>
      </c>
      <c r="N251" s="11">
        <v>2</v>
      </c>
      <c r="O251" s="11" t="s">
        <v>103</v>
      </c>
      <c r="P251" s="11" t="s">
        <v>28</v>
      </c>
      <c r="Q251" s="11" t="s">
        <v>29</v>
      </c>
    </row>
    <row r="252" spans="1:17" x14ac:dyDescent="0.2">
      <c r="A252" s="10">
        <v>45915</v>
      </c>
      <c r="B252" s="11" t="s">
        <v>8236</v>
      </c>
      <c r="C252" s="11"/>
      <c r="D252" s="11" t="s">
        <v>8237</v>
      </c>
      <c r="E252" s="11" t="s">
        <v>21</v>
      </c>
      <c r="F252" s="11" t="s">
        <v>81</v>
      </c>
      <c r="G252" s="12">
        <v>29000</v>
      </c>
      <c r="H252" s="12">
        <v>27000</v>
      </c>
      <c r="I252" s="11" t="s">
        <v>23</v>
      </c>
      <c r="J252" s="11" t="s">
        <v>23</v>
      </c>
      <c r="K252" s="11" t="s">
        <v>8238</v>
      </c>
      <c r="L252" s="11" t="s">
        <v>223</v>
      </c>
      <c r="M252" s="11" t="s">
        <v>26</v>
      </c>
      <c r="N252" s="11">
        <v>1</v>
      </c>
      <c r="O252" s="11" t="s">
        <v>167</v>
      </c>
      <c r="P252" s="11" t="s">
        <v>122</v>
      </c>
      <c r="Q252" s="11" t="s">
        <v>29</v>
      </c>
    </row>
    <row r="253" spans="1:17" x14ac:dyDescent="0.2">
      <c r="A253" s="10">
        <v>45848</v>
      </c>
      <c r="B253" s="11" t="s">
        <v>8239</v>
      </c>
      <c r="C253" s="11"/>
      <c r="D253" s="11" t="s">
        <v>3613</v>
      </c>
      <c r="E253" s="11" t="s">
        <v>21</v>
      </c>
      <c r="F253" s="11" t="s">
        <v>37</v>
      </c>
      <c r="G253" s="12">
        <v>30000</v>
      </c>
      <c r="H253" s="12">
        <v>27000</v>
      </c>
      <c r="I253" s="11" t="s">
        <v>23</v>
      </c>
      <c r="J253" s="11" t="s">
        <v>23</v>
      </c>
      <c r="K253" s="11" t="s">
        <v>8240</v>
      </c>
      <c r="L253" s="11" t="s">
        <v>1598</v>
      </c>
      <c r="M253" s="11" t="s">
        <v>26</v>
      </c>
      <c r="N253" s="11">
        <v>2</v>
      </c>
      <c r="O253" s="11" t="s">
        <v>110</v>
      </c>
      <c r="P253" s="11" t="s">
        <v>79</v>
      </c>
      <c r="Q253" s="11" t="s">
        <v>29</v>
      </c>
    </row>
    <row r="254" spans="1:17" x14ac:dyDescent="0.2">
      <c r="A254" s="10">
        <v>45680</v>
      </c>
      <c r="B254" s="11" t="s">
        <v>8241</v>
      </c>
      <c r="C254" s="11"/>
      <c r="D254" s="11" t="s">
        <v>8242</v>
      </c>
      <c r="E254" s="11" t="s">
        <v>21</v>
      </c>
      <c r="F254" s="11" t="s">
        <v>22</v>
      </c>
      <c r="G254" s="12">
        <v>27000</v>
      </c>
      <c r="H254" s="12">
        <v>27000</v>
      </c>
      <c r="I254" s="11" t="s">
        <v>23</v>
      </c>
      <c r="J254" s="11" t="s">
        <v>23</v>
      </c>
      <c r="K254" s="11"/>
      <c r="L254" s="11" t="s">
        <v>932</v>
      </c>
      <c r="M254" s="11" t="s">
        <v>26</v>
      </c>
      <c r="N254" s="11">
        <v>2</v>
      </c>
      <c r="O254" s="11" t="s">
        <v>321</v>
      </c>
      <c r="P254" s="11" t="s">
        <v>232</v>
      </c>
      <c r="Q254" s="11" t="s">
        <v>29</v>
      </c>
    </row>
    <row r="255" spans="1:17" x14ac:dyDescent="0.2">
      <c r="A255" s="10">
        <v>45680</v>
      </c>
      <c r="B255" s="11" t="s">
        <v>8243</v>
      </c>
      <c r="C255" s="11"/>
      <c r="D255" s="11" t="s">
        <v>8097</v>
      </c>
      <c r="E255" s="11" t="s">
        <v>21</v>
      </c>
      <c r="F255" s="11" t="s">
        <v>37</v>
      </c>
      <c r="G255" s="12">
        <v>25999</v>
      </c>
      <c r="H255" s="12">
        <v>27000</v>
      </c>
      <c r="I255" s="11" t="s">
        <v>23</v>
      </c>
      <c r="J255" s="11" t="s">
        <v>23</v>
      </c>
      <c r="K255" s="11" t="s">
        <v>8098</v>
      </c>
      <c r="L255" s="11" t="s">
        <v>8244</v>
      </c>
      <c r="M255" s="11" t="s">
        <v>26</v>
      </c>
      <c r="N255" s="11">
        <v>2</v>
      </c>
      <c r="O255" s="11" t="s">
        <v>517</v>
      </c>
      <c r="P255" s="11" t="s">
        <v>232</v>
      </c>
      <c r="Q255" s="11" t="s">
        <v>29</v>
      </c>
    </row>
    <row r="256" spans="1:17" x14ac:dyDescent="0.2">
      <c r="A256" s="10">
        <v>45674</v>
      </c>
      <c r="B256" s="11" t="s">
        <v>8224</v>
      </c>
      <c r="C256" s="11"/>
      <c r="D256" s="11" t="s">
        <v>8245</v>
      </c>
      <c r="E256" s="11" t="s">
        <v>21</v>
      </c>
      <c r="F256" s="11" t="s">
        <v>100</v>
      </c>
      <c r="G256" s="12">
        <v>27219</v>
      </c>
      <c r="H256" s="12">
        <v>27219</v>
      </c>
      <c r="I256" s="11" t="s">
        <v>23</v>
      </c>
      <c r="J256" s="11" t="s">
        <v>23</v>
      </c>
      <c r="K256" s="11" t="s">
        <v>2914</v>
      </c>
      <c r="L256" s="11" t="s">
        <v>120</v>
      </c>
      <c r="M256" s="11" t="s">
        <v>26</v>
      </c>
      <c r="N256" s="11">
        <v>1</v>
      </c>
      <c r="O256" s="11" t="s">
        <v>121</v>
      </c>
      <c r="P256" s="11" t="s">
        <v>122</v>
      </c>
      <c r="Q256" s="11" t="s">
        <v>29</v>
      </c>
    </row>
    <row r="257" spans="1:17" x14ac:dyDescent="0.2">
      <c r="A257" s="10">
        <v>46097</v>
      </c>
      <c r="B257" s="11" t="s">
        <v>8246</v>
      </c>
      <c r="C257" s="11"/>
      <c r="D257" s="11" t="s">
        <v>8247</v>
      </c>
      <c r="E257" s="11" t="s">
        <v>21</v>
      </c>
      <c r="F257" s="11" t="s">
        <v>37</v>
      </c>
      <c r="G257" s="12">
        <v>87000</v>
      </c>
      <c r="H257" s="12">
        <v>27500</v>
      </c>
      <c r="I257" s="11" t="s">
        <v>23</v>
      </c>
      <c r="J257" s="11" t="s">
        <v>23</v>
      </c>
      <c r="K257" s="11" t="s">
        <v>8248</v>
      </c>
      <c r="L257" s="11" t="s">
        <v>1014</v>
      </c>
      <c r="M257" s="11" t="s">
        <v>26</v>
      </c>
      <c r="N257" s="11">
        <v>2</v>
      </c>
      <c r="O257" s="11" t="s">
        <v>103</v>
      </c>
      <c r="P257" s="11" t="s">
        <v>28</v>
      </c>
      <c r="Q257" s="11" t="s">
        <v>29</v>
      </c>
    </row>
    <row r="258" spans="1:17" x14ac:dyDescent="0.2">
      <c r="A258" s="10">
        <v>45962</v>
      </c>
      <c r="B258" s="11" t="s">
        <v>8249</v>
      </c>
      <c r="C258" s="11"/>
      <c r="D258" s="11" t="s">
        <v>8250</v>
      </c>
      <c r="E258" s="11" t="s">
        <v>21</v>
      </c>
      <c r="F258" s="11" t="s">
        <v>37</v>
      </c>
      <c r="G258" s="12">
        <v>28000</v>
      </c>
      <c r="H258" s="12">
        <v>27500</v>
      </c>
      <c r="I258" s="11" t="s">
        <v>23</v>
      </c>
      <c r="J258" s="11" t="s">
        <v>23</v>
      </c>
      <c r="K258" s="11" t="s">
        <v>8251</v>
      </c>
      <c r="L258" s="11" t="s">
        <v>8252</v>
      </c>
      <c r="M258" s="11" t="s">
        <v>26</v>
      </c>
      <c r="N258" s="11">
        <v>2</v>
      </c>
      <c r="O258" s="11" t="s">
        <v>151</v>
      </c>
      <c r="P258" s="11" t="s">
        <v>28</v>
      </c>
      <c r="Q258" s="11" t="s">
        <v>29</v>
      </c>
    </row>
    <row r="259" spans="1:17" x14ac:dyDescent="0.2">
      <c r="A259" s="10">
        <v>45992</v>
      </c>
      <c r="B259" s="11" t="s">
        <v>8253</v>
      </c>
      <c r="C259" s="11"/>
      <c r="D259" s="11" t="s">
        <v>8254</v>
      </c>
      <c r="E259" s="11" t="s">
        <v>21</v>
      </c>
      <c r="F259" s="11" t="s">
        <v>37</v>
      </c>
      <c r="G259" s="12">
        <v>52000</v>
      </c>
      <c r="H259" s="12">
        <v>28000</v>
      </c>
      <c r="I259" s="11" t="s">
        <v>23</v>
      </c>
      <c r="J259" s="11" t="s">
        <v>23</v>
      </c>
      <c r="K259" s="11" t="s">
        <v>8255</v>
      </c>
      <c r="L259" s="11" t="s">
        <v>4538</v>
      </c>
      <c r="M259" s="11" t="s">
        <v>61</v>
      </c>
      <c r="N259" s="11">
        <v>1</v>
      </c>
      <c r="O259" s="11" t="s">
        <v>103</v>
      </c>
      <c r="P259" s="11" t="s">
        <v>152</v>
      </c>
      <c r="Q259" s="11" t="s">
        <v>29</v>
      </c>
    </row>
    <row r="260" spans="1:17" x14ac:dyDescent="0.2">
      <c r="A260" s="10">
        <v>45974</v>
      </c>
      <c r="B260" s="11" t="s">
        <v>8256</v>
      </c>
      <c r="C260" s="11"/>
      <c r="D260" s="11" t="s">
        <v>8257</v>
      </c>
      <c r="E260" s="11" t="s">
        <v>21</v>
      </c>
      <c r="F260" s="11" t="s">
        <v>81</v>
      </c>
      <c r="G260" s="12">
        <v>31000</v>
      </c>
      <c r="H260" s="12">
        <v>28000</v>
      </c>
      <c r="I260" s="11" t="s">
        <v>23</v>
      </c>
      <c r="J260" s="11" t="s">
        <v>23</v>
      </c>
      <c r="K260" s="11" t="s">
        <v>8258</v>
      </c>
      <c r="L260" s="11" t="s">
        <v>1629</v>
      </c>
      <c r="M260" s="11" t="s">
        <v>26</v>
      </c>
      <c r="N260" s="11">
        <v>2</v>
      </c>
      <c r="O260" s="11" t="s">
        <v>482</v>
      </c>
      <c r="P260" s="11" t="s">
        <v>79</v>
      </c>
      <c r="Q260" s="11" t="s">
        <v>29</v>
      </c>
    </row>
    <row r="261" spans="1:17" x14ac:dyDescent="0.2">
      <c r="A261" s="10">
        <v>45974</v>
      </c>
      <c r="B261" s="11" t="s">
        <v>8259</v>
      </c>
      <c r="C261" s="11"/>
      <c r="D261" s="11" t="s">
        <v>8260</v>
      </c>
      <c r="E261" s="11" t="s">
        <v>21</v>
      </c>
      <c r="F261" s="11" t="s">
        <v>81</v>
      </c>
      <c r="G261" s="12">
        <v>31000</v>
      </c>
      <c r="H261" s="12">
        <v>28000</v>
      </c>
      <c r="I261" s="11" t="s">
        <v>23</v>
      </c>
      <c r="J261" s="11" t="s">
        <v>23</v>
      </c>
      <c r="K261" s="11" t="s">
        <v>8261</v>
      </c>
      <c r="L261" s="11" t="s">
        <v>1629</v>
      </c>
      <c r="M261" s="11" t="s">
        <v>26</v>
      </c>
      <c r="N261" s="11">
        <v>2</v>
      </c>
      <c r="O261" s="11" t="s">
        <v>482</v>
      </c>
      <c r="P261" s="11" t="s">
        <v>79</v>
      </c>
      <c r="Q261" s="11" t="s">
        <v>29</v>
      </c>
    </row>
    <row r="262" spans="1:17" x14ac:dyDescent="0.2">
      <c r="A262" s="10">
        <v>45973</v>
      </c>
      <c r="B262" s="11" t="s">
        <v>8262</v>
      </c>
      <c r="C262" s="11"/>
      <c r="D262" s="11" t="s">
        <v>8263</v>
      </c>
      <c r="E262" s="11" t="s">
        <v>21</v>
      </c>
      <c r="F262" s="11" t="s">
        <v>81</v>
      </c>
      <c r="G262" s="12">
        <v>28000</v>
      </c>
      <c r="H262" s="12">
        <v>28000</v>
      </c>
      <c r="I262" s="11" t="s">
        <v>23</v>
      </c>
      <c r="J262" s="11" t="s">
        <v>23</v>
      </c>
      <c r="K262" s="11" t="s">
        <v>8264</v>
      </c>
      <c r="L262" s="11" t="s">
        <v>6047</v>
      </c>
      <c r="M262" s="11" t="s">
        <v>34</v>
      </c>
      <c r="N262" s="11">
        <v>1</v>
      </c>
      <c r="O262" s="11" t="s">
        <v>167</v>
      </c>
      <c r="P262" s="11" t="s">
        <v>122</v>
      </c>
      <c r="Q262" s="11" t="s">
        <v>29</v>
      </c>
    </row>
    <row r="263" spans="1:17" x14ac:dyDescent="0.2">
      <c r="A263" s="10">
        <v>45965</v>
      </c>
      <c r="B263" s="11" t="s">
        <v>8265</v>
      </c>
      <c r="C263" s="11"/>
      <c r="D263" s="11" t="s">
        <v>8266</v>
      </c>
      <c r="E263" s="11" t="s">
        <v>21</v>
      </c>
      <c r="F263" s="11" t="s">
        <v>37</v>
      </c>
      <c r="G263" s="12">
        <v>29000</v>
      </c>
      <c r="H263" s="12">
        <v>28000</v>
      </c>
      <c r="I263" s="11" t="s">
        <v>23</v>
      </c>
      <c r="J263" s="11" t="s">
        <v>23</v>
      </c>
      <c r="K263" s="11" t="s">
        <v>8267</v>
      </c>
      <c r="L263" s="11" t="s">
        <v>2031</v>
      </c>
      <c r="M263" s="11" t="s">
        <v>26</v>
      </c>
      <c r="N263" s="11">
        <v>2</v>
      </c>
      <c r="O263" s="11" t="s">
        <v>130</v>
      </c>
      <c r="P263" s="11" t="s">
        <v>79</v>
      </c>
      <c r="Q263" s="11" t="s">
        <v>29</v>
      </c>
    </row>
    <row r="264" spans="1:17" x14ac:dyDescent="0.2">
      <c r="A264" s="10">
        <v>45926</v>
      </c>
      <c r="B264" s="11" t="s">
        <v>8268</v>
      </c>
      <c r="C264" s="11"/>
      <c r="D264" s="11" t="s">
        <v>8269</v>
      </c>
      <c r="E264" s="11" t="s">
        <v>21</v>
      </c>
      <c r="F264" s="11" t="s">
        <v>76</v>
      </c>
      <c r="G264" s="12">
        <v>28000</v>
      </c>
      <c r="H264" s="12">
        <v>28000</v>
      </c>
      <c r="I264" s="11" t="s">
        <v>23</v>
      </c>
      <c r="J264" s="11" t="s">
        <v>23</v>
      </c>
      <c r="K264" s="11" t="s">
        <v>8270</v>
      </c>
      <c r="L264" s="11" t="s">
        <v>8271</v>
      </c>
      <c r="M264" s="11" t="s">
        <v>26</v>
      </c>
      <c r="N264" s="11">
        <v>2</v>
      </c>
      <c r="O264" s="11" t="s">
        <v>823</v>
      </c>
      <c r="P264" s="11" t="s">
        <v>79</v>
      </c>
      <c r="Q264" s="11" t="s">
        <v>29</v>
      </c>
    </row>
    <row r="265" spans="1:17" x14ac:dyDescent="0.2">
      <c r="A265" s="10">
        <v>45783</v>
      </c>
      <c r="B265" s="11" t="s">
        <v>8272</v>
      </c>
      <c r="C265" s="11"/>
      <c r="D265" s="11" t="s">
        <v>8273</v>
      </c>
      <c r="E265" s="11" t="s">
        <v>21</v>
      </c>
      <c r="F265" s="11" t="s">
        <v>37</v>
      </c>
      <c r="G265" s="12">
        <v>31900</v>
      </c>
      <c r="H265" s="12">
        <v>28000</v>
      </c>
      <c r="I265" s="11" t="s">
        <v>23</v>
      </c>
      <c r="J265" s="11" t="s">
        <v>23</v>
      </c>
      <c r="K265" s="11" t="s">
        <v>8274</v>
      </c>
      <c r="L265" s="11" t="s">
        <v>1094</v>
      </c>
      <c r="M265" s="11" t="s">
        <v>1625</v>
      </c>
      <c r="N265" s="11">
        <v>2</v>
      </c>
      <c r="O265" s="11" t="s">
        <v>46</v>
      </c>
      <c r="P265" s="11" t="s">
        <v>28</v>
      </c>
      <c r="Q265" s="11" t="s">
        <v>29</v>
      </c>
    </row>
    <row r="266" spans="1:17" x14ac:dyDescent="0.2">
      <c r="A266" s="10">
        <v>45761</v>
      </c>
      <c r="B266" s="11" t="s">
        <v>8275</v>
      </c>
      <c r="C266" s="11"/>
      <c r="D266" s="11" t="s">
        <v>7982</v>
      </c>
      <c r="E266" s="11" t="s">
        <v>21</v>
      </c>
      <c r="F266" s="11" t="s">
        <v>22</v>
      </c>
      <c r="G266" s="12">
        <v>28000</v>
      </c>
      <c r="H266" s="12">
        <v>28000</v>
      </c>
      <c r="I266" s="11" t="s">
        <v>23</v>
      </c>
      <c r="J266" s="11" t="s">
        <v>23</v>
      </c>
      <c r="K266" s="11" t="s">
        <v>2178</v>
      </c>
      <c r="L266" s="11" t="s">
        <v>7700</v>
      </c>
      <c r="M266" s="11" t="s">
        <v>26</v>
      </c>
      <c r="N266" s="11">
        <v>1</v>
      </c>
      <c r="O266" s="11" t="s">
        <v>429</v>
      </c>
      <c r="P266" s="11" t="s">
        <v>122</v>
      </c>
      <c r="Q266" s="11" t="s">
        <v>29</v>
      </c>
    </row>
    <row r="267" spans="1:17" x14ac:dyDescent="0.2">
      <c r="A267" s="10">
        <v>45744</v>
      </c>
      <c r="B267" s="11" t="s">
        <v>8276</v>
      </c>
      <c r="C267" s="11"/>
      <c r="D267" s="11" t="s">
        <v>8277</v>
      </c>
      <c r="E267" s="11" t="s">
        <v>21</v>
      </c>
      <c r="F267" s="11" t="s">
        <v>90</v>
      </c>
      <c r="G267" s="12">
        <v>30000</v>
      </c>
      <c r="H267" s="12">
        <v>28000</v>
      </c>
      <c r="I267" s="11" t="s">
        <v>23</v>
      </c>
      <c r="J267" s="11" t="s">
        <v>23</v>
      </c>
      <c r="K267" s="11" t="s">
        <v>8278</v>
      </c>
      <c r="L267" s="11" t="s">
        <v>1002</v>
      </c>
      <c r="M267" s="11" t="s">
        <v>26</v>
      </c>
      <c r="N267" s="11">
        <v>2</v>
      </c>
      <c r="O267" s="11" t="s">
        <v>62</v>
      </c>
      <c r="P267" s="11" t="s">
        <v>28</v>
      </c>
      <c r="Q267" s="11" t="s">
        <v>29</v>
      </c>
    </row>
    <row r="268" spans="1:17" x14ac:dyDescent="0.2">
      <c r="A268" s="10">
        <v>45699</v>
      </c>
      <c r="B268" s="11" t="s">
        <v>8279</v>
      </c>
      <c r="C268" s="11"/>
      <c r="D268" s="11" t="s">
        <v>8280</v>
      </c>
      <c r="E268" s="11" t="s">
        <v>21</v>
      </c>
      <c r="F268" s="11" t="s">
        <v>37</v>
      </c>
      <c r="G268" s="12">
        <v>28000</v>
      </c>
      <c r="H268" s="12">
        <v>28000</v>
      </c>
      <c r="I268" s="11" t="s">
        <v>23</v>
      </c>
      <c r="J268" s="11" t="s">
        <v>23</v>
      </c>
      <c r="K268" s="11" t="s">
        <v>8281</v>
      </c>
      <c r="L268" s="11" t="s">
        <v>223</v>
      </c>
      <c r="M268" s="11" t="s">
        <v>55</v>
      </c>
      <c r="N268" s="11">
        <v>1</v>
      </c>
      <c r="O268" s="11" t="s">
        <v>167</v>
      </c>
      <c r="P268" s="11" t="s">
        <v>122</v>
      </c>
      <c r="Q268" s="11" t="s">
        <v>29</v>
      </c>
    </row>
    <row r="269" spans="1:17" x14ac:dyDescent="0.2">
      <c r="A269" s="10">
        <v>45692</v>
      </c>
      <c r="B269" s="11" t="s">
        <v>8282</v>
      </c>
      <c r="C269" s="11"/>
      <c r="D269" s="11" t="s">
        <v>8283</v>
      </c>
      <c r="E269" s="11" t="s">
        <v>21</v>
      </c>
      <c r="F269" s="11" t="s">
        <v>70</v>
      </c>
      <c r="G269" s="12">
        <v>28000</v>
      </c>
      <c r="H269" s="12">
        <v>28000</v>
      </c>
      <c r="I269" s="11" t="s">
        <v>23</v>
      </c>
      <c r="J269" s="11" t="s">
        <v>23</v>
      </c>
      <c r="K269" s="11" t="s">
        <v>8284</v>
      </c>
      <c r="L269" s="11" t="s">
        <v>2304</v>
      </c>
      <c r="M269" s="11" t="s">
        <v>26</v>
      </c>
      <c r="N269" s="11">
        <v>2</v>
      </c>
      <c r="O269" s="11" t="s">
        <v>482</v>
      </c>
      <c r="P269" s="11" t="s">
        <v>79</v>
      </c>
      <c r="Q269" s="11" t="s">
        <v>29</v>
      </c>
    </row>
    <row r="270" spans="1:17" x14ac:dyDescent="0.2">
      <c r="A270" s="10">
        <v>45936</v>
      </c>
      <c r="B270" s="11">
        <v>6102025</v>
      </c>
      <c r="C270" s="11"/>
      <c r="D270" s="11" t="s">
        <v>8285</v>
      </c>
      <c r="E270" s="11" t="s">
        <v>21</v>
      </c>
      <c r="F270" s="11" t="s">
        <v>362</v>
      </c>
      <c r="G270" s="12">
        <v>0</v>
      </c>
      <c r="H270" s="12">
        <v>28200</v>
      </c>
      <c r="I270" s="11" t="s">
        <v>23</v>
      </c>
      <c r="J270" s="11" t="s">
        <v>23</v>
      </c>
      <c r="K270" s="11"/>
      <c r="L270" s="11" t="s">
        <v>120</v>
      </c>
      <c r="M270" s="11" t="s">
        <v>26</v>
      </c>
      <c r="N270" s="11">
        <v>1</v>
      </c>
      <c r="O270" s="11" t="s">
        <v>121</v>
      </c>
      <c r="P270" s="11" t="s">
        <v>122</v>
      </c>
      <c r="Q270" s="11" t="s">
        <v>29</v>
      </c>
    </row>
    <row r="271" spans="1:17" x14ac:dyDescent="0.2">
      <c r="A271" s="10">
        <v>45992</v>
      </c>
      <c r="B271" s="11" t="s">
        <v>8286</v>
      </c>
      <c r="C271" s="11"/>
      <c r="D271" s="11" t="s">
        <v>8287</v>
      </c>
      <c r="E271" s="11" t="s">
        <v>21</v>
      </c>
      <c r="F271" s="11" t="s">
        <v>37</v>
      </c>
      <c r="G271" s="12">
        <v>36500</v>
      </c>
      <c r="H271" s="12">
        <v>28500</v>
      </c>
      <c r="I271" s="11" t="s">
        <v>23</v>
      </c>
      <c r="J271" s="11" t="s">
        <v>23</v>
      </c>
      <c r="K271" s="11" t="s">
        <v>8005</v>
      </c>
      <c r="L271" s="11" t="s">
        <v>8006</v>
      </c>
      <c r="M271" s="11" t="s">
        <v>26</v>
      </c>
      <c r="N271" s="11">
        <v>2</v>
      </c>
      <c r="O271" s="11" t="s">
        <v>151</v>
      </c>
      <c r="P271" s="11" t="s">
        <v>28</v>
      </c>
      <c r="Q271" s="11" t="s">
        <v>29</v>
      </c>
    </row>
    <row r="272" spans="1:17" x14ac:dyDescent="0.2">
      <c r="A272" s="10">
        <v>45966</v>
      </c>
      <c r="B272" s="11" t="s">
        <v>8288</v>
      </c>
      <c r="C272" s="11"/>
      <c r="D272" s="11" t="s">
        <v>8289</v>
      </c>
      <c r="E272" s="11" t="s">
        <v>21</v>
      </c>
      <c r="F272" s="11" t="s">
        <v>90</v>
      </c>
      <c r="G272" s="12">
        <v>71900</v>
      </c>
      <c r="H272" s="12">
        <v>28863</v>
      </c>
      <c r="I272" s="11" t="s">
        <v>23</v>
      </c>
      <c r="J272" s="11" t="s">
        <v>23</v>
      </c>
      <c r="K272" s="11" t="s">
        <v>8290</v>
      </c>
      <c r="L272" s="11" t="s">
        <v>1006</v>
      </c>
      <c r="M272" s="11" t="s">
        <v>45</v>
      </c>
      <c r="N272" s="11">
        <v>2</v>
      </c>
      <c r="O272" s="11" t="s">
        <v>62</v>
      </c>
      <c r="P272" s="11" t="s">
        <v>28</v>
      </c>
      <c r="Q272" s="11" t="s">
        <v>29</v>
      </c>
    </row>
    <row r="273" spans="1:17" x14ac:dyDescent="0.2">
      <c r="A273" s="10">
        <v>46086</v>
      </c>
      <c r="B273" s="11" t="s">
        <v>8291</v>
      </c>
      <c r="C273" s="11"/>
      <c r="D273" s="11" t="s">
        <v>8292</v>
      </c>
      <c r="E273" s="11" t="s">
        <v>21</v>
      </c>
      <c r="F273" s="11" t="s">
        <v>37</v>
      </c>
      <c r="G273" s="12">
        <v>29000</v>
      </c>
      <c r="H273" s="12">
        <v>29000</v>
      </c>
      <c r="I273" s="11" t="s">
        <v>23</v>
      </c>
      <c r="J273" s="11" t="s">
        <v>23</v>
      </c>
      <c r="K273" s="11" t="s">
        <v>8293</v>
      </c>
      <c r="L273" s="11" t="s">
        <v>581</v>
      </c>
      <c r="M273" s="11" t="s">
        <v>26</v>
      </c>
      <c r="N273" s="11">
        <v>2</v>
      </c>
      <c r="O273" s="11" t="s">
        <v>151</v>
      </c>
      <c r="P273" s="11" t="s">
        <v>79</v>
      </c>
      <c r="Q273" s="11" t="s">
        <v>29</v>
      </c>
    </row>
    <row r="274" spans="1:17" x14ac:dyDescent="0.2">
      <c r="A274" s="10">
        <v>46031</v>
      </c>
      <c r="B274" s="11" t="s">
        <v>8294</v>
      </c>
      <c r="C274" s="11"/>
      <c r="D274" s="11" t="s">
        <v>8295</v>
      </c>
      <c r="E274" s="11" t="s">
        <v>21</v>
      </c>
      <c r="F274" s="11" t="s">
        <v>76</v>
      </c>
      <c r="G274" s="12">
        <v>39000</v>
      </c>
      <c r="H274" s="12">
        <v>29000</v>
      </c>
      <c r="I274" s="11" t="s">
        <v>23</v>
      </c>
      <c r="J274" s="11" t="s">
        <v>23</v>
      </c>
      <c r="K274" s="11" t="s">
        <v>6909</v>
      </c>
      <c r="L274" s="11" t="s">
        <v>880</v>
      </c>
      <c r="M274" s="11" t="s">
        <v>26</v>
      </c>
      <c r="N274" s="11">
        <v>2</v>
      </c>
      <c r="O274" s="11" t="s">
        <v>257</v>
      </c>
      <c r="P274" s="11" t="s">
        <v>79</v>
      </c>
      <c r="Q274" s="11" t="s">
        <v>29</v>
      </c>
    </row>
    <row r="275" spans="1:17" x14ac:dyDescent="0.2">
      <c r="A275" s="10">
        <v>45947</v>
      </c>
      <c r="B275" s="11" t="s">
        <v>8296</v>
      </c>
      <c r="C275" s="11"/>
      <c r="D275" s="11" t="s">
        <v>8297</v>
      </c>
      <c r="E275" s="11" t="s">
        <v>21</v>
      </c>
      <c r="F275" s="11" t="s">
        <v>70</v>
      </c>
      <c r="G275" s="12">
        <v>30000</v>
      </c>
      <c r="H275" s="12">
        <v>29000</v>
      </c>
      <c r="I275" s="11" t="s">
        <v>23</v>
      </c>
      <c r="J275" s="11" t="s">
        <v>23</v>
      </c>
      <c r="K275" s="11" t="s">
        <v>8298</v>
      </c>
      <c r="L275" s="11" t="s">
        <v>1239</v>
      </c>
      <c r="M275" s="11" t="s">
        <v>26</v>
      </c>
      <c r="N275" s="11">
        <v>2</v>
      </c>
      <c r="O275" s="11" t="s">
        <v>130</v>
      </c>
      <c r="P275" s="11" t="s">
        <v>28</v>
      </c>
      <c r="Q275" s="11" t="s">
        <v>29</v>
      </c>
    </row>
    <row r="276" spans="1:17" x14ac:dyDescent="0.2">
      <c r="A276" s="10">
        <v>45863</v>
      </c>
      <c r="B276" s="11"/>
      <c r="C276" s="11"/>
      <c r="D276" s="11" t="s">
        <v>8299</v>
      </c>
      <c r="E276" s="11" t="s">
        <v>21</v>
      </c>
      <c r="F276" s="11" t="s">
        <v>37</v>
      </c>
      <c r="G276" s="12">
        <v>29000</v>
      </c>
      <c r="H276" s="12">
        <v>29000</v>
      </c>
      <c r="I276" s="11" t="s">
        <v>23</v>
      </c>
      <c r="J276" s="11" t="s">
        <v>23</v>
      </c>
      <c r="K276" s="11" t="s">
        <v>8300</v>
      </c>
      <c r="L276" s="11" t="s">
        <v>102</v>
      </c>
      <c r="M276" s="11" t="s">
        <v>55</v>
      </c>
      <c r="N276" s="11">
        <v>1</v>
      </c>
      <c r="O276" s="11" t="s">
        <v>103</v>
      </c>
      <c r="P276" s="11" t="s">
        <v>47</v>
      </c>
      <c r="Q276" s="11" t="s">
        <v>29</v>
      </c>
    </row>
    <row r="277" spans="1:17" x14ac:dyDescent="0.2">
      <c r="A277" s="10">
        <v>45855</v>
      </c>
      <c r="B277" s="11" t="s">
        <v>8301</v>
      </c>
      <c r="C277" s="11"/>
      <c r="D277" s="11" t="s">
        <v>8302</v>
      </c>
      <c r="E277" s="11" t="s">
        <v>21</v>
      </c>
      <c r="F277" s="11" t="s">
        <v>81</v>
      </c>
      <c r="G277" s="12">
        <v>32000</v>
      </c>
      <c r="H277" s="12">
        <v>29000</v>
      </c>
      <c r="I277" s="11" t="s">
        <v>23</v>
      </c>
      <c r="J277" s="11" t="s">
        <v>23</v>
      </c>
      <c r="K277" s="11" t="s">
        <v>8303</v>
      </c>
      <c r="L277" s="11" t="s">
        <v>481</v>
      </c>
      <c r="M277" s="11" t="s">
        <v>26</v>
      </c>
      <c r="N277" s="11">
        <v>2</v>
      </c>
      <c r="O277" s="11" t="s">
        <v>482</v>
      </c>
      <c r="P277" s="11" t="s">
        <v>28</v>
      </c>
      <c r="Q277" s="11" t="s">
        <v>29</v>
      </c>
    </row>
    <row r="278" spans="1:17" x14ac:dyDescent="0.2">
      <c r="A278" s="10">
        <v>45797</v>
      </c>
      <c r="B278" s="11" t="s">
        <v>8304</v>
      </c>
      <c r="C278" s="11"/>
      <c r="D278" s="11" t="s">
        <v>8305</v>
      </c>
      <c r="E278" s="11" t="s">
        <v>21</v>
      </c>
      <c r="F278" s="11" t="s">
        <v>81</v>
      </c>
      <c r="G278" s="12">
        <v>29000</v>
      </c>
      <c r="H278" s="12">
        <v>29000</v>
      </c>
      <c r="I278" s="11" t="s">
        <v>23</v>
      </c>
      <c r="J278" s="11" t="s">
        <v>23</v>
      </c>
      <c r="K278" s="11"/>
      <c r="L278" s="11" t="s">
        <v>7700</v>
      </c>
      <c r="M278" s="11" t="s">
        <v>26</v>
      </c>
      <c r="N278" s="11">
        <v>1</v>
      </c>
      <c r="O278" s="11" t="s">
        <v>429</v>
      </c>
      <c r="P278" s="11" t="s">
        <v>122</v>
      </c>
      <c r="Q278" s="11" t="s">
        <v>29</v>
      </c>
    </row>
    <row r="279" spans="1:17" x14ac:dyDescent="0.2">
      <c r="A279" s="10">
        <v>45790</v>
      </c>
      <c r="B279" s="11" t="s">
        <v>8306</v>
      </c>
      <c r="C279" s="11"/>
      <c r="D279" s="11" t="s">
        <v>8307</v>
      </c>
      <c r="E279" s="11" t="s">
        <v>21</v>
      </c>
      <c r="F279" s="11" t="s">
        <v>362</v>
      </c>
      <c r="G279" s="12">
        <v>28000</v>
      </c>
      <c r="H279" s="12">
        <v>29000</v>
      </c>
      <c r="I279" s="11" t="s">
        <v>23</v>
      </c>
      <c r="J279" s="11" t="s">
        <v>23</v>
      </c>
      <c r="K279" s="11" t="s">
        <v>8308</v>
      </c>
      <c r="L279" s="11" t="s">
        <v>6498</v>
      </c>
      <c r="M279" s="11" t="s">
        <v>26</v>
      </c>
      <c r="N279" s="11">
        <v>2</v>
      </c>
      <c r="O279" s="11" t="s">
        <v>130</v>
      </c>
      <c r="P279" s="11" t="s">
        <v>28</v>
      </c>
      <c r="Q279" s="11" t="s">
        <v>29</v>
      </c>
    </row>
    <row r="280" spans="1:17" x14ac:dyDescent="0.2">
      <c r="A280" s="10">
        <v>45968</v>
      </c>
      <c r="B280" s="11" t="s">
        <v>8309</v>
      </c>
      <c r="C280" s="11"/>
      <c r="D280" s="11" t="s">
        <v>8310</v>
      </c>
      <c r="E280" s="11" t="s">
        <v>21</v>
      </c>
      <c r="F280" s="11" t="s">
        <v>76</v>
      </c>
      <c r="G280" s="12">
        <v>33000</v>
      </c>
      <c r="H280" s="12">
        <v>29400</v>
      </c>
      <c r="I280" s="11" t="s">
        <v>23</v>
      </c>
      <c r="J280" s="11" t="s">
        <v>23</v>
      </c>
      <c r="K280" s="11" t="s">
        <v>8311</v>
      </c>
      <c r="L280" s="11" t="s">
        <v>1190</v>
      </c>
      <c r="M280" s="11" t="s">
        <v>26</v>
      </c>
      <c r="N280" s="11">
        <v>2</v>
      </c>
      <c r="O280" s="11" t="s">
        <v>183</v>
      </c>
      <c r="P280" s="11" t="s">
        <v>79</v>
      </c>
      <c r="Q280" s="11" t="s">
        <v>29</v>
      </c>
    </row>
    <row r="281" spans="1:17" x14ac:dyDescent="0.2">
      <c r="A281" s="10">
        <v>45982</v>
      </c>
      <c r="B281" s="11" t="s">
        <v>8312</v>
      </c>
      <c r="C281" s="11"/>
      <c r="D281" s="11" t="s">
        <v>8313</v>
      </c>
      <c r="E281" s="11" t="s">
        <v>21</v>
      </c>
      <c r="F281" s="11" t="s">
        <v>81</v>
      </c>
      <c r="G281" s="12">
        <v>29900</v>
      </c>
      <c r="H281" s="12">
        <v>29900</v>
      </c>
      <c r="I281" s="11" t="s">
        <v>23</v>
      </c>
      <c r="J281" s="11" t="s">
        <v>23</v>
      </c>
      <c r="K281" s="11" t="s">
        <v>8314</v>
      </c>
      <c r="L281" s="11" t="s">
        <v>2995</v>
      </c>
      <c r="M281" s="11" t="s">
        <v>26</v>
      </c>
      <c r="N281" s="11">
        <v>2</v>
      </c>
      <c r="O281" s="11" t="s">
        <v>482</v>
      </c>
      <c r="P281" s="11" t="s">
        <v>79</v>
      </c>
      <c r="Q281" s="11" t="s">
        <v>29</v>
      </c>
    </row>
    <row r="282" spans="1:17" x14ac:dyDescent="0.2">
      <c r="A282" s="10">
        <v>46112</v>
      </c>
      <c r="B282" s="11" t="s">
        <v>8315</v>
      </c>
      <c r="C282" s="11"/>
      <c r="D282" s="11" t="s">
        <v>8316</v>
      </c>
      <c r="E282" s="11" t="s">
        <v>21</v>
      </c>
      <c r="F282" s="11" t="s">
        <v>76</v>
      </c>
      <c r="G282" s="12">
        <v>33000</v>
      </c>
      <c r="H282" s="12">
        <v>30000</v>
      </c>
      <c r="I282" s="11" t="s">
        <v>23</v>
      </c>
      <c r="J282" s="11" t="s">
        <v>23</v>
      </c>
      <c r="K282" s="11" t="s">
        <v>8317</v>
      </c>
      <c r="L282" s="11" t="s">
        <v>223</v>
      </c>
      <c r="M282" s="11"/>
      <c r="N282" s="11">
        <v>2</v>
      </c>
      <c r="O282" s="11" t="s">
        <v>167</v>
      </c>
      <c r="P282" s="11" t="s">
        <v>28</v>
      </c>
      <c r="Q282" s="11" t="s">
        <v>29</v>
      </c>
    </row>
    <row r="283" spans="1:17" x14ac:dyDescent="0.2">
      <c r="A283" s="10">
        <v>46083</v>
      </c>
      <c r="B283" s="11" t="s">
        <v>8318</v>
      </c>
      <c r="C283" s="11"/>
      <c r="D283" s="11" t="s">
        <v>8319</v>
      </c>
      <c r="E283" s="11" t="s">
        <v>21</v>
      </c>
      <c r="F283" s="11" t="s">
        <v>37</v>
      </c>
      <c r="G283" s="12">
        <v>34000</v>
      </c>
      <c r="H283" s="12">
        <v>30000</v>
      </c>
      <c r="I283" s="11" t="s">
        <v>23</v>
      </c>
      <c r="J283" s="11" t="s">
        <v>23</v>
      </c>
      <c r="K283" s="11" t="s">
        <v>8320</v>
      </c>
      <c r="L283" s="11" t="s">
        <v>6928</v>
      </c>
      <c r="M283" s="11" t="s">
        <v>45</v>
      </c>
      <c r="N283" s="11">
        <v>2</v>
      </c>
      <c r="O283" s="11" t="s">
        <v>151</v>
      </c>
      <c r="P283" s="11" t="s">
        <v>28</v>
      </c>
      <c r="Q283" s="11" t="s">
        <v>29</v>
      </c>
    </row>
    <row r="284" spans="1:17" x14ac:dyDescent="0.2">
      <c r="A284" s="10">
        <v>46042</v>
      </c>
      <c r="B284" s="11"/>
      <c r="C284" s="11"/>
      <c r="D284" s="11" t="s">
        <v>8321</v>
      </c>
      <c r="E284" s="11" t="s">
        <v>21</v>
      </c>
      <c r="F284" s="11" t="s">
        <v>76</v>
      </c>
      <c r="G284" s="12">
        <v>30000</v>
      </c>
      <c r="H284" s="12">
        <v>30000</v>
      </c>
      <c r="I284" s="11" t="s">
        <v>23</v>
      </c>
      <c r="J284" s="11" t="s">
        <v>23</v>
      </c>
      <c r="K284" s="11"/>
      <c r="L284" s="11" t="s">
        <v>2797</v>
      </c>
      <c r="M284" s="11" t="s">
        <v>26</v>
      </c>
      <c r="N284" s="11">
        <v>2</v>
      </c>
      <c r="O284" s="11" t="s">
        <v>130</v>
      </c>
      <c r="P284" s="11" t="s">
        <v>241</v>
      </c>
      <c r="Q284" s="11" t="s">
        <v>29</v>
      </c>
    </row>
    <row r="285" spans="1:17" x14ac:dyDescent="0.2">
      <c r="A285" s="10">
        <v>46035</v>
      </c>
      <c r="B285" s="11" t="s">
        <v>8322</v>
      </c>
      <c r="C285" s="11"/>
      <c r="D285" s="11" t="s">
        <v>8323</v>
      </c>
      <c r="E285" s="11" t="s">
        <v>21</v>
      </c>
      <c r="F285" s="11" t="s">
        <v>81</v>
      </c>
      <c r="G285" s="12">
        <v>35000</v>
      </c>
      <c r="H285" s="12">
        <v>30000</v>
      </c>
      <c r="I285" s="11" t="s">
        <v>23</v>
      </c>
      <c r="J285" s="11" t="s">
        <v>23</v>
      </c>
      <c r="K285" s="11" t="s">
        <v>8324</v>
      </c>
      <c r="L285" s="11" t="s">
        <v>8325</v>
      </c>
      <c r="M285" s="11" t="s">
        <v>26</v>
      </c>
      <c r="N285" s="11">
        <v>2</v>
      </c>
      <c r="O285" s="11" t="s">
        <v>167</v>
      </c>
      <c r="P285" s="11" t="s">
        <v>28</v>
      </c>
      <c r="Q285" s="11" t="s">
        <v>29</v>
      </c>
    </row>
    <row r="286" spans="1:17" x14ac:dyDescent="0.2">
      <c r="A286" s="10">
        <v>46000</v>
      </c>
      <c r="B286" s="11" t="s">
        <v>8326</v>
      </c>
      <c r="C286" s="11"/>
      <c r="D286" s="11" t="s">
        <v>8327</v>
      </c>
      <c r="E286" s="11" t="s">
        <v>21</v>
      </c>
      <c r="F286" s="11" t="s">
        <v>22</v>
      </c>
      <c r="G286" s="12">
        <v>30000</v>
      </c>
      <c r="H286" s="12">
        <v>30000</v>
      </c>
      <c r="I286" s="11" t="s">
        <v>23</v>
      </c>
      <c r="J286" s="11" t="s">
        <v>23</v>
      </c>
      <c r="K286" s="11"/>
      <c r="L286" s="11" t="s">
        <v>4724</v>
      </c>
      <c r="M286" s="11" t="s">
        <v>26</v>
      </c>
      <c r="N286" s="11">
        <v>2</v>
      </c>
      <c r="O286" s="11" t="s">
        <v>321</v>
      </c>
      <c r="P286" s="11" t="s">
        <v>28</v>
      </c>
      <c r="Q286" s="11" t="s">
        <v>29</v>
      </c>
    </row>
    <row r="287" spans="1:17" x14ac:dyDescent="0.2">
      <c r="A287" s="10">
        <v>45973</v>
      </c>
      <c r="B287" s="11" t="s">
        <v>8328</v>
      </c>
      <c r="C287" s="11"/>
      <c r="D287" s="11" t="s">
        <v>8329</v>
      </c>
      <c r="E287" s="11" t="s">
        <v>21</v>
      </c>
      <c r="F287" s="11" t="s">
        <v>81</v>
      </c>
      <c r="G287" s="12">
        <v>42000</v>
      </c>
      <c r="H287" s="12">
        <v>30000</v>
      </c>
      <c r="I287" s="11" t="s">
        <v>23</v>
      </c>
      <c r="J287" s="11" t="s">
        <v>23</v>
      </c>
      <c r="K287" s="11" t="s">
        <v>8330</v>
      </c>
      <c r="L287" s="11" t="s">
        <v>223</v>
      </c>
      <c r="M287" s="11" t="s">
        <v>34</v>
      </c>
      <c r="N287" s="11">
        <v>2</v>
      </c>
      <c r="O287" s="11" t="s">
        <v>167</v>
      </c>
      <c r="P287" s="11" t="s">
        <v>79</v>
      </c>
      <c r="Q287" s="11" t="s">
        <v>29</v>
      </c>
    </row>
    <row r="288" spans="1:17" x14ac:dyDescent="0.2">
      <c r="A288" s="10">
        <v>45953</v>
      </c>
      <c r="B288" s="11" t="s">
        <v>3434</v>
      </c>
      <c r="C288" s="11"/>
      <c r="D288" s="11" t="s">
        <v>3435</v>
      </c>
      <c r="E288" s="11" t="s">
        <v>21</v>
      </c>
      <c r="F288" s="11" t="s">
        <v>22</v>
      </c>
      <c r="G288" s="12">
        <v>33000</v>
      </c>
      <c r="H288" s="12">
        <v>30000</v>
      </c>
      <c r="I288" s="11" t="s">
        <v>23</v>
      </c>
      <c r="J288" s="11" t="s">
        <v>23</v>
      </c>
      <c r="K288" s="11" t="s">
        <v>3436</v>
      </c>
      <c r="L288" s="11" t="s">
        <v>1429</v>
      </c>
      <c r="M288" s="11" t="s">
        <v>45</v>
      </c>
      <c r="N288" s="11">
        <v>2</v>
      </c>
      <c r="O288" s="11" t="s">
        <v>62</v>
      </c>
      <c r="P288" s="11" t="s">
        <v>28</v>
      </c>
      <c r="Q288" s="11" t="s">
        <v>29</v>
      </c>
    </row>
    <row r="289" spans="1:17" x14ac:dyDescent="0.2">
      <c r="A289" s="10">
        <v>45898</v>
      </c>
      <c r="B289" s="11" t="s">
        <v>8331</v>
      </c>
      <c r="C289" s="11"/>
      <c r="D289" s="11" t="s">
        <v>8332</v>
      </c>
      <c r="E289" s="11" t="s">
        <v>21</v>
      </c>
      <c r="F289" s="11" t="s">
        <v>100</v>
      </c>
      <c r="G289" s="12">
        <v>41000</v>
      </c>
      <c r="H289" s="12">
        <v>30000</v>
      </c>
      <c r="I289" s="11" t="s">
        <v>23</v>
      </c>
      <c r="J289" s="11" t="s">
        <v>23</v>
      </c>
      <c r="K289" s="11" t="s">
        <v>3174</v>
      </c>
      <c r="L289" s="11" t="s">
        <v>3175</v>
      </c>
      <c r="M289" s="11" t="s">
        <v>26</v>
      </c>
      <c r="N289" s="11">
        <v>2</v>
      </c>
      <c r="O289" s="11" t="s">
        <v>121</v>
      </c>
      <c r="P289" s="11" t="s">
        <v>79</v>
      </c>
      <c r="Q289" s="11" t="s">
        <v>29</v>
      </c>
    </row>
    <row r="290" spans="1:17" x14ac:dyDescent="0.2">
      <c r="A290" s="10">
        <v>45888</v>
      </c>
      <c r="B290" s="11" t="s">
        <v>8333</v>
      </c>
      <c r="C290" s="11"/>
      <c r="D290" s="11" t="s">
        <v>8334</v>
      </c>
      <c r="E290" s="11" t="s">
        <v>21</v>
      </c>
      <c r="F290" s="11" t="s">
        <v>221</v>
      </c>
      <c r="G290" s="12">
        <v>40000</v>
      </c>
      <c r="H290" s="12">
        <v>30000</v>
      </c>
      <c r="I290" s="11" t="s">
        <v>23</v>
      </c>
      <c r="J290" s="11" t="s">
        <v>23</v>
      </c>
      <c r="K290" s="11" t="s">
        <v>8335</v>
      </c>
      <c r="L290" s="11" t="s">
        <v>8336</v>
      </c>
      <c r="M290" s="11" t="s">
        <v>45</v>
      </c>
      <c r="N290" s="11">
        <v>2</v>
      </c>
      <c r="O290" s="11" t="s">
        <v>482</v>
      </c>
      <c r="P290" s="11" t="s">
        <v>79</v>
      </c>
      <c r="Q290" s="11" t="s">
        <v>29</v>
      </c>
    </row>
    <row r="291" spans="1:17" x14ac:dyDescent="0.2">
      <c r="A291" s="10">
        <v>45883</v>
      </c>
      <c r="B291" s="11" t="s">
        <v>8337</v>
      </c>
      <c r="C291" s="11"/>
      <c r="D291" s="11" t="s">
        <v>8338</v>
      </c>
      <c r="E291" s="11" t="s">
        <v>21</v>
      </c>
      <c r="F291" s="11" t="s">
        <v>81</v>
      </c>
      <c r="G291" s="12">
        <v>35000</v>
      </c>
      <c r="H291" s="12">
        <v>30000</v>
      </c>
      <c r="I291" s="11" t="s">
        <v>23</v>
      </c>
      <c r="J291" s="11" t="s">
        <v>23</v>
      </c>
      <c r="K291" s="11" t="s">
        <v>324</v>
      </c>
      <c r="L291" s="11" t="s">
        <v>1239</v>
      </c>
      <c r="M291" s="11" t="s">
        <v>26</v>
      </c>
      <c r="N291" s="11">
        <v>1</v>
      </c>
      <c r="O291" s="11" t="s">
        <v>130</v>
      </c>
      <c r="P291" s="11" t="s">
        <v>152</v>
      </c>
      <c r="Q291" s="11" t="s">
        <v>29</v>
      </c>
    </row>
    <row r="292" spans="1:17" x14ac:dyDescent="0.2">
      <c r="A292" s="10">
        <v>45854</v>
      </c>
      <c r="B292" s="11" t="s">
        <v>8339</v>
      </c>
      <c r="C292" s="11"/>
      <c r="D292" s="11" t="s">
        <v>8340</v>
      </c>
      <c r="E292" s="11" t="s">
        <v>21</v>
      </c>
      <c r="F292" s="11" t="s">
        <v>90</v>
      </c>
      <c r="G292" s="12">
        <v>41000</v>
      </c>
      <c r="H292" s="12">
        <v>30000</v>
      </c>
      <c r="I292" s="11" t="s">
        <v>23</v>
      </c>
      <c r="J292" s="11" t="s">
        <v>23</v>
      </c>
      <c r="K292" s="11" t="s">
        <v>8341</v>
      </c>
      <c r="L292" s="11" t="s">
        <v>8342</v>
      </c>
      <c r="M292" s="11" t="s">
        <v>45</v>
      </c>
      <c r="N292" s="11">
        <v>2</v>
      </c>
      <c r="O292" s="11" t="s">
        <v>170</v>
      </c>
      <c r="P292" s="11" t="s">
        <v>28</v>
      </c>
      <c r="Q292" s="11" t="s">
        <v>29</v>
      </c>
    </row>
    <row r="293" spans="1:17" x14ac:dyDescent="0.2">
      <c r="A293" s="10">
        <v>45852</v>
      </c>
      <c r="B293" s="11" t="s">
        <v>8343</v>
      </c>
      <c r="C293" s="11"/>
      <c r="D293" s="11" t="s">
        <v>8343</v>
      </c>
      <c r="E293" s="11" t="s">
        <v>21</v>
      </c>
      <c r="F293" s="11" t="s">
        <v>90</v>
      </c>
      <c r="G293" s="12">
        <v>60000</v>
      </c>
      <c r="H293" s="12">
        <v>30000</v>
      </c>
      <c r="I293" s="11" t="s">
        <v>23</v>
      </c>
      <c r="J293" s="11" t="s">
        <v>23</v>
      </c>
      <c r="K293" s="11" t="s">
        <v>8343</v>
      </c>
      <c r="L293" s="11" t="s">
        <v>116</v>
      </c>
      <c r="M293" s="11" t="s">
        <v>45</v>
      </c>
      <c r="N293" s="11">
        <v>2</v>
      </c>
      <c r="O293" s="11" t="s">
        <v>62</v>
      </c>
      <c r="P293" s="11" t="s">
        <v>28</v>
      </c>
      <c r="Q293" s="11" t="s">
        <v>29</v>
      </c>
    </row>
    <row r="294" spans="1:17" x14ac:dyDescent="0.2">
      <c r="A294" s="10">
        <v>45814</v>
      </c>
      <c r="B294" s="11" t="s">
        <v>8344</v>
      </c>
      <c r="C294" s="11"/>
      <c r="D294" s="11" t="s">
        <v>8345</v>
      </c>
      <c r="E294" s="11" t="s">
        <v>21</v>
      </c>
      <c r="F294" s="11" t="s">
        <v>37</v>
      </c>
      <c r="G294" s="12">
        <v>32000</v>
      </c>
      <c r="H294" s="12">
        <v>30000</v>
      </c>
      <c r="I294" s="11" t="s">
        <v>23</v>
      </c>
      <c r="J294" s="11" t="s">
        <v>23</v>
      </c>
      <c r="K294" s="11" t="s">
        <v>8346</v>
      </c>
      <c r="L294" s="11" t="s">
        <v>2845</v>
      </c>
      <c r="M294" s="11" t="s">
        <v>45</v>
      </c>
      <c r="N294" s="11">
        <v>2</v>
      </c>
      <c r="O294" s="11" t="s">
        <v>429</v>
      </c>
      <c r="P294" s="11" t="s">
        <v>28</v>
      </c>
      <c r="Q294" s="11" t="s">
        <v>29</v>
      </c>
    </row>
    <row r="295" spans="1:17" x14ac:dyDescent="0.2">
      <c r="A295" s="10">
        <v>45812</v>
      </c>
      <c r="B295" s="11" t="s">
        <v>8347</v>
      </c>
      <c r="C295" s="11"/>
      <c r="D295" s="11" t="s">
        <v>8348</v>
      </c>
      <c r="E295" s="11" t="s">
        <v>21</v>
      </c>
      <c r="F295" s="11" t="s">
        <v>37</v>
      </c>
      <c r="G295" s="12">
        <v>30000</v>
      </c>
      <c r="H295" s="12">
        <v>30000</v>
      </c>
      <c r="I295" s="11" t="s">
        <v>23</v>
      </c>
      <c r="J295" s="11" t="s">
        <v>23</v>
      </c>
      <c r="K295" s="11" t="s">
        <v>8349</v>
      </c>
      <c r="L295" s="11" t="s">
        <v>804</v>
      </c>
      <c r="M295" s="11" t="s">
        <v>45</v>
      </c>
      <c r="N295" s="11">
        <v>2</v>
      </c>
      <c r="O295" s="11" t="s">
        <v>517</v>
      </c>
      <c r="P295" s="11" t="s">
        <v>404</v>
      </c>
      <c r="Q295" s="11" t="s">
        <v>29</v>
      </c>
    </row>
    <row r="296" spans="1:17" x14ac:dyDescent="0.2">
      <c r="A296" s="10">
        <v>45797</v>
      </c>
      <c r="B296" s="11" t="s">
        <v>8347</v>
      </c>
      <c r="C296" s="11"/>
      <c r="D296" s="11" t="s">
        <v>8348</v>
      </c>
      <c r="E296" s="11" t="s">
        <v>21</v>
      </c>
      <c r="F296" s="11" t="s">
        <v>76</v>
      </c>
      <c r="G296" s="12">
        <v>30000</v>
      </c>
      <c r="H296" s="12">
        <v>30000</v>
      </c>
      <c r="I296" s="11" t="s">
        <v>23</v>
      </c>
      <c r="J296" s="11" t="s">
        <v>23</v>
      </c>
      <c r="K296" s="11" t="s">
        <v>8349</v>
      </c>
      <c r="L296" s="11" t="s">
        <v>804</v>
      </c>
      <c r="M296" s="11" t="s">
        <v>45</v>
      </c>
      <c r="N296" s="11">
        <v>2</v>
      </c>
      <c r="O296" s="11" t="s">
        <v>372</v>
      </c>
      <c r="P296" s="11" t="s">
        <v>1265</v>
      </c>
      <c r="Q296" s="11" t="s">
        <v>29</v>
      </c>
    </row>
    <row r="297" spans="1:17" x14ac:dyDescent="0.2">
      <c r="A297" s="10">
        <v>45791</v>
      </c>
      <c r="B297" s="11" t="s">
        <v>8350</v>
      </c>
      <c r="C297" s="11"/>
      <c r="D297" s="11" t="s">
        <v>8351</v>
      </c>
      <c r="E297" s="11" t="s">
        <v>21</v>
      </c>
      <c r="F297" s="11" t="s">
        <v>76</v>
      </c>
      <c r="G297" s="12">
        <v>35000</v>
      </c>
      <c r="H297" s="12">
        <v>30000</v>
      </c>
      <c r="I297" s="11" t="s">
        <v>23</v>
      </c>
      <c r="J297" s="11" t="s">
        <v>23</v>
      </c>
      <c r="K297" s="11" t="s">
        <v>8351</v>
      </c>
      <c r="L297" s="11" t="s">
        <v>8188</v>
      </c>
      <c r="M297" s="11" t="s">
        <v>34</v>
      </c>
      <c r="N297" s="11">
        <v>2</v>
      </c>
      <c r="O297" s="11" t="s">
        <v>167</v>
      </c>
      <c r="P297" s="11" t="s">
        <v>28</v>
      </c>
      <c r="Q297" s="11" t="s">
        <v>29</v>
      </c>
    </row>
    <row r="298" spans="1:17" x14ac:dyDescent="0.2">
      <c r="A298" s="10">
        <v>45790</v>
      </c>
      <c r="B298" s="11" t="s">
        <v>8352</v>
      </c>
      <c r="C298" s="11"/>
      <c r="D298" s="11" t="s">
        <v>8353</v>
      </c>
      <c r="E298" s="11" t="s">
        <v>21</v>
      </c>
      <c r="F298" s="11" t="s">
        <v>90</v>
      </c>
      <c r="G298" s="12">
        <v>38000</v>
      </c>
      <c r="H298" s="12">
        <v>30000</v>
      </c>
      <c r="I298" s="11" t="s">
        <v>23</v>
      </c>
      <c r="J298" s="11" t="s">
        <v>23</v>
      </c>
      <c r="K298" s="11" t="s">
        <v>8354</v>
      </c>
      <c r="L298" s="11" t="s">
        <v>8355</v>
      </c>
      <c r="M298" s="11" t="s">
        <v>34</v>
      </c>
      <c r="N298" s="11">
        <v>2</v>
      </c>
      <c r="O298" s="11" t="s">
        <v>482</v>
      </c>
      <c r="P298" s="11" t="s">
        <v>28</v>
      </c>
      <c r="Q298" s="11" t="s">
        <v>29</v>
      </c>
    </row>
    <row r="299" spans="1:17" x14ac:dyDescent="0.2">
      <c r="A299" s="10">
        <v>45785</v>
      </c>
      <c r="B299" s="11" t="s">
        <v>8356</v>
      </c>
      <c r="C299" s="11"/>
      <c r="D299" s="11" t="s">
        <v>3653</v>
      </c>
      <c r="E299" s="11" t="s">
        <v>21</v>
      </c>
      <c r="F299" s="11" t="s">
        <v>76</v>
      </c>
      <c r="G299" s="12">
        <v>30000</v>
      </c>
      <c r="H299" s="12">
        <v>30000</v>
      </c>
      <c r="I299" s="11" t="s">
        <v>23</v>
      </c>
      <c r="J299" s="11" t="s">
        <v>23</v>
      </c>
      <c r="K299" s="11" t="s">
        <v>8357</v>
      </c>
      <c r="L299" s="11" t="s">
        <v>1116</v>
      </c>
      <c r="M299" s="11" t="s">
        <v>26</v>
      </c>
      <c r="N299" s="11">
        <v>2</v>
      </c>
      <c r="O299" s="11" t="s">
        <v>73</v>
      </c>
      <c r="P299" s="11" t="s">
        <v>28</v>
      </c>
      <c r="Q299" s="11" t="s">
        <v>29</v>
      </c>
    </row>
    <row r="300" spans="1:17" x14ac:dyDescent="0.2">
      <c r="A300" s="10">
        <v>45784</v>
      </c>
      <c r="B300" s="11" t="s">
        <v>8358</v>
      </c>
      <c r="C300" s="11"/>
      <c r="D300" s="11" t="s">
        <v>8359</v>
      </c>
      <c r="E300" s="11" t="s">
        <v>21</v>
      </c>
      <c r="F300" s="11" t="s">
        <v>100</v>
      </c>
      <c r="G300" s="12">
        <v>900</v>
      </c>
      <c r="H300" s="12">
        <v>30000</v>
      </c>
      <c r="I300" s="11" t="s">
        <v>23</v>
      </c>
      <c r="J300" s="11" t="s">
        <v>23</v>
      </c>
      <c r="K300" s="11" t="s">
        <v>8360</v>
      </c>
      <c r="L300" s="11" t="s">
        <v>8361</v>
      </c>
      <c r="M300" s="11" t="s">
        <v>34</v>
      </c>
      <c r="N300" s="11">
        <v>2</v>
      </c>
      <c r="O300" s="11" t="s">
        <v>121</v>
      </c>
      <c r="P300" s="11" t="s">
        <v>28</v>
      </c>
      <c r="Q300" s="11" t="s">
        <v>29</v>
      </c>
    </row>
    <row r="301" spans="1:17" x14ac:dyDescent="0.2">
      <c r="A301" s="10">
        <v>45734</v>
      </c>
      <c r="B301" s="11" t="s">
        <v>8362</v>
      </c>
      <c r="C301" s="11"/>
      <c r="D301" s="11" t="s">
        <v>8363</v>
      </c>
      <c r="E301" s="11" t="s">
        <v>21</v>
      </c>
      <c r="F301" s="11" t="s">
        <v>37</v>
      </c>
      <c r="G301" s="12">
        <v>32000</v>
      </c>
      <c r="H301" s="12">
        <v>30000</v>
      </c>
      <c r="I301" s="11" t="s">
        <v>23</v>
      </c>
      <c r="J301" s="11" t="s">
        <v>23</v>
      </c>
      <c r="K301" s="11" t="s">
        <v>8364</v>
      </c>
      <c r="L301" s="11" t="s">
        <v>4542</v>
      </c>
      <c r="M301" s="11" t="s">
        <v>61</v>
      </c>
      <c r="N301" s="11">
        <v>2</v>
      </c>
      <c r="O301" s="11" t="s">
        <v>183</v>
      </c>
      <c r="P301" s="11" t="s">
        <v>79</v>
      </c>
      <c r="Q301" s="11" t="s">
        <v>29</v>
      </c>
    </row>
    <row r="302" spans="1:17" x14ac:dyDescent="0.2">
      <c r="A302" s="10">
        <v>45716</v>
      </c>
      <c r="B302" s="11" t="s">
        <v>8365</v>
      </c>
      <c r="C302" s="11"/>
      <c r="D302" s="11" t="s">
        <v>8366</v>
      </c>
      <c r="E302" s="11" t="s">
        <v>21</v>
      </c>
      <c r="F302" s="11" t="s">
        <v>37</v>
      </c>
      <c r="G302" s="12">
        <v>30000</v>
      </c>
      <c r="H302" s="12">
        <v>30000</v>
      </c>
      <c r="I302" s="11" t="s">
        <v>23</v>
      </c>
      <c r="J302" s="11" t="s">
        <v>23</v>
      </c>
      <c r="K302" s="11" t="s">
        <v>8367</v>
      </c>
      <c r="L302" s="11" t="s">
        <v>303</v>
      </c>
      <c r="M302" s="11" t="s">
        <v>26</v>
      </c>
      <c r="N302" s="11">
        <v>2</v>
      </c>
      <c r="O302" s="11" t="s">
        <v>183</v>
      </c>
      <c r="P302" s="11" t="s">
        <v>200</v>
      </c>
      <c r="Q302" s="11" t="s">
        <v>29</v>
      </c>
    </row>
    <row r="303" spans="1:17" x14ac:dyDescent="0.2">
      <c r="A303" s="10">
        <v>45665</v>
      </c>
      <c r="B303" s="11" t="s">
        <v>8368</v>
      </c>
      <c r="C303" s="11"/>
      <c r="D303" s="11" t="s">
        <v>8369</v>
      </c>
      <c r="E303" s="11" t="s">
        <v>21</v>
      </c>
      <c r="F303" s="11" t="s">
        <v>100</v>
      </c>
      <c r="G303" s="12">
        <v>30000</v>
      </c>
      <c r="H303" s="12">
        <v>30000</v>
      </c>
      <c r="I303" s="11" t="s">
        <v>23</v>
      </c>
      <c r="J303" s="11" t="s">
        <v>23</v>
      </c>
      <c r="K303" s="11"/>
      <c r="L303" s="11" t="s">
        <v>120</v>
      </c>
      <c r="M303" s="11" t="s">
        <v>26</v>
      </c>
      <c r="N303" s="11">
        <v>1</v>
      </c>
      <c r="O303" s="11" t="s">
        <v>121</v>
      </c>
      <c r="P303" s="11" t="s">
        <v>122</v>
      </c>
      <c r="Q303" s="11" t="s">
        <v>29</v>
      </c>
    </row>
    <row r="304" spans="1:17" x14ac:dyDescent="0.2">
      <c r="A304" s="10">
        <v>46057</v>
      </c>
      <c r="B304" s="11" t="s">
        <v>8370</v>
      </c>
      <c r="C304" s="11"/>
      <c r="D304" s="11" t="s">
        <v>8371</v>
      </c>
      <c r="E304" s="11" t="s">
        <v>21</v>
      </c>
      <c r="F304" s="11" t="s">
        <v>76</v>
      </c>
      <c r="G304" s="12">
        <v>32000</v>
      </c>
      <c r="H304" s="12">
        <v>30413</v>
      </c>
      <c r="I304" s="11" t="s">
        <v>23</v>
      </c>
      <c r="J304" s="11" t="s">
        <v>23</v>
      </c>
      <c r="K304" s="11" t="s">
        <v>8372</v>
      </c>
      <c r="L304" s="11" t="s">
        <v>2304</v>
      </c>
      <c r="M304" s="11" t="s">
        <v>26</v>
      </c>
      <c r="N304" s="11">
        <v>2</v>
      </c>
      <c r="O304" s="11" t="s">
        <v>482</v>
      </c>
      <c r="P304" s="11" t="s">
        <v>79</v>
      </c>
      <c r="Q304" s="11" t="s">
        <v>29</v>
      </c>
    </row>
    <row r="305" spans="1:17" x14ac:dyDescent="0.2">
      <c r="A305" s="10">
        <v>46080</v>
      </c>
      <c r="B305" s="11" t="s">
        <v>8373</v>
      </c>
      <c r="C305" s="11"/>
      <c r="D305" s="11" t="s">
        <v>8374</v>
      </c>
      <c r="E305" s="11" t="s">
        <v>21</v>
      </c>
      <c r="F305" s="11" t="s">
        <v>76</v>
      </c>
      <c r="G305" s="12">
        <v>35000</v>
      </c>
      <c r="H305" s="12">
        <v>30500</v>
      </c>
      <c r="I305" s="11" t="s">
        <v>23</v>
      </c>
      <c r="J305" s="11" t="s">
        <v>23</v>
      </c>
      <c r="K305" s="11" t="s">
        <v>8375</v>
      </c>
      <c r="L305" s="11" t="s">
        <v>8376</v>
      </c>
      <c r="M305" s="11" t="s">
        <v>26</v>
      </c>
      <c r="N305" s="11">
        <v>2</v>
      </c>
      <c r="O305" s="11" t="s">
        <v>482</v>
      </c>
      <c r="P305" s="11" t="s">
        <v>28</v>
      </c>
      <c r="Q305" s="11" t="s">
        <v>29</v>
      </c>
    </row>
    <row r="306" spans="1:17" x14ac:dyDescent="0.2">
      <c r="A306" s="10">
        <v>45901</v>
      </c>
      <c r="B306" s="11" t="s">
        <v>8377</v>
      </c>
      <c r="C306" s="11"/>
      <c r="D306" s="11" t="s">
        <v>8378</v>
      </c>
      <c r="E306" s="11" t="s">
        <v>21</v>
      </c>
      <c r="F306" s="11" t="s">
        <v>100</v>
      </c>
      <c r="G306" s="12">
        <v>31350</v>
      </c>
      <c r="H306" s="12">
        <v>30567</v>
      </c>
      <c r="I306" s="11" t="s">
        <v>23</v>
      </c>
      <c r="J306" s="11" t="s">
        <v>23</v>
      </c>
      <c r="K306" s="11" t="s">
        <v>8379</v>
      </c>
      <c r="L306" s="11" t="s">
        <v>120</v>
      </c>
      <c r="M306" s="11" t="s">
        <v>26</v>
      </c>
      <c r="N306" s="11">
        <v>2</v>
      </c>
      <c r="O306" s="11" t="s">
        <v>121</v>
      </c>
      <c r="P306" s="11" t="s">
        <v>79</v>
      </c>
      <c r="Q306" s="11" t="s">
        <v>29</v>
      </c>
    </row>
    <row r="307" spans="1:17" x14ac:dyDescent="0.2">
      <c r="A307" s="10">
        <v>45965</v>
      </c>
      <c r="B307" s="11" t="s">
        <v>8380</v>
      </c>
      <c r="C307" s="11"/>
      <c r="D307" s="11" t="s">
        <v>8381</v>
      </c>
      <c r="E307" s="11" t="s">
        <v>21</v>
      </c>
      <c r="F307" s="11" t="s">
        <v>81</v>
      </c>
      <c r="G307" s="12">
        <v>33000</v>
      </c>
      <c r="H307" s="12">
        <v>31000</v>
      </c>
      <c r="I307" s="11" t="s">
        <v>23</v>
      </c>
      <c r="J307" s="11" t="s">
        <v>23</v>
      </c>
      <c r="K307" s="11" t="s">
        <v>8382</v>
      </c>
      <c r="L307" s="11" t="s">
        <v>3324</v>
      </c>
      <c r="M307" s="11" t="s">
        <v>55</v>
      </c>
      <c r="N307" s="11">
        <v>1</v>
      </c>
      <c r="O307" s="11" t="s">
        <v>167</v>
      </c>
      <c r="P307" s="11" t="s">
        <v>152</v>
      </c>
      <c r="Q307" s="11" t="s">
        <v>29</v>
      </c>
    </row>
    <row r="308" spans="1:17" x14ac:dyDescent="0.2">
      <c r="A308" s="10">
        <v>45930</v>
      </c>
      <c r="B308" s="11" t="s">
        <v>8383</v>
      </c>
      <c r="C308" s="11"/>
      <c r="D308" s="11" t="s">
        <v>8384</v>
      </c>
      <c r="E308" s="11" t="s">
        <v>21</v>
      </c>
      <c r="F308" s="11" t="s">
        <v>37</v>
      </c>
      <c r="G308" s="12">
        <v>31000</v>
      </c>
      <c r="H308" s="12">
        <v>31000</v>
      </c>
      <c r="I308" s="11" t="s">
        <v>23</v>
      </c>
      <c r="J308" s="11" t="s">
        <v>23</v>
      </c>
      <c r="K308" s="11" t="s">
        <v>8385</v>
      </c>
      <c r="L308" s="11" t="s">
        <v>4538</v>
      </c>
      <c r="M308" s="11" t="s">
        <v>61</v>
      </c>
      <c r="N308" s="11">
        <v>2</v>
      </c>
      <c r="O308" s="11" t="s">
        <v>103</v>
      </c>
      <c r="P308" s="11" t="s">
        <v>1265</v>
      </c>
      <c r="Q308" s="11" t="s">
        <v>29</v>
      </c>
    </row>
    <row r="309" spans="1:17" x14ac:dyDescent="0.2">
      <c r="A309" s="10">
        <v>45868</v>
      </c>
      <c r="B309" s="11" t="s">
        <v>8386</v>
      </c>
      <c r="C309" s="11"/>
      <c r="D309" s="11" t="s">
        <v>8387</v>
      </c>
      <c r="E309" s="11" t="s">
        <v>21</v>
      </c>
      <c r="F309" s="11" t="s">
        <v>90</v>
      </c>
      <c r="G309" s="12">
        <v>39000</v>
      </c>
      <c r="H309" s="12">
        <v>31000</v>
      </c>
      <c r="I309" s="11" t="s">
        <v>23</v>
      </c>
      <c r="J309" s="11" t="s">
        <v>23</v>
      </c>
      <c r="K309" s="11" t="s">
        <v>8388</v>
      </c>
      <c r="L309" s="11" t="s">
        <v>236</v>
      </c>
      <c r="M309" s="11" t="s">
        <v>61</v>
      </c>
      <c r="N309" s="11">
        <v>2</v>
      </c>
      <c r="O309" s="11" t="s">
        <v>62</v>
      </c>
      <c r="P309" s="11" t="s">
        <v>28</v>
      </c>
      <c r="Q309" s="11" t="s">
        <v>29</v>
      </c>
    </row>
    <row r="310" spans="1:17" x14ac:dyDescent="0.2">
      <c r="A310" s="10">
        <v>45847</v>
      </c>
      <c r="B310" s="11" t="s">
        <v>8389</v>
      </c>
      <c r="C310" s="11"/>
      <c r="D310" s="11" t="s">
        <v>8390</v>
      </c>
      <c r="E310" s="11" t="s">
        <v>21</v>
      </c>
      <c r="F310" s="11" t="s">
        <v>22</v>
      </c>
      <c r="G310" s="12">
        <v>31000</v>
      </c>
      <c r="H310" s="12">
        <v>31000</v>
      </c>
      <c r="I310" s="11" t="s">
        <v>23</v>
      </c>
      <c r="J310" s="11" t="s">
        <v>23</v>
      </c>
      <c r="K310" s="11"/>
      <c r="L310" s="11" t="s">
        <v>932</v>
      </c>
      <c r="M310" s="11" t="s">
        <v>26</v>
      </c>
      <c r="N310" s="11">
        <v>2</v>
      </c>
      <c r="O310" s="11" t="s">
        <v>321</v>
      </c>
      <c r="P310" s="11" t="s">
        <v>79</v>
      </c>
      <c r="Q310" s="11" t="s">
        <v>29</v>
      </c>
    </row>
    <row r="311" spans="1:17" x14ac:dyDescent="0.2">
      <c r="A311" s="10">
        <v>45821</v>
      </c>
      <c r="B311" s="11" t="s">
        <v>8239</v>
      </c>
      <c r="C311" s="11"/>
      <c r="D311" s="11" t="s">
        <v>3613</v>
      </c>
      <c r="E311" s="11" t="s">
        <v>21</v>
      </c>
      <c r="F311" s="11" t="s">
        <v>37</v>
      </c>
      <c r="G311" s="12">
        <v>30000</v>
      </c>
      <c r="H311" s="12">
        <v>31000</v>
      </c>
      <c r="I311" s="11" t="s">
        <v>23</v>
      </c>
      <c r="J311" s="11" t="s">
        <v>23</v>
      </c>
      <c r="K311" s="11" t="s">
        <v>8240</v>
      </c>
      <c r="L311" s="11" t="s">
        <v>1598</v>
      </c>
      <c r="M311" s="11" t="s">
        <v>26</v>
      </c>
      <c r="N311" s="11">
        <v>2</v>
      </c>
      <c r="O311" s="11" t="s">
        <v>110</v>
      </c>
      <c r="P311" s="11" t="s">
        <v>79</v>
      </c>
      <c r="Q311" s="11" t="s">
        <v>29</v>
      </c>
    </row>
    <row r="312" spans="1:17" x14ac:dyDescent="0.2">
      <c r="A312" s="10">
        <v>45776</v>
      </c>
      <c r="B312" s="11" t="s">
        <v>8391</v>
      </c>
      <c r="C312" s="11"/>
      <c r="D312" s="11" t="s">
        <v>8392</v>
      </c>
      <c r="E312" s="11" t="s">
        <v>21</v>
      </c>
      <c r="F312" s="11" t="s">
        <v>90</v>
      </c>
      <c r="G312" s="12">
        <v>20000</v>
      </c>
      <c r="H312" s="12">
        <v>31000</v>
      </c>
      <c r="I312" s="11" t="s">
        <v>23</v>
      </c>
      <c r="J312" s="11" t="s">
        <v>23</v>
      </c>
      <c r="K312" s="11" t="s">
        <v>8393</v>
      </c>
      <c r="L312" s="11" t="s">
        <v>8394</v>
      </c>
      <c r="M312" s="11" t="s">
        <v>45</v>
      </c>
      <c r="N312" s="11">
        <v>2</v>
      </c>
      <c r="O312" s="11" t="s">
        <v>62</v>
      </c>
      <c r="P312" s="11" t="s">
        <v>28</v>
      </c>
      <c r="Q312" s="11" t="s">
        <v>29</v>
      </c>
    </row>
    <row r="313" spans="1:17" x14ac:dyDescent="0.2">
      <c r="A313" s="10">
        <v>45910</v>
      </c>
      <c r="B313" s="11" t="s">
        <v>8395</v>
      </c>
      <c r="C313" s="11"/>
      <c r="D313" s="11" t="s">
        <v>8395</v>
      </c>
      <c r="E313" s="11" t="s">
        <v>21</v>
      </c>
      <c r="F313" s="11" t="s">
        <v>22</v>
      </c>
      <c r="G313" s="12">
        <v>63000</v>
      </c>
      <c r="H313" s="12">
        <v>31500</v>
      </c>
      <c r="I313" s="11" t="s">
        <v>23</v>
      </c>
      <c r="J313" s="11" t="s">
        <v>23</v>
      </c>
      <c r="K313" s="11" t="s">
        <v>8395</v>
      </c>
      <c r="L313" s="11" t="s">
        <v>116</v>
      </c>
      <c r="M313" s="11" t="s">
        <v>45</v>
      </c>
      <c r="N313" s="11">
        <v>2</v>
      </c>
      <c r="O313" s="11" t="s">
        <v>62</v>
      </c>
      <c r="P313" s="11" t="s">
        <v>28</v>
      </c>
      <c r="Q313" s="11" t="s">
        <v>29</v>
      </c>
    </row>
    <row r="314" spans="1:17" x14ac:dyDescent="0.2">
      <c r="A314" s="10">
        <v>46091</v>
      </c>
      <c r="B314" s="11" t="s">
        <v>8396</v>
      </c>
      <c r="C314" s="11"/>
      <c r="D314" s="11" t="s">
        <v>8397</v>
      </c>
      <c r="E314" s="11" t="s">
        <v>21</v>
      </c>
      <c r="F314" s="11" t="s">
        <v>22</v>
      </c>
      <c r="G314" s="12">
        <v>39500</v>
      </c>
      <c r="H314" s="12">
        <v>32000</v>
      </c>
      <c r="I314" s="11" t="s">
        <v>23</v>
      </c>
      <c r="J314" s="11" t="s">
        <v>23</v>
      </c>
      <c r="K314" s="11" t="s">
        <v>8398</v>
      </c>
      <c r="L314" s="11" t="s">
        <v>8399</v>
      </c>
      <c r="M314" s="11" t="s">
        <v>26</v>
      </c>
      <c r="N314" s="11">
        <v>2</v>
      </c>
      <c r="O314" s="11" t="s">
        <v>110</v>
      </c>
      <c r="P314" s="11" t="s">
        <v>28</v>
      </c>
      <c r="Q314" s="11" t="s">
        <v>29</v>
      </c>
    </row>
    <row r="315" spans="1:17" x14ac:dyDescent="0.2">
      <c r="A315" s="10">
        <v>45891</v>
      </c>
      <c r="B315" s="11" t="s">
        <v>8400</v>
      </c>
      <c r="C315" s="11"/>
      <c r="D315" s="11" t="s">
        <v>8401</v>
      </c>
      <c r="E315" s="11" t="s">
        <v>21</v>
      </c>
      <c r="F315" s="11" t="s">
        <v>70</v>
      </c>
      <c r="G315" s="12">
        <v>36000</v>
      </c>
      <c r="H315" s="12">
        <v>32000</v>
      </c>
      <c r="I315" s="11" t="s">
        <v>23</v>
      </c>
      <c r="J315" s="11" t="s">
        <v>23</v>
      </c>
      <c r="K315" s="11" t="s">
        <v>8402</v>
      </c>
      <c r="L315" s="11" t="s">
        <v>8403</v>
      </c>
      <c r="M315" s="11" t="s">
        <v>45</v>
      </c>
      <c r="N315" s="11">
        <v>2</v>
      </c>
      <c r="O315" s="11" t="s">
        <v>167</v>
      </c>
      <c r="P315" s="11" t="s">
        <v>28</v>
      </c>
      <c r="Q315" s="11" t="s">
        <v>29</v>
      </c>
    </row>
    <row r="316" spans="1:17" x14ac:dyDescent="0.2">
      <c r="A316" s="10">
        <v>45859</v>
      </c>
      <c r="B316" s="11" t="s">
        <v>8404</v>
      </c>
      <c r="C316" s="11"/>
      <c r="D316" s="11" t="s">
        <v>8405</v>
      </c>
      <c r="E316" s="11" t="s">
        <v>21</v>
      </c>
      <c r="F316" s="11" t="s">
        <v>37</v>
      </c>
      <c r="G316" s="12">
        <v>35000</v>
      </c>
      <c r="H316" s="12">
        <v>32000</v>
      </c>
      <c r="I316" s="11" t="s">
        <v>23</v>
      </c>
      <c r="J316" s="11" t="s">
        <v>23</v>
      </c>
      <c r="K316" s="11" t="s">
        <v>8406</v>
      </c>
      <c r="L316" s="11" t="s">
        <v>992</v>
      </c>
      <c r="M316" s="11" t="s">
        <v>14</v>
      </c>
      <c r="N316" s="11">
        <v>2</v>
      </c>
      <c r="O316" s="11" t="s">
        <v>46</v>
      </c>
      <c r="P316" s="11" t="s">
        <v>28</v>
      </c>
      <c r="Q316" s="11" t="s">
        <v>29</v>
      </c>
    </row>
    <row r="317" spans="1:17" x14ac:dyDescent="0.2">
      <c r="A317" s="10">
        <v>45838</v>
      </c>
      <c r="B317" s="11" t="s">
        <v>8407</v>
      </c>
      <c r="C317" s="11"/>
      <c r="D317" s="11" t="s">
        <v>8408</v>
      </c>
      <c r="E317" s="11" t="s">
        <v>21</v>
      </c>
      <c r="F317" s="11" t="s">
        <v>22</v>
      </c>
      <c r="G317" s="12">
        <v>32000</v>
      </c>
      <c r="H317" s="12">
        <v>32000</v>
      </c>
      <c r="I317" s="11" t="s">
        <v>23</v>
      </c>
      <c r="J317" s="11" t="s">
        <v>23</v>
      </c>
      <c r="K317" s="11" t="s">
        <v>8409</v>
      </c>
      <c r="L317" s="11" t="s">
        <v>1354</v>
      </c>
      <c r="M317" s="11" t="s">
        <v>45</v>
      </c>
      <c r="N317" s="11">
        <v>2</v>
      </c>
      <c r="O317" s="11" t="s">
        <v>62</v>
      </c>
      <c r="P317" s="11" t="s">
        <v>28</v>
      </c>
      <c r="Q317" s="11" t="s">
        <v>29</v>
      </c>
    </row>
    <row r="318" spans="1:17" x14ac:dyDescent="0.2">
      <c r="A318" s="10">
        <v>45820</v>
      </c>
      <c r="B318" s="11" t="s">
        <v>8410</v>
      </c>
      <c r="C318" s="11"/>
      <c r="D318" s="11" t="s">
        <v>8411</v>
      </c>
      <c r="E318" s="11" t="s">
        <v>21</v>
      </c>
      <c r="F318" s="11" t="s">
        <v>37</v>
      </c>
      <c r="G318" s="12">
        <v>31900</v>
      </c>
      <c r="H318" s="12">
        <v>32000</v>
      </c>
      <c r="I318" s="11" t="s">
        <v>23</v>
      </c>
      <c r="J318" s="11" t="s">
        <v>23</v>
      </c>
      <c r="K318" s="11" t="s">
        <v>8412</v>
      </c>
      <c r="L318" s="11" t="s">
        <v>827</v>
      </c>
      <c r="M318" s="11" t="s">
        <v>45</v>
      </c>
      <c r="N318" s="11">
        <v>2</v>
      </c>
      <c r="O318" s="11" t="s">
        <v>62</v>
      </c>
      <c r="P318" s="11" t="s">
        <v>28</v>
      </c>
      <c r="Q318" s="11" t="s">
        <v>29</v>
      </c>
    </row>
    <row r="319" spans="1:17" x14ac:dyDescent="0.2">
      <c r="A319" s="10">
        <v>45800</v>
      </c>
      <c r="B319" s="11" t="s">
        <v>8413</v>
      </c>
      <c r="C319" s="11"/>
      <c r="D319" s="11" t="s">
        <v>8414</v>
      </c>
      <c r="E319" s="11" t="s">
        <v>21</v>
      </c>
      <c r="F319" s="11" t="s">
        <v>37</v>
      </c>
      <c r="G319" s="12">
        <v>35000</v>
      </c>
      <c r="H319" s="12">
        <v>32000</v>
      </c>
      <c r="I319" s="11" t="s">
        <v>23</v>
      </c>
      <c r="J319" s="11" t="s">
        <v>23</v>
      </c>
      <c r="K319" s="11" t="s">
        <v>8415</v>
      </c>
      <c r="L319" s="11" t="s">
        <v>5220</v>
      </c>
      <c r="M319" s="11" t="s">
        <v>26</v>
      </c>
      <c r="N319" s="11">
        <v>2</v>
      </c>
      <c r="O319" s="11" t="s">
        <v>429</v>
      </c>
      <c r="P319" s="11" t="s">
        <v>28</v>
      </c>
      <c r="Q319" s="11" t="s">
        <v>29</v>
      </c>
    </row>
    <row r="320" spans="1:17" x14ac:dyDescent="0.2">
      <c r="A320" s="10">
        <v>45786</v>
      </c>
      <c r="B320" s="11" t="s">
        <v>8416</v>
      </c>
      <c r="C320" s="11"/>
      <c r="D320" s="11" t="s">
        <v>8417</v>
      </c>
      <c r="E320" s="11" t="s">
        <v>21</v>
      </c>
      <c r="F320" s="11" t="s">
        <v>37</v>
      </c>
      <c r="G320" s="12">
        <v>32000</v>
      </c>
      <c r="H320" s="12">
        <v>32000</v>
      </c>
      <c r="I320" s="11" t="s">
        <v>23</v>
      </c>
      <c r="J320" s="11" t="s">
        <v>23</v>
      </c>
      <c r="K320" s="11" t="s">
        <v>8418</v>
      </c>
      <c r="L320" s="11" t="s">
        <v>245</v>
      </c>
      <c r="M320" s="11" t="s">
        <v>45</v>
      </c>
      <c r="N320" s="11">
        <v>2</v>
      </c>
      <c r="O320" s="11" t="s">
        <v>183</v>
      </c>
      <c r="P320" s="11" t="s">
        <v>28</v>
      </c>
      <c r="Q320" s="11" t="s">
        <v>29</v>
      </c>
    </row>
    <row r="321" spans="1:17" x14ac:dyDescent="0.2">
      <c r="A321" s="10">
        <v>45770</v>
      </c>
      <c r="B321" s="11" t="s">
        <v>8419</v>
      </c>
      <c r="C321" s="11"/>
      <c r="D321" s="11" t="s">
        <v>8420</v>
      </c>
      <c r="E321" s="11" t="s">
        <v>21</v>
      </c>
      <c r="F321" s="11" t="s">
        <v>37</v>
      </c>
      <c r="G321" s="12">
        <v>35000</v>
      </c>
      <c r="H321" s="12">
        <v>32000</v>
      </c>
      <c r="I321" s="11" t="s">
        <v>23</v>
      </c>
      <c r="J321" s="11" t="s">
        <v>23</v>
      </c>
      <c r="K321" s="11" t="s">
        <v>8421</v>
      </c>
      <c r="L321" s="11" t="s">
        <v>6877</v>
      </c>
      <c r="M321" s="11" t="s">
        <v>45</v>
      </c>
      <c r="N321" s="11">
        <v>2</v>
      </c>
      <c r="O321" s="11" t="s">
        <v>429</v>
      </c>
      <c r="P321" s="11" t="s">
        <v>28</v>
      </c>
      <c r="Q321" s="11" t="s">
        <v>29</v>
      </c>
    </row>
    <row r="322" spans="1:17" x14ac:dyDescent="0.2">
      <c r="A322" s="10">
        <v>45737</v>
      </c>
      <c r="B322" s="11" t="s">
        <v>8422</v>
      </c>
      <c r="C322" s="11"/>
      <c r="D322" s="11" t="s">
        <v>8423</v>
      </c>
      <c r="E322" s="11" t="s">
        <v>21</v>
      </c>
      <c r="F322" s="11" t="s">
        <v>37</v>
      </c>
      <c r="G322" s="12">
        <v>32000</v>
      </c>
      <c r="H322" s="12">
        <v>32000</v>
      </c>
      <c r="I322" s="11" t="s">
        <v>23</v>
      </c>
      <c r="J322" s="11" t="s">
        <v>23</v>
      </c>
      <c r="K322" s="11" t="s">
        <v>8424</v>
      </c>
      <c r="L322" s="11" t="s">
        <v>932</v>
      </c>
      <c r="M322" s="11" t="s">
        <v>26</v>
      </c>
      <c r="N322" s="11">
        <v>1</v>
      </c>
      <c r="O322" s="11" t="s">
        <v>517</v>
      </c>
      <c r="P322" s="11" t="s">
        <v>47</v>
      </c>
      <c r="Q322" s="11" t="s">
        <v>29</v>
      </c>
    </row>
    <row r="323" spans="1:17" x14ac:dyDescent="0.2">
      <c r="A323" s="10">
        <v>45700</v>
      </c>
      <c r="B323" s="11" t="s">
        <v>8425</v>
      </c>
      <c r="C323" s="11"/>
      <c r="D323" s="11" t="s">
        <v>8426</v>
      </c>
      <c r="E323" s="11" t="s">
        <v>21</v>
      </c>
      <c r="F323" s="11" t="s">
        <v>37</v>
      </c>
      <c r="G323" s="12">
        <v>32000</v>
      </c>
      <c r="H323" s="12">
        <v>32000</v>
      </c>
      <c r="I323" s="11" t="s">
        <v>23</v>
      </c>
      <c r="J323" s="11" t="s">
        <v>23</v>
      </c>
      <c r="K323" s="11"/>
      <c r="L323" s="11" t="s">
        <v>329</v>
      </c>
      <c r="M323" s="11" t="s">
        <v>26</v>
      </c>
      <c r="N323" s="11">
        <v>2</v>
      </c>
      <c r="O323" s="11" t="s">
        <v>183</v>
      </c>
      <c r="P323" s="11" t="s">
        <v>28</v>
      </c>
      <c r="Q323" s="11" t="s">
        <v>29</v>
      </c>
    </row>
    <row r="324" spans="1:17" x14ac:dyDescent="0.2">
      <c r="A324" s="10">
        <v>45987</v>
      </c>
      <c r="B324" s="11" t="s">
        <v>8427</v>
      </c>
      <c r="C324" s="11"/>
      <c r="D324" s="11" t="s">
        <v>8428</v>
      </c>
      <c r="E324" s="11" t="s">
        <v>21</v>
      </c>
      <c r="F324" s="11" t="s">
        <v>119</v>
      </c>
      <c r="G324" s="12">
        <v>32500</v>
      </c>
      <c r="H324" s="12">
        <v>32500</v>
      </c>
      <c r="I324" s="11" t="s">
        <v>23</v>
      </c>
      <c r="J324" s="11" t="s">
        <v>23</v>
      </c>
      <c r="K324" s="11" t="s">
        <v>203</v>
      </c>
      <c r="L324" s="11" t="s">
        <v>403</v>
      </c>
      <c r="M324" s="11" t="s">
        <v>26</v>
      </c>
      <c r="N324" s="11">
        <v>2</v>
      </c>
      <c r="O324" s="11" t="s">
        <v>121</v>
      </c>
      <c r="P324" s="11" t="s">
        <v>79</v>
      </c>
      <c r="Q324" s="11" t="s">
        <v>29</v>
      </c>
    </row>
    <row r="325" spans="1:17" x14ac:dyDescent="0.2">
      <c r="A325" s="10">
        <v>45889</v>
      </c>
      <c r="B325" s="11" t="s">
        <v>8429</v>
      </c>
      <c r="C325" s="11"/>
      <c r="D325" s="11" t="s">
        <v>8430</v>
      </c>
      <c r="E325" s="11" t="s">
        <v>21</v>
      </c>
      <c r="F325" s="11" t="s">
        <v>37</v>
      </c>
      <c r="G325" s="12">
        <v>35000</v>
      </c>
      <c r="H325" s="12">
        <v>32500</v>
      </c>
      <c r="I325" s="11" t="s">
        <v>23</v>
      </c>
      <c r="J325" s="11" t="s">
        <v>23</v>
      </c>
      <c r="K325" s="11" t="s">
        <v>8431</v>
      </c>
      <c r="L325" s="11" t="s">
        <v>440</v>
      </c>
      <c r="M325" s="11" t="s">
        <v>45</v>
      </c>
      <c r="N325" s="11">
        <v>2</v>
      </c>
      <c r="O325" s="11" t="s">
        <v>1024</v>
      </c>
      <c r="P325" s="11" t="s">
        <v>28</v>
      </c>
      <c r="Q325" s="11" t="s">
        <v>29</v>
      </c>
    </row>
    <row r="326" spans="1:17" x14ac:dyDescent="0.2">
      <c r="A326" s="10">
        <v>45946</v>
      </c>
      <c r="B326" s="11" t="s">
        <v>8432</v>
      </c>
      <c r="C326" s="11"/>
      <c r="D326" s="11" t="s">
        <v>6379</v>
      </c>
      <c r="E326" s="11" t="s">
        <v>21</v>
      </c>
      <c r="F326" s="11" t="s">
        <v>97</v>
      </c>
      <c r="G326" s="12">
        <v>38700</v>
      </c>
      <c r="H326" s="12">
        <v>33000</v>
      </c>
      <c r="I326" s="11" t="s">
        <v>23</v>
      </c>
      <c r="J326" s="11" t="s">
        <v>23</v>
      </c>
      <c r="K326" s="11" t="s">
        <v>6170</v>
      </c>
      <c r="L326" s="11" t="s">
        <v>505</v>
      </c>
      <c r="M326" s="11" t="s">
        <v>26</v>
      </c>
      <c r="N326" s="11">
        <v>2</v>
      </c>
      <c r="O326" s="11" t="s">
        <v>84</v>
      </c>
      <c r="P326" s="11" t="s">
        <v>79</v>
      </c>
      <c r="Q326" s="11" t="s">
        <v>29</v>
      </c>
    </row>
    <row r="327" spans="1:17" x14ac:dyDescent="0.2">
      <c r="A327" s="10">
        <v>45898</v>
      </c>
      <c r="B327" s="11" t="s">
        <v>8433</v>
      </c>
      <c r="C327" s="11"/>
      <c r="D327" s="11" t="s">
        <v>8434</v>
      </c>
      <c r="E327" s="11" t="s">
        <v>21</v>
      </c>
      <c r="F327" s="11" t="s">
        <v>37</v>
      </c>
      <c r="G327" s="12">
        <v>30000</v>
      </c>
      <c r="H327" s="12">
        <v>33000</v>
      </c>
      <c r="I327" s="11" t="s">
        <v>23</v>
      </c>
      <c r="J327" s="11" t="s">
        <v>23</v>
      </c>
      <c r="K327" s="11" t="s">
        <v>8435</v>
      </c>
      <c r="L327" s="11" t="s">
        <v>1194</v>
      </c>
      <c r="M327" s="11" t="s">
        <v>26</v>
      </c>
      <c r="N327" s="11">
        <v>1</v>
      </c>
      <c r="O327" s="11" t="s">
        <v>183</v>
      </c>
      <c r="P327" s="11" t="s">
        <v>152</v>
      </c>
      <c r="Q327" s="11" t="s">
        <v>29</v>
      </c>
    </row>
    <row r="328" spans="1:17" x14ac:dyDescent="0.2">
      <c r="A328" s="10">
        <v>45897</v>
      </c>
      <c r="B328" s="11" t="s">
        <v>8433</v>
      </c>
      <c r="C328" s="11"/>
      <c r="D328" s="11" t="s">
        <v>8434</v>
      </c>
      <c r="E328" s="11" t="s">
        <v>21</v>
      </c>
      <c r="F328" s="11" t="s">
        <v>37</v>
      </c>
      <c r="G328" s="12">
        <v>30000</v>
      </c>
      <c r="H328" s="12">
        <v>33000</v>
      </c>
      <c r="I328" s="11" t="s">
        <v>23</v>
      </c>
      <c r="J328" s="11" t="s">
        <v>23</v>
      </c>
      <c r="K328" s="11" t="s">
        <v>8435</v>
      </c>
      <c r="L328" s="11" t="s">
        <v>1194</v>
      </c>
      <c r="M328" s="11" t="s">
        <v>26</v>
      </c>
      <c r="N328" s="11">
        <v>2</v>
      </c>
      <c r="O328" s="11" t="s">
        <v>183</v>
      </c>
      <c r="P328" s="11" t="s">
        <v>28</v>
      </c>
      <c r="Q328" s="11" t="s">
        <v>29</v>
      </c>
    </row>
    <row r="329" spans="1:17" x14ac:dyDescent="0.2">
      <c r="A329" s="10">
        <v>45861</v>
      </c>
      <c r="B329" s="11" t="s">
        <v>8433</v>
      </c>
      <c r="C329" s="11"/>
      <c r="D329" s="11" t="s">
        <v>8434</v>
      </c>
      <c r="E329" s="11" t="s">
        <v>21</v>
      </c>
      <c r="F329" s="11" t="s">
        <v>37</v>
      </c>
      <c r="G329" s="12">
        <v>30000</v>
      </c>
      <c r="H329" s="12">
        <v>33000</v>
      </c>
      <c r="I329" s="11" t="s">
        <v>23</v>
      </c>
      <c r="J329" s="11" t="s">
        <v>23</v>
      </c>
      <c r="K329" s="11" t="s">
        <v>8435</v>
      </c>
      <c r="L329" s="11" t="s">
        <v>1194</v>
      </c>
      <c r="M329" s="11" t="s">
        <v>26</v>
      </c>
      <c r="N329" s="11">
        <v>2</v>
      </c>
      <c r="O329" s="11" t="s">
        <v>183</v>
      </c>
      <c r="P329" s="11" t="s">
        <v>28</v>
      </c>
      <c r="Q329" s="11" t="s">
        <v>29</v>
      </c>
    </row>
    <row r="330" spans="1:17" x14ac:dyDescent="0.2">
      <c r="A330" s="10">
        <v>45803</v>
      </c>
      <c r="B330" s="11" t="s">
        <v>8436</v>
      </c>
      <c r="C330" s="11"/>
      <c r="D330" s="11" t="s">
        <v>8437</v>
      </c>
      <c r="E330" s="11" t="s">
        <v>21</v>
      </c>
      <c r="F330" s="11" t="s">
        <v>22</v>
      </c>
      <c r="G330" s="12">
        <v>39900</v>
      </c>
      <c r="H330" s="12">
        <v>33000</v>
      </c>
      <c r="I330" s="11" t="s">
        <v>23</v>
      </c>
      <c r="J330" s="11" t="s">
        <v>23</v>
      </c>
      <c r="K330" s="11" t="s">
        <v>8438</v>
      </c>
      <c r="L330" s="11" t="s">
        <v>1002</v>
      </c>
      <c r="M330" s="11" t="s">
        <v>34</v>
      </c>
      <c r="N330" s="11">
        <v>2</v>
      </c>
      <c r="O330" s="11" t="s">
        <v>62</v>
      </c>
      <c r="P330" s="11" t="s">
        <v>79</v>
      </c>
      <c r="Q330" s="11" t="s">
        <v>29</v>
      </c>
    </row>
    <row r="331" spans="1:17" x14ac:dyDescent="0.2">
      <c r="A331" s="10">
        <v>45775</v>
      </c>
      <c r="B331" s="11" t="s">
        <v>8439</v>
      </c>
      <c r="C331" s="11"/>
      <c r="D331" s="11" t="s">
        <v>8439</v>
      </c>
      <c r="E331" s="11" t="s">
        <v>21</v>
      </c>
      <c r="F331" s="11" t="s">
        <v>22</v>
      </c>
      <c r="G331" s="12">
        <v>33000</v>
      </c>
      <c r="H331" s="12">
        <v>33000</v>
      </c>
      <c r="I331" s="11" t="s">
        <v>23</v>
      </c>
      <c r="J331" s="11" t="s">
        <v>23</v>
      </c>
      <c r="K331" s="11" t="s">
        <v>8439</v>
      </c>
      <c r="L331" s="11" t="s">
        <v>2222</v>
      </c>
      <c r="M331" s="11" t="s">
        <v>45</v>
      </c>
      <c r="N331" s="11">
        <v>2</v>
      </c>
      <c r="O331" s="11" t="s">
        <v>62</v>
      </c>
      <c r="P331" s="11" t="s">
        <v>28</v>
      </c>
      <c r="Q331" s="11" t="s">
        <v>29</v>
      </c>
    </row>
    <row r="332" spans="1:17" x14ac:dyDescent="0.2">
      <c r="A332" s="10">
        <v>45772</v>
      </c>
      <c r="B332" s="11" t="s">
        <v>8440</v>
      </c>
      <c r="C332" s="11"/>
      <c r="D332" s="11" t="s">
        <v>8441</v>
      </c>
      <c r="E332" s="11" t="s">
        <v>21</v>
      </c>
      <c r="F332" s="11" t="s">
        <v>70</v>
      </c>
      <c r="G332" s="12">
        <v>34000</v>
      </c>
      <c r="H332" s="12">
        <v>33000</v>
      </c>
      <c r="I332" s="11" t="s">
        <v>23</v>
      </c>
      <c r="J332" s="11" t="s">
        <v>23</v>
      </c>
      <c r="K332" s="11" t="s">
        <v>8442</v>
      </c>
      <c r="L332" s="11" t="s">
        <v>1116</v>
      </c>
      <c r="M332" s="11" t="s">
        <v>26</v>
      </c>
      <c r="N332" s="11">
        <v>2</v>
      </c>
      <c r="O332" s="11" t="s">
        <v>73</v>
      </c>
      <c r="P332" s="11" t="s">
        <v>79</v>
      </c>
      <c r="Q332" s="11" t="s">
        <v>29</v>
      </c>
    </row>
    <row r="333" spans="1:17" x14ac:dyDescent="0.2">
      <c r="A333" s="10">
        <v>45762</v>
      </c>
      <c r="B333" s="11" t="s">
        <v>8443</v>
      </c>
      <c r="C333" s="11"/>
      <c r="D333" s="11" t="s">
        <v>8444</v>
      </c>
      <c r="E333" s="11" t="s">
        <v>21</v>
      </c>
      <c r="F333" s="11" t="s">
        <v>37</v>
      </c>
      <c r="G333" s="12">
        <v>33000</v>
      </c>
      <c r="H333" s="12">
        <v>33000</v>
      </c>
      <c r="I333" s="11" t="s">
        <v>23</v>
      </c>
      <c r="J333" s="11" t="s">
        <v>23</v>
      </c>
      <c r="K333" s="11" t="s">
        <v>8445</v>
      </c>
      <c r="L333" s="11" t="s">
        <v>425</v>
      </c>
      <c r="M333" s="11" t="s">
        <v>26</v>
      </c>
      <c r="N333" s="11">
        <v>2</v>
      </c>
      <c r="O333" s="11" t="s">
        <v>183</v>
      </c>
      <c r="P333" s="11" t="s">
        <v>28</v>
      </c>
      <c r="Q333" s="11" t="s">
        <v>29</v>
      </c>
    </row>
    <row r="334" spans="1:17" x14ac:dyDescent="0.2">
      <c r="A334" s="10">
        <v>45681</v>
      </c>
      <c r="B334" s="11" t="s">
        <v>8446</v>
      </c>
      <c r="C334" s="11"/>
      <c r="D334" s="11" t="s">
        <v>8447</v>
      </c>
      <c r="E334" s="11" t="s">
        <v>21</v>
      </c>
      <c r="F334" s="11" t="s">
        <v>70</v>
      </c>
      <c r="G334" s="12">
        <v>35000</v>
      </c>
      <c r="H334" s="12">
        <v>33000</v>
      </c>
      <c r="I334" s="11" t="s">
        <v>23</v>
      </c>
      <c r="J334" s="11" t="s">
        <v>23</v>
      </c>
      <c r="K334" s="11" t="s">
        <v>8448</v>
      </c>
      <c r="L334" s="11" t="s">
        <v>282</v>
      </c>
      <c r="M334" s="11" t="s">
        <v>45</v>
      </c>
      <c r="N334" s="11">
        <v>2</v>
      </c>
      <c r="O334" s="11" t="s">
        <v>73</v>
      </c>
      <c r="P334" s="11" t="s">
        <v>79</v>
      </c>
      <c r="Q334" s="11" t="s">
        <v>29</v>
      </c>
    </row>
    <row r="335" spans="1:17" x14ac:dyDescent="0.2">
      <c r="A335" s="10">
        <v>45992</v>
      </c>
      <c r="B335" s="11" t="s">
        <v>45</v>
      </c>
      <c r="C335" s="11"/>
      <c r="D335" s="11" t="s">
        <v>45</v>
      </c>
      <c r="E335" s="11" t="s">
        <v>21</v>
      </c>
      <c r="F335" s="11" t="s">
        <v>37</v>
      </c>
      <c r="G335" s="12">
        <v>30000</v>
      </c>
      <c r="H335" s="12">
        <v>33300</v>
      </c>
      <c r="I335" s="11" t="s">
        <v>23</v>
      </c>
      <c r="J335" s="11" t="s">
        <v>23</v>
      </c>
      <c r="K335" s="11"/>
      <c r="L335" s="11" t="s">
        <v>1646</v>
      </c>
      <c r="M335" s="11" t="s">
        <v>45</v>
      </c>
      <c r="N335" s="11">
        <v>1</v>
      </c>
      <c r="O335" s="11" t="s">
        <v>151</v>
      </c>
      <c r="P335" s="11" t="s">
        <v>122</v>
      </c>
      <c r="Q335" s="11" t="s">
        <v>29</v>
      </c>
    </row>
    <row r="336" spans="1:17" x14ac:dyDescent="0.2">
      <c r="A336" s="10">
        <v>46008</v>
      </c>
      <c r="B336" s="11" t="s">
        <v>8449</v>
      </c>
      <c r="C336" s="11"/>
      <c r="D336" s="11" t="s">
        <v>8450</v>
      </c>
      <c r="E336" s="11" t="s">
        <v>21</v>
      </c>
      <c r="F336" s="11" t="s">
        <v>37</v>
      </c>
      <c r="G336" s="12">
        <v>36000</v>
      </c>
      <c r="H336" s="12">
        <v>34000</v>
      </c>
      <c r="I336" s="11" t="s">
        <v>23</v>
      </c>
      <c r="J336" s="11" t="s">
        <v>23</v>
      </c>
      <c r="K336" s="11" t="s">
        <v>8450</v>
      </c>
      <c r="L336" s="11" t="s">
        <v>8451</v>
      </c>
      <c r="M336" s="11" t="s">
        <v>61</v>
      </c>
      <c r="N336" s="11">
        <v>2</v>
      </c>
      <c r="O336" s="11" t="s">
        <v>103</v>
      </c>
      <c r="P336" s="11" t="s">
        <v>28</v>
      </c>
      <c r="Q336" s="11" t="s">
        <v>29</v>
      </c>
    </row>
    <row r="337" spans="1:17" x14ac:dyDescent="0.2">
      <c r="A337" s="10">
        <v>45947</v>
      </c>
      <c r="B337" s="11" t="s">
        <v>8452</v>
      </c>
      <c r="C337" s="11"/>
      <c r="D337" s="11" t="s">
        <v>8453</v>
      </c>
      <c r="E337" s="11" t="s">
        <v>21</v>
      </c>
      <c r="F337" s="11" t="s">
        <v>81</v>
      </c>
      <c r="G337" s="12">
        <v>34000</v>
      </c>
      <c r="H337" s="12">
        <v>34000</v>
      </c>
      <c r="I337" s="11" t="s">
        <v>23</v>
      </c>
      <c r="J337" s="11" t="s">
        <v>23</v>
      </c>
      <c r="K337" s="11" t="s">
        <v>8454</v>
      </c>
      <c r="L337" s="11" t="s">
        <v>8455</v>
      </c>
      <c r="M337" s="11" t="s">
        <v>34</v>
      </c>
      <c r="N337" s="11">
        <v>2</v>
      </c>
      <c r="O337" s="11" t="s">
        <v>167</v>
      </c>
      <c r="P337" s="11" t="s">
        <v>28</v>
      </c>
      <c r="Q337" s="11" t="s">
        <v>29</v>
      </c>
    </row>
    <row r="338" spans="1:17" x14ac:dyDescent="0.2">
      <c r="A338" s="10">
        <v>45932</v>
      </c>
      <c r="B338" s="11" t="s">
        <v>8456</v>
      </c>
      <c r="C338" s="11"/>
      <c r="D338" s="11" t="s">
        <v>8457</v>
      </c>
      <c r="E338" s="11" t="s">
        <v>21</v>
      </c>
      <c r="F338" s="11" t="s">
        <v>22</v>
      </c>
      <c r="G338" s="12">
        <v>39500</v>
      </c>
      <c r="H338" s="12">
        <v>34000</v>
      </c>
      <c r="I338" s="11" t="s">
        <v>23</v>
      </c>
      <c r="J338" s="11" t="s">
        <v>23</v>
      </c>
      <c r="K338" s="11" t="s">
        <v>8458</v>
      </c>
      <c r="L338" s="11" t="s">
        <v>1677</v>
      </c>
      <c r="M338" s="11" t="s">
        <v>61</v>
      </c>
      <c r="N338" s="11">
        <v>2</v>
      </c>
      <c r="O338" s="11" t="s">
        <v>62</v>
      </c>
      <c r="P338" s="11" t="s">
        <v>28</v>
      </c>
      <c r="Q338" s="11" t="s">
        <v>29</v>
      </c>
    </row>
    <row r="339" spans="1:17" x14ac:dyDescent="0.2">
      <c r="A339" s="10">
        <v>45894</v>
      </c>
      <c r="B339" s="11" t="s">
        <v>2798</v>
      </c>
      <c r="C339" s="11"/>
      <c r="D339" s="11" t="s">
        <v>2799</v>
      </c>
      <c r="E339" s="11" t="s">
        <v>21</v>
      </c>
      <c r="F339" s="11" t="s">
        <v>81</v>
      </c>
      <c r="G339" s="12">
        <v>44350</v>
      </c>
      <c r="H339" s="12">
        <v>34000</v>
      </c>
      <c r="I339" s="11" t="s">
        <v>23</v>
      </c>
      <c r="J339" s="11" t="s">
        <v>23</v>
      </c>
      <c r="K339" s="11" t="s">
        <v>2800</v>
      </c>
      <c r="L339" s="11" t="s">
        <v>1629</v>
      </c>
      <c r="M339" s="11" t="s">
        <v>26</v>
      </c>
      <c r="N339" s="11">
        <v>2</v>
      </c>
      <c r="O339" s="11" t="s">
        <v>482</v>
      </c>
      <c r="P339" s="11" t="s">
        <v>79</v>
      </c>
      <c r="Q339" s="11" t="s">
        <v>29</v>
      </c>
    </row>
    <row r="340" spans="1:17" x14ac:dyDescent="0.2">
      <c r="A340" s="10">
        <v>45849</v>
      </c>
      <c r="B340" s="11" t="s">
        <v>8459</v>
      </c>
      <c r="C340" s="11"/>
      <c r="D340" s="11" t="s">
        <v>1152</v>
      </c>
      <c r="E340" s="11" t="s">
        <v>21</v>
      </c>
      <c r="F340" s="11" t="s">
        <v>221</v>
      </c>
      <c r="G340" s="12">
        <v>35000</v>
      </c>
      <c r="H340" s="12">
        <v>34000</v>
      </c>
      <c r="I340" s="11" t="s">
        <v>23</v>
      </c>
      <c r="J340" s="11" t="s">
        <v>23</v>
      </c>
      <c r="K340" s="11" t="s">
        <v>8460</v>
      </c>
      <c r="L340" s="11" t="s">
        <v>6047</v>
      </c>
      <c r="M340" s="11" t="s">
        <v>34</v>
      </c>
      <c r="N340" s="11">
        <v>1</v>
      </c>
      <c r="O340" s="11" t="s">
        <v>167</v>
      </c>
      <c r="P340" s="11" t="s">
        <v>122</v>
      </c>
      <c r="Q340" s="11" t="s">
        <v>29</v>
      </c>
    </row>
    <row r="341" spans="1:17" x14ac:dyDescent="0.2">
      <c r="A341" s="10">
        <v>45813</v>
      </c>
      <c r="B341" s="11" t="s">
        <v>7695</v>
      </c>
      <c r="C341" s="11"/>
      <c r="D341" s="11" t="s">
        <v>7696</v>
      </c>
      <c r="E341" s="11" t="s">
        <v>21</v>
      </c>
      <c r="F341" s="11" t="s">
        <v>81</v>
      </c>
      <c r="G341" s="12">
        <v>34000</v>
      </c>
      <c r="H341" s="12">
        <v>34000</v>
      </c>
      <c r="I341" s="11" t="s">
        <v>23</v>
      </c>
      <c r="J341" s="11" t="s">
        <v>23</v>
      </c>
      <c r="K341" s="11"/>
      <c r="L341" s="11" t="s">
        <v>1646</v>
      </c>
      <c r="M341" s="11" t="s">
        <v>34</v>
      </c>
      <c r="N341" s="11">
        <v>1</v>
      </c>
      <c r="O341" s="11" t="s">
        <v>151</v>
      </c>
      <c r="P341" s="11" t="s">
        <v>47</v>
      </c>
      <c r="Q341" s="11" t="s">
        <v>29</v>
      </c>
    </row>
    <row r="342" spans="1:17" x14ac:dyDescent="0.2">
      <c r="A342" s="10">
        <v>45806</v>
      </c>
      <c r="B342" s="11" t="s">
        <v>8461</v>
      </c>
      <c r="C342" s="11"/>
      <c r="D342" s="11" t="s">
        <v>1148</v>
      </c>
      <c r="E342" s="11" t="s">
        <v>21</v>
      </c>
      <c r="F342" s="11" t="s">
        <v>76</v>
      </c>
      <c r="G342" s="12">
        <v>39000</v>
      </c>
      <c r="H342" s="12">
        <v>34000</v>
      </c>
      <c r="I342" s="11" t="s">
        <v>23</v>
      </c>
      <c r="J342" s="11" t="s">
        <v>23</v>
      </c>
      <c r="K342" s="11" t="s">
        <v>8462</v>
      </c>
      <c r="L342" s="11" t="s">
        <v>4514</v>
      </c>
      <c r="M342" s="11" t="s">
        <v>45</v>
      </c>
      <c r="N342" s="11">
        <v>1</v>
      </c>
      <c r="O342" s="11" t="s">
        <v>167</v>
      </c>
      <c r="P342" s="11" t="s">
        <v>152</v>
      </c>
      <c r="Q342" s="11" t="s">
        <v>29</v>
      </c>
    </row>
    <row r="343" spans="1:17" x14ac:dyDescent="0.2">
      <c r="A343" s="10">
        <v>45801</v>
      </c>
      <c r="B343" s="11" t="s">
        <v>8463</v>
      </c>
      <c r="C343" s="11"/>
      <c r="D343" s="11" t="s">
        <v>8464</v>
      </c>
      <c r="E343" s="11" t="s">
        <v>21</v>
      </c>
      <c r="F343" s="11" t="s">
        <v>76</v>
      </c>
      <c r="G343" s="12">
        <v>38000</v>
      </c>
      <c r="H343" s="12">
        <v>34000</v>
      </c>
      <c r="I343" s="11" t="s">
        <v>23</v>
      </c>
      <c r="J343" s="11" t="s">
        <v>23</v>
      </c>
      <c r="K343" s="11" t="s">
        <v>8465</v>
      </c>
      <c r="L343" s="11" t="s">
        <v>8466</v>
      </c>
      <c r="M343" s="11" t="s">
        <v>34</v>
      </c>
      <c r="N343" s="11">
        <v>2</v>
      </c>
      <c r="O343" s="11" t="s">
        <v>167</v>
      </c>
      <c r="P343" s="11" t="s">
        <v>28</v>
      </c>
      <c r="Q343" s="11" t="s">
        <v>29</v>
      </c>
    </row>
    <row r="344" spans="1:17" x14ac:dyDescent="0.2">
      <c r="A344" s="10">
        <v>45770</v>
      </c>
      <c r="B344" s="11" t="s">
        <v>8467</v>
      </c>
      <c r="C344" s="11"/>
      <c r="D344" s="11" t="s">
        <v>8468</v>
      </c>
      <c r="E344" s="11" t="s">
        <v>21</v>
      </c>
      <c r="F344" s="11" t="s">
        <v>76</v>
      </c>
      <c r="G344" s="12">
        <v>35000</v>
      </c>
      <c r="H344" s="12">
        <v>34000</v>
      </c>
      <c r="I344" s="11" t="s">
        <v>23</v>
      </c>
      <c r="J344" s="11" t="s">
        <v>23</v>
      </c>
      <c r="K344" s="11" t="s">
        <v>8469</v>
      </c>
      <c r="L344" s="11" t="s">
        <v>8470</v>
      </c>
      <c r="M344" s="11" t="s">
        <v>61</v>
      </c>
      <c r="N344" s="11">
        <v>1</v>
      </c>
      <c r="O344" s="11" t="s">
        <v>167</v>
      </c>
      <c r="P344" s="11" t="s">
        <v>152</v>
      </c>
      <c r="Q344" s="11" t="s">
        <v>29</v>
      </c>
    </row>
    <row r="345" spans="1:17" x14ac:dyDescent="0.2">
      <c r="A345" s="10">
        <v>45751</v>
      </c>
      <c r="B345" s="11" t="s">
        <v>8471</v>
      </c>
      <c r="C345" s="11"/>
      <c r="D345" s="11" t="s">
        <v>8472</v>
      </c>
      <c r="E345" s="11" t="s">
        <v>21</v>
      </c>
      <c r="F345" s="11" t="s">
        <v>76</v>
      </c>
      <c r="G345" s="12">
        <v>37000</v>
      </c>
      <c r="H345" s="12">
        <v>34000</v>
      </c>
      <c r="I345" s="11" t="s">
        <v>23</v>
      </c>
      <c r="J345" s="11" t="s">
        <v>23</v>
      </c>
      <c r="K345" s="11" t="s">
        <v>8473</v>
      </c>
      <c r="L345" s="11" t="s">
        <v>1116</v>
      </c>
      <c r="M345" s="11" t="s">
        <v>26</v>
      </c>
      <c r="N345" s="11">
        <v>2</v>
      </c>
      <c r="O345" s="11" t="s">
        <v>73</v>
      </c>
      <c r="P345" s="11" t="s">
        <v>79</v>
      </c>
      <c r="Q345" s="11" t="s">
        <v>29</v>
      </c>
    </row>
    <row r="346" spans="1:17" x14ac:dyDescent="0.2">
      <c r="A346" s="10">
        <v>45721</v>
      </c>
      <c r="B346" s="11"/>
      <c r="C346" s="11"/>
      <c r="D346" s="11" t="s">
        <v>8474</v>
      </c>
      <c r="E346" s="11" t="s">
        <v>21</v>
      </c>
      <c r="F346" s="11" t="s">
        <v>81</v>
      </c>
      <c r="G346" s="12">
        <v>34000</v>
      </c>
      <c r="H346" s="12">
        <v>34000</v>
      </c>
      <c r="I346" s="11" t="s">
        <v>23</v>
      </c>
      <c r="J346" s="11" t="s">
        <v>23</v>
      </c>
      <c r="K346" s="11" t="s">
        <v>8475</v>
      </c>
      <c r="L346" s="11" t="s">
        <v>505</v>
      </c>
      <c r="M346" s="11" t="s">
        <v>26</v>
      </c>
      <c r="N346" s="11">
        <v>2</v>
      </c>
      <c r="O346" s="11" t="s">
        <v>84</v>
      </c>
      <c r="P346" s="11" t="s">
        <v>79</v>
      </c>
      <c r="Q346" s="11" t="s">
        <v>29</v>
      </c>
    </row>
    <row r="347" spans="1:17" x14ac:dyDescent="0.2">
      <c r="A347" s="10">
        <v>45732</v>
      </c>
      <c r="B347" s="11" t="s">
        <v>8476</v>
      </c>
      <c r="C347" s="11"/>
      <c r="D347" s="11" t="s">
        <v>8477</v>
      </c>
      <c r="E347" s="11" t="s">
        <v>21</v>
      </c>
      <c r="F347" s="11" t="s">
        <v>37</v>
      </c>
      <c r="G347" s="12">
        <v>34040</v>
      </c>
      <c r="H347" s="12">
        <v>34040</v>
      </c>
      <c r="I347" s="11" t="s">
        <v>23</v>
      </c>
      <c r="J347" s="11" t="s">
        <v>23</v>
      </c>
      <c r="K347" s="11"/>
      <c r="L347" s="11" t="s">
        <v>8478</v>
      </c>
      <c r="M347" s="11" t="s">
        <v>26</v>
      </c>
      <c r="N347" s="11">
        <v>2</v>
      </c>
      <c r="O347" s="11" t="s">
        <v>110</v>
      </c>
      <c r="P347" s="11" t="s">
        <v>28</v>
      </c>
      <c r="Q347" s="11" t="s">
        <v>29</v>
      </c>
    </row>
    <row r="348" spans="1:17" x14ac:dyDescent="0.2">
      <c r="A348" s="10">
        <v>45992</v>
      </c>
      <c r="B348" s="11" t="s">
        <v>8479</v>
      </c>
      <c r="C348" s="11"/>
      <c r="D348" s="11" t="s">
        <v>8480</v>
      </c>
      <c r="E348" s="11" t="s">
        <v>21</v>
      </c>
      <c r="F348" s="11" t="s">
        <v>37</v>
      </c>
      <c r="G348" s="12">
        <v>38500</v>
      </c>
      <c r="H348" s="12">
        <v>34400</v>
      </c>
      <c r="I348" s="11" t="s">
        <v>23</v>
      </c>
      <c r="J348" s="11" t="s">
        <v>23</v>
      </c>
      <c r="K348" s="11" t="s">
        <v>8481</v>
      </c>
      <c r="L348" s="11" t="s">
        <v>581</v>
      </c>
      <c r="M348" s="11" t="s">
        <v>26</v>
      </c>
      <c r="N348" s="11">
        <v>2</v>
      </c>
      <c r="O348" s="11" t="s">
        <v>151</v>
      </c>
      <c r="P348" s="11" t="s">
        <v>79</v>
      </c>
      <c r="Q348" s="11" t="s">
        <v>29</v>
      </c>
    </row>
    <row r="349" spans="1:17" x14ac:dyDescent="0.2">
      <c r="A349" s="10">
        <v>46087</v>
      </c>
      <c r="B349" s="11"/>
      <c r="C349" s="11"/>
      <c r="D349" s="11" t="s">
        <v>8482</v>
      </c>
      <c r="E349" s="11" t="s">
        <v>21</v>
      </c>
      <c r="F349" s="11" t="s">
        <v>37</v>
      </c>
      <c r="G349" s="12">
        <v>35000</v>
      </c>
      <c r="H349" s="12">
        <v>35000</v>
      </c>
      <c r="I349" s="11" t="s">
        <v>23</v>
      </c>
      <c r="J349" s="11" t="s">
        <v>23</v>
      </c>
      <c r="K349" s="11" t="s">
        <v>2482</v>
      </c>
      <c r="L349" s="11" t="s">
        <v>505</v>
      </c>
      <c r="M349" s="11" t="s">
        <v>26</v>
      </c>
      <c r="N349" s="11">
        <v>2</v>
      </c>
      <c r="O349" s="11" t="s">
        <v>84</v>
      </c>
      <c r="P349" s="11" t="s">
        <v>28</v>
      </c>
      <c r="Q349" s="11" t="s">
        <v>29</v>
      </c>
    </row>
    <row r="350" spans="1:17" x14ac:dyDescent="0.2">
      <c r="A350" s="10">
        <v>46066</v>
      </c>
      <c r="B350" s="11"/>
      <c r="C350" s="11"/>
      <c r="D350" s="11" t="s">
        <v>8483</v>
      </c>
      <c r="E350" s="11" t="s">
        <v>21</v>
      </c>
      <c r="F350" s="11" t="s">
        <v>81</v>
      </c>
      <c r="G350" s="12">
        <v>35000</v>
      </c>
      <c r="H350" s="12">
        <v>35000</v>
      </c>
      <c r="I350" s="11" t="s">
        <v>23</v>
      </c>
      <c r="J350" s="11" t="s">
        <v>23</v>
      </c>
      <c r="K350" s="11" t="s">
        <v>1621</v>
      </c>
      <c r="L350" s="11" t="s">
        <v>505</v>
      </c>
      <c r="M350" s="11" t="s">
        <v>26</v>
      </c>
      <c r="N350" s="11">
        <v>2</v>
      </c>
      <c r="O350" s="11" t="s">
        <v>84</v>
      </c>
      <c r="P350" s="11" t="s">
        <v>79</v>
      </c>
      <c r="Q350" s="11" t="s">
        <v>29</v>
      </c>
    </row>
    <row r="351" spans="1:17" x14ac:dyDescent="0.2">
      <c r="A351" s="10">
        <v>46054</v>
      </c>
      <c r="B351" s="11" t="s">
        <v>8484</v>
      </c>
      <c r="C351" s="11"/>
      <c r="D351" s="11" t="s">
        <v>8485</v>
      </c>
      <c r="E351" s="11" t="s">
        <v>21</v>
      </c>
      <c r="F351" s="11" t="s">
        <v>37</v>
      </c>
      <c r="G351" s="12">
        <v>42000</v>
      </c>
      <c r="H351" s="12">
        <v>35000</v>
      </c>
      <c r="I351" s="11" t="s">
        <v>23</v>
      </c>
      <c r="J351" s="11" t="s">
        <v>23</v>
      </c>
      <c r="K351" s="11" t="s">
        <v>8486</v>
      </c>
      <c r="L351" s="11" t="s">
        <v>236</v>
      </c>
      <c r="M351" s="11" t="s">
        <v>45</v>
      </c>
      <c r="N351" s="11">
        <v>2</v>
      </c>
      <c r="O351" s="11" t="s">
        <v>372</v>
      </c>
      <c r="P351" s="11" t="s">
        <v>200</v>
      </c>
      <c r="Q351" s="11" t="s">
        <v>29</v>
      </c>
    </row>
    <row r="352" spans="1:17" x14ac:dyDescent="0.2">
      <c r="A352" s="10">
        <v>46049</v>
      </c>
      <c r="B352" s="11" t="s">
        <v>8487</v>
      </c>
      <c r="C352" s="11"/>
      <c r="D352" s="11" t="s">
        <v>8488</v>
      </c>
      <c r="E352" s="11" t="s">
        <v>21</v>
      </c>
      <c r="F352" s="11" t="s">
        <v>81</v>
      </c>
      <c r="G352" s="12">
        <v>38735</v>
      </c>
      <c r="H352" s="12">
        <v>35000</v>
      </c>
      <c r="I352" s="11" t="s">
        <v>23</v>
      </c>
      <c r="J352" s="11" t="s">
        <v>23</v>
      </c>
      <c r="K352" s="11" t="s">
        <v>6170</v>
      </c>
      <c r="L352" s="11" t="s">
        <v>505</v>
      </c>
      <c r="M352" s="11" t="s">
        <v>26</v>
      </c>
      <c r="N352" s="11">
        <v>2</v>
      </c>
      <c r="O352" s="11" t="s">
        <v>84</v>
      </c>
      <c r="P352" s="11" t="s">
        <v>79</v>
      </c>
      <c r="Q352" s="11" t="s">
        <v>29</v>
      </c>
    </row>
    <row r="353" spans="1:17" x14ac:dyDescent="0.2">
      <c r="A353" s="10">
        <v>46034</v>
      </c>
      <c r="B353" s="11" t="s">
        <v>8489</v>
      </c>
      <c r="C353" s="11"/>
      <c r="D353" s="11" t="s">
        <v>8488</v>
      </c>
      <c r="E353" s="11" t="s">
        <v>21</v>
      </c>
      <c r="F353" s="11" t="s">
        <v>230</v>
      </c>
      <c r="G353" s="12">
        <v>38735</v>
      </c>
      <c r="H353" s="12">
        <v>35000</v>
      </c>
      <c r="I353" s="11" t="s">
        <v>23</v>
      </c>
      <c r="J353" s="11" t="s">
        <v>23</v>
      </c>
      <c r="K353" s="11" t="s">
        <v>6170</v>
      </c>
      <c r="L353" s="11" t="s">
        <v>505</v>
      </c>
      <c r="M353" s="11" t="s">
        <v>26</v>
      </c>
      <c r="N353" s="11">
        <v>2</v>
      </c>
      <c r="O353" s="11" t="s">
        <v>84</v>
      </c>
      <c r="P353" s="11" t="s">
        <v>28</v>
      </c>
      <c r="Q353" s="11" t="s">
        <v>29</v>
      </c>
    </row>
    <row r="354" spans="1:17" x14ac:dyDescent="0.2">
      <c r="A354" s="10">
        <v>46010</v>
      </c>
      <c r="B354" s="11"/>
      <c r="C354" s="11"/>
      <c r="D354" s="11" t="s">
        <v>8490</v>
      </c>
      <c r="E354" s="11" t="s">
        <v>21</v>
      </c>
      <c r="F354" s="11" t="s">
        <v>37</v>
      </c>
      <c r="G354" s="12">
        <v>35000</v>
      </c>
      <c r="H354" s="12">
        <v>35000</v>
      </c>
      <c r="I354" s="11" t="s">
        <v>23</v>
      </c>
      <c r="J354" s="11" t="s">
        <v>23</v>
      </c>
      <c r="K354" s="11" t="s">
        <v>8491</v>
      </c>
      <c r="L354" s="11" t="s">
        <v>505</v>
      </c>
      <c r="M354" s="11" t="s">
        <v>26</v>
      </c>
      <c r="N354" s="11">
        <v>2</v>
      </c>
      <c r="O354" s="11" t="s">
        <v>84</v>
      </c>
      <c r="P354" s="11" t="s">
        <v>79</v>
      </c>
      <c r="Q354" s="11" t="s">
        <v>29</v>
      </c>
    </row>
    <row r="355" spans="1:17" x14ac:dyDescent="0.2">
      <c r="A355" s="10">
        <v>46007</v>
      </c>
      <c r="B355" s="11" t="s">
        <v>8492</v>
      </c>
      <c r="C355" s="11"/>
      <c r="D355" s="11" t="s">
        <v>8493</v>
      </c>
      <c r="E355" s="11" t="s">
        <v>21</v>
      </c>
      <c r="F355" s="11" t="s">
        <v>81</v>
      </c>
      <c r="G355" s="12">
        <v>45000</v>
      </c>
      <c r="H355" s="12">
        <v>35000</v>
      </c>
      <c r="I355" s="11" t="s">
        <v>23</v>
      </c>
      <c r="J355" s="11" t="s">
        <v>23</v>
      </c>
      <c r="K355" s="11" t="s">
        <v>8494</v>
      </c>
      <c r="L355" s="11" t="s">
        <v>2304</v>
      </c>
      <c r="M355" s="11" t="s">
        <v>26</v>
      </c>
      <c r="N355" s="11">
        <v>2</v>
      </c>
      <c r="O355" s="11" t="s">
        <v>482</v>
      </c>
      <c r="P355" s="11" t="s">
        <v>28</v>
      </c>
      <c r="Q355" s="11" t="s">
        <v>29</v>
      </c>
    </row>
    <row r="356" spans="1:17" x14ac:dyDescent="0.2">
      <c r="A356" s="10">
        <v>45995</v>
      </c>
      <c r="B356" s="11" t="s">
        <v>8495</v>
      </c>
      <c r="C356" s="11"/>
      <c r="D356" s="11" t="s">
        <v>8496</v>
      </c>
      <c r="E356" s="11" t="s">
        <v>21</v>
      </c>
      <c r="F356" s="11" t="s">
        <v>70</v>
      </c>
      <c r="G356" s="12">
        <v>35000</v>
      </c>
      <c r="H356" s="12">
        <v>35000</v>
      </c>
      <c r="I356" s="11" t="s">
        <v>23</v>
      </c>
      <c r="J356" s="11" t="s">
        <v>23</v>
      </c>
      <c r="K356" s="11" t="s">
        <v>8497</v>
      </c>
      <c r="L356" s="11" t="s">
        <v>78</v>
      </c>
      <c r="M356" s="11" t="s">
        <v>26</v>
      </c>
      <c r="N356" s="11">
        <v>2</v>
      </c>
      <c r="O356" s="11" t="s">
        <v>73</v>
      </c>
      <c r="P356" s="11" t="s">
        <v>79</v>
      </c>
      <c r="Q356" s="11" t="s">
        <v>29</v>
      </c>
    </row>
    <row r="357" spans="1:17" x14ac:dyDescent="0.2">
      <c r="A357" s="10">
        <v>45987</v>
      </c>
      <c r="B357" s="11" t="s">
        <v>8498</v>
      </c>
      <c r="C357" s="11"/>
      <c r="D357" s="11" t="s">
        <v>6169</v>
      </c>
      <c r="E357" s="11" t="s">
        <v>21</v>
      </c>
      <c r="F357" s="11" t="s">
        <v>76</v>
      </c>
      <c r="G357" s="12">
        <v>35000</v>
      </c>
      <c r="H357" s="12">
        <v>35000</v>
      </c>
      <c r="I357" s="11" t="s">
        <v>23</v>
      </c>
      <c r="J357" s="11" t="s">
        <v>23</v>
      </c>
      <c r="K357" s="11" t="s">
        <v>6170</v>
      </c>
      <c r="L357" s="11" t="s">
        <v>505</v>
      </c>
      <c r="M357" s="11" t="s">
        <v>26</v>
      </c>
      <c r="N357" s="11">
        <v>2</v>
      </c>
      <c r="O357" s="11" t="s">
        <v>84</v>
      </c>
      <c r="P357" s="11" t="s">
        <v>79</v>
      </c>
      <c r="Q357" s="11" t="s">
        <v>29</v>
      </c>
    </row>
    <row r="358" spans="1:17" x14ac:dyDescent="0.2">
      <c r="A358" s="10">
        <v>45979</v>
      </c>
      <c r="B358" s="11" t="s">
        <v>8499</v>
      </c>
      <c r="C358" s="11"/>
      <c r="D358" s="11" t="s">
        <v>8500</v>
      </c>
      <c r="E358" s="11" t="s">
        <v>21</v>
      </c>
      <c r="F358" s="11" t="s">
        <v>70</v>
      </c>
      <c r="G358" s="12">
        <v>38000</v>
      </c>
      <c r="H358" s="12">
        <v>35000</v>
      </c>
      <c r="I358" s="11" t="s">
        <v>23</v>
      </c>
      <c r="J358" s="11" t="s">
        <v>23</v>
      </c>
      <c r="K358" s="11" t="s">
        <v>8501</v>
      </c>
      <c r="L358" s="11" t="s">
        <v>8502</v>
      </c>
      <c r="M358" s="11" t="s">
        <v>45</v>
      </c>
      <c r="N358" s="11">
        <v>2</v>
      </c>
      <c r="O358" s="11" t="s">
        <v>73</v>
      </c>
      <c r="P358" s="11" t="s">
        <v>28</v>
      </c>
      <c r="Q358" s="11" t="s">
        <v>29</v>
      </c>
    </row>
    <row r="359" spans="1:17" x14ac:dyDescent="0.2">
      <c r="A359" s="10">
        <v>45965</v>
      </c>
      <c r="B359" s="11" t="s">
        <v>8503</v>
      </c>
      <c r="C359" s="11"/>
      <c r="D359" s="11" t="s">
        <v>8504</v>
      </c>
      <c r="E359" s="11" t="s">
        <v>21</v>
      </c>
      <c r="F359" s="11" t="s">
        <v>70</v>
      </c>
      <c r="G359" s="12">
        <v>36000</v>
      </c>
      <c r="H359" s="12">
        <v>35000</v>
      </c>
      <c r="I359" s="11" t="s">
        <v>23</v>
      </c>
      <c r="J359" s="11" t="s">
        <v>23</v>
      </c>
      <c r="K359" s="11" t="s">
        <v>8505</v>
      </c>
      <c r="L359" s="11" t="s">
        <v>1116</v>
      </c>
      <c r="M359" s="11" t="s">
        <v>26</v>
      </c>
      <c r="N359" s="11">
        <v>2</v>
      </c>
      <c r="O359" s="11" t="s">
        <v>73</v>
      </c>
      <c r="P359" s="11" t="s">
        <v>28</v>
      </c>
      <c r="Q359" s="11" t="s">
        <v>29</v>
      </c>
    </row>
    <row r="360" spans="1:17" x14ac:dyDescent="0.2">
      <c r="A360" s="10">
        <v>45947</v>
      </c>
      <c r="B360" s="11" t="s">
        <v>8506</v>
      </c>
      <c r="C360" s="11"/>
      <c r="D360" s="11" t="s">
        <v>6379</v>
      </c>
      <c r="E360" s="11" t="s">
        <v>21</v>
      </c>
      <c r="F360" s="11" t="s">
        <v>81</v>
      </c>
      <c r="G360" s="12">
        <v>38700</v>
      </c>
      <c r="H360" s="12">
        <v>35000</v>
      </c>
      <c r="I360" s="11" t="s">
        <v>23</v>
      </c>
      <c r="J360" s="11" t="s">
        <v>23</v>
      </c>
      <c r="K360" s="11" t="s">
        <v>6170</v>
      </c>
      <c r="L360" s="11" t="s">
        <v>505</v>
      </c>
      <c r="M360" s="11" t="s">
        <v>26</v>
      </c>
      <c r="N360" s="11">
        <v>2</v>
      </c>
      <c r="O360" s="11" t="s">
        <v>84</v>
      </c>
      <c r="P360" s="11" t="s">
        <v>79</v>
      </c>
      <c r="Q360" s="11" t="s">
        <v>29</v>
      </c>
    </row>
    <row r="361" spans="1:17" x14ac:dyDescent="0.2">
      <c r="A361" s="10">
        <v>45947</v>
      </c>
      <c r="B361" s="11" t="s">
        <v>8507</v>
      </c>
      <c r="C361" s="11"/>
      <c r="D361" s="11" t="s">
        <v>8508</v>
      </c>
      <c r="E361" s="11" t="s">
        <v>21</v>
      </c>
      <c r="F361" s="11" t="s">
        <v>37</v>
      </c>
      <c r="G361" s="12">
        <v>35000</v>
      </c>
      <c r="H361" s="12">
        <v>35000</v>
      </c>
      <c r="I361" s="11" t="s">
        <v>23</v>
      </c>
      <c r="J361" s="11" t="s">
        <v>23</v>
      </c>
      <c r="K361" s="11" t="s">
        <v>8509</v>
      </c>
      <c r="L361" s="11" t="s">
        <v>1239</v>
      </c>
      <c r="M361" s="11" t="s">
        <v>26</v>
      </c>
      <c r="N361" s="11">
        <v>2</v>
      </c>
      <c r="O361" s="11" t="s">
        <v>130</v>
      </c>
      <c r="P361" s="11" t="s">
        <v>79</v>
      </c>
      <c r="Q361" s="11" t="s">
        <v>29</v>
      </c>
    </row>
    <row r="362" spans="1:17" x14ac:dyDescent="0.2">
      <c r="A362" s="10">
        <v>45939</v>
      </c>
      <c r="B362" s="11" t="s">
        <v>8510</v>
      </c>
      <c r="C362" s="11"/>
      <c r="D362" s="11" t="s">
        <v>8434</v>
      </c>
      <c r="E362" s="11" t="s">
        <v>21</v>
      </c>
      <c r="F362" s="11" t="s">
        <v>37</v>
      </c>
      <c r="G362" s="12">
        <v>35000</v>
      </c>
      <c r="H362" s="12">
        <v>35000</v>
      </c>
      <c r="I362" s="11" t="s">
        <v>23</v>
      </c>
      <c r="J362" s="11" t="s">
        <v>23</v>
      </c>
      <c r="K362" s="11" t="s">
        <v>8511</v>
      </c>
      <c r="L362" s="11" t="s">
        <v>1194</v>
      </c>
      <c r="M362" s="11" t="s">
        <v>26</v>
      </c>
      <c r="N362" s="11">
        <v>2</v>
      </c>
      <c r="O362" s="11" t="s">
        <v>183</v>
      </c>
      <c r="P362" s="11" t="s">
        <v>28</v>
      </c>
      <c r="Q362" s="11" t="s">
        <v>29</v>
      </c>
    </row>
    <row r="363" spans="1:17" x14ac:dyDescent="0.2">
      <c r="A363" s="10">
        <v>45937</v>
      </c>
      <c r="B363" s="11" t="s">
        <v>8512</v>
      </c>
      <c r="C363" s="11"/>
      <c r="D363" s="11" t="s">
        <v>8513</v>
      </c>
      <c r="E363" s="11" t="s">
        <v>21</v>
      </c>
      <c r="F363" s="11" t="s">
        <v>81</v>
      </c>
      <c r="G363" s="12">
        <v>40000</v>
      </c>
      <c r="H363" s="12">
        <v>35000</v>
      </c>
      <c r="I363" s="11" t="s">
        <v>23</v>
      </c>
      <c r="J363" s="11" t="s">
        <v>23</v>
      </c>
      <c r="K363" s="11" t="s">
        <v>8514</v>
      </c>
      <c r="L363" s="11" t="s">
        <v>1629</v>
      </c>
      <c r="M363" s="11" t="s">
        <v>34</v>
      </c>
      <c r="N363" s="11">
        <v>2</v>
      </c>
      <c r="O363" s="11" t="s">
        <v>482</v>
      </c>
      <c r="P363" s="11" t="s">
        <v>79</v>
      </c>
      <c r="Q363" s="11" t="s">
        <v>29</v>
      </c>
    </row>
    <row r="364" spans="1:17" x14ac:dyDescent="0.2">
      <c r="A364" s="10">
        <v>45924</v>
      </c>
      <c r="B364" s="11" t="s">
        <v>8515</v>
      </c>
      <c r="C364" s="11"/>
      <c r="D364" s="11" t="s">
        <v>8516</v>
      </c>
      <c r="E364" s="11" t="s">
        <v>21</v>
      </c>
      <c r="F364" s="11" t="s">
        <v>37</v>
      </c>
      <c r="G364" s="12">
        <v>160000</v>
      </c>
      <c r="H364" s="12">
        <v>35000</v>
      </c>
      <c r="I364" s="11" t="s">
        <v>23</v>
      </c>
      <c r="J364" s="11" t="s">
        <v>1927</v>
      </c>
      <c r="K364" s="11" t="s">
        <v>8517</v>
      </c>
      <c r="L364" s="11" t="s">
        <v>6877</v>
      </c>
      <c r="M364" s="11" t="s">
        <v>55</v>
      </c>
      <c r="N364" s="11">
        <v>2</v>
      </c>
      <c r="O364" s="11" t="s">
        <v>62</v>
      </c>
      <c r="P364" s="11" t="s">
        <v>28</v>
      </c>
      <c r="Q364" s="11" t="s">
        <v>29</v>
      </c>
    </row>
    <row r="365" spans="1:17" x14ac:dyDescent="0.2">
      <c r="A365" s="10">
        <v>45923</v>
      </c>
      <c r="B365" s="11" t="s">
        <v>8518</v>
      </c>
      <c r="C365" s="11"/>
      <c r="D365" s="11" t="s">
        <v>8519</v>
      </c>
      <c r="E365" s="11" t="s">
        <v>21</v>
      </c>
      <c r="F365" s="11" t="s">
        <v>37</v>
      </c>
      <c r="G365" s="12">
        <v>39900</v>
      </c>
      <c r="H365" s="12">
        <v>35000</v>
      </c>
      <c r="I365" s="11" t="s">
        <v>23</v>
      </c>
      <c r="J365" s="11" t="s">
        <v>23</v>
      </c>
      <c r="K365" s="11" t="s">
        <v>8520</v>
      </c>
      <c r="L365" s="11" t="s">
        <v>1677</v>
      </c>
      <c r="M365" s="11" t="s">
        <v>26</v>
      </c>
      <c r="N365" s="11">
        <v>2</v>
      </c>
      <c r="O365" s="11" t="s">
        <v>56</v>
      </c>
      <c r="P365" s="11" t="s">
        <v>28</v>
      </c>
      <c r="Q365" s="11" t="s">
        <v>29</v>
      </c>
    </row>
    <row r="366" spans="1:17" x14ac:dyDescent="0.2">
      <c r="A366" s="10">
        <v>45868</v>
      </c>
      <c r="B366" s="11" t="s">
        <v>8521</v>
      </c>
      <c r="C366" s="11"/>
      <c r="D366" s="11" t="s">
        <v>8522</v>
      </c>
      <c r="E366" s="11" t="s">
        <v>21</v>
      </c>
      <c r="F366" s="11" t="s">
        <v>81</v>
      </c>
      <c r="G366" s="12">
        <v>40000</v>
      </c>
      <c r="H366" s="12">
        <v>35000</v>
      </c>
      <c r="I366" s="11" t="s">
        <v>23</v>
      </c>
      <c r="J366" s="11" t="s">
        <v>23</v>
      </c>
      <c r="K366" s="11" t="s">
        <v>8523</v>
      </c>
      <c r="L366" s="11" t="s">
        <v>223</v>
      </c>
      <c r="M366" s="11" t="s">
        <v>34</v>
      </c>
      <c r="N366" s="11">
        <v>2</v>
      </c>
      <c r="O366" s="11" t="s">
        <v>167</v>
      </c>
      <c r="P366" s="11" t="s">
        <v>79</v>
      </c>
      <c r="Q366" s="11" t="s">
        <v>29</v>
      </c>
    </row>
    <row r="367" spans="1:17" x14ac:dyDescent="0.2">
      <c r="A367" s="10">
        <v>45800</v>
      </c>
      <c r="B367" s="11" t="s">
        <v>8524</v>
      </c>
      <c r="C367" s="11"/>
      <c r="D367" s="11" t="s">
        <v>8524</v>
      </c>
      <c r="E367" s="11" t="s">
        <v>21</v>
      </c>
      <c r="F367" s="11" t="s">
        <v>37</v>
      </c>
      <c r="G367" s="12">
        <v>35000</v>
      </c>
      <c r="H367" s="12">
        <v>35000</v>
      </c>
      <c r="I367" s="11" t="s">
        <v>23</v>
      </c>
      <c r="J367" s="11" t="s">
        <v>23</v>
      </c>
      <c r="K367" s="11" t="s">
        <v>8524</v>
      </c>
      <c r="L367" s="11" t="s">
        <v>827</v>
      </c>
      <c r="M367" s="11" t="s">
        <v>45</v>
      </c>
      <c r="N367" s="11">
        <v>2</v>
      </c>
      <c r="O367" s="11" t="s">
        <v>56</v>
      </c>
      <c r="P367" s="11" t="s">
        <v>28</v>
      </c>
      <c r="Q367" s="11" t="s">
        <v>29</v>
      </c>
    </row>
    <row r="368" spans="1:17" x14ac:dyDescent="0.2">
      <c r="A368" s="10">
        <v>45730</v>
      </c>
      <c r="B368" s="11" t="s">
        <v>8525</v>
      </c>
      <c r="C368" s="11"/>
      <c r="D368" s="11" t="s">
        <v>8526</v>
      </c>
      <c r="E368" s="11" t="s">
        <v>21</v>
      </c>
      <c r="F368" s="11" t="s">
        <v>37</v>
      </c>
      <c r="G368" s="12">
        <v>40500</v>
      </c>
      <c r="H368" s="12">
        <v>35000</v>
      </c>
      <c r="I368" s="11" t="s">
        <v>23</v>
      </c>
      <c r="J368" s="11" t="s">
        <v>23</v>
      </c>
      <c r="K368" s="11" t="s">
        <v>8527</v>
      </c>
      <c r="L368" s="11" t="s">
        <v>4573</v>
      </c>
      <c r="M368" s="11" t="s">
        <v>61</v>
      </c>
      <c r="N368" s="11">
        <v>2</v>
      </c>
      <c r="O368" s="11" t="s">
        <v>62</v>
      </c>
      <c r="P368" s="11" t="s">
        <v>28</v>
      </c>
      <c r="Q368" s="11" t="s">
        <v>29</v>
      </c>
    </row>
    <row r="369" spans="1:17" x14ac:dyDescent="0.2">
      <c r="A369" s="10">
        <v>45729</v>
      </c>
      <c r="B369" s="11"/>
      <c r="C369" s="11"/>
      <c r="D369" s="11" t="s">
        <v>8528</v>
      </c>
      <c r="E369" s="11" t="s">
        <v>21</v>
      </c>
      <c r="F369" s="11" t="s">
        <v>81</v>
      </c>
      <c r="G369" s="12">
        <v>35000</v>
      </c>
      <c r="H369" s="12">
        <v>35000</v>
      </c>
      <c r="I369" s="11" t="s">
        <v>23</v>
      </c>
      <c r="J369" s="11" t="s">
        <v>23</v>
      </c>
      <c r="K369" s="11" t="s">
        <v>8529</v>
      </c>
      <c r="L369" s="11" t="s">
        <v>505</v>
      </c>
      <c r="M369" s="11" t="s">
        <v>26</v>
      </c>
      <c r="N369" s="11">
        <v>2</v>
      </c>
      <c r="O369" s="11" t="s">
        <v>84</v>
      </c>
      <c r="P369" s="11" t="s">
        <v>79</v>
      </c>
      <c r="Q369" s="11" t="s">
        <v>29</v>
      </c>
    </row>
    <row r="370" spans="1:17" x14ac:dyDescent="0.2">
      <c r="A370" s="10">
        <v>45705</v>
      </c>
      <c r="B370" s="11" t="s">
        <v>8530</v>
      </c>
      <c r="C370" s="11"/>
      <c r="D370" s="11" t="s">
        <v>8531</v>
      </c>
      <c r="E370" s="11" t="s">
        <v>21</v>
      </c>
      <c r="F370" s="11" t="s">
        <v>70</v>
      </c>
      <c r="G370" s="12">
        <v>35000</v>
      </c>
      <c r="H370" s="12">
        <v>35000</v>
      </c>
      <c r="I370" s="11" t="s">
        <v>23</v>
      </c>
      <c r="J370" s="11" t="s">
        <v>23</v>
      </c>
      <c r="K370" s="11" t="s">
        <v>8532</v>
      </c>
      <c r="L370" s="11" t="s">
        <v>7673</v>
      </c>
      <c r="M370" s="11" t="s">
        <v>34</v>
      </c>
      <c r="N370" s="11">
        <v>2</v>
      </c>
      <c r="O370" s="11" t="s">
        <v>73</v>
      </c>
      <c r="P370" s="11" t="s">
        <v>28</v>
      </c>
      <c r="Q370" s="11" t="s">
        <v>29</v>
      </c>
    </row>
    <row r="371" spans="1:17" x14ac:dyDescent="0.2">
      <c r="A371" s="10">
        <v>45699</v>
      </c>
      <c r="B371" s="11" t="s">
        <v>8533</v>
      </c>
      <c r="C371" s="11"/>
      <c r="D371" s="11" t="s">
        <v>8534</v>
      </c>
      <c r="E371" s="11" t="s">
        <v>21</v>
      </c>
      <c r="F371" s="11" t="s">
        <v>100</v>
      </c>
      <c r="G371" s="12">
        <v>37000</v>
      </c>
      <c r="H371" s="12">
        <v>35000</v>
      </c>
      <c r="I371" s="11" t="s">
        <v>23</v>
      </c>
      <c r="J371" s="11" t="s">
        <v>23</v>
      </c>
      <c r="K371" s="11" t="s">
        <v>6585</v>
      </c>
      <c r="L371" s="11" t="s">
        <v>3175</v>
      </c>
      <c r="M371" s="11" t="s">
        <v>26</v>
      </c>
      <c r="N371" s="11">
        <v>2</v>
      </c>
      <c r="O371" s="11" t="s">
        <v>121</v>
      </c>
      <c r="P371" s="11" t="s">
        <v>79</v>
      </c>
      <c r="Q371" s="11" t="s">
        <v>29</v>
      </c>
    </row>
    <row r="372" spans="1:17" x14ac:dyDescent="0.2">
      <c r="A372" s="10">
        <v>45692</v>
      </c>
      <c r="B372" s="11" t="s">
        <v>8535</v>
      </c>
      <c r="C372" s="11"/>
      <c r="D372" s="11" t="s">
        <v>8536</v>
      </c>
      <c r="E372" s="11" t="s">
        <v>21</v>
      </c>
      <c r="F372" s="11" t="s">
        <v>37</v>
      </c>
      <c r="G372" s="12">
        <v>41800</v>
      </c>
      <c r="H372" s="12">
        <v>35000</v>
      </c>
      <c r="I372" s="11" t="s">
        <v>23</v>
      </c>
      <c r="J372" s="11" t="s">
        <v>23</v>
      </c>
      <c r="K372" s="11" t="s">
        <v>8537</v>
      </c>
      <c r="L372" s="11" t="s">
        <v>8538</v>
      </c>
      <c r="M372" s="11" t="s">
        <v>26</v>
      </c>
      <c r="N372" s="11">
        <v>2</v>
      </c>
      <c r="O372" s="11" t="s">
        <v>110</v>
      </c>
      <c r="P372" s="11" t="s">
        <v>28</v>
      </c>
      <c r="Q372" s="11" t="s">
        <v>29</v>
      </c>
    </row>
    <row r="373" spans="1:17" x14ac:dyDescent="0.2">
      <c r="A373" s="10">
        <v>45680</v>
      </c>
      <c r="B373" s="11" t="s">
        <v>8539</v>
      </c>
      <c r="C373" s="11"/>
      <c r="D373" s="11" t="s">
        <v>8540</v>
      </c>
      <c r="E373" s="11" t="s">
        <v>21</v>
      </c>
      <c r="F373" s="11" t="s">
        <v>100</v>
      </c>
      <c r="G373" s="12">
        <v>40000</v>
      </c>
      <c r="H373" s="12">
        <v>35000</v>
      </c>
      <c r="I373" s="11" t="s">
        <v>23</v>
      </c>
      <c r="J373" s="11" t="s">
        <v>23</v>
      </c>
      <c r="K373" s="11" t="s">
        <v>8541</v>
      </c>
      <c r="L373" s="11" t="s">
        <v>1239</v>
      </c>
      <c r="M373" s="11" t="s">
        <v>26</v>
      </c>
      <c r="N373" s="11">
        <v>2</v>
      </c>
      <c r="O373" s="11" t="s">
        <v>130</v>
      </c>
      <c r="P373" s="11" t="s">
        <v>79</v>
      </c>
      <c r="Q373" s="11" t="s">
        <v>29</v>
      </c>
    </row>
    <row r="374" spans="1:17" x14ac:dyDescent="0.2">
      <c r="A374" s="10">
        <v>45680</v>
      </c>
      <c r="B374" s="11" t="s">
        <v>8539</v>
      </c>
      <c r="C374" s="11"/>
      <c r="D374" s="11" t="s">
        <v>8540</v>
      </c>
      <c r="E374" s="11" t="s">
        <v>21</v>
      </c>
      <c r="F374" s="11" t="s">
        <v>100</v>
      </c>
      <c r="G374" s="12">
        <v>40000</v>
      </c>
      <c r="H374" s="12">
        <v>35000</v>
      </c>
      <c r="I374" s="11" t="s">
        <v>23</v>
      </c>
      <c r="J374" s="11" t="s">
        <v>23</v>
      </c>
      <c r="K374" s="11" t="s">
        <v>8541</v>
      </c>
      <c r="L374" s="11" t="s">
        <v>1239</v>
      </c>
      <c r="M374" s="11" t="s">
        <v>26</v>
      </c>
      <c r="N374" s="11">
        <v>2</v>
      </c>
      <c r="O374" s="11" t="s">
        <v>130</v>
      </c>
      <c r="P374" s="11" t="s">
        <v>79</v>
      </c>
      <c r="Q374" s="11" t="s">
        <v>29</v>
      </c>
    </row>
    <row r="375" spans="1:17" x14ac:dyDescent="0.2">
      <c r="A375" s="10">
        <v>46021</v>
      </c>
      <c r="B375" s="11">
        <v>22122025</v>
      </c>
      <c r="C375" s="11"/>
      <c r="D375" s="11" t="s">
        <v>8542</v>
      </c>
      <c r="E375" s="11" t="s">
        <v>21</v>
      </c>
      <c r="F375" s="11" t="s">
        <v>100</v>
      </c>
      <c r="G375" s="12">
        <v>35500</v>
      </c>
      <c r="H375" s="12">
        <v>35500</v>
      </c>
      <c r="I375" s="11" t="s">
        <v>23</v>
      </c>
      <c r="J375" s="11" t="s">
        <v>23</v>
      </c>
      <c r="K375" s="11"/>
      <c r="L375" s="11" t="s">
        <v>120</v>
      </c>
      <c r="M375" s="11" t="s">
        <v>26</v>
      </c>
      <c r="N375" s="11">
        <v>1</v>
      </c>
      <c r="O375" s="11" t="s">
        <v>121</v>
      </c>
      <c r="P375" s="11" t="s">
        <v>122</v>
      </c>
      <c r="Q375" s="11" t="s">
        <v>29</v>
      </c>
    </row>
    <row r="376" spans="1:17" x14ac:dyDescent="0.2">
      <c r="A376" s="1">
        <v>45779</v>
      </c>
      <c r="B376" t="s">
        <v>8543</v>
      </c>
      <c r="D376" t="s">
        <v>8544</v>
      </c>
      <c r="E376" t="s">
        <v>21</v>
      </c>
      <c r="F376" t="s">
        <v>76</v>
      </c>
      <c r="G376" s="9">
        <v>70000</v>
      </c>
      <c r="H376" s="9">
        <v>60000</v>
      </c>
      <c r="I376" t="s">
        <v>23</v>
      </c>
      <c r="J376" t="s">
        <v>23</v>
      </c>
      <c r="K376" t="s">
        <v>8545</v>
      </c>
      <c r="L376" t="s">
        <v>6051</v>
      </c>
      <c r="M376" t="s">
        <v>8546</v>
      </c>
      <c r="N376">
        <v>2</v>
      </c>
      <c r="O376" t="s">
        <v>167</v>
      </c>
      <c r="P376" t="s">
        <v>28</v>
      </c>
      <c r="Q376" t="s">
        <v>29</v>
      </c>
    </row>
    <row r="377" spans="1:17" x14ac:dyDescent="0.2">
      <c r="A377" s="1">
        <v>45897</v>
      </c>
      <c r="B377" t="s">
        <v>8547</v>
      </c>
      <c r="D377" t="s">
        <v>8548</v>
      </c>
      <c r="E377" t="s">
        <v>21</v>
      </c>
      <c r="F377" t="s">
        <v>37</v>
      </c>
      <c r="G377" s="9">
        <v>80000</v>
      </c>
      <c r="H377" s="9">
        <v>80000</v>
      </c>
      <c r="I377" t="s">
        <v>23</v>
      </c>
      <c r="J377" t="s">
        <v>23</v>
      </c>
      <c r="K377" t="s">
        <v>8549</v>
      </c>
      <c r="L377" t="s">
        <v>679</v>
      </c>
      <c r="M377" t="s">
        <v>7980</v>
      </c>
      <c r="N377">
        <v>2</v>
      </c>
      <c r="O377" t="s">
        <v>183</v>
      </c>
      <c r="P377" t="s">
        <v>28</v>
      </c>
      <c r="Q377" t="s">
        <v>29</v>
      </c>
    </row>
    <row r="378" spans="1:17" x14ac:dyDescent="0.2">
      <c r="A378" s="1">
        <v>45712</v>
      </c>
      <c r="B378" t="s">
        <v>8550</v>
      </c>
      <c r="D378" t="s">
        <v>8551</v>
      </c>
      <c r="E378" t="s">
        <v>21</v>
      </c>
      <c r="F378" t="s">
        <v>37</v>
      </c>
      <c r="G378" s="9">
        <v>200000</v>
      </c>
      <c r="H378" s="9">
        <v>170000</v>
      </c>
      <c r="I378" t="s">
        <v>23</v>
      </c>
      <c r="J378" t="s">
        <v>23</v>
      </c>
      <c r="K378" t="s">
        <v>8552</v>
      </c>
      <c r="L378" t="s">
        <v>245</v>
      </c>
      <c r="M378" t="s">
        <v>7980</v>
      </c>
      <c r="N378">
        <v>2</v>
      </c>
      <c r="O378" t="s">
        <v>183</v>
      </c>
      <c r="P378" t="s">
        <v>79</v>
      </c>
      <c r="Q378" t="s">
        <v>29</v>
      </c>
    </row>
    <row r="379" spans="1:17" x14ac:dyDescent="0.2">
      <c r="A379" s="1">
        <v>45834</v>
      </c>
      <c r="B379" t="s">
        <v>8553</v>
      </c>
      <c r="D379" t="s">
        <v>8554</v>
      </c>
      <c r="E379" t="s">
        <v>21</v>
      </c>
      <c r="F379" t="s">
        <v>37</v>
      </c>
      <c r="G379" s="9">
        <v>420000</v>
      </c>
      <c r="H379" s="9">
        <v>380000</v>
      </c>
      <c r="I379" t="s">
        <v>23</v>
      </c>
      <c r="J379" t="s">
        <v>23</v>
      </c>
      <c r="K379" t="s">
        <v>8555</v>
      </c>
      <c r="L379" t="s">
        <v>4738</v>
      </c>
      <c r="M379" t="s">
        <v>7980</v>
      </c>
      <c r="N379">
        <v>2</v>
      </c>
      <c r="O379" t="s">
        <v>183</v>
      </c>
      <c r="P379" t="s">
        <v>79</v>
      </c>
      <c r="Q379" t="s">
        <v>29</v>
      </c>
    </row>
    <row r="380" spans="1:17" x14ac:dyDescent="0.2">
      <c r="A380" s="1">
        <v>45958</v>
      </c>
      <c r="B380" t="s">
        <v>8556</v>
      </c>
      <c r="D380" t="s">
        <v>8557</v>
      </c>
      <c r="E380" t="s">
        <v>21</v>
      </c>
      <c r="F380" t="s">
        <v>37</v>
      </c>
      <c r="G380" s="9">
        <v>820000</v>
      </c>
      <c r="H380" s="9">
        <v>800000</v>
      </c>
      <c r="I380" t="s">
        <v>23</v>
      </c>
      <c r="J380" t="s">
        <v>23</v>
      </c>
      <c r="K380" t="s">
        <v>8558</v>
      </c>
      <c r="L380" t="s">
        <v>8559</v>
      </c>
      <c r="M380" t="s">
        <v>7980</v>
      </c>
      <c r="N380">
        <v>1</v>
      </c>
      <c r="O380" t="s">
        <v>1294</v>
      </c>
      <c r="P380" t="s">
        <v>152</v>
      </c>
      <c r="Q38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Hoja2</vt:lpstr>
      <vt:lpstr>DINAMICA</vt:lpstr>
      <vt:lpstr>Operaciones Venta</vt:lpstr>
      <vt:lpstr>Mapa Oficinas</vt:lpstr>
      <vt:lpstr>DESCARTADO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Mangini</dc:creator>
  <cp:lastModifiedBy>Francisco Benegas</cp:lastModifiedBy>
  <dcterms:created xsi:type="dcterms:W3CDTF">2026-04-20T16:15:15Z</dcterms:created>
  <dcterms:modified xsi:type="dcterms:W3CDTF">2026-05-12T18:37:39Z</dcterms:modified>
</cp:coreProperties>
</file>